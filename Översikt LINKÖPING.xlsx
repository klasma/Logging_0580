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45981</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40469-2024</t>
        </is>
      </c>
      <c r="B13" s="1" t="n">
        <v>45555.53145833333</v>
      </c>
      <c r="C13" s="1" t="n">
        <v>45981</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45981</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45981</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17502-2022</t>
        </is>
      </c>
      <c r="B16" s="1" t="n">
        <v>44679</v>
      </c>
      <c r="C16" s="1" t="n">
        <v>45981</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45981</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45981</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45981</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55341-2024</t>
        </is>
      </c>
      <c r="B20" s="1" t="n">
        <v>45621.71255787037</v>
      </c>
      <c r="C20" s="1" t="n">
        <v>45981</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17520-2022</t>
        </is>
      </c>
      <c r="B21" s="1" t="n">
        <v>44679</v>
      </c>
      <c r="C21" s="1" t="n">
        <v>45981</v>
      </c>
      <c r="D21" t="inlineStr">
        <is>
          <t>ÖSTERGÖTLANDS LÄN</t>
        </is>
      </c>
      <c r="E21" t="inlineStr">
        <is>
          <t>LINKÖPING</t>
        </is>
      </c>
      <c r="F21" t="inlineStr">
        <is>
          <t>Kommuner</t>
        </is>
      </c>
      <c r="G21" t="n">
        <v>4.6</v>
      </c>
      <c r="H21" t="n">
        <v>0</v>
      </c>
      <c r="I21" t="n">
        <v>2</v>
      </c>
      <c r="J21" t="n">
        <v>0</v>
      </c>
      <c r="K21" t="n">
        <v>0</v>
      </c>
      <c r="L21" t="n">
        <v>0</v>
      </c>
      <c r="M21" t="n">
        <v>0</v>
      </c>
      <c r="N21" t="n">
        <v>0</v>
      </c>
      <c r="O21" t="n">
        <v>0</v>
      </c>
      <c r="P21" t="n">
        <v>0</v>
      </c>
      <c r="Q21" t="n">
        <v>2</v>
      </c>
      <c r="R21" s="2" t="inlineStr">
        <is>
          <t>Blåmossa
Trådticka</t>
        </is>
      </c>
      <c r="S21">
        <f>HYPERLINK("https://klasma.github.io/Logging_0580/artfynd/A 17520-2022 artfynd.xlsx", "A 17520-2022")</f>
        <v/>
      </c>
      <c r="T21">
        <f>HYPERLINK("https://klasma.github.io/Logging_0580/kartor/A 17520-2022 karta.png", "A 17520-2022")</f>
        <v/>
      </c>
      <c r="V21">
        <f>HYPERLINK("https://klasma.github.io/Logging_0580/klagomål/A 17520-2022 FSC-klagomål.docx", "A 17520-2022")</f>
        <v/>
      </c>
      <c r="W21">
        <f>HYPERLINK("https://klasma.github.io/Logging_0580/klagomålsmail/A 17520-2022 FSC-klagomål mail.docx", "A 17520-2022")</f>
        <v/>
      </c>
      <c r="X21">
        <f>HYPERLINK("https://klasma.github.io/Logging_0580/tillsyn/A 17520-2022 tillsynsbegäran.docx", "A 17520-2022")</f>
        <v/>
      </c>
      <c r="Y21">
        <f>HYPERLINK("https://klasma.github.io/Logging_0580/tillsynsmail/A 17520-2022 tillsynsbegäran mail.docx", "A 17520-2022")</f>
        <v/>
      </c>
    </row>
    <row r="22" ht="15" customHeight="1">
      <c r="A22" t="inlineStr">
        <is>
          <t>A 38137-2021</t>
        </is>
      </c>
      <c r="B22" s="1" t="n">
        <v>44405.38357638889</v>
      </c>
      <c r="C22" s="1" t="n">
        <v>45981</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58068-2021</t>
        </is>
      </c>
      <c r="B23" s="1" t="n">
        <v>44487</v>
      </c>
      <c r="C23" s="1" t="n">
        <v>45981</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27981-2022</t>
        </is>
      </c>
      <c r="B24" s="1" t="n">
        <v>44745</v>
      </c>
      <c r="C24" s="1" t="n">
        <v>45981</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21326-2025</t>
        </is>
      </c>
      <c r="B25" s="1" t="n">
        <v>45782.35407407407</v>
      </c>
      <c r="C25" s="1" t="n">
        <v>45981</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50404-2023</t>
        </is>
      </c>
      <c r="B26" s="1" t="n">
        <v>45216</v>
      </c>
      <c r="C26" s="1" t="n">
        <v>45981</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20292-2025</t>
        </is>
      </c>
      <c r="B27" s="1" t="n">
        <v>45774.7449537037</v>
      </c>
      <c r="C27" s="1" t="n">
        <v>45981</v>
      </c>
      <c r="D27" t="inlineStr">
        <is>
          <t>ÖSTERGÖTLANDS LÄN</t>
        </is>
      </c>
      <c r="E27" t="inlineStr">
        <is>
          <t>LINKÖPING</t>
        </is>
      </c>
      <c r="G27" t="n">
        <v>8.4</v>
      </c>
      <c r="H27" t="n">
        <v>1</v>
      </c>
      <c r="I27" t="n">
        <v>1</v>
      </c>
      <c r="J27" t="n">
        <v>0</v>
      </c>
      <c r="K27" t="n">
        <v>0</v>
      </c>
      <c r="L27" t="n">
        <v>0</v>
      </c>
      <c r="M27" t="n">
        <v>0</v>
      </c>
      <c r="N27" t="n">
        <v>0</v>
      </c>
      <c r="O27" t="n">
        <v>0</v>
      </c>
      <c r="P27" t="n">
        <v>0</v>
      </c>
      <c r="Q27" t="n">
        <v>2</v>
      </c>
      <c r="R27" s="2" t="inlineStr">
        <is>
          <t>Blåmossa
Blåsippa</t>
        </is>
      </c>
      <c r="S27">
        <f>HYPERLINK("https://klasma.github.io/Logging_0580/artfynd/A 20292-2025 artfynd.xlsx", "A 20292-2025")</f>
        <v/>
      </c>
      <c r="T27">
        <f>HYPERLINK("https://klasma.github.io/Logging_0580/kartor/A 20292-2025 karta.png", "A 20292-2025")</f>
        <v/>
      </c>
      <c r="V27">
        <f>HYPERLINK("https://klasma.github.io/Logging_0580/klagomål/A 20292-2025 FSC-klagomål.docx", "A 20292-2025")</f>
        <v/>
      </c>
      <c r="W27">
        <f>HYPERLINK("https://klasma.github.io/Logging_0580/klagomålsmail/A 20292-2025 FSC-klagomål mail.docx", "A 20292-2025")</f>
        <v/>
      </c>
      <c r="X27">
        <f>HYPERLINK("https://klasma.github.io/Logging_0580/tillsyn/A 20292-2025 tillsynsbegäran.docx", "A 20292-2025")</f>
        <v/>
      </c>
      <c r="Y27">
        <f>HYPERLINK("https://klasma.github.io/Logging_0580/tillsynsmail/A 20292-2025 tillsynsbegäran mail.docx", "A 20292-2025")</f>
        <v/>
      </c>
    </row>
    <row r="28" ht="15" customHeight="1">
      <c r="A28" t="inlineStr">
        <is>
          <t>A 20297-2025</t>
        </is>
      </c>
      <c r="B28" s="1" t="n">
        <v>45774.74971064815</v>
      </c>
      <c r="C28" s="1" t="n">
        <v>45981</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14879-2024</t>
        </is>
      </c>
      <c r="B29" s="1" t="n">
        <v>45398</v>
      </c>
      <c r="C29" s="1" t="n">
        <v>45981</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45981</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50048-2025</t>
        </is>
      </c>
      <c r="B31" s="1" t="n">
        <v>45941</v>
      </c>
      <c r="C31" s="1" t="n">
        <v>45981</v>
      </c>
      <c r="D31" t="inlineStr">
        <is>
          <t>ÖSTERGÖTLANDS LÄN</t>
        </is>
      </c>
      <c r="E31" t="inlineStr">
        <is>
          <t>LINKÖPING</t>
        </is>
      </c>
      <c r="G31" t="n">
        <v>2.4</v>
      </c>
      <c r="H31" t="n">
        <v>2</v>
      </c>
      <c r="I31" t="n">
        <v>0</v>
      </c>
      <c r="J31" t="n">
        <v>1</v>
      </c>
      <c r="K31" t="n">
        <v>0</v>
      </c>
      <c r="L31" t="n">
        <v>0</v>
      </c>
      <c r="M31" t="n">
        <v>0</v>
      </c>
      <c r="N31" t="n">
        <v>0</v>
      </c>
      <c r="O31" t="n">
        <v>1</v>
      </c>
      <c r="P31" t="n">
        <v>0</v>
      </c>
      <c r="Q31" t="n">
        <v>2</v>
      </c>
      <c r="R31" s="2" t="inlineStr">
        <is>
          <t>Gulsparv
Trädlärka</t>
        </is>
      </c>
      <c r="S31">
        <f>HYPERLINK("https://klasma.github.io/Logging_0580/artfynd/A 50048-2025 artfynd.xlsx", "A 50048-2025")</f>
        <v/>
      </c>
      <c r="T31">
        <f>HYPERLINK("https://klasma.github.io/Logging_0580/kartor/A 50048-2025 karta.png", "A 50048-2025")</f>
        <v/>
      </c>
      <c r="V31">
        <f>HYPERLINK("https://klasma.github.io/Logging_0580/klagomål/A 50048-2025 FSC-klagomål.docx", "A 50048-2025")</f>
        <v/>
      </c>
      <c r="W31">
        <f>HYPERLINK("https://klasma.github.io/Logging_0580/klagomålsmail/A 50048-2025 FSC-klagomål mail.docx", "A 50048-2025")</f>
        <v/>
      </c>
      <c r="X31">
        <f>HYPERLINK("https://klasma.github.io/Logging_0580/tillsyn/A 50048-2025 tillsynsbegäran.docx", "A 50048-2025")</f>
        <v/>
      </c>
      <c r="Y31">
        <f>HYPERLINK("https://klasma.github.io/Logging_0580/tillsynsmail/A 50048-2025 tillsynsbegäran mail.docx", "A 50048-2025")</f>
        <v/>
      </c>
      <c r="Z31">
        <f>HYPERLINK("https://klasma.github.io/Logging_0580/fåglar/A 50048-2025 prioriterade fågelarter.docx", "A 50048-2025")</f>
        <v/>
      </c>
    </row>
    <row r="32" ht="15" customHeight="1">
      <c r="A32" t="inlineStr">
        <is>
          <t>A 27795-2025</t>
        </is>
      </c>
      <c r="B32" s="1" t="n">
        <v>45816.7908912037</v>
      </c>
      <c r="C32" s="1" t="n">
        <v>45981</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38913-2023</t>
        </is>
      </c>
      <c r="B33" s="1" t="n">
        <v>45163</v>
      </c>
      <c r="C33" s="1" t="n">
        <v>45981</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58068-2021</t>
        </is>
      </c>
      <c r="B34" s="1" t="n">
        <v>44487</v>
      </c>
      <c r="C34" s="1" t="n">
        <v>45981</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41751-2023</t>
        </is>
      </c>
      <c r="B35" s="1" t="n">
        <v>45176</v>
      </c>
      <c r="C35" s="1" t="n">
        <v>45981</v>
      </c>
      <c r="D35" t="inlineStr">
        <is>
          <t>ÖSTERGÖTLANDS LÄN</t>
        </is>
      </c>
      <c r="E35" t="inlineStr">
        <is>
          <t>LINKÖPING</t>
        </is>
      </c>
      <c r="G35" t="n">
        <v>1.5</v>
      </c>
      <c r="H35" t="n">
        <v>1</v>
      </c>
      <c r="I35" t="n">
        <v>0</v>
      </c>
      <c r="J35" t="n">
        <v>1</v>
      </c>
      <c r="K35" t="n">
        <v>0</v>
      </c>
      <c r="L35" t="n">
        <v>0</v>
      </c>
      <c r="M35" t="n">
        <v>0</v>
      </c>
      <c r="N35" t="n">
        <v>0</v>
      </c>
      <c r="O35" t="n">
        <v>1</v>
      </c>
      <c r="P35" t="n">
        <v>0</v>
      </c>
      <c r="Q35" t="n">
        <v>2</v>
      </c>
      <c r="R35" s="2" t="inlineStr">
        <is>
          <t>Svinrot
Grönvit nattviol</t>
        </is>
      </c>
      <c r="S35">
        <f>HYPERLINK("https://klasma.github.io/Logging_0580/artfynd/A 41751-2023 artfynd.xlsx", "A 41751-2023")</f>
        <v/>
      </c>
      <c r="T35">
        <f>HYPERLINK("https://klasma.github.io/Logging_0580/kartor/A 41751-2023 karta.png", "A 41751-2023")</f>
        <v/>
      </c>
      <c r="V35">
        <f>HYPERLINK("https://klasma.github.io/Logging_0580/klagomål/A 41751-2023 FSC-klagomål.docx", "A 41751-2023")</f>
        <v/>
      </c>
      <c r="W35">
        <f>HYPERLINK("https://klasma.github.io/Logging_0580/klagomålsmail/A 41751-2023 FSC-klagomål mail.docx", "A 41751-2023")</f>
        <v/>
      </c>
      <c r="X35">
        <f>HYPERLINK("https://klasma.github.io/Logging_0580/tillsyn/A 41751-2023 tillsynsbegäran.docx", "A 41751-2023")</f>
        <v/>
      </c>
      <c r="Y35">
        <f>HYPERLINK("https://klasma.github.io/Logging_0580/tillsynsmail/A 41751-2023 tillsynsbegäran mail.docx", "A 41751-2023")</f>
        <v/>
      </c>
    </row>
    <row r="36" ht="15" customHeight="1">
      <c r="A36" t="inlineStr">
        <is>
          <t>A 22040-2023</t>
        </is>
      </c>
      <c r="B36" s="1" t="n">
        <v>45068</v>
      </c>
      <c r="C36" s="1" t="n">
        <v>45981</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49188-2024</t>
        </is>
      </c>
      <c r="B37" s="1" t="n">
        <v>45595</v>
      </c>
      <c r="C37" s="1" t="n">
        <v>45981</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11613-2025</t>
        </is>
      </c>
      <c r="B38" s="1" t="n">
        <v>45727.44623842592</v>
      </c>
      <c r="C38" s="1" t="n">
        <v>45981</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42858-2023</t>
        </is>
      </c>
      <c r="B39" s="1" t="n">
        <v>45177</v>
      </c>
      <c r="C39" s="1" t="n">
        <v>45981</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45981</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25985-2025</t>
        </is>
      </c>
      <c r="B41" s="1" t="n">
        <v>45804.64479166667</v>
      </c>
      <c r="C41" s="1" t="n">
        <v>45981</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45981</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45981</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45981</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56250-2021</t>
        </is>
      </c>
      <c r="B45" s="1" t="n">
        <v>44479</v>
      </c>
      <c r="C45" s="1" t="n">
        <v>45981</v>
      </c>
      <c r="D45" t="inlineStr">
        <is>
          <t>ÖSTERGÖTLANDS LÄN</t>
        </is>
      </c>
      <c r="E45" t="inlineStr">
        <is>
          <t>LINKÖPING</t>
        </is>
      </c>
      <c r="F45" t="inlineStr">
        <is>
          <t>Övriga Aktiebolag</t>
        </is>
      </c>
      <c r="G45" t="n">
        <v>3.2</v>
      </c>
      <c r="H45" t="n">
        <v>0</v>
      </c>
      <c r="I45" t="n">
        <v>1</v>
      </c>
      <c r="J45" t="n">
        <v>0</v>
      </c>
      <c r="K45" t="n">
        <v>0</v>
      </c>
      <c r="L45" t="n">
        <v>0</v>
      </c>
      <c r="M45" t="n">
        <v>0</v>
      </c>
      <c r="N45" t="n">
        <v>0</v>
      </c>
      <c r="O45" t="n">
        <v>0</v>
      </c>
      <c r="P45" t="n">
        <v>0</v>
      </c>
      <c r="Q45" t="n">
        <v>1</v>
      </c>
      <c r="R45" s="2" t="inlineStr">
        <is>
          <t>Strutbräken</t>
        </is>
      </c>
      <c r="S45">
        <f>HYPERLINK("https://klasma.github.io/Logging_0580/artfynd/A 56250-2021 artfynd.xlsx", "A 56250-2021")</f>
        <v/>
      </c>
      <c r="T45">
        <f>HYPERLINK("https://klasma.github.io/Logging_0580/kartor/A 56250-2021 karta.png", "A 56250-2021")</f>
        <v/>
      </c>
      <c r="V45">
        <f>HYPERLINK("https://klasma.github.io/Logging_0580/klagomål/A 56250-2021 FSC-klagomål.docx", "A 56250-2021")</f>
        <v/>
      </c>
      <c r="W45">
        <f>HYPERLINK("https://klasma.github.io/Logging_0580/klagomålsmail/A 56250-2021 FSC-klagomål mail.docx", "A 56250-2021")</f>
        <v/>
      </c>
      <c r="X45">
        <f>HYPERLINK("https://klasma.github.io/Logging_0580/tillsyn/A 56250-2021 tillsynsbegäran.docx", "A 56250-2021")</f>
        <v/>
      </c>
      <c r="Y45">
        <f>HYPERLINK("https://klasma.github.io/Logging_0580/tillsynsmail/A 56250-2021 tillsynsbegäran mail.docx", "A 56250-2021")</f>
        <v/>
      </c>
    </row>
    <row r="46" ht="15" customHeight="1">
      <c r="A46" t="inlineStr">
        <is>
          <t>A 46496-2022</t>
        </is>
      </c>
      <c r="B46" s="1" t="n">
        <v>44848</v>
      </c>
      <c r="C46" s="1" t="n">
        <v>45981</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43017-2021</t>
        </is>
      </c>
      <c r="B47" s="1" t="n">
        <v>44431</v>
      </c>
      <c r="C47" s="1" t="n">
        <v>45981</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71127-2021</t>
        </is>
      </c>
      <c r="B48" s="1" t="n">
        <v>44537</v>
      </c>
      <c r="C48" s="1" t="n">
        <v>45981</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60573-2021</t>
        </is>
      </c>
      <c r="B49" s="1" t="n">
        <v>44496</v>
      </c>
      <c r="C49" s="1" t="n">
        <v>45981</v>
      </c>
      <c r="D49" t="inlineStr">
        <is>
          <t>ÖSTERGÖTLANDS LÄN</t>
        </is>
      </c>
      <c r="E49" t="inlineStr">
        <is>
          <t>LINKÖPING</t>
        </is>
      </c>
      <c r="F49" t="inlineStr">
        <is>
          <t>Övriga Aktiebolag</t>
        </is>
      </c>
      <c r="G49" t="n">
        <v>5.6</v>
      </c>
      <c r="H49" t="n">
        <v>0</v>
      </c>
      <c r="I49" t="n">
        <v>0</v>
      </c>
      <c r="J49" t="n">
        <v>1</v>
      </c>
      <c r="K49" t="n">
        <v>0</v>
      </c>
      <c r="L49" t="n">
        <v>0</v>
      </c>
      <c r="M49" t="n">
        <v>0</v>
      </c>
      <c r="N49" t="n">
        <v>0</v>
      </c>
      <c r="O49" t="n">
        <v>1</v>
      </c>
      <c r="P49" t="n">
        <v>0</v>
      </c>
      <c r="Q49" t="n">
        <v>1</v>
      </c>
      <c r="R49" s="2" t="inlineStr">
        <is>
          <t>Sommarfibbla</t>
        </is>
      </c>
      <c r="S49">
        <f>HYPERLINK("https://klasma.github.io/Logging_0580/artfynd/A 60573-2021 artfynd.xlsx", "A 60573-2021")</f>
        <v/>
      </c>
      <c r="T49">
        <f>HYPERLINK("https://klasma.github.io/Logging_0580/kartor/A 60573-2021 karta.png", "A 60573-2021")</f>
        <v/>
      </c>
      <c r="V49">
        <f>HYPERLINK("https://klasma.github.io/Logging_0580/klagomål/A 60573-2021 FSC-klagomål.docx", "A 60573-2021")</f>
        <v/>
      </c>
      <c r="W49">
        <f>HYPERLINK("https://klasma.github.io/Logging_0580/klagomålsmail/A 60573-2021 FSC-klagomål mail.docx", "A 60573-2021")</f>
        <v/>
      </c>
      <c r="X49">
        <f>HYPERLINK("https://klasma.github.io/Logging_0580/tillsyn/A 60573-2021 tillsynsbegäran.docx", "A 60573-2021")</f>
        <v/>
      </c>
      <c r="Y49">
        <f>HYPERLINK("https://klasma.github.io/Logging_0580/tillsynsmail/A 60573-2021 tillsynsbegäran mail.docx", "A 60573-2021")</f>
        <v/>
      </c>
    </row>
    <row r="50" ht="15" customHeight="1">
      <c r="A50" t="inlineStr">
        <is>
          <t>A 931-2025</t>
        </is>
      </c>
      <c r="B50" s="1" t="n">
        <v>45665.88498842593</v>
      </c>
      <c r="C50" s="1" t="n">
        <v>45981</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1716-2023</t>
        </is>
      </c>
      <c r="B51" s="1" t="n">
        <v>44938</v>
      </c>
      <c r="C51" s="1" t="n">
        <v>45981</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1213-2023</t>
        </is>
      </c>
      <c r="B52" s="1" t="n">
        <v>44930</v>
      </c>
      <c r="C52" s="1" t="n">
        <v>45981</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45317-2023</t>
        </is>
      </c>
      <c r="B53" s="1" t="n">
        <v>45191.74868055555</v>
      </c>
      <c r="C53" s="1" t="n">
        <v>45981</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22526-2025</t>
        </is>
      </c>
      <c r="B54" s="1" t="n">
        <v>45786.78096064815</v>
      </c>
      <c r="C54" s="1" t="n">
        <v>45981</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126-2024</t>
        </is>
      </c>
      <c r="B55" s="1" t="n">
        <v>45294</v>
      </c>
      <c r="C55" s="1" t="n">
        <v>45981</v>
      </c>
      <c r="D55" t="inlineStr">
        <is>
          <t>ÖSTERGÖTLANDS LÄN</t>
        </is>
      </c>
      <c r="E55" t="inlineStr">
        <is>
          <t>LINKÖPING</t>
        </is>
      </c>
      <c r="G55" t="n">
        <v>1</v>
      </c>
      <c r="H55" t="n">
        <v>0</v>
      </c>
      <c r="I55" t="n">
        <v>1</v>
      </c>
      <c r="J55" t="n">
        <v>0</v>
      </c>
      <c r="K55" t="n">
        <v>0</v>
      </c>
      <c r="L55" t="n">
        <v>0</v>
      </c>
      <c r="M55" t="n">
        <v>0</v>
      </c>
      <c r="N55" t="n">
        <v>0</v>
      </c>
      <c r="O55" t="n">
        <v>0</v>
      </c>
      <c r="P55" t="n">
        <v>0</v>
      </c>
      <c r="Q55" t="n">
        <v>1</v>
      </c>
      <c r="R55" s="2" t="inlineStr">
        <is>
          <t>Blåmossa</t>
        </is>
      </c>
      <c r="S55">
        <f>HYPERLINK("https://klasma.github.io/Logging_0580/artfynd/A 126-2024 artfynd.xlsx", "A 126-2024")</f>
        <v/>
      </c>
      <c r="T55">
        <f>HYPERLINK("https://klasma.github.io/Logging_0580/kartor/A 126-2024 karta.png", "A 126-2024")</f>
        <v/>
      </c>
      <c r="V55">
        <f>HYPERLINK("https://klasma.github.io/Logging_0580/klagomål/A 126-2024 FSC-klagomål.docx", "A 126-2024")</f>
        <v/>
      </c>
      <c r="W55">
        <f>HYPERLINK("https://klasma.github.io/Logging_0580/klagomålsmail/A 126-2024 FSC-klagomål mail.docx", "A 126-2024")</f>
        <v/>
      </c>
      <c r="X55">
        <f>HYPERLINK("https://klasma.github.io/Logging_0580/tillsyn/A 126-2024 tillsynsbegäran.docx", "A 126-2024")</f>
        <v/>
      </c>
      <c r="Y55">
        <f>HYPERLINK("https://klasma.github.io/Logging_0580/tillsynsmail/A 126-2024 tillsynsbegäran mail.docx", "A 126-2024")</f>
        <v/>
      </c>
    </row>
    <row r="56" ht="15" customHeight="1">
      <c r="A56" t="inlineStr">
        <is>
          <t>A 59948-2022</t>
        </is>
      </c>
      <c r="B56" s="1" t="n">
        <v>44909</v>
      </c>
      <c r="C56" s="1" t="n">
        <v>45981</v>
      </c>
      <c r="D56" t="inlineStr">
        <is>
          <t>ÖSTERGÖTLANDS LÄN</t>
        </is>
      </c>
      <c r="E56" t="inlineStr">
        <is>
          <t>LINKÖPING</t>
        </is>
      </c>
      <c r="G56" t="n">
        <v>6.7</v>
      </c>
      <c r="H56" t="n">
        <v>0</v>
      </c>
      <c r="I56" t="n">
        <v>0</v>
      </c>
      <c r="J56" t="n">
        <v>0</v>
      </c>
      <c r="K56" t="n">
        <v>0</v>
      </c>
      <c r="L56" t="n">
        <v>0</v>
      </c>
      <c r="M56" t="n">
        <v>1</v>
      </c>
      <c r="N56" t="n">
        <v>0</v>
      </c>
      <c r="O56" t="n">
        <v>1</v>
      </c>
      <c r="P56" t="n">
        <v>1</v>
      </c>
      <c r="Q56" t="n">
        <v>1</v>
      </c>
      <c r="R56" s="2" t="inlineStr">
        <is>
          <t>Skogsalm</t>
        </is>
      </c>
      <c r="S56">
        <f>HYPERLINK("https://klasma.github.io/Logging_0580/artfynd/A 59948-2022 artfynd.xlsx", "A 59948-2022")</f>
        <v/>
      </c>
      <c r="T56">
        <f>HYPERLINK("https://klasma.github.io/Logging_0580/kartor/A 59948-2022 karta.png", "A 59948-2022")</f>
        <v/>
      </c>
      <c r="V56">
        <f>HYPERLINK("https://klasma.github.io/Logging_0580/klagomål/A 59948-2022 FSC-klagomål.docx", "A 59948-2022")</f>
        <v/>
      </c>
      <c r="W56">
        <f>HYPERLINK("https://klasma.github.io/Logging_0580/klagomålsmail/A 59948-2022 FSC-klagomål mail.docx", "A 59948-2022")</f>
        <v/>
      </c>
      <c r="X56">
        <f>HYPERLINK("https://klasma.github.io/Logging_0580/tillsyn/A 59948-2022 tillsynsbegäran.docx", "A 59948-2022")</f>
        <v/>
      </c>
      <c r="Y56">
        <f>HYPERLINK("https://klasma.github.io/Logging_0580/tillsynsmail/A 59948-2022 tillsynsbegäran mail.docx", "A 59948-2022")</f>
        <v/>
      </c>
    </row>
    <row r="57" ht="15" customHeight="1">
      <c r="A57" t="inlineStr">
        <is>
          <t>A 41749-2023</t>
        </is>
      </c>
      <c r="B57" s="1" t="n">
        <v>45176</v>
      </c>
      <c r="C57" s="1" t="n">
        <v>45981</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37683-2024</t>
        </is>
      </c>
      <c r="B58" s="1" t="n">
        <v>45541.59120370371</v>
      </c>
      <c r="C58" s="1" t="n">
        <v>45981</v>
      </c>
      <c r="D58" t="inlineStr">
        <is>
          <t>ÖSTERGÖTLANDS LÄN</t>
        </is>
      </c>
      <c r="E58" t="inlineStr">
        <is>
          <t>LINKÖPING</t>
        </is>
      </c>
      <c r="G58" t="n">
        <v>0.6</v>
      </c>
      <c r="H58" t="n">
        <v>0</v>
      </c>
      <c r="I58" t="n">
        <v>1</v>
      </c>
      <c r="J58" t="n">
        <v>0</v>
      </c>
      <c r="K58" t="n">
        <v>0</v>
      </c>
      <c r="L58" t="n">
        <v>0</v>
      </c>
      <c r="M58" t="n">
        <v>0</v>
      </c>
      <c r="N58" t="n">
        <v>0</v>
      </c>
      <c r="O58" t="n">
        <v>0</v>
      </c>
      <c r="P58" t="n">
        <v>0</v>
      </c>
      <c r="Q58" t="n">
        <v>1</v>
      </c>
      <c r="R58" s="2" t="inlineStr">
        <is>
          <t>Tibast</t>
        </is>
      </c>
      <c r="S58">
        <f>HYPERLINK("https://klasma.github.io/Logging_0580/artfynd/A 37683-2024 artfynd.xlsx", "A 37683-2024")</f>
        <v/>
      </c>
      <c r="T58">
        <f>HYPERLINK("https://klasma.github.io/Logging_0580/kartor/A 37683-2024 karta.png", "A 37683-2024")</f>
        <v/>
      </c>
      <c r="V58">
        <f>HYPERLINK("https://klasma.github.io/Logging_0580/klagomål/A 37683-2024 FSC-klagomål.docx", "A 37683-2024")</f>
        <v/>
      </c>
      <c r="W58">
        <f>HYPERLINK("https://klasma.github.io/Logging_0580/klagomålsmail/A 37683-2024 FSC-klagomål mail.docx", "A 37683-2024")</f>
        <v/>
      </c>
      <c r="X58">
        <f>HYPERLINK("https://klasma.github.io/Logging_0580/tillsyn/A 37683-2024 tillsynsbegäran.docx", "A 37683-2024")</f>
        <v/>
      </c>
      <c r="Y58">
        <f>HYPERLINK("https://klasma.github.io/Logging_0580/tillsynsmail/A 37683-2024 tillsynsbegäran mail.docx", "A 37683-2024")</f>
        <v/>
      </c>
    </row>
    <row r="59" ht="15" customHeight="1">
      <c r="A59" t="inlineStr">
        <is>
          <t>A 43989-2025</t>
        </is>
      </c>
      <c r="B59" s="1" t="n">
        <v>45915.44128472222</v>
      </c>
      <c r="C59" s="1" t="n">
        <v>45981</v>
      </c>
      <c r="D59" t="inlineStr">
        <is>
          <t>ÖSTERGÖTLANDS LÄN</t>
        </is>
      </c>
      <c r="E59" t="inlineStr">
        <is>
          <t>LINKÖPING</t>
        </is>
      </c>
      <c r="F59" t="inlineStr">
        <is>
          <t>Allmännings- och besparingsskogar</t>
        </is>
      </c>
      <c r="G59" t="n">
        <v>3.5</v>
      </c>
      <c r="H59" t="n">
        <v>0</v>
      </c>
      <c r="I59" t="n">
        <v>0</v>
      </c>
      <c r="J59" t="n">
        <v>1</v>
      </c>
      <c r="K59" t="n">
        <v>0</v>
      </c>
      <c r="L59" t="n">
        <v>0</v>
      </c>
      <c r="M59" t="n">
        <v>0</v>
      </c>
      <c r="N59" t="n">
        <v>0</v>
      </c>
      <c r="O59" t="n">
        <v>1</v>
      </c>
      <c r="P59" t="n">
        <v>0</v>
      </c>
      <c r="Q59" t="n">
        <v>1</v>
      </c>
      <c r="R59" s="2" t="inlineStr">
        <is>
          <t>Kavelhirs</t>
        </is>
      </c>
      <c r="S59">
        <f>HYPERLINK("https://klasma.github.io/Logging_0580/artfynd/A 43989-2025 artfynd.xlsx", "A 43989-2025")</f>
        <v/>
      </c>
      <c r="T59">
        <f>HYPERLINK("https://klasma.github.io/Logging_0580/kartor/A 43989-2025 karta.png", "A 43989-2025")</f>
        <v/>
      </c>
      <c r="V59">
        <f>HYPERLINK("https://klasma.github.io/Logging_0580/klagomål/A 43989-2025 FSC-klagomål.docx", "A 43989-2025")</f>
        <v/>
      </c>
      <c r="W59">
        <f>HYPERLINK("https://klasma.github.io/Logging_0580/klagomålsmail/A 43989-2025 FSC-klagomål mail.docx", "A 43989-2025")</f>
        <v/>
      </c>
      <c r="X59">
        <f>HYPERLINK("https://klasma.github.io/Logging_0580/tillsyn/A 43989-2025 tillsynsbegäran.docx", "A 43989-2025")</f>
        <v/>
      </c>
      <c r="Y59">
        <f>HYPERLINK("https://klasma.github.io/Logging_0580/tillsynsmail/A 43989-2025 tillsynsbegäran mail.docx", "A 43989-2025")</f>
        <v/>
      </c>
    </row>
    <row r="60" ht="15" customHeight="1">
      <c r="A60" t="inlineStr">
        <is>
          <t>A 44760-2025</t>
        </is>
      </c>
      <c r="B60" s="1" t="n">
        <v>45917.71873842592</v>
      </c>
      <c r="C60" s="1" t="n">
        <v>45981</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50034-2025</t>
        </is>
      </c>
      <c r="B61" s="1" t="n">
        <v>45941</v>
      </c>
      <c r="C61" s="1" t="n">
        <v>45981</v>
      </c>
      <c r="D61" t="inlineStr">
        <is>
          <t>ÖSTERGÖTLANDS LÄN</t>
        </is>
      </c>
      <c r="E61" t="inlineStr">
        <is>
          <t>LINKÖPING</t>
        </is>
      </c>
      <c r="G61" t="n">
        <v>6.2</v>
      </c>
      <c r="H61" t="n">
        <v>0</v>
      </c>
      <c r="I61" t="n">
        <v>0</v>
      </c>
      <c r="J61" t="n">
        <v>0</v>
      </c>
      <c r="K61" t="n">
        <v>0</v>
      </c>
      <c r="L61" t="n">
        <v>0</v>
      </c>
      <c r="M61" t="n">
        <v>1</v>
      </c>
      <c r="N61" t="n">
        <v>0</v>
      </c>
      <c r="O61" t="n">
        <v>1</v>
      </c>
      <c r="P61" t="n">
        <v>1</v>
      </c>
      <c r="Q61" t="n">
        <v>1</v>
      </c>
      <c r="R61" s="2" t="inlineStr">
        <is>
          <t>Skogsalm</t>
        </is>
      </c>
      <c r="S61">
        <f>HYPERLINK("https://klasma.github.io/Logging_0580/artfynd/A 50034-2025 artfynd.xlsx", "A 50034-2025")</f>
        <v/>
      </c>
      <c r="T61">
        <f>HYPERLINK("https://klasma.github.io/Logging_0580/kartor/A 50034-2025 karta.png", "A 50034-2025")</f>
        <v/>
      </c>
      <c r="V61">
        <f>HYPERLINK("https://klasma.github.io/Logging_0580/klagomål/A 50034-2025 FSC-klagomål.docx", "A 50034-2025")</f>
        <v/>
      </c>
      <c r="W61">
        <f>HYPERLINK("https://klasma.github.io/Logging_0580/klagomålsmail/A 50034-2025 FSC-klagomål mail.docx", "A 50034-2025")</f>
        <v/>
      </c>
      <c r="X61">
        <f>HYPERLINK("https://klasma.github.io/Logging_0580/tillsyn/A 50034-2025 tillsynsbegäran.docx", "A 50034-2025")</f>
        <v/>
      </c>
      <c r="Y61">
        <f>HYPERLINK("https://klasma.github.io/Logging_0580/tillsynsmail/A 50034-2025 tillsynsbegäran mail.docx", "A 50034-2025")</f>
        <v/>
      </c>
    </row>
    <row r="62" ht="15" customHeight="1">
      <c r="A62" t="inlineStr">
        <is>
          <t>A 56651-2023</t>
        </is>
      </c>
      <c r="B62" s="1" t="n">
        <v>45243</v>
      </c>
      <c r="C62" s="1" t="n">
        <v>45981</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27403-2025</t>
        </is>
      </c>
      <c r="B63" s="1" t="n">
        <v>45812.72518518518</v>
      </c>
      <c r="C63" s="1" t="n">
        <v>45981</v>
      </c>
      <c r="D63" t="inlineStr">
        <is>
          <t>ÖSTERGÖTLANDS LÄN</t>
        </is>
      </c>
      <c r="E63" t="inlineStr">
        <is>
          <t>LINKÖPING</t>
        </is>
      </c>
      <c r="G63" t="n">
        <v>1.4</v>
      </c>
      <c r="H63" t="n">
        <v>0</v>
      </c>
      <c r="I63" t="n">
        <v>0</v>
      </c>
      <c r="J63" t="n">
        <v>1</v>
      </c>
      <c r="K63" t="n">
        <v>0</v>
      </c>
      <c r="L63" t="n">
        <v>0</v>
      </c>
      <c r="M63" t="n">
        <v>0</v>
      </c>
      <c r="N63" t="n">
        <v>0</v>
      </c>
      <c r="O63" t="n">
        <v>1</v>
      </c>
      <c r="P63" t="n">
        <v>0</v>
      </c>
      <c r="Q63" t="n">
        <v>1</v>
      </c>
      <c r="R63" s="2" t="inlineStr">
        <is>
          <t>Tallticka</t>
        </is>
      </c>
      <c r="S63">
        <f>HYPERLINK("https://klasma.github.io/Logging_0580/artfynd/A 27403-2025 artfynd.xlsx", "A 27403-2025")</f>
        <v/>
      </c>
      <c r="T63">
        <f>HYPERLINK("https://klasma.github.io/Logging_0580/kartor/A 27403-2025 karta.png", "A 27403-2025")</f>
        <v/>
      </c>
      <c r="V63">
        <f>HYPERLINK("https://klasma.github.io/Logging_0580/klagomål/A 27403-2025 FSC-klagomål.docx", "A 27403-2025")</f>
        <v/>
      </c>
      <c r="W63">
        <f>HYPERLINK("https://klasma.github.io/Logging_0580/klagomålsmail/A 27403-2025 FSC-klagomål mail.docx", "A 27403-2025")</f>
        <v/>
      </c>
      <c r="X63">
        <f>HYPERLINK("https://klasma.github.io/Logging_0580/tillsyn/A 27403-2025 tillsynsbegäran.docx", "A 27403-2025")</f>
        <v/>
      </c>
      <c r="Y63">
        <f>HYPERLINK("https://klasma.github.io/Logging_0580/tillsynsmail/A 27403-2025 tillsynsbegäran mail.docx", "A 27403-2025")</f>
        <v/>
      </c>
    </row>
    <row r="64" ht="15" customHeight="1">
      <c r="A64" t="inlineStr">
        <is>
          <t>A 17444-2025</t>
        </is>
      </c>
      <c r="B64" s="1" t="n">
        <v>45757.43452546297</v>
      </c>
      <c r="C64" s="1" t="n">
        <v>45981</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5911-2022</t>
        </is>
      </c>
      <c r="B65" s="1" t="n">
        <v>44597</v>
      </c>
      <c r="C65" s="1" t="n">
        <v>45981</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3395-2023</t>
        </is>
      </c>
      <c r="B66" s="1" t="n">
        <v>44949</v>
      </c>
      <c r="C66" s="1" t="n">
        <v>45981</v>
      </c>
      <c r="D66" t="inlineStr">
        <is>
          <t>ÖSTERGÖTLANDS LÄN</t>
        </is>
      </c>
      <c r="E66" t="inlineStr">
        <is>
          <t>LINKÖPING</t>
        </is>
      </c>
      <c r="G66" t="n">
        <v>2</v>
      </c>
      <c r="H66" t="n">
        <v>0</v>
      </c>
      <c r="I66" t="n">
        <v>0</v>
      </c>
      <c r="J66" t="n">
        <v>1</v>
      </c>
      <c r="K66" t="n">
        <v>0</v>
      </c>
      <c r="L66" t="n">
        <v>0</v>
      </c>
      <c r="M66" t="n">
        <v>0</v>
      </c>
      <c r="N66" t="n">
        <v>0</v>
      </c>
      <c r="O66" t="n">
        <v>1</v>
      </c>
      <c r="P66" t="n">
        <v>0</v>
      </c>
      <c r="Q66" t="n">
        <v>1</v>
      </c>
      <c r="R66" s="2" t="inlineStr">
        <is>
          <t>Sommarfibbla</t>
        </is>
      </c>
      <c r="S66">
        <f>HYPERLINK("https://klasma.github.io/Logging_0580/artfynd/A 3395-2023 artfynd.xlsx", "A 3395-2023")</f>
        <v/>
      </c>
      <c r="T66">
        <f>HYPERLINK("https://klasma.github.io/Logging_0580/kartor/A 3395-2023 karta.png", "A 3395-2023")</f>
        <v/>
      </c>
      <c r="V66">
        <f>HYPERLINK("https://klasma.github.io/Logging_0580/klagomål/A 3395-2023 FSC-klagomål.docx", "A 3395-2023")</f>
        <v/>
      </c>
      <c r="W66">
        <f>HYPERLINK("https://klasma.github.io/Logging_0580/klagomålsmail/A 3395-2023 FSC-klagomål mail.docx", "A 3395-2023")</f>
        <v/>
      </c>
      <c r="X66">
        <f>HYPERLINK("https://klasma.github.io/Logging_0580/tillsyn/A 3395-2023 tillsynsbegäran.docx", "A 3395-2023")</f>
        <v/>
      </c>
      <c r="Y66">
        <f>HYPERLINK("https://klasma.github.io/Logging_0580/tillsynsmail/A 3395-2023 tillsynsbegäran mail.docx", "A 3395-2023")</f>
        <v/>
      </c>
    </row>
    <row r="67" ht="15" customHeight="1">
      <c r="A67" t="inlineStr">
        <is>
          <t>A 19103-2021</t>
        </is>
      </c>
      <c r="B67" s="1" t="n">
        <v>44308</v>
      </c>
      <c r="C67" s="1" t="n">
        <v>45981</v>
      </c>
      <c r="D67" t="inlineStr">
        <is>
          <t>ÖSTERGÖTLANDS LÄN</t>
        </is>
      </c>
      <c r="E67" t="inlineStr">
        <is>
          <t>LINKÖPING</t>
        </is>
      </c>
      <c r="G67" t="n">
        <v>4.7</v>
      </c>
      <c r="H67" t="n">
        <v>0</v>
      </c>
      <c r="I67" t="n">
        <v>0</v>
      </c>
      <c r="J67" t="n">
        <v>1</v>
      </c>
      <c r="K67" t="n">
        <v>0</v>
      </c>
      <c r="L67" t="n">
        <v>0</v>
      </c>
      <c r="M67" t="n">
        <v>0</v>
      </c>
      <c r="N67" t="n">
        <v>0</v>
      </c>
      <c r="O67" t="n">
        <v>1</v>
      </c>
      <c r="P67" t="n">
        <v>0</v>
      </c>
      <c r="Q67" t="n">
        <v>1</v>
      </c>
      <c r="R67" s="2" t="inlineStr">
        <is>
          <t>Tallticka</t>
        </is>
      </c>
      <c r="S67">
        <f>HYPERLINK("https://klasma.github.io/Logging_0580/artfynd/A 19103-2021 artfynd.xlsx", "A 19103-2021")</f>
        <v/>
      </c>
      <c r="T67">
        <f>HYPERLINK("https://klasma.github.io/Logging_0580/kartor/A 19103-2021 karta.png", "A 19103-2021")</f>
        <v/>
      </c>
      <c r="V67">
        <f>HYPERLINK("https://klasma.github.io/Logging_0580/klagomål/A 19103-2021 FSC-klagomål.docx", "A 19103-2021")</f>
        <v/>
      </c>
      <c r="W67">
        <f>HYPERLINK("https://klasma.github.io/Logging_0580/klagomålsmail/A 19103-2021 FSC-klagomål mail.docx", "A 19103-2021")</f>
        <v/>
      </c>
      <c r="X67">
        <f>HYPERLINK("https://klasma.github.io/Logging_0580/tillsyn/A 19103-2021 tillsynsbegäran.docx", "A 19103-2021")</f>
        <v/>
      </c>
      <c r="Y67">
        <f>HYPERLINK("https://klasma.github.io/Logging_0580/tillsynsmail/A 19103-2021 tillsynsbegäran mail.docx", "A 19103-2021")</f>
        <v/>
      </c>
    </row>
    <row r="68" ht="15" customHeight="1">
      <c r="A68" t="inlineStr">
        <is>
          <t>A 90-2024</t>
        </is>
      </c>
      <c r="B68" s="1" t="n">
        <v>45293</v>
      </c>
      <c r="C68" s="1" t="n">
        <v>45981</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45981</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56112-2025</t>
        </is>
      </c>
      <c r="B70" s="1" t="n">
        <v>45973.73625</v>
      </c>
      <c r="C70" s="1" t="n">
        <v>45981</v>
      </c>
      <c r="D70" t="inlineStr">
        <is>
          <t>ÖSTERGÖTLANDS LÄN</t>
        </is>
      </c>
      <c r="E70" t="inlineStr">
        <is>
          <t>LINKÖPING</t>
        </is>
      </c>
      <c r="G70" t="n">
        <v>0.6</v>
      </c>
      <c r="H70" t="n">
        <v>0</v>
      </c>
      <c r="I70" t="n">
        <v>0</v>
      </c>
      <c r="J70" t="n">
        <v>1</v>
      </c>
      <c r="K70" t="n">
        <v>0</v>
      </c>
      <c r="L70" t="n">
        <v>0</v>
      </c>
      <c r="M70" t="n">
        <v>0</v>
      </c>
      <c r="N70" t="n">
        <v>0</v>
      </c>
      <c r="O70" t="n">
        <v>1</v>
      </c>
      <c r="P70" t="n">
        <v>0</v>
      </c>
      <c r="Q70" t="n">
        <v>1</v>
      </c>
      <c r="R70" s="2" t="inlineStr">
        <is>
          <t>Solvända</t>
        </is>
      </c>
      <c r="S70">
        <f>HYPERLINK("https://klasma.github.io/Logging_0580/artfynd/A 56112-2025 artfynd.xlsx", "A 56112-2025")</f>
        <v/>
      </c>
      <c r="T70">
        <f>HYPERLINK("https://klasma.github.io/Logging_0580/kartor/A 56112-2025 karta.png", "A 56112-2025")</f>
        <v/>
      </c>
      <c r="V70">
        <f>HYPERLINK("https://klasma.github.io/Logging_0580/klagomål/A 56112-2025 FSC-klagomål.docx", "A 56112-2025")</f>
        <v/>
      </c>
      <c r="W70">
        <f>HYPERLINK("https://klasma.github.io/Logging_0580/klagomålsmail/A 56112-2025 FSC-klagomål mail.docx", "A 56112-2025")</f>
        <v/>
      </c>
      <c r="X70">
        <f>HYPERLINK("https://klasma.github.io/Logging_0580/tillsyn/A 56112-2025 tillsynsbegäran.docx", "A 56112-2025")</f>
        <v/>
      </c>
      <c r="Y70">
        <f>HYPERLINK("https://klasma.github.io/Logging_0580/tillsynsmail/A 56112-2025 tillsynsbegäran mail.docx", "A 56112-2025")</f>
        <v/>
      </c>
    </row>
    <row r="71" ht="15" customHeight="1">
      <c r="A71" t="inlineStr">
        <is>
          <t>A 48347-2025</t>
        </is>
      </c>
      <c r="B71" s="1" t="n">
        <v>45932</v>
      </c>
      <c r="C71" s="1" t="n">
        <v>45981</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48353-2025</t>
        </is>
      </c>
      <c r="B72" s="1" t="n">
        <v>45932</v>
      </c>
      <c r="C72" s="1" t="n">
        <v>45981</v>
      </c>
      <c r="D72" t="inlineStr">
        <is>
          <t>ÖSTERGÖTLANDS LÄN</t>
        </is>
      </c>
      <c r="E72" t="inlineStr">
        <is>
          <t>LINKÖPING</t>
        </is>
      </c>
      <c r="F72" t="inlineStr">
        <is>
          <t>Övriga Aktiebolag</t>
        </is>
      </c>
      <c r="G72" t="n">
        <v>4.5</v>
      </c>
      <c r="H72" t="n">
        <v>1</v>
      </c>
      <c r="I72" t="n">
        <v>0</v>
      </c>
      <c r="J72" t="n">
        <v>1</v>
      </c>
      <c r="K72" t="n">
        <v>0</v>
      </c>
      <c r="L72" t="n">
        <v>0</v>
      </c>
      <c r="M72" t="n">
        <v>0</v>
      </c>
      <c r="N72" t="n">
        <v>0</v>
      </c>
      <c r="O72" t="n">
        <v>1</v>
      </c>
      <c r="P72" t="n">
        <v>0</v>
      </c>
      <c r="Q72" t="n">
        <v>1</v>
      </c>
      <c r="R72" s="2" t="inlineStr">
        <is>
          <t>Entita</t>
        </is>
      </c>
      <c r="S72">
        <f>HYPERLINK("https://klasma.github.io/Logging_0580/artfynd/A 48353-2025 artfynd.xlsx", "A 48353-2025")</f>
        <v/>
      </c>
      <c r="T72">
        <f>HYPERLINK("https://klasma.github.io/Logging_0580/kartor/A 48353-2025 karta.png", "A 48353-2025")</f>
        <v/>
      </c>
      <c r="V72">
        <f>HYPERLINK("https://klasma.github.io/Logging_0580/klagomål/A 48353-2025 FSC-klagomål.docx", "A 48353-2025")</f>
        <v/>
      </c>
      <c r="W72">
        <f>HYPERLINK("https://klasma.github.io/Logging_0580/klagomålsmail/A 48353-2025 FSC-klagomål mail.docx", "A 48353-2025")</f>
        <v/>
      </c>
      <c r="X72">
        <f>HYPERLINK("https://klasma.github.io/Logging_0580/tillsyn/A 48353-2025 tillsynsbegäran.docx", "A 48353-2025")</f>
        <v/>
      </c>
      <c r="Y72">
        <f>HYPERLINK("https://klasma.github.io/Logging_0580/tillsynsmail/A 48353-2025 tillsynsbegäran mail.docx", "A 48353-2025")</f>
        <v/>
      </c>
      <c r="Z72">
        <f>HYPERLINK("https://klasma.github.io/Logging_0580/fåglar/A 48353-2025 prioriterade fågelarter.docx", "A 48353-2025")</f>
        <v/>
      </c>
    </row>
    <row r="73" ht="15" customHeight="1">
      <c r="A73" t="inlineStr">
        <is>
          <t>A 48273-2025</t>
        </is>
      </c>
      <c r="B73" s="1" t="n">
        <v>45932</v>
      </c>
      <c r="C73" s="1" t="n">
        <v>45981</v>
      </c>
      <c r="D73" t="inlineStr">
        <is>
          <t>ÖSTERGÖTLANDS LÄN</t>
        </is>
      </c>
      <c r="E73" t="inlineStr">
        <is>
          <t>LINKÖPING</t>
        </is>
      </c>
      <c r="F73" t="inlineStr">
        <is>
          <t>Övriga Aktiebolag</t>
        </is>
      </c>
      <c r="G73" t="n">
        <v>4.6</v>
      </c>
      <c r="H73" t="n">
        <v>0</v>
      </c>
      <c r="I73" t="n">
        <v>0</v>
      </c>
      <c r="J73" t="n">
        <v>1</v>
      </c>
      <c r="K73" t="n">
        <v>0</v>
      </c>
      <c r="L73" t="n">
        <v>0</v>
      </c>
      <c r="M73" t="n">
        <v>0</v>
      </c>
      <c r="N73" t="n">
        <v>0</v>
      </c>
      <c r="O73" t="n">
        <v>1</v>
      </c>
      <c r="P73" t="n">
        <v>0</v>
      </c>
      <c r="Q73" t="n">
        <v>1</v>
      </c>
      <c r="R73" s="2" t="inlineStr">
        <is>
          <t>Barrviolspindling</t>
        </is>
      </c>
      <c r="S73">
        <f>HYPERLINK("https://klasma.github.io/Logging_0580/artfynd/A 48273-2025 artfynd.xlsx", "A 48273-2025")</f>
        <v/>
      </c>
      <c r="T73">
        <f>HYPERLINK("https://klasma.github.io/Logging_0580/kartor/A 48273-2025 karta.png", "A 48273-2025")</f>
        <v/>
      </c>
      <c r="V73">
        <f>HYPERLINK("https://klasma.github.io/Logging_0580/klagomål/A 48273-2025 FSC-klagomål.docx", "A 48273-2025")</f>
        <v/>
      </c>
      <c r="W73">
        <f>HYPERLINK("https://klasma.github.io/Logging_0580/klagomålsmail/A 48273-2025 FSC-klagomål mail.docx", "A 48273-2025")</f>
        <v/>
      </c>
      <c r="X73">
        <f>HYPERLINK("https://klasma.github.io/Logging_0580/tillsyn/A 48273-2025 tillsynsbegäran.docx", "A 48273-2025")</f>
        <v/>
      </c>
      <c r="Y73">
        <f>HYPERLINK("https://klasma.github.io/Logging_0580/tillsynsmail/A 48273-2025 tillsynsbegäran mail.docx", "A 48273-2025")</f>
        <v/>
      </c>
    </row>
    <row r="74" ht="15" customHeight="1">
      <c r="A74" t="inlineStr">
        <is>
          <t>A 48298-2025</t>
        </is>
      </c>
      <c r="B74" s="1" t="n">
        <v>45932</v>
      </c>
      <c r="C74" s="1" t="n">
        <v>45981</v>
      </c>
      <c r="D74" t="inlineStr">
        <is>
          <t>ÖSTERGÖTLANDS LÄN</t>
        </is>
      </c>
      <c r="E74" t="inlineStr">
        <is>
          <t>LINKÖPING</t>
        </is>
      </c>
      <c r="F74" t="inlineStr">
        <is>
          <t>Övriga Aktiebolag</t>
        </is>
      </c>
      <c r="G74" t="n">
        <v>1.7</v>
      </c>
      <c r="H74" t="n">
        <v>0</v>
      </c>
      <c r="I74" t="n">
        <v>1</v>
      </c>
      <c r="J74" t="n">
        <v>0</v>
      </c>
      <c r="K74" t="n">
        <v>0</v>
      </c>
      <c r="L74" t="n">
        <v>0</v>
      </c>
      <c r="M74" t="n">
        <v>0</v>
      </c>
      <c r="N74" t="n">
        <v>0</v>
      </c>
      <c r="O74" t="n">
        <v>0</v>
      </c>
      <c r="P74" t="n">
        <v>0</v>
      </c>
      <c r="Q74" t="n">
        <v>1</v>
      </c>
      <c r="R74" s="2" t="inlineStr">
        <is>
          <t>Västlig hakmossa</t>
        </is>
      </c>
      <c r="S74">
        <f>HYPERLINK("https://klasma.github.io/Logging_0580/artfynd/A 48298-2025 artfynd.xlsx", "A 48298-2025")</f>
        <v/>
      </c>
      <c r="T74">
        <f>HYPERLINK("https://klasma.github.io/Logging_0580/kartor/A 48298-2025 karta.png", "A 48298-2025")</f>
        <v/>
      </c>
      <c r="V74">
        <f>HYPERLINK("https://klasma.github.io/Logging_0580/klagomål/A 48298-2025 FSC-klagomål.docx", "A 48298-2025")</f>
        <v/>
      </c>
      <c r="W74">
        <f>HYPERLINK("https://klasma.github.io/Logging_0580/klagomålsmail/A 48298-2025 FSC-klagomål mail.docx", "A 48298-2025")</f>
        <v/>
      </c>
      <c r="X74">
        <f>HYPERLINK("https://klasma.github.io/Logging_0580/tillsyn/A 48298-2025 tillsynsbegäran.docx", "A 48298-2025")</f>
        <v/>
      </c>
      <c r="Y74">
        <f>HYPERLINK("https://klasma.github.io/Logging_0580/tillsynsmail/A 48298-2025 tillsynsbegäran mail.docx", "A 48298-2025")</f>
        <v/>
      </c>
    </row>
    <row r="75" ht="15" customHeight="1">
      <c r="A75" t="inlineStr">
        <is>
          <t>A 50806-2023</t>
        </is>
      </c>
      <c r="B75" s="1" t="n">
        <v>45217</v>
      </c>
      <c r="C75" s="1" t="n">
        <v>45981</v>
      </c>
      <c r="D75" t="inlineStr">
        <is>
          <t>ÖSTERGÖTLANDS LÄN</t>
        </is>
      </c>
      <c r="E75" t="inlineStr">
        <is>
          <t>LINKÖPING</t>
        </is>
      </c>
      <c r="F75" t="inlineStr">
        <is>
          <t>Övriga Aktiebolag</t>
        </is>
      </c>
      <c r="G75" t="n">
        <v>0.7</v>
      </c>
      <c r="H75" t="n">
        <v>1</v>
      </c>
      <c r="I75" t="n">
        <v>0</v>
      </c>
      <c r="J75" t="n">
        <v>0</v>
      </c>
      <c r="K75" t="n">
        <v>0</v>
      </c>
      <c r="L75" t="n">
        <v>0</v>
      </c>
      <c r="M75" t="n">
        <v>0</v>
      </c>
      <c r="N75" t="n">
        <v>0</v>
      </c>
      <c r="O75" t="n">
        <v>0</v>
      </c>
      <c r="P75" t="n">
        <v>0</v>
      </c>
      <c r="Q75" t="n">
        <v>1</v>
      </c>
      <c r="R75" s="2" t="inlineStr">
        <is>
          <t>Gullviva</t>
        </is>
      </c>
      <c r="S75">
        <f>HYPERLINK("https://klasma.github.io/Logging_0580/artfynd/A 50806-2023 artfynd.xlsx", "A 50806-2023")</f>
        <v/>
      </c>
      <c r="T75">
        <f>HYPERLINK("https://klasma.github.io/Logging_0580/kartor/A 50806-2023 karta.png", "A 50806-2023")</f>
        <v/>
      </c>
      <c r="V75">
        <f>HYPERLINK("https://klasma.github.io/Logging_0580/klagomål/A 50806-2023 FSC-klagomål.docx", "A 50806-2023")</f>
        <v/>
      </c>
      <c r="W75">
        <f>HYPERLINK("https://klasma.github.io/Logging_0580/klagomålsmail/A 50806-2023 FSC-klagomål mail.docx", "A 50806-2023")</f>
        <v/>
      </c>
      <c r="X75">
        <f>HYPERLINK("https://klasma.github.io/Logging_0580/tillsyn/A 50806-2023 tillsynsbegäran.docx", "A 50806-2023")</f>
        <v/>
      </c>
      <c r="Y75">
        <f>HYPERLINK("https://klasma.github.io/Logging_0580/tillsynsmail/A 50806-2023 tillsynsbegäran mail.docx", "A 50806-2023")</f>
        <v/>
      </c>
    </row>
    <row r="76" ht="15" customHeight="1">
      <c r="A76" t="inlineStr">
        <is>
          <t>A 15290-2025</t>
        </is>
      </c>
      <c r="B76" s="1" t="n">
        <v>45745.45288194445</v>
      </c>
      <c r="C76" s="1" t="n">
        <v>45981</v>
      </c>
      <c r="D76" t="inlineStr">
        <is>
          <t>ÖSTERGÖTLANDS LÄN</t>
        </is>
      </c>
      <c r="E76" t="inlineStr">
        <is>
          <t>LINKÖPING</t>
        </is>
      </c>
      <c r="G76" t="n">
        <v>18.4</v>
      </c>
      <c r="H76" t="n">
        <v>1</v>
      </c>
      <c r="I76" t="n">
        <v>0</v>
      </c>
      <c r="J76" t="n">
        <v>1</v>
      </c>
      <c r="K76" t="n">
        <v>0</v>
      </c>
      <c r="L76" t="n">
        <v>0</v>
      </c>
      <c r="M76" t="n">
        <v>0</v>
      </c>
      <c r="N76" t="n">
        <v>0</v>
      </c>
      <c r="O76" t="n">
        <v>1</v>
      </c>
      <c r="P76" t="n">
        <v>0</v>
      </c>
      <c r="Q76" t="n">
        <v>1</v>
      </c>
      <c r="R76" s="2" t="inlineStr">
        <is>
          <t>Havsörn</t>
        </is>
      </c>
      <c r="S76">
        <f>HYPERLINK("https://klasma.github.io/Logging_0580/artfynd/A 15290-2025 artfynd.xlsx", "A 15290-2025")</f>
        <v/>
      </c>
      <c r="T76">
        <f>HYPERLINK("https://klasma.github.io/Logging_0580/kartor/A 15290-2025 karta.png", "A 15290-2025")</f>
        <v/>
      </c>
      <c r="V76">
        <f>HYPERLINK("https://klasma.github.io/Logging_0580/klagomål/A 15290-2025 FSC-klagomål.docx", "A 15290-2025")</f>
        <v/>
      </c>
      <c r="W76">
        <f>HYPERLINK("https://klasma.github.io/Logging_0580/klagomålsmail/A 15290-2025 FSC-klagomål mail.docx", "A 15290-2025")</f>
        <v/>
      </c>
      <c r="X76">
        <f>HYPERLINK("https://klasma.github.io/Logging_0580/tillsyn/A 15290-2025 tillsynsbegäran.docx", "A 15290-2025")</f>
        <v/>
      </c>
      <c r="Y76">
        <f>HYPERLINK("https://klasma.github.io/Logging_0580/tillsynsmail/A 15290-2025 tillsynsbegäran mail.docx", "A 15290-2025")</f>
        <v/>
      </c>
      <c r="Z76">
        <f>HYPERLINK("https://klasma.github.io/Logging_0580/fåglar/A 15290-2025 prioriterade fågelarter.docx", "A 15290-2025")</f>
        <v/>
      </c>
    </row>
    <row r="77" ht="15" customHeight="1">
      <c r="A77" t="inlineStr">
        <is>
          <t>A 39457-2023</t>
        </is>
      </c>
      <c r="B77" s="1" t="n">
        <v>45166</v>
      </c>
      <c r="C77" s="1" t="n">
        <v>45981</v>
      </c>
      <c r="D77" t="inlineStr">
        <is>
          <t>ÖSTERGÖTLANDS LÄN</t>
        </is>
      </c>
      <c r="E77" t="inlineStr">
        <is>
          <t>LINKÖPING</t>
        </is>
      </c>
      <c r="G77" t="n">
        <v>2.1</v>
      </c>
      <c r="H77" t="n">
        <v>1</v>
      </c>
      <c r="I77" t="n">
        <v>0</v>
      </c>
      <c r="J77" t="n">
        <v>0</v>
      </c>
      <c r="K77" t="n">
        <v>0</v>
      </c>
      <c r="L77" t="n">
        <v>0</v>
      </c>
      <c r="M77" t="n">
        <v>0</v>
      </c>
      <c r="N77" t="n">
        <v>0</v>
      </c>
      <c r="O77" t="n">
        <v>0</v>
      </c>
      <c r="P77" t="n">
        <v>0</v>
      </c>
      <c r="Q77" t="n">
        <v>1</v>
      </c>
      <c r="R77" s="2" t="inlineStr">
        <is>
          <t>Sparvuggla</t>
        </is>
      </c>
      <c r="S77">
        <f>HYPERLINK("https://klasma.github.io/Logging_0580/artfynd/A 39457-2023 artfynd.xlsx", "A 39457-2023")</f>
        <v/>
      </c>
      <c r="T77">
        <f>HYPERLINK("https://klasma.github.io/Logging_0580/kartor/A 39457-2023 karta.png", "A 39457-2023")</f>
        <v/>
      </c>
      <c r="V77">
        <f>HYPERLINK("https://klasma.github.io/Logging_0580/klagomål/A 39457-2023 FSC-klagomål.docx", "A 39457-2023")</f>
        <v/>
      </c>
      <c r="W77">
        <f>HYPERLINK("https://klasma.github.io/Logging_0580/klagomålsmail/A 39457-2023 FSC-klagomål mail.docx", "A 39457-2023")</f>
        <v/>
      </c>
      <c r="X77">
        <f>HYPERLINK("https://klasma.github.io/Logging_0580/tillsyn/A 39457-2023 tillsynsbegäran.docx", "A 39457-2023")</f>
        <v/>
      </c>
      <c r="Y77">
        <f>HYPERLINK("https://klasma.github.io/Logging_0580/tillsynsmail/A 39457-2023 tillsynsbegäran mail.docx", "A 39457-2023")</f>
        <v/>
      </c>
      <c r="Z77">
        <f>HYPERLINK("https://klasma.github.io/Logging_0580/fåglar/A 39457-2023 prioriterade fågelarter.docx", "A 39457-2023")</f>
        <v/>
      </c>
    </row>
    <row r="78" ht="15" customHeight="1">
      <c r="A78" t="inlineStr">
        <is>
          <t>A 34881-2023</t>
        </is>
      </c>
      <c r="B78" s="1" t="n">
        <v>45140</v>
      </c>
      <c r="C78" s="1" t="n">
        <v>45981</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Tallticka</t>
        </is>
      </c>
      <c r="S78">
        <f>HYPERLINK("https://klasma.github.io/Logging_0580/artfynd/A 34881-2023 artfynd.xlsx", "A 34881-2023")</f>
        <v/>
      </c>
      <c r="T78">
        <f>HYPERLINK("https://klasma.github.io/Logging_0580/kartor/A 34881-2023 karta.png", "A 34881-2023")</f>
        <v/>
      </c>
      <c r="U78">
        <f>HYPERLINK("https://klasma.github.io/Logging_0580/knärot/A 34881-2023 karta knärot.png", "A 34881-2023")</f>
        <v/>
      </c>
      <c r="V78">
        <f>HYPERLINK("https://klasma.github.io/Logging_0580/klagomål/A 34881-2023 FSC-klagomål.docx", "A 34881-2023")</f>
        <v/>
      </c>
      <c r="W78">
        <f>HYPERLINK("https://klasma.github.io/Logging_0580/klagomålsmail/A 34881-2023 FSC-klagomål mail.docx", "A 34881-2023")</f>
        <v/>
      </c>
      <c r="X78">
        <f>HYPERLINK("https://klasma.github.io/Logging_0580/tillsyn/A 34881-2023 tillsynsbegäran.docx", "A 34881-2023")</f>
        <v/>
      </c>
      <c r="Y78">
        <f>HYPERLINK("https://klasma.github.io/Logging_0580/tillsynsmail/A 34881-2023 tillsynsbegäran mail.docx", "A 34881-2023")</f>
        <v/>
      </c>
    </row>
    <row r="79" ht="15" customHeight="1">
      <c r="A79" t="inlineStr">
        <is>
          <t>A 50471-2024</t>
        </is>
      </c>
      <c r="B79" s="1" t="n">
        <v>45601.47166666666</v>
      </c>
      <c r="C79" s="1" t="n">
        <v>45981</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17389-2021</t>
        </is>
      </c>
      <c r="B80" s="1" t="n">
        <v>44298.96792824074</v>
      </c>
      <c r="C80" s="1" t="n">
        <v>45981</v>
      </c>
      <c r="D80" t="inlineStr">
        <is>
          <t>ÖSTERGÖTLANDS LÄN</t>
        </is>
      </c>
      <c r="E80" t="inlineStr">
        <is>
          <t>LINKÖPING</t>
        </is>
      </c>
      <c r="G80" t="n">
        <v>5.1</v>
      </c>
      <c r="H80" t="n">
        <v>0</v>
      </c>
      <c r="I80" t="n">
        <v>1</v>
      </c>
      <c r="J80" t="n">
        <v>0</v>
      </c>
      <c r="K80" t="n">
        <v>0</v>
      </c>
      <c r="L80" t="n">
        <v>0</v>
      </c>
      <c r="M80" t="n">
        <v>0</v>
      </c>
      <c r="N80" t="n">
        <v>0</v>
      </c>
      <c r="O80" t="n">
        <v>0</v>
      </c>
      <c r="P80" t="n">
        <v>0</v>
      </c>
      <c r="Q80" t="n">
        <v>1</v>
      </c>
      <c r="R80" s="2" t="inlineStr">
        <is>
          <t>Blomkålssvamp</t>
        </is>
      </c>
      <c r="S80">
        <f>HYPERLINK("https://klasma.github.io/Logging_0580/artfynd/A 17389-2021 artfynd.xlsx", "A 17389-2021")</f>
        <v/>
      </c>
      <c r="T80">
        <f>HYPERLINK("https://klasma.github.io/Logging_0580/kartor/A 17389-2021 karta.png", "A 17389-2021")</f>
        <v/>
      </c>
      <c r="V80">
        <f>HYPERLINK("https://klasma.github.io/Logging_0580/klagomål/A 17389-2021 FSC-klagomål.docx", "A 17389-2021")</f>
        <v/>
      </c>
      <c r="W80">
        <f>HYPERLINK("https://klasma.github.io/Logging_0580/klagomålsmail/A 17389-2021 FSC-klagomål mail.docx", "A 17389-2021")</f>
        <v/>
      </c>
      <c r="X80">
        <f>HYPERLINK("https://klasma.github.io/Logging_0580/tillsyn/A 17389-2021 tillsynsbegäran.docx", "A 17389-2021")</f>
        <v/>
      </c>
      <c r="Y80">
        <f>HYPERLINK("https://klasma.github.io/Logging_0580/tillsynsmail/A 17389-2021 tillsynsbegäran mail.docx", "A 17389-2021")</f>
        <v/>
      </c>
    </row>
    <row r="81" ht="15" customHeight="1">
      <c r="A81" t="inlineStr">
        <is>
          <t>A 35948-2023</t>
        </is>
      </c>
      <c r="B81" s="1" t="n">
        <v>45148</v>
      </c>
      <c r="C81" s="1" t="n">
        <v>45981</v>
      </c>
      <c r="D81" t="inlineStr">
        <is>
          <t>ÖSTERGÖTLANDS LÄN</t>
        </is>
      </c>
      <c r="E81" t="inlineStr">
        <is>
          <t>LINKÖPING</t>
        </is>
      </c>
      <c r="G81" t="n">
        <v>1.9</v>
      </c>
      <c r="H81" t="n">
        <v>0</v>
      </c>
      <c r="I81" t="n">
        <v>1</v>
      </c>
      <c r="J81" t="n">
        <v>0</v>
      </c>
      <c r="K81" t="n">
        <v>0</v>
      </c>
      <c r="L81" t="n">
        <v>0</v>
      </c>
      <c r="M81" t="n">
        <v>0</v>
      </c>
      <c r="N81" t="n">
        <v>0</v>
      </c>
      <c r="O81" t="n">
        <v>0</v>
      </c>
      <c r="P81" t="n">
        <v>0</v>
      </c>
      <c r="Q81" t="n">
        <v>1</v>
      </c>
      <c r="R81" s="2" t="inlineStr">
        <is>
          <t>Brun nållav</t>
        </is>
      </c>
      <c r="S81">
        <f>HYPERLINK("https://klasma.github.io/Logging_0580/artfynd/A 35948-2023 artfynd.xlsx", "A 35948-2023")</f>
        <v/>
      </c>
      <c r="T81">
        <f>HYPERLINK("https://klasma.github.io/Logging_0580/kartor/A 35948-2023 karta.png", "A 35948-2023")</f>
        <v/>
      </c>
      <c r="V81">
        <f>HYPERLINK("https://klasma.github.io/Logging_0580/klagomål/A 35948-2023 FSC-klagomål.docx", "A 35948-2023")</f>
        <v/>
      </c>
      <c r="W81">
        <f>HYPERLINK("https://klasma.github.io/Logging_0580/klagomålsmail/A 35948-2023 FSC-klagomål mail.docx", "A 35948-2023")</f>
        <v/>
      </c>
      <c r="X81">
        <f>HYPERLINK("https://klasma.github.io/Logging_0580/tillsyn/A 35948-2023 tillsynsbegäran.docx", "A 35948-2023")</f>
        <v/>
      </c>
      <c r="Y81">
        <f>HYPERLINK("https://klasma.github.io/Logging_0580/tillsynsmail/A 35948-2023 tillsynsbegäran mail.docx", "A 35948-2023")</f>
        <v/>
      </c>
    </row>
    <row r="82" ht="15" customHeight="1">
      <c r="A82" t="inlineStr">
        <is>
          <t>A 62071-2023</t>
        </is>
      </c>
      <c r="B82" s="1" t="n">
        <v>45266.73542824074</v>
      </c>
      <c r="C82" s="1" t="n">
        <v>45981</v>
      </c>
      <c r="D82" t="inlineStr">
        <is>
          <t>ÖSTERGÖTLANDS LÄN</t>
        </is>
      </c>
      <c r="E82" t="inlineStr">
        <is>
          <t>LINKÖPING</t>
        </is>
      </c>
      <c r="G82" t="n">
        <v>6.5</v>
      </c>
      <c r="H82" t="n">
        <v>0</v>
      </c>
      <c r="I82" t="n">
        <v>0</v>
      </c>
      <c r="J82" t="n">
        <v>1</v>
      </c>
      <c r="K82" t="n">
        <v>0</v>
      </c>
      <c r="L82" t="n">
        <v>0</v>
      </c>
      <c r="M82" t="n">
        <v>0</v>
      </c>
      <c r="N82" t="n">
        <v>0</v>
      </c>
      <c r="O82" t="n">
        <v>1</v>
      </c>
      <c r="P82" t="n">
        <v>0</v>
      </c>
      <c r="Q82" t="n">
        <v>1</v>
      </c>
      <c r="R82" s="2" t="inlineStr">
        <is>
          <t>Svinrot</t>
        </is>
      </c>
      <c r="S82">
        <f>HYPERLINK("https://klasma.github.io/Logging_0580/artfynd/A 62071-2023 artfynd.xlsx", "A 62071-2023")</f>
        <v/>
      </c>
      <c r="T82">
        <f>HYPERLINK("https://klasma.github.io/Logging_0580/kartor/A 62071-2023 karta.png", "A 62071-2023")</f>
        <v/>
      </c>
      <c r="V82">
        <f>HYPERLINK("https://klasma.github.io/Logging_0580/klagomål/A 62071-2023 FSC-klagomål.docx", "A 62071-2023")</f>
        <v/>
      </c>
      <c r="W82">
        <f>HYPERLINK("https://klasma.github.io/Logging_0580/klagomålsmail/A 62071-2023 FSC-klagomål mail.docx", "A 62071-2023")</f>
        <v/>
      </c>
      <c r="X82">
        <f>HYPERLINK("https://klasma.github.io/Logging_0580/tillsyn/A 62071-2023 tillsynsbegäran.docx", "A 62071-2023")</f>
        <v/>
      </c>
      <c r="Y82">
        <f>HYPERLINK("https://klasma.github.io/Logging_0580/tillsynsmail/A 62071-2023 tillsynsbegäran mail.docx", "A 62071-2023")</f>
        <v/>
      </c>
    </row>
    <row r="83" ht="15" customHeight="1">
      <c r="A83" t="inlineStr">
        <is>
          <t>A 3397-2023</t>
        </is>
      </c>
      <c r="B83" s="1" t="n">
        <v>44949</v>
      </c>
      <c r="C83" s="1" t="n">
        <v>45981</v>
      </c>
      <c r="D83" t="inlineStr">
        <is>
          <t>ÖSTERGÖTLANDS LÄN</t>
        </is>
      </c>
      <c r="E83" t="inlineStr">
        <is>
          <t>LINKÖPING</t>
        </is>
      </c>
      <c r="G83" t="n">
        <v>4.1</v>
      </c>
      <c r="H83" t="n">
        <v>0</v>
      </c>
      <c r="I83" t="n">
        <v>0</v>
      </c>
      <c r="J83" t="n">
        <v>1</v>
      </c>
      <c r="K83" t="n">
        <v>0</v>
      </c>
      <c r="L83" t="n">
        <v>0</v>
      </c>
      <c r="M83" t="n">
        <v>0</v>
      </c>
      <c r="N83" t="n">
        <v>0</v>
      </c>
      <c r="O83" t="n">
        <v>1</v>
      </c>
      <c r="P83" t="n">
        <v>0</v>
      </c>
      <c r="Q83" t="n">
        <v>1</v>
      </c>
      <c r="R83" s="2" t="inlineStr">
        <is>
          <t>Svinrot</t>
        </is>
      </c>
      <c r="S83">
        <f>HYPERLINK("https://klasma.github.io/Logging_0580/artfynd/A 3397-2023 artfynd.xlsx", "A 3397-2023")</f>
        <v/>
      </c>
      <c r="T83">
        <f>HYPERLINK("https://klasma.github.io/Logging_0580/kartor/A 3397-2023 karta.png", "A 3397-2023")</f>
        <v/>
      </c>
      <c r="V83">
        <f>HYPERLINK("https://klasma.github.io/Logging_0580/klagomål/A 3397-2023 FSC-klagomål.docx", "A 3397-2023")</f>
        <v/>
      </c>
      <c r="W83">
        <f>HYPERLINK("https://klasma.github.io/Logging_0580/klagomålsmail/A 3397-2023 FSC-klagomål mail.docx", "A 3397-2023")</f>
        <v/>
      </c>
      <c r="X83">
        <f>HYPERLINK("https://klasma.github.io/Logging_0580/tillsyn/A 3397-2023 tillsynsbegäran.docx", "A 3397-2023")</f>
        <v/>
      </c>
      <c r="Y83">
        <f>HYPERLINK("https://klasma.github.io/Logging_0580/tillsynsmail/A 3397-2023 tillsynsbegäran mail.docx", "A 3397-2023")</f>
        <v/>
      </c>
    </row>
    <row r="84" ht="15" customHeight="1">
      <c r="A84" t="inlineStr">
        <is>
          <t>A 56128-2022</t>
        </is>
      </c>
      <c r="B84" s="1" t="n">
        <v>44889</v>
      </c>
      <c r="C84" s="1" t="n">
        <v>45981</v>
      </c>
      <c r="D84" t="inlineStr">
        <is>
          <t>ÖSTERGÖTLANDS LÄN</t>
        </is>
      </c>
      <c r="E84" t="inlineStr">
        <is>
          <t>LINKÖPING</t>
        </is>
      </c>
      <c r="G84" t="n">
        <v>2</v>
      </c>
      <c r="H84" t="n">
        <v>0</v>
      </c>
      <c r="I84" t="n">
        <v>1</v>
      </c>
      <c r="J84" t="n">
        <v>0</v>
      </c>
      <c r="K84" t="n">
        <v>0</v>
      </c>
      <c r="L84" t="n">
        <v>0</v>
      </c>
      <c r="M84" t="n">
        <v>0</v>
      </c>
      <c r="N84" t="n">
        <v>0</v>
      </c>
      <c r="O84" t="n">
        <v>0</v>
      </c>
      <c r="P84" t="n">
        <v>0</v>
      </c>
      <c r="Q84" t="n">
        <v>1</v>
      </c>
      <c r="R84" s="2" t="inlineStr">
        <is>
          <t>Tibast</t>
        </is>
      </c>
      <c r="S84">
        <f>HYPERLINK("https://klasma.github.io/Logging_0580/artfynd/A 56128-2022 artfynd.xlsx", "A 56128-2022")</f>
        <v/>
      </c>
      <c r="T84">
        <f>HYPERLINK("https://klasma.github.io/Logging_0580/kartor/A 56128-2022 karta.png", "A 56128-2022")</f>
        <v/>
      </c>
      <c r="V84">
        <f>HYPERLINK("https://klasma.github.io/Logging_0580/klagomål/A 56128-2022 FSC-klagomål.docx", "A 56128-2022")</f>
        <v/>
      </c>
      <c r="W84">
        <f>HYPERLINK("https://klasma.github.io/Logging_0580/klagomålsmail/A 56128-2022 FSC-klagomål mail.docx", "A 56128-2022")</f>
        <v/>
      </c>
      <c r="X84">
        <f>HYPERLINK("https://klasma.github.io/Logging_0580/tillsyn/A 56128-2022 tillsynsbegäran.docx", "A 56128-2022")</f>
        <v/>
      </c>
      <c r="Y84">
        <f>HYPERLINK("https://klasma.github.io/Logging_0580/tillsynsmail/A 56128-2022 tillsynsbegäran mail.docx", "A 56128-2022")</f>
        <v/>
      </c>
    </row>
    <row r="85" ht="15" customHeight="1">
      <c r="A85" t="inlineStr">
        <is>
          <t>A 40309-2024</t>
        </is>
      </c>
      <c r="B85" s="1" t="n">
        <v>45554.724375</v>
      </c>
      <c r="C85" s="1" t="n">
        <v>45981</v>
      </c>
      <c r="D85" t="inlineStr">
        <is>
          <t>ÖSTERGÖTLANDS LÄN</t>
        </is>
      </c>
      <c r="E85" t="inlineStr">
        <is>
          <t>LINKÖPING</t>
        </is>
      </c>
      <c r="F85" t="inlineStr">
        <is>
          <t>Allmännings- och besparingsskogar</t>
        </is>
      </c>
      <c r="G85" t="n">
        <v>6</v>
      </c>
      <c r="H85" t="n">
        <v>0</v>
      </c>
      <c r="I85" t="n">
        <v>0</v>
      </c>
      <c r="J85" t="n">
        <v>1</v>
      </c>
      <c r="K85" t="n">
        <v>0</v>
      </c>
      <c r="L85" t="n">
        <v>0</v>
      </c>
      <c r="M85" t="n">
        <v>0</v>
      </c>
      <c r="N85" t="n">
        <v>0</v>
      </c>
      <c r="O85" t="n">
        <v>1</v>
      </c>
      <c r="P85" t="n">
        <v>0</v>
      </c>
      <c r="Q85" t="n">
        <v>1</v>
      </c>
      <c r="R85" s="2" t="inlineStr">
        <is>
          <t>Garnlav</t>
        </is>
      </c>
      <c r="S85">
        <f>HYPERLINK("https://klasma.github.io/Logging_0580/artfynd/A 40309-2024 artfynd.xlsx", "A 40309-2024")</f>
        <v/>
      </c>
      <c r="T85">
        <f>HYPERLINK("https://klasma.github.io/Logging_0580/kartor/A 40309-2024 karta.png", "A 40309-2024")</f>
        <v/>
      </c>
      <c r="V85">
        <f>HYPERLINK("https://klasma.github.io/Logging_0580/klagomål/A 40309-2024 FSC-klagomål.docx", "A 40309-2024")</f>
        <v/>
      </c>
      <c r="W85">
        <f>HYPERLINK("https://klasma.github.io/Logging_0580/klagomålsmail/A 40309-2024 FSC-klagomål mail.docx", "A 40309-2024")</f>
        <v/>
      </c>
      <c r="X85">
        <f>HYPERLINK("https://klasma.github.io/Logging_0580/tillsyn/A 40309-2024 tillsynsbegäran.docx", "A 40309-2024")</f>
        <v/>
      </c>
      <c r="Y85">
        <f>HYPERLINK("https://klasma.github.io/Logging_0580/tillsynsmail/A 40309-2024 tillsynsbegäran mail.docx", "A 40309-2024")</f>
        <v/>
      </c>
    </row>
    <row r="86" ht="15" customHeight="1">
      <c r="A86" t="inlineStr">
        <is>
          <t>A 54835-2023</t>
        </is>
      </c>
      <c r="B86" s="1" t="n">
        <v>45236</v>
      </c>
      <c r="C86" s="1" t="n">
        <v>45981</v>
      </c>
      <c r="D86" t="inlineStr">
        <is>
          <t>ÖSTERGÖTLANDS LÄN</t>
        </is>
      </c>
      <c r="E86" t="inlineStr">
        <is>
          <t>LINKÖPING</t>
        </is>
      </c>
      <c r="G86" t="n">
        <v>2</v>
      </c>
      <c r="H86" t="n">
        <v>1</v>
      </c>
      <c r="I86" t="n">
        <v>0</v>
      </c>
      <c r="J86" t="n">
        <v>0</v>
      </c>
      <c r="K86" t="n">
        <v>0</v>
      </c>
      <c r="L86" t="n">
        <v>0</v>
      </c>
      <c r="M86" t="n">
        <v>0</v>
      </c>
      <c r="N86" t="n">
        <v>0</v>
      </c>
      <c r="O86" t="n">
        <v>0</v>
      </c>
      <c r="P86" t="n">
        <v>0</v>
      </c>
      <c r="Q86" t="n">
        <v>1</v>
      </c>
      <c r="R86" s="2" t="inlineStr">
        <is>
          <t>Sparvuggla</t>
        </is>
      </c>
      <c r="S86">
        <f>HYPERLINK("https://klasma.github.io/Logging_0580/artfynd/A 54835-2023 artfynd.xlsx", "A 54835-2023")</f>
        <v/>
      </c>
      <c r="T86">
        <f>HYPERLINK("https://klasma.github.io/Logging_0580/kartor/A 54835-2023 karta.png", "A 54835-2023")</f>
        <v/>
      </c>
      <c r="V86">
        <f>HYPERLINK("https://klasma.github.io/Logging_0580/klagomål/A 54835-2023 FSC-klagomål.docx", "A 54835-2023")</f>
        <v/>
      </c>
      <c r="W86">
        <f>HYPERLINK("https://klasma.github.io/Logging_0580/klagomålsmail/A 54835-2023 FSC-klagomål mail.docx", "A 54835-2023")</f>
        <v/>
      </c>
      <c r="X86">
        <f>HYPERLINK("https://klasma.github.io/Logging_0580/tillsyn/A 54835-2023 tillsynsbegäran.docx", "A 54835-2023")</f>
        <v/>
      </c>
      <c r="Y86">
        <f>HYPERLINK("https://klasma.github.io/Logging_0580/tillsynsmail/A 54835-2023 tillsynsbegäran mail.docx", "A 54835-2023")</f>
        <v/>
      </c>
      <c r="Z86">
        <f>HYPERLINK("https://klasma.github.io/Logging_0580/fåglar/A 54835-2023 prioriterade fågelarter.docx", "A 54835-2023")</f>
        <v/>
      </c>
    </row>
    <row r="87" ht="15" customHeight="1">
      <c r="A87" t="inlineStr">
        <is>
          <t>A 36723-2023</t>
        </is>
      </c>
      <c r="B87" s="1" t="n">
        <v>45153</v>
      </c>
      <c r="C87" s="1" t="n">
        <v>45981</v>
      </c>
      <c r="D87" t="inlineStr">
        <is>
          <t>ÖSTERGÖTLANDS LÄN</t>
        </is>
      </c>
      <c r="E87" t="inlineStr">
        <is>
          <t>LINKÖPING</t>
        </is>
      </c>
      <c r="F87" t="inlineStr">
        <is>
          <t>Allmännings- och besparingsskogar</t>
        </is>
      </c>
      <c r="G87" t="n">
        <v>9.9</v>
      </c>
      <c r="H87" t="n">
        <v>0</v>
      </c>
      <c r="I87" t="n">
        <v>0</v>
      </c>
      <c r="J87" t="n">
        <v>0</v>
      </c>
      <c r="K87" t="n">
        <v>1</v>
      </c>
      <c r="L87" t="n">
        <v>0</v>
      </c>
      <c r="M87" t="n">
        <v>0</v>
      </c>
      <c r="N87" t="n">
        <v>0</v>
      </c>
      <c r="O87" t="n">
        <v>1</v>
      </c>
      <c r="P87" t="n">
        <v>1</v>
      </c>
      <c r="Q87" t="n">
        <v>1</v>
      </c>
      <c r="R87" s="2" t="inlineStr">
        <is>
          <t>Bitter taggsvamp</t>
        </is>
      </c>
      <c r="S87">
        <f>HYPERLINK("https://klasma.github.io/Logging_0580/artfynd/A 36723-2023 artfynd.xlsx", "A 36723-2023")</f>
        <v/>
      </c>
      <c r="T87">
        <f>HYPERLINK("https://klasma.github.io/Logging_0580/kartor/A 36723-2023 karta.png", "A 36723-2023")</f>
        <v/>
      </c>
      <c r="V87">
        <f>HYPERLINK("https://klasma.github.io/Logging_0580/klagomål/A 36723-2023 FSC-klagomål.docx", "A 36723-2023")</f>
        <v/>
      </c>
      <c r="W87">
        <f>HYPERLINK("https://klasma.github.io/Logging_0580/klagomålsmail/A 36723-2023 FSC-klagomål mail.docx", "A 36723-2023")</f>
        <v/>
      </c>
      <c r="X87">
        <f>HYPERLINK("https://klasma.github.io/Logging_0580/tillsyn/A 36723-2023 tillsynsbegäran.docx", "A 36723-2023")</f>
        <v/>
      </c>
      <c r="Y87">
        <f>HYPERLINK("https://klasma.github.io/Logging_0580/tillsynsmail/A 36723-2023 tillsynsbegäran mail.docx", "A 36723-2023")</f>
        <v/>
      </c>
    </row>
    <row r="88" ht="15" customHeight="1">
      <c r="A88" t="inlineStr">
        <is>
          <t>A 20295-2025</t>
        </is>
      </c>
      <c r="B88" s="1" t="n">
        <v>45774.74846064814</v>
      </c>
      <c r="C88" s="1" t="n">
        <v>45981</v>
      </c>
      <c r="D88" t="inlineStr">
        <is>
          <t>ÖSTERGÖTLANDS LÄN</t>
        </is>
      </c>
      <c r="E88" t="inlineStr">
        <is>
          <t>LINKÖPING</t>
        </is>
      </c>
      <c r="G88" t="n">
        <v>3</v>
      </c>
      <c r="H88" t="n">
        <v>0</v>
      </c>
      <c r="I88" t="n">
        <v>0</v>
      </c>
      <c r="J88" t="n">
        <v>1</v>
      </c>
      <c r="K88" t="n">
        <v>0</v>
      </c>
      <c r="L88" t="n">
        <v>0</v>
      </c>
      <c r="M88" t="n">
        <v>0</v>
      </c>
      <c r="N88" t="n">
        <v>0</v>
      </c>
      <c r="O88" t="n">
        <v>1</v>
      </c>
      <c r="P88" t="n">
        <v>0</v>
      </c>
      <c r="Q88" t="n">
        <v>1</v>
      </c>
      <c r="R88" s="2" t="inlineStr">
        <is>
          <t>Tallticka</t>
        </is>
      </c>
      <c r="S88">
        <f>HYPERLINK("https://klasma.github.io/Logging_0580/artfynd/A 20295-2025 artfynd.xlsx", "A 20295-2025")</f>
        <v/>
      </c>
      <c r="T88">
        <f>HYPERLINK("https://klasma.github.io/Logging_0580/kartor/A 20295-2025 karta.png", "A 20295-2025")</f>
        <v/>
      </c>
      <c r="V88">
        <f>HYPERLINK("https://klasma.github.io/Logging_0580/klagomål/A 20295-2025 FSC-klagomål.docx", "A 20295-2025")</f>
        <v/>
      </c>
      <c r="W88">
        <f>HYPERLINK("https://klasma.github.io/Logging_0580/klagomålsmail/A 20295-2025 FSC-klagomål mail.docx", "A 20295-2025")</f>
        <v/>
      </c>
      <c r="X88">
        <f>HYPERLINK("https://klasma.github.io/Logging_0580/tillsyn/A 20295-2025 tillsynsbegäran.docx", "A 20295-2025")</f>
        <v/>
      </c>
      <c r="Y88">
        <f>HYPERLINK("https://klasma.github.io/Logging_0580/tillsynsmail/A 20295-2025 tillsynsbegäran mail.docx", "A 20295-2025")</f>
        <v/>
      </c>
    </row>
    <row r="89" ht="15" customHeight="1">
      <c r="A89" t="inlineStr">
        <is>
          <t>A 38881-2021</t>
        </is>
      </c>
      <c r="B89" s="1" t="n">
        <v>44411.46893518518</v>
      </c>
      <c r="C89" s="1" t="n">
        <v>45981</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45981</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5008-2021</t>
        </is>
      </c>
      <c r="B91" s="1" t="n">
        <v>44228</v>
      </c>
      <c r="C91" s="1" t="n">
        <v>45981</v>
      </c>
      <c r="D91" t="inlineStr">
        <is>
          <t>ÖSTERGÖTLANDS LÄN</t>
        </is>
      </c>
      <c r="E91" t="inlineStr">
        <is>
          <t>LINKÖPING</t>
        </is>
      </c>
      <c r="F91" t="inlineStr">
        <is>
          <t>Övriga Aktiebolag</t>
        </is>
      </c>
      <c r="G91" t="n">
        <v>0.3</v>
      </c>
      <c r="H91" t="n">
        <v>0</v>
      </c>
      <c r="I91" t="n">
        <v>0</v>
      </c>
      <c r="J91" t="n">
        <v>0</v>
      </c>
      <c r="K91" t="n">
        <v>0</v>
      </c>
      <c r="L91" t="n">
        <v>0</v>
      </c>
      <c r="M91" t="n">
        <v>0</v>
      </c>
      <c r="N91" t="n">
        <v>0</v>
      </c>
      <c r="O91" t="n">
        <v>0</v>
      </c>
      <c r="P91" t="n">
        <v>0</v>
      </c>
      <c r="Q91" t="n">
        <v>0</v>
      </c>
      <c r="R91" s="2" t="inlineStr"/>
    </row>
    <row r="92" ht="15" customHeight="1">
      <c r="A92" t="inlineStr">
        <is>
          <t>A 56239-2021</t>
        </is>
      </c>
      <c r="B92" s="1" t="n">
        <v>44478</v>
      </c>
      <c r="C92" s="1" t="n">
        <v>45981</v>
      </c>
      <c r="D92" t="inlineStr">
        <is>
          <t>ÖSTERGÖTLANDS LÄN</t>
        </is>
      </c>
      <c r="E92" t="inlineStr">
        <is>
          <t>LINKÖPING</t>
        </is>
      </c>
      <c r="F92" t="inlineStr">
        <is>
          <t>Övriga Aktiebolag</t>
        </is>
      </c>
      <c r="G92" t="n">
        <v>3</v>
      </c>
      <c r="H92" t="n">
        <v>0</v>
      </c>
      <c r="I92" t="n">
        <v>0</v>
      </c>
      <c r="J92" t="n">
        <v>0</v>
      </c>
      <c r="K92" t="n">
        <v>0</v>
      </c>
      <c r="L92" t="n">
        <v>0</v>
      </c>
      <c r="M92" t="n">
        <v>0</v>
      </c>
      <c r="N92" t="n">
        <v>0</v>
      </c>
      <c r="O92" t="n">
        <v>0</v>
      </c>
      <c r="P92" t="n">
        <v>0</v>
      </c>
      <c r="Q92" t="n">
        <v>0</v>
      </c>
      <c r="R92" s="2" t="inlineStr"/>
    </row>
    <row r="93" ht="15" customHeight="1">
      <c r="A93" t="inlineStr">
        <is>
          <t>A 7289-2021</t>
        </is>
      </c>
      <c r="B93" s="1" t="n">
        <v>44238</v>
      </c>
      <c r="C93" s="1" t="n">
        <v>45981</v>
      </c>
      <c r="D93" t="inlineStr">
        <is>
          <t>ÖSTERGÖTLANDS LÄN</t>
        </is>
      </c>
      <c r="E93" t="inlineStr">
        <is>
          <t>LINKÖPING</t>
        </is>
      </c>
      <c r="G93" t="n">
        <v>0.7</v>
      </c>
      <c r="H93" t="n">
        <v>0</v>
      </c>
      <c r="I93" t="n">
        <v>0</v>
      </c>
      <c r="J93" t="n">
        <v>0</v>
      </c>
      <c r="K93" t="n">
        <v>0</v>
      </c>
      <c r="L93" t="n">
        <v>0</v>
      </c>
      <c r="M93" t="n">
        <v>0</v>
      </c>
      <c r="N93" t="n">
        <v>0</v>
      </c>
      <c r="O93" t="n">
        <v>0</v>
      </c>
      <c r="P93" t="n">
        <v>0</v>
      </c>
      <c r="Q93" t="n">
        <v>0</v>
      </c>
      <c r="R93" s="2" t="inlineStr"/>
    </row>
    <row r="94" ht="15" customHeight="1">
      <c r="A94" t="inlineStr">
        <is>
          <t>A 6958-2021</t>
        </is>
      </c>
      <c r="B94" s="1" t="n">
        <v>44237</v>
      </c>
      <c r="C94" s="1" t="n">
        <v>45981</v>
      </c>
      <c r="D94" t="inlineStr">
        <is>
          <t>ÖSTERGÖTLANDS LÄN</t>
        </is>
      </c>
      <c r="E94" t="inlineStr">
        <is>
          <t>LINKÖPING</t>
        </is>
      </c>
      <c r="G94" t="n">
        <v>0.6</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45981</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45981</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45981</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40506-2021</t>
        </is>
      </c>
      <c r="B98" s="1" t="n">
        <v>44420</v>
      </c>
      <c r="C98" s="1" t="n">
        <v>45981</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64269-2021</t>
        </is>
      </c>
      <c r="B99" s="1" t="n">
        <v>44510</v>
      </c>
      <c r="C99" s="1" t="n">
        <v>45981</v>
      </c>
      <c r="D99" t="inlineStr">
        <is>
          <t>ÖSTERGÖTLANDS LÄN</t>
        </is>
      </c>
      <c r="E99" t="inlineStr">
        <is>
          <t>LINKÖPING</t>
        </is>
      </c>
      <c r="G99" t="n">
        <v>1.9</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45981</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45981</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45981</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45981</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45981</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45981</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45981</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159-2022</t>
        </is>
      </c>
      <c r="B107" s="1" t="n">
        <v>44564</v>
      </c>
      <c r="C107" s="1" t="n">
        <v>45981</v>
      </c>
      <c r="D107" t="inlineStr">
        <is>
          <t>ÖSTERGÖTLANDS LÄN</t>
        </is>
      </c>
      <c r="E107" t="inlineStr">
        <is>
          <t>LINKÖPING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45981</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45981</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47462-2022</t>
        </is>
      </c>
      <c r="B110" s="1" t="n">
        <v>44853.62758101852</v>
      </c>
      <c r="C110" s="1" t="n">
        <v>45981</v>
      </c>
      <c r="D110" t="inlineStr">
        <is>
          <t>ÖSTERGÖTLANDS LÄN</t>
        </is>
      </c>
      <c r="E110" t="inlineStr">
        <is>
          <t>LINKÖPING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45981</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38143-2021</t>
        </is>
      </c>
      <c r="B112" s="1" t="n">
        <v>44405</v>
      </c>
      <c r="C112" s="1" t="n">
        <v>45981</v>
      </c>
      <c r="D112" t="inlineStr">
        <is>
          <t>ÖSTERGÖTLANDS LÄN</t>
        </is>
      </c>
      <c r="E112" t="inlineStr">
        <is>
          <t>LINKÖPING</t>
        </is>
      </c>
      <c r="G112" t="n">
        <v>4.1</v>
      </c>
      <c r="H112" t="n">
        <v>0</v>
      </c>
      <c r="I112" t="n">
        <v>0</v>
      </c>
      <c r="J112" t="n">
        <v>0</v>
      </c>
      <c r="K112" t="n">
        <v>0</v>
      </c>
      <c r="L112" t="n">
        <v>0</v>
      </c>
      <c r="M112" t="n">
        <v>0</v>
      </c>
      <c r="N112" t="n">
        <v>0</v>
      </c>
      <c r="O112" t="n">
        <v>0</v>
      </c>
      <c r="P112" t="n">
        <v>0</v>
      </c>
      <c r="Q112" t="n">
        <v>0</v>
      </c>
      <c r="R112" s="2" t="inlineStr"/>
    </row>
    <row r="113" ht="15" customHeight="1">
      <c r="A113" t="inlineStr">
        <is>
          <t>A 38254-2021</t>
        </is>
      </c>
      <c r="B113" s="1" t="n">
        <v>44405</v>
      </c>
      <c r="C113" s="1" t="n">
        <v>45981</v>
      </c>
      <c r="D113" t="inlineStr">
        <is>
          <t>ÖSTERGÖTLANDS LÄN</t>
        </is>
      </c>
      <c r="E113" t="inlineStr">
        <is>
          <t>LINKÖPING</t>
        </is>
      </c>
      <c r="G113" t="n">
        <v>1.9</v>
      </c>
      <c r="H113" t="n">
        <v>0</v>
      </c>
      <c r="I113" t="n">
        <v>0</v>
      </c>
      <c r="J113" t="n">
        <v>0</v>
      </c>
      <c r="K113" t="n">
        <v>0</v>
      </c>
      <c r="L113" t="n">
        <v>0</v>
      </c>
      <c r="M113" t="n">
        <v>0</v>
      </c>
      <c r="N113" t="n">
        <v>0</v>
      </c>
      <c r="O113" t="n">
        <v>0</v>
      </c>
      <c r="P113" t="n">
        <v>0</v>
      </c>
      <c r="Q113" t="n">
        <v>0</v>
      </c>
      <c r="R113" s="2" t="inlineStr"/>
    </row>
    <row r="114" ht="15" customHeight="1">
      <c r="A114" t="inlineStr">
        <is>
          <t>A 31703-2022</t>
        </is>
      </c>
      <c r="B114" s="1" t="n">
        <v>44776</v>
      </c>
      <c r="C114" s="1" t="n">
        <v>45981</v>
      </c>
      <c r="D114" t="inlineStr">
        <is>
          <t>ÖSTERGÖTLANDS LÄN</t>
        </is>
      </c>
      <c r="E114" t="inlineStr">
        <is>
          <t>LINKÖPING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45981</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45981</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45981</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45981</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45981</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45981</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45981</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45981</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45981</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45981</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45981</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45981</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45981</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45981</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45981</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45981</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45981</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45981</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45981</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45981</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45981</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45981</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45981</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45981</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45981</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45981</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45981</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45981</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45981</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45981</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45981</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45981</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45981</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45981</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45981</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45981</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45981</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45981</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28447-2021</t>
        </is>
      </c>
      <c r="B153" s="1" t="n">
        <v>44356</v>
      </c>
      <c r="C153" s="1" t="n">
        <v>45981</v>
      </c>
      <c r="D153" t="inlineStr">
        <is>
          <t>ÖSTERGÖTLANDS LÄN</t>
        </is>
      </c>
      <c r="E153" t="inlineStr">
        <is>
          <t>LINKÖPING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45981</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31705-2022</t>
        </is>
      </c>
      <c r="B155" s="1" t="n">
        <v>44776.43607638889</v>
      </c>
      <c r="C155" s="1" t="n">
        <v>45981</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19318-2022</t>
        </is>
      </c>
      <c r="B156" s="1" t="n">
        <v>44692.5827662037</v>
      </c>
      <c r="C156" s="1" t="n">
        <v>45981</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9935-2021</t>
        </is>
      </c>
      <c r="B157" s="1" t="n">
        <v>44253</v>
      </c>
      <c r="C157" s="1" t="n">
        <v>45981</v>
      </c>
      <c r="D157" t="inlineStr">
        <is>
          <t>ÖSTERGÖTLANDS LÄN</t>
        </is>
      </c>
      <c r="E157" t="inlineStr">
        <is>
          <t>LINKÖPING</t>
        </is>
      </c>
      <c r="G157" t="n">
        <v>4.5</v>
      </c>
      <c r="H157" t="n">
        <v>0</v>
      </c>
      <c r="I157" t="n">
        <v>0</v>
      </c>
      <c r="J157" t="n">
        <v>0</v>
      </c>
      <c r="K157" t="n">
        <v>0</v>
      </c>
      <c r="L157" t="n">
        <v>0</v>
      </c>
      <c r="M157" t="n">
        <v>0</v>
      </c>
      <c r="N157" t="n">
        <v>0</v>
      </c>
      <c r="O157" t="n">
        <v>0</v>
      </c>
      <c r="P157" t="n">
        <v>0</v>
      </c>
      <c r="Q157" t="n">
        <v>0</v>
      </c>
      <c r="R157" s="2" t="inlineStr"/>
    </row>
    <row r="158" ht="15" customHeight="1">
      <c r="A158" t="inlineStr">
        <is>
          <t>A 36341-2022</t>
        </is>
      </c>
      <c r="B158" s="1" t="n">
        <v>44803</v>
      </c>
      <c r="C158" s="1" t="n">
        <v>45981</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54467-2022</t>
        </is>
      </c>
      <c r="B159" s="1" t="n">
        <v>44882</v>
      </c>
      <c r="C159" s="1" t="n">
        <v>45981</v>
      </c>
      <c r="D159" t="inlineStr">
        <is>
          <t>ÖSTERGÖTLANDS LÄN</t>
        </is>
      </c>
      <c r="E159" t="inlineStr">
        <is>
          <t>LINKÖPING</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4240-2022</t>
        </is>
      </c>
      <c r="B160" s="1" t="n">
        <v>44588</v>
      </c>
      <c r="C160" s="1" t="n">
        <v>45981</v>
      </c>
      <c r="D160" t="inlineStr">
        <is>
          <t>ÖSTERGÖTLANDS LÄN</t>
        </is>
      </c>
      <c r="E160" t="inlineStr">
        <is>
          <t>LINKÖPING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45981</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34486-2021</t>
        </is>
      </c>
      <c r="B162" s="1" t="n">
        <v>44382.29295138889</v>
      </c>
      <c r="C162" s="1" t="n">
        <v>45981</v>
      </c>
      <c r="D162" t="inlineStr">
        <is>
          <t>ÖSTERGÖTLANDS LÄN</t>
        </is>
      </c>
      <c r="E162" t="inlineStr">
        <is>
          <t>LINKÖPING</t>
        </is>
      </c>
      <c r="G162" t="n">
        <v>4.4</v>
      </c>
      <c r="H162" t="n">
        <v>0</v>
      </c>
      <c r="I162" t="n">
        <v>0</v>
      </c>
      <c r="J162" t="n">
        <v>0</v>
      </c>
      <c r="K162" t="n">
        <v>0</v>
      </c>
      <c r="L162" t="n">
        <v>0</v>
      </c>
      <c r="M162" t="n">
        <v>0</v>
      </c>
      <c r="N162" t="n">
        <v>0</v>
      </c>
      <c r="O162" t="n">
        <v>0</v>
      </c>
      <c r="P162" t="n">
        <v>0</v>
      </c>
      <c r="Q162" t="n">
        <v>0</v>
      </c>
      <c r="R162" s="2" t="inlineStr"/>
    </row>
    <row r="163" ht="15" customHeight="1">
      <c r="A163" t="inlineStr">
        <is>
          <t>A 23416-2022</t>
        </is>
      </c>
      <c r="B163" s="1" t="n">
        <v>44720.78243055556</v>
      </c>
      <c r="C163" s="1" t="n">
        <v>45981</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45981</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45981</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5605-2022</t>
        </is>
      </c>
      <c r="B166" s="1" t="n">
        <v>44595</v>
      </c>
      <c r="C166" s="1" t="n">
        <v>45981</v>
      </c>
      <c r="D166" t="inlineStr">
        <is>
          <t>ÖSTERGÖTLANDS LÄN</t>
        </is>
      </c>
      <c r="E166" t="inlineStr">
        <is>
          <t>LINKÖPING</t>
        </is>
      </c>
      <c r="F166" t="inlineStr">
        <is>
          <t>Övriga statliga verk och myndigheter</t>
        </is>
      </c>
      <c r="G166" t="n">
        <v>3</v>
      </c>
      <c r="H166" t="n">
        <v>0</v>
      </c>
      <c r="I166" t="n">
        <v>0</v>
      </c>
      <c r="J166" t="n">
        <v>0</v>
      </c>
      <c r="K166" t="n">
        <v>0</v>
      </c>
      <c r="L166" t="n">
        <v>0</v>
      </c>
      <c r="M166" t="n">
        <v>0</v>
      </c>
      <c r="N166" t="n">
        <v>0</v>
      </c>
      <c r="O166" t="n">
        <v>0</v>
      </c>
      <c r="P166" t="n">
        <v>0</v>
      </c>
      <c r="Q166" t="n">
        <v>0</v>
      </c>
      <c r="R166" s="2" t="inlineStr"/>
    </row>
    <row r="167" ht="15" customHeight="1">
      <c r="A167" t="inlineStr">
        <is>
          <t>A 38235-2022</t>
        </is>
      </c>
      <c r="B167" s="1" t="n">
        <v>44812</v>
      </c>
      <c r="C167" s="1" t="n">
        <v>45981</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56688-2021</t>
        </is>
      </c>
      <c r="B168" s="1" t="n">
        <v>44481</v>
      </c>
      <c r="C168" s="1" t="n">
        <v>45981</v>
      </c>
      <c r="D168" t="inlineStr">
        <is>
          <t>ÖSTERGÖTLANDS LÄN</t>
        </is>
      </c>
      <c r="E168" t="inlineStr">
        <is>
          <t>LINKÖPING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13922-2021</t>
        </is>
      </c>
      <c r="B169" s="1" t="n">
        <v>44277.45946759259</v>
      </c>
      <c r="C169" s="1" t="n">
        <v>45981</v>
      </c>
      <c r="D169" t="inlineStr">
        <is>
          <t>ÖSTERGÖTLANDS LÄN</t>
        </is>
      </c>
      <c r="E169" t="inlineStr">
        <is>
          <t>LINKÖPING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1787-2022</t>
        </is>
      </c>
      <c r="B170" s="1" t="n">
        <v>44574</v>
      </c>
      <c r="C170" s="1" t="n">
        <v>45981</v>
      </c>
      <c r="D170" t="inlineStr">
        <is>
          <t>ÖSTERGÖTLANDS LÄN</t>
        </is>
      </c>
      <c r="E170" t="inlineStr">
        <is>
          <t>LINKÖPING</t>
        </is>
      </c>
      <c r="G170" t="n">
        <v>1.9</v>
      </c>
      <c r="H170" t="n">
        <v>0</v>
      </c>
      <c r="I170" t="n">
        <v>0</v>
      </c>
      <c r="J170" t="n">
        <v>0</v>
      </c>
      <c r="K170" t="n">
        <v>0</v>
      </c>
      <c r="L170" t="n">
        <v>0</v>
      </c>
      <c r="M170" t="n">
        <v>0</v>
      </c>
      <c r="N170" t="n">
        <v>0</v>
      </c>
      <c r="O170" t="n">
        <v>0</v>
      </c>
      <c r="P170" t="n">
        <v>0</v>
      </c>
      <c r="Q170" t="n">
        <v>0</v>
      </c>
      <c r="R170" s="2" t="inlineStr"/>
    </row>
    <row r="171" ht="15" customHeight="1">
      <c r="A171" t="inlineStr">
        <is>
          <t>A 34880-2022</t>
        </is>
      </c>
      <c r="B171" s="1" t="n">
        <v>44796</v>
      </c>
      <c r="C171" s="1" t="n">
        <v>45981</v>
      </c>
      <c r="D171" t="inlineStr">
        <is>
          <t>ÖSTERGÖTLANDS LÄN</t>
        </is>
      </c>
      <c r="E171" t="inlineStr">
        <is>
          <t>LINKÖPING</t>
        </is>
      </c>
      <c r="F171" t="inlineStr">
        <is>
          <t>Övriga statliga verk och myndigheter</t>
        </is>
      </c>
      <c r="G171" t="n">
        <v>4</v>
      </c>
      <c r="H171" t="n">
        <v>0</v>
      </c>
      <c r="I171" t="n">
        <v>0</v>
      </c>
      <c r="J171" t="n">
        <v>0</v>
      </c>
      <c r="K171" t="n">
        <v>0</v>
      </c>
      <c r="L171" t="n">
        <v>0</v>
      </c>
      <c r="M171" t="n">
        <v>0</v>
      </c>
      <c r="N171" t="n">
        <v>0</v>
      </c>
      <c r="O171" t="n">
        <v>0</v>
      </c>
      <c r="P171" t="n">
        <v>0</v>
      </c>
      <c r="Q171" t="n">
        <v>0</v>
      </c>
      <c r="R171" s="2" t="inlineStr"/>
    </row>
    <row r="172" ht="15" customHeight="1">
      <c r="A172" t="inlineStr">
        <is>
          <t>A 48042-2022</t>
        </is>
      </c>
      <c r="B172" s="1" t="n">
        <v>44855</v>
      </c>
      <c r="C172" s="1" t="n">
        <v>45981</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27769-2022</t>
        </is>
      </c>
      <c r="B173" s="1" t="n">
        <v>44743.53200231482</v>
      </c>
      <c r="C173" s="1" t="n">
        <v>45981</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948-2022</t>
        </is>
      </c>
      <c r="B174" s="1" t="n">
        <v>44571</v>
      </c>
      <c r="C174" s="1" t="n">
        <v>45981</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37014-2021</t>
        </is>
      </c>
      <c r="B175" s="1" t="n">
        <v>44393</v>
      </c>
      <c r="C175" s="1" t="n">
        <v>45981</v>
      </c>
      <c r="D175" t="inlineStr">
        <is>
          <t>ÖSTERGÖTLANDS LÄN</t>
        </is>
      </c>
      <c r="E175" t="inlineStr">
        <is>
          <t>LINKÖPING</t>
        </is>
      </c>
      <c r="F175" t="inlineStr">
        <is>
          <t>Allmännings- och besparingsskogar</t>
        </is>
      </c>
      <c r="G175" t="n">
        <v>7.7</v>
      </c>
      <c r="H175" t="n">
        <v>0</v>
      </c>
      <c r="I175" t="n">
        <v>0</v>
      </c>
      <c r="J175" t="n">
        <v>0</v>
      </c>
      <c r="K175" t="n">
        <v>0</v>
      </c>
      <c r="L175" t="n">
        <v>0</v>
      </c>
      <c r="M175" t="n">
        <v>0</v>
      </c>
      <c r="N175" t="n">
        <v>0</v>
      </c>
      <c r="O175" t="n">
        <v>0</v>
      </c>
      <c r="P175" t="n">
        <v>0</v>
      </c>
      <c r="Q175" t="n">
        <v>0</v>
      </c>
      <c r="R175" s="2" t="inlineStr"/>
    </row>
    <row r="176" ht="15" customHeight="1">
      <c r="A176" t="inlineStr">
        <is>
          <t>A 4929-2021</t>
        </is>
      </c>
      <c r="B176" s="1" t="n">
        <v>44227.57533564815</v>
      </c>
      <c r="C176" s="1" t="n">
        <v>45981</v>
      </c>
      <c r="D176" t="inlineStr">
        <is>
          <t>ÖSTERGÖTLANDS LÄN</t>
        </is>
      </c>
      <c r="E176" t="inlineStr">
        <is>
          <t>LINKÖPING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38134-2021</t>
        </is>
      </c>
      <c r="B177" s="1" t="n">
        <v>44405.3794212963</v>
      </c>
      <c r="C177" s="1" t="n">
        <v>45981</v>
      </c>
      <c r="D177" t="inlineStr">
        <is>
          <t>ÖSTERGÖTLANDS LÄN</t>
        </is>
      </c>
      <c r="E177" t="inlineStr">
        <is>
          <t>LINKÖPING</t>
        </is>
      </c>
      <c r="G177" t="n">
        <v>5.1</v>
      </c>
      <c r="H177" t="n">
        <v>0</v>
      </c>
      <c r="I177" t="n">
        <v>0</v>
      </c>
      <c r="J177" t="n">
        <v>0</v>
      </c>
      <c r="K177" t="n">
        <v>0</v>
      </c>
      <c r="L177" t="n">
        <v>0</v>
      </c>
      <c r="M177" t="n">
        <v>0</v>
      </c>
      <c r="N177" t="n">
        <v>0</v>
      </c>
      <c r="O177" t="n">
        <v>0</v>
      </c>
      <c r="P177" t="n">
        <v>0</v>
      </c>
      <c r="Q177" t="n">
        <v>0</v>
      </c>
      <c r="R177" s="2" t="inlineStr"/>
    </row>
    <row r="178" ht="15" customHeight="1">
      <c r="A178" t="inlineStr">
        <is>
          <t>A 3008-2023</t>
        </is>
      </c>
      <c r="B178" s="1" t="n">
        <v>44945.79784722222</v>
      </c>
      <c r="C178" s="1" t="n">
        <v>45981</v>
      </c>
      <c r="D178" t="inlineStr">
        <is>
          <t>ÖSTERGÖTLANDS LÄN</t>
        </is>
      </c>
      <c r="E178" t="inlineStr">
        <is>
          <t>LINKÖPING</t>
        </is>
      </c>
      <c r="G178" t="n">
        <v>19.3</v>
      </c>
      <c r="H178" t="n">
        <v>0</v>
      </c>
      <c r="I178" t="n">
        <v>0</v>
      </c>
      <c r="J178" t="n">
        <v>0</v>
      </c>
      <c r="K178" t="n">
        <v>0</v>
      </c>
      <c r="L178" t="n">
        <v>0</v>
      </c>
      <c r="M178" t="n">
        <v>0</v>
      </c>
      <c r="N178" t="n">
        <v>0</v>
      </c>
      <c r="O178" t="n">
        <v>0</v>
      </c>
      <c r="P178" t="n">
        <v>0</v>
      </c>
      <c r="Q178" t="n">
        <v>0</v>
      </c>
      <c r="R178" s="2" t="inlineStr"/>
    </row>
    <row r="179" ht="15" customHeight="1">
      <c r="A179" t="inlineStr">
        <is>
          <t>A 12035-2025</t>
        </is>
      </c>
      <c r="B179" s="1" t="n">
        <v>45728.64946759259</v>
      </c>
      <c r="C179" s="1" t="n">
        <v>45981</v>
      </c>
      <c r="D179" t="inlineStr">
        <is>
          <t>ÖSTERGÖTLANDS LÄN</t>
        </is>
      </c>
      <c r="E179" t="inlineStr">
        <is>
          <t>LINKÖPING</t>
        </is>
      </c>
      <c r="G179" t="n">
        <v>3.7</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45981</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44849-2022</t>
        </is>
      </c>
      <c r="B181" s="1" t="n">
        <v>44841</v>
      </c>
      <c r="C181" s="1" t="n">
        <v>45981</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70835-2021</t>
        </is>
      </c>
      <c r="B182" s="1" t="n">
        <v>44537</v>
      </c>
      <c r="C182" s="1" t="n">
        <v>45981</v>
      </c>
      <c r="D182" t="inlineStr">
        <is>
          <t>ÖSTERGÖTLANDS LÄN</t>
        </is>
      </c>
      <c r="E182" t="inlineStr">
        <is>
          <t>LINKÖPING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34558-2022</t>
        </is>
      </c>
      <c r="B183" s="1" t="n">
        <v>44794.57594907407</v>
      </c>
      <c r="C183" s="1" t="n">
        <v>45981</v>
      </c>
      <c r="D183" t="inlineStr">
        <is>
          <t>ÖSTERGÖTLANDS LÄN</t>
        </is>
      </c>
      <c r="E183" t="inlineStr">
        <is>
          <t>LINKÖPING</t>
        </is>
      </c>
      <c r="G183" t="n">
        <v>2.2</v>
      </c>
      <c r="H183" t="n">
        <v>0</v>
      </c>
      <c r="I183" t="n">
        <v>0</v>
      </c>
      <c r="J183" t="n">
        <v>0</v>
      </c>
      <c r="K183" t="n">
        <v>0</v>
      </c>
      <c r="L183" t="n">
        <v>0</v>
      </c>
      <c r="M183" t="n">
        <v>0</v>
      </c>
      <c r="N183" t="n">
        <v>0</v>
      </c>
      <c r="O183" t="n">
        <v>0</v>
      </c>
      <c r="P183" t="n">
        <v>0</v>
      </c>
      <c r="Q183" t="n">
        <v>0</v>
      </c>
      <c r="R183" s="2" t="inlineStr"/>
    </row>
    <row r="184" ht="15" customHeight="1">
      <c r="A184" t="inlineStr">
        <is>
          <t>A 63489-2023</t>
        </is>
      </c>
      <c r="B184" s="1" t="n">
        <v>45274.66761574074</v>
      </c>
      <c r="C184" s="1" t="n">
        <v>45981</v>
      </c>
      <c r="D184" t="inlineStr">
        <is>
          <t>ÖSTERGÖTLANDS LÄN</t>
        </is>
      </c>
      <c r="E184" t="inlineStr">
        <is>
          <t>LINKÖPING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19254-2021</t>
        </is>
      </c>
      <c r="B185" s="1" t="n">
        <v>44309.38962962963</v>
      </c>
      <c r="C185" s="1" t="n">
        <v>45981</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37934-2022</t>
        </is>
      </c>
      <c r="B186" s="1" t="n">
        <v>44809</v>
      </c>
      <c r="C186" s="1" t="n">
        <v>45981</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28266-2024</t>
        </is>
      </c>
      <c r="B187" s="1" t="n">
        <v>45477.43600694444</v>
      </c>
      <c r="C187" s="1" t="n">
        <v>45981</v>
      </c>
      <c r="D187" t="inlineStr">
        <is>
          <t>ÖSTERGÖTLANDS LÄN</t>
        </is>
      </c>
      <c r="E187" t="inlineStr">
        <is>
          <t>LINKÖPING</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31732-2022</t>
        </is>
      </c>
      <c r="B188" s="1" t="n">
        <v>44776.49267361111</v>
      </c>
      <c r="C188" s="1" t="n">
        <v>45981</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45981</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54854-2022</t>
        </is>
      </c>
      <c r="B190" s="1" t="n">
        <v>44884</v>
      </c>
      <c r="C190" s="1" t="n">
        <v>45981</v>
      </c>
      <c r="D190" t="inlineStr">
        <is>
          <t>ÖSTERGÖTLANDS LÄN</t>
        </is>
      </c>
      <c r="E190" t="inlineStr">
        <is>
          <t>LINKÖPING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54855-2022</t>
        </is>
      </c>
      <c r="B191" s="1" t="n">
        <v>44884.59502314815</v>
      </c>
      <c r="C191" s="1" t="n">
        <v>45981</v>
      </c>
      <c r="D191" t="inlineStr">
        <is>
          <t>ÖSTERGÖTLANDS LÄN</t>
        </is>
      </c>
      <c r="E191" t="inlineStr">
        <is>
          <t>LINKÖPING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61153-2021</t>
        </is>
      </c>
      <c r="B192" s="1" t="n">
        <v>44497</v>
      </c>
      <c r="C192" s="1" t="n">
        <v>45981</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33885-2021</t>
        </is>
      </c>
      <c r="B193" s="1" t="n">
        <v>44378</v>
      </c>
      <c r="C193" s="1" t="n">
        <v>45981</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45981</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25418-2023</t>
        </is>
      </c>
      <c r="B195" s="1" t="n">
        <v>45089</v>
      </c>
      <c r="C195" s="1" t="n">
        <v>45981</v>
      </c>
      <c r="D195" t="inlineStr">
        <is>
          <t>ÖSTERGÖTLANDS LÄN</t>
        </is>
      </c>
      <c r="E195" t="inlineStr">
        <is>
          <t>LINKÖPING</t>
        </is>
      </c>
      <c r="F195" t="inlineStr">
        <is>
          <t>Övriga Aktiebolag</t>
        </is>
      </c>
      <c r="G195" t="n">
        <v>2.4</v>
      </c>
      <c r="H195" t="n">
        <v>0</v>
      </c>
      <c r="I195" t="n">
        <v>0</v>
      </c>
      <c r="J195" t="n">
        <v>0</v>
      </c>
      <c r="K195" t="n">
        <v>0</v>
      </c>
      <c r="L195" t="n">
        <v>0</v>
      </c>
      <c r="M195" t="n">
        <v>0</v>
      </c>
      <c r="N195" t="n">
        <v>0</v>
      </c>
      <c r="O195" t="n">
        <v>0</v>
      </c>
      <c r="P195" t="n">
        <v>0</v>
      </c>
      <c r="Q195" t="n">
        <v>0</v>
      </c>
      <c r="R195" s="2" t="inlineStr"/>
    </row>
    <row r="196" ht="15" customHeight="1">
      <c r="A196" t="inlineStr">
        <is>
          <t>A 12413-2022</t>
        </is>
      </c>
      <c r="B196" s="1" t="n">
        <v>44638</v>
      </c>
      <c r="C196" s="1" t="n">
        <v>45981</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22772-2024</t>
        </is>
      </c>
      <c r="B197" s="1" t="n">
        <v>45448.46712962963</v>
      </c>
      <c r="C197" s="1" t="n">
        <v>45981</v>
      </c>
      <c r="D197" t="inlineStr">
        <is>
          <t>ÖSTERGÖTLANDS LÄN</t>
        </is>
      </c>
      <c r="E197" t="inlineStr">
        <is>
          <t>LINKÖPING</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11079-2022</t>
        </is>
      </c>
      <c r="B198" s="1" t="n">
        <v>44628</v>
      </c>
      <c r="C198" s="1" t="n">
        <v>45981</v>
      </c>
      <c r="D198" t="inlineStr">
        <is>
          <t>ÖSTERGÖTLANDS LÄN</t>
        </is>
      </c>
      <c r="E198" t="inlineStr">
        <is>
          <t>LINKÖPING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20901-2021</t>
        </is>
      </c>
      <c r="B199" s="1" t="n">
        <v>44319</v>
      </c>
      <c r="C199" s="1" t="n">
        <v>45981</v>
      </c>
      <c r="D199" t="inlineStr">
        <is>
          <t>ÖSTERGÖTLANDS LÄN</t>
        </is>
      </c>
      <c r="E199" t="inlineStr">
        <is>
          <t>LINKÖPING</t>
        </is>
      </c>
      <c r="G199" t="n">
        <v>1.4</v>
      </c>
      <c r="H199" t="n">
        <v>0</v>
      </c>
      <c r="I199" t="n">
        <v>0</v>
      </c>
      <c r="J199" t="n">
        <v>0</v>
      </c>
      <c r="K199" t="n">
        <v>0</v>
      </c>
      <c r="L199" t="n">
        <v>0</v>
      </c>
      <c r="M199" t="n">
        <v>0</v>
      </c>
      <c r="N199" t="n">
        <v>0</v>
      </c>
      <c r="O199" t="n">
        <v>0</v>
      </c>
      <c r="P199" t="n">
        <v>0</v>
      </c>
      <c r="Q199" t="n">
        <v>0</v>
      </c>
      <c r="R199" s="2" t="inlineStr"/>
    </row>
    <row r="200" ht="15" customHeight="1">
      <c r="A200" t="inlineStr">
        <is>
          <t>A 20455-2024</t>
        </is>
      </c>
      <c r="B200" s="1" t="n">
        <v>45435.65314814815</v>
      </c>
      <c r="C200" s="1" t="n">
        <v>45981</v>
      </c>
      <c r="D200" t="inlineStr">
        <is>
          <t>ÖSTERGÖTLANDS LÄN</t>
        </is>
      </c>
      <c r="E200" t="inlineStr">
        <is>
          <t>LINKÖPING</t>
        </is>
      </c>
      <c r="G200" t="n">
        <v>2.6</v>
      </c>
      <c r="H200" t="n">
        <v>0</v>
      </c>
      <c r="I200" t="n">
        <v>0</v>
      </c>
      <c r="J200" t="n">
        <v>0</v>
      </c>
      <c r="K200" t="n">
        <v>0</v>
      </c>
      <c r="L200" t="n">
        <v>0</v>
      </c>
      <c r="M200" t="n">
        <v>0</v>
      </c>
      <c r="N200" t="n">
        <v>0</v>
      </c>
      <c r="O200" t="n">
        <v>0</v>
      </c>
      <c r="P200" t="n">
        <v>0</v>
      </c>
      <c r="Q200" t="n">
        <v>0</v>
      </c>
      <c r="R200" s="2" t="inlineStr"/>
    </row>
    <row r="201" ht="15" customHeight="1">
      <c r="A201" t="inlineStr">
        <is>
          <t>A 46490-2022</t>
        </is>
      </c>
      <c r="B201" s="1" t="n">
        <v>44848</v>
      </c>
      <c r="C201" s="1" t="n">
        <v>45981</v>
      </c>
      <c r="D201" t="inlineStr">
        <is>
          <t>ÖSTERGÖTLANDS LÄN</t>
        </is>
      </c>
      <c r="E201" t="inlineStr">
        <is>
          <t>LINKÖPING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224-2024</t>
        </is>
      </c>
      <c r="B202" s="1" t="n">
        <v>45294</v>
      </c>
      <c r="C202" s="1" t="n">
        <v>45981</v>
      </c>
      <c r="D202" t="inlineStr">
        <is>
          <t>ÖSTERGÖTLANDS LÄN</t>
        </is>
      </c>
      <c r="E202" t="inlineStr">
        <is>
          <t>LINKÖPING</t>
        </is>
      </c>
      <c r="G202" t="n">
        <v>2.8</v>
      </c>
      <c r="H202" t="n">
        <v>0</v>
      </c>
      <c r="I202" t="n">
        <v>0</v>
      </c>
      <c r="J202" t="n">
        <v>0</v>
      </c>
      <c r="K202" t="n">
        <v>0</v>
      </c>
      <c r="L202" t="n">
        <v>0</v>
      </c>
      <c r="M202" t="n">
        <v>0</v>
      </c>
      <c r="N202" t="n">
        <v>0</v>
      </c>
      <c r="O202" t="n">
        <v>0</v>
      </c>
      <c r="P202" t="n">
        <v>0</v>
      </c>
      <c r="Q202" t="n">
        <v>0</v>
      </c>
      <c r="R202" s="2" t="inlineStr"/>
    </row>
    <row r="203" ht="15" customHeight="1">
      <c r="A203" t="inlineStr">
        <is>
          <t>A 65398-2021</t>
        </is>
      </c>
      <c r="B203" s="1" t="n">
        <v>44515</v>
      </c>
      <c r="C203" s="1" t="n">
        <v>45981</v>
      </c>
      <c r="D203" t="inlineStr">
        <is>
          <t>ÖSTERGÖTLANDS LÄN</t>
        </is>
      </c>
      <c r="E203" t="inlineStr">
        <is>
          <t>LINKÖPING</t>
        </is>
      </c>
      <c r="F203" t="inlineStr">
        <is>
          <t>Övriga statliga verk och myndigheter</t>
        </is>
      </c>
      <c r="G203" t="n">
        <v>2.4</v>
      </c>
      <c r="H203" t="n">
        <v>0</v>
      </c>
      <c r="I203" t="n">
        <v>0</v>
      </c>
      <c r="J203" t="n">
        <v>0</v>
      </c>
      <c r="K203" t="n">
        <v>0</v>
      </c>
      <c r="L203" t="n">
        <v>0</v>
      </c>
      <c r="M203" t="n">
        <v>0</v>
      </c>
      <c r="N203" t="n">
        <v>0</v>
      </c>
      <c r="O203" t="n">
        <v>0</v>
      </c>
      <c r="P203" t="n">
        <v>0</v>
      </c>
      <c r="Q203" t="n">
        <v>0</v>
      </c>
      <c r="R203" s="2" t="inlineStr"/>
    </row>
    <row r="204" ht="15" customHeight="1">
      <c r="A204" t="inlineStr">
        <is>
          <t>A 41426-2022</t>
        </is>
      </c>
      <c r="B204" s="1" t="n">
        <v>44826</v>
      </c>
      <c r="C204" s="1" t="n">
        <v>45981</v>
      </c>
      <c r="D204" t="inlineStr">
        <is>
          <t>ÖSTERGÖTLANDS LÄN</t>
        </is>
      </c>
      <c r="E204" t="inlineStr">
        <is>
          <t>LINKÖPING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54845-2023</t>
        </is>
      </c>
      <c r="B205" s="1" t="n">
        <v>45236</v>
      </c>
      <c r="C205" s="1" t="n">
        <v>45981</v>
      </c>
      <c r="D205" t="inlineStr">
        <is>
          <t>ÖSTERGÖTLANDS LÄN</t>
        </is>
      </c>
      <c r="E205" t="inlineStr">
        <is>
          <t>LINKÖPING</t>
        </is>
      </c>
      <c r="F205" t="inlineStr">
        <is>
          <t>Övriga Aktiebolag</t>
        </is>
      </c>
      <c r="G205" t="n">
        <v>5.7</v>
      </c>
      <c r="H205" t="n">
        <v>0</v>
      </c>
      <c r="I205" t="n">
        <v>0</v>
      </c>
      <c r="J205" t="n">
        <v>0</v>
      </c>
      <c r="K205" t="n">
        <v>0</v>
      </c>
      <c r="L205" t="n">
        <v>0</v>
      </c>
      <c r="M205" t="n">
        <v>0</v>
      </c>
      <c r="N205" t="n">
        <v>0</v>
      </c>
      <c r="O205" t="n">
        <v>0</v>
      </c>
      <c r="P205" t="n">
        <v>0</v>
      </c>
      <c r="Q205" t="n">
        <v>0</v>
      </c>
      <c r="R205" s="2" t="inlineStr"/>
    </row>
    <row r="206" ht="15" customHeight="1">
      <c r="A206" t="inlineStr">
        <is>
          <t>A 62488-2023</t>
        </is>
      </c>
      <c r="B206" s="1" t="n">
        <v>45268.5847337963</v>
      </c>
      <c r="C206" s="1" t="n">
        <v>45981</v>
      </c>
      <c r="D206" t="inlineStr">
        <is>
          <t>ÖSTERGÖTLANDS LÄN</t>
        </is>
      </c>
      <c r="E206" t="inlineStr">
        <is>
          <t>LINKÖPING</t>
        </is>
      </c>
      <c r="G206" t="n">
        <v>4.1</v>
      </c>
      <c r="H206" t="n">
        <v>0</v>
      </c>
      <c r="I206" t="n">
        <v>0</v>
      </c>
      <c r="J206" t="n">
        <v>0</v>
      </c>
      <c r="K206" t="n">
        <v>0</v>
      </c>
      <c r="L206" t="n">
        <v>0</v>
      </c>
      <c r="M206" t="n">
        <v>0</v>
      </c>
      <c r="N206" t="n">
        <v>0</v>
      </c>
      <c r="O206" t="n">
        <v>0</v>
      </c>
      <c r="P206" t="n">
        <v>0</v>
      </c>
      <c r="Q206" t="n">
        <v>0</v>
      </c>
      <c r="R206" s="2" t="inlineStr"/>
    </row>
    <row r="207" ht="15" customHeight="1">
      <c r="A207" t="inlineStr">
        <is>
          <t>A 24351-2024</t>
        </is>
      </c>
      <c r="B207" s="1" t="n">
        <v>45457.59011574074</v>
      </c>
      <c r="C207" s="1" t="n">
        <v>45981</v>
      </c>
      <c r="D207" t="inlineStr">
        <is>
          <t>ÖSTERGÖTLANDS LÄN</t>
        </is>
      </c>
      <c r="E207" t="inlineStr">
        <is>
          <t>LINKÖPING</t>
        </is>
      </c>
      <c r="G207" t="n">
        <v>11.9</v>
      </c>
      <c r="H207" t="n">
        <v>0</v>
      </c>
      <c r="I207" t="n">
        <v>0</v>
      </c>
      <c r="J207" t="n">
        <v>0</v>
      </c>
      <c r="K207" t="n">
        <v>0</v>
      </c>
      <c r="L207" t="n">
        <v>0</v>
      </c>
      <c r="M207" t="n">
        <v>0</v>
      </c>
      <c r="N207" t="n">
        <v>0</v>
      </c>
      <c r="O207" t="n">
        <v>0</v>
      </c>
      <c r="P207" t="n">
        <v>0</v>
      </c>
      <c r="Q207" t="n">
        <v>0</v>
      </c>
      <c r="R207" s="2" t="inlineStr"/>
    </row>
    <row r="208" ht="15" customHeight="1">
      <c r="A208" t="inlineStr">
        <is>
          <t>A 34162-2022</t>
        </is>
      </c>
      <c r="B208" s="1" t="n">
        <v>44791</v>
      </c>
      <c r="C208" s="1" t="n">
        <v>45981</v>
      </c>
      <c r="D208" t="inlineStr">
        <is>
          <t>ÖSTERGÖTLANDS LÄN</t>
        </is>
      </c>
      <c r="E208" t="inlineStr">
        <is>
          <t>LINKÖPING</t>
        </is>
      </c>
      <c r="G208" t="n">
        <v>3</v>
      </c>
      <c r="H208" t="n">
        <v>0</v>
      </c>
      <c r="I208" t="n">
        <v>0</v>
      </c>
      <c r="J208" t="n">
        <v>0</v>
      </c>
      <c r="K208" t="n">
        <v>0</v>
      </c>
      <c r="L208" t="n">
        <v>0</v>
      </c>
      <c r="M208" t="n">
        <v>0</v>
      </c>
      <c r="N208" t="n">
        <v>0</v>
      </c>
      <c r="O208" t="n">
        <v>0</v>
      </c>
      <c r="P208" t="n">
        <v>0</v>
      </c>
      <c r="Q208" t="n">
        <v>0</v>
      </c>
      <c r="R208" s="2" t="inlineStr"/>
    </row>
    <row r="209" ht="15" customHeight="1">
      <c r="A209" t="inlineStr">
        <is>
          <t>A 67912-2021</t>
        </is>
      </c>
      <c r="B209" s="1" t="n">
        <v>44525</v>
      </c>
      <c r="C209" s="1" t="n">
        <v>45981</v>
      </c>
      <c r="D209" t="inlineStr">
        <is>
          <t>ÖSTERGÖTLANDS LÄN</t>
        </is>
      </c>
      <c r="E209" t="inlineStr">
        <is>
          <t>LINKÖPING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67940-2021</t>
        </is>
      </c>
      <c r="B210" s="1" t="n">
        <v>44525.62849537037</v>
      </c>
      <c r="C210" s="1" t="n">
        <v>45981</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61298-2021</t>
        </is>
      </c>
      <c r="B211" s="1" t="n">
        <v>44498.62533564815</v>
      </c>
      <c r="C211" s="1" t="n">
        <v>45981</v>
      </c>
      <c r="D211" t="inlineStr">
        <is>
          <t>ÖSTERGÖTLANDS LÄN</t>
        </is>
      </c>
      <c r="E211" t="inlineStr">
        <is>
          <t>LINKÖPING</t>
        </is>
      </c>
      <c r="G211" t="n">
        <v>4.3</v>
      </c>
      <c r="H211" t="n">
        <v>0</v>
      </c>
      <c r="I211" t="n">
        <v>0</v>
      </c>
      <c r="J211" t="n">
        <v>0</v>
      </c>
      <c r="K211" t="n">
        <v>0</v>
      </c>
      <c r="L211" t="n">
        <v>0</v>
      </c>
      <c r="M211" t="n">
        <v>0</v>
      </c>
      <c r="N211" t="n">
        <v>0</v>
      </c>
      <c r="O211" t="n">
        <v>0</v>
      </c>
      <c r="P211" t="n">
        <v>0</v>
      </c>
      <c r="Q211" t="n">
        <v>0</v>
      </c>
      <c r="R211" s="2" t="inlineStr"/>
    </row>
    <row r="212" ht="15" customHeight="1">
      <c r="A212" t="inlineStr">
        <is>
          <t>A 61333-2021</t>
        </is>
      </c>
      <c r="B212" s="1" t="n">
        <v>44498.6764699074</v>
      </c>
      <c r="C212" s="1" t="n">
        <v>45981</v>
      </c>
      <c r="D212" t="inlineStr">
        <is>
          <t>ÖSTERGÖTLANDS LÄN</t>
        </is>
      </c>
      <c r="E212" t="inlineStr">
        <is>
          <t>LINKÖPING</t>
        </is>
      </c>
      <c r="G212" t="n">
        <v>7.5</v>
      </c>
      <c r="H212" t="n">
        <v>0</v>
      </c>
      <c r="I212" t="n">
        <v>0</v>
      </c>
      <c r="J212" t="n">
        <v>0</v>
      </c>
      <c r="K212" t="n">
        <v>0</v>
      </c>
      <c r="L212" t="n">
        <v>0</v>
      </c>
      <c r="M212" t="n">
        <v>0</v>
      </c>
      <c r="N212" t="n">
        <v>0</v>
      </c>
      <c r="O212" t="n">
        <v>0</v>
      </c>
      <c r="P212" t="n">
        <v>0</v>
      </c>
      <c r="Q212" t="n">
        <v>0</v>
      </c>
      <c r="R212" s="2" t="inlineStr"/>
    </row>
    <row r="213" ht="15" customHeight="1">
      <c r="A213" t="inlineStr">
        <is>
          <t>A 12412-2022</t>
        </is>
      </c>
      <c r="B213" s="1" t="n">
        <v>44638</v>
      </c>
      <c r="C213" s="1" t="n">
        <v>45981</v>
      </c>
      <c r="D213" t="inlineStr">
        <is>
          <t>ÖSTERGÖTLANDS LÄN</t>
        </is>
      </c>
      <c r="E213" t="inlineStr">
        <is>
          <t>LINKÖPING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10951-2022</t>
        </is>
      </c>
      <c r="B214" s="1" t="n">
        <v>44627</v>
      </c>
      <c r="C214" s="1" t="n">
        <v>45981</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52796-2023</t>
        </is>
      </c>
      <c r="B215" s="1" t="n">
        <v>45219</v>
      </c>
      <c r="C215" s="1" t="n">
        <v>45981</v>
      </c>
      <c r="D215" t="inlineStr">
        <is>
          <t>ÖSTERGÖTLANDS LÄN</t>
        </is>
      </c>
      <c r="E215" t="inlineStr">
        <is>
          <t>LINKÖPING</t>
        </is>
      </c>
      <c r="F215" t="inlineStr">
        <is>
          <t>Övriga statliga verk och myndigheter</t>
        </is>
      </c>
      <c r="G215" t="n">
        <v>3.9</v>
      </c>
      <c r="H215" t="n">
        <v>0</v>
      </c>
      <c r="I215" t="n">
        <v>0</v>
      </c>
      <c r="J215" t="n">
        <v>0</v>
      </c>
      <c r="K215" t="n">
        <v>0</v>
      </c>
      <c r="L215" t="n">
        <v>0</v>
      </c>
      <c r="M215" t="n">
        <v>0</v>
      </c>
      <c r="N215" t="n">
        <v>0</v>
      </c>
      <c r="O215" t="n">
        <v>0</v>
      </c>
      <c r="P215" t="n">
        <v>0</v>
      </c>
      <c r="Q215" t="n">
        <v>0</v>
      </c>
      <c r="R215" s="2" t="inlineStr"/>
    </row>
    <row r="216" ht="15" customHeight="1">
      <c r="A216" t="inlineStr">
        <is>
          <t>A 30855-2022</t>
        </is>
      </c>
      <c r="B216" s="1" t="n">
        <v>44767</v>
      </c>
      <c r="C216" s="1" t="n">
        <v>45981</v>
      </c>
      <c r="D216" t="inlineStr">
        <is>
          <t>ÖSTERGÖTLANDS LÄN</t>
        </is>
      </c>
      <c r="E216" t="inlineStr">
        <is>
          <t>LINKÖPING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33134-2022</t>
        </is>
      </c>
      <c r="B217" s="1" t="n">
        <v>44785</v>
      </c>
      <c r="C217" s="1" t="n">
        <v>45981</v>
      </c>
      <c r="D217" t="inlineStr">
        <is>
          <t>ÖSTERGÖTLANDS LÄN</t>
        </is>
      </c>
      <c r="E217" t="inlineStr">
        <is>
          <t>LINKÖPING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34877-2023</t>
        </is>
      </c>
      <c r="B218" s="1" t="n">
        <v>45140</v>
      </c>
      <c r="C218" s="1" t="n">
        <v>45981</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13075-2022</t>
        </is>
      </c>
      <c r="B219" s="1" t="n">
        <v>44643</v>
      </c>
      <c r="C219" s="1" t="n">
        <v>45981</v>
      </c>
      <c r="D219" t="inlineStr">
        <is>
          <t>ÖSTERGÖTLANDS LÄN</t>
        </is>
      </c>
      <c r="E219" t="inlineStr">
        <is>
          <t>LINKÖPING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30856-2022</t>
        </is>
      </c>
      <c r="B220" s="1" t="n">
        <v>44767</v>
      </c>
      <c r="C220" s="1" t="n">
        <v>45981</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43934-2023</t>
        </is>
      </c>
      <c r="B221" s="1" t="n">
        <v>45187</v>
      </c>
      <c r="C221" s="1" t="n">
        <v>45981</v>
      </c>
      <c r="D221" t="inlineStr">
        <is>
          <t>ÖSTERGÖTLANDS LÄN</t>
        </is>
      </c>
      <c r="E221" t="inlineStr">
        <is>
          <t>LINKÖPING</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63678-2023</t>
        </is>
      </c>
      <c r="B222" s="1" t="n">
        <v>45275.64769675926</v>
      </c>
      <c r="C222" s="1" t="n">
        <v>45981</v>
      </c>
      <c r="D222" t="inlineStr">
        <is>
          <t>ÖSTERGÖTLANDS LÄN</t>
        </is>
      </c>
      <c r="E222" t="inlineStr">
        <is>
          <t>LINKÖPING</t>
        </is>
      </c>
      <c r="F222" t="inlineStr">
        <is>
          <t>Övriga Aktiebolag</t>
        </is>
      </c>
      <c r="G222" t="n">
        <v>0.4</v>
      </c>
      <c r="H222" t="n">
        <v>0</v>
      </c>
      <c r="I222" t="n">
        <v>0</v>
      </c>
      <c r="J222" t="n">
        <v>0</v>
      </c>
      <c r="K222" t="n">
        <v>0</v>
      </c>
      <c r="L222" t="n">
        <v>0</v>
      </c>
      <c r="M222" t="n">
        <v>0</v>
      </c>
      <c r="N222" t="n">
        <v>0</v>
      </c>
      <c r="O222" t="n">
        <v>0</v>
      </c>
      <c r="P222" t="n">
        <v>0</v>
      </c>
      <c r="Q222" t="n">
        <v>0</v>
      </c>
      <c r="R222" s="2" t="inlineStr"/>
    </row>
    <row r="223" ht="15" customHeight="1">
      <c r="A223" t="inlineStr">
        <is>
          <t>A 22774-2024</t>
        </is>
      </c>
      <c r="B223" s="1" t="n">
        <v>45448.46924768519</v>
      </c>
      <c r="C223" s="1" t="n">
        <v>45981</v>
      </c>
      <c r="D223" t="inlineStr">
        <is>
          <t>ÖSTERGÖTLANDS LÄN</t>
        </is>
      </c>
      <c r="E223" t="inlineStr">
        <is>
          <t>LINKÖPING</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22778-2024</t>
        </is>
      </c>
      <c r="B224" s="1" t="n">
        <v>45448.47233796296</v>
      </c>
      <c r="C224" s="1" t="n">
        <v>45981</v>
      </c>
      <c r="D224" t="inlineStr">
        <is>
          <t>ÖSTERGÖTLANDS LÄN</t>
        </is>
      </c>
      <c r="E224" t="inlineStr">
        <is>
          <t>LINKÖPING</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1209-2023</t>
        </is>
      </c>
      <c r="B225" s="1" t="n">
        <v>44930</v>
      </c>
      <c r="C225" s="1" t="n">
        <v>45981</v>
      </c>
      <c r="D225" t="inlineStr">
        <is>
          <t>ÖSTERGÖTLANDS LÄN</t>
        </is>
      </c>
      <c r="E225" t="inlineStr">
        <is>
          <t>LINKÖPING</t>
        </is>
      </c>
      <c r="F225" t="inlineStr">
        <is>
          <t>Övriga statliga verk och myndigheter</t>
        </is>
      </c>
      <c r="G225" t="n">
        <v>25.8</v>
      </c>
      <c r="H225" t="n">
        <v>0</v>
      </c>
      <c r="I225" t="n">
        <v>0</v>
      </c>
      <c r="J225" t="n">
        <v>0</v>
      </c>
      <c r="K225" t="n">
        <v>0</v>
      </c>
      <c r="L225" t="n">
        <v>0</v>
      </c>
      <c r="M225" t="n">
        <v>0</v>
      </c>
      <c r="N225" t="n">
        <v>0</v>
      </c>
      <c r="O225" t="n">
        <v>0</v>
      </c>
      <c r="P225" t="n">
        <v>0</v>
      </c>
      <c r="Q225" t="n">
        <v>0</v>
      </c>
      <c r="R225" s="2" t="inlineStr"/>
    </row>
    <row r="226" ht="15" customHeight="1">
      <c r="A226" t="inlineStr">
        <is>
          <t>A 32255-2021</t>
        </is>
      </c>
      <c r="B226" s="1" t="n">
        <v>44371.45949074074</v>
      </c>
      <c r="C226" s="1" t="n">
        <v>45981</v>
      </c>
      <c r="D226" t="inlineStr">
        <is>
          <t>ÖSTERGÖTLANDS LÄN</t>
        </is>
      </c>
      <c r="E226" t="inlineStr">
        <is>
          <t>LINKÖPING</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10407-2025</t>
        </is>
      </c>
      <c r="B227" s="1" t="n">
        <v>45720.62863425926</v>
      </c>
      <c r="C227" s="1" t="n">
        <v>45981</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11590-2023</t>
        </is>
      </c>
      <c r="B228" s="1" t="n">
        <v>44994.36689814815</v>
      </c>
      <c r="C228" s="1" t="n">
        <v>45981</v>
      </c>
      <c r="D228" t="inlineStr">
        <is>
          <t>ÖSTERGÖTLANDS LÄN</t>
        </is>
      </c>
      <c r="E228" t="inlineStr">
        <is>
          <t>LINKÖPING</t>
        </is>
      </c>
      <c r="G228" t="n">
        <v>3.1</v>
      </c>
      <c r="H228" t="n">
        <v>0</v>
      </c>
      <c r="I228" t="n">
        <v>0</v>
      </c>
      <c r="J228" t="n">
        <v>0</v>
      </c>
      <c r="K228" t="n">
        <v>0</v>
      </c>
      <c r="L228" t="n">
        <v>0</v>
      </c>
      <c r="M228" t="n">
        <v>0</v>
      </c>
      <c r="N228" t="n">
        <v>0</v>
      </c>
      <c r="O228" t="n">
        <v>0</v>
      </c>
      <c r="P228" t="n">
        <v>0</v>
      </c>
      <c r="Q228" t="n">
        <v>0</v>
      </c>
      <c r="R228" s="2" t="inlineStr"/>
    </row>
    <row r="229" ht="15" customHeight="1">
      <c r="A229" t="inlineStr">
        <is>
          <t>A 57745-2022</t>
        </is>
      </c>
      <c r="B229" s="1" t="n">
        <v>44897.58119212963</v>
      </c>
      <c r="C229" s="1" t="n">
        <v>45981</v>
      </c>
      <c r="D229" t="inlineStr">
        <is>
          <t>ÖSTERGÖTLANDS LÄN</t>
        </is>
      </c>
      <c r="E229" t="inlineStr">
        <is>
          <t>LINKÖPING</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19169-2023</t>
        </is>
      </c>
      <c r="B230" s="1" t="n">
        <v>45044</v>
      </c>
      <c r="C230" s="1" t="n">
        <v>45981</v>
      </c>
      <c r="D230" t="inlineStr">
        <is>
          <t>ÖSTERGÖTLANDS LÄN</t>
        </is>
      </c>
      <c r="E230" t="inlineStr">
        <is>
          <t>LINKÖPING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34889-2023</t>
        </is>
      </c>
      <c r="B231" s="1" t="n">
        <v>45140</v>
      </c>
      <c r="C231" s="1" t="n">
        <v>45981</v>
      </c>
      <c r="D231" t="inlineStr">
        <is>
          <t>ÖSTERGÖTLANDS LÄN</t>
        </is>
      </c>
      <c r="E231" t="inlineStr">
        <is>
          <t>LINKÖPING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672-2024</t>
        </is>
      </c>
      <c r="B232" s="1" t="n">
        <v>45300</v>
      </c>
      <c r="C232" s="1" t="n">
        <v>45981</v>
      </c>
      <c r="D232" t="inlineStr">
        <is>
          <t>ÖSTERGÖTLANDS LÄN</t>
        </is>
      </c>
      <c r="E232" t="inlineStr">
        <is>
          <t>LINKÖPING</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55493-2021</t>
        </is>
      </c>
      <c r="B233" s="1" t="n">
        <v>44475.61988425926</v>
      </c>
      <c r="C233" s="1" t="n">
        <v>45981</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1993-2023</t>
        </is>
      </c>
      <c r="B234" s="1" t="n">
        <v>44939</v>
      </c>
      <c r="C234" s="1" t="n">
        <v>45981</v>
      </c>
      <c r="D234" t="inlineStr">
        <is>
          <t>ÖSTERGÖTLANDS LÄN</t>
        </is>
      </c>
      <c r="E234" t="inlineStr">
        <is>
          <t>LINKÖPING</t>
        </is>
      </c>
      <c r="G234" t="n">
        <v>3.7</v>
      </c>
      <c r="H234" t="n">
        <v>0</v>
      </c>
      <c r="I234" t="n">
        <v>0</v>
      </c>
      <c r="J234" t="n">
        <v>0</v>
      </c>
      <c r="K234" t="n">
        <v>0</v>
      </c>
      <c r="L234" t="n">
        <v>0</v>
      </c>
      <c r="M234" t="n">
        <v>0</v>
      </c>
      <c r="N234" t="n">
        <v>0</v>
      </c>
      <c r="O234" t="n">
        <v>0</v>
      </c>
      <c r="P234" t="n">
        <v>0</v>
      </c>
      <c r="Q234" t="n">
        <v>0</v>
      </c>
      <c r="R234" s="2" t="inlineStr"/>
    </row>
    <row r="235" ht="15" customHeight="1">
      <c r="A235" t="inlineStr">
        <is>
          <t>A 61281-2021</t>
        </is>
      </c>
      <c r="B235" s="1" t="n">
        <v>44498.60736111111</v>
      </c>
      <c r="C235" s="1" t="n">
        <v>45981</v>
      </c>
      <c r="D235" t="inlineStr">
        <is>
          <t>ÖSTERGÖTLANDS LÄN</t>
        </is>
      </c>
      <c r="E235" t="inlineStr">
        <is>
          <t>LINKÖPING</t>
        </is>
      </c>
      <c r="G235" t="n">
        <v>4.5</v>
      </c>
      <c r="H235" t="n">
        <v>0</v>
      </c>
      <c r="I235" t="n">
        <v>0</v>
      </c>
      <c r="J235" t="n">
        <v>0</v>
      </c>
      <c r="K235" t="n">
        <v>0</v>
      </c>
      <c r="L235" t="n">
        <v>0</v>
      </c>
      <c r="M235" t="n">
        <v>0</v>
      </c>
      <c r="N235" t="n">
        <v>0</v>
      </c>
      <c r="O235" t="n">
        <v>0</v>
      </c>
      <c r="P235" t="n">
        <v>0</v>
      </c>
      <c r="Q235" t="n">
        <v>0</v>
      </c>
      <c r="R235" s="2" t="inlineStr"/>
    </row>
    <row r="236" ht="15" customHeight="1">
      <c r="A236" t="inlineStr">
        <is>
          <t>A 25292-2021</t>
        </is>
      </c>
      <c r="B236" s="1" t="n">
        <v>44342</v>
      </c>
      <c r="C236" s="1" t="n">
        <v>45981</v>
      </c>
      <c r="D236" t="inlineStr">
        <is>
          <t>ÖSTERGÖTLANDS LÄN</t>
        </is>
      </c>
      <c r="E236" t="inlineStr">
        <is>
          <t>LINKÖPING</t>
        </is>
      </c>
      <c r="F236" t="inlineStr">
        <is>
          <t>Övriga Aktiebolag</t>
        </is>
      </c>
      <c r="G236" t="n">
        <v>12.8</v>
      </c>
      <c r="H236" t="n">
        <v>0</v>
      </c>
      <c r="I236" t="n">
        <v>0</v>
      </c>
      <c r="J236" t="n">
        <v>0</v>
      </c>
      <c r="K236" t="n">
        <v>0</v>
      </c>
      <c r="L236" t="n">
        <v>0</v>
      </c>
      <c r="M236" t="n">
        <v>0</v>
      </c>
      <c r="N236" t="n">
        <v>0</v>
      </c>
      <c r="O236" t="n">
        <v>0</v>
      </c>
      <c r="P236" t="n">
        <v>0</v>
      </c>
      <c r="Q236" t="n">
        <v>0</v>
      </c>
      <c r="R236" s="2" t="inlineStr"/>
    </row>
    <row r="237" ht="15" customHeight="1">
      <c r="A237" t="inlineStr">
        <is>
          <t>A 63935-2021</t>
        </is>
      </c>
      <c r="B237" s="1" t="n">
        <v>44509</v>
      </c>
      <c r="C237" s="1" t="n">
        <v>45981</v>
      </c>
      <c r="D237" t="inlineStr">
        <is>
          <t>ÖSTERGÖTLANDS LÄN</t>
        </is>
      </c>
      <c r="E237" t="inlineStr">
        <is>
          <t>LINKÖPING</t>
        </is>
      </c>
      <c r="F237" t="inlineStr">
        <is>
          <t>Övriga statliga verk och myndigheter</t>
        </is>
      </c>
      <c r="G237" t="n">
        <v>2.8</v>
      </c>
      <c r="H237" t="n">
        <v>0</v>
      </c>
      <c r="I237" t="n">
        <v>0</v>
      </c>
      <c r="J237" t="n">
        <v>0</v>
      </c>
      <c r="K237" t="n">
        <v>0</v>
      </c>
      <c r="L237" t="n">
        <v>0</v>
      </c>
      <c r="M237" t="n">
        <v>0</v>
      </c>
      <c r="N237" t="n">
        <v>0</v>
      </c>
      <c r="O237" t="n">
        <v>0</v>
      </c>
      <c r="P237" t="n">
        <v>0</v>
      </c>
      <c r="Q237" t="n">
        <v>0</v>
      </c>
      <c r="R237" s="2" t="inlineStr"/>
    </row>
    <row r="238" ht="15" customHeight="1">
      <c r="A238" t="inlineStr">
        <is>
          <t>A 38971-2025</t>
        </is>
      </c>
      <c r="B238" s="1" t="n">
        <v>45887.71827546296</v>
      </c>
      <c r="C238" s="1" t="n">
        <v>45981</v>
      </c>
      <c r="D238" t="inlineStr">
        <is>
          <t>ÖSTERGÖTLANDS LÄN</t>
        </is>
      </c>
      <c r="E238" t="inlineStr">
        <is>
          <t>LINKÖPING</t>
        </is>
      </c>
      <c r="G238" t="n">
        <v>3.9</v>
      </c>
      <c r="H238" t="n">
        <v>0</v>
      </c>
      <c r="I238" t="n">
        <v>0</v>
      </c>
      <c r="J238" t="n">
        <v>0</v>
      </c>
      <c r="K238" t="n">
        <v>0</v>
      </c>
      <c r="L238" t="n">
        <v>0</v>
      </c>
      <c r="M238" t="n">
        <v>0</v>
      </c>
      <c r="N238" t="n">
        <v>0</v>
      </c>
      <c r="O238" t="n">
        <v>0</v>
      </c>
      <c r="P238" t="n">
        <v>0</v>
      </c>
      <c r="Q238" t="n">
        <v>0</v>
      </c>
      <c r="R238" s="2" t="inlineStr"/>
    </row>
    <row r="239" ht="15" customHeight="1">
      <c r="A239" t="inlineStr">
        <is>
          <t>A 14093-2024</t>
        </is>
      </c>
      <c r="B239" s="1" t="n">
        <v>45392.60278935185</v>
      </c>
      <c r="C239" s="1" t="n">
        <v>45981</v>
      </c>
      <c r="D239" t="inlineStr">
        <is>
          <t>ÖSTERGÖTLANDS LÄN</t>
        </is>
      </c>
      <c r="E239" t="inlineStr">
        <is>
          <t>LINKÖPING</t>
        </is>
      </c>
      <c r="F239" t="inlineStr">
        <is>
          <t>Övriga Aktiebolag</t>
        </is>
      </c>
      <c r="G239" t="n">
        <v>0.6</v>
      </c>
      <c r="H239" t="n">
        <v>0</v>
      </c>
      <c r="I239" t="n">
        <v>0</v>
      </c>
      <c r="J239" t="n">
        <v>0</v>
      </c>
      <c r="K239" t="n">
        <v>0</v>
      </c>
      <c r="L239" t="n">
        <v>0</v>
      </c>
      <c r="M239" t="n">
        <v>0</v>
      </c>
      <c r="N239" t="n">
        <v>0</v>
      </c>
      <c r="O239" t="n">
        <v>0</v>
      </c>
      <c r="P239" t="n">
        <v>0</v>
      </c>
      <c r="Q239" t="n">
        <v>0</v>
      </c>
      <c r="R239" s="2" t="inlineStr"/>
    </row>
    <row r="240" ht="15" customHeight="1">
      <c r="A240" t="inlineStr">
        <is>
          <t>A 62019-2024</t>
        </is>
      </c>
      <c r="B240" s="1" t="n">
        <v>45655.82</v>
      </c>
      <c r="C240" s="1" t="n">
        <v>45981</v>
      </c>
      <c r="D240" t="inlineStr">
        <is>
          <t>ÖSTERGÖTLANDS LÄN</t>
        </is>
      </c>
      <c r="E240" t="inlineStr">
        <is>
          <t>LINKÖPING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55345-2021</t>
        </is>
      </c>
      <c r="B241" s="1" t="n">
        <v>44475</v>
      </c>
      <c r="C241" s="1" t="n">
        <v>45981</v>
      </c>
      <c r="D241" t="inlineStr">
        <is>
          <t>ÖSTERGÖTLANDS LÄN</t>
        </is>
      </c>
      <c r="E241" t="inlineStr">
        <is>
          <t>LINKÖPING</t>
        </is>
      </c>
      <c r="G241" t="n">
        <v>5.7</v>
      </c>
      <c r="H241" t="n">
        <v>0</v>
      </c>
      <c r="I241" t="n">
        <v>0</v>
      </c>
      <c r="J241" t="n">
        <v>0</v>
      </c>
      <c r="K241" t="n">
        <v>0</v>
      </c>
      <c r="L241" t="n">
        <v>0</v>
      </c>
      <c r="M241" t="n">
        <v>0</v>
      </c>
      <c r="N241" t="n">
        <v>0</v>
      </c>
      <c r="O241" t="n">
        <v>0</v>
      </c>
      <c r="P241" t="n">
        <v>0</v>
      </c>
      <c r="Q241" t="n">
        <v>0</v>
      </c>
      <c r="R241" s="2" t="inlineStr"/>
    </row>
    <row r="242" ht="15" customHeight="1">
      <c r="A242" t="inlineStr">
        <is>
          <t>A 25119-2023</t>
        </is>
      </c>
      <c r="B242" s="1" t="n">
        <v>45086.42326388889</v>
      </c>
      <c r="C242" s="1" t="n">
        <v>45981</v>
      </c>
      <c r="D242" t="inlineStr">
        <is>
          <t>ÖSTERGÖTLANDS LÄN</t>
        </is>
      </c>
      <c r="E242" t="inlineStr">
        <is>
          <t>LINKÖPING</t>
        </is>
      </c>
      <c r="G242" t="n">
        <v>3.2</v>
      </c>
      <c r="H242" t="n">
        <v>0</v>
      </c>
      <c r="I242" t="n">
        <v>0</v>
      </c>
      <c r="J242" t="n">
        <v>0</v>
      </c>
      <c r="K242" t="n">
        <v>0</v>
      </c>
      <c r="L242" t="n">
        <v>0</v>
      </c>
      <c r="M242" t="n">
        <v>0</v>
      </c>
      <c r="N242" t="n">
        <v>0</v>
      </c>
      <c r="O242" t="n">
        <v>0</v>
      </c>
      <c r="P242" t="n">
        <v>0</v>
      </c>
      <c r="Q242" t="n">
        <v>0</v>
      </c>
      <c r="R242" s="2" t="inlineStr"/>
    </row>
    <row r="243" ht="15" customHeight="1">
      <c r="A243" t="inlineStr">
        <is>
          <t>A 22771-2024</t>
        </is>
      </c>
      <c r="B243" s="1" t="n">
        <v>45448.46574074074</v>
      </c>
      <c r="C243" s="1" t="n">
        <v>45981</v>
      </c>
      <c r="D243" t="inlineStr">
        <is>
          <t>ÖSTERGÖTLANDS LÄN</t>
        </is>
      </c>
      <c r="E243" t="inlineStr">
        <is>
          <t>LINKÖPING</t>
        </is>
      </c>
      <c r="F243" t="inlineStr">
        <is>
          <t>Sveaskog</t>
        </is>
      </c>
      <c r="G243" t="n">
        <v>2.7</v>
      </c>
      <c r="H243" t="n">
        <v>0</v>
      </c>
      <c r="I243" t="n">
        <v>0</v>
      </c>
      <c r="J243" t="n">
        <v>0</v>
      </c>
      <c r="K243" t="n">
        <v>0</v>
      </c>
      <c r="L243" t="n">
        <v>0</v>
      </c>
      <c r="M243" t="n">
        <v>0</v>
      </c>
      <c r="N243" t="n">
        <v>0</v>
      </c>
      <c r="O243" t="n">
        <v>0</v>
      </c>
      <c r="P243" t="n">
        <v>0</v>
      </c>
      <c r="Q243" t="n">
        <v>0</v>
      </c>
      <c r="R243" s="2" t="inlineStr"/>
    </row>
    <row r="244" ht="15" customHeight="1">
      <c r="A244" t="inlineStr">
        <is>
          <t>A 1844-2025</t>
        </is>
      </c>
      <c r="B244" s="1" t="n">
        <v>45671.57730324074</v>
      </c>
      <c r="C244" s="1" t="n">
        <v>45981</v>
      </c>
      <c r="D244" t="inlineStr">
        <is>
          <t>ÖSTERGÖTLANDS LÄN</t>
        </is>
      </c>
      <c r="E244" t="inlineStr">
        <is>
          <t>LINKÖPING</t>
        </is>
      </c>
      <c r="G244" t="n">
        <v>2</v>
      </c>
      <c r="H244" t="n">
        <v>0</v>
      </c>
      <c r="I244" t="n">
        <v>0</v>
      </c>
      <c r="J244" t="n">
        <v>0</v>
      </c>
      <c r="K244" t="n">
        <v>0</v>
      </c>
      <c r="L244" t="n">
        <v>0</v>
      </c>
      <c r="M244" t="n">
        <v>0</v>
      </c>
      <c r="N244" t="n">
        <v>0</v>
      </c>
      <c r="O244" t="n">
        <v>0</v>
      </c>
      <c r="P244" t="n">
        <v>0</v>
      </c>
      <c r="Q244" t="n">
        <v>0</v>
      </c>
      <c r="R244" s="2" t="inlineStr"/>
    </row>
    <row r="245" ht="15" customHeight="1">
      <c r="A245" t="inlineStr">
        <is>
          <t>A 52220-2023</t>
        </is>
      </c>
      <c r="B245" s="1" t="n">
        <v>45217</v>
      </c>
      <c r="C245" s="1" t="n">
        <v>45981</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52225-2023</t>
        </is>
      </c>
      <c r="B246" s="1" t="n">
        <v>45217</v>
      </c>
      <c r="C246" s="1" t="n">
        <v>45981</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57396-2021</t>
        </is>
      </c>
      <c r="B247" s="1" t="n">
        <v>44483.56151620371</v>
      </c>
      <c r="C247" s="1" t="n">
        <v>45981</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51571-2024</t>
        </is>
      </c>
      <c r="B248" s="1" t="n">
        <v>45604</v>
      </c>
      <c r="C248" s="1" t="n">
        <v>45981</v>
      </c>
      <c r="D248" t="inlineStr">
        <is>
          <t>ÖSTERGÖTLANDS LÄN</t>
        </is>
      </c>
      <c r="E248" t="inlineStr">
        <is>
          <t>LINKÖPING</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42832-2023</t>
        </is>
      </c>
      <c r="B249" s="1" t="n">
        <v>45182.38091435185</v>
      </c>
      <c r="C249" s="1" t="n">
        <v>45981</v>
      </c>
      <c r="D249" t="inlineStr">
        <is>
          <t>ÖSTERGÖTLANDS LÄN</t>
        </is>
      </c>
      <c r="E249" t="inlineStr">
        <is>
          <t>LINKÖPING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56560-2023</t>
        </is>
      </c>
      <c r="B250" s="1" t="n">
        <v>45238</v>
      </c>
      <c r="C250" s="1" t="n">
        <v>45981</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17143-2025</t>
        </is>
      </c>
      <c r="B251" s="1" t="n">
        <v>45755.92731481481</v>
      </c>
      <c r="C251" s="1" t="n">
        <v>45981</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52412-2023</t>
        </is>
      </c>
      <c r="B252" s="1" t="n">
        <v>45225.27888888889</v>
      </c>
      <c r="C252" s="1" t="n">
        <v>45981</v>
      </c>
      <c r="D252" t="inlineStr">
        <is>
          <t>ÖSTERGÖTLANDS LÄN</t>
        </is>
      </c>
      <c r="E252" t="inlineStr">
        <is>
          <t>LINKÖPING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52413-2023</t>
        </is>
      </c>
      <c r="B253" s="1" t="n">
        <v>45225.27950231481</v>
      </c>
      <c r="C253" s="1" t="n">
        <v>45981</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21165-2025</t>
        </is>
      </c>
      <c r="B254" s="1" t="n">
        <v>45779.39417824074</v>
      </c>
      <c r="C254" s="1" t="n">
        <v>45981</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21155-2025</t>
        </is>
      </c>
      <c r="B255" s="1" t="n">
        <v>45779.37586805555</v>
      </c>
      <c r="C255" s="1" t="n">
        <v>45981</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7354-2025</t>
        </is>
      </c>
      <c r="B256" s="1" t="n">
        <v>45704.41174768518</v>
      </c>
      <c r="C256" s="1" t="n">
        <v>45981</v>
      </c>
      <c r="D256" t="inlineStr">
        <is>
          <t>ÖSTERGÖTLANDS LÄN</t>
        </is>
      </c>
      <c r="E256" t="inlineStr">
        <is>
          <t>LINKÖPING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17124-2025</t>
        </is>
      </c>
      <c r="B257" s="1" t="n">
        <v>45755.69678240741</v>
      </c>
      <c r="C257" s="1" t="n">
        <v>45981</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17126-2025</t>
        </is>
      </c>
      <c r="B258" s="1" t="n">
        <v>45755.70814814815</v>
      </c>
      <c r="C258" s="1" t="n">
        <v>45981</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31640-2023</t>
        </is>
      </c>
      <c r="B259" s="1" t="n">
        <v>45117</v>
      </c>
      <c r="C259" s="1" t="n">
        <v>45981</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11790-2024</t>
        </is>
      </c>
      <c r="B260" s="1" t="n">
        <v>45374</v>
      </c>
      <c r="C260" s="1" t="n">
        <v>45981</v>
      </c>
      <c r="D260" t="inlineStr">
        <is>
          <t>ÖSTERGÖTLANDS LÄN</t>
        </is>
      </c>
      <c r="E260" t="inlineStr">
        <is>
          <t>LINKÖPING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61281-2021</t>
        </is>
      </c>
      <c r="B261" s="1" t="n">
        <v>44498.60736111111</v>
      </c>
      <c r="C261" s="1" t="n">
        <v>45981</v>
      </c>
      <c r="D261" t="inlineStr">
        <is>
          <t>ÖSTERGÖTLANDS LÄN</t>
        </is>
      </c>
      <c r="E261" t="inlineStr">
        <is>
          <t>LINKÖPING</t>
        </is>
      </c>
      <c r="G261" t="n">
        <v>4.5</v>
      </c>
      <c r="H261" t="n">
        <v>0</v>
      </c>
      <c r="I261" t="n">
        <v>0</v>
      </c>
      <c r="J261" t="n">
        <v>0</v>
      </c>
      <c r="K261" t="n">
        <v>0</v>
      </c>
      <c r="L261" t="n">
        <v>0</v>
      </c>
      <c r="M261" t="n">
        <v>0</v>
      </c>
      <c r="N261" t="n">
        <v>0</v>
      </c>
      <c r="O261" t="n">
        <v>0</v>
      </c>
      <c r="P261" t="n">
        <v>0</v>
      </c>
      <c r="Q261" t="n">
        <v>0</v>
      </c>
      <c r="R261" s="2" t="inlineStr"/>
    </row>
    <row r="262" ht="15" customHeight="1">
      <c r="A262" t="inlineStr">
        <is>
          <t>A 3008-2023</t>
        </is>
      </c>
      <c r="B262" s="1" t="n">
        <v>44945.79784722222</v>
      </c>
      <c r="C262" s="1" t="n">
        <v>45981</v>
      </c>
      <c r="D262" t="inlineStr">
        <is>
          <t>ÖSTERGÖTLANDS LÄN</t>
        </is>
      </c>
      <c r="E262" t="inlineStr">
        <is>
          <t>LINKÖPING</t>
        </is>
      </c>
      <c r="G262" t="n">
        <v>19.3</v>
      </c>
      <c r="H262" t="n">
        <v>0</v>
      </c>
      <c r="I262" t="n">
        <v>0</v>
      </c>
      <c r="J262" t="n">
        <v>0</v>
      </c>
      <c r="K262" t="n">
        <v>0</v>
      </c>
      <c r="L262" t="n">
        <v>0</v>
      </c>
      <c r="M262" t="n">
        <v>0</v>
      </c>
      <c r="N262" t="n">
        <v>0</v>
      </c>
      <c r="O262" t="n">
        <v>0</v>
      </c>
      <c r="P262" t="n">
        <v>0</v>
      </c>
      <c r="Q262" t="n">
        <v>0</v>
      </c>
      <c r="R262" s="2" t="inlineStr"/>
    </row>
    <row r="263" ht="15" customHeight="1">
      <c r="A263" t="inlineStr">
        <is>
          <t>A 55945-2024</t>
        </is>
      </c>
      <c r="B263" s="1" t="n">
        <v>45623.61754629629</v>
      </c>
      <c r="C263" s="1" t="n">
        <v>45981</v>
      </c>
      <c r="D263" t="inlineStr">
        <is>
          <t>ÖSTERGÖTLANDS LÄN</t>
        </is>
      </c>
      <c r="E263" t="inlineStr">
        <is>
          <t>LINKÖPING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34928-2023</t>
        </is>
      </c>
      <c r="B264" s="1" t="n">
        <v>45142</v>
      </c>
      <c r="C264" s="1" t="n">
        <v>45981</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1263-2024</t>
        </is>
      </c>
      <c r="B265" s="1" t="n">
        <v>45302</v>
      </c>
      <c r="C265" s="1" t="n">
        <v>45981</v>
      </c>
      <c r="D265" t="inlineStr">
        <is>
          <t>ÖSTERGÖTLANDS LÄN</t>
        </is>
      </c>
      <c r="E265" t="inlineStr">
        <is>
          <t>LINKÖPING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52531-2023</t>
        </is>
      </c>
      <c r="B266" s="1" t="n">
        <v>45225</v>
      </c>
      <c r="C266" s="1" t="n">
        <v>45981</v>
      </c>
      <c r="D266" t="inlineStr">
        <is>
          <t>ÖSTERGÖTLANDS LÄN</t>
        </is>
      </c>
      <c r="E266" t="inlineStr">
        <is>
          <t>LINKÖPING</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39438-2025</t>
        </is>
      </c>
      <c r="B267" s="1" t="n">
        <v>45889.68641203704</v>
      </c>
      <c r="C267" s="1" t="n">
        <v>45981</v>
      </c>
      <c r="D267" t="inlineStr">
        <is>
          <t>ÖSTERGÖTLANDS LÄN</t>
        </is>
      </c>
      <c r="E267" t="inlineStr">
        <is>
          <t>LINKÖPING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27264-2025</t>
        </is>
      </c>
      <c r="B268" s="1" t="n">
        <v>45812.4794212963</v>
      </c>
      <c r="C268" s="1" t="n">
        <v>45981</v>
      </c>
      <c r="D268" t="inlineStr">
        <is>
          <t>ÖSTERGÖTLANDS LÄN</t>
        </is>
      </c>
      <c r="E268" t="inlineStr">
        <is>
          <t>LINKÖPING</t>
        </is>
      </c>
      <c r="G268" t="n">
        <v>2.6</v>
      </c>
      <c r="H268" t="n">
        <v>0</v>
      </c>
      <c r="I268" t="n">
        <v>0</v>
      </c>
      <c r="J268" t="n">
        <v>0</v>
      </c>
      <c r="K268" t="n">
        <v>0</v>
      </c>
      <c r="L268" t="n">
        <v>0</v>
      </c>
      <c r="M268" t="n">
        <v>0</v>
      </c>
      <c r="N268" t="n">
        <v>0</v>
      </c>
      <c r="O268" t="n">
        <v>0</v>
      </c>
      <c r="P268" t="n">
        <v>0</v>
      </c>
      <c r="Q268" t="n">
        <v>0</v>
      </c>
      <c r="R268" s="2" t="inlineStr"/>
    </row>
    <row r="269" ht="15" customHeight="1">
      <c r="A269" t="inlineStr">
        <is>
          <t>A 6206-2024</t>
        </is>
      </c>
      <c r="B269" s="1" t="n">
        <v>45337.5977662037</v>
      </c>
      <c r="C269" s="1" t="n">
        <v>45981</v>
      </c>
      <c r="D269" t="inlineStr">
        <is>
          <t>ÖSTERGÖTLANDS LÄN</t>
        </is>
      </c>
      <c r="E269" t="inlineStr">
        <is>
          <t>LINKÖPING</t>
        </is>
      </c>
      <c r="G269" t="n">
        <v>2</v>
      </c>
      <c r="H269" t="n">
        <v>0</v>
      </c>
      <c r="I269" t="n">
        <v>0</v>
      </c>
      <c r="J269" t="n">
        <v>0</v>
      </c>
      <c r="K269" t="n">
        <v>0</v>
      </c>
      <c r="L269" t="n">
        <v>0</v>
      </c>
      <c r="M269" t="n">
        <v>0</v>
      </c>
      <c r="N269" t="n">
        <v>0</v>
      </c>
      <c r="O269" t="n">
        <v>0</v>
      </c>
      <c r="P269" t="n">
        <v>0</v>
      </c>
      <c r="Q269" t="n">
        <v>0</v>
      </c>
      <c r="R269" s="2" t="inlineStr"/>
    </row>
    <row r="270" ht="15" customHeight="1">
      <c r="A270" t="inlineStr">
        <is>
          <t>A 168-2024</t>
        </is>
      </c>
      <c r="B270" s="1" t="n">
        <v>45294</v>
      </c>
      <c r="C270" s="1" t="n">
        <v>45981</v>
      </c>
      <c r="D270" t="inlineStr">
        <is>
          <t>ÖSTERGÖTLANDS LÄN</t>
        </is>
      </c>
      <c r="E270" t="inlineStr">
        <is>
          <t>LINKÖPING</t>
        </is>
      </c>
      <c r="F270" t="inlineStr">
        <is>
          <t>Allmännings- och besparingsskogar</t>
        </is>
      </c>
      <c r="G270" t="n">
        <v>8.9</v>
      </c>
      <c r="H270" t="n">
        <v>0</v>
      </c>
      <c r="I270" t="n">
        <v>0</v>
      </c>
      <c r="J270" t="n">
        <v>0</v>
      </c>
      <c r="K270" t="n">
        <v>0</v>
      </c>
      <c r="L270" t="n">
        <v>0</v>
      </c>
      <c r="M270" t="n">
        <v>0</v>
      </c>
      <c r="N270" t="n">
        <v>0</v>
      </c>
      <c r="O270" t="n">
        <v>0</v>
      </c>
      <c r="P270" t="n">
        <v>0</v>
      </c>
      <c r="Q270" t="n">
        <v>0</v>
      </c>
      <c r="R270" s="2" t="inlineStr"/>
    </row>
    <row r="271" ht="15" customHeight="1">
      <c r="A271" t="inlineStr">
        <is>
          <t>A 20291-2025</t>
        </is>
      </c>
      <c r="B271" s="1" t="n">
        <v>45774.74288194445</v>
      </c>
      <c r="C271" s="1" t="n">
        <v>45981</v>
      </c>
      <c r="D271" t="inlineStr">
        <is>
          <t>ÖSTERGÖTLANDS LÄN</t>
        </is>
      </c>
      <c r="E271" t="inlineStr">
        <is>
          <t>LINKÖPING</t>
        </is>
      </c>
      <c r="G271" t="n">
        <v>2.3</v>
      </c>
      <c r="H271" t="n">
        <v>0</v>
      </c>
      <c r="I271" t="n">
        <v>0</v>
      </c>
      <c r="J271" t="n">
        <v>0</v>
      </c>
      <c r="K271" t="n">
        <v>0</v>
      </c>
      <c r="L271" t="n">
        <v>0</v>
      </c>
      <c r="M271" t="n">
        <v>0</v>
      </c>
      <c r="N271" t="n">
        <v>0</v>
      </c>
      <c r="O271" t="n">
        <v>0</v>
      </c>
      <c r="P271" t="n">
        <v>0</v>
      </c>
      <c r="Q271" t="n">
        <v>0</v>
      </c>
      <c r="R271" s="2" t="inlineStr"/>
    </row>
    <row r="272" ht="15" customHeight="1">
      <c r="A272" t="inlineStr">
        <is>
          <t>A 20293-2025</t>
        </is>
      </c>
      <c r="B272" s="1" t="n">
        <v>45774.74611111111</v>
      </c>
      <c r="C272" s="1" t="n">
        <v>45981</v>
      </c>
      <c r="D272" t="inlineStr">
        <is>
          <t>ÖSTERGÖTLANDS LÄN</t>
        </is>
      </c>
      <c r="E272" t="inlineStr">
        <is>
          <t>LINKÖPING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39074-2025</t>
        </is>
      </c>
      <c r="B273" s="1" t="n">
        <v>45888</v>
      </c>
      <c r="C273" s="1" t="n">
        <v>45981</v>
      </c>
      <c r="D273" t="inlineStr">
        <is>
          <t>ÖSTERGÖTLANDS LÄN</t>
        </is>
      </c>
      <c r="E273" t="inlineStr">
        <is>
          <t>LINKÖPING</t>
        </is>
      </c>
      <c r="G273" t="n">
        <v>2.9</v>
      </c>
      <c r="H273" t="n">
        <v>0</v>
      </c>
      <c r="I273" t="n">
        <v>0</v>
      </c>
      <c r="J273" t="n">
        <v>0</v>
      </c>
      <c r="K273" t="n">
        <v>0</v>
      </c>
      <c r="L273" t="n">
        <v>0</v>
      </c>
      <c r="M273" t="n">
        <v>0</v>
      </c>
      <c r="N273" t="n">
        <v>0</v>
      </c>
      <c r="O273" t="n">
        <v>0</v>
      </c>
      <c r="P273" t="n">
        <v>0</v>
      </c>
      <c r="Q273" t="n">
        <v>0</v>
      </c>
      <c r="R273" s="2" t="inlineStr"/>
    </row>
    <row r="274" ht="15" customHeight="1">
      <c r="A274" t="inlineStr">
        <is>
          <t>A 72567-2021</t>
        </is>
      </c>
      <c r="B274" s="1" t="n">
        <v>44546.45023148148</v>
      </c>
      <c r="C274" s="1" t="n">
        <v>45981</v>
      </c>
      <c r="D274" t="inlineStr">
        <is>
          <t>ÖSTERGÖTLANDS LÄN</t>
        </is>
      </c>
      <c r="E274" t="inlineStr">
        <is>
          <t>LINKÖPING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51919-2024</t>
        </is>
      </c>
      <c r="B275" s="1" t="n">
        <v>45607.60791666667</v>
      </c>
      <c r="C275" s="1" t="n">
        <v>45981</v>
      </c>
      <c r="D275" t="inlineStr">
        <is>
          <t>ÖSTERGÖTLANDS LÄN</t>
        </is>
      </c>
      <c r="E275" t="inlineStr">
        <is>
          <t>LINKÖPING</t>
        </is>
      </c>
      <c r="G275" t="n">
        <v>2.5</v>
      </c>
      <c r="H275" t="n">
        <v>0</v>
      </c>
      <c r="I275" t="n">
        <v>0</v>
      </c>
      <c r="J275" t="n">
        <v>0</v>
      </c>
      <c r="K275" t="n">
        <v>0</v>
      </c>
      <c r="L275" t="n">
        <v>0</v>
      </c>
      <c r="M275" t="n">
        <v>0</v>
      </c>
      <c r="N275" t="n">
        <v>0</v>
      </c>
      <c r="O275" t="n">
        <v>0</v>
      </c>
      <c r="P275" t="n">
        <v>0</v>
      </c>
      <c r="Q275" t="n">
        <v>0</v>
      </c>
      <c r="R275" s="2" t="inlineStr"/>
    </row>
    <row r="276" ht="15" customHeight="1">
      <c r="A276" t="inlineStr">
        <is>
          <t>A 56623-2024</t>
        </is>
      </c>
      <c r="B276" s="1" t="n">
        <v>45625</v>
      </c>
      <c r="C276" s="1" t="n">
        <v>45981</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11330-2023</t>
        </is>
      </c>
      <c r="B277" s="1" t="n">
        <v>44993.24648148148</v>
      </c>
      <c r="C277" s="1" t="n">
        <v>45981</v>
      </c>
      <c r="D277" t="inlineStr">
        <is>
          <t>ÖSTERGÖTLANDS LÄN</t>
        </is>
      </c>
      <c r="E277" t="inlineStr">
        <is>
          <t>LINKÖPING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63304-2021</t>
        </is>
      </c>
      <c r="B278" s="1" t="n">
        <v>44508.4396412037</v>
      </c>
      <c r="C278" s="1" t="n">
        <v>45981</v>
      </c>
      <c r="D278" t="inlineStr">
        <is>
          <t>ÖSTERGÖTLANDS LÄN</t>
        </is>
      </c>
      <c r="E278" t="inlineStr">
        <is>
          <t>LINKÖPING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14528-2025</t>
        </is>
      </c>
      <c r="B279" s="1" t="n">
        <v>45741</v>
      </c>
      <c r="C279" s="1" t="n">
        <v>45981</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3530-2024</t>
        </is>
      </c>
      <c r="B280" s="1" t="n">
        <v>45320.54717592592</v>
      </c>
      <c r="C280" s="1" t="n">
        <v>45981</v>
      </c>
      <c r="D280" t="inlineStr">
        <is>
          <t>ÖSTERGÖTLANDS LÄN</t>
        </is>
      </c>
      <c r="E280" t="inlineStr">
        <is>
          <t>LINKÖPING</t>
        </is>
      </c>
      <c r="G280" t="n">
        <v>1.5</v>
      </c>
      <c r="H280" t="n">
        <v>0</v>
      </c>
      <c r="I280" t="n">
        <v>0</v>
      </c>
      <c r="J280" t="n">
        <v>0</v>
      </c>
      <c r="K280" t="n">
        <v>0</v>
      </c>
      <c r="L280" t="n">
        <v>0</v>
      </c>
      <c r="M280" t="n">
        <v>0</v>
      </c>
      <c r="N280" t="n">
        <v>0</v>
      </c>
      <c r="O280" t="n">
        <v>0</v>
      </c>
      <c r="P280" t="n">
        <v>0</v>
      </c>
      <c r="Q280" t="n">
        <v>0</v>
      </c>
      <c r="R280" s="2" t="inlineStr"/>
    </row>
    <row r="281" ht="15" customHeight="1">
      <c r="A281" t="inlineStr">
        <is>
          <t>A 3041-2024</t>
        </is>
      </c>
      <c r="B281" s="1" t="n">
        <v>45316.34875</v>
      </c>
      <c r="C281" s="1" t="n">
        <v>45981</v>
      </c>
      <c r="D281" t="inlineStr">
        <is>
          <t>ÖSTERGÖTLANDS LÄN</t>
        </is>
      </c>
      <c r="E281" t="inlineStr">
        <is>
          <t>LINKÖPING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62073-2023</t>
        </is>
      </c>
      <c r="B282" s="1" t="n">
        <v>45266.73844907407</v>
      </c>
      <c r="C282" s="1" t="n">
        <v>45981</v>
      </c>
      <c r="D282" t="inlineStr">
        <is>
          <t>ÖSTERGÖTLANDS LÄN</t>
        </is>
      </c>
      <c r="E282" t="inlineStr">
        <is>
          <t>LINKÖPING</t>
        </is>
      </c>
      <c r="F282" t="inlineStr">
        <is>
          <t>Allmännings- och besparingsskogar</t>
        </is>
      </c>
      <c r="G282" t="n">
        <v>1.8</v>
      </c>
      <c r="H282" t="n">
        <v>0</v>
      </c>
      <c r="I282" t="n">
        <v>0</v>
      </c>
      <c r="J282" t="n">
        <v>0</v>
      </c>
      <c r="K282" t="n">
        <v>0</v>
      </c>
      <c r="L282" t="n">
        <v>0</v>
      </c>
      <c r="M282" t="n">
        <v>0</v>
      </c>
      <c r="N282" t="n">
        <v>0</v>
      </c>
      <c r="O282" t="n">
        <v>0</v>
      </c>
      <c r="P282" t="n">
        <v>0</v>
      </c>
      <c r="Q282" t="n">
        <v>0</v>
      </c>
      <c r="R282" s="2" t="inlineStr"/>
    </row>
    <row r="283" ht="15" customHeight="1">
      <c r="A283" t="inlineStr">
        <is>
          <t>A 5872-2025</t>
        </is>
      </c>
      <c r="B283" s="1" t="n">
        <v>45695.36659722222</v>
      </c>
      <c r="C283" s="1" t="n">
        <v>45981</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50963-2021</t>
        </is>
      </c>
      <c r="B284" s="1" t="n">
        <v>44460</v>
      </c>
      <c r="C284" s="1" t="n">
        <v>45981</v>
      </c>
      <c r="D284" t="inlineStr">
        <is>
          <t>ÖSTERGÖTLANDS LÄN</t>
        </is>
      </c>
      <c r="E284" t="inlineStr">
        <is>
          <t>LINKÖPING</t>
        </is>
      </c>
      <c r="G284" t="n">
        <v>4.4</v>
      </c>
      <c r="H284" t="n">
        <v>0</v>
      </c>
      <c r="I284" t="n">
        <v>0</v>
      </c>
      <c r="J284" t="n">
        <v>0</v>
      </c>
      <c r="K284" t="n">
        <v>0</v>
      </c>
      <c r="L284" t="n">
        <v>0</v>
      </c>
      <c r="M284" t="n">
        <v>0</v>
      </c>
      <c r="N284" t="n">
        <v>0</v>
      </c>
      <c r="O284" t="n">
        <v>0</v>
      </c>
      <c r="P284" t="n">
        <v>0</v>
      </c>
      <c r="Q284" t="n">
        <v>0</v>
      </c>
      <c r="R284" s="2" t="inlineStr"/>
    </row>
    <row r="285" ht="15" customHeight="1">
      <c r="A285" t="inlineStr">
        <is>
          <t>A 61307-2021</t>
        </is>
      </c>
      <c r="B285" s="1" t="n">
        <v>44498.63928240741</v>
      </c>
      <c r="C285" s="1" t="n">
        <v>45981</v>
      </c>
      <c r="D285" t="inlineStr">
        <is>
          <t>ÖSTERGÖTLANDS LÄN</t>
        </is>
      </c>
      <c r="E285" t="inlineStr">
        <is>
          <t>LINKÖPING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61325-2021</t>
        </is>
      </c>
      <c r="B286" s="1" t="n">
        <v>44498.66814814815</v>
      </c>
      <c r="C286" s="1" t="n">
        <v>45981</v>
      </c>
      <c r="D286" t="inlineStr">
        <is>
          <t>ÖSTERGÖTLANDS LÄN</t>
        </is>
      </c>
      <c r="E286" t="inlineStr">
        <is>
          <t>LINKÖPING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63665-2023</t>
        </is>
      </c>
      <c r="B287" s="1" t="n">
        <v>45275</v>
      </c>
      <c r="C287" s="1" t="n">
        <v>45981</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53814-2023</t>
        </is>
      </c>
      <c r="B288" s="1" t="n">
        <v>45231</v>
      </c>
      <c r="C288" s="1" t="n">
        <v>45981</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3432-2023</t>
        </is>
      </c>
      <c r="B289" s="1" t="n">
        <v>44949</v>
      </c>
      <c r="C289" s="1" t="n">
        <v>45981</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33867-2023</t>
        </is>
      </c>
      <c r="B290" s="1" t="n">
        <v>45133.94640046296</v>
      </c>
      <c r="C290" s="1" t="n">
        <v>45981</v>
      </c>
      <c r="D290" t="inlineStr">
        <is>
          <t>ÖSTERGÖTLANDS LÄN</t>
        </is>
      </c>
      <c r="E290" t="inlineStr">
        <is>
          <t>LINKÖPING</t>
        </is>
      </c>
      <c r="G290" t="n">
        <v>2.3</v>
      </c>
      <c r="H290" t="n">
        <v>0</v>
      </c>
      <c r="I290" t="n">
        <v>0</v>
      </c>
      <c r="J290" t="n">
        <v>0</v>
      </c>
      <c r="K290" t="n">
        <v>0</v>
      </c>
      <c r="L290" t="n">
        <v>0</v>
      </c>
      <c r="M290" t="n">
        <v>0</v>
      </c>
      <c r="N290" t="n">
        <v>0</v>
      </c>
      <c r="O290" t="n">
        <v>0</v>
      </c>
      <c r="P290" t="n">
        <v>0</v>
      </c>
      <c r="Q290" t="n">
        <v>0</v>
      </c>
      <c r="R290" s="2" t="inlineStr"/>
    </row>
    <row r="291" ht="15" customHeight="1">
      <c r="A291" t="inlineStr">
        <is>
          <t>A 40169-2025</t>
        </is>
      </c>
      <c r="B291" s="1" t="n">
        <v>45894.62824074074</v>
      </c>
      <c r="C291" s="1" t="n">
        <v>45981</v>
      </c>
      <c r="D291" t="inlineStr">
        <is>
          <t>ÖSTERGÖTLANDS LÄN</t>
        </is>
      </c>
      <c r="E291" t="inlineStr">
        <is>
          <t>LINKÖPING</t>
        </is>
      </c>
      <c r="G291" t="n">
        <v>2.8</v>
      </c>
      <c r="H291" t="n">
        <v>0</v>
      </c>
      <c r="I291" t="n">
        <v>0</v>
      </c>
      <c r="J291" t="n">
        <v>0</v>
      </c>
      <c r="K291" t="n">
        <v>0</v>
      </c>
      <c r="L291" t="n">
        <v>0</v>
      </c>
      <c r="M291" t="n">
        <v>0</v>
      </c>
      <c r="N291" t="n">
        <v>0</v>
      </c>
      <c r="O291" t="n">
        <v>0</v>
      </c>
      <c r="P291" t="n">
        <v>0</v>
      </c>
      <c r="Q291" t="n">
        <v>0</v>
      </c>
      <c r="R291" s="2" t="inlineStr"/>
    </row>
    <row r="292" ht="15" customHeight="1">
      <c r="A292" t="inlineStr">
        <is>
          <t>A 54425-2022</t>
        </is>
      </c>
      <c r="B292" s="1" t="n">
        <v>44882.57453703704</v>
      </c>
      <c r="C292" s="1" t="n">
        <v>45981</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54428-2022</t>
        </is>
      </c>
      <c r="B293" s="1" t="n">
        <v>44882.57643518518</v>
      </c>
      <c r="C293" s="1" t="n">
        <v>45981</v>
      </c>
      <c r="D293" t="inlineStr">
        <is>
          <t>ÖSTERGÖTLANDS LÄN</t>
        </is>
      </c>
      <c r="E293" t="inlineStr">
        <is>
          <t>LINKÖPING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30985-2022</t>
        </is>
      </c>
      <c r="B294" s="1" t="n">
        <v>44768</v>
      </c>
      <c r="C294" s="1" t="n">
        <v>45981</v>
      </c>
      <c r="D294" t="inlineStr">
        <is>
          <t>ÖSTERGÖTLANDS LÄN</t>
        </is>
      </c>
      <c r="E294" t="inlineStr">
        <is>
          <t>LINKÖPING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38317-2024</t>
        </is>
      </c>
      <c r="B295" s="1" t="n">
        <v>45545.65766203704</v>
      </c>
      <c r="C295" s="1" t="n">
        <v>45981</v>
      </c>
      <c r="D295" t="inlineStr">
        <is>
          <t>ÖSTERGÖTLANDS LÄN</t>
        </is>
      </c>
      <c r="E295" t="inlineStr">
        <is>
          <t>LINKÖPING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22264-2025</t>
        </is>
      </c>
      <c r="B296" s="1" t="n">
        <v>45785</v>
      </c>
      <c r="C296" s="1" t="n">
        <v>45981</v>
      </c>
      <c r="D296" t="inlineStr">
        <is>
          <t>ÖSTERGÖTLANDS LÄN</t>
        </is>
      </c>
      <c r="E296" t="inlineStr">
        <is>
          <t>LINKÖPING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660-2023</t>
        </is>
      </c>
      <c r="B297" s="1" t="n">
        <v>44930</v>
      </c>
      <c r="C297" s="1" t="n">
        <v>45981</v>
      </c>
      <c r="D297" t="inlineStr">
        <is>
          <t>ÖSTERGÖTLANDS LÄN</t>
        </is>
      </c>
      <c r="E297" t="inlineStr">
        <is>
          <t>LINKÖPING</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62501-2023</t>
        </is>
      </c>
      <c r="B298" s="1" t="n">
        <v>45268</v>
      </c>
      <c r="C298" s="1" t="n">
        <v>45981</v>
      </c>
      <c r="D298" t="inlineStr">
        <is>
          <t>ÖSTERGÖTLANDS LÄN</t>
        </is>
      </c>
      <c r="E298" t="inlineStr">
        <is>
          <t>LINKÖPING</t>
        </is>
      </c>
      <c r="G298" t="n">
        <v>7.4</v>
      </c>
      <c r="H298" t="n">
        <v>0</v>
      </c>
      <c r="I298" t="n">
        <v>0</v>
      </c>
      <c r="J298" t="n">
        <v>0</v>
      </c>
      <c r="K298" t="n">
        <v>0</v>
      </c>
      <c r="L298" t="n">
        <v>0</v>
      </c>
      <c r="M298" t="n">
        <v>0</v>
      </c>
      <c r="N298" t="n">
        <v>0</v>
      </c>
      <c r="O298" t="n">
        <v>0</v>
      </c>
      <c r="P298" t="n">
        <v>0</v>
      </c>
      <c r="Q298" t="n">
        <v>0</v>
      </c>
      <c r="R298" s="2" t="inlineStr"/>
    </row>
    <row r="299" ht="15" customHeight="1">
      <c r="A299" t="inlineStr">
        <is>
          <t>A 13413-2023</t>
        </is>
      </c>
      <c r="B299" s="1" t="n">
        <v>45005.58341435185</v>
      </c>
      <c r="C299" s="1" t="n">
        <v>45981</v>
      </c>
      <c r="D299" t="inlineStr">
        <is>
          <t>ÖSTERGÖTLANDS LÄN</t>
        </is>
      </c>
      <c r="E299" t="inlineStr">
        <is>
          <t>LINKÖPING</t>
        </is>
      </c>
      <c r="G299" t="n">
        <v>2.4</v>
      </c>
      <c r="H299" t="n">
        <v>0</v>
      </c>
      <c r="I299" t="n">
        <v>0</v>
      </c>
      <c r="J299" t="n">
        <v>0</v>
      </c>
      <c r="K299" t="n">
        <v>0</v>
      </c>
      <c r="L299" t="n">
        <v>0</v>
      </c>
      <c r="M299" t="n">
        <v>0</v>
      </c>
      <c r="N299" t="n">
        <v>0</v>
      </c>
      <c r="O299" t="n">
        <v>0</v>
      </c>
      <c r="P299" t="n">
        <v>0</v>
      </c>
      <c r="Q299" t="n">
        <v>0</v>
      </c>
      <c r="R299" s="2" t="inlineStr"/>
    </row>
    <row r="300" ht="15" customHeight="1">
      <c r="A300" t="inlineStr">
        <is>
          <t>A 26620-2023</t>
        </is>
      </c>
      <c r="B300" s="1" t="n">
        <v>45092.70390046296</v>
      </c>
      <c r="C300" s="1" t="n">
        <v>45981</v>
      </c>
      <c r="D300" t="inlineStr">
        <is>
          <t>ÖSTERGÖTLANDS LÄN</t>
        </is>
      </c>
      <c r="E300" t="inlineStr">
        <is>
          <t>LINKÖPING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49615-2025</t>
        </is>
      </c>
      <c r="B301" s="1" t="n">
        <v>45938</v>
      </c>
      <c r="C301" s="1" t="n">
        <v>45981</v>
      </c>
      <c r="D301" t="inlineStr">
        <is>
          <t>ÖSTERGÖTLANDS LÄN</t>
        </is>
      </c>
      <c r="E301" t="inlineStr">
        <is>
          <t>LINKÖPING</t>
        </is>
      </c>
      <c r="F301" t="inlineStr">
        <is>
          <t>Övriga Aktiebolag</t>
        </is>
      </c>
      <c r="G301" t="n">
        <v>1.6</v>
      </c>
      <c r="H301" t="n">
        <v>0</v>
      </c>
      <c r="I301" t="n">
        <v>0</v>
      </c>
      <c r="J301" t="n">
        <v>0</v>
      </c>
      <c r="K301" t="n">
        <v>0</v>
      </c>
      <c r="L301" t="n">
        <v>0</v>
      </c>
      <c r="M301" t="n">
        <v>0</v>
      </c>
      <c r="N301" t="n">
        <v>0</v>
      </c>
      <c r="O301" t="n">
        <v>0</v>
      </c>
      <c r="P301" t="n">
        <v>0</v>
      </c>
      <c r="Q301" t="n">
        <v>0</v>
      </c>
      <c r="R301" s="2" t="inlineStr"/>
    </row>
    <row r="302" ht="15" customHeight="1">
      <c r="A302" t="inlineStr">
        <is>
          <t>A 49619-2025</t>
        </is>
      </c>
      <c r="B302" s="1" t="n">
        <v>45938</v>
      </c>
      <c r="C302" s="1" t="n">
        <v>45981</v>
      </c>
      <c r="D302" t="inlineStr">
        <is>
          <t>ÖSTERGÖTLANDS LÄN</t>
        </is>
      </c>
      <c r="E302" t="inlineStr">
        <is>
          <t>LINKÖPING</t>
        </is>
      </c>
      <c r="F302" t="inlineStr">
        <is>
          <t>Övriga Aktiebolag</t>
        </is>
      </c>
      <c r="G302" t="n">
        <v>2.3</v>
      </c>
      <c r="H302" t="n">
        <v>0</v>
      </c>
      <c r="I302" t="n">
        <v>0</v>
      </c>
      <c r="J302" t="n">
        <v>0</v>
      </c>
      <c r="K302" t="n">
        <v>0</v>
      </c>
      <c r="L302" t="n">
        <v>0</v>
      </c>
      <c r="M302" t="n">
        <v>0</v>
      </c>
      <c r="N302" t="n">
        <v>0</v>
      </c>
      <c r="O302" t="n">
        <v>0</v>
      </c>
      <c r="P302" t="n">
        <v>0</v>
      </c>
      <c r="Q302" t="n">
        <v>0</v>
      </c>
      <c r="R302" s="2" t="inlineStr"/>
    </row>
    <row r="303" ht="15" customHeight="1">
      <c r="A303" t="inlineStr">
        <is>
          <t>A 49629-2025</t>
        </is>
      </c>
      <c r="B303" s="1" t="n">
        <v>45938</v>
      </c>
      <c r="C303" s="1" t="n">
        <v>45981</v>
      </c>
      <c r="D303" t="inlineStr">
        <is>
          <t>ÖSTERGÖTLANDS LÄN</t>
        </is>
      </c>
      <c r="E303" t="inlineStr">
        <is>
          <t>LINKÖPING</t>
        </is>
      </c>
      <c r="F303" t="inlineStr">
        <is>
          <t>Övriga Aktiebolag</t>
        </is>
      </c>
      <c r="G303" t="n">
        <v>4.5</v>
      </c>
      <c r="H303" t="n">
        <v>0</v>
      </c>
      <c r="I303" t="n">
        <v>0</v>
      </c>
      <c r="J303" t="n">
        <v>0</v>
      </c>
      <c r="K303" t="n">
        <v>0</v>
      </c>
      <c r="L303" t="n">
        <v>0</v>
      </c>
      <c r="M303" t="n">
        <v>0</v>
      </c>
      <c r="N303" t="n">
        <v>0</v>
      </c>
      <c r="O303" t="n">
        <v>0</v>
      </c>
      <c r="P303" t="n">
        <v>0</v>
      </c>
      <c r="Q303" t="n">
        <v>0</v>
      </c>
      <c r="R303" s="2" t="inlineStr"/>
    </row>
    <row r="304" ht="15" customHeight="1">
      <c r="A304" t="inlineStr">
        <is>
          <t>A 49633-2025</t>
        </is>
      </c>
      <c r="B304" s="1" t="n">
        <v>45938</v>
      </c>
      <c r="C304" s="1" t="n">
        <v>45981</v>
      </c>
      <c r="D304" t="inlineStr">
        <is>
          <t>ÖSTERGÖTLANDS LÄN</t>
        </is>
      </c>
      <c r="E304" t="inlineStr">
        <is>
          <t>LINKÖPING</t>
        </is>
      </c>
      <c r="F304" t="inlineStr">
        <is>
          <t>Övriga Aktiebolag</t>
        </is>
      </c>
      <c r="G304" t="n">
        <v>0.7</v>
      </c>
      <c r="H304" t="n">
        <v>0</v>
      </c>
      <c r="I304" t="n">
        <v>0</v>
      </c>
      <c r="J304" t="n">
        <v>0</v>
      </c>
      <c r="K304" t="n">
        <v>0</v>
      </c>
      <c r="L304" t="n">
        <v>0</v>
      </c>
      <c r="M304" t="n">
        <v>0</v>
      </c>
      <c r="N304" t="n">
        <v>0</v>
      </c>
      <c r="O304" t="n">
        <v>0</v>
      </c>
      <c r="P304" t="n">
        <v>0</v>
      </c>
      <c r="Q304" t="n">
        <v>0</v>
      </c>
      <c r="R304" s="2" t="inlineStr"/>
    </row>
    <row r="305" ht="15" customHeight="1">
      <c r="A305" t="inlineStr">
        <is>
          <t>A 49455-2025</t>
        </is>
      </c>
      <c r="B305" s="1" t="n">
        <v>45938</v>
      </c>
      <c r="C305" s="1" t="n">
        <v>45981</v>
      </c>
      <c r="D305" t="inlineStr">
        <is>
          <t>ÖSTERGÖTLANDS LÄN</t>
        </is>
      </c>
      <c r="E305" t="inlineStr">
        <is>
          <t>LINKÖPING</t>
        </is>
      </c>
      <c r="F305" t="inlineStr">
        <is>
          <t>Övriga Aktiebolag</t>
        </is>
      </c>
      <c r="G305" t="n">
        <v>5.9</v>
      </c>
      <c r="H305" t="n">
        <v>0</v>
      </c>
      <c r="I305" t="n">
        <v>0</v>
      </c>
      <c r="J305" t="n">
        <v>0</v>
      </c>
      <c r="K305" t="n">
        <v>0</v>
      </c>
      <c r="L305" t="n">
        <v>0</v>
      </c>
      <c r="M305" t="n">
        <v>0</v>
      </c>
      <c r="N305" t="n">
        <v>0</v>
      </c>
      <c r="O305" t="n">
        <v>0</v>
      </c>
      <c r="P305" t="n">
        <v>0</v>
      </c>
      <c r="Q305" t="n">
        <v>0</v>
      </c>
      <c r="R305" s="2" t="inlineStr"/>
    </row>
    <row r="306" ht="15" customHeight="1">
      <c r="A306" t="inlineStr">
        <is>
          <t>A 62374-2020</t>
        </is>
      </c>
      <c r="B306" s="1" t="n">
        <v>44159</v>
      </c>
      <c r="C306" s="1" t="n">
        <v>45981</v>
      </c>
      <c r="D306" t="inlineStr">
        <is>
          <t>ÖSTERGÖTLANDS LÄN</t>
        </is>
      </c>
      <c r="E306" t="inlineStr">
        <is>
          <t>LINKÖPING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49647-2025</t>
        </is>
      </c>
      <c r="B307" s="1" t="n">
        <v>45938</v>
      </c>
      <c r="C307" s="1" t="n">
        <v>45981</v>
      </c>
      <c r="D307" t="inlineStr">
        <is>
          <t>ÖSTERGÖTLANDS LÄN</t>
        </is>
      </c>
      <c r="E307" t="inlineStr">
        <is>
          <t>LINKÖPING</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49650-2025</t>
        </is>
      </c>
      <c r="B308" s="1" t="n">
        <v>45938</v>
      </c>
      <c r="C308" s="1" t="n">
        <v>45981</v>
      </c>
      <c r="D308" t="inlineStr">
        <is>
          <t>ÖSTERGÖTLANDS LÄN</t>
        </is>
      </c>
      <c r="E308" t="inlineStr">
        <is>
          <t>LINKÖPING</t>
        </is>
      </c>
      <c r="F308" t="inlineStr">
        <is>
          <t>Övriga Aktiebolag</t>
        </is>
      </c>
      <c r="G308" t="n">
        <v>1.5</v>
      </c>
      <c r="H308" t="n">
        <v>0</v>
      </c>
      <c r="I308" t="n">
        <v>0</v>
      </c>
      <c r="J308" t="n">
        <v>0</v>
      </c>
      <c r="K308" t="n">
        <v>0</v>
      </c>
      <c r="L308" t="n">
        <v>0</v>
      </c>
      <c r="M308" t="n">
        <v>0</v>
      </c>
      <c r="N308" t="n">
        <v>0</v>
      </c>
      <c r="O308" t="n">
        <v>0</v>
      </c>
      <c r="P308" t="n">
        <v>0</v>
      </c>
      <c r="Q308" t="n">
        <v>0</v>
      </c>
      <c r="R308" s="2" t="inlineStr"/>
    </row>
    <row r="309" ht="15" customHeight="1">
      <c r="A309" t="inlineStr">
        <is>
          <t>A 49652-2025</t>
        </is>
      </c>
      <c r="B309" s="1" t="n">
        <v>45938</v>
      </c>
      <c r="C309" s="1" t="n">
        <v>45981</v>
      </c>
      <c r="D309" t="inlineStr">
        <is>
          <t>ÖSTERGÖTLANDS LÄN</t>
        </is>
      </c>
      <c r="E309" t="inlineStr">
        <is>
          <t>LINKÖPING</t>
        </is>
      </c>
      <c r="F309" t="inlineStr">
        <is>
          <t>Övriga Aktiebolag</t>
        </is>
      </c>
      <c r="G309" t="n">
        <v>1.8</v>
      </c>
      <c r="H309" t="n">
        <v>0</v>
      </c>
      <c r="I309" t="n">
        <v>0</v>
      </c>
      <c r="J309" t="n">
        <v>0</v>
      </c>
      <c r="K309" t="n">
        <v>0</v>
      </c>
      <c r="L309" t="n">
        <v>0</v>
      </c>
      <c r="M309" t="n">
        <v>0</v>
      </c>
      <c r="N309" t="n">
        <v>0</v>
      </c>
      <c r="O309" t="n">
        <v>0</v>
      </c>
      <c r="P309" t="n">
        <v>0</v>
      </c>
      <c r="Q309" t="n">
        <v>0</v>
      </c>
      <c r="R309" s="2" t="inlineStr"/>
    </row>
    <row r="310" ht="15" customHeight="1">
      <c r="A310" t="inlineStr">
        <is>
          <t>A 49663-2025</t>
        </is>
      </c>
      <c r="B310" s="1" t="n">
        <v>45938</v>
      </c>
      <c r="C310" s="1" t="n">
        <v>45981</v>
      </c>
      <c r="D310" t="inlineStr">
        <is>
          <t>ÖSTERGÖTLANDS LÄN</t>
        </is>
      </c>
      <c r="E310" t="inlineStr">
        <is>
          <t>LINKÖPING</t>
        </is>
      </c>
      <c r="F310" t="inlineStr">
        <is>
          <t>Övriga Aktiebolag</t>
        </is>
      </c>
      <c r="G310" t="n">
        <v>1.2</v>
      </c>
      <c r="H310" t="n">
        <v>0</v>
      </c>
      <c r="I310" t="n">
        <v>0</v>
      </c>
      <c r="J310" t="n">
        <v>0</v>
      </c>
      <c r="K310" t="n">
        <v>0</v>
      </c>
      <c r="L310" t="n">
        <v>0</v>
      </c>
      <c r="M310" t="n">
        <v>0</v>
      </c>
      <c r="N310" t="n">
        <v>0</v>
      </c>
      <c r="O310" t="n">
        <v>0</v>
      </c>
      <c r="P310" t="n">
        <v>0</v>
      </c>
      <c r="Q310" t="n">
        <v>0</v>
      </c>
      <c r="R310" s="2" t="inlineStr"/>
    </row>
    <row r="311" ht="15" customHeight="1">
      <c r="A311" t="inlineStr">
        <is>
          <t>A 9473-2024</t>
        </is>
      </c>
      <c r="B311" s="1" t="n">
        <v>45359.55474537037</v>
      </c>
      <c r="C311" s="1" t="n">
        <v>45981</v>
      </c>
      <c r="D311" t="inlineStr">
        <is>
          <t>ÖSTERGÖTLANDS LÄN</t>
        </is>
      </c>
      <c r="E311" t="inlineStr">
        <is>
          <t>LINKÖPING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16462-2021</t>
        </is>
      </c>
      <c r="B312" s="1" t="n">
        <v>44293</v>
      </c>
      <c r="C312" s="1" t="n">
        <v>45981</v>
      </c>
      <c r="D312" t="inlineStr">
        <is>
          <t>ÖSTERGÖTLANDS LÄN</t>
        </is>
      </c>
      <c r="E312" t="inlineStr">
        <is>
          <t>LINKÖPING</t>
        </is>
      </c>
      <c r="F312" t="inlineStr">
        <is>
          <t>Allmännings- och besparingsskogar</t>
        </is>
      </c>
      <c r="G312" t="n">
        <v>24.7</v>
      </c>
      <c r="H312" t="n">
        <v>0</v>
      </c>
      <c r="I312" t="n">
        <v>0</v>
      </c>
      <c r="J312" t="n">
        <v>0</v>
      </c>
      <c r="K312" t="n">
        <v>0</v>
      </c>
      <c r="L312" t="n">
        <v>0</v>
      </c>
      <c r="M312" t="n">
        <v>0</v>
      </c>
      <c r="N312" t="n">
        <v>0</v>
      </c>
      <c r="O312" t="n">
        <v>0</v>
      </c>
      <c r="P312" t="n">
        <v>0</v>
      </c>
      <c r="Q312" t="n">
        <v>0</v>
      </c>
      <c r="R312" s="2" t="inlineStr"/>
    </row>
    <row r="313" ht="15" customHeight="1">
      <c r="A313" t="inlineStr">
        <is>
          <t>A 58947-2022</t>
        </is>
      </c>
      <c r="B313" s="1" t="n">
        <v>44903.64769675926</v>
      </c>
      <c r="C313" s="1" t="n">
        <v>45981</v>
      </c>
      <c r="D313" t="inlineStr">
        <is>
          <t>ÖSTERGÖTLANDS LÄN</t>
        </is>
      </c>
      <c r="E313" t="inlineStr">
        <is>
          <t>LINKÖPING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49632-2025</t>
        </is>
      </c>
      <c r="B314" s="1" t="n">
        <v>45938</v>
      </c>
      <c r="C314" s="1" t="n">
        <v>45981</v>
      </c>
      <c r="D314" t="inlineStr">
        <is>
          <t>ÖSTERGÖTLANDS LÄN</t>
        </is>
      </c>
      <c r="E314" t="inlineStr">
        <is>
          <t>LINKÖPING</t>
        </is>
      </c>
      <c r="F314" t="inlineStr">
        <is>
          <t>Övriga Aktiebolag</t>
        </is>
      </c>
      <c r="G314" t="n">
        <v>1.6</v>
      </c>
      <c r="H314" t="n">
        <v>0</v>
      </c>
      <c r="I314" t="n">
        <v>0</v>
      </c>
      <c r="J314" t="n">
        <v>0</v>
      </c>
      <c r="K314" t="n">
        <v>0</v>
      </c>
      <c r="L314" t="n">
        <v>0</v>
      </c>
      <c r="M314" t="n">
        <v>0</v>
      </c>
      <c r="N314" t="n">
        <v>0</v>
      </c>
      <c r="O314" t="n">
        <v>0</v>
      </c>
      <c r="P314" t="n">
        <v>0</v>
      </c>
      <c r="Q314" t="n">
        <v>0</v>
      </c>
      <c r="R314" s="2" t="inlineStr"/>
    </row>
    <row r="315" ht="15" customHeight="1">
      <c r="A315" t="inlineStr">
        <is>
          <t>A 49654-2025</t>
        </is>
      </c>
      <c r="B315" s="1" t="n">
        <v>45938</v>
      </c>
      <c r="C315" s="1" t="n">
        <v>45981</v>
      </c>
      <c r="D315" t="inlineStr">
        <is>
          <t>ÖSTERGÖTLANDS LÄN</t>
        </is>
      </c>
      <c r="E315" t="inlineStr">
        <is>
          <t>LINKÖPING</t>
        </is>
      </c>
      <c r="F315" t="inlineStr">
        <is>
          <t>Övriga Aktiebolag</t>
        </is>
      </c>
      <c r="G315" t="n">
        <v>3.1</v>
      </c>
      <c r="H315" t="n">
        <v>0</v>
      </c>
      <c r="I315" t="n">
        <v>0</v>
      </c>
      <c r="J315" t="n">
        <v>0</v>
      </c>
      <c r="K315" t="n">
        <v>0</v>
      </c>
      <c r="L315" t="n">
        <v>0</v>
      </c>
      <c r="M315" t="n">
        <v>0</v>
      </c>
      <c r="N315" t="n">
        <v>0</v>
      </c>
      <c r="O315" t="n">
        <v>0</v>
      </c>
      <c r="P315" t="n">
        <v>0</v>
      </c>
      <c r="Q315" t="n">
        <v>0</v>
      </c>
      <c r="R315" s="2" t="inlineStr"/>
    </row>
    <row r="316" ht="15" customHeight="1">
      <c r="A316" t="inlineStr">
        <is>
          <t>A 49605-2025</t>
        </is>
      </c>
      <c r="B316" s="1" t="n">
        <v>45938</v>
      </c>
      <c r="C316" s="1" t="n">
        <v>45981</v>
      </c>
      <c r="D316" t="inlineStr">
        <is>
          <t>ÖSTERGÖTLANDS LÄN</t>
        </is>
      </c>
      <c r="E316" t="inlineStr">
        <is>
          <t>LINKÖPING</t>
        </is>
      </c>
      <c r="F316" t="inlineStr">
        <is>
          <t>Övriga Aktiebolag</t>
        </is>
      </c>
      <c r="G316" t="n">
        <v>3.3</v>
      </c>
      <c r="H316" t="n">
        <v>0</v>
      </c>
      <c r="I316" t="n">
        <v>0</v>
      </c>
      <c r="J316" t="n">
        <v>0</v>
      </c>
      <c r="K316" t="n">
        <v>0</v>
      </c>
      <c r="L316" t="n">
        <v>0</v>
      </c>
      <c r="M316" t="n">
        <v>0</v>
      </c>
      <c r="N316" t="n">
        <v>0</v>
      </c>
      <c r="O316" t="n">
        <v>0</v>
      </c>
      <c r="P316" t="n">
        <v>0</v>
      </c>
      <c r="Q316" t="n">
        <v>0</v>
      </c>
      <c r="R316" s="2" t="inlineStr"/>
    </row>
    <row r="317" ht="15" customHeight="1">
      <c r="A317" t="inlineStr">
        <is>
          <t>A 6859-2024</t>
        </is>
      </c>
      <c r="B317" s="1" t="n">
        <v>45342</v>
      </c>
      <c r="C317" s="1" t="n">
        <v>45981</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44287-2024</t>
        </is>
      </c>
      <c r="B318" s="1" t="n">
        <v>45573.50582175926</v>
      </c>
      <c r="C318" s="1" t="n">
        <v>45981</v>
      </c>
      <c r="D318" t="inlineStr">
        <is>
          <t>ÖSTERGÖTLANDS LÄN</t>
        </is>
      </c>
      <c r="E318" t="inlineStr">
        <is>
          <t>LINKÖPING</t>
        </is>
      </c>
      <c r="G318" t="n">
        <v>12.7</v>
      </c>
      <c r="H318" t="n">
        <v>0</v>
      </c>
      <c r="I318" t="n">
        <v>0</v>
      </c>
      <c r="J318" t="n">
        <v>0</v>
      </c>
      <c r="K318" t="n">
        <v>0</v>
      </c>
      <c r="L318" t="n">
        <v>0</v>
      </c>
      <c r="M318" t="n">
        <v>0</v>
      </c>
      <c r="N318" t="n">
        <v>0</v>
      </c>
      <c r="O318" t="n">
        <v>0</v>
      </c>
      <c r="P318" t="n">
        <v>0</v>
      </c>
      <c r="Q318" t="n">
        <v>0</v>
      </c>
      <c r="R318" s="2" t="inlineStr"/>
    </row>
    <row r="319" ht="15" customHeight="1">
      <c r="A319" t="inlineStr">
        <is>
          <t>A 16665-2023</t>
        </is>
      </c>
      <c r="B319" s="1" t="n">
        <v>45030.5583912037</v>
      </c>
      <c r="C319" s="1" t="n">
        <v>45981</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22364-2025</t>
        </is>
      </c>
      <c r="B320" s="1" t="n">
        <v>45786.46930555555</v>
      </c>
      <c r="C320" s="1" t="n">
        <v>45981</v>
      </c>
      <c r="D320" t="inlineStr">
        <is>
          <t>ÖSTERGÖTLANDS LÄN</t>
        </is>
      </c>
      <c r="E320" t="inlineStr">
        <is>
          <t>LINKÖPING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60001-2022</t>
        </is>
      </c>
      <c r="B321" s="1" t="n">
        <v>44909.47087962963</v>
      </c>
      <c r="C321" s="1" t="n">
        <v>45981</v>
      </c>
      <c r="D321" t="inlineStr">
        <is>
          <t>ÖSTERGÖTLANDS LÄN</t>
        </is>
      </c>
      <c r="E321" t="inlineStr">
        <is>
          <t>LINKÖPING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60013-2022</t>
        </is>
      </c>
      <c r="B322" s="1" t="n">
        <v>44909.47482638889</v>
      </c>
      <c r="C322" s="1" t="n">
        <v>45981</v>
      </c>
      <c r="D322" t="inlineStr">
        <is>
          <t>ÖSTERGÖTLANDS LÄN</t>
        </is>
      </c>
      <c r="E322" t="inlineStr">
        <is>
          <t>LINKÖPING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1211-2023</t>
        </is>
      </c>
      <c r="B323" s="1" t="n">
        <v>44930</v>
      </c>
      <c r="C323" s="1" t="n">
        <v>45981</v>
      </c>
      <c r="D323" t="inlineStr">
        <is>
          <t>ÖSTERGÖTLANDS LÄN</t>
        </is>
      </c>
      <c r="E323" t="inlineStr">
        <is>
          <t>LINKÖPING</t>
        </is>
      </c>
      <c r="F323" t="inlineStr">
        <is>
          <t>Övriga statliga verk och myndigheter</t>
        </is>
      </c>
      <c r="G323" t="n">
        <v>7.9</v>
      </c>
      <c r="H323" t="n">
        <v>0</v>
      </c>
      <c r="I323" t="n">
        <v>0</v>
      </c>
      <c r="J323" t="n">
        <v>0</v>
      </c>
      <c r="K323" t="n">
        <v>0</v>
      </c>
      <c r="L323" t="n">
        <v>0</v>
      </c>
      <c r="M323" t="n">
        <v>0</v>
      </c>
      <c r="N323" t="n">
        <v>0</v>
      </c>
      <c r="O323" t="n">
        <v>0</v>
      </c>
      <c r="P323" t="n">
        <v>0</v>
      </c>
      <c r="Q323" t="n">
        <v>0</v>
      </c>
      <c r="R323" s="2" t="inlineStr"/>
    </row>
    <row r="324" ht="15" customHeight="1">
      <c r="A324" t="inlineStr">
        <is>
          <t>A 63554-2023</t>
        </is>
      </c>
      <c r="B324" s="1" t="n">
        <v>45275</v>
      </c>
      <c r="C324" s="1" t="n">
        <v>45981</v>
      </c>
      <c r="D324" t="inlineStr">
        <is>
          <t>ÖSTERGÖTLANDS LÄN</t>
        </is>
      </c>
      <c r="E324" t="inlineStr">
        <is>
          <t>LINKÖPING</t>
        </is>
      </c>
      <c r="G324" t="n">
        <v>4.3</v>
      </c>
      <c r="H324" t="n">
        <v>0</v>
      </c>
      <c r="I324" t="n">
        <v>0</v>
      </c>
      <c r="J324" t="n">
        <v>0</v>
      </c>
      <c r="K324" t="n">
        <v>0</v>
      </c>
      <c r="L324" t="n">
        <v>0</v>
      </c>
      <c r="M324" t="n">
        <v>0</v>
      </c>
      <c r="N324" t="n">
        <v>0</v>
      </c>
      <c r="O324" t="n">
        <v>0</v>
      </c>
      <c r="P324" t="n">
        <v>0</v>
      </c>
      <c r="Q324" t="n">
        <v>0</v>
      </c>
      <c r="R324" s="2" t="inlineStr"/>
    </row>
    <row r="325" ht="15" customHeight="1">
      <c r="A325" t="inlineStr">
        <is>
          <t>A 40983-2025</t>
        </is>
      </c>
      <c r="B325" s="1" t="n">
        <v>45898</v>
      </c>
      <c r="C325" s="1" t="n">
        <v>45981</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572-2025</t>
        </is>
      </c>
      <c r="B326" s="1" t="n">
        <v>45664.56349537037</v>
      </c>
      <c r="C326" s="1" t="n">
        <v>45981</v>
      </c>
      <c r="D326" t="inlineStr">
        <is>
          <t>ÖSTERGÖTLANDS LÄN</t>
        </is>
      </c>
      <c r="E326" t="inlineStr">
        <is>
          <t>LINKÖPING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38136-2023</t>
        </is>
      </c>
      <c r="B327" s="1" t="n">
        <v>45161.37310185185</v>
      </c>
      <c r="C327" s="1" t="n">
        <v>45981</v>
      </c>
      <c r="D327" t="inlineStr">
        <is>
          <t>ÖSTERGÖTLANDS LÄN</t>
        </is>
      </c>
      <c r="E327" t="inlineStr">
        <is>
          <t>LINKÖPING</t>
        </is>
      </c>
      <c r="G327" t="n">
        <v>5.6</v>
      </c>
      <c r="H327" t="n">
        <v>0</v>
      </c>
      <c r="I327" t="n">
        <v>0</v>
      </c>
      <c r="J327" t="n">
        <v>0</v>
      </c>
      <c r="K327" t="n">
        <v>0</v>
      </c>
      <c r="L327" t="n">
        <v>0</v>
      </c>
      <c r="M327" t="n">
        <v>0</v>
      </c>
      <c r="N327" t="n">
        <v>0</v>
      </c>
      <c r="O327" t="n">
        <v>0</v>
      </c>
      <c r="P327" t="n">
        <v>0</v>
      </c>
      <c r="Q327" t="n">
        <v>0</v>
      </c>
      <c r="R327" s="2" t="inlineStr"/>
    </row>
    <row r="328" ht="15" customHeight="1">
      <c r="A328" t="inlineStr">
        <is>
          <t>A 10797-2024</t>
        </is>
      </c>
      <c r="B328" s="1" t="n">
        <v>45369.6190162037</v>
      </c>
      <c r="C328" s="1" t="n">
        <v>45981</v>
      </c>
      <c r="D328" t="inlineStr">
        <is>
          <t>ÖSTERGÖTLANDS LÄN</t>
        </is>
      </c>
      <c r="E328" t="inlineStr">
        <is>
          <t>LINKÖPING</t>
        </is>
      </c>
      <c r="G328" t="n">
        <v>1.5</v>
      </c>
      <c r="H328" t="n">
        <v>0</v>
      </c>
      <c r="I328" t="n">
        <v>0</v>
      </c>
      <c r="J328" t="n">
        <v>0</v>
      </c>
      <c r="K328" t="n">
        <v>0</v>
      </c>
      <c r="L328" t="n">
        <v>0</v>
      </c>
      <c r="M328" t="n">
        <v>0</v>
      </c>
      <c r="N328" t="n">
        <v>0</v>
      </c>
      <c r="O328" t="n">
        <v>0</v>
      </c>
      <c r="P328" t="n">
        <v>0</v>
      </c>
      <c r="Q328" t="n">
        <v>0</v>
      </c>
      <c r="R328" s="2" t="inlineStr"/>
    </row>
    <row r="329" ht="15" customHeight="1">
      <c r="A329" t="inlineStr">
        <is>
          <t>A 63638-2023</t>
        </is>
      </c>
      <c r="B329" s="1" t="n">
        <v>45275</v>
      </c>
      <c r="C329" s="1" t="n">
        <v>45981</v>
      </c>
      <c r="D329" t="inlineStr">
        <is>
          <t>ÖSTERGÖTLANDS LÄN</t>
        </is>
      </c>
      <c r="E329" t="inlineStr">
        <is>
          <t>LINKÖPING</t>
        </is>
      </c>
      <c r="F329" t="inlineStr">
        <is>
          <t>Övriga Aktiebolag</t>
        </is>
      </c>
      <c r="G329" t="n">
        <v>2.4</v>
      </c>
      <c r="H329" t="n">
        <v>0</v>
      </c>
      <c r="I329" t="n">
        <v>0</v>
      </c>
      <c r="J329" t="n">
        <v>0</v>
      </c>
      <c r="K329" t="n">
        <v>0</v>
      </c>
      <c r="L329" t="n">
        <v>0</v>
      </c>
      <c r="M329" t="n">
        <v>0</v>
      </c>
      <c r="N329" t="n">
        <v>0</v>
      </c>
      <c r="O329" t="n">
        <v>0</v>
      </c>
      <c r="P329" t="n">
        <v>0</v>
      </c>
      <c r="Q329" t="n">
        <v>0</v>
      </c>
      <c r="R329" s="2" t="inlineStr"/>
    </row>
    <row r="330" ht="15" customHeight="1">
      <c r="A330" t="inlineStr">
        <is>
          <t>A 63658-2023</t>
        </is>
      </c>
      <c r="B330" s="1" t="n">
        <v>45275</v>
      </c>
      <c r="C330" s="1" t="n">
        <v>45981</v>
      </c>
      <c r="D330" t="inlineStr">
        <is>
          <t>ÖSTERGÖTLANDS LÄN</t>
        </is>
      </c>
      <c r="E330" t="inlineStr">
        <is>
          <t>LINKÖPING</t>
        </is>
      </c>
      <c r="F330" t="inlineStr">
        <is>
          <t>Övriga Aktiebolag</t>
        </is>
      </c>
      <c r="G330" t="n">
        <v>1.5</v>
      </c>
      <c r="H330" t="n">
        <v>0</v>
      </c>
      <c r="I330" t="n">
        <v>0</v>
      </c>
      <c r="J330" t="n">
        <v>0</v>
      </c>
      <c r="K330" t="n">
        <v>0</v>
      </c>
      <c r="L330" t="n">
        <v>0</v>
      </c>
      <c r="M330" t="n">
        <v>0</v>
      </c>
      <c r="N330" t="n">
        <v>0</v>
      </c>
      <c r="O330" t="n">
        <v>0</v>
      </c>
      <c r="P330" t="n">
        <v>0</v>
      </c>
      <c r="Q330" t="n">
        <v>0</v>
      </c>
      <c r="R330" s="2" t="inlineStr"/>
    </row>
    <row r="331" ht="15" customHeight="1">
      <c r="A331" t="inlineStr">
        <is>
          <t>A 38580-2024</t>
        </is>
      </c>
      <c r="B331" s="1" t="n">
        <v>45546.64825231482</v>
      </c>
      <c r="C331" s="1" t="n">
        <v>45981</v>
      </c>
      <c r="D331" t="inlineStr">
        <is>
          <t>ÖSTERGÖTLANDS LÄN</t>
        </is>
      </c>
      <c r="E331" t="inlineStr">
        <is>
          <t>LINKÖPING</t>
        </is>
      </c>
      <c r="G331" t="n">
        <v>4.8</v>
      </c>
      <c r="H331" t="n">
        <v>0</v>
      </c>
      <c r="I331" t="n">
        <v>0</v>
      </c>
      <c r="J331" t="n">
        <v>0</v>
      </c>
      <c r="K331" t="n">
        <v>0</v>
      </c>
      <c r="L331" t="n">
        <v>0</v>
      </c>
      <c r="M331" t="n">
        <v>0</v>
      </c>
      <c r="N331" t="n">
        <v>0</v>
      </c>
      <c r="O331" t="n">
        <v>0</v>
      </c>
      <c r="P331" t="n">
        <v>0</v>
      </c>
      <c r="Q331" t="n">
        <v>0</v>
      </c>
      <c r="R331" s="2" t="inlineStr"/>
    </row>
    <row r="332" ht="15" customHeight="1">
      <c r="A332" t="inlineStr">
        <is>
          <t>A 57752-2023</t>
        </is>
      </c>
      <c r="B332" s="1" t="n">
        <v>45246.78474537037</v>
      </c>
      <c r="C332" s="1" t="n">
        <v>45981</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16820-2024</t>
        </is>
      </c>
      <c r="B333" s="1" t="n">
        <v>45411.46809027778</v>
      </c>
      <c r="C333" s="1" t="n">
        <v>45981</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41511-2025</t>
        </is>
      </c>
      <c r="B334" s="1" t="n">
        <v>45901.53839120371</v>
      </c>
      <c r="C334" s="1" t="n">
        <v>45981</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4456-2024</t>
        </is>
      </c>
      <c r="B335" s="1" t="n">
        <v>45327.52847222222</v>
      </c>
      <c r="C335" s="1" t="n">
        <v>45981</v>
      </c>
      <c r="D335" t="inlineStr">
        <is>
          <t>ÖSTERGÖTLANDS LÄN</t>
        </is>
      </c>
      <c r="E335" t="inlineStr">
        <is>
          <t>LINKÖPING</t>
        </is>
      </c>
      <c r="G335" t="n">
        <v>2.7</v>
      </c>
      <c r="H335" t="n">
        <v>0</v>
      </c>
      <c r="I335" t="n">
        <v>0</v>
      </c>
      <c r="J335" t="n">
        <v>0</v>
      </c>
      <c r="K335" t="n">
        <v>0</v>
      </c>
      <c r="L335" t="n">
        <v>0</v>
      </c>
      <c r="M335" t="n">
        <v>0</v>
      </c>
      <c r="N335" t="n">
        <v>0</v>
      </c>
      <c r="O335" t="n">
        <v>0</v>
      </c>
      <c r="P335" t="n">
        <v>0</v>
      </c>
      <c r="Q335" t="n">
        <v>0</v>
      </c>
      <c r="R335" s="2" t="inlineStr"/>
    </row>
    <row r="336" ht="15" customHeight="1">
      <c r="A336" t="inlineStr">
        <is>
          <t>A 20298-2025</t>
        </is>
      </c>
      <c r="B336" s="1" t="n">
        <v>45774.75024305555</v>
      </c>
      <c r="C336" s="1" t="n">
        <v>45981</v>
      </c>
      <c r="D336" t="inlineStr">
        <is>
          <t>ÖSTERGÖTLANDS LÄN</t>
        </is>
      </c>
      <c r="E336" t="inlineStr">
        <is>
          <t>LINKÖPING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12317-2025</t>
        </is>
      </c>
      <c r="B337" s="1" t="n">
        <v>45729.8487037037</v>
      </c>
      <c r="C337" s="1" t="n">
        <v>45981</v>
      </c>
      <c r="D337" t="inlineStr">
        <is>
          <t>ÖSTERGÖTLANDS LÄN</t>
        </is>
      </c>
      <c r="E337" t="inlineStr">
        <is>
          <t>LINKÖPING</t>
        </is>
      </c>
      <c r="G337" t="n">
        <v>8</v>
      </c>
      <c r="H337" t="n">
        <v>0</v>
      </c>
      <c r="I337" t="n">
        <v>0</v>
      </c>
      <c r="J337" t="n">
        <v>0</v>
      </c>
      <c r="K337" t="n">
        <v>0</v>
      </c>
      <c r="L337" t="n">
        <v>0</v>
      </c>
      <c r="M337" t="n">
        <v>0</v>
      </c>
      <c r="N337" t="n">
        <v>0</v>
      </c>
      <c r="O337" t="n">
        <v>0</v>
      </c>
      <c r="P337" t="n">
        <v>0</v>
      </c>
      <c r="Q337" t="n">
        <v>0</v>
      </c>
      <c r="R337" s="2" t="inlineStr"/>
    </row>
    <row r="338" ht="15" customHeight="1">
      <c r="A338" t="inlineStr">
        <is>
          <t>A 15121-2022</t>
        </is>
      </c>
      <c r="B338" s="1" t="n">
        <v>44658</v>
      </c>
      <c r="C338" s="1" t="n">
        <v>45981</v>
      </c>
      <c r="D338" t="inlineStr">
        <is>
          <t>ÖSTERGÖTLANDS LÄN</t>
        </is>
      </c>
      <c r="E338" t="inlineStr">
        <is>
          <t>LINKÖPING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36557-2023</t>
        </is>
      </c>
      <c r="B339" s="1" t="n">
        <v>45153</v>
      </c>
      <c r="C339" s="1" t="n">
        <v>45981</v>
      </c>
      <c r="D339" t="inlineStr">
        <is>
          <t>ÖSTERGÖTLANDS LÄN</t>
        </is>
      </c>
      <c r="E339" t="inlineStr">
        <is>
          <t>LINKÖPING</t>
        </is>
      </c>
      <c r="F339" t="inlineStr">
        <is>
          <t>Övriga Aktiebolag</t>
        </is>
      </c>
      <c r="G339" t="n">
        <v>3.1</v>
      </c>
      <c r="H339" t="n">
        <v>0</v>
      </c>
      <c r="I339" t="n">
        <v>0</v>
      </c>
      <c r="J339" t="n">
        <v>0</v>
      </c>
      <c r="K339" t="n">
        <v>0</v>
      </c>
      <c r="L339" t="n">
        <v>0</v>
      </c>
      <c r="M339" t="n">
        <v>0</v>
      </c>
      <c r="N339" t="n">
        <v>0</v>
      </c>
      <c r="O339" t="n">
        <v>0</v>
      </c>
      <c r="P339" t="n">
        <v>0</v>
      </c>
      <c r="Q339" t="n">
        <v>0</v>
      </c>
      <c r="R339" s="2" t="inlineStr"/>
    </row>
    <row r="340" ht="15" customHeight="1">
      <c r="A340" t="inlineStr">
        <is>
          <t>A 50743-2023</t>
        </is>
      </c>
      <c r="B340" s="1" t="n">
        <v>45217</v>
      </c>
      <c r="C340" s="1" t="n">
        <v>45981</v>
      </c>
      <c r="D340" t="inlineStr">
        <is>
          <t>ÖSTERGÖTLANDS LÄN</t>
        </is>
      </c>
      <c r="E340" t="inlineStr">
        <is>
          <t>LINKÖPING</t>
        </is>
      </c>
      <c r="G340" t="n">
        <v>2.7</v>
      </c>
      <c r="H340" t="n">
        <v>0</v>
      </c>
      <c r="I340" t="n">
        <v>0</v>
      </c>
      <c r="J340" t="n">
        <v>0</v>
      </c>
      <c r="K340" t="n">
        <v>0</v>
      </c>
      <c r="L340" t="n">
        <v>0</v>
      </c>
      <c r="M340" t="n">
        <v>0</v>
      </c>
      <c r="N340" t="n">
        <v>0</v>
      </c>
      <c r="O340" t="n">
        <v>0</v>
      </c>
      <c r="P340" t="n">
        <v>0</v>
      </c>
      <c r="Q340" t="n">
        <v>0</v>
      </c>
      <c r="R340" s="2" t="inlineStr"/>
    </row>
    <row r="341" ht="15" customHeight="1">
      <c r="A341" t="inlineStr">
        <is>
          <t>A 2085-2024</t>
        </is>
      </c>
      <c r="B341" s="1" t="n">
        <v>45309</v>
      </c>
      <c r="C341" s="1" t="n">
        <v>45981</v>
      </c>
      <c r="D341" t="inlineStr">
        <is>
          <t>ÖSTERGÖTLANDS LÄN</t>
        </is>
      </c>
      <c r="E341" t="inlineStr">
        <is>
          <t>LINKÖPING</t>
        </is>
      </c>
      <c r="G341" t="n">
        <v>4.5</v>
      </c>
      <c r="H341" t="n">
        <v>0</v>
      </c>
      <c r="I341" t="n">
        <v>0</v>
      </c>
      <c r="J341" t="n">
        <v>0</v>
      </c>
      <c r="K341" t="n">
        <v>0</v>
      </c>
      <c r="L341" t="n">
        <v>0</v>
      </c>
      <c r="M341" t="n">
        <v>0</v>
      </c>
      <c r="N341" t="n">
        <v>0</v>
      </c>
      <c r="O341" t="n">
        <v>0</v>
      </c>
      <c r="P341" t="n">
        <v>0</v>
      </c>
      <c r="Q341" t="n">
        <v>0</v>
      </c>
      <c r="R341" s="2" t="inlineStr"/>
    </row>
    <row r="342" ht="15" customHeight="1">
      <c r="A342" t="inlineStr">
        <is>
          <t>A 1440-2021</t>
        </is>
      </c>
      <c r="B342" s="1" t="n">
        <v>44208</v>
      </c>
      <c r="C342" s="1" t="n">
        <v>45981</v>
      </c>
      <c r="D342" t="inlineStr">
        <is>
          <t>ÖSTERGÖTLANDS LÄN</t>
        </is>
      </c>
      <c r="E342" t="inlineStr">
        <is>
          <t>LINKÖPING</t>
        </is>
      </c>
      <c r="G342" t="n">
        <v>8.4</v>
      </c>
      <c r="H342" t="n">
        <v>0</v>
      </c>
      <c r="I342" t="n">
        <v>0</v>
      </c>
      <c r="J342" t="n">
        <v>0</v>
      </c>
      <c r="K342" t="n">
        <v>0</v>
      </c>
      <c r="L342" t="n">
        <v>0</v>
      </c>
      <c r="M342" t="n">
        <v>0</v>
      </c>
      <c r="N342" t="n">
        <v>0</v>
      </c>
      <c r="O342" t="n">
        <v>0</v>
      </c>
      <c r="P342" t="n">
        <v>0</v>
      </c>
      <c r="Q342" t="n">
        <v>0</v>
      </c>
      <c r="R342" s="2" t="inlineStr"/>
    </row>
    <row r="343" ht="15" customHeight="1">
      <c r="A343" t="inlineStr">
        <is>
          <t>A 29312-2024</t>
        </is>
      </c>
      <c r="B343" s="1" t="n">
        <v>45483</v>
      </c>
      <c r="C343" s="1" t="n">
        <v>45981</v>
      </c>
      <c r="D343" t="inlineStr">
        <is>
          <t>ÖSTERGÖTLANDS LÄN</t>
        </is>
      </c>
      <c r="E343" t="inlineStr">
        <is>
          <t>LINKÖPING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30468-2023</t>
        </is>
      </c>
      <c r="B344" s="1" t="n">
        <v>45111.58732638889</v>
      </c>
      <c r="C344" s="1" t="n">
        <v>45981</v>
      </c>
      <c r="D344" t="inlineStr">
        <is>
          <t>ÖSTERGÖTLANDS LÄN</t>
        </is>
      </c>
      <c r="E344" t="inlineStr">
        <is>
          <t>LINKÖPING</t>
        </is>
      </c>
      <c r="G344" t="n">
        <v>10.1</v>
      </c>
      <c r="H344" t="n">
        <v>0</v>
      </c>
      <c r="I344" t="n">
        <v>0</v>
      </c>
      <c r="J344" t="n">
        <v>0</v>
      </c>
      <c r="K344" t="n">
        <v>0</v>
      </c>
      <c r="L344" t="n">
        <v>0</v>
      </c>
      <c r="M344" t="n">
        <v>0</v>
      </c>
      <c r="N344" t="n">
        <v>0</v>
      </c>
      <c r="O344" t="n">
        <v>0</v>
      </c>
      <c r="P344" t="n">
        <v>0</v>
      </c>
      <c r="Q344" t="n">
        <v>0</v>
      </c>
      <c r="R344" s="2" t="inlineStr"/>
    </row>
    <row r="345" ht="15" customHeight="1">
      <c r="A345" t="inlineStr">
        <is>
          <t>A 23120-2025</t>
        </is>
      </c>
      <c r="B345" s="1" t="n">
        <v>45791.37481481482</v>
      </c>
      <c r="C345" s="1" t="n">
        <v>45981</v>
      </c>
      <c r="D345" t="inlineStr">
        <is>
          <t>ÖSTERGÖTLANDS LÄN</t>
        </is>
      </c>
      <c r="E345" t="inlineStr">
        <is>
          <t>LINKÖPING</t>
        </is>
      </c>
      <c r="G345" t="n">
        <v>2.9</v>
      </c>
      <c r="H345" t="n">
        <v>0</v>
      </c>
      <c r="I345" t="n">
        <v>0</v>
      </c>
      <c r="J345" t="n">
        <v>0</v>
      </c>
      <c r="K345" t="n">
        <v>0</v>
      </c>
      <c r="L345" t="n">
        <v>0</v>
      </c>
      <c r="M345" t="n">
        <v>0</v>
      </c>
      <c r="N345" t="n">
        <v>0</v>
      </c>
      <c r="O345" t="n">
        <v>0</v>
      </c>
      <c r="P345" t="n">
        <v>0</v>
      </c>
      <c r="Q345" t="n">
        <v>0</v>
      </c>
      <c r="R345" s="2" t="inlineStr"/>
    </row>
    <row r="346" ht="15" customHeight="1">
      <c r="A346" t="inlineStr">
        <is>
          <t>A 13687-2025</t>
        </is>
      </c>
      <c r="B346" s="1" t="n">
        <v>45737.31425925926</v>
      </c>
      <c r="C346" s="1" t="n">
        <v>45981</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13695-2025</t>
        </is>
      </c>
      <c r="B347" s="1" t="n">
        <v>45737.32219907407</v>
      </c>
      <c r="C347" s="1" t="n">
        <v>45981</v>
      </c>
      <c r="D347" t="inlineStr">
        <is>
          <t>ÖSTERGÖTLANDS LÄN</t>
        </is>
      </c>
      <c r="E347" t="inlineStr">
        <is>
          <t>LINKÖPING</t>
        </is>
      </c>
      <c r="G347" t="n">
        <v>5.3</v>
      </c>
      <c r="H347" t="n">
        <v>0</v>
      </c>
      <c r="I347" t="n">
        <v>0</v>
      </c>
      <c r="J347" t="n">
        <v>0</v>
      </c>
      <c r="K347" t="n">
        <v>0</v>
      </c>
      <c r="L347" t="n">
        <v>0</v>
      </c>
      <c r="M347" t="n">
        <v>0</v>
      </c>
      <c r="N347" t="n">
        <v>0</v>
      </c>
      <c r="O347" t="n">
        <v>0</v>
      </c>
      <c r="P347" t="n">
        <v>0</v>
      </c>
      <c r="Q347" t="n">
        <v>0</v>
      </c>
      <c r="R347" s="2" t="inlineStr"/>
    </row>
    <row r="348" ht="15" customHeight="1">
      <c r="A348" t="inlineStr">
        <is>
          <t>A 23768-2025</t>
        </is>
      </c>
      <c r="B348" s="1" t="n">
        <v>45793.47493055555</v>
      </c>
      <c r="C348" s="1" t="n">
        <v>45981</v>
      </c>
      <c r="D348" t="inlineStr">
        <is>
          <t>ÖSTERGÖTLANDS LÄN</t>
        </is>
      </c>
      <c r="E348" t="inlineStr">
        <is>
          <t>LINKÖPING</t>
        </is>
      </c>
      <c r="G348" t="n">
        <v>3.4</v>
      </c>
      <c r="H348" t="n">
        <v>0</v>
      </c>
      <c r="I348" t="n">
        <v>0</v>
      </c>
      <c r="J348" t="n">
        <v>0</v>
      </c>
      <c r="K348" t="n">
        <v>0</v>
      </c>
      <c r="L348" t="n">
        <v>0</v>
      </c>
      <c r="M348" t="n">
        <v>0</v>
      </c>
      <c r="N348" t="n">
        <v>0</v>
      </c>
      <c r="O348" t="n">
        <v>0</v>
      </c>
      <c r="P348" t="n">
        <v>0</v>
      </c>
      <c r="Q348" t="n">
        <v>0</v>
      </c>
      <c r="R348" s="2" t="inlineStr"/>
    </row>
    <row r="349" ht="15" customHeight="1">
      <c r="A349" t="inlineStr">
        <is>
          <t>A 20294-2025</t>
        </is>
      </c>
      <c r="B349" s="1" t="n">
        <v>45774.74667824074</v>
      </c>
      <c r="C349" s="1" t="n">
        <v>45981</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38715-2023</t>
        </is>
      </c>
      <c r="B350" s="1" t="n">
        <v>45160</v>
      </c>
      <c r="C350" s="1" t="n">
        <v>45981</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41706-2025</t>
        </is>
      </c>
      <c r="B351" s="1" t="n">
        <v>45902.42209490741</v>
      </c>
      <c r="C351" s="1" t="n">
        <v>45981</v>
      </c>
      <c r="D351" t="inlineStr">
        <is>
          <t>ÖSTERGÖTLANDS LÄN</t>
        </is>
      </c>
      <c r="E351" t="inlineStr">
        <is>
          <t>LINKÖPING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34864-2023</t>
        </is>
      </c>
      <c r="B352" s="1" t="n">
        <v>45141</v>
      </c>
      <c r="C352" s="1" t="n">
        <v>45981</v>
      </c>
      <c r="D352" t="inlineStr">
        <is>
          <t>ÖSTERGÖTLANDS LÄN</t>
        </is>
      </c>
      <c r="E352" t="inlineStr">
        <is>
          <t>LINKÖPING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48699-2024</t>
        </is>
      </c>
      <c r="B353" s="1" t="n">
        <v>45593.52091435185</v>
      </c>
      <c r="C353" s="1" t="n">
        <v>45981</v>
      </c>
      <c r="D353" t="inlineStr">
        <is>
          <t>ÖSTERGÖTLANDS LÄN</t>
        </is>
      </c>
      <c r="E353" t="inlineStr">
        <is>
          <t>LINKÖPING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13911-2025</t>
        </is>
      </c>
      <c r="B354" s="1" t="n">
        <v>45737.64784722222</v>
      </c>
      <c r="C354" s="1" t="n">
        <v>45981</v>
      </c>
      <c r="D354" t="inlineStr">
        <is>
          <t>ÖSTERGÖTLANDS LÄN</t>
        </is>
      </c>
      <c r="E354" t="inlineStr">
        <is>
          <t>LINKÖPING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17128-2025</t>
        </is>
      </c>
      <c r="B355" s="1" t="n">
        <v>45755.72622685185</v>
      </c>
      <c r="C355" s="1" t="n">
        <v>45981</v>
      </c>
      <c r="D355" t="inlineStr">
        <is>
          <t>ÖSTERGÖTLANDS LÄN</t>
        </is>
      </c>
      <c r="E355" t="inlineStr">
        <is>
          <t>LINKÖPING</t>
        </is>
      </c>
      <c r="G355" t="n">
        <v>2.9</v>
      </c>
      <c r="H355" t="n">
        <v>0</v>
      </c>
      <c r="I355" t="n">
        <v>0</v>
      </c>
      <c r="J355" t="n">
        <v>0</v>
      </c>
      <c r="K355" t="n">
        <v>0</v>
      </c>
      <c r="L355" t="n">
        <v>0</v>
      </c>
      <c r="M355" t="n">
        <v>0</v>
      </c>
      <c r="N355" t="n">
        <v>0</v>
      </c>
      <c r="O355" t="n">
        <v>0</v>
      </c>
      <c r="P355" t="n">
        <v>0</v>
      </c>
      <c r="Q355" t="n">
        <v>0</v>
      </c>
      <c r="R355" s="2" t="inlineStr"/>
    </row>
    <row r="356" ht="15" customHeight="1">
      <c r="A356" t="inlineStr">
        <is>
          <t>A 52125-2022</t>
        </is>
      </c>
      <c r="B356" s="1" t="n">
        <v>44873</v>
      </c>
      <c r="C356" s="1" t="n">
        <v>45981</v>
      </c>
      <c r="D356" t="inlineStr">
        <is>
          <t>ÖSTERGÖTLANDS LÄN</t>
        </is>
      </c>
      <c r="E356" t="inlineStr">
        <is>
          <t>LINKÖPING</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46687-2021</t>
        </is>
      </c>
      <c r="B357" s="1" t="n">
        <v>44445</v>
      </c>
      <c r="C357" s="1" t="n">
        <v>45981</v>
      </c>
      <c r="D357" t="inlineStr">
        <is>
          <t>ÖSTERGÖTLANDS LÄN</t>
        </is>
      </c>
      <c r="E357" t="inlineStr">
        <is>
          <t>LINKÖPING</t>
        </is>
      </c>
      <c r="F357" t="inlineStr">
        <is>
          <t>Övriga statliga verk och myndigheter</t>
        </is>
      </c>
      <c r="G357" t="n">
        <v>2.3</v>
      </c>
      <c r="H357" t="n">
        <v>0</v>
      </c>
      <c r="I357" t="n">
        <v>0</v>
      </c>
      <c r="J357" t="n">
        <v>0</v>
      </c>
      <c r="K357" t="n">
        <v>0</v>
      </c>
      <c r="L357" t="n">
        <v>0</v>
      </c>
      <c r="M357" t="n">
        <v>0</v>
      </c>
      <c r="N357" t="n">
        <v>0</v>
      </c>
      <c r="O357" t="n">
        <v>0</v>
      </c>
      <c r="P357" t="n">
        <v>0</v>
      </c>
      <c r="Q357" t="n">
        <v>0</v>
      </c>
      <c r="R357" s="2" t="inlineStr"/>
    </row>
    <row r="358" ht="15" customHeight="1">
      <c r="A358" t="inlineStr">
        <is>
          <t>A 50667-2025</t>
        </is>
      </c>
      <c r="B358" s="1" t="n">
        <v>45945</v>
      </c>
      <c r="C358" s="1" t="n">
        <v>45981</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17103-2025</t>
        </is>
      </c>
      <c r="B359" s="1" t="n">
        <v>45755.66143518518</v>
      </c>
      <c r="C359" s="1" t="n">
        <v>45981</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3042-2024</t>
        </is>
      </c>
      <c r="B360" s="1" t="n">
        <v>45316.35028935185</v>
      </c>
      <c r="C360" s="1" t="n">
        <v>45981</v>
      </c>
      <c r="D360" t="inlineStr">
        <is>
          <t>ÖSTERGÖTLANDS LÄN</t>
        </is>
      </c>
      <c r="E360" t="inlineStr">
        <is>
          <t>LINKÖPING</t>
        </is>
      </c>
      <c r="G360" t="n">
        <v>3.1</v>
      </c>
      <c r="H360" t="n">
        <v>0</v>
      </c>
      <c r="I360" t="n">
        <v>0</v>
      </c>
      <c r="J360" t="n">
        <v>0</v>
      </c>
      <c r="K360" t="n">
        <v>0</v>
      </c>
      <c r="L360" t="n">
        <v>0</v>
      </c>
      <c r="M360" t="n">
        <v>0</v>
      </c>
      <c r="N360" t="n">
        <v>0</v>
      </c>
      <c r="O360" t="n">
        <v>0</v>
      </c>
      <c r="P360" t="n">
        <v>0</v>
      </c>
      <c r="Q360" t="n">
        <v>0</v>
      </c>
      <c r="R360" s="2" t="inlineStr"/>
    </row>
    <row r="361" ht="15" customHeight="1">
      <c r="A361" t="inlineStr">
        <is>
          <t>A 27343-2023</t>
        </is>
      </c>
      <c r="B361" s="1" t="n">
        <v>45096</v>
      </c>
      <c r="C361" s="1" t="n">
        <v>45981</v>
      </c>
      <c r="D361" t="inlineStr">
        <is>
          <t>ÖSTERGÖTLANDS LÄN</t>
        </is>
      </c>
      <c r="E361" t="inlineStr">
        <is>
          <t>LINKÖPING</t>
        </is>
      </c>
      <c r="F361" t="inlineStr">
        <is>
          <t>Allmännings- och besparingsskogar</t>
        </is>
      </c>
      <c r="G361" t="n">
        <v>6.9</v>
      </c>
      <c r="H361" t="n">
        <v>0</v>
      </c>
      <c r="I361" t="n">
        <v>0</v>
      </c>
      <c r="J361" t="n">
        <v>0</v>
      </c>
      <c r="K361" t="n">
        <v>0</v>
      </c>
      <c r="L361" t="n">
        <v>0</v>
      </c>
      <c r="M361" t="n">
        <v>0</v>
      </c>
      <c r="N361" t="n">
        <v>0</v>
      </c>
      <c r="O361" t="n">
        <v>0</v>
      </c>
      <c r="P361" t="n">
        <v>0</v>
      </c>
      <c r="Q361" t="n">
        <v>0</v>
      </c>
      <c r="R361" s="2" t="inlineStr"/>
    </row>
    <row r="362" ht="15" customHeight="1">
      <c r="A362" t="inlineStr">
        <is>
          <t>A 40618-2021</t>
        </is>
      </c>
      <c r="B362" s="1" t="n">
        <v>44420.49575231481</v>
      </c>
      <c r="C362" s="1" t="n">
        <v>45981</v>
      </c>
      <c r="D362" t="inlineStr">
        <is>
          <t>ÖSTERGÖTLANDS LÄN</t>
        </is>
      </c>
      <c r="E362" t="inlineStr">
        <is>
          <t>LINKÖPING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22842-2023</t>
        </is>
      </c>
      <c r="B363" s="1" t="n">
        <v>45071</v>
      </c>
      <c r="C363" s="1" t="n">
        <v>45981</v>
      </c>
      <c r="D363" t="inlineStr">
        <is>
          <t>ÖSTERGÖTLANDS LÄN</t>
        </is>
      </c>
      <c r="E363" t="inlineStr">
        <is>
          <t>LINKÖPING</t>
        </is>
      </c>
      <c r="F363" t="inlineStr">
        <is>
          <t>Kommuner</t>
        </is>
      </c>
      <c r="G363" t="n">
        <v>1.3</v>
      </c>
      <c r="H363" t="n">
        <v>0</v>
      </c>
      <c r="I363" t="n">
        <v>0</v>
      </c>
      <c r="J363" t="n">
        <v>0</v>
      </c>
      <c r="K363" t="n">
        <v>0</v>
      </c>
      <c r="L363" t="n">
        <v>0</v>
      </c>
      <c r="M363" t="n">
        <v>0</v>
      </c>
      <c r="N363" t="n">
        <v>0</v>
      </c>
      <c r="O363" t="n">
        <v>0</v>
      </c>
      <c r="P363" t="n">
        <v>0</v>
      </c>
      <c r="Q363" t="n">
        <v>0</v>
      </c>
      <c r="R363" s="2" t="inlineStr"/>
    </row>
    <row r="364" ht="15" customHeight="1">
      <c r="A364" t="inlineStr">
        <is>
          <t>A 56180-2024</t>
        </is>
      </c>
      <c r="B364" s="1" t="n">
        <v>45624.56611111111</v>
      </c>
      <c r="C364" s="1" t="n">
        <v>45981</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29293-2025</t>
        </is>
      </c>
      <c r="B365" s="1" t="n">
        <v>45824</v>
      </c>
      <c r="C365" s="1" t="n">
        <v>45981</v>
      </c>
      <c r="D365" t="inlineStr">
        <is>
          <t>ÖSTERGÖTLANDS LÄN</t>
        </is>
      </c>
      <c r="E365" t="inlineStr">
        <is>
          <t>LINKÖPING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14520-2025</t>
        </is>
      </c>
      <c r="B366" s="1" t="n">
        <v>45741</v>
      </c>
      <c r="C366" s="1" t="n">
        <v>45981</v>
      </c>
      <c r="D366" t="inlineStr">
        <is>
          <t>ÖSTERGÖTLANDS LÄN</t>
        </is>
      </c>
      <c r="E366" t="inlineStr">
        <is>
          <t>LINKÖPING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31548-2022</t>
        </is>
      </c>
      <c r="B367" s="1" t="n">
        <v>44775.39832175926</v>
      </c>
      <c r="C367" s="1" t="n">
        <v>45981</v>
      </c>
      <c r="D367" t="inlineStr">
        <is>
          <t>ÖSTERGÖTLANDS LÄN</t>
        </is>
      </c>
      <c r="E367" t="inlineStr">
        <is>
          <t>LINKÖPING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10253-2022</t>
        </is>
      </c>
      <c r="B368" s="1" t="n">
        <v>44622</v>
      </c>
      <c r="C368" s="1" t="n">
        <v>45981</v>
      </c>
      <c r="D368" t="inlineStr">
        <is>
          <t>ÖSTERGÖTLANDS LÄN</t>
        </is>
      </c>
      <c r="E368" t="inlineStr">
        <is>
          <t>LINKÖPING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42624-2025</t>
        </is>
      </c>
      <c r="B369" s="1" t="n">
        <v>45905</v>
      </c>
      <c r="C369" s="1" t="n">
        <v>45981</v>
      </c>
      <c r="D369" t="inlineStr">
        <is>
          <t>ÖSTERGÖTLANDS LÄN</t>
        </is>
      </c>
      <c r="E369" t="inlineStr">
        <is>
          <t>LINKÖPING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42626-2025</t>
        </is>
      </c>
      <c r="B370" s="1" t="n">
        <v>45905</v>
      </c>
      <c r="C370" s="1" t="n">
        <v>45981</v>
      </c>
      <c r="D370" t="inlineStr">
        <is>
          <t>ÖSTERGÖTLANDS LÄN</t>
        </is>
      </c>
      <c r="E370" t="inlineStr">
        <is>
          <t>LINKÖPING</t>
        </is>
      </c>
      <c r="G370" t="n">
        <v>3.6</v>
      </c>
      <c r="H370" t="n">
        <v>0</v>
      </c>
      <c r="I370" t="n">
        <v>0</v>
      </c>
      <c r="J370" t="n">
        <v>0</v>
      </c>
      <c r="K370" t="n">
        <v>0</v>
      </c>
      <c r="L370" t="n">
        <v>0</v>
      </c>
      <c r="M370" t="n">
        <v>0</v>
      </c>
      <c r="N370" t="n">
        <v>0</v>
      </c>
      <c r="O370" t="n">
        <v>0</v>
      </c>
      <c r="P370" t="n">
        <v>0</v>
      </c>
      <c r="Q370" t="n">
        <v>0</v>
      </c>
      <c r="R370" s="2" t="inlineStr"/>
    </row>
    <row r="371" ht="15" customHeight="1">
      <c r="A371" t="inlineStr">
        <is>
          <t>A 30471-2023</t>
        </is>
      </c>
      <c r="B371" s="1" t="n">
        <v>45111.58931712963</v>
      </c>
      <c r="C371" s="1" t="n">
        <v>45981</v>
      </c>
      <c r="D371" t="inlineStr">
        <is>
          <t>ÖSTERGÖTLANDS LÄN</t>
        </is>
      </c>
      <c r="E371" t="inlineStr">
        <is>
          <t>LINKÖPING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62017-2024</t>
        </is>
      </c>
      <c r="B372" s="1" t="n">
        <v>45655.81140046296</v>
      </c>
      <c r="C372" s="1" t="n">
        <v>45981</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44280-2024</t>
        </is>
      </c>
      <c r="B373" s="1" t="n">
        <v>45573.49461805556</v>
      </c>
      <c r="C373" s="1" t="n">
        <v>45981</v>
      </c>
      <c r="D373" t="inlineStr">
        <is>
          <t>ÖSTERGÖTLANDS LÄN</t>
        </is>
      </c>
      <c r="E373" t="inlineStr">
        <is>
          <t>LINKÖPING</t>
        </is>
      </c>
      <c r="G373" t="n">
        <v>5.3</v>
      </c>
      <c r="H373" t="n">
        <v>0</v>
      </c>
      <c r="I373" t="n">
        <v>0</v>
      </c>
      <c r="J373" t="n">
        <v>0</v>
      </c>
      <c r="K373" t="n">
        <v>0</v>
      </c>
      <c r="L373" t="n">
        <v>0</v>
      </c>
      <c r="M373" t="n">
        <v>0</v>
      </c>
      <c r="N373" t="n">
        <v>0</v>
      </c>
      <c r="O373" t="n">
        <v>0</v>
      </c>
      <c r="P373" t="n">
        <v>0</v>
      </c>
      <c r="Q373" t="n">
        <v>0</v>
      </c>
      <c r="R373" s="2" t="inlineStr"/>
    </row>
    <row r="374" ht="15" customHeight="1">
      <c r="A374" t="inlineStr">
        <is>
          <t>A 227-2024</t>
        </is>
      </c>
      <c r="B374" s="1" t="n">
        <v>45294.73603009259</v>
      </c>
      <c r="C374" s="1" t="n">
        <v>45981</v>
      </c>
      <c r="D374" t="inlineStr">
        <is>
          <t>ÖSTERGÖTLANDS LÄN</t>
        </is>
      </c>
      <c r="E374" t="inlineStr">
        <is>
          <t>LINKÖPING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42623-2025</t>
        </is>
      </c>
      <c r="B375" s="1" t="n">
        <v>45905</v>
      </c>
      <c r="C375" s="1" t="n">
        <v>45981</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17785-2023</t>
        </is>
      </c>
      <c r="B376" s="1" t="n">
        <v>45037.55094907407</v>
      </c>
      <c r="C376" s="1" t="n">
        <v>45981</v>
      </c>
      <c r="D376" t="inlineStr">
        <is>
          <t>ÖSTERGÖTLANDS LÄN</t>
        </is>
      </c>
      <c r="E376" t="inlineStr">
        <is>
          <t>LINKÖPING</t>
        </is>
      </c>
      <c r="F376" t="inlineStr">
        <is>
          <t>Allmännings- och besparingsskogar</t>
        </is>
      </c>
      <c r="G376" t="n">
        <v>3.1</v>
      </c>
      <c r="H376" t="n">
        <v>0</v>
      </c>
      <c r="I376" t="n">
        <v>0</v>
      </c>
      <c r="J376" t="n">
        <v>0</v>
      </c>
      <c r="K376" t="n">
        <v>0</v>
      </c>
      <c r="L376" t="n">
        <v>0</v>
      </c>
      <c r="M376" t="n">
        <v>0</v>
      </c>
      <c r="N376" t="n">
        <v>0</v>
      </c>
      <c r="O376" t="n">
        <v>0</v>
      </c>
      <c r="P376" t="n">
        <v>0</v>
      </c>
      <c r="Q376" t="n">
        <v>0</v>
      </c>
      <c r="R376" s="2" t="inlineStr"/>
    </row>
    <row r="377" ht="15" customHeight="1">
      <c r="A377" t="inlineStr">
        <is>
          <t>A 44155-2024</t>
        </is>
      </c>
      <c r="B377" s="1" t="n">
        <v>45572.68226851852</v>
      </c>
      <c r="C377" s="1" t="n">
        <v>45981</v>
      </c>
      <c r="D377" t="inlineStr">
        <is>
          <t>ÖSTERGÖTLANDS LÄN</t>
        </is>
      </c>
      <c r="E377" t="inlineStr">
        <is>
          <t>LINKÖPING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30434-2024</t>
        </is>
      </c>
      <c r="B378" s="1" t="n">
        <v>45491.69811342593</v>
      </c>
      <c r="C378" s="1" t="n">
        <v>45981</v>
      </c>
      <c r="D378" t="inlineStr">
        <is>
          <t>ÖSTERGÖTLANDS LÄN</t>
        </is>
      </c>
      <c r="E378" t="inlineStr">
        <is>
          <t>LINKÖPING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62686-2023</t>
        </is>
      </c>
      <c r="B379" s="1" t="n">
        <v>45271</v>
      </c>
      <c r="C379" s="1" t="n">
        <v>45981</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56917-2022</t>
        </is>
      </c>
      <c r="B380" s="1" t="n">
        <v>44894</v>
      </c>
      <c r="C380" s="1" t="n">
        <v>45981</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57766-2023</t>
        </is>
      </c>
      <c r="B381" s="1" t="n">
        <v>45246</v>
      </c>
      <c r="C381" s="1" t="n">
        <v>45981</v>
      </c>
      <c r="D381" t="inlineStr">
        <is>
          <t>ÖSTERGÖTLANDS LÄN</t>
        </is>
      </c>
      <c r="E381" t="inlineStr">
        <is>
          <t>LINKÖPING</t>
        </is>
      </c>
      <c r="F381" t="inlineStr">
        <is>
          <t>Allmännings- och besparingsskogar</t>
        </is>
      </c>
      <c r="G381" t="n">
        <v>12.8</v>
      </c>
      <c r="H381" t="n">
        <v>0</v>
      </c>
      <c r="I381" t="n">
        <v>0</v>
      </c>
      <c r="J381" t="n">
        <v>0</v>
      </c>
      <c r="K381" t="n">
        <v>0</v>
      </c>
      <c r="L381" t="n">
        <v>0</v>
      </c>
      <c r="M381" t="n">
        <v>0</v>
      </c>
      <c r="N381" t="n">
        <v>0</v>
      </c>
      <c r="O381" t="n">
        <v>0</v>
      </c>
      <c r="P381" t="n">
        <v>0</v>
      </c>
      <c r="Q381" t="n">
        <v>0</v>
      </c>
      <c r="R381" s="2" t="inlineStr"/>
    </row>
    <row r="382" ht="15" customHeight="1">
      <c r="A382" t="inlineStr">
        <is>
          <t>A 42044-2023</t>
        </is>
      </c>
      <c r="B382" s="1" t="n">
        <v>45177</v>
      </c>
      <c r="C382" s="1" t="n">
        <v>45981</v>
      </c>
      <c r="D382" t="inlineStr">
        <is>
          <t>ÖSTERGÖTLANDS LÄN</t>
        </is>
      </c>
      <c r="E382" t="inlineStr">
        <is>
          <t>LINKÖPING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5314-2021</t>
        </is>
      </c>
      <c r="B383" s="1" t="n">
        <v>44229</v>
      </c>
      <c r="C383" s="1" t="n">
        <v>45981</v>
      </c>
      <c r="D383" t="inlineStr">
        <is>
          <t>ÖSTERGÖTLANDS LÄN</t>
        </is>
      </c>
      <c r="E383" t="inlineStr">
        <is>
          <t>LINKÖPING</t>
        </is>
      </c>
      <c r="G383" t="n">
        <v>6.2</v>
      </c>
      <c r="H383" t="n">
        <v>0</v>
      </c>
      <c r="I383" t="n">
        <v>0</v>
      </c>
      <c r="J383" t="n">
        <v>0</v>
      </c>
      <c r="K383" t="n">
        <v>0</v>
      </c>
      <c r="L383" t="n">
        <v>0</v>
      </c>
      <c r="M383" t="n">
        <v>0</v>
      </c>
      <c r="N383" t="n">
        <v>0</v>
      </c>
      <c r="O383" t="n">
        <v>0</v>
      </c>
      <c r="P383" t="n">
        <v>0</v>
      </c>
      <c r="Q383" t="n">
        <v>0</v>
      </c>
      <c r="R383" s="2" t="inlineStr"/>
    </row>
    <row r="384" ht="15" customHeight="1">
      <c r="A384" t="inlineStr">
        <is>
          <t>A 49656-2021</t>
        </is>
      </c>
      <c r="B384" s="1" t="n">
        <v>44454</v>
      </c>
      <c r="C384" s="1" t="n">
        <v>45981</v>
      </c>
      <c r="D384" t="inlineStr">
        <is>
          <t>ÖSTERGÖTLANDS LÄN</t>
        </is>
      </c>
      <c r="E384" t="inlineStr">
        <is>
          <t>LINKÖPING</t>
        </is>
      </c>
      <c r="G384" t="n">
        <v>2.3</v>
      </c>
      <c r="H384" t="n">
        <v>0</v>
      </c>
      <c r="I384" t="n">
        <v>0</v>
      </c>
      <c r="J384" t="n">
        <v>0</v>
      </c>
      <c r="K384" t="n">
        <v>0</v>
      </c>
      <c r="L384" t="n">
        <v>0</v>
      </c>
      <c r="M384" t="n">
        <v>0</v>
      </c>
      <c r="N384" t="n">
        <v>0</v>
      </c>
      <c r="O384" t="n">
        <v>0</v>
      </c>
      <c r="P384" t="n">
        <v>0</v>
      </c>
      <c r="Q384" t="n">
        <v>0</v>
      </c>
      <c r="R384" s="2" t="inlineStr"/>
    </row>
    <row r="385" ht="15" customHeight="1">
      <c r="A385" t="inlineStr">
        <is>
          <t>A 38230-2023</t>
        </is>
      </c>
      <c r="B385" s="1" t="n">
        <v>45161.55373842592</v>
      </c>
      <c r="C385" s="1" t="n">
        <v>45981</v>
      </c>
      <c r="D385" t="inlineStr">
        <is>
          <t>ÖSTERGÖTLANDS LÄN</t>
        </is>
      </c>
      <c r="E385" t="inlineStr">
        <is>
          <t>LINKÖPING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45442-2024</t>
        </is>
      </c>
      <c r="B386" s="1" t="n">
        <v>45576.64189814815</v>
      </c>
      <c r="C386" s="1" t="n">
        <v>45981</v>
      </c>
      <c r="D386" t="inlineStr">
        <is>
          <t>ÖSTERGÖTLANDS LÄN</t>
        </is>
      </c>
      <c r="E386" t="inlineStr">
        <is>
          <t>LINKÖPING</t>
        </is>
      </c>
      <c r="G386" t="n">
        <v>1.8</v>
      </c>
      <c r="H386" t="n">
        <v>0</v>
      </c>
      <c r="I386" t="n">
        <v>0</v>
      </c>
      <c r="J386" t="n">
        <v>0</v>
      </c>
      <c r="K386" t="n">
        <v>0</v>
      </c>
      <c r="L386" t="n">
        <v>0</v>
      </c>
      <c r="M386" t="n">
        <v>0</v>
      </c>
      <c r="N386" t="n">
        <v>0</v>
      </c>
      <c r="O386" t="n">
        <v>0</v>
      </c>
      <c r="P386" t="n">
        <v>0</v>
      </c>
      <c r="Q386" t="n">
        <v>0</v>
      </c>
      <c r="R386" s="2" t="inlineStr"/>
    </row>
    <row r="387" ht="15" customHeight="1">
      <c r="A387" t="inlineStr">
        <is>
          <t>A 51802-2025</t>
        </is>
      </c>
      <c r="B387" s="1" t="n">
        <v>45950</v>
      </c>
      <c r="C387" s="1" t="n">
        <v>45981</v>
      </c>
      <c r="D387" t="inlineStr">
        <is>
          <t>ÖSTERGÖTLANDS LÄN</t>
        </is>
      </c>
      <c r="E387" t="inlineStr">
        <is>
          <t>LINKÖPING</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4908-2023</t>
        </is>
      </c>
      <c r="B388" s="1" t="n">
        <v>44958</v>
      </c>
      <c r="C388" s="1" t="n">
        <v>45981</v>
      </c>
      <c r="D388" t="inlineStr">
        <is>
          <t>ÖSTERGÖTLANDS LÄN</t>
        </is>
      </c>
      <c r="E388" t="inlineStr">
        <is>
          <t>LINKÖPING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25568-2024</t>
        </is>
      </c>
      <c r="B389" s="1" t="n">
        <v>45463.58699074074</v>
      </c>
      <c r="C389" s="1" t="n">
        <v>45981</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1265-2023</t>
        </is>
      </c>
      <c r="B390" s="1" t="n">
        <v>44936</v>
      </c>
      <c r="C390" s="1" t="n">
        <v>45981</v>
      </c>
      <c r="D390" t="inlineStr">
        <is>
          <t>ÖSTERGÖTLANDS LÄN</t>
        </is>
      </c>
      <c r="E390" t="inlineStr">
        <is>
          <t>LINKÖPING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22833-2023</t>
        </is>
      </c>
      <c r="B391" s="1" t="n">
        <v>45071</v>
      </c>
      <c r="C391" s="1" t="n">
        <v>45981</v>
      </c>
      <c r="D391" t="inlineStr">
        <is>
          <t>ÖSTERGÖTLANDS LÄN</t>
        </is>
      </c>
      <c r="E391" t="inlineStr">
        <is>
          <t>LINKÖPING</t>
        </is>
      </c>
      <c r="F391" t="inlineStr">
        <is>
          <t>Kommuner</t>
        </is>
      </c>
      <c r="G391" t="n">
        <v>1</v>
      </c>
      <c r="H391" t="n">
        <v>0</v>
      </c>
      <c r="I391" t="n">
        <v>0</v>
      </c>
      <c r="J391" t="n">
        <v>0</v>
      </c>
      <c r="K391" t="n">
        <v>0</v>
      </c>
      <c r="L391" t="n">
        <v>0</v>
      </c>
      <c r="M391" t="n">
        <v>0</v>
      </c>
      <c r="N391" t="n">
        <v>0</v>
      </c>
      <c r="O391" t="n">
        <v>0</v>
      </c>
      <c r="P391" t="n">
        <v>0</v>
      </c>
      <c r="Q391" t="n">
        <v>0</v>
      </c>
      <c r="R391" s="2" t="inlineStr"/>
    </row>
    <row r="392" ht="15" customHeight="1">
      <c r="A392" t="inlineStr">
        <is>
          <t>A 52111-2025</t>
        </is>
      </c>
      <c r="B392" s="1" t="n">
        <v>45952.69527777778</v>
      </c>
      <c r="C392" s="1" t="n">
        <v>45981</v>
      </c>
      <c r="D392" t="inlineStr">
        <is>
          <t>ÖSTERGÖTLANDS LÄN</t>
        </is>
      </c>
      <c r="E392" t="inlineStr">
        <is>
          <t>LINKÖPING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12411-2022</t>
        </is>
      </c>
      <c r="B393" s="1" t="n">
        <v>44638.21601851852</v>
      </c>
      <c r="C393" s="1" t="n">
        <v>45981</v>
      </c>
      <c r="D393" t="inlineStr">
        <is>
          <t>ÖSTERGÖTLANDS LÄN</t>
        </is>
      </c>
      <c r="E393" t="inlineStr">
        <is>
          <t>LINKÖPING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2997-2025</t>
        </is>
      </c>
      <c r="B394" s="1" t="n">
        <v>45678.54631944445</v>
      </c>
      <c r="C394" s="1" t="n">
        <v>45981</v>
      </c>
      <c r="D394" t="inlineStr">
        <is>
          <t>ÖSTERGÖTLANDS LÄN</t>
        </is>
      </c>
      <c r="E394" t="inlineStr">
        <is>
          <t>LINKÖPING</t>
        </is>
      </c>
      <c r="G394" t="n">
        <v>2.7</v>
      </c>
      <c r="H394" t="n">
        <v>0</v>
      </c>
      <c r="I394" t="n">
        <v>0</v>
      </c>
      <c r="J394" t="n">
        <v>0</v>
      </c>
      <c r="K394" t="n">
        <v>0</v>
      </c>
      <c r="L394" t="n">
        <v>0</v>
      </c>
      <c r="M394" t="n">
        <v>0</v>
      </c>
      <c r="N394" t="n">
        <v>0</v>
      </c>
      <c r="O394" t="n">
        <v>0</v>
      </c>
      <c r="P394" t="n">
        <v>0</v>
      </c>
      <c r="Q394" t="n">
        <v>0</v>
      </c>
      <c r="R394" s="2" t="inlineStr"/>
    </row>
    <row r="395" ht="15" customHeight="1">
      <c r="A395" t="inlineStr">
        <is>
          <t>A 41345-2021</t>
        </is>
      </c>
      <c r="B395" s="1" t="n">
        <v>44424.61851851852</v>
      </c>
      <c r="C395" s="1" t="n">
        <v>45981</v>
      </c>
      <c r="D395" t="inlineStr">
        <is>
          <t>ÖSTERGÖTLANDS LÄN</t>
        </is>
      </c>
      <c r="E395" t="inlineStr">
        <is>
          <t>LINKÖPING</t>
        </is>
      </c>
      <c r="F395" t="inlineStr">
        <is>
          <t>Sveaskog</t>
        </is>
      </c>
      <c r="G395" t="n">
        <v>6.3</v>
      </c>
      <c r="H395" t="n">
        <v>0</v>
      </c>
      <c r="I395" t="n">
        <v>0</v>
      </c>
      <c r="J395" t="n">
        <v>0</v>
      </c>
      <c r="K395" t="n">
        <v>0</v>
      </c>
      <c r="L395" t="n">
        <v>0</v>
      </c>
      <c r="M395" t="n">
        <v>0</v>
      </c>
      <c r="N395" t="n">
        <v>0</v>
      </c>
      <c r="O395" t="n">
        <v>0</v>
      </c>
      <c r="P395" t="n">
        <v>0</v>
      </c>
      <c r="Q395" t="n">
        <v>0</v>
      </c>
      <c r="R395" s="2" t="inlineStr"/>
    </row>
    <row r="396" ht="15" customHeight="1">
      <c r="A396" t="inlineStr">
        <is>
          <t>A 13266-2025</t>
        </is>
      </c>
      <c r="B396" s="1" t="n">
        <v>45735.53318287037</v>
      </c>
      <c r="C396" s="1" t="n">
        <v>45981</v>
      </c>
      <c r="D396" t="inlineStr">
        <is>
          <t>ÖSTERGÖTLANDS LÄN</t>
        </is>
      </c>
      <c r="E396" t="inlineStr">
        <is>
          <t>LINKÖPING</t>
        </is>
      </c>
      <c r="G396" t="n">
        <v>3.1</v>
      </c>
      <c r="H396" t="n">
        <v>0</v>
      </c>
      <c r="I396" t="n">
        <v>0</v>
      </c>
      <c r="J396" t="n">
        <v>0</v>
      </c>
      <c r="K396" t="n">
        <v>0</v>
      </c>
      <c r="L396" t="n">
        <v>0</v>
      </c>
      <c r="M396" t="n">
        <v>0</v>
      </c>
      <c r="N396" t="n">
        <v>0</v>
      </c>
      <c r="O396" t="n">
        <v>0</v>
      </c>
      <c r="P396" t="n">
        <v>0</v>
      </c>
      <c r="Q396" t="n">
        <v>0</v>
      </c>
      <c r="R396" s="2" t="inlineStr"/>
    </row>
    <row r="397" ht="15" customHeight="1">
      <c r="A397" t="inlineStr">
        <is>
          <t>A 16213-2025</t>
        </is>
      </c>
      <c r="B397" s="1" t="n">
        <v>45750.62740740741</v>
      </c>
      <c r="C397" s="1" t="n">
        <v>45981</v>
      </c>
      <c r="D397" t="inlineStr">
        <is>
          <t>ÖSTERGÖTLANDS LÄN</t>
        </is>
      </c>
      <c r="E397" t="inlineStr">
        <is>
          <t>LINKÖPING</t>
        </is>
      </c>
      <c r="G397" t="n">
        <v>3.4</v>
      </c>
      <c r="H397" t="n">
        <v>0</v>
      </c>
      <c r="I397" t="n">
        <v>0</v>
      </c>
      <c r="J397" t="n">
        <v>0</v>
      </c>
      <c r="K397" t="n">
        <v>0</v>
      </c>
      <c r="L397" t="n">
        <v>0</v>
      </c>
      <c r="M397" t="n">
        <v>0</v>
      </c>
      <c r="N397" t="n">
        <v>0</v>
      </c>
      <c r="O397" t="n">
        <v>0</v>
      </c>
      <c r="P397" t="n">
        <v>0</v>
      </c>
      <c r="Q397" t="n">
        <v>0</v>
      </c>
      <c r="R397" s="2" t="inlineStr"/>
    </row>
    <row r="398" ht="15" customHeight="1">
      <c r="A398" t="inlineStr">
        <is>
          <t>A 23491-2024</t>
        </is>
      </c>
      <c r="B398" s="1" t="n">
        <v>45453</v>
      </c>
      <c r="C398" s="1" t="n">
        <v>45981</v>
      </c>
      <c r="D398" t="inlineStr">
        <is>
          <t>ÖSTERGÖTLANDS LÄN</t>
        </is>
      </c>
      <c r="E398" t="inlineStr">
        <is>
          <t>LINKÖPING</t>
        </is>
      </c>
      <c r="G398" t="n">
        <v>2.2</v>
      </c>
      <c r="H398" t="n">
        <v>0</v>
      </c>
      <c r="I398" t="n">
        <v>0</v>
      </c>
      <c r="J398" t="n">
        <v>0</v>
      </c>
      <c r="K398" t="n">
        <v>0</v>
      </c>
      <c r="L398" t="n">
        <v>0</v>
      </c>
      <c r="M398" t="n">
        <v>0</v>
      </c>
      <c r="N398" t="n">
        <v>0</v>
      </c>
      <c r="O398" t="n">
        <v>0</v>
      </c>
      <c r="P398" t="n">
        <v>0</v>
      </c>
      <c r="Q398" t="n">
        <v>0</v>
      </c>
      <c r="R398" s="2" t="inlineStr"/>
    </row>
    <row r="399" ht="15" customHeight="1">
      <c r="A399" t="inlineStr">
        <is>
          <t>A 70-2024</t>
        </is>
      </c>
      <c r="B399" s="1" t="n">
        <v>45293</v>
      </c>
      <c r="C399" s="1" t="n">
        <v>45981</v>
      </c>
      <c r="D399" t="inlineStr">
        <is>
          <t>ÖSTERGÖTLANDS LÄN</t>
        </is>
      </c>
      <c r="E399" t="inlineStr">
        <is>
          <t>LINKÖPING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6054-2022</t>
        </is>
      </c>
      <c r="B400" s="1" t="n">
        <v>44599.53623842593</v>
      </c>
      <c r="C400" s="1" t="n">
        <v>45981</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31725-2022</t>
        </is>
      </c>
      <c r="B401" s="1" t="n">
        <v>44776.48541666667</v>
      </c>
      <c r="C401" s="1" t="n">
        <v>45981</v>
      </c>
      <c r="D401" t="inlineStr">
        <is>
          <t>ÖSTERGÖTLANDS LÄN</t>
        </is>
      </c>
      <c r="E401" t="inlineStr">
        <is>
          <t>LINKÖPING</t>
        </is>
      </c>
      <c r="G401" t="n">
        <v>2.6</v>
      </c>
      <c r="H401" t="n">
        <v>0</v>
      </c>
      <c r="I401" t="n">
        <v>0</v>
      </c>
      <c r="J401" t="n">
        <v>0</v>
      </c>
      <c r="K401" t="n">
        <v>0</v>
      </c>
      <c r="L401" t="n">
        <v>0</v>
      </c>
      <c r="M401" t="n">
        <v>0</v>
      </c>
      <c r="N401" t="n">
        <v>0</v>
      </c>
      <c r="O401" t="n">
        <v>0</v>
      </c>
      <c r="P401" t="n">
        <v>0</v>
      </c>
      <c r="Q401" t="n">
        <v>0</v>
      </c>
      <c r="R401" s="2" t="inlineStr"/>
    </row>
    <row r="402" ht="15" customHeight="1">
      <c r="A402" t="inlineStr">
        <is>
          <t>A 52743-2025</t>
        </is>
      </c>
      <c r="B402" s="1" t="n">
        <v>45957.38039351852</v>
      </c>
      <c r="C402" s="1" t="n">
        <v>45981</v>
      </c>
      <c r="D402" t="inlineStr">
        <is>
          <t>ÖSTERGÖTLANDS LÄN</t>
        </is>
      </c>
      <c r="E402" t="inlineStr">
        <is>
          <t>LINKÖPING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46225-2021</t>
        </is>
      </c>
      <c r="B403" s="1" t="n">
        <v>44442</v>
      </c>
      <c r="C403" s="1" t="n">
        <v>45981</v>
      </c>
      <c r="D403" t="inlineStr">
        <is>
          <t>ÖSTERGÖTLANDS LÄN</t>
        </is>
      </c>
      <c r="E403" t="inlineStr">
        <is>
          <t>LINKÖPING</t>
        </is>
      </c>
      <c r="G403" t="n">
        <v>2.9</v>
      </c>
      <c r="H403" t="n">
        <v>0</v>
      </c>
      <c r="I403" t="n">
        <v>0</v>
      </c>
      <c r="J403" t="n">
        <v>0</v>
      </c>
      <c r="K403" t="n">
        <v>0</v>
      </c>
      <c r="L403" t="n">
        <v>0</v>
      </c>
      <c r="M403" t="n">
        <v>0</v>
      </c>
      <c r="N403" t="n">
        <v>0</v>
      </c>
      <c r="O403" t="n">
        <v>0</v>
      </c>
      <c r="P403" t="n">
        <v>0</v>
      </c>
      <c r="Q403" t="n">
        <v>0</v>
      </c>
      <c r="R403" s="2" t="inlineStr"/>
    </row>
    <row r="404" ht="15" customHeight="1">
      <c r="A404" t="inlineStr">
        <is>
          <t>A 52807-2025</t>
        </is>
      </c>
      <c r="B404" s="1" t="n">
        <v>45957.44837962963</v>
      </c>
      <c r="C404" s="1" t="n">
        <v>45981</v>
      </c>
      <c r="D404" t="inlineStr">
        <is>
          <t>ÖSTERGÖTLANDS LÄN</t>
        </is>
      </c>
      <c r="E404" t="inlineStr">
        <is>
          <t>LINKÖPING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25776-2021</t>
        </is>
      </c>
      <c r="B405" s="1" t="n">
        <v>44343</v>
      </c>
      <c r="C405" s="1" t="n">
        <v>45981</v>
      </c>
      <c r="D405" t="inlineStr">
        <is>
          <t>ÖSTERGÖTLANDS LÄN</t>
        </is>
      </c>
      <c r="E405" t="inlineStr">
        <is>
          <t>LINKÖPING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44170-2025</t>
        </is>
      </c>
      <c r="B406" s="1" t="n">
        <v>45915.59864583334</v>
      </c>
      <c r="C406" s="1" t="n">
        <v>45981</v>
      </c>
      <c r="D406" t="inlineStr">
        <is>
          <t>ÖSTERGÖTLANDS LÄN</t>
        </is>
      </c>
      <c r="E406" t="inlineStr">
        <is>
          <t>LINKÖPING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51484-2023</t>
        </is>
      </c>
      <c r="B407" s="1" t="n">
        <v>45222</v>
      </c>
      <c r="C407" s="1" t="n">
        <v>45981</v>
      </c>
      <c r="D407" t="inlineStr">
        <is>
          <t>ÖSTERGÖTLANDS LÄN</t>
        </is>
      </c>
      <c r="E407" t="inlineStr">
        <is>
          <t>LINKÖPING</t>
        </is>
      </c>
      <c r="F407" t="inlineStr">
        <is>
          <t>Övriga Aktiebolag</t>
        </is>
      </c>
      <c r="G407" t="n">
        <v>7.7</v>
      </c>
      <c r="H407" t="n">
        <v>0</v>
      </c>
      <c r="I407" t="n">
        <v>0</v>
      </c>
      <c r="J407" t="n">
        <v>0</v>
      </c>
      <c r="K407" t="n">
        <v>0</v>
      </c>
      <c r="L407" t="n">
        <v>0</v>
      </c>
      <c r="M407" t="n">
        <v>0</v>
      </c>
      <c r="N407" t="n">
        <v>0</v>
      </c>
      <c r="O407" t="n">
        <v>0</v>
      </c>
      <c r="P407" t="n">
        <v>0</v>
      </c>
      <c r="Q407" t="n">
        <v>0</v>
      </c>
      <c r="R407" s="2" t="inlineStr"/>
    </row>
    <row r="408" ht="15" customHeight="1">
      <c r="A408" t="inlineStr">
        <is>
          <t>A 17898-2022</t>
        </is>
      </c>
      <c r="B408" s="1" t="n">
        <v>44683</v>
      </c>
      <c r="C408" s="1" t="n">
        <v>45981</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43755-2025</t>
        </is>
      </c>
      <c r="B409" s="1" t="n">
        <v>45912.47329861111</v>
      </c>
      <c r="C409" s="1" t="n">
        <v>45981</v>
      </c>
      <c r="D409" t="inlineStr">
        <is>
          <t>ÖSTERGÖTLANDS LÄN</t>
        </is>
      </c>
      <c r="E409" t="inlineStr">
        <is>
          <t>LINKÖPING</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43758-2025</t>
        </is>
      </c>
      <c r="B410" s="1" t="n">
        <v>45912.47711805555</v>
      </c>
      <c r="C410" s="1" t="n">
        <v>45981</v>
      </c>
      <c r="D410" t="inlineStr">
        <is>
          <t>ÖSTERGÖTLANDS LÄN</t>
        </is>
      </c>
      <c r="E410" t="inlineStr">
        <is>
          <t>LINKÖPING</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63487-2023</t>
        </is>
      </c>
      <c r="B411" s="1" t="n">
        <v>45274.66712962963</v>
      </c>
      <c r="C411" s="1" t="n">
        <v>45981</v>
      </c>
      <c r="D411" t="inlineStr">
        <is>
          <t>ÖSTERGÖTLANDS LÄN</t>
        </is>
      </c>
      <c r="E411" t="inlineStr">
        <is>
          <t>LINKÖPING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52802-2025</t>
        </is>
      </c>
      <c r="B412" s="1" t="n">
        <v>45957.44295138889</v>
      </c>
      <c r="C412" s="1" t="n">
        <v>45981</v>
      </c>
      <c r="D412" t="inlineStr">
        <is>
          <t>ÖSTERGÖTLANDS LÄN</t>
        </is>
      </c>
      <c r="E412" t="inlineStr">
        <is>
          <t>LINKÖPING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35463-2023</t>
        </is>
      </c>
      <c r="B413" s="1" t="n">
        <v>45146</v>
      </c>
      <c r="C413" s="1" t="n">
        <v>45981</v>
      </c>
      <c r="D413" t="inlineStr">
        <is>
          <t>ÖSTERGÖTLANDS LÄN</t>
        </is>
      </c>
      <c r="E413" t="inlineStr">
        <is>
          <t>LINKÖPING</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43753-2025</t>
        </is>
      </c>
      <c r="B414" s="1" t="n">
        <v>45912.4715625</v>
      </c>
      <c r="C414" s="1" t="n">
        <v>45981</v>
      </c>
      <c r="D414" t="inlineStr">
        <is>
          <t>ÖSTERGÖTLANDS LÄN</t>
        </is>
      </c>
      <c r="E414" t="inlineStr">
        <is>
          <t>LINKÖPING</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52800-2025</t>
        </is>
      </c>
      <c r="B415" s="1" t="n">
        <v>45957.44152777778</v>
      </c>
      <c r="C415" s="1" t="n">
        <v>45981</v>
      </c>
      <c r="D415" t="inlineStr">
        <is>
          <t>ÖSTERGÖTLANDS LÄN</t>
        </is>
      </c>
      <c r="E415" t="inlineStr">
        <is>
          <t>LINKÖPING</t>
        </is>
      </c>
      <c r="G415" t="n">
        <v>2.5</v>
      </c>
      <c r="H415" t="n">
        <v>0</v>
      </c>
      <c r="I415" t="n">
        <v>0</v>
      </c>
      <c r="J415" t="n">
        <v>0</v>
      </c>
      <c r="K415" t="n">
        <v>0</v>
      </c>
      <c r="L415" t="n">
        <v>0</v>
      </c>
      <c r="M415" t="n">
        <v>0</v>
      </c>
      <c r="N415" t="n">
        <v>0</v>
      </c>
      <c r="O415" t="n">
        <v>0</v>
      </c>
      <c r="P415" t="n">
        <v>0</v>
      </c>
      <c r="Q415" t="n">
        <v>0</v>
      </c>
      <c r="R415" s="2" t="inlineStr"/>
    </row>
    <row r="416" ht="15" customHeight="1">
      <c r="A416" t="inlineStr">
        <is>
          <t>A 57391-2023</t>
        </is>
      </c>
      <c r="B416" s="1" t="n">
        <v>45245</v>
      </c>
      <c r="C416" s="1" t="n">
        <v>45981</v>
      </c>
      <c r="D416" t="inlineStr">
        <is>
          <t>ÖSTERGÖTLANDS LÄN</t>
        </is>
      </c>
      <c r="E416" t="inlineStr">
        <is>
          <t>LINKÖPING</t>
        </is>
      </c>
      <c r="F416" t="inlineStr">
        <is>
          <t>Övriga Aktiebolag</t>
        </is>
      </c>
      <c r="G416" t="n">
        <v>1.7</v>
      </c>
      <c r="H416" t="n">
        <v>0</v>
      </c>
      <c r="I416" t="n">
        <v>0</v>
      </c>
      <c r="J416" t="n">
        <v>0</v>
      </c>
      <c r="K416" t="n">
        <v>0</v>
      </c>
      <c r="L416" t="n">
        <v>0</v>
      </c>
      <c r="M416" t="n">
        <v>0</v>
      </c>
      <c r="N416" t="n">
        <v>0</v>
      </c>
      <c r="O416" t="n">
        <v>0</v>
      </c>
      <c r="P416" t="n">
        <v>0</v>
      </c>
      <c r="Q416" t="n">
        <v>0</v>
      </c>
      <c r="R416" s="2" t="inlineStr"/>
    </row>
    <row r="417" ht="15" customHeight="1">
      <c r="A417" t="inlineStr">
        <is>
          <t>A 7992-2023</t>
        </is>
      </c>
      <c r="B417" s="1" t="n">
        <v>44970</v>
      </c>
      <c r="C417" s="1" t="n">
        <v>45981</v>
      </c>
      <c r="D417" t="inlineStr">
        <is>
          <t>ÖSTERGÖTLANDS LÄN</t>
        </is>
      </c>
      <c r="E417" t="inlineStr">
        <is>
          <t>LINKÖPING</t>
        </is>
      </c>
      <c r="F417" t="inlineStr">
        <is>
          <t>Kommuner</t>
        </is>
      </c>
      <c r="G417" t="n">
        <v>1</v>
      </c>
      <c r="H417" t="n">
        <v>0</v>
      </c>
      <c r="I417" t="n">
        <v>0</v>
      </c>
      <c r="J417" t="n">
        <v>0</v>
      </c>
      <c r="K417" t="n">
        <v>0</v>
      </c>
      <c r="L417" t="n">
        <v>0</v>
      </c>
      <c r="M417" t="n">
        <v>0</v>
      </c>
      <c r="N417" t="n">
        <v>0</v>
      </c>
      <c r="O417" t="n">
        <v>0</v>
      </c>
      <c r="P417" t="n">
        <v>0</v>
      </c>
      <c r="Q417" t="n">
        <v>0</v>
      </c>
      <c r="R417" s="2" t="inlineStr"/>
    </row>
    <row r="418" ht="15" customHeight="1">
      <c r="A418" t="inlineStr">
        <is>
          <t>A 55632-2022</t>
        </is>
      </c>
      <c r="B418" s="1" t="n">
        <v>44888</v>
      </c>
      <c r="C418" s="1" t="n">
        <v>45981</v>
      </c>
      <c r="D418" t="inlineStr">
        <is>
          <t>ÖSTERGÖTLANDS LÄN</t>
        </is>
      </c>
      <c r="E418" t="inlineStr">
        <is>
          <t>LINKÖPING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13689-2025</t>
        </is>
      </c>
      <c r="B419" s="1" t="n">
        <v>45737.31590277778</v>
      </c>
      <c r="C419" s="1" t="n">
        <v>45981</v>
      </c>
      <c r="D419" t="inlineStr">
        <is>
          <t>ÖSTERGÖTLANDS LÄN</t>
        </is>
      </c>
      <c r="E419" t="inlineStr">
        <is>
          <t>LINKÖPING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13696-2025</t>
        </is>
      </c>
      <c r="B420" s="1" t="n">
        <v>45737.32273148148</v>
      </c>
      <c r="C420" s="1" t="n">
        <v>45981</v>
      </c>
      <c r="D420" t="inlineStr">
        <is>
          <t>ÖSTERGÖTLANDS LÄN</t>
        </is>
      </c>
      <c r="E420" t="inlineStr">
        <is>
          <t>LINKÖPING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26002-2025</t>
        </is>
      </c>
      <c r="B421" s="1" t="n">
        <v>45804.66534722222</v>
      </c>
      <c r="C421" s="1" t="n">
        <v>45981</v>
      </c>
      <c r="D421" t="inlineStr">
        <is>
          <t>ÖSTERGÖTLANDS LÄN</t>
        </is>
      </c>
      <c r="E421" t="inlineStr">
        <is>
          <t>LINKÖPING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63559-2023</t>
        </is>
      </c>
      <c r="B422" s="1" t="n">
        <v>45275.35924768518</v>
      </c>
      <c r="C422" s="1" t="n">
        <v>45981</v>
      </c>
      <c r="D422" t="inlineStr">
        <is>
          <t>ÖSTERGÖTLANDS LÄN</t>
        </is>
      </c>
      <c r="E422" t="inlineStr">
        <is>
          <t>LINKÖPING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1924-2024</t>
        </is>
      </c>
      <c r="B423" s="1" t="n">
        <v>45308</v>
      </c>
      <c r="C423" s="1" t="n">
        <v>45981</v>
      </c>
      <c r="D423" t="inlineStr">
        <is>
          <t>ÖSTERGÖTLANDS LÄN</t>
        </is>
      </c>
      <c r="E423" t="inlineStr">
        <is>
          <t>LINKÖPING</t>
        </is>
      </c>
      <c r="F423" t="inlineStr">
        <is>
          <t>Övriga Aktiebolag</t>
        </is>
      </c>
      <c r="G423" t="n">
        <v>0.5</v>
      </c>
      <c r="H423" t="n">
        <v>0</v>
      </c>
      <c r="I423" t="n">
        <v>0</v>
      </c>
      <c r="J423" t="n">
        <v>0</v>
      </c>
      <c r="K423" t="n">
        <v>0</v>
      </c>
      <c r="L423" t="n">
        <v>0</v>
      </c>
      <c r="M423" t="n">
        <v>0</v>
      </c>
      <c r="N423" t="n">
        <v>0</v>
      </c>
      <c r="O423" t="n">
        <v>0</v>
      </c>
      <c r="P423" t="n">
        <v>0</v>
      </c>
      <c r="Q423" t="n">
        <v>0</v>
      </c>
      <c r="R423" s="2" t="inlineStr"/>
    </row>
    <row r="424" ht="15" customHeight="1">
      <c r="A424" t="inlineStr">
        <is>
          <t>A 25996-2025</t>
        </is>
      </c>
      <c r="B424" s="1" t="n">
        <v>45804.65851851852</v>
      </c>
      <c r="C424" s="1" t="n">
        <v>45981</v>
      </c>
      <c r="D424" t="inlineStr">
        <is>
          <t>ÖSTERGÖTLANDS LÄN</t>
        </is>
      </c>
      <c r="E424" t="inlineStr">
        <is>
          <t>LINKÖPING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58114-2021</t>
        </is>
      </c>
      <c r="B425" s="1" t="n">
        <v>44487</v>
      </c>
      <c r="C425" s="1" t="n">
        <v>45981</v>
      </c>
      <c r="D425" t="inlineStr">
        <is>
          <t>ÖSTERGÖTLANDS LÄN</t>
        </is>
      </c>
      <c r="E425" t="inlineStr">
        <is>
          <t>LINKÖPING</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44759-2025</t>
        </is>
      </c>
      <c r="B426" s="1" t="n">
        <v>45917.7152662037</v>
      </c>
      <c r="C426" s="1" t="n">
        <v>45981</v>
      </c>
      <c r="D426" t="inlineStr">
        <is>
          <t>ÖSTERGÖTLANDS LÄN</t>
        </is>
      </c>
      <c r="E426" t="inlineStr">
        <is>
          <t>LINKÖPING</t>
        </is>
      </c>
      <c r="G426" t="n">
        <v>1.6</v>
      </c>
      <c r="H426" t="n">
        <v>0</v>
      </c>
      <c r="I426" t="n">
        <v>0</v>
      </c>
      <c r="J426" t="n">
        <v>0</v>
      </c>
      <c r="K426" t="n">
        <v>0</v>
      </c>
      <c r="L426" t="n">
        <v>0</v>
      </c>
      <c r="M426" t="n">
        <v>0</v>
      </c>
      <c r="N426" t="n">
        <v>0</v>
      </c>
      <c r="O426" t="n">
        <v>0</v>
      </c>
      <c r="P426" t="n">
        <v>0</v>
      </c>
      <c r="Q426" t="n">
        <v>0</v>
      </c>
      <c r="R426" s="2" t="inlineStr"/>
    </row>
    <row r="427" ht="15" customHeight="1">
      <c r="A427" t="inlineStr">
        <is>
          <t>A 32346-2023</t>
        </is>
      </c>
      <c r="B427" s="1" t="n">
        <v>45120</v>
      </c>
      <c r="C427" s="1" t="n">
        <v>45981</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50508-2024</t>
        </is>
      </c>
      <c r="B428" s="1" t="n">
        <v>45601.53907407408</v>
      </c>
      <c r="C428" s="1" t="n">
        <v>45981</v>
      </c>
      <c r="D428" t="inlineStr">
        <is>
          <t>ÖSTERGÖTLANDS LÄN</t>
        </is>
      </c>
      <c r="E428" t="inlineStr">
        <is>
          <t>LINKÖPING</t>
        </is>
      </c>
      <c r="F428" t="inlineStr">
        <is>
          <t>Övriga Aktiebolag</t>
        </is>
      </c>
      <c r="G428" t="n">
        <v>2</v>
      </c>
      <c r="H428" t="n">
        <v>0</v>
      </c>
      <c r="I428" t="n">
        <v>0</v>
      </c>
      <c r="J428" t="n">
        <v>0</v>
      </c>
      <c r="K428" t="n">
        <v>0</v>
      </c>
      <c r="L428" t="n">
        <v>0</v>
      </c>
      <c r="M428" t="n">
        <v>0</v>
      </c>
      <c r="N428" t="n">
        <v>0</v>
      </c>
      <c r="O428" t="n">
        <v>0</v>
      </c>
      <c r="P428" t="n">
        <v>0</v>
      </c>
      <c r="Q428" t="n">
        <v>0</v>
      </c>
      <c r="R428" s="2" t="inlineStr"/>
    </row>
    <row r="429" ht="15" customHeight="1">
      <c r="A429" t="inlineStr">
        <is>
          <t>A 7808-2022</t>
        </is>
      </c>
      <c r="B429" s="1" t="n">
        <v>44608</v>
      </c>
      <c r="C429" s="1" t="n">
        <v>45981</v>
      </c>
      <c r="D429" t="inlineStr">
        <is>
          <t>ÖSTERGÖTLANDS LÄN</t>
        </is>
      </c>
      <c r="E429" t="inlineStr">
        <is>
          <t>LINKÖPING</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27844-2024</t>
        </is>
      </c>
      <c r="B430" s="1" t="n">
        <v>45475.63047453704</v>
      </c>
      <c r="C430" s="1" t="n">
        <v>45981</v>
      </c>
      <c r="D430" t="inlineStr">
        <is>
          <t>ÖSTERGÖTLANDS LÄN</t>
        </is>
      </c>
      <c r="E430" t="inlineStr">
        <is>
          <t>LINKÖPING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44764-2025</t>
        </is>
      </c>
      <c r="B431" s="1" t="n">
        <v>45917.72821759259</v>
      </c>
      <c r="C431" s="1" t="n">
        <v>45981</v>
      </c>
      <c r="D431" t="inlineStr">
        <is>
          <t>ÖSTERGÖTLANDS LÄN</t>
        </is>
      </c>
      <c r="E431" t="inlineStr">
        <is>
          <t>LINKÖPING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55944-2024</t>
        </is>
      </c>
      <c r="B432" s="1" t="n">
        <v>45623.61640046296</v>
      </c>
      <c r="C432" s="1" t="n">
        <v>45981</v>
      </c>
      <c r="D432" t="inlineStr">
        <is>
          <t>ÖSTERGÖTLANDS LÄN</t>
        </is>
      </c>
      <c r="E432" t="inlineStr">
        <is>
          <t>LINKÖPING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55947-2024</t>
        </is>
      </c>
      <c r="B433" s="1" t="n">
        <v>45623</v>
      </c>
      <c r="C433" s="1" t="n">
        <v>45981</v>
      </c>
      <c r="D433" t="inlineStr">
        <is>
          <t>ÖSTERGÖTLANDS LÄN</t>
        </is>
      </c>
      <c r="E433" t="inlineStr">
        <is>
          <t>LINKÖPING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3374-2023</t>
        </is>
      </c>
      <c r="B434" s="1" t="n">
        <v>44949</v>
      </c>
      <c r="C434" s="1" t="n">
        <v>45981</v>
      </c>
      <c r="D434" t="inlineStr">
        <is>
          <t>ÖSTERGÖTLANDS LÄN</t>
        </is>
      </c>
      <c r="E434" t="inlineStr">
        <is>
          <t>LINKÖPING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40810-2022</t>
        </is>
      </c>
      <c r="B435" s="1" t="n">
        <v>44824</v>
      </c>
      <c r="C435" s="1" t="n">
        <v>45981</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24151-2024</t>
        </is>
      </c>
      <c r="B436" s="1" t="n">
        <v>45456.67717592593</v>
      </c>
      <c r="C436" s="1" t="n">
        <v>45981</v>
      </c>
      <c r="D436" t="inlineStr">
        <is>
          <t>ÖSTERGÖTLANDS LÄN</t>
        </is>
      </c>
      <c r="E436" t="inlineStr">
        <is>
          <t>LINKÖPING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51559-2024</t>
        </is>
      </c>
      <c r="B437" s="1" t="n">
        <v>45604.61431712963</v>
      </c>
      <c r="C437" s="1" t="n">
        <v>45981</v>
      </c>
      <c r="D437" t="inlineStr">
        <is>
          <t>ÖSTERGÖTLANDS LÄN</t>
        </is>
      </c>
      <c r="E437" t="inlineStr">
        <is>
          <t>LINKÖPING</t>
        </is>
      </c>
      <c r="F437" t="inlineStr">
        <is>
          <t>Övriga Aktiebolag</t>
        </is>
      </c>
      <c r="G437" t="n">
        <v>2.4</v>
      </c>
      <c r="H437" t="n">
        <v>0</v>
      </c>
      <c r="I437" t="n">
        <v>0</v>
      </c>
      <c r="J437" t="n">
        <v>0</v>
      </c>
      <c r="K437" t="n">
        <v>0</v>
      </c>
      <c r="L437" t="n">
        <v>0</v>
      </c>
      <c r="M437" t="n">
        <v>0</v>
      </c>
      <c r="N437" t="n">
        <v>0</v>
      </c>
      <c r="O437" t="n">
        <v>0</v>
      </c>
      <c r="P437" t="n">
        <v>0</v>
      </c>
      <c r="Q437" t="n">
        <v>0</v>
      </c>
      <c r="R437" s="2" t="inlineStr"/>
    </row>
    <row r="438" ht="15" customHeight="1">
      <c r="A438" t="inlineStr">
        <is>
          <t>A 67123-2020</t>
        </is>
      </c>
      <c r="B438" s="1" t="n">
        <v>44180</v>
      </c>
      <c r="C438" s="1" t="n">
        <v>45981</v>
      </c>
      <c r="D438" t="inlineStr">
        <is>
          <t>ÖSTERGÖTLANDS LÄN</t>
        </is>
      </c>
      <c r="E438" t="inlineStr">
        <is>
          <t>LINKÖPING</t>
        </is>
      </c>
      <c r="F438" t="inlineStr">
        <is>
          <t>Övriga statliga verk och myndigheter</t>
        </is>
      </c>
      <c r="G438" t="n">
        <v>1.3</v>
      </c>
      <c r="H438" t="n">
        <v>0</v>
      </c>
      <c r="I438" t="n">
        <v>0</v>
      </c>
      <c r="J438" t="n">
        <v>0</v>
      </c>
      <c r="K438" t="n">
        <v>0</v>
      </c>
      <c r="L438" t="n">
        <v>0</v>
      </c>
      <c r="M438" t="n">
        <v>0</v>
      </c>
      <c r="N438" t="n">
        <v>0</v>
      </c>
      <c r="O438" t="n">
        <v>0</v>
      </c>
      <c r="P438" t="n">
        <v>0</v>
      </c>
      <c r="Q438" t="n">
        <v>0</v>
      </c>
      <c r="R438" s="2" t="inlineStr"/>
    </row>
    <row r="439" ht="15" customHeight="1">
      <c r="A439" t="inlineStr">
        <is>
          <t>A 49979-2022</t>
        </is>
      </c>
      <c r="B439" s="1" t="n">
        <v>44865</v>
      </c>
      <c r="C439" s="1" t="n">
        <v>45981</v>
      </c>
      <c r="D439" t="inlineStr">
        <is>
          <t>ÖSTERGÖTLANDS LÄN</t>
        </is>
      </c>
      <c r="E439" t="inlineStr">
        <is>
          <t>LINKÖPING</t>
        </is>
      </c>
      <c r="F439" t="inlineStr">
        <is>
          <t>Övriga Aktiebolag</t>
        </is>
      </c>
      <c r="G439" t="n">
        <v>11.4</v>
      </c>
      <c r="H439" t="n">
        <v>0</v>
      </c>
      <c r="I439" t="n">
        <v>0</v>
      </c>
      <c r="J439" t="n">
        <v>0</v>
      </c>
      <c r="K439" t="n">
        <v>0</v>
      </c>
      <c r="L439" t="n">
        <v>0</v>
      </c>
      <c r="M439" t="n">
        <v>0</v>
      </c>
      <c r="N439" t="n">
        <v>0</v>
      </c>
      <c r="O439" t="n">
        <v>0</v>
      </c>
      <c r="P439" t="n">
        <v>0</v>
      </c>
      <c r="Q439" t="n">
        <v>0</v>
      </c>
      <c r="R439" s="2" t="inlineStr"/>
    </row>
    <row r="440" ht="15" customHeight="1">
      <c r="A440" t="inlineStr">
        <is>
          <t>A 45112-2025</t>
        </is>
      </c>
      <c r="B440" s="1" t="n">
        <v>45919</v>
      </c>
      <c r="C440" s="1" t="n">
        <v>45981</v>
      </c>
      <c r="D440" t="inlineStr">
        <is>
          <t>ÖSTERGÖTLANDS LÄN</t>
        </is>
      </c>
      <c r="E440" t="inlineStr">
        <is>
          <t>LINKÖPING</t>
        </is>
      </c>
      <c r="G440" t="n">
        <v>3.5</v>
      </c>
      <c r="H440" t="n">
        <v>0</v>
      </c>
      <c r="I440" t="n">
        <v>0</v>
      </c>
      <c r="J440" t="n">
        <v>0</v>
      </c>
      <c r="K440" t="n">
        <v>0</v>
      </c>
      <c r="L440" t="n">
        <v>0</v>
      </c>
      <c r="M440" t="n">
        <v>0</v>
      </c>
      <c r="N440" t="n">
        <v>0</v>
      </c>
      <c r="O440" t="n">
        <v>0</v>
      </c>
      <c r="P440" t="n">
        <v>0</v>
      </c>
      <c r="Q440" t="n">
        <v>0</v>
      </c>
      <c r="R440" s="2" t="inlineStr"/>
    </row>
    <row r="441" ht="15" customHeight="1">
      <c r="A441" t="inlineStr">
        <is>
          <t>A 39219-2021</t>
        </is>
      </c>
      <c r="B441" s="1" t="n">
        <v>44413</v>
      </c>
      <c r="C441" s="1" t="n">
        <v>45981</v>
      </c>
      <c r="D441" t="inlineStr">
        <is>
          <t>ÖSTERGÖTLANDS LÄN</t>
        </is>
      </c>
      <c r="E441" t="inlineStr">
        <is>
          <t>LINKÖPING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39224-2021</t>
        </is>
      </c>
      <c r="B442" s="1" t="n">
        <v>44413</v>
      </c>
      <c r="C442" s="1" t="n">
        <v>45981</v>
      </c>
      <c r="D442" t="inlineStr">
        <is>
          <t>ÖSTERGÖTLANDS LÄN</t>
        </is>
      </c>
      <c r="E442" t="inlineStr">
        <is>
          <t>LINKÖPING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62495-2023</t>
        </is>
      </c>
      <c r="B443" s="1" t="n">
        <v>45268.59717592593</v>
      </c>
      <c r="C443" s="1" t="n">
        <v>45981</v>
      </c>
      <c r="D443" t="inlineStr">
        <is>
          <t>ÖSTERGÖTLANDS LÄN</t>
        </is>
      </c>
      <c r="E443" t="inlineStr">
        <is>
          <t>LINKÖPING</t>
        </is>
      </c>
      <c r="G443" t="n">
        <v>4.1</v>
      </c>
      <c r="H443" t="n">
        <v>0</v>
      </c>
      <c r="I443" t="n">
        <v>0</v>
      </c>
      <c r="J443" t="n">
        <v>0</v>
      </c>
      <c r="K443" t="n">
        <v>0</v>
      </c>
      <c r="L443" t="n">
        <v>0</v>
      </c>
      <c r="M443" t="n">
        <v>0</v>
      </c>
      <c r="N443" t="n">
        <v>0</v>
      </c>
      <c r="O443" t="n">
        <v>0</v>
      </c>
      <c r="P443" t="n">
        <v>0</v>
      </c>
      <c r="Q443" t="n">
        <v>0</v>
      </c>
      <c r="R443" s="2" t="inlineStr"/>
    </row>
    <row r="444" ht="15" customHeight="1">
      <c r="A444" t="inlineStr">
        <is>
          <t>A 50056-2025</t>
        </is>
      </c>
      <c r="B444" s="1" t="n">
        <v>45941</v>
      </c>
      <c r="C444" s="1" t="n">
        <v>45981</v>
      </c>
      <c r="D444" t="inlineStr">
        <is>
          <t>ÖSTERGÖTLANDS LÄN</t>
        </is>
      </c>
      <c r="E444" t="inlineStr">
        <is>
          <t>LINKÖPING</t>
        </is>
      </c>
      <c r="G444" t="n">
        <v>0.3</v>
      </c>
      <c r="H444" t="n">
        <v>0</v>
      </c>
      <c r="I444" t="n">
        <v>0</v>
      </c>
      <c r="J444" t="n">
        <v>0</v>
      </c>
      <c r="K444" t="n">
        <v>0</v>
      </c>
      <c r="L444" t="n">
        <v>0</v>
      </c>
      <c r="M444" t="n">
        <v>0</v>
      </c>
      <c r="N444" t="n">
        <v>0</v>
      </c>
      <c r="O444" t="n">
        <v>0</v>
      </c>
      <c r="P444" t="n">
        <v>0</v>
      </c>
      <c r="Q444" t="n">
        <v>0</v>
      </c>
      <c r="R444" s="2" t="inlineStr"/>
    </row>
    <row r="445" ht="15" customHeight="1">
      <c r="A445" t="inlineStr">
        <is>
          <t>A 14576-2023</t>
        </is>
      </c>
      <c r="B445" s="1" t="n">
        <v>45013</v>
      </c>
      <c r="C445" s="1" t="n">
        <v>45981</v>
      </c>
      <c r="D445" t="inlineStr">
        <is>
          <t>ÖSTERGÖTLANDS LÄN</t>
        </is>
      </c>
      <c r="E445" t="inlineStr">
        <is>
          <t>LINKÖPING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29413-2023</t>
        </is>
      </c>
      <c r="B446" s="1" t="n">
        <v>45106.46465277778</v>
      </c>
      <c r="C446" s="1" t="n">
        <v>45981</v>
      </c>
      <c r="D446" t="inlineStr">
        <is>
          <t>ÖSTERGÖTLANDS LÄN</t>
        </is>
      </c>
      <c r="E446" t="inlineStr">
        <is>
          <t>LINKÖPING</t>
        </is>
      </c>
      <c r="G446" t="n">
        <v>8</v>
      </c>
      <c r="H446" t="n">
        <v>0</v>
      </c>
      <c r="I446" t="n">
        <v>0</v>
      </c>
      <c r="J446" t="n">
        <v>0</v>
      </c>
      <c r="K446" t="n">
        <v>0</v>
      </c>
      <c r="L446" t="n">
        <v>0</v>
      </c>
      <c r="M446" t="n">
        <v>0</v>
      </c>
      <c r="N446" t="n">
        <v>0</v>
      </c>
      <c r="O446" t="n">
        <v>0</v>
      </c>
      <c r="P446" t="n">
        <v>0</v>
      </c>
      <c r="Q446" t="n">
        <v>0</v>
      </c>
      <c r="R446" s="2" t="inlineStr"/>
    </row>
    <row r="447" ht="15" customHeight="1">
      <c r="A447" t="inlineStr">
        <is>
          <t>A 25948-2023</t>
        </is>
      </c>
      <c r="B447" s="1" t="n">
        <v>45090</v>
      </c>
      <c r="C447" s="1" t="n">
        <v>45981</v>
      </c>
      <c r="D447" t="inlineStr">
        <is>
          <t>ÖSTERGÖTLANDS LÄN</t>
        </is>
      </c>
      <c r="E447" t="inlineStr">
        <is>
          <t>LINKÖPING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74160-2021</t>
        </is>
      </c>
      <c r="B448" s="1" t="n">
        <v>44558</v>
      </c>
      <c r="C448" s="1" t="n">
        <v>45981</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1627-2023</t>
        </is>
      </c>
      <c r="B449" s="1" t="n">
        <v>44937</v>
      </c>
      <c r="C449" s="1" t="n">
        <v>45981</v>
      </c>
      <c r="D449" t="inlineStr">
        <is>
          <t>ÖSTERGÖTLANDS LÄN</t>
        </is>
      </c>
      <c r="E449" t="inlineStr">
        <is>
          <t>LINKÖPING</t>
        </is>
      </c>
      <c r="G449" t="n">
        <v>10.8</v>
      </c>
      <c r="H449" t="n">
        <v>0</v>
      </c>
      <c r="I449" t="n">
        <v>0</v>
      </c>
      <c r="J449" t="n">
        <v>0</v>
      </c>
      <c r="K449" t="n">
        <v>0</v>
      </c>
      <c r="L449" t="n">
        <v>0</v>
      </c>
      <c r="M449" t="n">
        <v>0</v>
      </c>
      <c r="N449" t="n">
        <v>0</v>
      </c>
      <c r="O449" t="n">
        <v>0</v>
      </c>
      <c r="P449" t="n">
        <v>0</v>
      </c>
      <c r="Q449" t="n">
        <v>0</v>
      </c>
      <c r="R449" s="2" t="inlineStr"/>
    </row>
    <row r="450" ht="15" customHeight="1">
      <c r="A450" t="inlineStr">
        <is>
          <t>A 30481-2023</t>
        </is>
      </c>
      <c r="B450" s="1" t="n">
        <v>45111</v>
      </c>
      <c r="C450" s="1" t="n">
        <v>45981</v>
      </c>
      <c r="D450" t="inlineStr">
        <is>
          <t>ÖSTERGÖTLANDS LÄN</t>
        </is>
      </c>
      <c r="E450" t="inlineStr">
        <is>
          <t>LINKÖPING</t>
        </is>
      </c>
      <c r="F450" t="inlineStr">
        <is>
          <t>Övriga Aktiebolag</t>
        </is>
      </c>
      <c r="G450" t="n">
        <v>2</v>
      </c>
      <c r="H450" t="n">
        <v>0</v>
      </c>
      <c r="I450" t="n">
        <v>0</v>
      </c>
      <c r="J450" t="n">
        <v>0</v>
      </c>
      <c r="K450" t="n">
        <v>0</v>
      </c>
      <c r="L450" t="n">
        <v>0</v>
      </c>
      <c r="M450" t="n">
        <v>0</v>
      </c>
      <c r="N450" t="n">
        <v>0</v>
      </c>
      <c r="O450" t="n">
        <v>0</v>
      </c>
      <c r="P450" t="n">
        <v>0</v>
      </c>
      <c r="Q450" t="n">
        <v>0</v>
      </c>
      <c r="R450" s="2" t="inlineStr"/>
    </row>
    <row r="451" ht="15" customHeight="1">
      <c r="A451" t="inlineStr">
        <is>
          <t>A 21782-2024</t>
        </is>
      </c>
      <c r="B451" s="1" t="n">
        <v>45442.63368055555</v>
      </c>
      <c r="C451" s="1" t="n">
        <v>45981</v>
      </c>
      <c r="D451" t="inlineStr">
        <is>
          <t>ÖSTERGÖTLANDS LÄN</t>
        </is>
      </c>
      <c r="E451" t="inlineStr">
        <is>
          <t>LINKÖPING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11671-2023</t>
        </is>
      </c>
      <c r="B452" s="1" t="n">
        <v>44994.48125</v>
      </c>
      <c r="C452" s="1" t="n">
        <v>45981</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45634-2025</t>
        </is>
      </c>
      <c r="B453" s="1" t="n">
        <v>45922.85089120371</v>
      </c>
      <c r="C453" s="1" t="n">
        <v>45981</v>
      </c>
      <c r="D453" t="inlineStr">
        <is>
          <t>ÖSTERGÖTLANDS LÄN</t>
        </is>
      </c>
      <c r="E453" t="inlineStr">
        <is>
          <t>LINKÖPING</t>
        </is>
      </c>
      <c r="F453" t="inlineStr">
        <is>
          <t>Övriga Aktiebolag</t>
        </is>
      </c>
      <c r="G453" t="n">
        <v>0.3</v>
      </c>
      <c r="H453" t="n">
        <v>0</v>
      </c>
      <c r="I453" t="n">
        <v>0</v>
      </c>
      <c r="J453" t="n">
        <v>0</v>
      </c>
      <c r="K453" t="n">
        <v>0</v>
      </c>
      <c r="L453" t="n">
        <v>0</v>
      </c>
      <c r="M453" t="n">
        <v>0</v>
      </c>
      <c r="N453" t="n">
        <v>0</v>
      </c>
      <c r="O453" t="n">
        <v>0</v>
      </c>
      <c r="P453" t="n">
        <v>0</v>
      </c>
      <c r="Q453" t="n">
        <v>0</v>
      </c>
      <c r="R453" s="2" t="inlineStr"/>
    </row>
    <row r="454" ht="15" customHeight="1">
      <c r="A454" t="inlineStr">
        <is>
          <t>A 3013-2023</t>
        </is>
      </c>
      <c r="B454" s="1" t="n">
        <v>44945.8092824074</v>
      </c>
      <c r="C454" s="1" t="n">
        <v>45981</v>
      </c>
      <c r="D454" t="inlineStr">
        <is>
          <t>ÖSTERGÖTLANDS LÄN</t>
        </is>
      </c>
      <c r="E454" t="inlineStr">
        <is>
          <t>LINKÖPING</t>
        </is>
      </c>
      <c r="G454" t="n">
        <v>5.2</v>
      </c>
      <c r="H454" t="n">
        <v>0</v>
      </c>
      <c r="I454" t="n">
        <v>0</v>
      </c>
      <c r="J454" t="n">
        <v>0</v>
      </c>
      <c r="K454" t="n">
        <v>0</v>
      </c>
      <c r="L454" t="n">
        <v>0</v>
      </c>
      <c r="M454" t="n">
        <v>0</v>
      </c>
      <c r="N454" t="n">
        <v>0</v>
      </c>
      <c r="O454" t="n">
        <v>0</v>
      </c>
      <c r="P454" t="n">
        <v>0</v>
      </c>
      <c r="Q454" t="n">
        <v>0</v>
      </c>
      <c r="R454" s="2" t="inlineStr"/>
    </row>
    <row r="455" ht="15" customHeight="1">
      <c r="A455" t="inlineStr">
        <is>
          <t>A 49747-2024</t>
        </is>
      </c>
      <c r="B455" s="1" t="n">
        <v>45596</v>
      </c>
      <c r="C455" s="1" t="n">
        <v>45981</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42997-2021</t>
        </is>
      </c>
      <c r="B456" s="1" t="n">
        <v>44431.45556712963</v>
      </c>
      <c r="C456" s="1" t="n">
        <v>45981</v>
      </c>
      <c r="D456" t="inlineStr">
        <is>
          <t>ÖSTERGÖTLANDS LÄN</t>
        </is>
      </c>
      <c r="E456" t="inlineStr">
        <is>
          <t>LINKÖPING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27766-2022</t>
        </is>
      </c>
      <c r="B457" s="1" t="n">
        <v>44743.53112268518</v>
      </c>
      <c r="C457" s="1" t="n">
        <v>45981</v>
      </c>
      <c r="D457" t="inlineStr">
        <is>
          <t>ÖSTERGÖTLANDS LÄN</t>
        </is>
      </c>
      <c r="E457" t="inlineStr">
        <is>
          <t>LINKÖPING</t>
        </is>
      </c>
      <c r="G457" t="n">
        <v>2</v>
      </c>
      <c r="H457" t="n">
        <v>0</v>
      </c>
      <c r="I457" t="n">
        <v>0</v>
      </c>
      <c r="J457" t="n">
        <v>0</v>
      </c>
      <c r="K457" t="n">
        <v>0</v>
      </c>
      <c r="L457" t="n">
        <v>0</v>
      </c>
      <c r="M457" t="n">
        <v>0</v>
      </c>
      <c r="N457" t="n">
        <v>0</v>
      </c>
      <c r="O457" t="n">
        <v>0</v>
      </c>
      <c r="P457" t="n">
        <v>0</v>
      </c>
      <c r="Q457" t="n">
        <v>0</v>
      </c>
      <c r="R457" s="2" t="inlineStr"/>
    </row>
    <row r="458" ht="15" customHeight="1">
      <c r="A458" t="inlineStr">
        <is>
          <t>A 3011-2023</t>
        </is>
      </c>
      <c r="B458" s="1" t="n">
        <v>44945</v>
      </c>
      <c r="C458" s="1" t="n">
        <v>45981</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23735-2023</t>
        </is>
      </c>
      <c r="B459" s="1" t="n">
        <v>45077</v>
      </c>
      <c r="C459" s="1" t="n">
        <v>45981</v>
      </c>
      <c r="D459" t="inlineStr">
        <is>
          <t>ÖSTERGÖTLANDS LÄN</t>
        </is>
      </c>
      <c r="E459" t="inlineStr">
        <is>
          <t>LINKÖPING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53641-2023</t>
        </is>
      </c>
      <c r="B460" s="1" t="n">
        <v>45230</v>
      </c>
      <c r="C460" s="1" t="n">
        <v>45981</v>
      </c>
      <c r="D460" t="inlineStr">
        <is>
          <t>ÖSTERGÖTLANDS LÄN</t>
        </is>
      </c>
      <c r="E460" t="inlineStr">
        <is>
          <t>LINKÖPING</t>
        </is>
      </c>
      <c r="G460" t="n">
        <v>1.7</v>
      </c>
      <c r="H460" t="n">
        <v>0</v>
      </c>
      <c r="I460" t="n">
        <v>0</v>
      </c>
      <c r="J460" t="n">
        <v>0</v>
      </c>
      <c r="K460" t="n">
        <v>0</v>
      </c>
      <c r="L460" t="n">
        <v>0</v>
      </c>
      <c r="M460" t="n">
        <v>0</v>
      </c>
      <c r="N460" t="n">
        <v>0</v>
      </c>
      <c r="O460" t="n">
        <v>0</v>
      </c>
      <c r="P460" t="n">
        <v>0</v>
      </c>
      <c r="Q460" t="n">
        <v>0</v>
      </c>
      <c r="R460" s="2" t="inlineStr"/>
    </row>
    <row r="461" ht="15" customHeight="1">
      <c r="A461" t="inlineStr">
        <is>
          <t>A 33000-2023</t>
        </is>
      </c>
      <c r="B461" s="1" t="n">
        <v>45125</v>
      </c>
      <c r="C461" s="1" t="n">
        <v>45981</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52892-2024</t>
        </is>
      </c>
      <c r="B462" s="1" t="n">
        <v>45610</v>
      </c>
      <c r="C462" s="1" t="n">
        <v>45981</v>
      </c>
      <c r="D462" t="inlineStr">
        <is>
          <t>ÖSTERGÖTLANDS LÄN</t>
        </is>
      </c>
      <c r="E462" t="inlineStr">
        <is>
          <t>LINKÖPING</t>
        </is>
      </c>
      <c r="G462" t="n">
        <v>4.2</v>
      </c>
      <c r="H462" t="n">
        <v>0</v>
      </c>
      <c r="I462" t="n">
        <v>0</v>
      </c>
      <c r="J462" t="n">
        <v>0</v>
      </c>
      <c r="K462" t="n">
        <v>0</v>
      </c>
      <c r="L462" t="n">
        <v>0</v>
      </c>
      <c r="M462" t="n">
        <v>0</v>
      </c>
      <c r="N462" t="n">
        <v>0</v>
      </c>
      <c r="O462" t="n">
        <v>0</v>
      </c>
      <c r="P462" t="n">
        <v>0</v>
      </c>
      <c r="Q462" t="n">
        <v>0</v>
      </c>
      <c r="R462" s="2" t="inlineStr"/>
    </row>
    <row r="463" ht="15" customHeight="1">
      <c r="A463" t="inlineStr">
        <is>
          <t>A 45821-2024</t>
        </is>
      </c>
      <c r="B463" s="1" t="n">
        <v>45579.75803240741</v>
      </c>
      <c r="C463" s="1" t="n">
        <v>45981</v>
      </c>
      <c r="D463" t="inlineStr">
        <is>
          <t>ÖSTERGÖTLANDS LÄN</t>
        </is>
      </c>
      <c r="E463" t="inlineStr">
        <is>
          <t>LINKÖPING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30521-2024</t>
        </is>
      </c>
      <c r="B464" s="1" t="n">
        <v>45492</v>
      </c>
      <c r="C464" s="1" t="n">
        <v>45981</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51191-2022</t>
        </is>
      </c>
      <c r="B465" s="1" t="n">
        <v>44865</v>
      </c>
      <c r="C465" s="1" t="n">
        <v>45981</v>
      </c>
      <c r="D465" t="inlineStr">
        <is>
          <t>ÖSTERGÖTLANDS LÄN</t>
        </is>
      </c>
      <c r="E465" t="inlineStr">
        <is>
          <t>LINKÖPING</t>
        </is>
      </c>
      <c r="G465" t="n">
        <v>2.2</v>
      </c>
      <c r="H465" t="n">
        <v>0</v>
      </c>
      <c r="I465" t="n">
        <v>0</v>
      </c>
      <c r="J465" t="n">
        <v>0</v>
      </c>
      <c r="K465" t="n">
        <v>0</v>
      </c>
      <c r="L465" t="n">
        <v>0</v>
      </c>
      <c r="M465" t="n">
        <v>0</v>
      </c>
      <c r="N465" t="n">
        <v>0</v>
      </c>
      <c r="O465" t="n">
        <v>0</v>
      </c>
      <c r="P465" t="n">
        <v>0</v>
      </c>
      <c r="Q465" t="n">
        <v>0</v>
      </c>
      <c r="R465" s="2" t="inlineStr"/>
    </row>
    <row r="466" ht="15" customHeight="1">
      <c r="A466" t="inlineStr">
        <is>
          <t>A 54333-2025</t>
        </is>
      </c>
      <c r="B466" s="1" t="n">
        <v>45965.35090277778</v>
      </c>
      <c r="C466" s="1" t="n">
        <v>45981</v>
      </c>
      <c r="D466" t="inlineStr">
        <is>
          <t>ÖSTERGÖTLANDS LÄN</t>
        </is>
      </c>
      <c r="E466" t="inlineStr">
        <is>
          <t>LINKÖPING</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45792-2025</t>
        </is>
      </c>
      <c r="B467" s="1" t="n">
        <v>45923.56998842592</v>
      </c>
      <c r="C467" s="1" t="n">
        <v>45981</v>
      </c>
      <c r="D467" t="inlineStr">
        <is>
          <t>ÖSTERGÖTLANDS LÄN</t>
        </is>
      </c>
      <c r="E467" t="inlineStr">
        <is>
          <t>LINKÖPING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45804-2025</t>
        </is>
      </c>
      <c r="B468" s="1" t="n">
        <v>45923.5819675926</v>
      </c>
      <c r="C468" s="1" t="n">
        <v>45981</v>
      </c>
      <c r="D468" t="inlineStr">
        <is>
          <t>ÖSTERGÖTLANDS LÄN</t>
        </is>
      </c>
      <c r="E468" t="inlineStr">
        <is>
          <t>LINKÖPING</t>
        </is>
      </c>
      <c r="G468" t="n">
        <v>3.3</v>
      </c>
      <c r="H468" t="n">
        <v>0</v>
      </c>
      <c r="I468" t="n">
        <v>0</v>
      </c>
      <c r="J468" t="n">
        <v>0</v>
      </c>
      <c r="K468" t="n">
        <v>0</v>
      </c>
      <c r="L468" t="n">
        <v>0</v>
      </c>
      <c r="M468" t="n">
        <v>0</v>
      </c>
      <c r="N468" t="n">
        <v>0</v>
      </c>
      <c r="O468" t="n">
        <v>0</v>
      </c>
      <c r="P468" t="n">
        <v>0</v>
      </c>
      <c r="Q468" t="n">
        <v>0</v>
      </c>
      <c r="R468" s="2" t="inlineStr"/>
    </row>
    <row r="469" ht="15" customHeight="1">
      <c r="A469" t="inlineStr">
        <is>
          <t>A 12289-2025</t>
        </is>
      </c>
      <c r="B469" s="1" t="n">
        <v>45729</v>
      </c>
      <c r="C469" s="1" t="n">
        <v>45981</v>
      </c>
      <c r="D469" t="inlineStr">
        <is>
          <t>ÖSTERGÖTLANDS LÄN</t>
        </is>
      </c>
      <c r="E469" t="inlineStr">
        <is>
          <t>LINKÖPING</t>
        </is>
      </c>
      <c r="F469" t="inlineStr">
        <is>
          <t>Övriga statliga verk och myndigheter</t>
        </is>
      </c>
      <c r="G469" t="n">
        <v>6.5</v>
      </c>
      <c r="H469" t="n">
        <v>0</v>
      </c>
      <c r="I469" t="n">
        <v>0</v>
      </c>
      <c r="J469" t="n">
        <v>0</v>
      </c>
      <c r="K469" t="n">
        <v>0</v>
      </c>
      <c r="L469" t="n">
        <v>0</v>
      </c>
      <c r="M469" t="n">
        <v>0</v>
      </c>
      <c r="N469" t="n">
        <v>0</v>
      </c>
      <c r="O469" t="n">
        <v>0</v>
      </c>
      <c r="P469" t="n">
        <v>0</v>
      </c>
      <c r="Q469" t="n">
        <v>0</v>
      </c>
      <c r="R469" s="2" t="inlineStr"/>
    </row>
    <row r="470" ht="15" customHeight="1">
      <c r="A470" t="inlineStr">
        <is>
          <t>A 53647-2021</t>
        </is>
      </c>
      <c r="B470" s="1" t="n">
        <v>44469</v>
      </c>
      <c r="C470" s="1" t="n">
        <v>45981</v>
      </c>
      <c r="D470" t="inlineStr">
        <is>
          <t>ÖSTERGÖTLANDS LÄN</t>
        </is>
      </c>
      <c r="E470" t="inlineStr">
        <is>
          <t>LINKÖPING</t>
        </is>
      </c>
      <c r="G470" t="n">
        <v>2.3</v>
      </c>
      <c r="H470" t="n">
        <v>0</v>
      </c>
      <c r="I470" t="n">
        <v>0</v>
      </c>
      <c r="J470" t="n">
        <v>0</v>
      </c>
      <c r="K470" t="n">
        <v>0</v>
      </c>
      <c r="L470" t="n">
        <v>0</v>
      </c>
      <c r="M470" t="n">
        <v>0</v>
      </c>
      <c r="N470" t="n">
        <v>0</v>
      </c>
      <c r="O470" t="n">
        <v>0</v>
      </c>
      <c r="P470" t="n">
        <v>0</v>
      </c>
      <c r="Q470" t="n">
        <v>0</v>
      </c>
      <c r="R470" s="2" t="inlineStr"/>
    </row>
    <row r="471" ht="15" customHeight="1">
      <c r="A471" t="inlineStr">
        <is>
          <t>A 9434-2024</t>
        </is>
      </c>
      <c r="B471" s="1" t="n">
        <v>45359</v>
      </c>
      <c r="C471" s="1" t="n">
        <v>45981</v>
      </c>
      <c r="D471" t="inlineStr">
        <is>
          <t>ÖSTERGÖTLANDS LÄN</t>
        </is>
      </c>
      <c r="E471" t="inlineStr">
        <is>
          <t>LINKÖPING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46426-2025</t>
        </is>
      </c>
      <c r="B472" s="1" t="n">
        <v>45925.6012962963</v>
      </c>
      <c r="C472" s="1" t="n">
        <v>45981</v>
      </c>
      <c r="D472" t="inlineStr">
        <is>
          <t>ÖSTERGÖTLANDS LÄN</t>
        </is>
      </c>
      <c r="E472" t="inlineStr">
        <is>
          <t>LINKÖPING</t>
        </is>
      </c>
      <c r="G472" t="n">
        <v>4.4</v>
      </c>
      <c r="H472" t="n">
        <v>0</v>
      </c>
      <c r="I472" t="n">
        <v>0</v>
      </c>
      <c r="J472" t="n">
        <v>0</v>
      </c>
      <c r="K472" t="n">
        <v>0</v>
      </c>
      <c r="L472" t="n">
        <v>0</v>
      </c>
      <c r="M472" t="n">
        <v>0</v>
      </c>
      <c r="N472" t="n">
        <v>0</v>
      </c>
      <c r="O472" t="n">
        <v>0</v>
      </c>
      <c r="P472" t="n">
        <v>0</v>
      </c>
      <c r="Q472" t="n">
        <v>0</v>
      </c>
      <c r="R472" s="2" t="inlineStr"/>
    </row>
    <row r="473" ht="15" customHeight="1">
      <c r="A473" t="inlineStr">
        <is>
          <t>A 42054-2022</t>
        </is>
      </c>
      <c r="B473" s="1" t="n">
        <v>44830</v>
      </c>
      <c r="C473" s="1" t="n">
        <v>45981</v>
      </c>
      <c r="D473" t="inlineStr">
        <is>
          <t>ÖSTERGÖTLANDS LÄN</t>
        </is>
      </c>
      <c r="E473" t="inlineStr">
        <is>
          <t>LINKÖPING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6599-2023</t>
        </is>
      </c>
      <c r="B474" s="1" t="n">
        <v>44966.52603009259</v>
      </c>
      <c r="C474" s="1" t="n">
        <v>45981</v>
      </c>
      <c r="D474" t="inlineStr">
        <is>
          <t>ÖSTERGÖTLANDS LÄN</t>
        </is>
      </c>
      <c r="E474" t="inlineStr">
        <is>
          <t>LINKÖPING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50182-2023</t>
        </is>
      </c>
      <c r="B475" s="1" t="n">
        <v>45208</v>
      </c>
      <c r="C475" s="1" t="n">
        <v>45981</v>
      </c>
      <c r="D475" t="inlineStr">
        <is>
          <t>ÖSTERGÖTLANDS LÄN</t>
        </is>
      </c>
      <c r="E475" t="inlineStr">
        <is>
          <t>LINKÖPING</t>
        </is>
      </c>
      <c r="G475" t="n">
        <v>2.5</v>
      </c>
      <c r="H475" t="n">
        <v>0</v>
      </c>
      <c r="I475" t="n">
        <v>0</v>
      </c>
      <c r="J475" t="n">
        <v>0</v>
      </c>
      <c r="K475" t="n">
        <v>0</v>
      </c>
      <c r="L475" t="n">
        <v>0</v>
      </c>
      <c r="M475" t="n">
        <v>0</v>
      </c>
      <c r="N475" t="n">
        <v>0</v>
      </c>
      <c r="O475" t="n">
        <v>0</v>
      </c>
      <c r="P475" t="n">
        <v>0</v>
      </c>
      <c r="Q475" t="n">
        <v>0</v>
      </c>
      <c r="R475" s="2" t="inlineStr"/>
    </row>
    <row r="476" ht="15" customHeight="1">
      <c r="A476" t="inlineStr">
        <is>
          <t>A 35781-2023</t>
        </is>
      </c>
      <c r="B476" s="1" t="n">
        <v>45147</v>
      </c>
      <c r="C476" s="1" t="n">
        <v>45981</v>
      </c>
      <c r="D476" t="inlineStr">
        <is>
          <t>ÖSTERGÖTLANDS LÄN</t>
        </is>
      </c>
      <c r="E476" t="inlineStr">
        <is>
          <t>LINKÖPING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35735-2023</t>
        </is>
      </c>
      <c r="B477" s="1" t="n">
        <v>45147</v>
      </c>
      <c r="C477" s="1" t="n">
        <v>45981</v>
      </c>
      <c r="D477" t="inlineStr">
        <is>
          <t>ÖSTERGÖTLANDS LÄN</t>
        </is>
      </c>
      <c r="E477" t="inlineStr">
        <is>
          <t>LINKÖPING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46428-2025</t>
        </is>
      </c>
      <c r="B478" s="1" t="n">
        <v>45925.60758101852</v>
      </c>
      <c r="C478" s="1" t="n">
        <v>45981</v>
      </c>
      <c r="D478" t="inlineStr">
        <is>
          <t>ÖSTERGÖTLANDS LÄN</t>
        </is>
      </c>
      <c r="E478" t="inlineStr">
        <is>
          <t>LINKÖPING</t>
        </is>
      </c>
      <c r="G478" t="n">
        <v>3</v>
      </c>
      <c r="H478" t="n">
        <v>0</v>
      </c>
      <c r="I478" t="n">
        <v>0</v>
      </c>
      <c r="J478" t="n">
        <v>0</v>
      </c>
      <c r="K478" t="n">
        <v>0</v>
      </c>
      <c r="L478" t="n">
        <v>0</v>
      </c>
      <c r="M478" t="n">
        <v>0</v>
      </c>
      <c r="N478" t="n">
        <v>0</v>
      </c>
      <c r="O478" t="n">
        <v>0</v>
      </c>
      <c r="P478" t="n">
        <v>0</v>
      </c>
      <c r="Q478" t="n">
        <v>0</v>
      </c>
      <c r="R478" s="2" t="inlineStr"/>
    </row>
    <row r="479" ht="15" customHeight="1">
      <c r="A479" t="inlineStr">
        <is>
          <t>A 45831-2024</t>
        </is>
      </c>
      <c r="B479" s="1" t="n">
        <v>45579.90508101852</v>
      </c>
      <c r="C479" s="1" t="n">
        <v>45981</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17157-2024</t>
        </is>
      </c>
      <c r="B480" s="1" t="n">
        <v>45412.70567129629</v>
      </c>
      <c r="C480" s="1" t="n">
        <v>45981</v>
      </c>
      <c r="D480" t="inlineStr">
        <is>
          <t>ÖSTERGÖTLANDS LÄN</t>
        </is>
      </c>
      <c r="E480" t="inlineStr">
        <is>
          <t>LINKÖPING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6387-2022</t>
        </is>
      </c>
      <c r="B481" s="1" t="n">
        <v>44600</v>
      </c>
      <c r="C481" s="1" t="n">
        <v>45981</v>
      </c>
      <c r="D481" t="inlineStr">
        <is>
          <t>ÖSTERGÖTLANDS LÄN</t>
        </is>
      </c>
      <c r="E481" t="inlineStr">
        <is>
          <t>LINKÖPING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48707-2023</t>
        </is>
      </c>
      <c r="B482" s="1" t="n">
        <v>45202</v>
      </c>
      <c r="C482" s="1" t="n">
        <v>45981</v>
      </c>
      <c r="D482" t="inlineStr">
        <is>
          <t>ÖSTERGÖTLANDS LÄN</t>
        </is>
      </c>
      <c r="E482" t="inlineStr">
        <is>
          <t>LINKÖPING</t>
        </is>
      </c>
      <c r="G482" t="n">
        <v>1.6</v>
      </c>
      <c r="H482" t="n">
        <v>0</v>
      </c>
      <c r="I482" t="n">
        <v>0</v>
      </c>
      <c r="J482" t="n">
        <v>0</v>
      </c>
      <c r="K482" t="n">
        <v>0</v>
      </c>
      <c r="L482" t="n">
        <v>0</v>
      </c>
      <c r="M482" t="n">
        <v>0</v>
      </c>
      <c r="N482" t="n">
        <v>0</v>
      </c>
      <c r="O482" t="n">
        <v>0</v>
      </c>
      <c r="P482" t="n">
        <v>0</v>
      </c>
      <c r="Q482" t="n">
        <v>0</v>
      </c>
      <c r="R482" s="2" t="inlineStr"/>
    </row>
    <row r="483" ht="15" customHeight="1">
      <c r="A483" t="inlineStr">
        <is>
          <t>A 27950-2025</t>
        </is>
      </c>
      <c r="B483" s="1" t="n">
        <v>45817.52960648148</v>
      </c>
      <c r="C483" s="1" t="n">
        <v>45981</v>
      </c>
      <c r="D483" t="inlineStr">
        <is>
          <t>ÖSTERGÖTLANDS LÄN</t>
        </is>
      </c>
      <c r="E483" t="inlineStr">
        <is>
          <t>LINKÖPING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46377-2025</t>
        </is>
      </c>
      <c r="B484" s="1" t="n">
        <v>45925.51773148148</v>
      </c>
      <c r="C484" s="1" t="n">
        <v>45981</v>
      </c>
      <c r="D484" t="inlineStr">
        <is>
          <t>ÖSTERGÖTLANDS LÄN</t>
        </is>
      </c>
      <c r="E484" t="inlineStr">
        <is>
          <t>LINKÖPING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37154-2023</t>
        </is>
      </c>
      <c r="B485" s="1" t="n">
        <v>45155</v>
      </c>
      <c r="C485" s="1" t="n">
        <v>45981</v>
      </c>
      <c r="D485" t="inlineStr">
        <is>
          <t>ÖSTERGÖTLANDS LÄN</t>
        </is>
      </c>
      <c r="E485" t="inlineStr">
        <is>
          <t>LINKÖPING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55132-2025</t>
        </is>
      </c>
      <c r="B486" s="1" t="n">
        <v>45968.41912037037</v>
      </c>
      <c r="C486" s="1" t="n">
        <v>45981</v>
      </c>
      <c r="D486" t="inlineStr">
        <is>
          <t>ÖSTERGÖTLANDS LÄN</t>
        </is>
      </c>
      <c r="E486" t="inlineStr">
        <is>
          <t>LINKÖPING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53812-2023</t>
        </is>
      </c>
      <c r="B487" s="1" t="n">
        <v>45231.39583333334</v>
      </c>
      <c r="C487" s="1" t="n">
        <v>45981</v>
      </c>
      <c r="D487" t="inlineStr">
        <is>
          <t>ÖSTERGÖTLANDS LÄN</t>
        </is>
      </c>
      <c r="E487" t="inlineStr">
        <is>
          <t>LINKÖPING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53830-2023</t>
        </is>
      </c>
      <c r="B488" s="1" t="n">
        <v>45230</v>
      </c>
      <c r="C488" s="1" t="n">
        <v>45981</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56841-2023</t>
        </is>
      </c>
      <c r="B489" s="1" t="n">
        <v>45244</v>
      </c>
      <c r="C489" s="1" t="n">
        <v>45981</v>
      </c>
      <c r="D489" t="inlineStr">
        <is>
          <t>ÖSTERGÖTLANDS LÄN</t>
        </is>
      </c>
      <c r="E489" t="inlineStr">
        <is>
          <t>LINKÖPING</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56741-2023</t>
        </is>
      </c>
      <c r="B490" s="1" t="n">
        <v>45244</v>
      </c>
      <c r="C490" s="1" t="n">
        <v>45981</v>
      </c>
      <c r="D490" t="inlineStr">
        <is>
          <t>ÖSTERGÖTLANDS LÄN</t>
        </is>
      </c>
      <c r="E490" t="inlineStr">
        <is>
          <t>LINKÖPING</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53816-2023</t>
        </is>
      </c>
      <c r="B491" s="1" t="n">
        <v>45231.40012731482</v>
      </c>
      <c r="C491" s="1" t="n">
        <v>45981</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12089-2025</t>
        </is>
      </c>
      <c r="B492" s="1" t="n">
        <v>45729</v>
      </c>
      <c r="C492" s="1" t="n">
        <v>45981</v>
      </c>
      <c r="D492" t="inlineStr">
        <is>
          <t>ÖSTERGÖTLANDS LÄN</t>
        </is>
      </c>
      <c r="E492" t="inlineStr">
        <is>
          <t>LINKÖPING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63935-2021</t>
        </is>
      </c>
      <c r="B493" s="1" t="n">
        <v>44509</v>
      </c>
      <c r="C493" s="1" t="n">
        <v>45981</v>
      </c>
      <c r="D493" t="inlineStr">
        <is>
          <t>ÖSTERGÖTLANDS LÄN</t>
        </is>
      </c>
      <c r="E493" t="inlineStr">
        <is>
          <t>LINKÖPING</t>
        </is>
      </c>
      <c r="F493" t="inlineStr">
        <is>
          <t>Övriga statliga verk och myndigheter</t>
        </is>
      </c>
      <c r="G493" t="n">
        <v>2.8</v>
      </c>
      <c r="H493" t="n">
        <v>0</v>
      </c>
      <c r="I493" t="n">
        <v>0</v>
      </c>
      <c r="J493" t="n">
        <v>0</v>
      </c>
      <c r="K493" t="n">
        <v>0</v>
      </c>
      <c r="L493" t="n">
        <v>0</v>
      </c>
      <c r="M493" t="n">
        <v>0</v>
      </c>
      <c r="N493" t="n">
        <v>0</v>
      </c>
      <c r="O493" t="n">
        <v>0</v>
      </c>
      <c r="P493" t="n">
        <v>0</v>
      </c>
      <c r="Q493" t="n">
        <v>0</v>
      </c>
      <c r="R493" s="2" t="inlineStr"/>
    </row>
    <row r="494" ht="15" customHeight="1">
      <c r="A494" t="inlineStr">
        <is>
          <t>A 15658-2023</t>
        </is>
      </c>
      <c r="B494" s="1" t="n">
        <v>45021.41194444444</v>
      </c>
      <c r="C494" s="1" t="n">
        <v>45981</v>
      </c>
      <c r="D494" t="inlineStr">
        <is>
          <t>ÖSTERGÖTLANDS LÄN</t>
        </is>
      </c>
      <c r="E494" t="inlineStr">
        <is>
          <t>LINKÖPING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27797-2025</t>
        </is>
      </c>
      <c r="B495" s="1" t="n">
        <v>45816.80521990741</v>
      </c>
      <c r="C495" s="1" t="n">
        <v>45981</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27798-2025</t>
        </is>
      </c>
      <c r="B496" s="1" t="n">
        <v>45816.81532407407</v>
      </c>
      <c r="C496" s="1" t="n">
        <v>45981</v>
      </c>
      <c r="D496" t="inlineStr">
        <is>
          <t>ÖSTERGÖTLANDS LÄN</t>
        </is>
      </c>
      <c r="E496" t="inlineStr">
        <is>
          <t>LINKÖPING</t>
        </is>
      </c>
      <c r="G496" t="n">
        <v>1.9</v>
      </c>
      <c r="H496" t="n">
        <v>0</v>
      </c>
      <c r="I496" t="n">
        <v>0</v>
      </c>
      <c r="J496" t="n">
        <v>0</v>
      </c>
      <c r="K496" t="n">
        <v>0</v>
      </c>
      <c r="L496" t="n">
        <v>0</v>
      </c>
      <c r="M496" t="n">
        <v>0</v>
      </c>
      <c r="N496" t="n">
        <v>0</v>
      </c>
      <c r="O496" t="n">
        <v>0</v>
      </c>
      <c r="P496" t="n">
        <v>0</v>
      </c>
      <c r="Q496" t="n">
        <v>0</v>
      </c>
      <c r="R496" s="2" t="inlineStr"/>
    </row>
    <row r="497" ht="15" customHeight="1">
      <c r="A497" t="inlineStr">
        <is>
          <t>A 6726-2024</t>
        </is>
      </c>
      <c r="B497" s="1" t="n">
        <v>45341</v>
      </c>
      <c r="C497" s="1" t="n">
        <v>45981</v>
      </c>
      <c r="D497" t="inlineStr">
        <is>
          <t>ÖSTERGÖTLANDS LÄN</t>
        </is>
      </c>
      <c r="E497" t="inlineStr">
        <is>
          <t>LINKÖPING</t>
        </is>
      </c>
      <c r="G497" t="n">
        <v>2.7</v>
      </c>
      <c r="H497" t="n">
        <v>0</v>
      </c>
      <c r="I497" t="n">
        <v>0</v>
      </c>
      <c r="J497" t="n">
        <v>0</v>
      </c>
      <c r="K497" t="n">
        <v>0</v>
      </c>
      <c r="L497" t="n">
        <v>0</v>
      </c>
      <c r="M497" t="n">
        <v>0</v>
      </c>
      <c r="N497" t="n">
        <v>0</v>
      </c>
      <c r="O497" t="n">
        <v>0</v>
      </c>
      <c r="P497" t="n">
        <v>0</v>
      </c>
      <c r="Q497" t="n">
        <v>0</v>
      </c>
      <c r="R497" s="2" t="inlineStr"/>
    </row>
    <row r="498" ht="15" customHeight="1">
      <c r="A498" t="inlineStr">
        <is>
          <t>A 38886-2024</t>
        </is>
      </c>
      <c r="B498" s="1" t="n">
        <v>45547.66443287037</v>
      </c>
      <c r="C498" s="1" t="n">
        <v>45981</v>
      </c>
      <c r="D498" t="inlineStr">
        <is>
          <t>ÖSTERGÖTLANDS LÄN</t>
        </is>
      </c>
      <c r="E498" t="inlineStr">
        <is>
          <t>LINKÖPING</t>
        </is>
      </c>
      <c r="G498" t="n">
        <v>5.3</v>
      </c>
      <c r="H498" t="n">
        <v>0</v>
      </c>
      <c r="I498" t="n">
        <v>0</v>
      </c>
      <c r="J498" t="n">
        <v>0</v>
      </c>
      <c r="K498" t="n">
        <v>0</v>
      </c>
      <c r="L498" t="n">
        <v>0</v>
      </c>
      <c r="M498" t="n">
        <v>0</v>
      </c>
      <c r="N498" t="n">
        <v>0</v>
      </c>
      <c r="O498" t="n">
        <v>0</v>
      </c>
      <c r="P498" t="n">
        <v>0</v>
      </c>
      <c r="Q498" t="n">
        <v>0</v>
      </c>
      <c r="R498" s="2" t="inlineStr"/>
    </row>
    <row r="499" ht="15" customHeight="1">
      <c r="A499" t="inlineStr">
        <is>
          <t>A 3007-2023</t>
        </is>
      </c>
      <c r="B499" s="1" t="n">
        <v>44945</v>
      </c>
      <c r="C499" s="1" t="n">
        <v>45981</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18145-2021</t>
        </is>
      </c>
      <c r="B500" s="1" t="n">
        <v>44302</v>
      </c>
      <c r="C500" s="1" t="n">
        <v>45981</v>
      </c>
      <c r="D500" t="inlineStr">
        <is>
          <t>ÖSTERGÖTLANDS LÄN</t>
        </is>
      </c>
      <c r="E500" t="inlineStr">
        <is>
          <t>LINKÖPING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51583-2024</t>
        </is>
      </c>
      <c r="B501" s="1" t="n">
        <v>45604.6397337963</v>
      </c>
      <c r="C501" s="1" t="n">
        <v>45981</v>
      </c>
      <c r="D501" t="inlineStr">
        <is>
          <t>ÖSTERGÖTLANDS LÄN</t>
        </is>
      </c>
      <c r="E501" t="inlineStr">
        <is>
          <t>LINKÖPING</t>
        </is>
      </c>
      <c r="F501" t="inlineStr">
        <is>
          <t>Övriga Aktiebolag</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29309-2024</t>
        </is>
      </c>
      <c r="B502" s="1" t="n">
        <v>45483</v>
      </c>
      <c r="C502" s="1" t="n">
        <v>45981</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55102-2025</t>
        </is>
      </c>
      <c r="B503" s="1" t="n">
        <v>45968.35410879629</v>
      </c>
      <c r="C503" s="1" t="n">
        <v>45981</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55109-2025</t>
        </is>
      </c>
      <c r="B504" s="1" t="n">
        <v>45968.37731481482</v>
      </c>
      <c r="C504" s="1" t="n">
        <v>45981</v>
      </c>
      <c r="D504" t="inlineStr">
        <is>
          <t>ÖSTERGÖTLANDS LÄN</t>
        </is>
      </c>
      <c r="E504" t="inlineStr">
        <is>
          <t>LINKÖPING</t>
        </is>
      </c>
      <c r="G504" t="n">
        <v>3.2</v>
      </c>
      <c r="H504" t="n">
        <v>0</v>
      </c>
      <c r="I504" t="n">
        <v>0</v>
      </c>
      <c r="J504" t="n">
        <v>0</v>
      </c>
      <c r="K504" t="n">
        <v>0</v>
      </c>
      <c r="L504" t="n">
        <v>0</v>
      </c>
      <c r="M504" t="n">
        <v>0</v>
      </c>
      <c r="N504" t="n">
        <v>0</v>
      </c>
      <c r="O504" t="n">
        <v>0</v>
      </c>
      <c r="P504" t="n">
        <v>0</v>
      </c>
      <c r="Q504" t="n">
        <v>0</v>
      </c>
      <c r="R504" s="2" t="inlineStr"/>
    </row>
    <row r="505" ht="15" customHeight="1">
      <c r="A505" t="inlineStr">
        <is>
          <t>A 64694-2023</t>
        </is>
      </c>
      <c r="B505" s="1" t="n">
        <v>45281</v>
      </c>
      <c r="C505" s="1" t="n">
        <v>45981</v>
      </c>
      <c r="D505" t="inlineStr">
        <is>
          <t>ÖSTERGÖTLANDS LÄN</t>
        </is>
      </c>
      <c r="E505" t="inlineStr">
        <is>
          <t>LINKÖPING</t>
        </is>
      </c>
      <c r="F505" t="inlineStr">
        <is>
          <t>Övriga statliga verk och myndigheter</t>
        </is>
      </c>
      <c r="G505" t="n">
        <v>4.9</v>
      </c>
      <c r="H505" t="n">
        <v>0</v>
      </c>
      <c r="I505" t="n">
        <v>0</v>
      </c>
      <c r="J505" t="n">
        <v>0</v>
      </c>
      <c r="K505" t="n">
        <v>0</v>
      </c>
      <c r="L505" t="n">
        <v>0</v>
      </c>
      <c r="M505" t="n">
        <v>0</v>
      </c>
      <c r="N505" t="n">
        <v>0</v>
      </c>
      <c r="O505" t="n">
        <v>0</v>
      </c>
      <c r="P505" t="n">
        <v>0</v>
      </c>
      <c r="Q505" t="n">
        <v>0</v>
      </c>
      <c r="R505" s="2" t="inlineStr"/>
    </row>
    <row r="506" ht="15" customHeight="1">
      <c r="A506" t="inlineStr">
        <is>
          <t>A 32602-2022</t>
        </is>
      </c>
      <c r="B506" s="1" t="n">
        <v>44783.43192129629</v>
      </c>
      <c r="C506" s="1" t="n">
        <v>45981</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55165-2025</t>
        </is>
      </c>
      <c r="B507" s="1" t="n">
        <v>45968.48194444444</v>
      </c>
      <c r="C507" s="1" t="n">
        <v>45981</v>
      </c>
      <c r="D507" t="inlineStr">
        <is>
          <t>ÖSTERGÖTLANDS LÄN</t>
        </is>
      </c>
      <c r="E507" t="inlineStr">
        <is>
          <t>LINKÖPING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28200-2025</t>
        </is>
      </c>
      <c r="B508" s="1" t="n">
        <v>45818.4428125</v>
      </c>
      <c r="C508" s="1" t="n">
        <v>45981</v>
      </c>
      <c r="D508" t="inlineStr">
        <is>
          <t>ÖSTERGÖTLANDS LÄN</t>
        </is>
      </c>
      <c r="E508" t="inlineStr">
        <is>
          <t>LINKÖPING</t>
        </is>
      </c>
      <c r="G508" t="n">
        <v>1.4</v>
      </c>
      <c r="H508" t="n">
        <v>0</v>
      </c>
      <c r="I508" t="n">
        <v>0</v>
      </c>
      <c r="J508" t="n">
        <v>0</v>
      </c>
      <c r="K508" t="n">
        <v>0</v>
      </c>
      <c r="L508" t="n">
        <v>0</v>
      </c>
      <c r="M508" t="n">
        <v>0</v>
      </c>
      <c r="N508" t="n">
        <v>0</v>
      </c>
      <c r="O508" t="n">
        <v>0</v>
      </c>
      <c r="P508" t="n">
        <v>0</v>
      </c>
      <c r="Q508" t="n">
        <v>0</v>
      </c>
      <c r="R508" s="2" t="inlineStr"/>
    </row>
    <row r="509" ht="15" customHeight="1">
      <c r="A509" t="inlineStr">
        <is>
          <t>A 46847-2025</t>
        </is>
      </c>
      <c r="B509" s="1" t="n">
        <v>45928.69971064815</v>
      </c>
      <c r="C509" s="1" t="n">
        <v>45981</v>
      </c>
      <c r="D509" t="inlineStr">
        <is>
          <t>ÖSTERGÖTLANDS LÄN</t>
        </is>
      </c>
      <c r="E509" t="inlineStr">
        <is>
          <t>LINKÖPING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62321-2022</t>
        </is>
      </c>
      <c r="B510" s="1" t="n">
        <v>44916</v>
      </c>
      <c r="C510" s="1" t="n">
        <v>45981</v>
      </c>
      <c r="D510" t="inlineStr">
        <is>
          <t>ÖSTERGÖTLANDS LÄN</t>
        </is>
      </c>
      <c r="E510" t="inlineStr">
        <is>
          <t>LINKÖPING</t>
        </is>
      </c>
      <c r="F510" t="inlineStr">
        <is>
          <t>Kommuner</t>
        </is>
      </c>
      <c r="G510" t="n">
        <v>5.3</v>
      </c>
      <c r="H510" t="n">
        <v>0</v>
      </c>
      <c r="I510" t="n">
        <v>0</v>
      </c>
      <c r="J510" t="n">
        <v>0</v>
      </c>
      <c r="K510" t="n">
        <v>0</v>
      </c>
      <c r="L510" t="n">
        <v>0</v>
      </c>
      <c r="M510" t="n">
        <v>0</v>
      </c>
      <c r="N510" t="n">
        <v>0</v>
      </c>
      <c r="O510" t="n">
        <v>0</v>
      </c>
      <c r="P510" t="n">
        <v>0</v>
      </c>
      <c r="Q510" t="n">
        <v>0</v>
      </c>
      <c r="R510" s="2" t="inlineStr"/>
    </row>
    <row r="511" ht="15" customHeight="1">
      <c r="A511" t="inlineStr">
        <is>
          <t>A 56113-2025</t>
        </is>
      </c>
      <c r="B511" s="1" t="n">
        <v>45973.73924768518</v>
      </c>
      <c r="C511" s="1" t="n">
        <v>45981</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1084-2023</t>
        </is>
      </c>
      <c r="B512" s="1" t="n">
        <v>44929</v>
      </c>
      <c r="C512" s="1" t="n">
        <v>45981</v>
      </c>
      <c r="D512" t="inlineStr">
        <is>
          <t>ÖSTERGÖTLANDS LÄN</t>
        </is>
      </c>
      <c r="E512" t="inlineStr">
        <is>
          <t>LINKÖPING</t>
        </is>
      </c>
      <c r="G512" t="n">
        <v>10.4</v>
      </c>
      <c r="H512" t="n">
        <v>0</v>
      </c>
      <c r="I512" t="n">
        <v>0</v>
      </c>
      <c r="J512" t="n">
        <v>0</v>
      </c>
      <c r="K512" t="n">
        <v>0</v>
      </c>
      <c r="L512" t="n">
        <v>0</v>
      </c>
      <c r="M512" t="n">
        <v>0</v>
      </c>
      <c r="N512" t="n">
        <v>0</v>
      </c>
      <c r="O512" t="n">
        <v>0</v>
      </c>
      <c r="P512" t="n">
        <v>0</v>
      </c>
      <c r="Q512" t="n">
        <v>0</v>
      </c>
      <c r="R512" s="2" t="inlineStr"/>
    </row>
    <row r="513" ht="15" customHeight="1">
      <c r="A513" t="inlineStr">
        <is>
          <t>A 267-2023</t>
        </is>
      </c>
      <c r="B513" s="1" t="n">
        <v>44928.80907407407</v>
      </c>
      <c r="C513" s="1" t="n">
        <v>45981</v>
      </c>
      <c r="D513" t="inlineStr">
        <is>
          <t>ÖSTERGÖTLANDS LÄN</t>
        </is>
      </c>
      <c r="E513" t="inlineStr">
        <is>
          <t>LINKÖPING</t>
        </is>
      </c>
      <c r="G513" t="n">
        <v>2.7</v>
      </c>
      <c r="H513" t="n">
        <v>0</v>
      </c>
      <c r="I513" t="n">
        <v>0</v>
      </c>
      <c r="J513" t="n">
        <v>0</v>
      </c>
      <c r="K513" t="n">
        <v>0</v>
      </c>
      <c r="L513" t="n">
        <v>0</v>
      </c>
      <c r="M513" t="n">
        <v>0</v>
      </c>
      <c r="N513" t="n">
        <v>0</v>
      </c>
      <c r="O513" t="n">
        <v>0</v>
      </c>
      <c r="P513" t="n">
        <v>0</v>
      </c>
      <c r="Q513" t="n">
        <v>0</v>
      </c>
      <c r="R513" s="2" t="inlineStr"/>
    </row>
    <row r="514" ht="15" customHeight="1">
      <c r="A514" t="inlineStr">
        <is>
          <t>A 940-2023</t>
        </is>
      </c>
      <c r="B514" s="1" t="n">
        <v>44933</v>
      </c>
      <c r="C514" s="1" t="n">
        <v>45981</v>
      </c>
      <c r="D514" t="inlineStr">
        <is>
          <t>ÖSTERGÖTLANDS LÄN</t>
        </is>
      </c>
      <c r="E514" t="inlineStr">
        <is>
          <t>LINKÖPING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47233-2025</t>
        </is>
      </c>
      <c r="B515" s="1" t="n">
        <v>45930.40612268518</v>
      </c>
      <c r="C515" s="1" t="n">
        <v>45981</v>
      </c>
      <c r="D515" t="inlineStr">
        <is>
          <t>ÖSTERGÖTLANDS LÄN</t>
        </is>
      </c>
      <c r="E515" t="inlineStr">
        <is>
          <t>LINKÖPING</t>
        </is>
      </c>
      <c r="G515" t="n">
        <v>4.3</v>
      </c>
      <c r="H515" t="n">
        <v>0</v>
      </c>
      <c r="I515" t="n">
        <v>0</v>
      </c>
      <c r="J515" t="n">
        <v>0</v>
      </c>
      <c r="K515" t="n">
        <v>0</v>
      </c>
      <c r="L515" t="n">
        <v>0</v>
      </c>
      <c r="M515" t="n">
        <v>0</v>
      </c>
      <c r="N515" t="n">
        <v>0</v>
      </c>
      <c r="O515" t="n">
        <v>0</v>
      </c>
      <c r="P515" t="n">
        <v>0</v>
      </c>
      <c r="Q515" t="n">
        <v>0</v>
      </c>
      <c r="R515" s="2" t="inlineStr"/>
    </row>
    <row r="516" ht="15" customHeight="1">
      <c r="A516" t="inlineStr">
        <is>
          <t>A 6369-2023</t>
        </is>
      </c>
      <c r="B516" s="1" t="n">
        <v>44965.61106481482</v>
      </c>
      <c r="C516" s="1" t="n">
        <v>45981</v>
      </c>
      <c r="D516" t="inlineStr">
        <is>
          <t>ÖSTERGÖTLANDS LÄN</t>
        </is>
      </c>
      <c r="E516" t="inlineStr">
        <is>
          <t>LINKÖPING</t>
        </is>
      </c>
      <c r="G516" t="n">
        <v>4</v>
      </c>
      <c r="H516" t="n">
        <v>0</v>
      </c>
      <c r="I516" t="n">
        <v>0</v>
      </c>
      <c r="J516" t="n">
        <v>0</v>
      </c>
      <c r="K516" t="n">
        <v>0</v>
      </c>
      <c r="L516" t="n">
        <v>0</v>
      </c>
      <c r="M516" t="n">
        <v>0</v>
      </c>
      <c r="N516" t="n">
        <v>0</v>
      </c>
      <c r="O516" t="n">
        <v>0</v>
      </c>
      <c r="P516" t="n">
        <v>0</v>
      </c>
      <c r="Q516" t="n">
        <v>0</v>
      </c>
      <c r="R516" s="2" t="inlineStr"/>
    </row>
    <row r="517" ht="15" customHeight="1">
      <c r="A517" t="inlineStr">
        <is>
          <t>A 47606-2025</t>
        </is>
      </c>
      <c r="B517" s="1" t="n">
        <v>45931.46402777778</v>
      </c>
      <c r="C517" s="1" t="n">
        <v>45981</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53411-2023</t>
        </is>
      </c>
      <c r="B518" s="1" t="n">
        <v>45229.81049768518</v>
      </c>
      <c r="C518" s="1" t="n">
        <v>45981</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28204-2025</t>
        </is>
      </c>
      <c r="B519" s="1" t="n">
        <v>45818.4477662037</v>
      </c>
      <c r="C519" s="1" t="n">
        <v>45981</v>
      </c>
      <c r="D519" t="inlineStr">
        <is>
          <t>ÖSTERGÖTLANDS LÄN</t>
        </is>
      </c>
      <c r="E519" t="inlineStr">
        <is>
          <t>LINKÖPING</t>
        </is>
      </c>
      <c r="G519" t="n">
        <v>2.9</v>
      </c>
      <c r="H519" t="n">
        <v>0</v>
      </c>
      <c r="I519" t="n">
        <v>0</v>
      </c>
      <c r="J519" t="n">
        <v>0</v>
      </c>
      <c r="K519" t="n">
        <v>0</v>
      </c>
      <c r="L519" t="n">
        <v>0</v>
      </c>
      <c r="M519" t="n">
        <v>0</v>
      </c>
      <c r="N519" t="n">
        <v>0</v>
      </c>
      <c r="O519" t="n">
        <v>0</v>
      </c>
      <c r="P519" t="n">
        <v>0</v>
      </c>
      <c r="Q519" t="n">
        <v>0</v>
      </c>
      <c r="R519" s="2" t="inlineStr"/>
    </row>
    <row r="520" ht="15" customHeight="1">
      <c r="A520" t="inlineStr">
        <is>
          <t>A 28416-2025</t>
        </is>
      </c>
      <c r="B520" s="1" t="n">
        <v>45819.35346064815</v>
      </c>
      <c r="C520" s="1" t="n">
        <v>45981</v>
      </c>
      <c r="D520" t="inlineStr">
        <is>
          <t>ÖSTERGÖTLANDS LÄN</t>
        </is>
      </c>
      <c r="E520" t="inlineStr">
        <is>
          <t>LINKÖPING</t>
        </is>
      </c>
      <c r="F520" t="inlineStr">
        <is>
          <t>Sveaskog</t>
        </is>
      </c>
      <c r="G520" t="n">
        <v>3.7</v>
      </c>
      <c r="H520" t="n">
        <v>0</v>
      </c>
      <c r="I520" t="n">
        <v>0</v>
      </c>
      <c r="J520" t="n">
        <v>0</v>
      </c>
      <c r="K520" t="n">
        <v>0</v>
      </c>
      <c r="L520" t="n">
        <v>0</v>
      </c>
      <c r="M520" t="n">
        <v>0</v>
      </c>
      <c r="N520" t="n">
        <v>0</v>
      </c>
      <c r="O520" t="n">
        <v>0</v>
      </c>
      <c r="P520" t="n">
        <v>0</v>
      </c>
      <c r="Q520" t="n">
        <v>0</v>
      </c>
      <c r="R520" s="2" t="inlineStr"/>
    </row>
    <row r="521" ht="15" customHeight="1">
      <c r="A521" t="inlineStr">
        <is>
          <t>A 30980-2022</t>
        </is>
      </c>
      <c r="B521" s="1" t="n">
        <v>44768</v>
      </c>
      <c r="C521" s="1" t="n">
        <v>45981</v>
      </c>
      <c r="D521" t="inlineStr">
        <is>
          <t>ÖSTERGÖTLANDS LÄN</t>
        </is>
      </c>
      <c r="E521" t="inlineStr">
        <is>
          <t>LINKÖPING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26788-2022</t>
        </is>
      </c>
      <c r="B522" s="1" t="n">
        <v>44740</v>
      </c>
      <c r="C522" s="1" t="n">
        <v>45981</v>
      </c>
      <c r="D522" t="inlineStr">
        <is>
          <t>ÖSTERGÖTLANDS LÄN</t>
        </is>
      </c>
      <c r="E522" t="inlineStr">
        <is>
          <t>LINKÖPING</t>
        </is>
      </c>
      <c r="G522" t="n">
        <v>3.2</v>
      </c>
      <c r="H522" t="n">
        <v>0</v>
      </c>
      <c r="I522" t="n">
        <v>0</v>
      </c>
      <c r="J522" t="n">
        <v>0</v>
      </c>
      <c r="K522" t="n">
        <v>0</v>
      </c>
      <c r="L522" t="n">
        <v>0</v>
      </c>
      <c r="M522" t="n">
        <v>0</v>
      </c>
      <c r="N522" t="n">
        <v>0</v>
      </c>
      <c r="O522" t="n">
        <v>0</v>
      </c>
      <c r="P522" t="n">
        <v>0</v>
      </c>
      <c r="Q522" t="n">
        <v>0</v>
      </c>
      <c r="R522" s="2" t="inlineStr"/>
    </row>
    <row r="523" ht="15" customHeight="1">
      <c r="A523" t="inlineStr">
        <is>
          <t>A 55683-2025</t>
        </is>
      </c>
      <c r="B523" s="1" t="n">
        <v>45972.4255324074</v>
      </c>
      <c r="C523" s="1" t="n">
        <v>45981</v>
      </c>
      <c r="D523" t="inlineStr">
        <is>
          <t>ÖSTERGÖTLANDS LÄN</t>
        </is>
      </c>
      <c r="E523" t="inlineStr">
        <is>
          <t>LINKÖPING</t>
        </is>
      </c>
      <c r="G523" t="n">
        <v>3.3</v>
      </c>
      <c r="H523" t="n">
        <v>0</v>
      </c>
      <c r="I523" t="n">
        <v>0</v>
      </c>
      <c r="J523" t="n">
        <v>0</v>
      </c>
      <c r="K523" t="n">
        <v>0</v>
      </c>
      <c r="L523" t="n">
        <v>0</v>
      </c>
      <c r="M523" t="n">
        <v>0</v>
      </c>
      <c r="N523" t="n">
        <v>0</v>
      </c>
      <c r="O523" t="n">
        <v>0</v>
      </c>
      <c r="P523" t="n">
        <v>0</v>
      </c>
      <c r="Q523" t="n">
        <v>0</v>
      </c>
      <c r="R523" s="2" t="inlineStr"/>
    </row>
    <row r="524" ht="15" customHeight="1">
      <c r="A524" t="inlineStr">
        <is>
          <t>A 60007-2022</t>
        </is>
      </c>
      <c r="B524" s="1" t="n">
        <v>44909.47282407407</v>
      </c>
      <c r="C524" s="1" t="n">
        <v>45981</v>
      </c>
      <c r="D524" t="inlineStr">
        <is>
          <t>ÖSTERGÖTLANDS LÄN</t>
        </is>
      </c>
      <c r="E524" t="inlineStr">
        <is>
          <t>LINKÖPING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47304-2025</t>
        </is>
      </c>
      <c r="B525" s="1" t="n">
        <v>45930.52037037037</v>
      </c>
      <c r="C525" s="1" t="n">
        <v>45981</v>
      </c>
      <c r="D525" t="inlineStr">
        <is>
          <t>ÖSTERGÖTLANDS LÄN</t>
        </is>
      </c>
      <c r="E525" t="inlineStr">
        <is>
          <t>LINKÖPING</t>
        </is>
      </c>
      <c r="G525" t="n">
        <v>2.7</v>
      </c>
      <c r="H525" t="n">
        <v>0</v>
      </c>
      <c r="I525" t="n">
        <v>0</v>
      </c>
      <c r="J525" t="n">
        <v>0</v>
      </c>
      <c r="K525" t="n">
        <v>0</v>
      </c>
      <c r="L525" t="n">
        <v>0</v>
      </c>
      <c r="M525" t="n">
        <v>0</v>
      </c>
      <c r="N525" t="n">
        <v>0</v>
      </c>
      <c r="O525" t="n">
        <v>0</v>
      </c>
      <c r="P525" t="n">
        <v>0</v>
      </c>
      <c r="Q525" t="n">
        <v>0</v>
      </c>
      <c r="R525" s="2" t="inlineStr"/>
    </row>
    <row r="526" ht="15" customHeight="1">
      <c r="A526" t="inlineStr">
        <is>
          <t>A 50799-2022</t>
        </is>
      </c>
      <c r="B526" s="1" t="n">
        <v>44862</v>
      </c>
      <c r="C526" s="1" t="n">
        <v>45981</v>
      </c>
      <c r="D526" t="inlineStr">
        <is>
          <t>ÖSTERGÖTLANDS LÄN</t>
        </is>
      </c>
      <c r="E526" t="inlineStr">
        <is>
          <t>LINKÖPING</t>
        </is>
      </c>
      <c r="G526" t="n">
        <v>0.9</v>
      </c>
      <c r="H526" t="n">
        <v>0</v>
      </c>
      <c r="I526" t="n">
        <v>0</v>
      </c>
      <c r="J526" t="n">
        <v>0</v>
      </c>
      <c r="K526" t="n">
        <v>0</v>
      </c>
      <c r="L526" t="n">
        <v>0</v>
      </c>
      <c r="M526" t="n">
        <v>0</v>
      </c>
      <c r="N526" t="n">
        <v>0</v>
      </c>
      <c r="O526" t="n">
        <v>0</v>
      </c>
      <c r="P526" t="n">
        <v>0</v>
      </c>
      <c r="Q526" t="n">
        <v>0</v>
      </c>
      <c r="R526" s="2" t="inlineStr"/>
    </row>
    <row r="527" ht="15" customHeight="1">
      <c r="A527" t="inlineStr">
        <is>
          <t>A 24462-2023</t>
        </is>
      </c>
      <c r="B527" s="1" t="n">
        <v>45082</v>
      </c>
      <c r="C527" s="1" t="n">
        <v>45981</v>
      </c>
      <c r="D527" t="inlineStr">
        <is>
          <t>ÖSTERGÖTLANDS LÄN</t>
        </is>
      </c>
      <c r="E527" t="inlineStr">
        <is>
          <t>LINKÖPING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56105-2025</t>
        </is>
      </c>
      <c r="B528" s="1" t="n">
        <v>45973.72855324074</v>
      </c>
      <c r="C528" s="1" t="n">
        <v>45981</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56064-2022</t>
        </is>
      </c>
      <c r="B529" s="1" t="n">
        <v>44889.59107638889</v>
      </c>
      <c r="C529" s="1" t="n">
        <v>45981</v>
      </c>
      <c r="D529" t="inlineStr">
        <is>
          <t>ÖSTERGÖTLANDS LÄN</t>
        </is>
      </c>
      <c r="E529" t="inlineStr">
        <is>
          <t>LINKÖPING</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47703-2023</t>
        </is>
      </c>
      <c r="B530" s="1" t="n">
        <v>45203</v>
      </c>
      <c r="C530" s="1" t="n">
        <v>45981</v>
      </c>
      <c r="D530" t="inlineStr">
        <is>
          <t>ÖSTERGÖTLANDS LÄN</t>
        </is>
      </c>
      <c r="E530" t="inlineStr">
        <is>
          <t>LINKÖPING</t>
        </is>
      </c>
      <c r="G530" t="n">
        <v>4.1</v>
      </c>
      <c r="H530" t="n">
        <v>0</v>
      </c>
      <c r="I530" t="n">
        <v>0</v>
      </c>
      <c r="J530" t="n">
        <v>0</v>
      </c>
      <c r="K530" t="n">
        <v>0</v>
      </c>
      <c r="L530" t="n">
        <v>0</v>
      </c>
      <c r="M530" t="n">
        <v>0</v>
      </c>
      <c r="N530" t="n">
        <v>0</v>
      </c>
      <c r="O530" t="n">
        <v>0</v>
      </c>
      <c r="P530" t="n">
        <v>0</v>
      </c>
      <c r="Q530" t="n">
        <v>0</v>
      </c>
      <c r="R530" s="2" t="inlineStr"/>
    </row>
    <row r="531" ht="15" customHeight="1">
      <c r="A531" t="inlineStr">
        <is>
          <t>A 62015-2024</t>
        </is>
      </c>
      <c r="B531" s="1" t="n">
        <v>45655.80457175926</v>
      </c>
      <c r="C531" s="1" t="n">
        <v>45981</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28398-2025</t>
        </is>
      </c>
      <c r="B532" s="1" t="n">
        <v>45819.34208333334</v>
      </c>
      <c r="C532" s="1" t="n">
        <v>45981</v>
      </c>
      <c r="D532" t="inlineStr">
        <is>
          <t>ÖSTERGÖTLANDS LÄN</t>
        </is>
      </c>
      <c r="E532" t="inlineStr">
        <is>
          <t>LINKÖPING</t>
        </is>
      </c>
      <c r="F532" t="inlineStr">
        <is>
          <t>Sveaskog</t>
        </is>
      </c>
      <c r="G532" t="n">
        <v>7.9</v>
      </c>
      <c r="H532" t="n">
        <v>0</v>
      </c>
      <c r="I532" t="n">
        <v>0</v>
      </c>
      <c r="J532" t="n">
        <v>0</v>
      </c>
      <c r="K532" t="n">
        <v>0</v>
      </c>
      <c r="L532" t="n">
        <v>0</v>
      </c>
      <c r="M532" t="n">
        <v>0</v>
      </c>
      <c r="N532" t="n">
        <v>0</v>
      </c>
      <c r="O532" t="n">
        <v>0</v>
      </c>
      <c r="P532" t="n">
        <v>0</v>
      </c>
      <c r="Q532" t="n">
        <v>0</v>
      </c>
      <c r="R532" s="2" t="inlineStr"/>
    </row>
    <row r="533" ht="15" customHeight="1">
      <c r="A533" t="inlineStr">
        <is>
          <t>A 16111-2022</t>
        </is>
      </c>
      <c r="B533" s="1" t="n">
        <v>44665</v>
      </c>
      <c r="C533" s="1" t="n">
        <v>45981</v>
      </c>
      <c r="D533" t="inlineStr">
        <is>
          <t>ÖSTERGÖTLANDS LÄN</t>
        </is>
      </c>
      <c r="E533" t="inlineStr">
        <is>
          <t>LINKÖPING</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48962-2022</t>
        </is>
      </c>
      <c r="B534" s="1" t="n">
        <v>44860.31635416667</v>
      </c>
      <c r="C534" s="1" t="n">
        <v>45981</v>
      </c>
      <c r="D534" t="inlineStr">
        <is>
          <t>ÖSTERGÖTLANDS LÄN</t>
        </is>
      </c>
      <c r="E534" t="inlineStr">
        <is>
          <t>LINKÖPING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28209-2025</t>
        </is>
      </c>
      <c r="B535" s="1" t="n">
        <v>45818.45112268518</v>
      </c>
      <c r="C535" s="1" t="n">
        <v>45981</v>
      </c>
      <c r="D535" t="inlineStr">
        <is>
          <t>ÖSTERGÖTLANDS LÄN</t>
        </is>
      </c>
      <c r="E535" t="inlineStr">
        <is>
          <t>LINKÖPING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10741-2023</t>
        </is>
      </c>
      <c r="B536" s="1" t="n">
        <v>44988.70084490741</v>
      </c>
      <c r="C536" s="1" t="n">
        <v>45981</v>
      </c>
      <c r="D536" t="inlineStr">
        <is>
          <t>ÖSTERGÖTLANDS LÄN</t>
        </is>
      </c>
      <c r="E536" t="inlineStr">
        <is>
          <t>LINKÖPING</t>
        </is>
      </c>
      <c r="F536" t="inlineStr">
        <is>
          <t>Allmännings- och besparingsskogar</t>
        </is>
      </c>
      <c r="G536" t="n">
        <v>11.2</v>
      </c>
      <c r="H536" t="n">
        <v>0</v>
      </c>
      <c r="I536" t="n">
        <v>0</v>
      </c>
      <c r="J536" t="n">
        <v>0</v>
      </c>
      <c r="K536" t="n">
        <v>0</v>
      </c>
      <c r="L536" t="n">
        <v>0</v>
      </c>
      <c r="M536" t="n">
        <v>0</v>
      </c>
      <c r="N536" t="n">
        <v>0</v>
      </c>
      <c r="O536" t="n">
        <v>0</v>
      </c>
      <c r="P536" t="n">
        <v>0</v>
      </c>
      <c r="Q536" t="n">
        <v>0</v>
      </c>
      <c r="R536" s="2" t="inlineStr"/>
    </row>
    <row r="537" ht="15" customHeight="1">
      <c r="A537" t="inlineStr">
        <is>
          <t>A 27891-2021</t>
        </is>
      </c>
      <c r="B537" s="1" t="n">
        <v>44354.65108796296</v>
      </c>
      <c r="C537" s="1" t="n">
        <v>45981</v>
      </c>
      <c r="D537" t="inlineStr">
        <is>
          <t>ÖSTERGÖTLANDS LÄN</t>
        </is>
      </c>
      <c r="E537" t="inlineStr">
        <is>
          <t>LINKÖPING</t>
        </is>
      </c>
      <c r="G537" t="n">
        <v>1.8</v>
      </c>
      <c r="H537" t="n">
        <v>0</v>
      </c>
      <c r="I537" t="n">
        <v>0</v>
      </c>
      <c r="J537" t="n">
        <v>0</v>
      </c>
      <c r="K537" t="n">
        <v>0</v>
      </c>
      <c r="L537" t="n">
        <v>0</v>
      </c>
      <c r="M537" t="n">
        <v>0</v>
      </c>
      <c r="N537" t="n">
        <v>0</v>
      </c>
      <c r="O537" t="n">
        <v>0</v>
      </c>
      <c r="P537" t="n">
        <v>0</v>
      </c>
      <c r="Q537" t="n">
        <v>0</v>
      </c>
      <c r="R537" s="2" t="inlineStr"/>
    </row>
    <row r="538" ht="15" customHeight="1">
      <c r="A538" t="inlineStr">
        <is>
          <t>A 43473-2024</t>
        </is>
      </c>
      <c r="B538" s="1" t="n">
        <v>45568</v>
      </c>
      <c r="C538" s="1" t="n">
        <v>45981</v>
      </c>
      <c r="D538" t="inlineStr">
        <is>
          <t>ÖSTERGÖTLANDS LÄN</t>
        </is>
      </c>
      <c r="E538" t="inlineStr">
        <is>
          <t>LINKÖPING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43475-2024</t>
        </is>
      </c>
      <c r="B539" s="1" t="n">
        <v>45568</v>
      </c>
      <c r="C539" s="1" t="n">
        <v>45981</v>
      </c>
      <c r="D539" t="inlineStr">
        <is>
          <t>ÖSTERGÖTLANDS LÄN</t>
        </is>
      </c>
      <c r="E539" t="inlineStr">
        <is>
          <t>LINKÖPING</t>
        </is>
      </c>
      <c r="G539" t="n">
        <v>3.2</v>
      </c>
      <c r="H539" t="n">
        <v>0</v>
      </c>
      <c r="I539" t="n">
        <v>0</v>
      </c>
      <c r="J539" t="n">
        <v>0</v>
      </c>
      <c r="K539" t="n">
        <v>0</v>
      </c>
      <c r="L539" t="n">
        <v>0</v>
      </c>
      <c r="M539" t="n">
        <v>0</v>
      </c>
      <c r="N539" t="n">
        <v>0</v>
      </c>
      <c r="O539" t="n">
        <v>0</v>
      </c>
      <c r="P539" t="n">
        <v>0</v>
      </c>
      <c r="Q539" t="n">
        <v>0</v>
      </c>
      <c r="R539" s="2" t="inlineStr"/>
    </row>
    <row r="540" ht="15" customHeight="1">
      <c r="A540" t="inlineStr">
        <is>
          <t>A 1207-2023</t>
        </is>
      </c>
      <c r="B540" s="1" t="n">
        <v>44930</v>
      </c>
      <c r="C540" s="1" t="n">
        <v>45981</v>
      </c>
      <c r="D540" t="inlineStr">
        <is>
          <t>ÖSTERGÖTLANDS LÄN</t>
        </is>
      </c>
      <c r="E540" t="inlineStr">
        <is>
          <t>LINKÖPING</t>
        </is>
      </c>
      <c r="F540" t="inlineStr">
        <is>
          <t>Övriga statliga verk och myndigheter</t>
        </is>
      </c>
      <c r="G540" t="n">
        <v>32.8</v>
      </c>
      <c r="H540" t="n">
        <v>0</v>
      </c>
      <c r="I540" t="n">
        <v>0</v>
      </c>
      <c r="J540" t="n">
        <v>0</v>
      </c>
      <c r="K540" t="n">
        <v>0</v>
      </c>
      <c r="L540" t="n">
        <v>0</v>
      </c>
      <c r="M540" t="n">
        <v>0</v>
      </c>
      <c r="N540" t="n">
        <v>0</v>
      </c>
      <c r="O540" t="n">
        <v>0</v>
      </c>
      <c r="P540" t="n">
        <v>0</v>
      </c>
      <c r="Q540" t="n">
        <v>0</v>
      </c>
      <c r="R540" s="2" t="inlineStr"/>
    </row>
    <row r="541" ht="15" customHeight="1">
      <c r="A541" t="inlineStr">
        <is>
          <t>A 29859-2024</t>
        </is>
      </c>
      <c r="B541" s="1" t="n">
        <v>45485.6846412037</v>
      </c>
      <c r="C541" s="1" t="n">
        <v>45981</v>
      </c>
      <c r="D541" t="inlineStr">
        <is>
          <t>ÖSTERGÖTLANDS LÄN</t>
        </is>
      </c>
      <c r="E541" t="inlineStr">
        <is>
          <t>LINKÖPING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45819-2024</t>
        </is>
      </c>
      <c r="B542" s="1" t="n">
        <v>45579.7454050926</v>
      </c>
      <c r="C542" s="1" t="n">
        <v>45981</v>
      </c>
      <c r="D542" t="inlineStr">
        <is>
          <t>ÖSTERGÖTLANDS LÄN</t>
        </is>
      </c>
      <c r="E542" t="inlineStr">
        <is>
          <t>LINKÖPING</t>
        </is>
      </c>
      <c r="G542" t="n">
        <v>5</v>
      </c>
      <c r="H542" t="n">
        <v>0</v>
      </c>
      <c r="I542" t="n">
        <v>0</v>
      </c>
      <c r="J542" t="n">
        <v>0</v>
      </c>
      <c r="K542" t="n">
        <v>0</v>
      </c>
      <c r="L542" t="n">
        <v>0</v>
      </c>
      <c r="M542" t="n">
        <v>0</v>
      </c>
      <c r="N542" t="n">
        <v>0</v>
      </c>
      <c r="O542" t="n">
        <v>0</v>
      </c>
      <c r="P542" t="n">
        <v>0</v>
      </c>
      <c r="Q542" t="n">
        <v>0</v>
      </c>
      <c r="R542" s="2" t="inlineStr"/>
    </row>
    <row r="543" ht="15" customHeight="1">
      <c r="A543" t="inlineStr">
        <is>
          <t>A 15748-2025</t>
        </is>
      </c>
      <c r="B543" s="1" t="n">
        <v>45748.55282407408</v>
      </c>
      <c r="C543" s="1" t="n">
        <v>45981</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15754-2025</t>
        </is>
      </c>
      <c r="B544" s="1" t="n">
        <v>45748.56105324074</v>
      </c>
      <c r="C544" s="1" t="n">
        <v>45981</v>
      </c>
      <c r="D544" t="inlineStr">
        <is>
          <t>ÖSTERGÖTLANDS LÄN</t>
        </is>
      </c>
      <c r="E544" t="inlineStr">
        <is>
          <t>LINKÖPING</t>
        </is>
      </c>
      <c r="G544" t="n">
        <v>1.7</v>
      </c>
      <c r="H544" t="n">
        <v>0</v>
      </c>
      <c r="I544" t="n">
        <v>0</v>
      </c>
      <c r="J544" t="n">
        <v>0</v>
      </c>
      <c r="K544" t="n">
        <v>0</v>
      </c>
      <c r="L544" t="n">
        <v>0</v>
      </c>
      <c r="M544" t="n">
        <v>0</v>
      </c>
      <c r="N544" t="n">
        <v>0</v>
      </c>
      <c r="O544" t="n">
        <v>0</v>
      </c>
      <c r="P544" t="n">
        <v>0</v>
      </c>
      <c r="Q544" t="n">
        <v>0</v>
      </c>
      <c r="R544" s="2" t="inlineStr"/>
    </row>
    <row r="545" ht="15" customHeight="1">
      <c r="A545" t="inlineStr">
        <is>
          <t>A 30518-2024</t>
        </is>
      </c>
      <c r="B545" s="1" t="n">
        <v>45492</v>
      </c>
      <c r="C545" s="1" t="n">
        <v>45981</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1268-2023</t>
        </is>
      </c>
      <c r="B546" s="1" t="n">
        <v>44936</v>
      </c>
      <c r="C546" s="1" t="n">
        <v>45981</v>
      </c>
      <c r="D546" t="inlineStr">
        <is>
          <t>ÖSTERGÖTLANDS LÄN</t>
        </is>
      </c>
      <c r="E546" t="inlineStr">
        <is>
          <t>LINKÖPING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53797-2023</t>
        </is>
      </c>
      <c r="B547" s="1" t="n">
        <v>45230</v>
      </c>
      <c r="C547" s="1" t="n">
        <v>45981</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62687-2023</t>
        </is>
      </c>
      <c r="B548" s="1" t="n">
        <v>45271</v>
      </c>
      <c r="C548" s="1" t="n">
        <v>45981</v>
      </c>
      <c r="D548" t="inlineStr">
        <is>
          <t>ÖSTERGÖTLANDS LÄN</t>
        </is>
      </c>
      <c r="E548" t="inlineStr">
        <is>
          <t>LINKÖPING</t>
        </is>
      </c>
      <c r="G548" t="n">
        <v>1.4</v>
      </c>
      <c r="H548" t="n">
        <v>0</v>
      </c>
      <c r="I548" t="n">
        <v>0</v>
      </c>
      <c r="J548" t="n">
        <v>0</v>
      </c>
      <c r="K548" t="n">
        <v>0</v>
      </c>
      <c r="L548" t="n">
        <v>0</v>
      </c>
      <c r="M548" t="n">
        <v>0</v>
      </c>
      <c r="N548" t="n">
        <v>0</v>
      </c>
      <c r="O548" t="n">
        <v>0</v>
      </c>
      <c r="P548" t="n">
        <v>0</v>
      </c>
      <c r="Q548" t="n">
        <v>0</v>
      </c>
      <c r="R548" s="2" t="inlineStr"/>
    </row>
    <row r="549" ht="15" customHeight="1">
      <c r="A549" t="inlineStr">
        <is>
          <t>A 34641-2022</t>
        </is>
      </c>
      <c r="B549" s="1" t="n">
        <v>44795</v>
      </c>
      <c r="C549" s="1" t="n">
        <v>45981</v>
      </c>
      <c r="D549" t="inlineStr">
        <is>
          <t>ÖSTERGÖTLANDS LÄN</t>
        </is>
      </c>
      <c r="E549" t="inlineStr">
        <is>
          <t>LINKÖPING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29027-2025</t>
        </is>
      </c>
      <c r="B550" s="1" t="n">
        <v>45821.4375462963</v>
      </c>
      <c r="C550" s="1" t="n">
        <v>45981</v>
      </c>
      <c r="D550" t="inlineStr">
        <is>
          <t>ÖSTERGÖTLANDS LÄN</t>
        </is>
      </c>
      <c r="E550" t="inlineStr">
        <is>
          <t>LINKÖPING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938-2023</t>
        </is>
      </c>
      <c r="B551" s="1" t="n">
        <v>44933</v>
      </c>
      <c r="C551" s="1" t="n">
        <v>45981</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2389-2023</t>
        </is>
      </c>
      <c r="B552" s="1" t="n">
        <v>44942</v>
      </c>
      <c r="C552" s="1" t="n">
        <v>45981</v>
      </c>
      <c r="D552" t="inlineStr">
        <is>
          <t>ÖSTERGÖTLANDS LÄN</t>
        </is>
      </c>
      <c r="E552" t="inlineStr">
        <is>
          <t>LINKÖPING</t>
        </is>
      </c>
      <c r="G552" t="n">
        <v>3.3</v>
      </c>
      <c r="H552" t="n">
        <v>0</v>
      </c>
      <c r="I552" t="n">
        <v>0</v>
      </c>
      <c r="J552" t="n">
        <v>0</v>
      </c>
      <c r="K552" t="n">
        <v>0</v>
      </c>
      <c r="L552" t="n">
        <v>0</v>
      </c>
      <c r="M552" t="n">
        <v>0</v>
      </c>
      <c r="N552" t="n">
        <v>0</v>
      </c>
      <c r="O552" t="n">
        <v>0</v>
      </c>
      <c r="P552" t="n">
        <v>0</v>
      </c>
      <c r="Q552" t="n">
        <v>0</v>
      </c>
      <c r="R552" s="2" t="inlineStr"/>
    </row>
    <row r="553" ht="15" customHeight="1">
      <c r="A553" t="inlineStr">
        <is>
          <t>A 29411-2025</t>
        </is>
      </c>
      <c r="B553" s="1" t="n">
        <v>45824.6219212963</v>
      </c>
      <c r="C553" s="1" t="n">
        <v>45981</v>
      </c>
      <c r="D553" t="inlineStr">
        <is>
          <t>ÖSTERGÖTLANDS LÄN</t>
        </is>
      </c>
      <c r="E553" t="inlineStr">
        <is>
          <t>LINKÖPING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55345-2021</t>
        </is>
      </c>
      <c r="B554" s="1" t="n">
        <v>44475</v>
      </c>
      <c r="C554" s="1" t="n">
        <v>45981</v>
      </c>
      <c r="D554" t="inlineStr">
        <is>
          <t>ÖSTERGÖTLANDS LÄN</t>
        </is>
      </c>
      <c r="E554" t="inlineStr">
        <is>
          <t>LINKÖPING</t>
        </is>
      </c>
      <c r="G554" t="n">
        <v>5.7</v>
      </c>
      <c r="H554" t="n">
        <v>0</v>
      </c>
      <c r="I554" t="n">
        <v>0</v>
      </c>
      <c r="J554" t="n">
        <v>0</v>
      </c>
      <c r="K554" t="n">
        <v>0</v>
      </c>
      <c r="L554" t="n">
        <v>0</v>
      </c>
      <c r="M554" t="n">
        <v>0</v>
      </c>
      <c r="N554" t="n">
        <v>0</v>
      </c>
      <c r="O554" t="n">
        <v>0</v>
      </c>
      <c r="P554" t="n">
        <v>0</v>
      </c>
      <c r="Q554" t="n">
        <v>0</v>
      </c>
      <c r="R554" s="2" t="inlineStr"/>
    </row>
    <row r="555" ht="15" customHeight="1">
      <c r="A555" t="inlineStr">
        <is>
          <t>A 29393-2025</t>
        </is>
      </c>
      <c r="B555" s="1" t="n">
        <v>45824.6057175926</v>
      </c>
      <c r="C555" s="1" t="n">
        <v>45981</v>
      </c>
      <c r="D555" t="inlineStr">
        <is>
          <t>ÖSTERGÖTLANDS LÄN</t>
        </is>
      </c>
      <c r="E555" t="inlineStr">
        <is>
          <t>LINKÖPING</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54332-2025</t>
        </is>
      </c>
      <c r="B556" s="1" t="n">
        <v>45965.34915509259</v>
      </c>
      <c r="C556" s="1" t="n">
        <v>45981</v>
      </c>
      <c r="D556" t="inlineStr">
        <is>
          <t>ÖSTERGÖTLANDS LÄN</t>
        </is>
      </c>
      <c r="E556" t="inlineStr">
        <is>
          <t>LINKÖPING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10198-2023</t>
        </is>
      </c>
      <c r="B557" s="1" t="n">
        <v>44986.54665509259</v>
      </c>
      <c r="C557" s="1" t="n">
        <v>45981</v>
      </c>
      <c r="D557" t="inlineStr">
        <is>
          <t>ÖSTERGÖTLANDS LÄN</t>
        </is>
      </c>
      <c r="E557" t="inlineStr">
        <is>
          <t>LINKÖPING</t>
        </is>
      </c>
      <c r="G557" t="n">
        <v>4.6</v>
      </c>
      <c r="H557" t="n">
        <v>0</v>
      </c>
      <c r="I557" t="n">
        <v>0</v>
      </c>
      <c r="J557" t="n">
        <v>0</v>
      </c>
      <c r="K557" t="n">
        <v>0</v>
      </c>
      <c r="L557" t="n">
        <v>0</v>
      </c>
      <c r="M557" t="n">
        <v>0</v>
      </c>
      <c r="N557" t="n">
        <v>0</v>
      </c>
      <c r="O557" t="n">
        <v>0</v>
      </c>
      <c r="P557" t="n">
        <v>0</v>
      </c>
      <c r="Q557" t="n">
        <v>0</v>
      </c>
      <c r="R557" s="2" t="inlineStr"/>
    </row>
    <row r="558" ht="15" customHeight="1">
      <c r="A558" t="inlineStr">
        <is>
          <t>A 48-2024</t>
        </is>
      </c>
      <c r="B558" s="1" t="n">
        <v>45293</v>
      </c>
      <c r="C558" s="1" t="n">
        <v>45981</v>
      </c>
      <c r="D558" t="inlineStr">
        <is>
          <t>ÖSTERGÖTLANDS LÄN</t>
        </is>
      </c>
      <c r="E558" t="inlineStr">
        <is>
          <t>LINKÖPING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45771-2023</t>
        </is>
      </c>
      <c r="B559" s="1" t="n">
        <v>45195.4384375</v>
      </c>
      <c r="C559" s="1" t="n">
        <v>45981</v>
      </c>
      <c r="D559" t="inlineStr">
        <is>
          <t>ÖSTERGÖTLANDS LÄN</t>
        </is>
      </c>
      <c r="E559" t="inlineStr">
        <is>
          <t>LINKÖPING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30547-2023</t>
        </is>
      </c>
      <c r="B560" s="1" t="n">
        <v>45111.75905092592</v>
      </c>
      <c r="C560" s="1" t="n">
        <v>45981</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4298-2023</t>
        </is>
      </c>
      <c r="B561" s="1" t="n">
        <v>44953</v>
      </c>
      <c r="C561" s="1" t="n">
        <v>45981</v>
      </c>
      <c r="D561" t="inlineStr">
        <is>
          <t>ÖSTERGÖTLANDS LÄN</t>
        </is>
      </c>
      <c r="E561" t="inlineStr">
        <is>
          <t>LINKÖPING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40502-2024</t>
        </is>
      </c>
      <c r="B562" s="1" t="n">
        <v>45555.57263888889</v>
      </c>
      <c r="C562" s="1" t="n">
        <v>45981</v>
      </c>
      <c r="D562" t="inlineStr">
        <is>
          <t>ÖSTERGÖTLANDS LÄN</t>
        </is>
      </c>
      <c r="E562" t="inlineStr">
        <is>
          <t>LINKÖPING</t>
        </is>
      </c>
      <c r="F562" t="inlineStr">
        <is>
          <t>Allmännings- och besparingsskogar</t>
        </is>
      </c>
      <c r="G562" t="n">
        <v>17.5</v>
      </c>
      <c r="H562" t="n">
        <v>0</v>
      </c>
      <c r="I562" t="n">
        <v>0</v>
      </c>
      <c r="J562" t="n">
        <v>0</v>
      </c>
      <c r="K562" t="n">
        <v>0</v>
      </c>
      <c r="L562" t="n">
        <v>0</v>
      </c>
      <c r="M562" t="n">
        <v>0</v>
      </c>
      <c r="N562" t="n">
        <v>0</v>
      </c>
      <c r="O562" t="n">
        <v>0</v>
      </c>
      <c r="P562" t="n">
        <v>0</v>
      </c>
      <c r="Q562" t="n">
        <v>0</v>
      </c>
      <c r="R562" s="2" t="inlineStr"/>
    </row>
    <row r="563" ht="15" customHeight="1">
      <c r="A563" t="inlineStr">
        <is>
          <t>A 48343-2025</t>
        </is>
      </c>
      <c r="B563" s="1" t="n">
        <v>45932</v>
      </c>
      <c r="C563" s="1" t="n">
        <v>45981</v>
      </c>
      <c r="D563" t="inlineStr">
        <is>
          <t>ÖSTERGÖTLANDS LÄN</t>
        </is>
      </c>
      <c r="E563" t="inlineStr">
        <is>
          <t>LINKÖPING</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48266-2025</t>
        </is>
      </c>
      <c r="B564" s="1" t="n">
        <v>45932</v>
      </c>
      <c r="C564" s="1" t="n">
        <v>45981</v>
      </c>
      <c r="D564" t="inlineStr">
        <is>
          <t>ÖSTERGÖTLANDS LÄN</t>
        </is>
      </c>
      <c r="E564" t="inlineStr">
        <is>
          <t>LINKÖPING</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29599-2025</t>
        </is>
      </c>
      <c r="B565" s="1" t="n">
        <v>45825.41101851852</v>
      </c>
      <c r="C565" s="1" t="n">
        <v>45981</v>
      </c>
      <c r="D565" t="inlineStr">
        <is>
          <t>ÖSTERGÖTLANDS LÄN</t>
        </is>
      </c>
      <c r="E565" t="inlineStr">
        <is>
          <t>LINKÖPING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12428-2024</t>
        </is>
      </c>
      <c r="B566" s="1" t="n">
        <v>45379</v>
      </c>
      <c r="C566" s="1" t="n">
        <v>45981</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26618-2023</t>
        </is>
      </c>
      <c r="B567" s="1" t="n">
        <v>45092.70306712963</v>
      </c>
      <c r="C567" s="1" t="n">
        <v>45981</v>
      </c>
      <c r="D567" t="inlineStr">
        <is>
          <t>ÖSTERGÖTLANDS LÄN</t>
        </is>
      </c>
      <c r="E567" t="inlineStr">
        <is>
          <t>LINKÖPING</t>
        </is>
      </c>
      <c r="G567" t="n">
        <v>6.9</v>
      </c>
      <c r="H567" t="n">
        <v>0</v>
      </c>
      <c r="I567" t="n">
        <v>0</v>
      </c>
      <c r="J567" t="n">
        <v>0</v>
      </c>
      <c r="K567" t="n">
        <v>0</v>
      </c>
      <c r="L567" t="n">
        <v>0</v>
      </c>
      <c r="M567" t="n">
        <v>0</v>
      </c>
      <c r="N567" t="n">
        <v>0</v>
      </c>
      <c r="O567" t="n">
        <v>0</v>
      </c>
      <c r="P567" t="n">
        <v>0</v>
      </c>
      <c r="Q567" t="n">
        <v>0</v>
      </c>
      <c r="R567" s="2" t="inlineStr"/>
    </row>
    <row r="568" ht="15" customHeight="1">
      <c r="A568" t="inlineStr">
        <is>
          <t>A 34930-2023</t>
        </is>
      </c>
      <c r="B568" s="1" t="n">
        <v>45142</v>
      </c>
      <c r="C568" s="1" t="n">
        <v>45981</v>
      </c>
      <c r="D568" t="inlineStr">
        <is>
          <t>ÖSTERGÖTLANDS LÄN</t>
        </is>
      </c>
      <c r="E568" t="inlineStr">
        <is>
          <t>LINKÖPING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24464-2023</t>
        </is>
      </c>
      <c r="B569" s="1" t="n">
        <v>45082.58068287037</v>
      </c>
      <c r="C569" s="1" t="n">
        <v>45981</v>
      </c>
      <c r="D569" t="inlineStr">
        <is>
          <t>ÖSTERGÖTLANDS LÄN</t>
        </is>
      </c>
      <c r="E569" t="inlineStr">
        <is>
          <t>LINKÖPING</t>
        </is>
      </c>
      <c r="G569" t="n">
        <v>1.6</v>
      </c>
      <c r="H569" t="n">
        <v>0</v>
      </c>
      <c r="I569" t="n">
        <v>0</v>
      </c>
      <c r="J569" t="n">
        <v>0</v>
      </c>
      <c r="K569" t="n">
        <v>0</v>
      </c>
      <c r="L569" t="n">
        <v>0</v>
      </c>
      <c r="M569" t="n">
        <v>0</v>
      </c>
      <c r="N569" t="n">
        <v>0</v>
      </c>
      <c r="O569" t="n">
        <v>0</v>
      </c>
      <c r="P569" t="n">
        <v>0</v>
      </c>
      <c r="Q569" t="n">
        <v>0</v>
      </c>
      <c r="R569" s="2" t="inlineStr"/>
    </row>
    <row r="570" ht="15" customHeight="1">
      <c r="A570" t="inlineStr">
        <is>
          <t>A 24467-2023</t>
        </is>
      </c>
      <c r="B570" s="1" t="n">
        <v>45082</v>
      </c>
      <c r="C570" s="1" t="n">
        <v>45981</v>
      </c>
      <c r="D570" t="inlineStr">
        <is>
          <t>ÖSTERGÖTLANDS LÄN</t>
        </is>
      </c>
      <c r="E570" t="inlineStr">
        <is>
          <t>LINKÖPING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670-2024</t>
        </is>
      </c>
      <c r="B571" s="1" t="n">
        <v>45300.3408912037</v>
      </c>
      <c r="C571" s="1" t="n">
        <v>45981</v>
      </c>
      <c r="D571" t="inlineStr">
        <is>
          <t>ÖSTERGÖTLANDS LÄN</t>
        </is>
      </c>
      <c r="E571" t="inlineStr">
        <is>
          <t>LINKÖPING</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54329-2025</t>
        </is>
      </c>
      <c r="B572" s="1" t="n">
        <v>45965.34706018519</v>
      </c>
      <c r="C572" s="1" t="n">
        <v>45981</v>
      </c>
      <c r="D572" t="inlineStr">
        <is>
          <t>ÖSTERGÖTLANDS LÄN</t>
        </is>
      </c>
      <c r="E572" t="inlineStr">
        <is>
          <t>LINKÖPING</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63845-2021</t>
        </is>
      </c>
      <c r="B573" s="1" t="n">
        <v>44509</v>
      </c>
      <c r="C573" s="1" t="n">
        <v>45981</v>
      </c>
      <c r="D573" t="inlineStr">
        <is>
          <t>ÖSTERGÖTLANDS LÄN</t>
        </is>
      </c>
      <c r="E573" t="inlineStr">
        <is>
          <t>LINKÖPING</t>
        </is>
      </c>
      <c r="G573" t="n">
        <v>5</v>
      </c>
      <c r="H573" t="n">
        <v>0</v>
      </c>
      <c r="I573" t="n">
        <v>0</v>
      </c>
      <c r="J573" t="n">
        <v>0</v>
      </c>
      <c r="K573" t="n">
        <v>0</v>
      </c>
      <c r="L573" t="n">
        <v>0</v>
      </c>
      <c r="M573" t="n">
        <v>0</v>
      </c>
      <c r="N573" t="n">
        <v>0</v>
      </c>
      <c r="O573" t="n">
        <v>0</v>
      </c>
      <c r="P573" t="n">
        <v>0</v>
      </c>
      <c r="Q573" t="n">
        <v>0</v>
      </c>
      <c r="R573" s="2" t="inlineStr"/>
    </row>
    <row r="574" ht="15" customHeight="1">
      <c r="A574" t="inlineStr">
        <is>
          <t>A 48389-2024</t>
        </is>
      </c>
      <c r="B574" s="1" t="n">
        <v>45590.59991898148</v>
      </c>
      <c r="C574" s="1" t="n">
        <v>45981</v>
      </c>
      <c r="D574" t="inlineStr">
        <is>
          <t>ÖSTERGÖTLANDS LÄN</t>
        </is>
      </c>
      <c r="E574" t="inlineStr">
        <is>
          <t>LINKÖPING</t>
        </is>
      </c>
      <c r="G574" t="n">
        <v>2.6</v>
      </c>
      <c r="H574" t="n">
        <v>0</v>
      </c>
      <c r="I574" t="n">
        <v>0</v>
      </c>
      <c r="J574" t="n">
        <v>0</v>
      </c>
      <c r="K574" t="n">
        <v>0</v>
      </c>
      <c r="L574" t="n">
        <v>0</v>
      </c>
      <c r="M574" t="n">
        <v>0</v>
      </c>
      <c r="N574" t="n">
        <v>0</v>
      </c>
      <c r="O574" t="n">
        <v>0</v>
      </c>
      <c r="P574" t="n">
        <v>0</v>
      </c>
      <c r="Q574" t="n">
        <v>0</v>
      </c>
      <c r="R574" s="2" t="inlineStr"/>
    </row>
    <row r="575" ht="15" customHeight="1">
      <c r="A575" t="inlineStr">
        <is>
          <t>A 56792-2023</t>
        </is>
      </c>
      <c r="B575" s="1" t="n">
        <v>45244</v>
      </c>
      <c r="C575" s="1" t="n">
        <v>45981</v>
      </c>
      <c r="D575" t="inlineStr">
        <is>
          <t>ÖSTERGÖTLANDS LÄN</t>
        </is>
      </c>
      <c r="E575" t="inlineStr">
        <is>
          <t>LINKÖPING</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54034-2022</t>
        </is>
      </c>
      <c r="B576" s="1" t="n">
        <v>44881</v>
      </c>
      <c r="C576" s="1" t="n">
        <v>45981</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36336-2023</t>
        </is>
      </c>
      <c r="B577" s="1" t="n">
        <v>45152.45078703704</v>
      </c>
      <c r="C577" s="1" t="n">
        <v>45981</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48829-2023</t>
        </is>
      </c>
      <c r="B578" s="1" t="n">
        <v>45209.38177083333</v>
      </c>
      <c r="C578" s="1" t="n">
        <v>45981</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48254-2025</t>
        </is>
      </c>
      <c r="B579" s="1" t="n">
        <v>45932</v>
      </c>
      <c r="C579" s="1" t="n">
        <v>45981</v>
      </c>
      <c r="D579" t="inlineStr">
        <is>
          <t>ÖSTERGÖTLANDS LÄN</t>
        </is>
      </c>
      <c r="E579" t="inlineStr">
        <is>
          <t>LINKÖPING</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39017-2021</t>
        </is>
      </c>
      <c r="B580" s="1" t="n">
        <v>44412</v>
      </c>
      <c r="C580" s="1" t="n">
        <v>45981</v>
      </c>
      <c r="D580" t="inlineStr">
        <is>
          <t>ÖSTERGÖTLANDS LÄN</t>
        </is>
      </c>
      <c r="E580" t="inlineStr">
        <is>
          <t>LINKÖPING</t>
        </is>
      </c>
      <c r="F580" t="inlineStr">
        <is>
          <t>Övriga statliga verk och myndigheter</t>
        </is>
      </c>
      <c r="G580" t="n">
        <v>0.8</v>
      </c>
      <c r="H580" t="n">
        <v>0</v>
      </c>
      <c r="I580" t="n">
        <v>0</v>
      </c>
      <c r="J580" t="n">
        <v>0</v>
      </c>
      <c r="K580" t="n">
        <v>0</v>
      </c>
      <c r="L580" t="n">
        <v>0</v>
      </c>
      <c r="M580" t="n">
        <v>0</v>
      </c>
      <c r="N580" t="n">
        <v>0</v>
      </c>
      <c r="O580" t="n">
        <v>0</v>
      </c>
      <c r="P580" t="n">
        <v>0</v>
      </c>
      <c r="Q580" t="n">
        <v>0</v>
      </c>
      <c r="R580" s="2" t="inlineStr"/>
    </row>
    <row r="581" ht="15" customHeight="1">
      <c r="A581" t="inlineStr">
        <is>
          <t>A 56403-2025</t>
        </is>
      </c>
      <c r="B581" s="1" t="n">
        <v>45974</v>
      </c>
      <c r="C581" s="1" t="n">
        <v>45981</v>
      </c>
      <c r="D581" t="inlineStr">
        <is>
          <t>ÖSTERGÖTLANDS LÄN</t>
        </is>
      </c>
      <c r="E581" t="inlineStr">
        <is>
          <t>LINKÖPING</t>
        </is>
      </c>
      <c r="G581" t="n">
        <v>3.3</v>
      </c>
      <c r="H581" t="n">
        <v>0</v>
      </c>
      <c r="I581" t="n">
        <v>0</v>
      </c>
      <c r="J581" t="n">
        <v>0</v>
      </c>
      <c r="K581" t="n">
        <v>0</v>
      </c>
      <c r="L581" t="n">
        <v>0</v>
      </c>
      <c r="M581" t="n">
        <v>0</v>
      </c>
      <c r="N581" t="n">
        <v>0</v>
      </c>
      <c r="O581" t="n">
        <v>0</v>
      </c>
      <c r="P581" t="n">
        <v>0</v>
      </c>
      <c r="Q581" t="n">
        <v>0</v>
      </c>
      <c r="R581" s="2" t="inlineStr"/>
    </row>
    <row r="582" ht="15" customHeight="1">
      <c r="A582" t="inlineStr">
        <is>
          <t>A 1260-2023</t>
        </is>
      </c>
      <c r="B582" s="1" t="n">
        <v>44936</v>
      </c>
      <c r="C582" s="1" t="n">
        <v>45981</v>
      </c>
      <c r="D582" t="inlineStr">
        <is>
          <t>ÖSTERGÖTLANDS LÄN</t>
        </is>
      </c>
      <c r="E582" t="inlineStr">
        <is>
          <t>LINKÖPING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30355-2025</t>
        </is>
      </c>
      <c r="B583" s="1" t="n">
        <v>45827</v>
      </c>
      <c r="C583" s="1" t="n">
        <v>45981</v>
      </c>
      <c r="D583" t="inlineStr">
        <is>
          <t>ÖSTERGÖTLANDS LÄN</t>
        </is>
      </c>
      <c r="E583" t="inlineStr">
        <is>
          <t>LINKÖPING</t>
        </is>
      </c>
      <c r="F583" t="inlineStr">
        <is>
          <t>Sveaskog</t>
        </is>
      </c>
      <c r="G583" t="n">
        <v>3.1</v>
      </c>
      <c r="H583" t="n">
        <v>0</v>
      </c>
      <c r="I583" t="n">
        <v>0</v>
      </c>
      <c r="J583" t="n">
        <v>0</v>
      </c>
      <c r="K583" t="n">
        <v>0</v>
      </c>
      <c r="L583" t="n">
        <v>0</v>
      </c>
      <c r="M583" t="n">
        <v>0</v>
      </c>
      <c r="N583" t="n">
        <v>0</v>
      </c>
      <c r="O583" t="n">
        <v>0</v>
      </c>
      <c r="P583" t="n">
        <v>0</v>
      </c>
      <c r="Q583" t="n">
        <v>0</v>
      </c>
      <c r="R583" s="2" t="inlineStr"/>
    </row>
    <row r="584" ht="15" customHeight="1">
      <c r="A584" t="inlineStr">
        <is>
          <t>A 1355-2023</t>
        </is>
      </c>
      <c r="B584" s="1" t="n">
        <v>44931</v>
      </c>
      <c r="C584" s="1" t="n">
        <v>45981</v>
      </c>
      <c r="D584" t="inlineStr">
        <is>
          <t>ÖSTERGÖTLANDS LÄN</t>
        </is>
      </c>
      <c r="E584" t="inlineStr">
        <is>
          <t>LINKÖPING</t>
        </is>
      </c>
      <c r="G584" t="n">
        <v>4</v>
      </c>
      <c r="H584" t="n">
        <v>0</v>
      </c>
      <c r="I584" t="n">
        <v>0</v>
      </c>
      <c r="J584" t="n">
        <v>0</v>
      </c>
      <c r="K584" t="n">
        <v>0</v>
      </c>
      <c r="L584" t="n">
        <v>0</v>
      </c>
      <c r="M584" t="n">
        <v>0</v>
      </c>
      <c r="N584" t="n">
        <v>0</v>
      </c>
      <c r="O584" t="n">
        <v>0</v>
      </c>
      <c r="P584" t="n">
        <v>0</v>
      </c>
      <c r="Q584" t="n">
        <v>0</v>
      </c>
      <c r="R584" s="2" t="inlineStr"/>
    </row>
    <row r="585" ht="15" customHeight="1">
      <c r="A585" t="inlineStr">
        <is>
          <t>A 30353-2025</t>
        </is>
      </c>
      <c r="B585" s="1" t="n">
        <v>45827</v>
      </c>
      <c r="C585" s="1" t="n">
        <v>45981</v>
      </c>
      <c r="D585" t="inlineStr">
        <is>
          <t>ÖSTERGÖTLANDS LÄN</t>
        </is>
      </c>
      <c r="E585" t="inlineStr">
        <is>
          <t>LINKÖPING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56704-2025</t>
        </is>
      </c>
      <c r="B586" s="1" t="n">
        <v>45977.50608796296</v>
      </c>
      <c r="C586" s="1" t="n">
        <v>45981</v>
      </c>
      <c r="D586" t="inlineStr">
        <is>
          <t>ÖSTERGÖTLANDS LÄN</t>
        </is>
      </c>
      <c r="E586" t="inlineStr">
        <is>
          <t>LINKÖPING</t>
        </is>
      </c>
      <c r="F586" t="inlineStr">
        <is>
          <t>Övriga Aktiebolag</t>
        </is>
      </c>
      <c r="G586" t="n">
        <v>0.6</v>
      </c>
      <c r="H586" t="n">
        <v>0</v>
      </c>
      <c r="I586" t="n">
        <v>0</v>
      </c>
      <c r="J586" t="n">
        <v>0</v>
      </c>
      <c r="K586" t="n">
        <v>0</v>
      </c>
      <c r="L586" t="n">
        <v>0</v>
      </c>
      <c r="M586" t="n">
        <v>0</v>
      </c>
      <c r="N586" t="n">
        <v>0</v>
      </c>
      <c r="O586" t="n">
        <v>0</v>
      </c>
      <c r="P586" t="n">
        <v>0</v>
      </c>
      <c r="Q586" t="n">
        <v>0</v>
      </c>
      <c r="R586" s="2" t="inlineStr"/>
    </row>
    <row r="587" ht="15" customHeight="1">
      <c r="A587" t="inlineStr">
        <is>
          <t>A 3007-2025</t>
        </is>
      </c>
      <c r="B587" s="1" t="n">
        <v>45678.56328703704</v>
      </c>
      <c r="C587" s="1" t="n">
        <v>45981</v>
      </c>
      <c r="D587" t="inlineStr">
        <is>
          <t>ÖSTERGÖTLANDS LÄN</t>
        </is>
      </c>
      <c r="E587" t="inlineStr">
        <is>
          <t>LINKÖPING</t>
        </is>
      </c>
      <c r="G587" t="n">
        <v>3.1</v>
      </c>
      <c r="H587" t="n">
        <v>0</v>
      </c>
      <c r="I587" t="n">
        <v>0</v>
      </c>
      <c r="J587" t="n">
        <v>0</v>
      </c>
      <c r="K587" t="n">
        <v>0</v>
      </c>
      <c r="L587" t="n">
        <v>0</v>
      </c>
      <c r="M587" t="n">
        <v>0</v>
      </c>
      <c r="N587" t="n">
        <v>0</v>
      </c>
      <c r="O587" t="n">
        <v>0</v>
      </c>
      <c r="P587" t="n">
        <v>0</v>
      </c>
      <c r="Q587" t="n">
        <v>0</v>
      </c>
      <c r="R587" s="2" t="inlineStr"/>
    </row>
    <row r="588" ht="15" customHeight="1">
      <c r="A588" t="inlineStr">
        <is>
          <t>A 10492-2022</t>
        </is>
      </c>
      <c r="B588" s="1" t="n">
        <v>44623.6377199074</v>
      </c>
      <c r="C588" s="1" t="n">
        <v>45981</v>
      </c>
      <c r="D588" t="inlineStr">
        <is>
          <t>ÖSTERGÖTLANDS LÄN</t>
        </is>
      </c>
      <c r="E588" t="inlineStr">
        <is>
          <t>LINKÖPING</t>
        </is>
      </c>
      <c r="G588" t="n">
        <v>2.1</v>
      </c>
      <c r="H588" t="n">
        <v>0</v>
      </c>
      <c r="I588" t="n">
        <v>0</v>
      </c>
      <c r="J588" t="n">
        <v>0</v>
      </c>
      <c r="K588" t="n">
        <v>0</v>
      </c>
      <c r="L588" t="n">
        <v>0</v>
      </c>
      <c r="M588" t="n">
        <v>0</v>
      </c>
      <c r="N588" t="n">
        <v>0</v>
      </c>
      <c r="O588" t="n">
        <v>0</v>
      </c>
      <c r="P588" t="n">
        <v>0</v>
      </c>
      <c r="Q588" t="n">
        <v>0</v>
      </c>
      <c r="R588" s="2" t="inlineStr"/>
    </row>
    <row r="589" ht="15" customHeight="1">
      <c r="A589" t="inlineStr">
        <is>
          <t>A 30465-2023</t>
        </is>
      </c>
      <c r="B589" s="1" t="n">
        <v>45111</v>
      </c>
      <c r="C589" s="1" t="n">
        <v>45981</v>
      </c>
      <c r="D589" t="inlineStr">
        <is>
          <t>ÖSTERGÖTLANDS LÄN</t>
        </is>
      </c>
      <c r="E589" t="inlineStr">
        <is>
          <t>LINKÖPING</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48186-2022</t>
        </is>
      </c>
      <c r="B590" s="1" t="n">
        <v>44858</v>
      </c>
      <c r="C590" s="1" t="n">
        <v>45981</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63669-2023</t>
        </is>
      </c>
      <c r="B591" s="1" t="n">
        <v>45275</v>
      </c>
      <c r="C591" s="1" t="n">
        <v>45981</v>
      </c>
      <c r="D591" t="inlineStr">
        <is>
          <t>ÖSTERGÖTLANDS LÄN</t>
        </is>
      </c>
      <c r="E591" t="inlineStr">
        <is>
          <t>LINKÖPING</t>
        </is>
      </c>
      <c r="F591" t="inlineStr">
        <is>
          <t>Övriga Aktiebolag</t>
        </is>
      </c>
      <c r="G591" t="n">
        <v>3</v>
      </c>
      <c r="H591" t="n">
        <v>0</v>
      </c>
      <c r="I591" t="n">
        <v>0</v>
      </c>
      <c r="J591" t="n">
        <v>0</v>
      </c>
      <c r="K591" t="n">
        <v>0</v>
      </c>
      <c r="L591" t="n">
        <v>0</v>
      </c>
      <c r="M591" t="n">
        <v>0</v>
      </c>
      <c r="N591" t="n">
        <v>0</v>
      </c>
      <c r="O591" t="n">
        <v>0</v>
      </c>
      <c r="P591" t="n">
        <v>0</v>
      </c>
      <c r="Q591" t="n">
        <v>0</v>
      </c>
      <c r="R591" s="2" t="inlineStr"/>
    </row>
    <row r="592" ht="15" customHeight="1">
      <c r="A592" t="inlineStr">
        <is>
          <t>A 39021-2021</t>
        </is>
      </c>
      <c r="B592" s="1" t="n">
        <v>44412</v>
      </c>
      <c r="C592" s="1" t="n">
        <v>45981</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24586-2024</t>
        </is>
      </c>
      <c r="B593" s="1" t="n">
        <v>45460.46664351852</v>
      </c>
      <c r="C593" s="1" t="n">
        <v>45981</v>
      </c>
      <c r="D593" t="inlineStr">
        <is>
          <t>ÖSTERGÖTLANDS LÄN</t>
        </is>
      </c>
      <c r="E593" t="inlineStr">
        <is>
          <t>LINKÖPING</t>
        </is>
      </c>
      <c r="G593" t="n">
        <v>4</v>
      </c>
      <c r="H593" t="n">
        <v>0</v>
      </c>
      <c r="I593" t="n">
        <v>0</v>
      </c>
      <c r="J593" t="n">
        <v>0</v>
      </c>
      <c r="K593" t="n">
        <v>0</v>
      </c>
      <c r="L593" t="n">
        <v>0</v>
      </c>
      <c r="M593" t="n">
        <v>0</v>
      </c>
      <c r="N593" t="n">
        <v>0</v>
      </c>
      <c r="O593" t="n">
        <v>0</v>
      </c>
      <c r="P593" t="n">
        <v>0</v>
      </c>
      <c r="Q593" t="n">
        <v>0</v>
      </c>
      <c r="R593" s="2" t="inlineStr"/>
    </row>
    <row r="594" ht="15" customHeight="1">
      <c r="A594" t="inlineStr">
        <is>
          <t>A 59576-2024</t>
        </is>
      </c>
      <c r="B594" s="1" t="n">
        <v>45638.66378472222</v>
      </c>
      <c r="C594" s="1" t="n">
        <v>45981</v>
      </c>
      <c r="D594" t="inlineStr">
        <is>
          <t>ÖSTERGÖTLANDS LÄN</t>
        </is>
      </c>
      <c r="E594" t="inlineStr">
        <is>
          <t>LINKÖPING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59642-2024</t>
        </is>
      </c>
      <c r="B595" s="1" t="n">
        <v>45639.31511574074</v>
      </c>
      <c r="C595" s="1" t="n">
        <v>45981</v>
      </c>
      <c r="D595" t="inlineStr">
        <is>
          <t>ÖSTERGÖTLANDS LÄN</t>
        </is>
      </c>
      <c r="E595" t="inlineStr">
        <is>
          <t>LINKÖPING</t>
        </is>
      </c>
      <c r="G595" t="n">
        <v>0.9</v>
      </c>
      <c r="H595" t="n">
        <v>0</v>
      </c>
      <c r="I595" t="n">
        <v>0</v>
      </c>
      <c r="J595" t="n">
        <v>0</v>
      </c>
      <c r="K595" t="n">
        <v>0</v>
      </c>
      <c r="L595" t="n">
        <v>0</v>
      </c>
      <c r="M595" t="n">
        <v>0</v>
      </c>
      <c r="N595" t="n">
        <v>0</v>
      </c>
      <c r="O595" t="n">
        <v>0</v>
      </c>
      <c r="P595" t="n">
        <v>0</v>
      </c>
      <c r="Q595" t="n">
        <v>0</v>
      </c>
      <c r="R595" s="2" t="inlineStr"/>
    </row>
    <row r="596" ht="15" customHeight="1">
      <c r="A596" t="inlineStr">
        <is>
          <t>A 59674-2024</t>
        </is>
      </c>
      <c r="B596" s="1" t="n">
        <v>45639</v>
      </c>
      <c r="C596" s="1" t="n">
        <v>45981</v>
      </c>
      <c r="D596" t="inlineStr">
        <is>
          <t>ÖSTERGÖTLANDS LÄN</t>
        </is>
      </c>
      <c r="E596" t="inlineStr">
        <is>
          <t>LINKÖPING</t>
        </is>
      </c>
      <c r="G596" t="n">
        <v>6.3</v>
      </c>
      <c r="H596" t="n">
        <v>0</v>
      </c>
      <c r="I596" t="n">
        <v>0</v>
      </c>
      <c r="J596" t="n">
        <v>0</v>
      </c>
      <c r="K596" t="n">
        <v>0</v>
      </c>
      <c r="L596" t="n">
        <v>0</v>
      </c>
      <c r="M596" t="n">
        <v>0</v>
      </c>
      <c r="N596" t="n">
        <v>0</v>
      </c>
      <c r="O596" t="n">
        <v>0</v>
      </c>
      <c r="P596" t="n">
        <v>0</v>
      </c>
      <c r="Q596" t="n">
        <v>0</v>
      </c>
      <c r="R596" s="2" t="inlineStr"/>
    </row>
    <row r="597" ht="15" customHeight="1">
      <c r="A597" t="inlineStr">
        <is>
          <t>A 62353-2022</t>
        </is>
      </c>
      <c r="B597" s="1" t="n">
        <v>44923</v>
      </c>
      <c r="C597" s="1" t="n">
        <v>45981</v>
      </c>
      <c r="D597" t="inlineStr">
        <is>
          <t>ÖSTERGÖTLANDS LÄN</t>
        </is>
      </c>
      <c r="E597" t="inlineStr">
        <is>
          <t>LINKÖPING</t>
        </is>
      </c>
      <c r="F597" t="inlineStr">
        <is>
          <t>Allmännings- och besparingsskogar</t>
        </is>
      </c>
      <c r="G597" t="n">
        <v>1.7</v>
      </c>
      <c r="H597" t="n">
        <v>0</v>
      </c>
      <c r="I597" t="n">
        <v>0</v>
      </c>
      <c r="J597" t="n">
        <v>0</v>
      </c>
      <c r="K597" t="n">
        <v>0</v>
      </c>
      <c r="L597" t="n">
        <v>0</v>
      </c>
      <c r="M597" t="n">
        <v>0</v>
      </c>
      <c r="N597" t="n">
        <v>0</v>
      </c>
      <c r="O597" t="n">
        <v>0</v>
      </c>
      <c r="P597" t="n">
        <v>0</v>
      </c>
      <c r="Q597" t="n">
        <v>0</v>
      </c>
      <c r="R597" s="2" t="inlineStr"/>
    </row>
    <row r="598" ht="15" customHeight="1">
      <c r="A598" t="inlineStr">
        <is>
          <t>A 30111-2024</t>
        </is>
      </c>
      <c r="B598" s="1" t="n">
        <v>45489.46947916667</v>
      </c>
      <c r="C598" s="1" t="n">
        <v>45981</v>
      </c>
      <c r="D598" t="inlineStr">
        <is>
          <t>ÖSTERGÖTLANDS LÄN</t>
        </is>
      </c>
      <c r="E598" t="inlineStr">
        <is>
          <t>LINKÖPING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30119-2024</t>
        </is>
      </c>
      <c r="B599" s="1" t="n">
        <v>45489</v>
      </c>
      <c r="C599" s="1" t="n">
        <v>45981</v>
      </c>
      <c r="D599" t="inlineStr">
        <is>
          <t>ÖSTERGÖTLANDS LÄN</t>
        </is>
      </c>
      <c r="E599" t="inlineStr">
        <is>
          <t>LINKÖPING</t>
        </is>
      </c>
      <c r="G599" t="n">
        <v>1.7</v>
      </c>
      <c r="H599" t="n">
        <v>0</v>
      </c>
      <c r="I599" t="n">
        <v>0</v>
      </c>
      <c r="J599" t="n">
        <v>0</v>
      </c>
      <c r="K599" t="n">
        <v>0</v>
      </c>
      <c r="L599" t="n">
        <v>0</v>
      </c>
      <c r="M599" t="n">
        <v>0</v>
      </c>
      <c r="N599" t="n">
        <v>0</v>
      </c>
      <c r="O599" t="n">
        <v>0</v>
      </c>
      <c r="P599" t="n">
        <v>0</v>
      </c>
      <c r="Q599" t="n">
        <v>0</v>
      </c>
      <c r="R599" s="2" t="inlineStr"/>
    </row>
    <row r="600" ht="15" customHeight="1">
      <c r="A600" t="inlineStr">
        <is>
          <t>A 3742-2021</t>
        </is>
      </c>
      <c r="B600" s="1" t="n">
        <v>44221</v>
      </c>
      <c r="C600" s="1" t="n">
        <v>45981</v>
      </c>
      <c r="D600" t="inlineStr">
        <is>
          <t>ÖSTERGÖTLANDS LÄN</t>
        </is>
      </c>
      <c r="E600" t="inlineStr">
        <is>
          <t>LINKÖPING</t>
        </is>
      </c>
      <c r="G600" t="n">
        <v>5.5</v>
      </c>
      <c r="H600" t="n">
        <v>0</v>
      </c>
      <c r="I600" t="n">
        <v>0</v>
      </c>
      <c r="J600" t="n">
        <v>0</v>
      </c>
      <c r="K600" t="n">
        <v>0</v>
      </c>
      <c r="L600" t="n">
        <v>0</v>
      </c>
      <c r="M600" t="n">
        <v>0</v>
      </c>
      <c r="N600" t="n">
        <v>0</v>
      </c>
      <c r="O600" t="n">
        <v>0</v>
      </c>
      <c r="P600" t="n">
        <v>0</v>
      </c>
      <c r="Q600" t="n">
        <v>0</v>
      </c>
      <c r="R600" s="2" t="inlineStr"/>
    </row>
    <row r="601" ht="15" customHeight="1">
      <c r="A601" t="inlineStr">
        <is>
          <t>A 29411-2023</t>
        </is>
      </c>
      <c r="B601" s="1" t="n">
        <v>45106.46225694445</v>
      </c>
      <c r="C601" s="1" t="n">
        <v>45981</v>
      </c>
      <c r="D601" t="inlineStr">
        <is>
          <t>ÖSTERGÖTLANDS LÄN</t>
        </is>
      </c>
      <c r="E601" t="inlineStr">
        <is>
          <t>LINKÖPING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29412-2023</t>
        </is>
      </c>
      <c r="B602" s="1" t="n">
        <v>45106.46359953703</v>
      </c>
      <c r="C602" s="1" t="n">
        <v>45981</v>
      </c>
      <c r="D602" t="inlineStr">
        <is>
          <t>ÖSTERGÖTLANDS LÄN</t>
        </is>
      </c>
      <c r="E602" t="inlineStr">
        <is>
          <t>LINKÖPING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18916-2024</t>
        </is>
      </c>
      <c r="B603" s="1" t="n">
        <v>45427.39541666667</v>
      </c>
      <c r="C603" s="1" t="n">
        <v>45981</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31792-2021</t>
        </is>
      </c>
      <c r="B604" s="1" t="n">
        <v>44369</v>
      </c>
      <c r="C604" s="1" t="n">
        <v>45981</v>
      </c>
      <c r="D604" t="inlineStr">
        <is>
          <t>ÖSTERGÖTLANDS LÄN</t>
        </is>
      </c>
      <c r="E604" t="inlineStr">
        <is>
          <t>LINKÖPING</t>
        </is>
      </c>
      <c r="G604" t="n">
        <v>1.9</v>
      </c>
      <c r="H604" t="n">
        <v>0</v>
      </c>
      <c r="I604" t="n">
        <v>0</v>
      </c>
      <c r="J604" t="n">
        <v>0</v>
      </c>
      <c r="K604" t="n">
        <v>0</v>
      </c>
      <c r="L604" t="n">
        <v>0</v>
      </c>
      <c r="M604" t="n">
        <v>0</v>
      </c>
      <c r="N604" t="n">
        <v>0</v>
      </c>
      <c r="O604" t="n">
        <v>0</v>
      </c>
      <c r="P604" t="n">
        <v>0</v>
      </c>
      <c r="Q604" t="n">
        <v>0</v>
      </c>
      <c r="R604" s="2" t="inlineStr"/>
    </row>
    <row r="605" ht="15" customHeight="1">
      <c r="A605" t="inlineStr">
        <is>
          <t>A 52740-2025</t>
        </is>
      </c>
      <c r="B605" s="1" t="n">
        <v>45957.37747685185</v>
      </c>
      <c r="C605" s="1" t="n">
        <v>45981</v>
      </c>
      <c r="D605" t="inlineStr">
        <is>
          <t>ÖSTERGÖTLANDS LÄN</t>
        </is>
      </c>
      <c r="E605" t="inlineStr">
        <is>
          <t>LINKÖPING</t>
        </is>
      </c>
      <c r="G605" t="n">
        <v>3.7</v>
      </c>
      <c r="H605" t="n">
        <v>0</v>
      </c>
      <c r="I605" t="n">
        <v>0</v>
      </c>
      <c r="J605" t="n">
        <v>0</v>
      </c>
      <c r="K605" t="n">
        <v>0</v>
      </c>
      <c r="L605" t="n">
        <v>0</v>
      </c>
      <c r="M605" t="n">
        <v>0</v>
      </c>
      <c r="N605" t="n">
        <v>0</v>
      </c>
      <c r="O605" t="n">
        <v>0</v>
      </c>
      <c r="P605" t="n">
        <v>0</v>
      </c>
      <c r="Q605" t="n">
        <v>0</v>
      </c>
      <c r="R605" s="2" t="inlineStr"/>
    </row>
    <row r="606" ht="15" customHeight="1">
      <c r="A606" t="inlineStr">
        <is>
          <t>A 11084-2022</t>
        </is>
      </c>
      <c r="B606" s="1" t="n">
        <v>44628</v>
      </c>
      <c r="C606" s="1" t="n">
        <v>45981</v>
      </c>
      <c r="D606" t="inlineStr">
        <is>
          <t>ÖSTERGÖTLANDS LÄN</t>
        </is>
      </c>
      <c r="E606" t="inlineStr">
        <is>
          <t>LINKÖPING</t>
        </is>
      </c>
      <c r="G606" t="n">
        <v>0.5</v>
      </c>
      <c r="H606" t="n">
        <v>0</v>
      </c>
      <c r="I606" t="n">
        <v>0</v>
      </c>
      <c r="J606" t="n">
        <v>0</v>
      </c>
      <c r="K606" t="n">
        <v>0</v>
      </c>
      <c r="L606" t="n">
        <v>0</v>
      </c>
      <c r="M606" t="n">
        <v>0</v>
      </c>
      <c r="N606" t="n">
        <v>0</v>
      </c>
      <c r="O606" t="n">
        <v>0</v>
      </c>
      <c r="P606" t="n">
        <v>0</v>
      </c>
      <c r="Q606" t="n">
        <v>0</v>
      </c>
      <c r="R606" s="2" t="inlineStr"/>
    </row>
    <row r="607" ht="15" customHeight="1">
      <c r="A607" t="inlineStr">
        <is>
          <t>A 421-2024</t>
        </is>
      </c>
      <c r="B607" s="1" t="n">
        <v>45296.51877314815</v>
      </c>
      <c r="C607" s="1" t="n">
        <v>45981</v>
      </c>
      <c r="D607" t="inlineStr">
        <is>
          <t>ÖSTERGÖTLANDS LÄN</t>
        </is>
      </c>
      <c r="E607" t="inlineStr">
        <is>
          <t>LINKÖPING</t>
        </is>
      </c>
      <c r="G607" t="n">
        <v>3.7</v>
      </c>
      <c r="H607" t="n">
        <v>0</v>
      </c>
      <c r="I607" t="n">
        <v>0</v>
      </c>
      <c r="J607" t="n">
        <v>0</v>
      </c>
      <c r="K607" t="n">
        <v>0</v>
      </c>
      <c r="L607" t="n">
        <v>0</v>
      </c>
      <c r="M607" t="n">
        <v>0</v>
      </c>
      <c r="N607" t="n">
        <v>0</v>
      </c>
      <c r="O607" t="n">
        <v>0</v>
      </c>
      <c r="P607" t="n">
        <v>0</v>
      </c>
      <c r="Q607" t="n">
        <v>0</v>
      </c>
      <c r="R607" s="2" t="inlineStr"/>
    </row>
    <row r="608" ht="15" customHeight="1">
      <c r="A608" t="inlineStr">
        <is>
          <t>A 22043-2023</t>
        </is>
      </c>
      <c r="B608" s="1" t="n">
        <v>45069.39050925926</v>
      </c>
      <c r="C608" s="1" t="n">
        <v>45981</v>
      </c>
      <c r="D608" t="inlineStr">
        <is>
          <t>ÖSTERGÖTLANDS LÄN</t>
        </is>
      </c>
      <c r="E608" t="inlineStr">
        <is>
          <t>LINKÖPING</t>
        </is>
      </c>
      <c r="G608" t="n">
        <v>5.9</v>
      </c>
      <c r="H608" t="n">
        <v>0</v>
      </c>
      <c r="I608" t="n">
        <v>0</v>
      </c>
      <c r="J608" t="n">
        <v>0</v>
      </c>
      <c r="K608" t="n">
        <v>0</v>
      </c>
      <c r="L608" t="n">
        <v>0</v>
      </c>
      <c r="M608" t="n">
        <v>0</v>
      </c>
      <c r="N608" t="n">
        <v>0</v>
      </c>
      <c r="O608" t="n">
        <v>0</v>
      </c>
      <c r="P608" t="n">
        <v>0</v>
      </c>
      <c r="Q608" t="n">
        <v>0</v>
      </c>
      <c r="R608" s="2" t="inlineStr"/>
    </row>
    <row r="609" ht="15" customHeight="1">
      <c r="A609" t="inlineStr">
        <is>
          <t>A 61532-2021</t>
        </is>
      </c>
      <c r="B609" s="1" t="n">
        <v>44501</v>
      </c>
      <c r="C609" s="1" t="n">
        <v>45981</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14028-2024</t>
        </is>
      </c>
      <c r="B610" s="1" t="n">
        <v>45392</v>
      </c>
      <c r="C610" s="1" t="n">
        <v>45981</v>
      </c>
      <c r="D610" t="inlineStr">
        <is>
          <t>ÖSTERGÖTLANDS LÄN</t>
        </is>
      </c>
      <c r="E610" t="inlineStr">
        <is>
          <t>LINKÖPING</t>
        </is>
      </c>
      <c r="G610" t="n">
        <v>1.7</v>
      </c>
      <c r="H610" t="n">
        <v>0</v>
      </c>
      <c r="I610" t="n">
        <v>0</v>
      </c>
      <c r="J610" t="n">
        <v>0</v>
      </c>
      <c r="K610" t="n">
        <v>0</v>
      </c>
      <c r="L610" t="n">
        <v>0</v>
      </c>
      <c r="M610" t="n">
        <v>0</v>
      </c>
      <c r="N610" t="n">
        <v>0</v>
      </c>
      <c r="O610" t="n">
        <v>0</v>
      </c>
      <c r="P610" t="n">
        <v>0</v>
      </c>
      <c r="Q610" t="n">
        <v>0</v>
      </c>
      <c r="R610" s="2" t="inlineStr"/>
    </row>
    <row r="611" ht="15" customHeight="1">
      <c r="A611" t="inlineStr">
        <is>
          <t>A 40431-2024</t>
        </is>
      </c>
      <c r="B611" s="1" t="n">
        <v>45555.47070601852</v>
      </c>
      <c r="C611" s="1" t="n">
        <v>45981</v>
      </c>
      <c r="D611" t="inlineStr">
        <is>
          <t>ÖSTERGÖTLANDS LÄN</t>
        </is>
      </c>
      <c r="E611" t="inlineStr">
        <is>
          <t>LINKÖPING</t>
        </is>
      </c>
      <c r="F611" t="inlineStr">
        <is>
          <t>Allmännings- och besparingsskogar</t>
        </is>
      </c>
      <c r="G611" t="n">
        <v>2.9</v>
      </c>
      <c r="H611" t="n">
        <v>0</v>
      </c>
      <c r="I611" t="n">
        <v>0</v>
      </c>
      <c r="J611" t="n">
        <v>0</v>
      </c>
      <c r="K611" t="n">
        <v>0</v>
      </c>
      <c r="L611" t="n">
        <v>0</v>
      </c>
      <c r="M611" t="n">
        <v>0</v>
      </c>
      <c r="N611" t="n">
        <v>0</v>
      </c>
      <c r="O611" t="n">
        <v>0</v>
      </c>
      <c r="P611" t="n">
        <v>0</v>
      </c>
      <c r="Q611" t="n">
        <v>0</v>
      </c>
      <c r="R611" s="2" t="inlineStr"/>
    </row>
    <row r="612" ht="15" customHeight="1">
      <c r="A612" t="inlineStr">
        <is>
          <t>A 10203-2023</t>
        </is>
      </c>
      <c r="B612" s="1" t="n">
        <v>44986.55711805556</v>
      </c>
      <c r="C612" s="1" t="n">
        <v>45981</v>
      </c>
      <c r="D612" t="inlineStr">
        <is>
          <t>ÖSTERGÖTLANDS LÄN</t>
        </is>
      </c>
      <c r="E612" t="inlineStr">
        <is>
          <t>LINKÖPING</t>
        </is>
      </c>
      <c r="G612" t="n">
        <v>3.3</v>
      </c>
      <c r="H612" t="n">
        <v>0</v>
      </c>
      <c r="I612" t="n">
        <v>0</v>
      </c>
      <c r="J612" t="n">
        <v>0</v>
      </c>
      <c r="K612" t="n">
        <v>0</v>
      </c>
      <c r="L612" t="n">
        <v>0</v>
      </c>
      <c r="M612" t="n">
        <v>0</v>
      </c>
      <c r="N612" t="n">
        <v>0</v>
      </c>
      <c r="O612" t="n">
        <v>0</v>
      </c>
      <c r="P612" t="n">
        <v>0</v>
      </c>
      <c r="Q612" t="n">
        <v>0</v>
      </c>
      <c r="R612" s="2" t="inlineStr"/>
    </row>
    <row r="613" ht="15" customHeight="1">
      <c r="A613" t="inlineStr">
        <is>
          <t>A 60860-2024</t>
        </is>
      </c>
      <c r="B613" s="1" t="n">
        <v>45644.6893287037</v>
      </c>
      <c r="C613" s="1" t="n">
        <v>45981</v>
      </c>
      <c r="D613" t="inlineStr">
        <is>
          <t>ÖSTERGÖTLANDS LÄN</t>
        </is>
      </c>
      <c r="E613" t="inlineStr">
        <is>
          <t>LINKÖPING</t>
        </is>
      </c>
      <c r="G613" t="n">
        <v>1.3</v>
      </c>
      <c r="H613" t="n">
        <v>0</v>
      </c>
      <c r="I613" t="n">
        <v>0</v>
      </c>
      <c r="J613" t="n">
        <v>0</v>
      </c>
      <c r="K613" t="n">
        <v>0</v>
      </c>
      <c r="L613" t="n">
        <v>0</v>
      </c>
      <c r="M613" t="n">
        <v>0</v>
      </c>
      <c r="N613" t="n">
        <v>0</v>
      </c>
      <c r="O613" t="n">
        <v>0</v>
      </c>
      <c r="P613" t="n">
        <v>0</v>
      </c>
      <c r="Q613" t="n">
        <v>0</v>
      </c>
      <c r="R613" s="2" t="inlineStr"/>
    </row>
    <row r="614" ht="15" customHeight="1">
      <c r="A614" t="inlineStr">
        <is>
          <t>A 2618-2023</t>
        </is>
      </c>
      <c r="B614" s="1" t="n">
        <v>44944.35847222222</v>
      </c>
      <c r="C614" s="1" t="n">
        <v>45981</v>
      </c>
      <c r="D614" t="inlineStr">
        <is>
          <t>ÖSTERGÖTLANDS LÄN</t>
        </is>
      </c>
      <c r="E614" t="inlineStr">
        <is>
          <t>LINKÖPING</t>
        </is>
      </c>
      <c r="G614" t="n">
        <v>4.3</v>
      </c>
      <c r="H614" t="n">
        <v>0</v>
      </c>
      <c r="I614" t="n">
        <v>0</v>
      </c>
      <c r="J614" t="n">
        <v>0</v>
      </c>
      <c r="K614" t="n">
        <v>0</v>
      </c>
      <c r="L614" t="n">
        <v>0</v>
      </c>
      <c r="M614" t="n">
        <v>0</v>
      </c>
      <c r="N614" t="n">
        <v>0</v>
      </c>
      <c r="O614" t="n">
        <v>0</v>
      </c>
      <c r="P614" t="n">
        <v>0</v>
      </c>
      <c r="Q614" t="n">
        <v>0</v>
      </c>
      <c r="R614" s="2" t="inlineStr"/>
    </row>
    <row r="615" ht="15" customHeight="1">
      <c r="A615" t="inlineStr">
        <is>
          <t>A 2697-2023</t>
        </is>
      </c>
      <c r="B615" s="1" t="n">
        <v>44944</v>
      </c>
      <c r="C615" s="1" t="n">
        <v>45981</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62020-2024</t>
        </is>
      </c>
      <c r="B616" s="1" t="n">
        <v>45655.83563657408</v>
      </c>
      <c r="C616" s="1" t="n">
        <v>45981</v>
      </c>
      <c r="D616" t="inlineStr">
        <is>
          <t>ÖSTERGÖTLANDS LÄN</t>
        </is>
      </c>
      <c r="E616" t="inlineStr">
        <is>
          <t>LINKÖPING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62021-2024</t>
        </is>
      </c>
      <c r="B617" s="1" t="n">
        <v>45655.84232638889</v>
      </c>
      <c r="C617" s="1" t="n">
        <v>45981</v>
      </c>
      <c r="D617" t="inlineStr">
        <is>
          <t>ÖSTERGÖTLANDS LÄN</t>
        </is>
      </c>
      <c r="E617" t="inlineStr">
        <is>
          <t>LINKÖPING</t>
        </is>
      </c>
      <c r="G617" t="n">
        <v>0.7</v>
      </c>
      <c r="H617" t="n">
        <v>0</v>
      </c>
      <c r="I617" t="n">
        <v>0</v>
      </c>
      <c r="J617" t="n">
        <v>0</v>
      </c>
      <c r="K617" t="n">
        <v>0</v>
      </c>
      <c r="L617" t="n">
        <v>0</v>
      </c>
      <c r="M617" t="n">
        <v>0</v>
      </c>
      <c r="N617" t="n">
        <v>0</v>
      </c>
      <c r="O617" t="n">
        <v>0</v>
      </c>
      <c r="P617" t="n">
        <v>0</v>
      </c>
      <c r="Q617" t="n">
        <v>0</v>
      </c>
      <c r="R617" s="2" t="inlineStr"/>
    </row>
    <row r="618" ht="15" customHeight="1">
      <c r="A618" t="inlineStr">
        <is>
          <t>A 45806-2024</t>
        </is>
      </c>
      <c r="B618" s="1" t="n">
        <v>45579.69619212963</v>
      </c>
      <c r="C618" s="1" t="n">
        <v>45981</v>
      </c>
      <c r="D618" t="inlineStr">
        <is>
          <t>ÖSTERGÖTLANDS LÄN</t>
        </is>
      </c>
      <c r="E618" t="inlineStr">
        <is>
          <t>LINKÖPING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31581-2025</t>
        </is>
      </c>
      <c r="B619" s="1" t="n">
        <v>45833.6840162037</v>
      </c>
      <c r="C619" s="1" t="n">
        <v>45981</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31585-2025</t>
        </is>
      </c>
      <c r="B620" s="1" t="n">
        <v>45833.68815972222</v>
      </c>
      <c r="C620" s="1" t="n">
        <v>45981</v>
      </c>
      <c r="D620" t="inlineStr">
        <is>
          <t>ÖSTERGÖTLANDS LÄN</t>
        </is>
      </c>
      <c r="E620" t="inlineStr">
        <is>
          <t>LINKÖPING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56756-2023</t>
        </is>
      </c>
      <c r="B621" s="1" t="n">
        <v>45244</v>
      </c>
      <c r="C621" s="1" t="n">
        <v>45981</v>
      </c>
      <c r="D621" t="inlineStr">
        <is>
          <t>ÖSTERGÖTLANDS LÄN</t>
        </is>
      </c>
      <c r="E621" t="inlineStr">
        <is>
          <t>LINKÖPING</t>
        </is>
      </c>
      <c r="F621" t="inlineStr">
        <is>
          <t>Övriga Aktiebolag</t>
        </is>
      </c>
      <c r="G621" t="n">
        <v>0.8</v>
      </c>
      <c r="H621" t="n">
        <v>0</v>
      </c>
      <c r="I621" t="n">
        <v>0</v>
      </c>
      <c r="J621" t="n">
        <v>0</v>
      </c>
      <c r="K621" t="n">
        <v>0</v>
      </c>
      <c r="L621" t="n">
        <v>0</v>
      </c>
      <c r="M621" t="n">
        <v>0</v>
      </c>
      <c r="N621" t="n">
        <v>0</v>
      </c>
      <c r="O621" t="n">
        <v>0</v>
      </c>
      <c r="P621" t="n">
        <v>0</v>
      </c>
      <c r="Q621" t="n">
        <v>0</v>
      </c>
      <c r="R621" s="2" t="inlineStr"/>
    </row>
    <row r="622" ht="15" customHeight="1">
      <c r="A622" t="inlineStr">
        <is>
          <t>A 1362-2023</t>
        </is>
      </c>
      <c r="B622" s="1" t="n">
        <v>44931</v>
      </c>
      <c r="C622" s="1" t="n">
        <v>45981</v>
      </c>
      <c r="D622" t="inlineStr">
        <is>
          <t>ÖSTERGÖTLANDS LÄN</t>
        </is>
      </c>
      <c r="E622" t="inlineStr">
        <is>
          <t>LINKÖPING</t>
        </is>
      </c>
      <c r="G622" t="n">
        <v>1.8</v>
      </c>
      <c r="H622" t="n">
        <v>0</v>
      </c>
      <c r="I622" t="n">
        <v>0</v>
      </c>
      <c r="J622" t="n">
        <v>0</v>
      </c>
      <c r="K622" t="n">
        <v>0</v>
      </c>
      <c r="L622" t="n">
        <v>0</v>
      </c>
      <c r="M622" t="n">
        <v>0</v>
      </c>
      <c r="N622" t="n">
        <v>0</v>
      </c>
      <c r="O622" t="n">
        <v>0</v>
      </c>
      <c r="P622" t="n">
        <v>0</v>
      </c>
      <c r="Q622" t="n">
        <v>0</v>
      </c>
      <c r="R622" s="2" t="inlineStr"/>
    </row>
    <row r="623" ht="15" customHeight="1">
      <c r="A623" t="inlineStr">
        <is>
          <t>A 60985-2023</t>
        </is>
      </c>
      <c r="B623" s="1" t="n">
        <v>45261.48429398148</v>
      </c>
      <c r="C623" s="1" t="n">
        <v>45981</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24904-2024</t>
        </is>
      </c>
      <c r="B624" s="1" t="n">
        <v>45461</v>
      </c>
      <c r="C624" s="1" t="n">
        <v>45981</v>
      </c>
      <c r="D624" t="inlineStr">
        <is>
          <t>ÖSTERGÖTLANDS LÄN</t>
        </is>
      </c>
      <c r="E624" t="inlineStr">
        <is>
          <t>LINKÖPING</t>
        </is>
      </c>
      <c r="G624" t="n">
        <v>3.8</v>
      </c>
      <c r="H624" t="n">
        <v>0</v>
      </c>
      <c r="I624" t="n">
        <v>0</v>
      </c>
      <c r="J624" t="n">
        <v>0</v>
      </c>
      <c r="K624" t="n">
        <v>0</v>
      </c>
      <c r="L624" t="n">
        <v>0</v>
      </c>
      <c r="M624" t="n">
        <v>0</v>
      </c>
      <c r="N624" t="n">
        <v>0</v>
      </c>
      <c r="O624" t="n">
        <v>0</v>
      </c>
      <c r="P624" t="n">
        <v>0</v>
      </c>
      <c r="Q624" t="n">
        <v>0</v>
      </c>
      <c r="R624" s="2" t="inlineStr"/>
    </row>
    <row r="625" ht="15" customHeight="1">
      <c r="A625" t="inlineStr">
        <is>
          <t>A 55009-2023</t>
        </is>
      </c>
      <c r="B625" s="1" t="n">
        <v>45237</v>
      </c>
      <c r="C625" s="1" t="n">
        <v>45981</v>
      </c>
      <c r="D625" t="inlineStr">
        <is>
          <t>ÖSTERGÖTLANDS LÄN</t>
        </is>
      </c>
      <c r="E625" t="inlineStr">
        <is>
          <t>LINKÖPING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34872-2023</t>
        </is>
      </c>
      <c r="B626" s="1" t="n">
        <v>45140</v>
      </c>
      <c r="C626" s="1" t="n">
        <v>45981</v>
      </c>
      <c r="D626" t="inlineStr">
        <is>
          <t>ÖSTERGÖTLANDS LÄN</t>
        </is>
      </c>
      <c r="E626" t="inlineStr">
        <is>
          <t>LINKÖPING</t>
        </is>
      </c>
      <c r="G626" t="n">
        <v>4.8</v>
      </c>
      <c r="H626" t="n">
        <v>0</v>
      </c>
      <c r="I626" t="n">
        <v>0</v>
      </c>
      <c r="J626" t="n">
        <v>0</v>
      </c>
      <c r="K626" t="n">
        <v>0</v>
      </c>
      <c r="L626" t="n">
        <v>0</v>
      </c>
      <c r="M626" t="n">
        <v>0</v>
      </c>
      <c r="N626" t="n">
        <v>0</v>
      </c>
      <c r="O626" t="n">
        <v>0</v>
      </c>
      <c r="P626" t="n">
        <v>0</v>
      </c>
      <c r="Q626" t="n">
        <v>0</v>
      </c>
      <c r="R626" s="2" t="inlineStr"/>
    </row>
    <row r="627" ht="15" customHeight="1">
      <c r="A627" t="inlineStr">
        <is>
          <t>A 49928-2024</t>
        </is>
      </c>
      <c r="B627" s="1" t="n">
        <v>45597.57811342592</v>
      </c>
      <c r="C627" s="1" t="n">
        <v>45981</v>
      </c>
      <c r="D627" t="inlineStr">
        <is>
          <t>ÖSTERGÖTLANDS LÄN</t>
        </is>
      </c>
      <c r="E627" t="inlineStr">
        <is>
          <t>LINKÖPING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3627-2023</t>
        </is>
      </c>
      <c r="B628" s="1" t="n">
        <v>44950.64782407408</v>
      </c>
      <c r="C628" s="1" t="n">
        <v>45981</v>
      </c>
      <c r="D628" t="inlineStr">
        <is>
          <t>ÖSTERGÖTLANDS LÄN</t>
        </is>
      </c>
      <c r="E628" t="inlineStr">
        <is>
          <t>LINKÖPING</t>
        </is>
      </c>
      <c r="G628" t="n">
        <v>3.1</v>
      </c>
      <c r="H628" t="n">
        <v>0</v>
      </c>
      <c r="I628" t="n">
        <v>0</v>
      </c>
      <c r="J628" t="n">
        <v>0</v>
      </c>
      <c r="K628" t="n">
        <v>0</v>
      </c>
      <c r="L628" t="n">
        <v>0</v>
      </c>
      <c r="M628" t="n">
        <v>0</v>
      </c>
      <c r="N628" t="n">
        <v>0</v>
      </c>
      <c r="O628" t="n">
        <v>0</v>
      </c>
      <c r="P628" t="n">
        <v>0</v>
      </c>
      <c r="Q628" t="n">
        <v>0</v>
      </c>
      <c r="R628" s="2" t="inlineStr"/>
    </row>
    <row r="629" ht="15" customHeight="1">
      <c r="A629" t="inlineStr">
        <is>
          <t>A 51405-2023</t>
        </is>
      </c>
      <c r="B629" s="1" t="n">
        <v>45219</v>
      </c>
      <c r="C629" s="1" t="n">
        <v>45981</v>
      </c>
      <c r="D629" t="inlineStr">
        <is>
          <t>ÖSTERGÖTLANDS LÄN</t>
        </is>
      </c>
      <c r="E629" t="inlineStr">
        <is>
          <t>LINKÖPING</t>
        </is>
      </c>
      <c r="F629" t="inlineStr">
        <is>
          <t>Övriga Aktiebolag</t>
        </is>
      </c>
      <c r="G629" t="n">
        <v>3</v>
      </c>
      <c r="H629" t="n">
        <v>0</v>
      </c>
      <c r="I629" t="n">
        <v>0</v>
      </c>
      <c r="J629" t="n">
        <v>0</v>
      </c>
      <c r="K629" t="n">
        <v>0</v>
      </c>
      <c r="L629" t="n">
        <v>0</v>
      </c>
      <c r="M629" t="n">
        <v>0</v>
      </c>
      <c r="N629" t="n">
        <v>0</v>
      </c>
      <c r="O629" t="n">
        <v>0</v>
      </c>
      <c r="P629" t="n">
        <v>0</v>
      </c>
      <c r="Q629" t="n">
        <v>0</v>
      </c>
      <c r="R629" s="2" t="inlineStr"/>
    </row>
    <row r="630" ht="15" customHeight="1">
      <c r="A630" t="inlineStr">
        <is>
          <t>A 11601-2023</t>
        </is>
      </c>
      <c r="B630" s="1" t="n">
        <v>44994</v>
      </c>
      <c r="C630" s="1" t="n">
        <v>45981</v>
      </c>
      <c r="D630" t="inlineStr">
        <is>
          <t>ÖSTERGÖTLANDS LÄN</t>
        </is>
      </c>
      <c r="E630" t="inlineStr">
        <is>
          <t>LINKÖPING</t>
        </is>
      </c>
      <c r="G630" t="n">
        <v>1.7</v>
      </c>
      <c r="H630" t="n">
        <v>0</v>
      </c>
      <c r="I630" t="n">
        <v>0</v>
      </c>
      <c r="J630" t="n">
        <v>0</v>
      </c>
      <c r="K630" t="n">
        <v>0</v>
      </c>
      <c r="L630" t="n">
        <v>0</v>
      </c>
      <c r="M630" t="n">
        <v>0</v>
      </c>
      <c r="N630" t="n">
        <v>0</v>
      </c>
      <c r="O630" t="n">
        <v>0</v>
      </c>
      <c r="P630" t="n">
        <v>0</v>
      </c>
      <c r="Q630" t="n">
        <v>0</v>
      </c>
      <c r="R630" s="2" t="inlineStr"/>
    </row>
    <row r="631" ht="15" customHeight="1">
      <c r="A631" t="inlineStr">
        <is>
          <t>A 40338-2024</t>
        </is>
      </c>
      <c r="B631" s="1" t="n">
        <v>45555.32940972222</v>
      </c>
      <c r="C631" s="1" t="n">
        <v>45981</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36336-2022</t>
        </is>
      </c>
      <c r="B632" s="1" t="n">
        <v>44803</v>
      </c>
      <c r="C632" s="1" t="n">
        <v>45981</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167-2024</t>
        </is>
      </c>
      <c r="B633" s="1" t="n">
        <v>45294</v>
      </c>
      <c r="C633" s="1" t="n">
        <v>45981</v>
      </c>
      <c r="D633" t="inlineStr">
        <is>
          <t>ÖSTERGÖTLANDS LÄN</t>
        </is>
      </c>
      <c r="E633" t="inlineStr">
        <is>
          <t>LINKÖPING</t>
        </is>
      </c>
      <c r="F633" t="inlineStr">
        <is>
          <t>Allmännings- och besparingsskogar</t>
        </is>
      </c>
      <c r="G633" t="n">
        <v>11.6</v>
      </c>
      <c r="H633" t="n">
        <v>0</v>
      </c>
      <c r="I633" t="n">
        <v>0</v>
      </c>
      <c r="J633" t="n">
        <v>0</v>
      </c>
      <c r="K633" t="n">
        <v>0</v>
      </c>
      <c r="L633" t="n">
        <v>0</v>
      </c>
      <c r="M633" t="n">
        <v>0</v>
      </c>
      <c r="N633" t="n">
        <v>0</v>
      </c>
      <c r="O633" t="n">
        <v>0</v>
      </c>
      <c r="P633" t="n">
        <v>0</v>
      </c>
      <c r="Q633" t="n">
        <v>0</v>
      </c>
      <c r="R633" s="2" t="inlineStr"/>
    </row>
    <row r="634" ht="15" customHeight="1">
      <c r="A634" t="inlineStr">
        <is>
          <t>A 25097-2023</t>
        </is>
      </c>
      <c r="B634" s="1" t="n">
        <v>45086</v>
      </c>
      <c r="C634" s="1" t="n">
        <v>45981</v>
      </c>
      <c r="D634" t="inlineStr">
        <is>
          <t>ÖSTERGÖTLANDS LÄN</t>
        </is>
      </c>
      <c r="E634" t="inlineStr">
        <is>
          <t>LINKÖPING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27186-2021</t>
        </is>
      </c>
      <c r="B635" s="1" t="n">
        <v>44350.67715277777</v>
      </c>
      <c r="C635" s="1" t="n">
        <v>45981</v>
      </c>
      <c r="D635" t="inlineStr">
        <is>
          <t>ÖSTERGÖTLANDS LÄN</t>
        </is>
      </c>
      <c r="E635" t="inlineStr">
        <is>
          <t>LINKÖPING</t>
        </is>
      </c>
      <c r="F635" t="inlineStr">
        <is>
          <t>Allmännings- och besparingsskogar</t>
        </is>
      </c>
      <c r="G635" t="n">
        <v>1.4</v>
      </c>
      <c r="H635" t="n">
        <v>0</v>
      </c>
      <c r="I635" t="n">
        <v>0</v>
      </c>
      <c r="J635" t="n">
        <v>0</v>
      </c>
      <c r="K635" t="n">
        <v>0</v>
      </c>
      <c r="L635" t="n">
        <v>0</v>
      </c>
      <c r="M635" t="n">
        <v>0</v>
      </c>
      <c r="N635" t="n">
        <v>0</v>
      </c>
      <c r="O635" t="n">
        <v>0</v>
      </c>
      <c r="P635" t="n">
        <v>0</v>
      </c>
      <c r="Q635" t="n">
        <v>0</v>
      </c>
      <c r="R635" s="2" t="inlineStr"/>
    </row>
    <row r="636" ht="15" customHeight="1">
      <c r="A636" t="inlineStr">
        <is>
          <t>A 7343-2025</t>
        </is>
      </c>
      <c r="B636" s="1" t="n">
        <v>45703.67853009259</v>
      </c>
      <c r="C636" s="1" t="n">
        <v>45981</v>
      </c>
      <c r="D636" t="inlineStr">
        <is>
          <t>ÖSTERGÖTLANDS LÄN</t>
        </is>
      </c>
      <c r="E636" t="inlineStr">
        <is>
          <t>LINKÖPING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10461-2023</t>
        </is>
      </c>
      <c r="B637" s="1" t="n">
        <v>44987.5969212963</v>
      </c>
      <c r="C637" s="1" t="n">
        <v>45981</v>
      </c>
      <c r="D637" t="inlineStr">
        <is>
          <t>ÖSTERGÖTLANDS LÄN</t>
        </is>
      </c>
      <c r="E637" t="inlineStr">
        <is>
          <t>LINKÖPING</t>
        </is>
      </c>
      <c r="G637" t="n">
        <v>7.8</v>
      </c>
      <c r="H637" t="n">
        <v>0</v>
      </c>
      <c r="I637" t="n">
        <v>0</v>
      </c>
      <c r="J637" t="n">
        <v>0</v>
      </c>
      <c r="K637" t="n">
        <v>0</v>
      </c>
      <c r="L637" t="n">
        <v>0</v>
      </c>
      <c r="M637" t="n">
        <v>0</v>
      </c>
      <c r="N637" t="n">
        <v>0</v>
      </c>
      <c r="O637" t="n">
        <v>0</v>
      </c>
      <c r="P637" t="n">
        <v>0</v>
      </c>
      <c r="Q637" t="n">
        <v>0</v>
      </c>
      <c r="R637" s="2" t="inlineStr"/>
    </row>
    <row r="638" ht="15" customHeight="1">
      <c r="A638" t="inlineStr">
        <is>
          <t>A 48271-2023</t>
        </is>
      </c>
      <c r="B638" s="1" t="n">
        <v>45205</v>
      </c>
      <c r="C638" s="1" t="n">
        <v>45981</v>
      </c>
      <c r="D638" t="inlineStr">
        <is>
          <t>ÖSTERGÖTLANDS LÄN</t>
        </is>
      </c>
      <c r="E638" t="inlineStr">
        <is>
          <t>LINKÖPING</t>
        </is>
      </c>
      <c r="G638" t="n">
        <v>3</v>
      </c>
      <c r="H638" t="n">
        <v>0</v>
      </c>
      <c r="I638" t="n">
        <v>0</v>
      </c>
      <c r="J638" t="n">
        <v>0</v>
      </c>
      <c r="K638" t="n">
        <v>0</v>
      </c>
      <c r="L638" t="n">
        <v>0</v>
      </c>
      <c r="M638" t="n">
        <v>0</v>
      </c>
      <c r="N638" t="n">
        <v>0</v>
      </c>
      <c r="O638" t="n">
        <v>0</v>
      </c>
      <c r="P638" t="n">
        <v>0</v>
      </c>
      <c r="Q638" t="n">
        <v>0</v>
      </c>
      <c r="R638" s="2" t="inlineStr"/>
    </row>
    <row r="639" ht="15" customHeight="1">
      <c r="A639" t="inlineStr">
        <is>
          <t>A 12720-2022</t>
        </is>
      </c>
      <c r="B639" s="1" t="n">
        <v>44641</v>
      </c>
      <c r="C639" s="1" t="n">
        <v>45981</v>
      </c>
      <c r="D639" t="inlineStr">
        <is>
          <t>ÖSTERGÖTLANDS LÄN</t>
        </is>
      </c>
      <c r="E639" t="inlineStr">
        <is>
          <t>LINKÖPING</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62018-2024</t>
        </is>
      </c>
      <c r="B640" s="1" t="n">
        <v>45655.81387731482</v>
      </c>
      <c r="C640" s="1" t="n">
        <v>45981</v>
      </c>
      <c r="D640" t="inlineStr">
        <is>
          <t>ÖSTERGÖTLANDS LÄN</t>
        </is>
      </c>
      <c r="E640" t="inlineStr">
        <is>
          <t>LINKÖPING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50386-2021</t>
        </is>
      </c>
      <c r="B641" s="1" t="n">
        <v>44459</v>
      </c>
      <c r="C641" s="1" t="n">
        <v>45981</v>
      </c>
      <c r="D641" t="inlineStr">
        <is>
          <t>ÖSTERGÖTLANDS LÄN</t>
        </is>
      </c>
      <c r="E641" t="inlineStr">
        <is>
          <t>LINKÖPING</t>
        </is>
      </c>
      <c r="G641" t="n">
        <v>2.3</v>
      </c>
      <c r="H641" t="n">
        <v>0</v>
      </c>
      <c r="I641" t="n">
        <v>0</v>
      </c>
      <c r="J641" t="n">
        <v>0</v>
      </c>
      <c r="K641" t="n">
        <v>0</v>
      </c>
      <c r="L641" t="n">
        <v>0</v>
      </c>
      <c r="M641" t="n">
        <v>0</v>
      </c>
      <c r="N641" t="n">
        <v>0</v>
      </c>
      <c r="O641" t="n">
        <v>0</v>
      </c>
      <c r="P641" t="n">
        <v>0</v>
      </c>
      <c r="Q641" t="n">
        <v>0</v>
      </c>
      <c r="R641" s="2" t="inlineStr"/>
    </row>
    <row r="642" ht="15" customHeight="1">
      <c r="A642" t="inlineStr">
        <is>
          <t>A 350-2022</t>
        </is>
      </c>
      <c r="B642" s="1" t="n">
        <v>44565</v>
      </c>
      <c r="C642" s="1" t="n">
        <v>45981</v>
      </c>
      <c r="D642" t="inlineStr">
        <is>
          <t>ÖSTERGÖTLANDS LÄN</t>
        </is>
      </c>
      <c r="E642" t="inlineStr">
        <is>
          <t>LINKÖPING</t>
        </is>
      </c>
      <c r="G642" t="n">
        <v>1.2</v>
      </c>
      <c r="H642" t="n">
        <v>0</v>
      </c>
      <c r="I642" t="n">
        <v>0</v>
      </c>
      <c r="J642" t="n">
        <v>0</v>
      </c>
      <c r="K642" t="n">
        <v>0</v>
      </c>
      <c r="L642" t="n">
        <v>0</v>
      </c>
      <c r="M642" t="n">
        <v>0</v>
      </c>
      <c r="N642" t="n">
        <v>0</v>
      </c>
      <c r="O642" t="n">
        <v>0</v>
      </c>
      <c r="P642" t="n">
        <v>0</v>
      </c>
      <c r="Q642" t="n">
        <v>0</v>
      </c>
      <c r="R642" s="2" t="inlineStr"/>
    </row>
    <row r="643" ht="15" customHeight="1">
      <c r="A643" t="inlineStr">
        <is>
          <t>A 18891-2022</t>
        </is>
      </c>
      <c r="B643" s="1" t="n">
        <v>44690</v>
      </c>
      <c r="C643" s="1" t="n">
        <v>45981</v>
      </c>
      <c r="D643" t="inlineStr">
        <is>
          <t>ÖSTERGÖTLANDS LÄN</t>
        </is>
      </c>
      <c r="E643" t="inlineStr">
        <is>
          <t>LINKÖPING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30551-2023</t>
        </is>
      </c>
      <c r="B644" s="1" t="n">
        <v>45111</v>
      </c>
      <c r="C644" s="1" t="n">
        <v>45981</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30860-2022</t>
        </is>
      </c>
      <c r="B645" s="1" t="n">
        <v>44767</v>
      </c>
      <c r="C645" s="1" t="n">
        <v>45981</v>
      </c>
      <c r="D645" t="inlineStr">
        <is>
          <t>ÖSTERGÖTLANDS LÄN</t>
        </is>
      </c>
      <c r="E645" t="inlineStr">
        <is>
          <t>LINKÖPING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60004-2022</t>
        </is>
      </c>
      <c r="B646" s="1" t="n">
        <v>44909.47206018519</v>
      </c>
      <c r="C646" s="1" t="n">
        <v>45981</v>
      </c>
      <c r="D646" t="inlineStr">
        <is>
          <t>ÖSTERGÖTLANDS LÄN</t>
        </is>
      </c>
      <c r="E646" t="inlineStr">
        <is>
          <t>LINKÖPING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60010-2022</t>
        </is>
      </c>
      <c r="B647" s="1" t="n">
        <v>44909.4740625</v>
      </c>
      <c r="C647" s="1" t="n">
        <v>45981</v>
      </c>
      <c r="D647" t="inlineStr">
        <is>
          <t>ÖSTERGÖTLANDS LÄN</t>
        </is>
      </c>
      <c r="E647" t="inlineStr">
        <is>
          <t>LINKÖPING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30976-2022</t>
        </is>
      </c>
      <c r="B648" s="1" t="n">
        <v>44768</v>
      </c>
      <c r="C648" s="1" t="n">
        <v>45981</v>
      </c>
      <c r="D648" t="inlineStr">
        <is>
          <t>ÖSTERGÖTLANDS LÄN</t>
        </is>
      </c>
      <c r="E648" t="inlineStr">
        <is>
          <t>LINKÖPING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53827-2023</t>
        </is>
      </c>
      <c r="B649" s="1" t="n">
        <v>45230</v>
      </c>
      <c r="C649" s="1" t="n">
        <v>45981</v>
      </c>
      <c r="D649" t="inlineStr">
        <is>
          <t>ÖSTERGÖTLANDS LÄN</t>
        </is>
      </c>
      <c r="E649" t="inlineStr">
        <is>
          <t>LINKÖPING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4256-2022</t>
        </is>
      </c>
      <c r="B650" s="1" t="n">
        <v>44588</v>
      </c>
      <c r="C650" s="1" t="n">
        <v>45981</v>
      </c>
      <c r="D650" t="inlineStr">
        <is>
          <t>ÖSTERGÖTLANDS LÄN</t>
        </is>
      </c>
      <c r="E650" t="inlineStr">
        <is>
          <t>LINKÖPING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55736-2022</t>
        </is>
      </c>
      <c r="B651" s="1" t="n">
        <v>44888</v>
      </c>
      <c r="C651" s="1" t="n">
        <v>45981</v>
      </c>
      <c r="D651" t="inlineStr">
        <is>
          <t>ÖSTERGÖTLANDS LÄN</t>
        </is>
      </c>
      <c r="E651" t="inlineStr">
        <is>
          <t>LINKÖPING</t>
        </is>
      </c>
      <c r="G651" t="n">
        <v>5.5</v>
      </c>
      <c r="H651" t="n">
        <v>0</v>
      </c>
      <c r="I651" t="n">
        <v>0</v>
      </c>
      <c r="J651" t="n">
        <v>0</v>
      </c>
      <c r="K651" t="n">
        <v>0</v>
      </c>
      <c r="L651" t="n">
        <v>0</v>
      </c>
      <c r="M651" t="n">
        <v>0</v>
      </c>
      <c r="N651" t="n">
        <v>0</v>
      </c>
      <c r="O651" t="n">
        <v>0</v>
      </c>
      <c r="P651" t="n">
        <v>0</v>
      </c>
      <c r="Q651" t="n">
        <v>0</v>
      </c>
      <c r="R651" s="2" t="inlineStr"/>
    </row>
    <row r="652" ht="15" customHeight="1">
      <c r="A652" t="inlineStr">
        <is>
          <t>A 61649-2023</t>
        </is>
      </c>
      <c r="B652" s="1" t="n">
        <v>45265</v>
      </c>
      <c r="C652" s="1" t="n">
        <v>45981</v>
      </c>
      <c r="D652" t="inlineStr">
        <is>
          <t>ÖSTERGÖTLANDS LÄN</t>
        </is>
      </c>
      <c r="E652" t="inlineStr">
        <is>
          <t>LINKÖPING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10194-2023</t>
        </is>
      </c>
      <c r="B653" s="1" t="n">
        <v>44986.52277777778</v>
      </c>
      <c r="C653" s="1" t="n">
        <v>45981</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32723-2025</t>
        </is>
      </c>
      <c r="B654" s="1" t="n">
        <v>45838</v>
      </c>
      <c r="C654" s="1" t="n">
        <v>45981</v>
      </c>
      <c r="D654" t="inlineStr">
        <is>
          <t>ÖSTERGÖTLANDS LÄN</t>
        </is>
      </c>
      <c r="E654" t="inlineStr">
        <is>
          <t>LINKÖPING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223-2024</t>
        </is>
      </c>
      <c r="B655" s="1" t="n">
        <v>45294.72739583333</v>
      </c>
      <c r="C655" s="1" t="n">
        <v>45981</v>
      </c>
      <c r="D655" t="inlineStr">
        <is>
          <t>ÖSTERGÖTLANDS LÄN</t>
        </is>
      </c>
      <c r="E655" t="inlineStr">
        <is>
          <t>LINKÖPING</t>
        </is>
      </c>
      <c r="G655" t="n">
        <v>2.2</v>
      </c>
      <c r="H655" t="n">
        <v>0</v>
      </c>
      <c r="I655" t="n">
        <v>0</v>
      </c>
      <c r="J655" t="n">
        <v>0</v>
      </c>
      <c r="K655" t="n">
        <v>0</v>
      </c>
      <c r="L655" t="n">
        <v>0</v>
      </c>
      <c r="M655" t="n">
        <v>0</v>
      </c>
      <c r="N655" t="n">
        <v>0</v>
      </c>
      <c r="O655" t="n">
        <v>0</v>
      </c>
      <c r="P655" t="n">
        <v>0</v>
      </c>
      <c r="Q655" t="n">
        <v>0</v>
      </c>
      <c r="R655" s="2" t="inlineStr"/>
    </row>
    <row r="656" ht="15" customHeight="1">
      <c r="A656" t="inlineStr">
        <is>
          <t>A 19464-2024</t>
        </is>
      </c>
      <c r="B656" s="1" t="n">
        <v>45429</v>
      </c>
      <c r="C656" s="1" t="n">
        <v>45981</v>
      </c>
      <c r="D656" t="inlineStr">
        <is>
          <t>ÖSTERGÖTLANDS LÄN</t>
        </is>
      </c>
      <c r="E656" t="inlineStr">
        <is>
          <t>LINKÖPING</t>
        </is>
      </c>
      <c r="G656" t="n">
        <v>2.7</v>
      </c>
      <c r="H656" t="n">
        <v>0</v>
      </c>
      <c r="I656" t="n">
        <v>0</v>
      </c>
      <c r="J656" t="n">
        <v>0</v>
      </c>
      <c r="K656" t="n">
        <v>0</v>
      </c>
      <c r="L656" t="n">
        <v>0</v>
      </c>
      <c r="M656" t="n">
        <v>0</v>
      </c>
      <c r="N656" t="n">
        <v>0</v>
      </c>
      <c r="O656" t="n">
        <v>0</v>
      </c>
      <c r="P656" t="n">
        <v>0</v>
      </c>
      <c r="Q656" t="n">
        <v>0</v>
      </c>
      <c r="R656" s="2" t="inlineStr"/>
    </row>
    <row r="657" ht="15" customHeight="1">
      <c r="A657" t="inlineStr">
        <is>
          <t>A 630-2024</t>
        </is>
      </c>
      <c r="B657" s="1" t="n">
        <v>45299.67736111111</v>
      </c>
      <c r="C657" s="1" t="n">
        <v>45981</v>
      </c>
      <c r="D657" t="inlineStr">
        <is>
          <t>ÖSTERGÖTLANDS LÄN</t>
        </is>
      </c>
      <c r="E657" t="inlineStr">
        <is>
          <t>LINKÖPING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7702-2023</t>
        </is>
      </c>
      <c r="B658" s="1" t="n">
        <v>44967</v>
      </c>
      <c r="C658" s="1" t="n">
        <v>45981</v>
      </c>
      <c r="D658" t="inlineStr">
        <is>
          <t>ÖSTERGÖTLANDS LÄN</t>
        </is>
      </c>
      <c r="E658" t="inlineStr">
        <is>
          <t>LINKÖPING</t>
        </is>
      </c>
      <c r="F658" t="inlineStr">
        <is>
          <t>Övriga statliga verk och myndigheter</t>
        </is>
      </c>
      <c r="G658" t="n">
        <v>8</v>
      </c>
      <c r="H658" t="n">
        <v>0</v>
      </c>
      <c r="I658" t="n">
        <v>0</v>
      </c>
      <c r="J658" t="n">
        <v>0</v>
      </c>
      <c r="K658" t="n">
        <v>0</v>
      </c>
      <c r="L658" t="n">
        <v>0</v>
      </c>
      <c r="M658" t="n">
        <v>0</v>
      </c>
      <c r="N658" t="n">
        <v>0</v>
      </c>
      <c r="O658" t="n">
        <v>0</v>
      </c>
      <c r="P658" t="n">
        <v>0</v>
      </c>
      <c r="Q658" t="n">
        <v>0</v>
      </c>
      <c r="R658" s="2" t="inlineStr"/>
    </row>
    <row r="659" ht="15" customHeight="1">
      <c r="A659" t="inlineStr">
        <is>
          <t>A 30433-2024</t>
        </is>
      </c>
      <c r="B659" s="1" t="n">
        <v>45491.69741898148</v>
      </c>
      <c r="C659" s="1" t="n">
        <v>45981</v>
      </c>
      <c r="D659" t="inlineStr">
        <is>
          <t>ÖSTERGÖTLANDS LÄN</t>
        </is>
      </c>
      <c r="E659" t="inlineStr">
        <is>
          <t>LINKÖPING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42000-2023</t>
        </is>
      </c>
      <c r="B660" s="1" t="n">
        <v>45177</v>
      </c>
      <c r="C660" s="1" t="n">
        <v>45981</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31534-2023</t>
        </is>
      </c>
      <c r="B661" s="1" t="n">
        <v>45116</v>
      </c>
      <c r="C661" s="1" t="n">
        <v>45981</v>
      </c>
      <c r="D661" t="inlineStr">
        <is>
          <t>ÖSTERGÖTLANDS LÄN</t>
        </is>
      </c>
      <c r="E661" t="inlineStr">
        <is>
          <t>LINKÖPING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63528-2023</t>
        </is>
      </c>
      <c r="B662" s="1" t="n">
        <v>45274.94810185185</v>
      </c>
      <c r="C662" s="1" t="n">
        <v>45981</v>
      </c>
      <c r="D662" t="inlineStr">
        <is>
          <t>ÖSTERGÖTLANDS LÄN</t>
        </is>
      </c>
      <c r="E662" t="inlineStr">
        <is>
          <t>LINKÖPING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35427-2023</t>
        </is>
      </c>
      <c r="B663" s="1" t="n">
        <v>45146</v>
      </c>
      <c r="C663" s="1" t="n">
        <v>45981</v>
      </c>
      <c r="D663" t="inlineStr">
        <is>
          <t>ÖSTERGÖTLANDS LÄN</t>
        </is>
      </c>
      <c r="E663" t="inlineStr">
        <is>
          <t>LINKÖPING</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36725-2023</t>
        </is>
      </c>
      <c r="B664" s="1" t="n">
        <v>45153.68471064815</v>
      </c>
      <c r="C664" s="1" t="n">
        <v>45981</v>
      </c>
      <c r="D664" t="inlineStr">
        <is>
          <t>ÖSTERGÖTLANDS LÄN</t>
        </is>
      </c>
      <c r="E664" t="inlineStr">
        <is>
          <t>LINKÖPING</t>
        </is>
      </c>
      <c r="F664" t="inlineStr">
        <is>
          <t>Allmännings- och besparingsskogar</t>
        </is>
      </c>
      <c r="G664" t="n">
        <v>2.6</v>
      </c>
      <c r="H664" t="n">
        <v>0</v>
      </c>
      <c r="I664" t="n">
        <v>0</v>
      </c>
      <c r="J664" t="n">
        <v>0</v>
      </c>
      <c r="K664" t="n">
        <v>0</v>
      </c>
      <c r="L664" t="n">
        <v>0</v>
      </c>
      <c r="M664" t="n">
        <v>0</v>
      </c>
      <c r="N664" t="n">
        <v>0</v>
      </c>
      <c r="O664" t="n">
        <v>0</v>
      </c>
      <c r="P664" t="n">
        <v>0</v>
      </c>
      <c r="Q664" t="n">
        <v>0</v>
      </c>
      <c r="R664" s="2" t="inlineStr"/>
    </row>
    <row r="665" ht="15" customHeight="1">
      <c r="A665" t="inlineStr">
        <is>
          <t>A 61936-2023</t>
        </is>
      </c>
      <c r="B665" s="1" t="n">
        <v>45266.54534722222</v>
      </c>
      <c r="C665" s="1" t="n">
        <v>45981</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62492-2023</t>
        </is>
      </c>
      <c r="B666" s="1" t="n">
        <v>45268.58987268519</v>
      </c>
      <c r="C666" s="1" t="n">
        <v>45981</v>
      </c>
      <c r="D666" t="inlineStr">
        <is>
          <t>ÖSTERGÖTLANDS LÄN</t>
        </is>
      </c>
      <c r="E666" t="inlineStr">
        <is>
          <t>LINKÖPING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53639-2023</t>
        </is>
      </c>
      <c r="B667" s="1" t="n">
        <v>45230.59686342593</v>
      </c>
      <c r="C667" s="1" t="n">
        <v>45981</v>
      </c>
      <c r="D667" t="inlineStr">
        <is>
          <t>ÖSTERGÖTLANDS LÄN</t>
        </is>
      </c>
      <c r="E667" t="inlineStr">
        <is>
          <t>LINKÖPING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1657-2024</t>
        </is>
      </c>
      <c r="B668" s="1" t="n">
        <v>45306.82501157407</v>
      </c>
      <c r="C668" s="1" t="n">
        <v>45981</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674-2024</t>
        </is>
      </c>
      <c r="B669" s="1" t="n">
        <v>45300.34408564815</v>
      </c>
      <c r="C669" s="1" t="n">
        <v>45981</v>
      </c>
      <c r="D669" t="inlineStr">
        <is>
          <t>ÖSTERGÖTLANDS LÄN</t>
        </is>
      </c>
      <c r="E669" t="inlineStr">
        <is>
          <t>LINKÖPING</t>
        </is>
      </c>
      <c r="F669" t="inlineStr">
        <is>
          <t>Sveaskog</t>
        </is>
      </c>
      <c r="G669" t="n">
        <v>2.9</v>
      </c>
      <c r="H669" t="n">
        <v>0</v>
      </c>
      <c r="I669" t="n">
        <v>0</v>
      </c>
      <c r="J669" t="n">
        <v>0</v>
      </c>
      <c r="K669" t="n">
        <v>0</v>
      </c>
      <c r="L669" t="n">
        <v>0</v>
      </c>
      <c r="M669" t="n">
        <v>0</v>
      </c>
      <c r="N669" t="n">
        <v>0</v>
      </c>
      <c r="O669" t="n">
        <v>0</v>
      </c>
      <c r="P669" t="n">
        <v>0</v>
      </c>
      <c r="Q669" t="n">
        <v>0</v>
      </c>
      <c r="R669" s="2" t="inlineStr"/>
    </row>
    <row r="670" ht="15" customHeight="1">
      <c r="A670" t="inlineStr">
        <is>
          <t>A 50784-2022</t>
        </is>
      </c>
      <c r="B670" s="1" t="n">
        <v>44862</v>
      </c>
      <c r="C670" s="1" t="n">
        <v>45981</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26803-2024</t>
        </is>
      </c>
      <c r="B671" s="1" t="n">
        <v>45470</v>
      </c>
      <c r="C671" s="1" t="n">
        <v>45981</v>
      </c>
      <c r="D671" t="inlineStr">
        <is>
          <t>ÖSTERGÖTLANDS LÄN</t>
        </is>
      </c>
      <c r="E671" t="inlineStr">
        <is>
          <t>LINKÖPING</t>
        </is>
      </c>
      <c r="F671" t="inlineStr">
        <is>
          <t>Allmännings- och besparingsskogar</t>
        </is>
      </c>
      <c r="G671" t="n">
        <v>4.5</v>
      </c>
      <c r="H671" t="n">
        <v>0</v>
      </c>
      <c r="I671" t="n">
        <v>0</v>
      </c>
      <c r="J671" t="n">
        <v>0</v>
      </c>
      <c r="K671" t="n">
        <v>0</v>
      </c>
      <c r="L671" t="n">
        <v>0</v>
      </c>
      <c r="M671" t="n">
        <v>0</v>
      </c>
      <c r="N671" t="n">
        <v>0</v>
      </c>
      <c r="O671" t="n">
        <v>0</v>
      </c>
      <c r="P671" t="n">
        <v>0</v>
      </c>
      <c r="Q671" t="n">
        <v>0</v>
      </c>
      <c r="R671" s="2" t="inlineStr"/>
    </row>
    <row r="672" ht="15" customHeight="1">
      <c r="A672" t="inlineStr">
        <is>
          <t>A 19187-2021</t>
        </is>
      </c>
      <c r="B672" s="1" t="n">
        <v>44308</v>
      </c>
      <c r="C672" s="1" t="n">
        <v>45981</v>
      </c>
      <c r="D672" t="inlineStr">
        <is>
          <t>ÖSTERGÖTLANDS LÄN</t>
        </is>
      </c>
      <c r="E672" t="inlineStr">
        <is>
          <t>LINKÖPING</t>
        </is>
      </c>
      <c r="F672" t="inlineStr">
        <is>
          <t>Allmännings- och besparingsskogar</t>
        </is>
      </c>
      <c r="G672" t="n">
        <v>20</v>
      </c>
      <c r="H672" t="n">
        <v>0</v>
      </c>
      <c r="I672" t="n">
        <v>0</v>
      </c>
      <c r="J672" t="n">
        <v>0</v>
      </c>
      <c r="K672" t="n">
        <v>0</v>
      </c>
      <c r="L672" t="n">
        <v>0</v>
      </c>
      <c r="M672" t="n">
        <v>0</v>
      </c>
      <c r="N672" t="n">
        <v>0</v>
      </c>
      <c r="O672" t="n">
        <v>0</v>
      </c>
      <c r="P672" t="n">
        <v>0</v>
      </c>
      <c r="Q672" t="n">
        <v>0</v>
      </c>
      <c r="R672" s="2" t="inlineStr"/>
    </row>
    <row r="673" ht="15" customHeight="1">
      <c r="A673" t="inlineStr">
        <is>
          <t>A 6782-2024</t>
        </is>
      </c>
      <c r="B673" s="1" t="n">
        <v>45342</v>
      </c>
      <c r="C673" s="1" t="n">
        <v>45981</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10094-2024</t>
        </is>
      </c>
      <c r="B674" s="1" t="n">
        <v>45364</v>
      </c>
      <c r="C674" s="1" t="n">
        <v>45981</v>
      </c>
      <c r="D674" t="inlineStr">
        <is>
          <t>ÖSTERGÖTLANDS LÄN</t>
        </is>
      </c>
      <c r="E674" t="inlineStr">
        <is>
          <t>LINKÖPING</t>
        </is>
      </c>
      <c r="F674" t="inlineStr">
        <is>
          <t>Övriga Aktiebolag</t>
        </is>
      </c>
      <c r="G674" t="n">
        <v>1.9</v>
      </c>
      <c r="H674" t="n">
        <v>0</v>
      </c>
      <c r="I674" t="n">
        <v>0</v>
      </c>
      <c r="J674" t="n">
        <v>0</v>
      </c>
      <c r="K674" t="n">
        <v>0</v>
      </c>
      <c r="L674" t="n">
        <v>0</v>
      </c>
      <c r="M674" t="n">
        <v>0</v>
      </c>
      <c r="N674" t="n">
        <v>0</v>
      </c>
      <c r="O674" t="n">
        <v>0</v>
      </c>
      <c r="P674" t="n">
        <v>0</v>
      </c>
      <c r="Q674" t="n">
        <v>0</v>
      </c>
      <c r="R674" s="2" t="inlineStr"/>
    </row>
    <row r="675" ht="15" customHeight="1">
      <c r="A675" t="inlineStr">
        <is>
          <t>A 60472-2022</t>
        </is>
      </c>
      <c r="B675" s="1" t="n">
        <v>44911.41037037037</v>
      </c>
      <c r="C675" s="1" t="n">
        <v>45981</v>
      </c>
      <c r="D675" t="inlineStr">
        <is>
          <t>ÖSTERGÖTLANDS LÄN</t>
        </is>
      </c>
      <c r="E675" t="inlineStr">
        <is>
          <t>LINKÖPING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63684-2023</t>
        </is>
      </c>
      <c r="B676" s="1" t="n">
        <v>45275</v>
      </c>
      <c r="C676" s="1" t="n">
        <v>45981</v>
      </c>
      <c r="D676" t="inlineStr">
        <is>
          <t>ÖSTERGÖTLANDS LÄN</t>
        </is>
      </c>
      <c r="E676" t="inlineStr">
        <is>
          <t>LINKÖPING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63688-2023</t>
        </is>
      </c>
      <c r="B677" s="1" t="n">
        <v>45275</v>
      </c>
      <c r="C677" s="1" t="n">
        <v>45981</v>
      </c>
      <c r="D677" t="inlineStr">
        <is>
          <t>ÖSTERGÖTLANDS LÄN</t>
        </is>
      </c>
      <c r="E677" t="inlineStr">
        <is>
          <t>LINKÖPING</t>
        </is>
      </c>
      <c r="F677" t="inlineStr">
        <is>
          <t>Övriga Aktiebolag</t>
        </is>
      </c>
      <c r="G677" t="n">
        <v>2.4</v>
      </c>
      <c r="H677" t="n">
        <v>0</v>
      </c>
      <c r="I677" t="n">
        <v>0</v>
      </c>
      <c r="J677" t="n">
        <v>0</v>
      </c>
      <c r="K677" t="n">
        <v>0</v>
      </c>
      <c r="L677" t="n">
        <v>0</v>
      </c>
      <c r="M677" t="n">
        <v>0</v>
      </c>
      <c r="N677" t="n">
        <v>0</v>
      </c>
      <c r="O677" t="n">
        <v>0</v>
      </c>
      <c r="P677" t="n">
        <v>0</v>
      </c>
      <c r="Q677" t="n">
        <v>0</v>
      </c>
      <c r="R677" s="2" t="inlineStr"/>
    </row>
    <row r="678" ht="15" customHeight="1">
      <c r="A678" t="inlineStr">
        <is>
          <t>A 63691-2023</t>
        </is>
      </c>
      <c r="B678" s="1" t="n">
        <v>45275</v>
      </c>
      <c r="C678" s="1" t="n">
        <v>45981</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36657-2023</t>
        </is>
      </c>
      <c r="B679" s="1" t="n">
        <v>45153.5702662037</v>
      </c>
      <c r="C679" s="1" t="n">
        <v>45981</v>
      </c>
      <c r="D679" t="inlineStr">
        <is>
          <t>ÖSTERGÖTLANDS LÄN</t>
        </is>
      </c>
      <c r="E679" t="inlineStr">
        <is>
          <t>LINKÖPING</t>
        </is>
      </c>
      <c r="F679" t="inlineStr">
        <is>
          <t>Allmännings- och besparingsskogar</t>
        </is>
      </c>
      <c r="G679" t="n">
        <v>2</v>
      </c>
      <c r="H679" t="n">
        <v>0</v>
      </c>
      <c r="I679" t="n">
        <v>0</v>
      </c>
      <c r="J679" t="n">
        <v>0</v>
      </c>
      <c r="K679" t="n">
        <v>0</v>
      </c>
      <c r="L679" t="n">
        <v>0</v>
      </c>
      <c r="M679" t="n">
        <v>0</v>
      </c>
      <c r="N679" t="n">
        <v>0</v>
      </c>
      <c r="O679" t="n">
        <v>0</v>
      </c>
      <c r="P679" t="n">
        <v>0</v>
      </c>
      <c r="Q679" t="n">
        <v>0</v>
      </c>
      <c r="R679" s="2" t="inlineStr"/>
    </row>
    <row r="680" ht="15" customHeight="1">
      <c r="A680" t="inlineStr">
        <is>
          <t>A 33947-2025</t>
        </is>
      </c>
      <c r="B680" s="1" t="n">
        <v>45842.65444444444</v>
      </c>
      <c r="C680" s="1" t="n">
        <v>45981</v>
      </c>
      <c r="D680" t="inlineStr">
        <is>
          <t>ÖSTERGÖTLANDS LÄN</t>
        </is>
      </c>
      <c r="E680" t="inlineStr">
        <is>
          <t>LINKÖPING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53529-2024</t>
        </is>
      </c>
      <c r="B681" s="1" t="n">
        <v>45614</v>
      </c>
      <c r="C681" s="1" t="n">
        <v>45981</v>
      </c>
      <c r="D681" t="inlineStr">
        <is>
          <t>ÖSTERGÖTLANDS LÄN</t>
        </is>
      </c>
      <c r="E681" t="inlineStr">
        <is>
          <t>LINKÖPING</t>
        </is>
      </c>
      <c r="G681" t="n">
        <v>6.7</v>
      </c>
      <c r="H681" t="n">
        <v>0</v>
      </c>
      <c r="I681" t="n">
        <v>0</v>
      </c>
      <c r="J681" t="n">
        <v>0</v>
      </c>
      <c r="K681" t="n">
        <v>0</v>
      </c>
      <c r="L681" t="n">
        <v>0</v>
      </c>
      <c r="M681" t="n">
        <v>0</v>
      </c>
      <c r="N681" t="n">
        <v>0</v>
      </c>
      <c r="O681" t="n">
        <v>0</v>
      </c>
      <c r="P681" t="n">
        <v>0</v>
      </c>
      <c r="Q681" t="n">
        <v>0</v>
      </c>
      <c r="R681" s="2" t="inlineStr"/>
    </row>
    <row r="682" ht="15" customHeight="1">
      <c r="A682" t="inlineStr">
        <is>
          <t>A 62012-2024</t>
        </is>
      </c>
      <c r="B682" s="1" t="n">
        <v>45655.79679398148</v>
      </c>
      <c r="C682" s="1" t="n">
        <v>45981</v>
      </c>
      <c r="D682" t="inlineStr">
        <is>
          <t>ÖSTERGÖTLANDS LÄN</t>
        </is>
      </c>
      <c r="E682" t="inlineStr">
        <is>
          <t>LINKÖPING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14667-2024</t>
        </is>
      </c>
      <c r="B683" s="1" t="n">
        <v>45397.42005787037</v>
      </c>
      <c r="C683" s="1" t="n">
        <v>45981</v>
      </c>
      <c r="D683" t="inlineStr">
        <is>
          <t>ÖSTERGÖTLANDS LÄN</t>
        </is>
      </c>
      <c r="E683" t="inlineStr">
        <is>
          <t>LINKÖPING</t>
        </is>
      </c>
      <c r="G683" t="n">
        <v>2.3</v>
      </c>
      <c r="H683" t="n">
        <v>0</v>
      </c>
      <c r="I683" t="n">
        <v>0</v>
      </c>
      <c r="J683" t="n">
        <v>0</v>
      </c>
      <c r="K683" t="n">
        <v>0</v>
      </c>
      <c r="L683" t="n">
        <v>0</v>
      </c>
      <c r="M683" t="n">
        <v>0</v>
      </c>
      <c r="N683" t="n">
        <v>0</v>
      </c>
      <c r="O683" t="n">
        <v>0</v>
      </c>
      <c r="P683" t="n">
        <v>0</v>
      </c>
      <c r="Q683" t="n">
        <v>0</v>
      </c>
      <c r="R683" s="2" t="inlineStr"/>
    </row>
    <row r="684" ht="15" customHeight="1">
      <c r="A684" t="inlineStr">
        <is>
          <t>A 20469-2025</t>
        </is>
      </c>
      <c r="B684" s="1" t="n">
        <v>45775</v>
      </c>
      <c r="C684" s="1" t="n">
        <v>45981</v>
      </c>
      <c r="D684" t="inlineStr">
        <is>
          <t>ÖSTERGÖTLANDS LÄN</t>
        </is>
      </c>
      <c r="E684" t="inlineStr">
        <is>
          <t>LINKÖPING</t>
        </is>
      </c>
      <c r="F684" t="inlineStr">
        <is>
          <t>Kyrkan</t>
        </is>
      </c>
      <c r="G684" t="n">
        <v>6.1</v>
      </c>
      <c r="H684" t="n">
        <v>0</v>
      </c>
      <c r="I684" t="n">
        <v>0</v>
      </c>
      <c r="J684" t="n">
        <v>0</v>
      </c>
      <c r="K684" t="n">
        <v>0</v>
      </c>
      <c r="L684" t="n">
        <v>0</v>
      </c>
      <c r="M684" t="n">
        <v>0</v>
      </c>
      <c r="N684" t="n">
        <v>0</v>
      </c>
      <c r="O684" t="n">
        <v>0</v>
      </c>
      <c r="P684" t="n">
        <v>0</v>
      </c>
      <c r="Q684" t="n">
        <v>0</v>
      </c>
      <c r="R684" s="2" t="inlineStr"/>
    </row>
    <row r="685" ht="15" customHeight="1">
      <c r="A685" t="inlineStr">
        <is>
          <t>A 15714-2024</t>
        </is>
      </c>
      <c r="B685" s="1" t="n">
        <v>45404.48288194444</v>
      </c>
      <c r="C685" s="1" t="n">
        <v>45981</v>
      </c>
      <c r="D685" t="inlineStr">
        <is>
          <t>ÖSTERGÖTLANDS LÄN</t>
        </is>
      </c>
      <c r="E685" t="inlineStr">
        <is>
          <t>LINKÖPING</t>
        </is>
      </c>
      <c r="G685" t="n">
        <v>1.1</v>
      </c>
      <c r="H685" t="n">
        <v>0</v>
      </c>
      <c r="I685" t="n">
        <v>0</v>
      </c>
      <c r="J685" t="n">
        <v>0</v>
      </c>
      <c r="K685" t="n">
        <v>0</v>
      </c>
      <c r="L685" t="n">
        <v>0</v>
      </c>
      <c r="M685" t="n">
        <v>0</v>
      </c>
      <c r="N685" t="n">
        <v>0</v>
      </c>
      <c r="O685" t="n">
        <v>0</v>
      </c>
      <c r="P685" t="n">
        <v>0</v>
      </c>
      <c r="Q685" t="n">
        <v>0</v>
      </c>
      <c r="R685" s="2" t="inlineStr"/>
    </row>
    <row r="686" ht="15" customHeight="1">
      <c r="A686" t="inlineStr">
        <is>
          <t>A 37715-2022</t>
        </is>
      </c>
      <c r="B686" s="1" t="n">
        <v>44810</v>
      </c>
      <c r="C686" s="1" t="n">
        <v>45981</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33800-2023</t>
        </is>
      </c>
      <c r="B687" s="1" t="n">
        <v>45121</v>
      </c>
      <c r="C687" s="1" t="n">
        <v>45981</v>
      </c>
      <c r="D687" t="inlineStr">
        <is>
          <t>ÖSTERGÖTLANDS LÄN</t>
        </is>
      </c>
      <c r="E687" t="inlineStr">
        <is>
          <t>LINKÖPING</t>
        </is>
      </c>
      <c r="G687" t="n">
        <v>1.3</v>
      </c>
      <c r="H687" t="n">
        <v>0</v>
      </c>
      <c r="I687" t="n">
        <v>0</v>
      </c>
      <c r="J687" t="n">
        <v>0</v>
      </c>
      <c r="K687" t="n">
        <v>0</v>
      </c>
      <c r="L687" t="n">
        <v>0</v>
      </c>
      <c r="M687" t="n">
        <v>0</v>
      </c>
      <c r="N687" t="n">
        <v>0</v>
      </c>
      <c r="O687" t="n">
        <v>0</v>
      </c>
      <c r="P687" t="n">
        <v>0</v>
      </c>
      <c r="Q687" t="n">
        <v>0</v>
      </c>
      <c r="R687" s="2" t="inlineStr"/>
    </row>
    <row r="688" ht="15" customHeight="1">
      <c r="A688" t="inlineStr">
        <is>
          <t>A 26007-2025</t>
        </is>
      </c>
      <c r="B688" s="1" t="n">
        <v>45804.67081018518</v>
      </c>
      <c r="C688" s="1" t="n">
        <v>45981</v>
      </c>
      <c r="D688" t="inlineStr">
        <is>
          <t>ÖSTERGÖTLANDS LÄN</t>
        </is>
      </c>
      <c r="E688" t="inlineStr">
        <is>
          <t>LINKÖPING</t>
        </is>
      </c>
      <c r="G688" t="n">
        <v>1.5</v>
      </c>
      <c r="H688" t="n">
        <v>0</v>
      </c>
      <c r="I688" t="n">
        <v>0</v>
      </c>
      <c r="J688" t="n">
        <v>0</v>
      </c>
      <c r="K688" t="n">
        <v>0</v>
      </c>
      <c r="L688" t="n">
        <v>0</v>
      </c>
      <c r="M688" t="n">
        <v>0</v>
      </c>
      <c r="N688" t="n">
        <v>0</v>
      </c>
      <c r="O688" t="n">
        <v>0</v>
      </c>
      <c r="P688" t="n">
        <v>0</v>
      </c>
      <c r="Q688" t="n">
        <v>0</v>
      </c>
      <c r="R688" s="2" t="inlineStr"/>
    </row>
    <row r="689" ht="15" customHeight="1">
      <c r="A689" t="inlineStr">
        <is>
          <t>A 35174-2025</t>
        </is>
      </c>
      <c r="B689" s="1" t="n">
        <v>45852.90648148148</v>
      </c>
      <c r="C689" s="1" t="n">
        <v>45981</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30429-2024</t>
        </is>
      </c>
      <c r="B690" s="1" t="n">
        <v>45491.68972222223</v>
      </c>
      <c r="C690" s="1" t="n">
        <v>45981</v>
      </c>
      <c r="D690" t="inlineStr">
        <is>
          <t>ÖSTERGÖTLANDS LÄN</t>
        </is>
      </c>
      <c r="E690" t="inlineStr">
        <is>
          <t>LINKÖPING</t>
        </is>
      </c>
      <c r="G690" t="n">
        <v>2.2</v>
      </c>
      <c r="H690" t="n">
        <v>0</v>
      </c>
      <c r="I690" t="n">
        <v>0</v>
      </c>
      <c r="J690" t="n">
        <v>0</v>
      </c>
      <c r="K690" t="n">
        <v>0</v>
      </c>
      <c r="L690" t="n">
        <v>0</v>
      </c>
      <c r="M690" t="n">
        <v>0</v>
      </c>
      <c r="N690" t="n">
        <v>0</v>
      </c>
      <c r="O690" t="n">
        <v>0</v>
      </c>
      <c r="P690" t="n">
        <v>0</v>
      </c>
      <c r="Q690" t="n">
        <v>0</v>
      </c>
      <c r="R690" s="2" t="inlineStr"/>
    </row>
    <row r="691" ht="15" customHeight="1">
      <c r="A691" t="inlineStr">
        <is>
          <t>A 47991-2023</t>
        </is>
      </c>
      <c r="B691" s="1" t="n">
        <v>45204.62655092592</v>
      </c>
      <c r="C691" s="1" t="n">
        <v>45981</v>
      </c>
      <c r="D691" t="inlineStr">
        <is>
          <t>ÖSTERGÖTLANDS LÄN</t>
        </is>
      </c>
      <c r="E691" t="inlineStr">
        <is>
          <t>LINKÖPING</t>
        </is>
      </c>
      <c r="F691" t="inlineStr">
        <is>
          <t>Allmännings- och besparingsskogar</t>
        </is>
      </c>
      <c r="G691" t="n">
        <v>7.3</v>
      </c>
      <c r="H691" t="n">
        <v>0</v>
      </c>
      <c r="I691" t="n">
        <v>0</v>
      </c>
      <c r="J691" t="n">
        <v>0</v>
      </c>
      <c r="K691" t="n">
        <v>0</v>
      </c>
      <c r="L691" t="n">
        <v>0</v>
      </c>
      <c r="M691" t="n">
        <v>0</v>
      </c>
      <c r="N691" t="n">
        <v>0</v>
      </c>
      <c r="O691" t="n">
        <v>0</v>
      </c>
      <c r="P691" t="n">
        <v>0</v>
      </c>
      <c r="Q691" t="n">
        <v>0</v>
      </c>
      <c r="R691" s="2" t="inlineStr"/>
    </row>
    <row r="692" ht="15" customHeight="1">
      <c r="A692" t="inlineStr">
        <is>
          <t>A 35179-2025</t>
        </is>
      </c>
      <c r="B692" s="1" t="n">
        <v>45852.93737268518</v>
      </c>
      <c r="C692" s="1" t="n">
        <v>45981</v>
      </c>
      <c r="D692" t="inlineStr">
        <is>
          <t>ÖSTERGÖTLANDS LÄN</t>
        </is>
      </c>
      <c r="E692" t="inlineStr">
        <is>
          <t>LINKÖPING</t>
        </is>
      </c>
      <c r="G692" t="n">
        <v>2.2</v>
      </c>
      <c r="H692" t="n">
        <v>0</v>
      </c>
      <c r="I692" t="n">
        <v>0</v>
      </c>
      <c r="J692" t="n">
        <v>0</v>
      </c>
      <c r="K692" t="n">
        <v>0</v>
      </c>
      <c r="L692" t="n">
        <v>0</v>
      </c>
      <c r="M692" t="n">
        <v>0</v>
      </c>
      <c r="N692" t="n">
        <v>0</v>
      </c>
      <c r="O692" t="n">
        <v>0</v>
      </c>
      <c r="P692" t="n">
        <v>0</v>
      </c>
      <c r="Q692" t="n">
        <v>0</v>
      </c>
      <c r="R692" s="2" t="inlineStr"/>
    </row>
    <row r="693" ht="15" customHeight="1">
      <c r="A693" t="inlineStr">
        <is>
          <t>A 35180-2025</t>
        </is>
      </c>
      <c r="B693" s="1" t="n">
        <v>45852.9413425926</v>
      </c>
      <c r="C693" s="1" t="n">
        <v>45981</v>
      </c>
      <c r="D693" t="inlineStr">
        <is>
          <t>ÖSTERGÖTLANDS LÄN</t>
        </is>
      </c>
      <c r="E693" t="inlineStr">
        <is>
          <t>LINKÖPING</t>
        </is>
      </c>
      <c r="G693" t="n">
        <v>1.9</v>
      </c>
      <c r="H693" t="n">
        <v>0</v>
      </c>
      <c r="I693" t="n">
        <v>0</v>
      </c>
      <c r="J693" t="n">
        <v>0</v>
      </c>
      <c r="K693" t="n">
        <v>0</v>
      </c>
      <c r="L693" t="n">
        <v>0</v>
      </c>
      <c r="M693" t="n">
        <v>0</v>
      </c>
      <c r="N693" t="n">
        <v>0</v>
      </c>
      <c r="O693" t="n">
        <v>0</v>
      </c>
      <c r="P693" t="n">
        <v>0</v>
      </c>
      <c r="Q693" t="n">
        <v>0</v>
      </c>
      <c r="R693" s="2" t="inlineStr"/>
    </row>
    <row r="694" ht="15" customHeight="1">
      <c r="A694" t="inlineStr">
        <is>
          <t>A 30435-2024</t>
        </is>
      </c>
      <c r="B694" s="1" t="n">
        <v>45491.69962962963</v>
      </c>
      <c r="C694" s="1" t="n">
        <v>45981</v>
      </c>
      <c r="D694" t="inlineStr">
        <is>
          <t>ÖSTERGÖTLANDS LÄN</t>
        </is>
      </c>
      <c r="E694" t="inlineStr">
        <is>
          <t>LINKÖPING</t>
        </is>
      </c>
      <c r="G694" t="n">
        <v>1.9</v>
      </c>
      <c r="H694" t="n">
        <v>0</v>
      </c>
      <c r="I694" t="n">
        <v>0</v>
      </c>
      <c r="J694" t="n">
        <v>0</v>
      </c>
      <c r="K694" t="n">
        <v>0</v>
      </c>
      <c r="L694" t="n">
        <v>0</v>
      </c>
      <c r="M694" t="n">
        <v>0</v>
      </c>
      <c r="N694" t="n">
        <v>0</v>
      </c>
      <c r="O694" t="n">
        <v>0</v>
      </c>
      <c r="P694" t="n">
        <v>0</v>
      </c>
      <c r="Q694" t="n">
        <v>0</v>
      </c>
      <c r="R694" s="2" t="inlineStr"/>
    </row>
    <row r="695" ht="15" customHeight="1">
      <c r="A695" t="inlineStr">
        <is>
          <t>A 35178-2025</t>
        </is>
      </c>
      <c r="B695" s="1" t="n">
        <v>45852.91939814815</v>
      </c>
      <c r="C695" s="1" t="n">
        <v>45981</v>
      </c>
      <c r="D695" t="inlineStr">
        <is>
          <t>ÖSTERGÖTLANDS LÄN</t>
        </is>
      </c>
      <c r="E695" t="inlineStr">
        <is>
          <t>LINKÖPING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4927-2021</t>
        </is>
      </c>
      <c r="B696" s="1" t="n">
        <v>44227.57215277778</v>
      </c>
      <c r="C696" s="1" t="n">
        <v>45981</v>
      </c>
      <c r="D696" t="inlineStr">
        <is>
          <t>ÖSTERGÖTLANDS LÄN</t>
        </is>
      </c>
      <c r="E696" t="inlineStr">
        <is>
          <t>LINKÖPING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38231-2022</t>
        </is>
      </c>
      <c r="B697" s="1" t="n">
        <v>44812</v>
      </c>
      <c r="C697" s="1" t="n">
        <v>45981</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34557-2022</t>
        </is>
      </c>
      <c r="B698" s="1" t="n">
        <v>44794.57074074074</v>
      </c>
      <c r="C698" s="1" t="n">
        <v>45981</v>
      </c>
      <c r="D698" t="inlineStr">
        <is>
          <t>ÖSTERGÖTLANDS LÄN</t>
        </is>
      </c>
      <c r="E698" t="inlineStr">
        <is>
          <t>LINKÖPING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13011-2022</t>
        </is>
      </c>
      <c r="B699" s="1" t="n">
        <v>44643</v>
      </c>
      <c r="C699" s="1" t="n">
        <v>45981</v>
      </c>
      <c r="D699" t="inlineStr">
        <is>
          <t>ÖSTERGÖTLANDS LÄN</t>
        </is>
      </c>
      <c r="E699" t="inlineStr">
        <is>
          <t>LINKÖPING</t>
        </is>
      </c>
      <c r="G699" t="n">
        <v>3.7</v>
      </c>
      <c r="H699" t="n">
        <v>0</v>
      </c>
      <c r="I699" t="n">
        <v>0</v>
      </c>
      <c r="J699" t="n">
        <v>0</v>
      </c>
      <c r="K699" t="n">
        <v>0</v>
      </c>
      <c r="L699" t="n">
        <v>0</v>
      </c>
      <c r="M699" t="n">
        <v>0</v>
      </c>
      <c r="N699" t="n">
        <v>0</v>
      </c>
      <c r="O699" t="n">
        <v>0</v>
      </c>
      <c r="P699" t="n">
        <v>0</v>
      </c>
      <c r="Q699" t="n">
        <v>0</v>
      </c>
      <c r="R699" s="2" t="inlineStr"/>
    </row>
    <row r="700" ht="15" customHeight="1">
      <c r="A700" t="inlineStr">
        <is>
          <t>A 617-2024</t>
        </is>
      </c>
      <c r="B700" s="1" t="n">
        <v>45299.66028935185</v>
      </c>
      <c r="C700" s="1" t="n">
        <v>45981</v>
      </c>
      <c r="D700" t="inlineStr">
        <is>
          <t>ÖSTERGÖTLANDS LÄN</t>
        </is>
      </c>
      <c r="E700" t="inlineStr">
        <is>
          <t>LINKÖPING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19362-2023</t>
        </is>
      </c>
      <c r="B701" s="1" t="n">
        <v>45049</v>
      </c>
      <c r="C701" s="1" t="n">
        <v>45981</v>
      </c>
      <c r="D701" t="inlineStr">
        <is>
          <t>ÖSTERGÖTLANDS LÄN</t>
        </is>
      </c>
      <c r="E701" t="inlineStr">
        <is>
          <t>LINKÖPING</t>
        </is>
      </c>
      <c r="G701" t="n">
        <v>0.1</v>
      </c>
      <c r="H701" t="n">
        <v>0</v>
      </c>
      <c r="I701" t="n">
        <v>0</v>
      </c>
      <c r="J701" t="n">
        <v>0</v>
      </c>
      <c r="K701" t="n">
        <v>0</v>
      </c>
      <c r="L701" t="n">
        <v>0</v>
      </c>
      <c r="M701" t="n">
        <v>0</v>
      </c>
      <c r="N701" t="n">
        <v>0</v>
      </c>
      <c r="O701" t="n">
        <v>0</v>
      </c>
      <c r="P701" t="n">
        <v>0</v>
      </c>
      <c r="Q701" t="n">
        <v>0</v>
      </c>
      <c r="R701" s="2" t="inlineStr"/>
    </row>
    <row r="702" ht="15" customHeight="1">
      <c r="A702" t="inlineStr">
        <is>
          <t>A 35757-2025</t>
        </is>
      </c>
      <c r="B702" s="1" t="n">
        <v>45860.59876157407</v>
      </c>
      <c r="C702" s="1" t="n">
        <v>45981</v>
      </c>
      <c r="D702" t="inlineStr">
        <is>
          <t>ÖSTERGÖTLANDS LÄN</t>
        </is>
      </c>
      <c r="E702" t="inlineStr">
        <is>
          <t>LINKÖPING</t>
        </is>
      </c>
      <c r="G702" t="n">
        <v>5.7</v>
      </c>
      <c r="H702" t="n">
        <v>0</v>
      </c>
      <c r="I702" t="n">
        <v>0</v>
      </c>
      <c r="J702" t="n">
        <v>0</v>
      </c>
      <c r="K702" t="n">
        <v>0</v>
      </c>
      <c r="L702" t="n">
        <v>0</v>
      </c>
      <c r="M702" t="n">
        <v>0</v>
      </c>
      <c r="N702" t="n">
        <v>0</v>
      </c>
      <c r="O702" t="n">
        <v>0</v>
      </c>
      <c r="P702" t="n">
        <v>0</v>
      </c>
      <c r="Q702" t="n">
        <v>0</v>
      </c>
      <c r="R702" s="2" t="inlineStr"/>
    </row>
    <row r="703" ht="15" customHeight="1">
      <c r="A703" t="inlineStr">
        <is>
          <t>A 35745-2025</t>
        </is>
      </c>
      <c r="B703" s="1" t="n">
        <v>45860.54739583333</v>
      </c>
      <c r="C703" s="1" t="n">
        <v>45981</v>
      </c>
      <c r="D703" t="inlineStr">
        <is>
          <t>ÖSTERGÖTLANDS LÄN</t>
        </is>
      </c>
      <c r="E703" t="inlineStr">
        <is>
          <t>LINKÖPING</t>
        </is>
      </c>
      <c r="G703" t="n">
        <v>4.4</v>
      </c>
      <c r="H703" t="n">
        <v>0</v>
      </c>
      <c r="I703" t="n">
        <v>0</v>
      </c>
      <c r="J703" t="n">
        <v>0</v>
      </c>
      <c r="K703" t="n">
        <v>0</v>
      </c>
      <c r="L703" t="n">
        <v>0</v>
      </c>
      <c r="M703" t="n">
        <v>0</v>
      </c>
      <c r="N703" t="n">
        <v>0</v>
      </c>
      <c r="O703" t="n">
        <v>0</v>
      </c>
      <c r="P703" t="n">
        <v>0</v>
      </c>
      <c r="Q703" t="n">
        <v>0</v>
      </c>
      <c r="R703" s="2" t="inlineStr"/>
    </row>
    <row r="704" ht="15" customHeight="1">
      <c r="A704" t="inlineStr">
        <is>
          <t>A 35747-2025</t>
        </is>
      </c>
      <c r="B704" s="1" t="n">
        <v>45860.56385416666</v>
      </c>
      <c r="C704" s="1" t="n">
        <v>45981</v>
      </c>
      <c r="D704" t="inlineStr">
        <is>
          <t>ÖSTERGÖTLANDS LÄN</t>
        </is>
      </c>
      <c r="E704" t="inlineStr">
        <is>
          <t>LINKÖPING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19132-2023</t>
        </is>
      </c>
      <c r="B705" s="1" t="n">
        <v>45048.54754629629</v>
      </c>
      <c r="C705" s="1" t="n">
        <v>45981</v>
      </c>
      <c r="D705" t="inlineStr">
        <is>
          <t>ÖSTERGÖTLANDS LÄN</t>
        </is>
      </c>
      <c r="E705" t="inlineStr">
        <is>
          <t>LINKÖPING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35759-2025</t>
        </is>
      </c>
      <c r="B706" s="1" t="n">
        <v>45860</v>
      </c>
      <c r="C706" s="1" t="n">
        <v>45981</v>
      </c>
      <c r="D706" t="inlineStr">
        <is>
          <t>ÖSTERGÖTLANDS LÄN</t>
        </is>
      </c>
      <c r="E706" t="inlineStr">
        <is>
          <t>LINKÖPING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31635-2023</t>
        </is>
      </c>
      <c r="B707" s="1" t="n">
        <v>45105</v>
      </c>
      <c r="C707" s="1" t="n">
        <v>45981</v>
      </c>
      <c r="D707" t="inlineStr">
        <is>
          <t>ÖSTERGÖTLANDS LÄN</t>
        </is>
      </c>
      <c r="E707" t="inlineStr">
        <is>
          <t>LINKÖPING</t>
        </is>
      </c>
      <c r="F707" t="inlineStr">
        <is>
          <t>Övriga statliga verk och myndigheter</t>
        </is>
      </c>
      <c r="G707" t="n">
        <v>4.6</v>
      </c>
      <c r="H707" t="n">
        <v>0</v>
      </c>
      <c r="I707" t="n">
        <v>0</v>
      </c>
      <c r="J707" t="n">
        <v>0</v>
      </c>
      <c r="K707" t="n">
        <v>0</v>
      </c>
      <c r="L707" t="n">
        <v>0</v>
      </c>
      <c r="M707" t="n">
        <v>0</v>
      </c>
      <c r="N707" t="n">
        <v>0</v>
      </c>
      <c r="O707" t="n">
        <v>0</v>
      </c>
      <c r="P707" t="n">
        <v>0</v>
      </c>
      <c r="Q707" t="n">
        <v>0</v>
      </c>
      <c r="R707" s="2" t="inlineStr"/>
    </row>
    <row r="708" ht="15" customHeight="1">
      <c r="A708" t="inlineStr">
        <is>
          <t>A 20296-2025</t>
        </is>
      </c>
      <c r="B708" s="1" t="n">
        <v>45774.74922453704</v>
      </c>
      <c r="C708" s="1" t="n">
        <v>45981</v>
      </c>
      <c r="D708" t="inlineStr">
        <is>
          <t>ÖSTERGÖTLANDS LÄN</t>
        </is>
      </c>
      <c r="E708" t="inlineStr">
        <is>
          <t>LINKÖPING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67129-2020</t>
        </is>
      </c>
      <c r="B709" s="1" t="n">
        <v>44180</v>
      </c>
      <c r="C709" s="1" t="n">
        <v>45981</v>
      </c>
      <c r="D709" t="inlineStr">
        <is>
          <t>ÖSTERGÖTLANDS LÄN</t>
        </is>
      </c>
      <c r="E709" t="inlineStr">
        <is>
          <t>LINKÖPING</t>
        </is>
      </c>
      <c r="F709" t="inlineStr">
        <is>
          <t>Övriga statliga verk och myndigheter</t>
        </is>
      </c>
      <c r="G709" t="n">
        <v>2.7</v>
      </c>
      <c r="H709" t="n">
        <v>0</v>
      </c>
      <c r="I709" t="n">
        <v>0</v>
      </c>
      <c r="J709" t="n">
        <v>0</v>
      </c>
      <c r="K709" t="n">
        <v>0</v>
      </c>
      <c r="L709" t="n">
        <v>0</v>
      </c>
      <c r="M709" t="n">
        <v>0</v>
      </c>
      <c r="N709" t="n">
        <v>0</v>
      </c>
      <c r="O709" t="n">
        <v>0</v>
      </c>
      <c r="P709" t="n">
        <v>0</v>
      </c>
      <c r="Q709" t="n">
        <v>0</v>
      </c>
      <c r="R709" s="2" t="inlineStr"/>
    </row>
    <row r="710" ht="15" customHeight="1">
      <c r="A710" t="inlineStr">
        <is>
          <t>A 22770-2024</t>
        </is>
      </c>
      <c r="B710" s="1" t="n">
        <v>45448.4634375</v>
      </c>
      <c r="C710" s="1" t="n">
        <v>45981</v>
      </c>
      <c r="D710" t="inlineStr">
        <is>
          <t>ÖSTERGÖTLANDS LÄN</t>
        </is>
      </c>
      <c r="E710" t="inlineStr">
        <is>
          <t>LINKÖPING</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37057-2025</t>
        </is>
      </c>
      <c r="B711" s="1" t="n">
        <v>45875.37489583333</v>
      </c>
      <c r="C711" s="1" t="n">
        <v>45981</v>
      </c>
      <c r="D711" t="inlineStr">
        <is>
          <t>ÖSTERGÖTLANDS LÄN</t>
        </is>
      </c>
      <c r="E711" t="inlineStr">
        <is>
          <t>LINKÖPING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11595-2025</t>
        </is>
      </c>
      <c r="B712" s="1" t="n">
        <v>45727.41893518518</v>
      </c>
      <c r="C712" s="1" t="n">
        <v>45981</v>
      </c>
      <c r="D712" t="inlineStr">
        <is>
          <t>ÖSTERGÖTLANDS LÄN</t>
        </is>
      </c>
      <c r="E712" t="inlineStr">
        <is>
          <t>LINKÖPING</t>
        </is>
      </c>
      <c r="G712" t="n">
        <v>6.6</v>
      </c>
      <c r="H712" t="n">
        <v>0</v>
      </c>
      <c r="I712" t="n">
        <v>0</v>
      </c>
      <c r="J712" t="n">
        <v>0</v>
      </c>
      <c r="K712" t="n">
        <v>0</v>
      </c>
      <c r="L712" t="n">
        <v>0</v>
      </c>
      <c r="M712" t="n">
        <v>0</v>
      </c>
      <c r="N712" t="n">
        <v>0</v>
      </c>
      <c r="O712" t="n">
        <v>0</v>
      </c>
      <c r="P712" t="n">
        <v>0</v>
      </c>
      <c r="Q712" t="n">
        <v>0</v>
      </c>
      <c r="R712" s="2" t="inlineStr"/>
    </row>
    <row r="713" ht="15" customHeight="1">
      <c r="A713" t="inlineStr">
        <is>
          <t>A 48839-2022</t>
        </is>
      </c>
      <c r="B713" s="1" t="n">
        <v>44859</v>
      </c>
      <c r="C713" s="1" t="n">
        <v>45981</v>
      </c>
      <c r="D713" t="inlineStr">
        <is>
          <t>ÖSTERGÖTLANDS LÄN</t>
        </is>
      </c>
      <c r="E713" t="inlineStr">
        <is>
          <t>LINKÖPING</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8967-2025</t>
        </is>
      </c>
      <c r="B714" s="1" t="n">
        <v>45712</v>
      </c>
      <c r="C714" s="1" t="n">
        <v>45981</v>
      </c>
      <c r="D714" t="inlineStr">
        <is>
          <t>ÖSTERGÖTLANDS LÄN</t>
        </is>
      </c>
      <c r="E714" t="inlineStr">
        <is>
          <t>LINKÖPING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25829-2025</t>
        </is>
      </c>
      <c r="B715" s="1" t="n">
        <v>45804.44505787037</v>
      </c>
      <c r="C715" s="1" t="n">
        <v>45981</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c r="A716" t="inlineStr">
        <is>
          <t>A 38046-2025</t>
        </is>
      </c>
      <c r="B716" s="1" t="n">
        <v>45882.39939814815</v>
      </c>
      <c r="C716" s="1" t="n">
        <v>45981</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2025-11-20T16:59:16Z</dcterms:created>
  <dcterms:modified xmlns:dcterms="http://purl.org/dc/terms/" xmlns:xsi="http://www.w3.org/2001/XMLSchema-instance" xsi:type="dcterms:W3CDTF">2025-11-20T16:59:17Z</dcterms:modified>
</cp:coreProperties>
</file>