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48329-2025</t>
        </is>
      </c>
      <c r="B12" s="1" t="n">
        <v>45932</v>
      </c>
      <c r="C12" s="1" t="n">
        <v>45966</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17502-2022</t>
        </is>
      </c>
      <c r="B13" s="1" t="n">
        <v>44679</v>
      </c>
      <c r="C13" s="1" t="n">
        <v>45966</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40469-2024</t>
        </is>
      </c>
      <c r="B14" s="1" t="n">
        <v>45555.53145833333</v>
      </c>
      <c r="C14" s="1" t="n">
        <v>45966</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45966</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15475-2021</t>
        </is>
      </c>
      <c r="B16" s="1" t="n">
        <v>44285</v>
      </c>
      <c r="C16" s="1" t="n">
        <v>45966</v>
      </c>
      <c r="D16" t="inlineStr">
        <is>
          <t>ÖSTERGÖTLANDS LÄN</t>
        </is>
      </c>
      <c r="E16" t="inlineStr">
        <is>
          <t>LINKÖPING</t>
        </is>
      </c>
      <c r="F16" t="inlineStr">
        <is>
          <t>Kommuner</t>
        </is>
      </c>
      <c r="G16" t="n">
        <v>10.2</v>
      </c>
      <c r="H16" t="n">
        <v>3</v>
      </c>
      <c r="I16" t="n">
        <v>0</v>
      </c>
      <c r="J16" t="n">
        <v>3</v>
      </c>
      <c r="K16" t="n">
        <v>0</v>
      </c>
      <c r="L16" t="n">
        <v>0</v>
      </c>
      <c r="M16" t="n">
        <v>1</v>
      </c>
      <c r="N16" t="n">
        <v>0</v>
      </c>
      <c r="O16" t="n">
        <v>4</v>
      </c>
      <c r="P16" t="n">
        <v>1</v>
      </c>
      <c r="Q16" t="n">
        <v>4</v>
      </c>
      <c r="R16" s="2" t="inlineStr">
        <is>
          <t>Skogsalm
Grönsångare
Gulsparv
Svartvit flugsnappare</t>
        </is>
      </c>
      <c r="S16">
        <f>HYPERLINK("https://klasma.github.io/Logging_0580/artfynd/A 15475-2021 artfynd.xlsx", "A 15475-2021")</f>
        <v/>
      </c>
      <c r="T16">
        <f>HYPERLINK("https://klasma.github.io/Logging_0580/kartor/A 15475-2021 karta.png", "A 15475-2021")</f>
        <v/>
      </c>
      <c r="V16">
        <f>HYPERLINK("https://klasma.github.io/Logging_0580/klagomål/A 15475-2021 FSC-klagomål.docx", "A 15475-2021")</f>
        <v/>
      </c>
      <c r="W16">
        <f>HYPERLINK("https://klasma.github.io/Logging_0580/klagomålsmail/A 15475-2021 FSC-klagomål mail.docx", "A 15475-2021")</f>
        <v/>
      </c>
      <c r="X16">
        <f>HYPERLINK("https://klasma.github.io/Logging_0580/tillsyn/A 15475-2021 tillsynsbegäran.docx", "A 15475-2021")</f>
        <v/>
      </c>
      <c r="Y16">
        <f>HYPERLINK("https://klasma.github.io/Logging_0580/tillsynsmail/A 15475-2021 tillsynsbegäran mail.docx", "A 15475-2021")</f>
        <v/>
      </c>
      <c r="Z16">
        <f>HYPERLINK("https://klasma.github.io/Logging_0580/fåglar/A 15475-2021 prioriterade fågelarter.docx", "A 15475-2021")</f>
        <v/>
      </c>
    </row>
    <row r="17" ht="15" customHeight="1">
      <c r="A17" t="inlineStr">
        <is>
          <t>A 49999-2025</t>
        </is>
      </c>
      <c r="B17" s="1" t="n">
        <v>45943.30185185185</v>
      </c>
      <c r="C17" s="1" t="n">
        <v>45966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45966</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45966</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45966</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17520-2022</t>
        </is>
      </c>
      <c r="B21" s="1" t="n">
        <v>44679</v>
      </c>
      <c r="C21" s="1" t="n">
        <v>45966</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45966</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58068-2021</t>
        </is>
      </c>
      <c r="B23" s="1" t="n">
        <v>44487</v>
      </c>
      <c r="C23" s="1" t="n">
        <v>45966</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41751-2023</t>
        </is>
      </c>
      <c r="B24" s="1" t="n">
        <v>45176</v>
      </c>
      <c r="C24" s="1" t="n">
        <v>45966</v>
      </c>
      <c r="D24" t="inlineStr">
        <is>
          <t>ÖSTERGÖTLANDS LÄN</t>
        </is>
      </c>
      <c r="E24" t="inlineStr">
        <is>
          <t>LINKÖPING</t>
        </is>
      </c>
      <c r="G24" t="n">
        <v>1.5</v>
      </c>
      <c r="H24" t="n">
        <v>1</v>
      </c>
      <c r="I24" t="n">
        <v>0</v>
      </c>
      <c r="J24" t="n">
        <v>1</v>
      </c>
      <c r="K24" t="n">
        <v>0</v>
      </c>
      <c r="L24" t="n">
        <v>0</v>
      </c>
      <c r="M24" t="n">
        <v>0</v>
      </c>
      <c r="N24" t="n">
        <v>0</v>
      </c>
      <c r="O24" t="n">
        <v>1</v>
      </c>
      <c r="P24" t="n">
        <v>0</v>
      </c>
      <c r="Q24" t="n">
        <v>2</v>
      </c>
      <c r="R24" s="2" t="inlineStr">
        <is>
          <t>Svinrot
Grönvit nattviol</t>
        </is>
      </c>
      <c r="S24">
        <f>HYPERLINK("https://klasma.github.io/Logging_0580/artfynd/A 41751-2023 artfynd.xlsx", "A 41751-2023")</f>
        <v/>
      </c>
      <c r="T24">
        <f>HYPERLINK("https://klasma.github.io/Logging_0580/kartor/A 41751-2023 karta.png", "A 41751-2023")</f>
        <v/>
      </c>
      <c r="V24">
        <f>HYPERLINK("https://klasma.github.io/Logging_0580/klagomål/A 41751-2023 FSC-klagomål.docx", "A 41751-2023")</f>
        <v/>
      </c>
      <c r="W24">
        <f>HYPERLINK("https://klasma.github.io/Logging_0580/klagomålsmail/A 41751-2023 FSC-klagomål mail.docx", "A 41751-2023")</f>
        <v/>
      </c>
      <c r="X24">
        <f>HYPERLINK("https://klasma.github.io/Logging_0580/tillsyn/A 41751-2023 tillsynsbegäran.docx", "A 41751-2023")</f>
        <v/>
      </c>
      <c r="Y24">
        <f>HYPERLINK("https://klasma.github.io/Logging_0580/tillsynsmail/A 41751-2023 tillsynsbegäran mail.docx", "A 41751-2023")</f>
        <v/>
      </c>
    </row>
    <row r="25" ht="15" customHeight="1">
      <c r="A25" t="inlineStr">
        <is>
          <t>A 58068-2021</t>
        </is>
      </c>
      <c r="B25" s="1" t="n">
        <v>44487</v>
      </c>
      <c r="C25" s="1" t="n">
        <v>45966</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22040-2023</t>
        </is>
      </c>
      <c r="B26" s="1" t="n">
        <v>45068</v>
      </c>
      <c r="C26" s="1" t="n">
        <v>45966</v>
      </c>
      <c r="D26" t="inlineStr">
        <is>
          <t>ÖSTERGÖTLANDS LÄN</t>
        </is>
      </c>
      <c r="E26" t="inlineStr">
        <is>
          <t>LINKÖPING</t>
        </is>
      </c>
      <c r="F26" t="inlineStr">
        <is>
          <t>Kommuner</t>
        </is>
      </c>
      <c r="G26" t="n">
        <v>1</v>
      </c>
      <c r="H26" t="n">
        <v>1</v>
      </c>
      <c r="I26" t="n">
        <v>1</v>
      </c>
      <c r="J26" t="n">
        <v>0</v>
      </c>
      <c r="K26" t="n">
        <v>1</v>
      </c>
      <c r="L26" t="n">
        <v>0</v>
      </c>
      <c r="M26" t="n">
        <v>0</v>
      </c>
      <c r="N26" t="n">
        <v>0</v>
      </c>
      <c r="O26" t="n">
        <v>1</v>
      </c>
      <c r="P26" t="n">
        <v>1</v>
      </c>
      <c r="Q26" t="n">
        <v>2</v>
      </c>
      <c r="R26" s="2" t="inlineStr">
        <is>
          <t>Bombmurkla
Skarp dropptaggsvamp</t>
        </is>
      </c>
      <c r="S26">
        <f>HYPERLINK("https://klasma.github.io/Logging_0580/artfynd/A 22040-2023 artfynd.xlsx", "A 22040-2023")</f>
        <v/>
      </c>
      <c r="T26">
        <f>HYPERLINK("https://klasma.github.io/Logging_0580/kartor/A 22040-2023 karta.png", "A 22040-2023")</f>
        <v/>
      </c>
      <c r="V26">
        <f>HYPERLINK("https://klasma.github.io/Logging_0580/klagomål/A 22040-2023 FSC-klagomål.docx", "A 22040-2023")</f>
        <v/>
      </c>
      <c r="W26">
        <f>HYPERLINK("https://klasma.github.io/Logging_0580/klagomålsmail/A 22040-2023 FSC-klagomål mail.docx", "A 22040-2023")</f>
        <v/>
      </c>
      <c r="X26">
        <f>HYPERLINK("https://klasma.github.io/Logging_0580/tillsyn/A 22040-2023 tillsynsbegäran.docx", "A 22040-2023")</f>
        <v/>
      </c>
      <c r="Y26">
        <f>HYPERLINK("https://klasma.github.io/Logging_0580/tillsynsmail/A 22040-2023 tillsynsbegäran mail.docx", "A 22040-2023")</f>
        <v/>
      </c>
    </row>
    <row r="27" ht="15" customHeight="1">
      <c r="A27" t="inlineStr">
        <is>
          <t>A 42858-2023</t>
        </is>
      </c>
      <c r="B27" s="1" t="n">
        <v>45177</v>
      </c>
      <c r="C27" s="1" t="n">
        <v>45966</v>
      </c>
      <c r="D27" t="inlineStr">
        <is>
          <t>ÖSTERGÖTLANDS LÄN</t>
        </is>
      </c>
      <c r="E27" t="inlineStr">
        <is>
          <t>LINKÖPING</t>
        </is>
      </c>
      <c r="G27" t="n">
        <v>5.3</v>
      </c>
      <c r="H27" t="n">
        <v>1</v>
      </c>
      <c r="I27" t="n">
        <v>0</v>
      </c>
      <c r="J27" t="n">
        <v>1</v>
      </c>
      <c r="K27" t="n">
        <v>0</v>
      </c>
      <c r="L27" t="n">
        <v>0</v>
      </c>
      <c r="M27" t="n">
        <v>0</v>
      </c>
      <c r="N27" t="n">
        <v>0</v>
      </c>
      <c r="O27" t="n">
        <v>1</v>
      </c>
      <c r="P27" t="n">
        <v>0</v>
      </c>
      <c r="Q27" t="n">
        <v>2</v>
      </c>
      <c r="R27" s="2" t="inlineStr">
        <is>
          <t>Svinrot
Skogsödla</t>
        </is>
      </c>
      <c r="S27">
        <f>HYPERLINK("https://klasma.github.io/Logging_0580/artfynd/A 42858-2023 artfynd.xlsx", "A 42858-2023")</f>
        <v/>
      </c>
      <c r="T27">
        <f>HYPERLINK("https://klasma.github.io/Logging_0580/kartor/A 42858-2023 karta.png", "A 42858-2023")</f>
        <v/>
      </c>
      <c r="V27">
        <f>HYPERLINK("https://klasma.github.io/Logging_0580/klagomål/A 42858-2023 FSC-klagomål.docx", "A 42858-2023")</f>
        <v/>
      </c>
      <c r="W27">
        <f>HYPERLINK("https://klasma.github.io/Logging_0580/klagomålsmail/A 42858-2023 FSC-klagomål mail.docx", "A 42858-2023")</f>
        <v/>
      </c>
      <c r="X27">
        <f>HYPERLINK("https://klasma.github.io/Logging_0580/tillsyn/A 42858-2023 tillsynsbegäran.docx", "A 42858-2023")</f>
        <v/>
      </c>
      <c r="Y27">
        <f>HYPERLINK("https://klasma.github.io/Logging_0580/tillsynsmail/A 42858-2023 tillsynsbegäran mail.docx", "A 42858-2023")</f>
        <v/>
      </c>
    </row>
    <row r="28" ht="15" customHeight="1">
      <c r="A28" t="inlineStr">
        <is>
          <t>A 49188-2024</t>
        </is>
      </c>
      <c r="B28" s="1" t="n">
        <v>45595</v>
      </c>
      <c r="C28" s="1" t="n">
        <v>45966</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55344-2024</t>
        </is>
      </c>
      <c r="B29" s="1" t="n">
        <v>45621.7202662037</v>
      </c>
      <c r="C29" s="1" t="n">
        <v>45966</v>
      </c>
      <c r="D29" t="inlineStr">
        <is>
          <t>ÖSTERGÖTLANDS LÄN</t>
        </is>
      </c>
      <c r="E29" t="inlineStr">
        <is>
          <t>LINKÖPING</t>
        </is>
      </c>
      <c r="G29" t="n">
        <v>6.6</v>
      </c>
      <c r="H29" t="n">
        <v>0</v>
      </c>
      <c r="I29" t="n">
        <v>0</v>
      </c>
      <c r="J29" t="n">
        <v>2</v>
      </c>
      <c r="K29" t="n">
        <v>0</v>
      </c>
      <c r="L29" t="n">
        <v>0</v>
      </c>
      <c r="M29" t="n">
        <v>0</v>
      </c>
      <c r="N29" t="n">
        <v>0</v>
      </c>
      <c r="O29" t="n">
        <v>2</v>
      </c>
      <c r="P29" t="n">
        <v>0</v>
      </c>
      <c r="Q29" t="n">
        <v>2</v>
      </c>
      <c r="R29" s="2" t="inlineStr">
        <is>
          <t>Kandelabersvamp
Stjärnnästing</t>
        </is>
      </c>
      <c r="S29">
        <f>HYPERLINK("https://klasma.github.io/Logging_0580/artfynd/A 55344-2024 artfynd.xlsx", "A 55344-2024")</f>
        <v/>
      </c>
      <c r="T29">
        <f>HYPERLINK("https://klasma.github.io/Logging_0580/kartor/A 55344-2024 karta.png", "A 55344-2024")</f>
        <v/>
      </c>
      <c r="V29">
        <f>HYPERLINK("https://klasma.github.io/Logging_0580/klagomål/A 55344-2024 FSC-klagomål.docx", "A 55344-2024")</f>
        <v/>
      </c>
      <c r="W29">
        <f>HYPERLINK("https://klasma.github.io/Logging_0580/klagomålsmail/A 55344-2024 FSC-klagomål mail.docx", "A 55344-2024")</f>
        <v/>
      </c>
      <c r="X29">
        <f>HYPERLINK("https://klasma.github.io/Logging_0580/tillsyn/A 55344-2024 tillsynsbegäran.docx", "A 55344-2024")</f>
        <v/>
      </c>
      <c r="Y29">
        <f>HYPERLINK("https://klasma.github.io/Logging_0580/tillsynsmail/A 55344-2024 tillsynsbegäran mail.docx", "A 55344-2024")</f>
        <v/>
      </c>
    </row>
    <row r="30" ht="15" customHeight="1">
      <c r="A30" t="inlineStr">
        <is>
          <t>A 11613-2025</t>
        </is>
      </c>
      <c r="B30" s="1" t="n">
        <v>45727.44623842592</v>
      </c>
      <c r="C30" s="1" t="n">
        <v>45966</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21326-2025</t>
        </is>
      </c>
      <c r="B31" s="1" t="n">
        <v>45782.35407407407</v>
      </c>
      <c r="C31" s="1" t="n">
        <v>45966</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50048-2025</t>
        </is>
      </c>
      <c r="B32" s="1" t="n">
        <v>45941</v>
      </c>
      <c r="C32" s="1" t="n">
        <v>45966</v>
      </c>
      <c r="D32" t="inlineStr">
        <is>
          <t>ÖSTERGÖTLANDS LÄN</t>
        </is>
      </c>
      <c r="E32" t="inlineStr">
        <is>
          <t>LINKÖPING</t>
        </is>
      </c>
      <c r="G32" t="n">
        <v>2.4</v>
      </c>
      <c r="H32" t="n">
        <v>2</v>
      </c>
      <c r="I32" t="n">
        <v>0</v>
      </c>
      <c r="J32" t="n">
        <v>1</v>
      </c>
      <c r="K32" t="n">
        <v>0</v>
      </c>
      <c r="L32" t="n">
        <v>0</v>
      </c>
      <c r="M32" t="n">
        <v>0</v>
      </c>
      <c r="N32" t="n">
        <v>0</v>
      </c>
      <c r="O32" t="n">
        <v>1</v>
      </c>
      <c r="P32" t="n">
        <v>0</v>
      </c>
      <c r="Q32" t="n">
        <v>2</v>
      </c>
      <c r="R32" s="2" t="inlineStr">
        <is>
          <t>Gulsparv
Trädlärka</t>
        </is>
      </c>
      <c r="S32">
        <f>HYPERLINK("https://klasma.github.io/Logging_0580/artfynd/A 50048-2025 artfynd.xlsx", "A 50048-2025")</f>
        <v/>
      </c>
      <c r="T32">
        <f>HYPERLINK("https://klasma.github.io/Logging_0580/kartor/A 50048-2025 karta.png", "A 50048-2025")</f>
        <v/>
      </c>
      <c r="V32">
        <f>HYPERLINK("https://klasma.github.io/Logging_0580/klagomål/A 50048-2025 FSC-klagomål.docx", "A 50048-2025")</f>
        <v/>
      </c>
      <c r="W32">
        <f>HYPERLINK("https://klasma.github.io/Logging_0580/klagomålsmail/A 50048-2025 FSC-klagomål mail.docx", "A 50048-2025")</f>
        <v/>
      </c>
      <c r="X32">
        <f>HYPERLINK("https://klasma.github.io/Logging_0580/tillsyn/A 50048-2025 tillsynsbegäran.docx", "A 50048-2025")</f>
        <v/>
      </c>
      <c r="Y32">
        <f>HYPERLINK("https://klasma.github.io/Logging_0580/tillsynsmail/A 50048-2025 tillsynsbegäran mail.docx", "A 50048-2025")</f>
        <v/>
      </c>
      <c r="Z32">
        <f>HYPERLINK("https://klasma.github.io/Logging_0580/fåglar/A 50048-2025 prioriterade fågelarter.docx", "A 50048-2025")</f>
        <v/>
      </c>
    </row>
    <row r="33" ht="15" customHeight="1">
      <c r="A33" t="inlineStr">
        <is>
          <t>A 20292-2025</t>
        </is>
      </c>
      <c r="B33" s="1" t="n">
        <v>45774.7449537037</v>
      </c>
      <c r="C33" s="1" t="n">
        <v>45966</v>
      </c>
      <c r="D33" t="inlineStr">
        <is>
          <t>ÖSTERGÖTLANDS LÄN</t>
        </is>
      </c>
      <c r="E33" t="inlineStr">
        <is>
          <t>LINKÖPING</t>
        </is>
      </c>
      <c r="G33" t="n">
        <v>8.4</v>
      </c>
      <c r="H33" t="n">
        <v>1</v>
      </c>
      <c r="I33" t="n">
        <v>1</v>
      </c>
      <c r="J33" t="n">
        <v>0</v>
      </c>
      <c r="K33" t="n">
        <v>0</v>
      </c>
      <c r="L33" t="n">
        <v>0</v>
      </c>
      <c r="M33" t="n">
        <v>0</v>
      </c>
      <c r="N33" t="n">
        <v>0</v>
      </c>
      <c r="O33" t="n">
        <v>0</v>
      </c>
      <c r="P33" t="n">
        <v>0</v>
      </c>
      <c r="Q33" t="n">
        <v>2</v>
      </c>
      <c r="R33" s="2" t="inlineStr">
        <is>
          <t>Blåmossa
Blåsippa</t>
        </is>
      </c>
      <c r="S33">
        <f>HYPERLINK("https://klasma.github.io/Logging_0580/artfynd/A 20292-2025 artfynd.xlsx", "A 20292-2025")</f>
        <v/>
      </c>
      <c r="T33">
        <f>HYPERLINK("https://klasma.github.io/Logging_0580/kartor/A 20292-2025 karta.png", "A 20292-2025")</f>
        <v/>
      </c>
      <c r="V33">
        <f>HYPERLINK("https://klasma.github.io/Logging_0580/klagomål/A 20292-2025 FSC-klagomål.docx", "A 20292-2025")</f>
        <v/>
      </c>
      <c r="W33">
        <f>HYPERLINK("https://klasma.github.io/Logging_0580/klagomålsmail/A 20292-2025 FSC-klagomål mail.docx", "A 20292-2025")</f>
        <v/>
      </c>
      <c r="X33">
        <f>HYPERLINK("https://klasma.github.io/Logging_0580/tillsyn/A 20292-2025 tillsynsbegäran.docx", "A 20292-2025")</f>
        <v/>
      </c>
      <c r="Y33">
        <f>HYPERLINK("https://klasma.github.io/Logging_0580/tillsynsmail/A 20292-2025 tillsynsbegäran mail.docx", "A 20292-2025")</f>
        <v/>
      </c>
    </row>
    <row r="34" ht="15" customHeight="1">
      <c r="A34" t="inlineStr">
        <is>
          <t>A 20297-2025</t>
        </is>
      </c>
      <c r="B34" s="1" t="n">
        <v>45774.74971064815</v>
      </c>
      <c r="C34" s="1" t="n">
        <v>45966</v>
      </c>
      <c r="D34" t="inlineStr">
        <is>
          <t>ÖSTERGÖTLANDS LÄN</t>
        </is>
      </c>
      <c r="E34" t="inlineStr">
        <is>
          <t>LINKÖPING</t>
        </is>
      </c>
      <c r="G34" t="n">
        <v>1.5</v>
      </c>
      <c r="H34" t="n">
        <v>1</v>
      </c>
      <c r="I34" t="n">
        <v>1</v>
      </c>
      <c r="J34" t="n">
        <v>0</v>
      </c>
      <c r="K34" t="n">
        <v>0</v>
      </c>
      <c r="L34" t="n">
        <v>0</v>
      </c>
      <c r="M34" t="n">
        <v>0</v>
      </c>
      <c r="N34" t="n">
        <v>0</v>
      </c>
      <c r="O34" t="n">
        <v>0</v>
      </c>
      <c r="P34" t="n">
        <v>0</v>
      </c>
      <c r="Q34" t="n">
        <v>2</v>
      </c>
      <c r="R34" s="2" t="inlineStr">
        <is>
          <t>Blanksvart trämyra
Blåsippa</t>
        </is>
      </c>
      <c r="S34">
        <f>HYPERLINK("https://klasma.github.io/Logging_0580/artfynd/A 20297-2025 artfynd.xlsx", "A 20297-2025")</f>
        <v/>
      </c>
      <c r="T34">
        <f>HYPERLINK("https://klasma.github.io/Logging_0580/kartor/A 20297-2025 karta.png", "A 20297-2025")</f>
        <v/>
      </c>
      <c r="V34">
        <f>HYPERLINK("https://klasma.github.io/Logging_0580/klagomål/A 20297-2025 FSC-klagomål.docx", "A 20297-2025")</f>
        <v/>
      </c>
      <c r="W34">
        <f>HYPERLINK("https://klasma.github.io/Logging_0580/klagomålsmail/A 20297-2025 FSC-klagomål mail.docx", "A 20297-2025")</f>
        <v/>
      </c>
      <c r="X34">
        <f>HYPERLINK("https://klasma.github.io/Logging_0580/tillsyn/A 20297-2025 tillsynsbegäran.docx", "A 20297-2025")</f>
        <v/>
      </c>
      <c r="Y34">
        <f>HYPERLINK("https://klasma.github.io/Logging_0580/tillsynsmail/A 20297-2025 tillsynsbegäran mail.docx", "A 20297-2025")</f>
        <v/>
      </c>
    </row>
    <row r="35" ht="15" customHeight="1">
      <c r="A35" t="inlineStr">
        <is>
          <t>A 27795-2025</t>
        </is>
      </c>
      <c r="B35" s="1" t="n">
        <v>45816.7908912037</v>
      </c>
      <c r="C35" s="1" t="n">
        <v>45966</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27981-2022</t>
        </is>
      </c>
      <c r="B36" s="1" t="n">
        <v>44745</v>
      </c>
      <c r="C36" s="1" t="n">
        <v>45966</v>
      </c>
      <c r="D36" t="inlineStr">
        <is>
          <t>ÖSTERGÖTLANDS LÄN</t>
        </is>
      </c>
      <c r="E36" t="inlineStr">
        <is>
          <t>LINKÖPING</t>
        </is>
      </c>
      <c r="G36" t="n">
        <v>8.4</v>
      </c>
      <c r="H36" t="n">
        <v>0</v>
      </c>
      <c r="I36" t="n">
        <v>0</v>
      </c>
      <c r="J36" t="n">
        <v>2</v>
      </c>
      <c r="K36" t="n">
        <v>0</v>
      </c>
      <c r="L36" t="n">
        <v>0</v>
      </c>
      <c r="M36" t="n">
        <v>0</v>
      </c>
      <c r="N36" t="n">
        <v>0</v>
      </c>
      <c r="O36" t="n">
        <v>2</v>
      </c>
      <c r="P36" t="n">
        <v>0</v>
      </c>
      <c r="Q36" t="n">
        <v>2</v>
      </c>
      <c r="R36" s="2" t="inlineStr">
        <is>
          <t>Solvända
Svinrot</t>
        </is>
      </c>
      <c r="S36">
        <f>HYPERLINK("https://klasma.github.io/Logging_0580/artfynd/A 27981-2022 artfynd.xlsx", "A 27981-2022")</f>
        <v/>
      </c>
      <c r="T36">
        <f>HYPERLINK("https://klasma.github.io/Logging_0580/kartor/A 27981-2022 karta.png", "A 27981-2022")</f>
        <v/>
      </c>
      <c r="V36">
        <f>HYPERLINK("https://klasma.github.io/Logging_0580/klagomål/A 27981-2022 FSC-klagomål.docx", "A 27981-2022")</f>
        <v/>
      </c>
      <c r="W36">
        <f>HYPERLINK("https://klasma.github.io/Logging_0580/klagomålsmail/A 27981-2022 FSC-klagomål mail.docx", "A 27981-2022")</f>
        <v/>
      </c>
      <c r="X36">
        <f>HYPERLINK("https://klasma.github.io/Logging_0580/tillsyn/A 27981-2022 tillsynsbegäran.docx", "A 27981-2022")</f>
        <v/>
      </c>
      <c r="Y36">
        <f>HYPERLINK("https://klasma.github.io/Logging_0580/tillsynsmail/A 27981-2022 tillsynsbegäran mail.docx", "A 27981-2022")</f>
        <v/>
      </c>
    </row>
    <row r="37" ht="15" customHeight="1">
      <c r="A37" t="inlineStr">
        <is>
          <t>A 50404-2023</t>
        </is>
      </c>
      <c r="B37" s="1" t="n">
        <v>45216</v>
      </c>
      <c r="C37" s="1" t="n">
        <v>45966</v>
      </c>
      <c r="D37" t="inlineStr">
        <is>
          <t>ÖSTERGÖTLANDS LÄN</t>
        </is>
      </c>
      <c r="E37" t="inlineStr">
        <is>
          <t>LINKÖPING</t>
        </is>
      </c>
      <c r="G37" t="n">
        <v>1.2</v>
      </c>
      <c r="H37" t="n">
        <v>1</v>
      </c>
      <c r="I37" t="n">
        <v>1</v>
      </c>
      <c r="J37" t="n">
        <v>0</v>
      </c>
      <c r="K37" t="n">
        <v>0</v>
      </c>
      <c r="L37" t="n">
        <v>0</v>
      </c>
      <c r="M37" t="n">
        <v>0</v>
      </c>
      <c r="N37" t="n">
        <v>0</v>
      </c>
      <c r="O37" t="n">
        <v>0</v>
      </c>
      <c r="P37" t="n">
        <v>0</v>
      </c>
      <c r="Q37" t="n">
        <v>2</v>
      </c>
      <c r="R37" s="2" t="inlineStr">
        <is>
          <t>Hasselticka
Gullviva</t>
        </is>
      </c>
      <c r="S37">
        <f>HYPERLINK("https://klasma.github.io/Logging_0580/artfynd/A 50404-2023 artfynd.xlsx", "A 50404-2023")</f>
        <v/>
      </c>
      <c r="T37">
        <f>HYPERLINK("https://klasma.github.io/Logging_0580/kartor/A 50404-2023 karta.png", "A 50404-2023")</f>
        <v/>
      </c>
      <c r="V37">
        <f>HYPERLINK("https://klasma.github.io/Logging_0580/klagomål/A 50404-2023 FSC-klagomål.docx", "A 50404-2023")</f>
        <v/>
      </c>
      <c r="W37">
        <f>HYPERLINK("https://klasma.github.io/Logging_0580/klagomålsmail/A 50404-2023 FSC-klagomål mail.docx", "A 50404-2023")</f>
        <v/>
      </c>
      <c r="X37">
        <f>HYPERLINK("https://klasma.github.io/Logging_0580/tillsyn/A 50404-2023 tillsynsbegäran.docx", "A 50404-2023")</f>
        <v/>
      </c>
      <c r="Y37">
        <f>HYPERLINK("https://klasma.github.io/Logging_0580/tillsynsmail/A 50404-2023 tillsynsbegäran mail.docx", "A 50404-2023")</f>
        <v/>
      </c>
    </row>
    <row r="38" ht="15" customHeight="1">
      <c r="A38" t="inlineStr">
        <is>
          <t>A 25985-2025</t>
        </is>
      </c>
      <c r="B38" s="1" t="n">
        <v>45804.64479166667</v>
      </c>
      <c r="C38" s="1" t="n">
        <v>45966</v>
      </c>
      <c r="D38" t="inlineStr">
        <is>
          <t>ÖSTERGÖTLANDS LÄN</t>
        </is>
      </c>
      <c r="E38" t="inlineStr">
        <is>
          <t>LINKÖPING</t>
        </is>
      </c>
      <c r="G38" t="n">
        <v>4.5</v>
      </c>
      <c r="H38" t="n">
        <v>2</v>
      </c>
      <c r="I38" t="n">
        <v>0</v>
      </c>
      <c r="J38" t="n">
        <v>1</v>
      </c>
      <c r="K38" t="n">
        <v>0</v>
      </c>
      <c r="L38" t="n">
        <v>0</v>
      </c>
      <c r="M38" t="n">
        <v>0</v>
      </c>
      <c r="N38" t="n">
        <v>0</v>
      </c>
      <c r="O38" t="n">
        <v>1</v>
      </c>
      <c r="P38" t="n">
        <v>0</v>
      </c>
      <c r="Q38" t="n">
        <v>2</v>
      </c>
      <c r="R38" s="2" t="inlineStr">
        <is>
          <t>Spillkråka
Revlummer</t>
        </is>
      </c>
      <c r="S38">
        <f>HYPERLINK("https://klasma.github.io/Logging_0580/artfynd/A 25985-2025 artfynd.xlsx", "A 25985-2025")</f>
        <v/>
      </c>
      <c r="T38">
        <f>HYPERLINK("https://klasma.github.io/Logging_0580/kartor/A 25985-2025 karta.png", "A 25985-2025")</f>
        <v/>
      </c>
      <c r="V38">
        <f>HYPERLINK("https://klasma.github.io/Logging_0580/klagomål/A 25985-2025 FSC-klagomål.docx", "A 25985-2025")</f>
        <v/>
      </c>
      <c r="W38">
        <f>HYPERLINK("https://klasma.github.io/Logging_0580/klagomålsmail/A 25985-2025 FSC-klagomål mail.docx", "A 25985-2025")</f>
        <v/>
      </c>
      <c r="X38">
        <f>HYPERLINK("https://klasma.github.io/Logging_0580/tillsyn/A 25985-2025 tillsynsbegäran.docx", "A 25985-2025")</f>
        <v/>
      </c>
      <c r="Y38">
        <f>HYPERLINK("https://klasma.github.io/Logging_0580/tillsynsmail/A 25985-2025 tillsynsbegäran mail.docx", "A 25985-2025")</f>
        <v/>
      </c>
      <c r="Z38">
        <f>HYPERLINK("https://klasma.github.io/Logging_0580/fåglar/A 25985-2025 prioriterade fågelarter.docx", "A 25985-2025")</f>
        <v/>
      </c>
    </row>
    <row r="39" ht="15" customHeight="1">
      <c r="A39" t="inlineStr">
        <is>
          <t>A 38913-2023</t>
        </is>
      </c>
      <c r="B39" s="1" t="n">
        <v>45163</v>
      </c>
      <c r="C39" s="1" t="n">
        <v>45966</v>
      </c>
      <c r="D39" t="inlineStr">
        <is>
          <t>ÖSTERGÖTLANDS LÄN</t>
        </is>
      </c>
      <c r="E39" t="inlineStr">
        <is>
          <t>LINKÖPING</t>
        </is>
      </c>
      <c r="G39" t="n">
        <v>2.7</v>
      </c>
      <c r="H39" t="n">
        <v>1</v>
      </c>
      <c r="I39" t="n">
        <v>1</v>
      </c>
      <c r="J39" t="n">
        <v>0</v>
      </c>
      <c r="K39" t="n">
        <v>0</v>
      </c>
      <c r="L39" t="n">
        <v>0</v>
      </c>
      <c r="M39" t="n">
        <v>0</v>
      </c>
      <c r="N39" t="n">
        <v>0</v>
      </c>
      <c r="O39" t="n">
        <v>0</v>
      </c>
      <c r="P39" t="n">
        <v>0</v>
      </c>
      <c r="Q39" t="n">
        <v>2</v>
      </c>
      <c r="R39" s="2" t="inlineStr">
        <is>
          <t>Skogsbräsma
Revlummer</t>
        </is>
      </c>
      <c r="S39">
        <f>HYPERLINK("https://klasma.github.io/Logging_0580/artfynd/A 38913-2023 artfynd.xlsx", "A 38913-2023")</f>
        <v/>
      </c>
      <c r="T39">
        <f>HYPERLINK("https://klasma.github.io/Logging_0580/kartor/A 38913-2023 karta.png", "A 38913-2023")</f>
        <v/>
      </c>
      <c r="V39">
        <f>HYPERLINK("https://klasma.github.io/Logging_0580/klagomål/A 38913-2023 FSC-klagomål.docx", "A 38913-2023")</f>
        <v/>
      </c>
      <c r="W39">
        <f>HYPERLINK("https://klasma.github.io/Logging_0580/klagomålsmail/A 38913-2023 FSC-klagomål mail.docx", "A 38913-2023")</f>
        <v/>
      </c>
      <c r="X39">
        <f>HYPERLINK("https://klasma.github.io/Logging_0580/tillsyn/A 38913-2023 tillsynsbegäran.docx", "A 38913-2023")</f>
        <v/>
      </c>
      <c r="Y39">
        <f>HYPERLINK("https://klasma.github.io/Logging_0580/tillsynsmail/A 38913-2023 tillsynsbegäran mail.docx", "A 38913-2023")</f>
        <v/>
      </c>
    </row>
    <row r="40" ht="15" customHeight="1">
      <c r="A40" t="inlineStr">
        <is>
          <t>A 14879-2024</t>
        </is>
      </c>
      <c r="B40" s="1" t="n">
        <v>45398</v>
      </c>
      <c r="C40" s="1" t="n">
        <v>45966</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8818-2025</t>
        </is>
      </c>
      <c r="B41" s="1" t="n">
        <v>45712</v>
      </c>
      <c r="C41" s="1" t="n">
        <v>45966</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38129-2021</t>
        </is>
      </c>
      <c r="B42" s="1" t="n">
        <v>44405.37199074074</v>
      </c>
      <c r="C42" s="1" t="n">
        <v>45966</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56250-2021</t>
        </is>
      </c>
      <c r="B43" s="1" t="n">
        <v>44479</v>
      </c>
      <c r="C43" s="1" t="n">
        <v>45966</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14096-2021</t>
        </is>
      </c>
      <c r="B44" s="1" t="n">
        <v>44278</v>
      </c>
      <c r="C44" s="1" t="n">
        <v>45966</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45966</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46496-2022</t>
        </is>
      </c>
      <c r="B46" s="1" t="n">
        <v>44848</v>
      </c>
      <c r="C46" s="1" t="n">
        <v>45966</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43017-2021</t>
        </is>
      </c>
      <c r="B47" s="1" t="n">
        <v>44431</v>
      </c>
      <c r="C47" s="1" t="n">
        <v>45966</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71127-2021</t>
        </is>
      </c>
      <c r="B48" s="1" t="n">
        <v>44537</v>
      </c>
      <c r="C48" s="1" t="n">
        <v>45966</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90-2024</t>
        </is>
      </c>
      <c r="B49" s="1" t="n">
        <v>45293</v>
      </c>
      <c r="C49" s="1" t="n">
        <v>45966</v>
      </c>
      <c r="D49" t="inlineStr">
        <is>
          <t>ÖSTERGÖTLANDS LÄN</t>
        </is>
      </c>
      <c r="E49" t="inlineStr">
        <is>
          <t>LINKÖPING</t>
        </is>
      </c>
      <c r="G49" t="n">
        <v>1.8</v>
      </c>
      <c r="H49" t="n">
        <v>0</v>
      </c>
      <c r="I49" t="n">
        <v>1</v>
      </c>
      <c r="J49" t="n">
        <v>0</v>
      </c>
      <c r="K49" t="n">
        <v>0</v>
      </c>
      <c r="L49" t="n">
        <v>0</v>
      </c>
      <c r="M49" t="n">
        <v>0</v>
      </c>
      <c r="N49" t="n">
        <v>0</v>
      </c>
      <c r="O49" t="n">
        <v>0</v>
      </c>
      <c r="P49" t="n">
        <v>0</v>
      </c>
      <c r="Q49" t="n">
        <v>1</v>
      </c>
      <c r="R49" s="2" t="inlineStr">
        <is>
          <t>Grov fjädermossa</t>
        </is>
      </c>
      <c r="S49">
        <f>HYPERLINK("https://klasma.github.io/Logging_0580/artfynd/A 90-2024 artfynd.xlsx", "A 90-2024")</f>
        <v/>
      </c>
      <c r="T49">
        <f>HYPERLINK("https://klasma.github.io/Logging_0580/kartor/A 90-2024 karta.png", "A 90-2024")</f>
        <v/>
      </c>
      <c r="V49">
        <f>HYPERLINK("https://klasma.github.io/Logging_0580/klagomål/A 90-2024 FSC-klagomål.docx", "A 90-2024")</f>
        <v/>
      </c>
      <c r="W49">
        <f>HYPERLINK("https://klasma.github.io/Logging_0580/klagomålsmail/A 90-2024 FSC-klagomål mail.docx", "A 90-2024")</f>
        <v/>
      </c>
      <c r="X49">
        <f>HYPERLINK("https://klasma.github.io/Logging_0580/tillsyn/A 90-2024 tillsynsbegäran.docx", "A 90-2024")</f>
        <v/>
      </c>
      <c r="Y49">
        <f>HYPERLINK("https://klasma.github.io/Logging_0580/tillsynsmail/A 90-2024 tillsynsbegäran mail.docx", "A 90-2024")</f>
        <v/>
      </c>
    </row>
    <row r="50" ht="15" customHeight="1">
      <c r="A50" t="inlineStr">
        <is>
          <t>A 40315-2024</t>
        </is>
      </c>
      <c r="B50" s="1" t="n">
        <v>45554.7571875</v>
      </c>
      <c r="C50" s="1" t="n">
        <v>45966</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45966</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35948-2023</t>
        </is>
      </c>
      <c r="B52" s="1" t="n">
        <v>45148</v>
      </c>
      <c r="C52" s="1" t="n">
        <v>45966</v>
      </c>
      <c r="D52" t="inlineStr">
        <is>
          <t>ÖSTERGÖTLANDS LÄN</t>
        </is>
      </c>
      <c r="E52" t="inlineStr">
        <is>
          <t>LINKÖPING</t>
        </is>
      </c>
      <c r="G52" t="n">
        <v>1.9</v>
      </c>
      <c r="H52" t="n">
        <v>0</v>
      </c>
      <c r="I52" t="n">
        <v>1</v>
      </c>
      <c r="J52" t="n">
        <v>0</v>
      </c>
      <c r="K52" t="n">
        <v>0</v>
      </c>
      <c r="L52" t="n">
        <v>0</v>
      </c>
      <c r="M52" t="n">
        <v>0</v>
      </c>
      <c r="N52" t="n">
        <v>0</v>
      </c>
      <c r="O52" t="n">
        <v>0</v>
      </c>
      <c r="P52" t="n">
        <v>0</v>
      </c>
      <c r="Q52" t="n">
        <v>1</v>
      </c>
      <c r="R52" s="2" t="inlineStr">
        <is>
          <t>Brun nållav</t>
        </is>
      </c>
      <c r="S52">
        <f>HYPERLINK("https://klasma.github.io/Logging_0580/artfynd/A 35948-2023 artfynd.xlsx", "A 35948-2023")</f>
        <v/>
      </c>
      <c r="T52">
        <f>HYPERLINK("https://klasma.github.io/Logging_0580/kartor/A 35948-2023 karta.png", "A 35948-2023")</f>
        <v/>
      </c>
      <c r="V52">
        <f>HYPERLINK("https://klasma.github.io/Logging_0580/klagomål/A 35948-2023 FSC-klagomål.docx", "A 35948-2023")</f>
        <v/>
      </c>
      <c r="W52">
        <f>HYPERLINK("https://klasma.github.io/Logging_0580/klagomålsmail/A 35948-2023 FSC-klagomål mail.docx", "A 35948-2023")</f>
        <v/>
      </c>
      <c r="X52">
        <f>HYPERLINK("https://klasma.github.io/Logging_0580/tillsyn/A 35948-2023 tillsynsbegäran.docx", "A 35948-2023")</f>
        <v/>
      </c>
      <c r="Y52">
        <f>HYPERLINK("https://klasma.github.io/Logging_0580/tillsynsmail/A 35948-2023 tillsynsbegäran mail.docx", "A 35948-2023")</f>
        <v/>
      </c>
    </row>
    <row r="53" ht="15" customHeight="1">
      <c r="A53" t="inlineStr">
        <is>
          <t>A 62071-2023</t>
        </is>
      </c>
      <c r="B53" s="1" t="n">
        <v>45266.73542824074</v>
      </c>
      <c r="C53" s="1" t="n">
        <v>45966</v>
      </c>
      <c r="D53" t="inlineStr">
        <is>
          <t>ÖSTERGÖTLANDS LÄN</t>
        </is>
      </c>
      <c r="E53" t="inlineStr">
        <is>
          <t>LINKÖPING</t>
        </is>
      </c>
      <c r="G53" t="n">
        <v>6.5</v>
      </c>
      <c r="H53" t="n">
        <v>0</v>
      </c>
      <c r="I53" t="n">
        <v>0</v>
      </c>
      <c r="J53" t="n">
        <v>1</v>
      </c>
      <c r="K53" t="n">
        <v>0</v>
      </c>
      <c r="L53" t="n">
        <v>0</v>
      </c>
      <c r="M53" t="n">
        <v>0</v>
      </c>
      <c r="N53" t="n">
        <v>0</v>
      </c>
      <c r="O53" t="n">
        <v>1</v>
      </c>
      <c r="P53" t="n">
        <v>0</v>
      </c>
      <c r="Q53" t="n">
        <v>1</v>
      </c>
      <c r="R53" s="2" t="inlineStr">
        <is>
          <t>Svinrot</t>
        </is>
      </c>
      <c r="S53">
        <f>HYPERLINK("https://klasma.github.io/Logging_0580/artfynd/A 62071-2023 artfynd.xlsx", "A 62071-2023")</f>
        <v/>
      </c>
      <c r="T53">
        <f>HYPERLINK("https://klasma.github.io/Logging_0580/kartor/A 62071-2023 karta.png", "A 62071-2023")</f>
        <v/>
      </c>
      <c r="V53">
        <f>HYPERLINK("https://klasma.github.io/Logging_0580/klagomål/A 62071-2023 FSC-klagomål.docx", "A 62071-2023")</f>
        <v/>
      </c>
      <c r="W53">
        <f>HYPERLINK("https://klasma.github.io/Logging_0580/klagomålsmail/A 62071-2023 FSC-klagomål mail.docx", "A 62071-2023")</f>
        <v/>
      </c>
      <c r="X53">
        <f>HYPERLINK("https://klasma.github.io/Logging_0580/tillsyn/A 62071-2023 tillsynsbegäran.docx", "A 62071-2023")</f>
        <v/>
      </c>
      <c r="Y53">
        <f>HYPERLINK("https://klasma.github.io/Logging_0580/tillsynsmail/A 62071-2023 tillsynsbegäran mail.docx", "A 62071-2023")</f>
        <v/>
      </c>
    </row>
    <row r="54" ht="15" customHeight="1">
      <c r="A54" t="inlineStr">
        <is>
          <t>A 3397-2023</t>
        </is>
      </c>
      <c r="B54" s="1" t="n">
        <v>44949</v>
      </c>
      <c r="C54" s="1" t="n">
        <v>45966</v>
      </c>
      <c r="D54" t="inlineStr">
        <is>
          <t>ÖSTERGÖTLANDS LÄN</t>
        </is>
      </c>
      <c r="E54" t="inlineStr">
        <is>
          <t>LINKÖPING</t>
        </is>
      </c>
      <c r="G54" t="n">
        <v>4.1</v>
      </c>
      <c r="H54" t="n">
        <v>0</v>
      </c>
      <c r="I54" t="n">
        <v>0</v>
      </c>
      <c r="J54" t="n">
        <v>1</v>
      </c>
      <c r="K54" t="n">
        <v>0</v>
      </c>
      <c r="L54" t="n">
        <v>0</v>
      </c>
      <c r="M54" t="n">
        <v>0</v>
      </c>
      <c r="N54" t="n">
        <v>0</v>
      </c>
      <c r="O54" t="n">
        <v>1</v>
      </c>
      <c r="P54" t="n">
        <v>0</v>
      </c>
      <c r="Q54" t="n">
        <v>1</v>
      </c>
      <c r="R54" s="2" t="inlineStr">
        <is>
          <t>Svinrot</t>
        </is>
      </c>
      <c r="S54">
        <f>HYPERLINK("https://klasma.github.io/Logging_0580/artfynd/A 3397-2023 artfynd.xlsx", "A 3397-2023")</f>
        <v/>
      </c>
      <c r="T54">
        <f>HYPERLINK("https://klasma.github.io/Logging_0580/kartor/A 3397-2023 karta.png", "A 3397-2023")</f>
        <v/>
      </c>
      <c r="V54">
        <f>HYPERLINK("https://klasma.github.io/Logging_0580/klagomål/A 3397-2023 FSC-klagomål.docx", "A 3397-2023")</f>
        <v/>
      </c>
      <c r="W54">
        <f>HYPERLINK("https://klasma.github.io/Logging_0580/klagomålsmail/A 3397-2023 FSC-klagomål mail.docx", "A 3397-2023")</f>
        <v/>
      </c>
      <c r="X54">
        <f>HYPERLINK("https://klasma.github.io/Logging_0580/tillsyn/A 3397-2023 tillsynsbegäran.docx", "A 3397-2023")</f>
        <v/>
      </c>
      <c r="Y54">
        <f>HYPERLINK("https://klasma.github.io/Logging_0580/tillsynsmail/A 3397-2023 tillsynsbegäran mail.docx", "A 3397-2023")</f>
        <v/>
      </c>
    </row>
    <row r="55" ht="15" customHeight="1">
      <c r="A55" t="inlineStr">
        <is>
          <t>A 48347-2025</t>
        </is>
      </c>
      <c r="B55" s="1" t="n">
        <v>45932</v>
      </c>
      <c r="C55" s="1" t="n">
        <v>45966</v>
      </c>
      <c r="D55" t="inlineStr">
        <is>
          <t>ÖSTERGÖTLANDS LÄN</t>
        </is>
      </c>
      <c r="E55" t="inlineStr">
        <is>
          <t>LINKÖPING</t>
        </is>
      </c>
      <c r="F55" t="inlineStr">
        <is>
          <t>Övriga Aktiebolag</t>
        </is>
      </c>
      <c r="G55" t="n">
        <v>0.9</v>
      </c>
      <c r="H55" t="n">
        <v>0</v>
      </c>
      <c r="I55" t="n">
        <v>0</v>
      </c>
      <c r="J55" t="n">
        <v>1</v>
      </c>
      <c r="K55" t="n">
        <v>0</v>
      </c>
      <c r="L55" t="n">
        <v>0</v>
      </c>
      <c r="M55" t="n">
        <v>0</v>
      </c>
      <c r="N55" t="n">
        <v>0</v>
      </c>
      <c r="O55" t="n">
        <v>1</v>
      </c>
      <c r="P55" t="n">
        <v>0</v>
      </c>
      <c r="Q55" t="n">
        <v>1</v>
      </c>
      <c r="R55" s="2" t="inlineStr">
        <is>
          <t>Igelkott</t>
        </is>
      </c>
      <c r="S55">
        <f>HYPERLINK("https://klasma.github.io/Logging_0580/artfynd/A 48347-2025 artfynd.xlsx", "A 48347-2025")</f>
        <v/>
      </c>
      <c r="T55">
        <f>HYPERLINK("https://klasma.github.io/Logging_0580/kartor/A 48347-2025 karta.png", "A 48347-2025")</f>
        <v/>
      </c>
      <c r="V55">
        <f>HYPERLINK("https://klasma.github.io/Logging_0580/klagomål/A 48347-2025 FSC-klagomål.docx", "A 48347-2025")</f>
        <v/>
      </c>
      <c r="W55">
        <f>HYPERLINK("https://klasma.github.io/Logging_0580/klagomålsmail/A 48347-2025 FSC-klagomål mail.docx", "A 48347-2025")</f>
        <v/>
      </c>
      <c r="X55">
        <f>HYPERLINK("https://klasma.github.io/Logging_0580/tillsyn/A 48347-2025 tillsynsbegäran.docx", "A 48347-2025")</f>
        <v/>
      </c>
      <c r="Y55">
        <f>HYPERLINK("https://klasma.github.io/Logging_0580/tillsynsmail/A 48347-2025 tillsynsbegäran mail.docx", "A 48347-2025")</f>
        <v/>
      </c>
    </row>
    <row r="56" ht="15" customHeight="1">
      <c r="A56" t="inlineStr">
        <is>
          <t>A 48353-2025</t>
        </is>
      </c>
      <c r="B56" s="1" t="n">
        <v>45932</v>
      </c>
      <c r="C56" s="1" t="n">
        <v>45966</v>
      </c>
      <c r="D56" t="inlineStr">
        <is>
          <t>ÖSTERGÖTLANDS LÄN</t>
        </is>
      </c>
      <c r="E56" t="inlineStr">
        <is>
          <t>LINKÖPING</t>
        </is>
      </c>
      <c r="F56" t="inlineStr">
        <is>
          <t>Övriga Aktiebolag</t>
        </is>
      </c>
      <c r="G56" t="n">
        <v>4.5</v>
      </c>
      <c r="H56" t="n">
        <v>1</v>
      </c>
      <c r="I56" t="n">
        <v>0</v>
      </c>
      <c r="J56" t="n">
        <v>1</v>
      </c>
      <c r="K56" t="n">
        <v>0</v>
      </c>
      <c r="L56" t="n">
        <v>0</v>
      </c>
      <c r="M56" t="n">
        <v>0</v>
      </c>
      <c r="N56" t="n">
        <v>0</v>
      </c>
      <c r="O56" t="n">
        <v>1</v>
      </c>
      <c r="P56" t="n">
        <v>0</v>
      </c>
      <c r="Q56" t="n">
        <v>1</v>
      </c>
      <c r="R56" s="2" t="inlineStr">
        <is>
          <t>Entita</t>
        </is>
      </c>
      <c r="S56">
        <f>HYPERLINK("https://klasma.github.io/Logging_0580/artfynd/A 48353-2025 artfynd.xlsx", "A 48353-2025")</f>
        <v/>
      </c>
      <c r="T56">
        <f>HYPERLINK("https://klasma.github.io/Logging_0580/kartor/A 48353-2025 karta.png", "A 48353-2025")</f>
        <v/>
      </c>
      <c r="V56">
        <f>HYPERLINK("https://klasma.github.io/Logging_0580/klagomål/A 48353-2025 FSC-klagomål.docx", "A 48353-2025")</f>
        <v/>
      </c>
      <c r="W56">
        <f>HYPERLINK("https://klasma.github.io/Logging_0580/klagomålsmail/A 48353-2025 FSC-klagomål mail.docx", "A 48353-2025")</f>
        <v/>
      </c>
      <c r="X56">
        <f>HYPERLINK("https://klasma.github.io/Logging_0580/tillsyn/A 48353-2025 tillsynsbegäran.docx", "A 48353-2025")</f>
        <v/>
      </c>
      <c r="Y56">
        <f>HYPERLINK("https://klasma.github.io/Logging_0580/tillsynsmail/A 48353-2025 tillsynsbegäran mail.docx", "A 48353-2025")</f>
        <v/>
      </c>
      <c r="Z56">
        <f>HYPERLINK("https://klasma.github.io/Logging_0580/fåglar/A 48353-2025 prioriterade fågelarter.docx", "A 48353-2025")</f>
        <v/>
      </c>
    </row>
    <row r="57" ht="15" customHeight="1">
      <c r="A57" t="inlineStr">
        <is>
          <t>A 48273-2025</t>
        </is>
      </c>
      <c r="B57" s="1" t="n">
        <v>45932</v>
      </c>
      <c r="C57" s="1" t="n">
        <v>45966</v>
      </c>
      <c r="D57" t="inlineStr">
        <is>
          <t>ÖSTERGÖTLANDS LÄN</t>
        </is>
      </c>
      <c r="E57" t="inlineStr">
        <is>
          <t>LINKÖPING</t>
        </is>
      </c>
      <c r="F57" t="inlineStr">
        <is>
          <t>Övriga Aktiebolag</t>
        </is>
      </c>
      <c r="G57" t="n">
        <v>4.6</v>
      </c>
      <c r="H57" t="n">
        <v>0</v>
      </c>
      <c r="I57" t="n">
        <v>0</v>
      </c>
      <c r="J57" t="n">
        <v>1</v>
      </c>
      <c r="K57" t="n">
        <v>0</v>
      </c>
      <c r="L57" t="n">
        <v>0</v>
      </c>
      <c r="M57" t="n">
        <v>0</v>
      </c>
      <c r="N57" t="n">
        <v>0</v>
      </c>
      <c r="O57" t="n">
        <v>1</v>
      </c>
      <c r="P57" t="n">
        <v>0</v>
      </c>
      <c r="Q57" t="n">
        <v>1</v>
      </c>
      <c r="R57" s="2" t="inlineStr">
        <is>
          <t>Barrviolspindling</t>
        </is>
      </c>
      <c r="S57">
        <f>HYPERLINK("https://klasma.github.io/Logging_0580/artfynd/A 48273-2025 artfynd.xlsx", "A 48273-2025")</f>
        <v/>
      </c>
      <c r="T57">
        <f>HYPERLINK("https://klasma.github.io/Logging_0580/kartor/A 48273-2025 karta.png", "A 48273-2025")</f>
        <v/>
      </c>
      <c r="V57">
        <f>HYPERLINK("https://klasma.github.io/Logging_0580/klagomål/A 48273-2025 FSC-klagomål.docx", "A 48273-2025")</f>
        <v/>
      </c>
      <c r="W57">
        <f>HYPERLINK("https://klasma.github.io/Logging_0580/klagomålsmail/A 48273-2025 FSC-klagomål mail.docx", "A 48273-2025")</f>
        <v/>
      </c>
      <c r="X57">
        <f>HYPERLINK("https://klasma.github.io/Logging_0580/tillsyn/A 48273-2025 tillsynsbegäran.docx", "A 48273-2025")</f>
        <v/>
      </c>
      <c r="Y57">
        <f>HYPERLINK("https://klasma.github.io/Logging_0580/tillsynsmail/A 48273-2025 tillsynsbegäran mail.docx", "A 48273-2025")</f>
        <v/>
      </c>
    </row>
    <row r="58" ht="15" customHeight="1">
      <c r="A58" t="inlineStr">
        <is>
          <t>A 48298-2025</t>
        </is>
      </c>
      <c r="B58" s="1" t="n">
        <v>45932</v>
      </c>
      <c r="C58" s="1" t="n">
        <v>45966</v>
      </c>
      <c r="D58" t="inlineStr">
        <is>
          <t>ÖSTERGÖTLANDS LÄN</t>
        </is>
      </c>
      <c r="E58" t="inlineStr">
        <is>
          <t>LINKÖPING</t>
        </is>
      </c>
      <c r="F58" t="inlineStr">
        <is>
          <t>Övriga Aktiebolag</t>
        </is>
      </c>
      <c r="G58" t="n">
        <v>1.7</v>
      </c>
      <c r="H58" t="n">
        <v>0</v>
      </c>
      <c r="I58" t="n">
        <v>1</v>
      </c>
      <c r="J58" t="n">
        <v>0</v>
      </c>
      <c r="K58" t="n">
        <v>0</v>
      </c>
      <c r="L58" t="n">
        <v>0</v>
      </c>
      <c r="M58" t="n">
        <v>0</v>
      </c>
      <c r="N58" t="n">
        <v>0</v>
      </c>
      <c r="O58" t="n">
        <v>0</v>
      </c>
      <c r="P58" t="n">
        <v>0</v>
      </c>
      <c r="Q58" t="n">
        <v>1</v>
      </c>
      <c r="R58" s="2" t="inlineStr">
        <is>
          <t>Västlig hakmossa</t>
        </is>
      </c>
      <c r="S58">
        <f>HYPERLINK("https://klasma.github.io/Logging_0580/artfynd/A 48298-2025 artfynd.xlsx", "A 48298-2025")</f>
        <v/>
      </c>
      <c r="T58">
        <f>HYPERLINK("https://klasma.github.io/Logging_0580/kartor/A 48298-2025 karta.png", "A 48298-2025")</f>
        <v/>
      </c>
      <c r="V58">
        <f>HYPERLINK("https://klasma.github.io/Logging_0580/klagomål/A 48298-2025 FSC-klagomål.docx", "A 48298-2025")</f>
        <v/>
      </c>
      <c r="W58">
        <f>HYPERLINK("https://klasma.github.io/Logging_0580/klagomålsmail/A 48298-2025 FSC-klagomål mail.docx", "A 48298-2025")</f>
        <v/>
      </c>
      <c r="X58">
        <f>HYPERLINK("https://klasma.github.io/Logging_0580/tillsyn/A 48298-2025 tillsynsbegäran.docx", "A 48298-2025")</f>
        <v/>
      </c>
      <c r="Y58">
        <f>HYPERLINK("https://klasma.github.io/Logging_0580/tillsynsmail/A 48298-2025 tillsynsbegäran mail.docx", "A 48298-2025")</f>
        <v/>
      </c>
    </row>
    <row r="59" ht="15" customHeight="1">
      <c r="A59" t="inlineStr">
        <is>
          <t>A 15290-2025</t>
        </is>
      </c>
      <c r="B59" s="1" t="n">
        <v>45745.45288194445</v>
      </c>
      <c r="C59" s="1" t="n">
        <v>45966</v>
      </c>
      <c r="D59" t="inlineStr">
        <is>
          <t>ÖSTERGÖTLANDS LÄN</t>
        </is>
      </c>
      <c r="E59" t="inlineStr">
        <is>
          <t>LINKÖPING</t>
        </is>
      </c>
      <c r="G59" t="n">
        <v>18.4</v>
      </c>
      <c r="H59" t="n">
        <v>1</v>
      </c>
      <c r="I59" t="n">
        <v>0</v>
      </c>
      <c r="J59" t="n">
        <v>1</v>
      </c>
      <c r="K59" t="n">
        <v>0</v>
      </c>
      <c r="L59" t="n">
        <v>0</v>
      </c>
      <c r="M59" t="n">
        <v>0</v>
      </c>
      <c r="N59" t="n">
        <v>0</v>
      </c>
      <c r="O59" t="n">
        <v>1</v>
      </c>
      <c r="P59" t="n">
        <v>0</v>
      </c>
      <c r="Q59" t="n">
        <v>1</v>
      </c>
      <c r="R59" s="2" t="inlineStr">
        <is>
          <t>Havsörn</t>
        </is>
      </c>
      <c r="S59">
        <f>HYPERLINK("https://klasma.github.io/Logging_0580/artfynd/A 15290-2025 artfynd.xlsx", "A 15290-2025")</f>
        <v/>
      </c>
      <c r="T59">
        <f>HYPERLINK("https://klasma.github.io/Logging_0580/kartor/A 15290-2025 karta.png", "A 15290-2025")</f>
        <v/>
      </c>
      <c r="V59">
        <f>HYPERLINK("https://klasma.github.io/Logging_0580/klagomål/A 15290-2025 FSC-klagomål.docx", "A 15290-2025")</f>
        <v/>
      </c>
      <c r="W59">
        <f>HYPERLINK("https://klasma.github.io/Logging_0580/klagomålsmail/A 15290-2025 FSC-klagomål mail.docx", "A 15290-2025")</f>
        <v/>
      </c>
      <c r="X59">
        <f>HYPERLINK("https://klasma.github.io/Logging_0580/tillsyn/A 15290-2025 tillsynsbegäran.docx", "A 15290-2025")</f>
        <v/>
      </c>
      <c r="Y59">
        <f>HYPERLINK("https://klasma.github.io/Logging_0580/tillsynsmail/A 15290-2025 tillsynsbegäran mail.docx", "A 15290-2025")</f>
        <v/>
      </c>
      <c r="Z59">
        <f>HYPERLINK("https://klasma.github.io/Logging_0580/fåglar/A 15290-2025 prioriterade fågelarter.docx", "A 15290-2025")</f>
        <v/>
      </c>
    </row>
    <row r="60" ht="15" customHeight="1">
      <c r="A60" t="inlineStr">
        <is>
          <t>A 34881-2023</t>
        </is>
      </c>
      <c r="B60" s="1" t="n">
        <v>45140</v>
      </c>
      <c r="C60" s="1" t="n">
        <v>45966</v>
      </c>
      <c r="D60" t="inlineStr">
        <is>
          <t>ÖSTERGÖTLANDS LÄN</t>
        </is>
      </c>
      <c r="E60" t="inlineStr">
        <is>
          <t>LINKÖPING</t>
        </is>
      </c>
      <c r="G60" t="n">
        <v>1.9</v>
      </c>
      <c r="H60" t="n">
        <v>0</v>
      </c>
      <c r="I60" t="n">
        <v>0</v>
      </c>
      <c r="J60" t="n">
        <v>1</v>
      </c>
      <c r="K60" t="n">
        <v>0</v>
      </c>
      <c r="L60" t="n">
        <v>0</v>
      </c>
      <c r="M60" t="n">
        <v>0</v>
      </c>
      <c r="N60" t="n">
        <v>0</v>
      </c>
      <c r="O60" t="n">
        <v>1</v>
      </c>
      <c r="P60" t="n">
        <v>0</v>
      </c>
      <c r="Q60" t="n">
        <v>1</v>
      </c>
      <c r="R60" s="2" t="inlineStr">
        <is>
          <t>Tallticka</t>
        </is>
      </c>
      <c r="S60">
        <f>HYPERLINK("https://klasma.github.io/Logging_0580/artfynd/A 34881-2023 artfynd.xlsx", "A 34881-2023")</f>
        <v/>
      </c>
      <c r="T60">
        <f>HYPERLINK("https://klasma.github.io/Logging_0580/kartor/A 34881-2023 karta.png", "A 34881-2023")</f>
        <v/>
      </c>
      <c r="U60">
        <f>HYPERLINK("https://klasma.github.io/Logging_0580/knärot/A 34881-2023 karta knärot.png", "A 34881-2023")</f>
        <v/>
      </c>
      <c r="V60">
        <f>HYPERLINK("https://klasma.github.io/Logging_0580/klagomål/A 34881-2023 FSC-klagomål.docx", "A 34881-2023")</f>
        <v/>
      </c>
      <c r="W60">
        <f>HYPERLINK("https://klasma.github.io/Logging_0580/klagomålsmail/A 34881-2023 FSC-klagomål mail.docx", "A 34881-2023")</f>
        <v/>
      </c>
      <c r="X60">
        <f>HYPERLINK("https://klasma.github.io/Logging_0580/tillsyn/A 34881-2023 tillsynsbegäran.docx", "A 34881-2023")</f>
        <v/>
      </c>
      <c r="Y60">
        <f>HYPERLINK("https://klasma.github.io/Logging_0580/tillsynsmail/A 34881-2023 tillsynsbegäran mail.docx", "A 34881-2023")</f>
        <v/>
      </c>
    </row>
    <row r="61" ht="15" customHeight="1">
      <c r="A61" t="inlineStr">
        <is>
          <t>A 50471-2024</t>
        </is>
      </c>
      <c r="B61" s="1" t="n">
        <v>45601.47166666666</v>
      </c>
      <c r="C61" s="1" t="n">
        <v>45966</v>
      </c>
      <c r="D61" t="inlineStr">
        <is>
          <t>ÖSTERGÖTLANDS LÄN</t>
        </is>
      </c>
      <c r="E61" t="inlineStr">
        <is>
          <t>LINKÖPING</t>
        </is>
      </c>
      <c r="F61" t="inlineStr">
        <is>
          <t>Övriga Aktiebolag</t>
        </is>
      </c>
      <c r="G61" t="n">
        <v>2</v>
      </c>
      <c r="H61" t="n">
        <v>0</v>
      </c>
      <c r="I61" t="n">
        <v>1</v>
      </c>
      <c r="J61" t="n">
        <v>0</v>
      </c>
      <c r="K61" t="n">
        <v>0</v>
      </c>
      <c r="L61" t="n">
        <v>0</v>
      </c>
      <c r="M61" t="n">
        <v>0</v>
      </c>
      <c r="N61" t="n">
        <v>0</v>
      </c>
      <c r="O61" t="n">
        <v>0</v>
      </c>
      <c r="P61" t="n">
        <v>0</v>
      </c>
      <c r="Q61" t="n">
        <v>1</v>
      </c>
      <c r="R61" s="2" t="inlineStr">
        <is>
          <t>Västlig hakmossa</t>
        </is>
      </c>
      <c r="S61">
        <f>HYPERLINK("https://klasma.github.io/Logging_0580/artfynd/A 50471-2024 artfynd.xlsx", "A 50471-2024")</f>
        <v/>
      </c>
      <c r="T61">
        <f>HYPERLINK("https://klasma.github.io/Logging_0580/kartor/A 50471-2024 karta.png", "A 50471-2024")</f>
        <v/>
      </c>
      <c r="V61">
        <f>HYPERLINK("https://klasma.github.io/Logging_0580/klagomål/A 50471-2024 FSC-klagomål.docx", "A 50471-2024")</f>
        <v/>
      </c>
      <c r="W61">
        <f>HYPERLINK("https://klasma.github.io/Logging_0580/klagomålsmail/A 50471-2024 FSC-klagomål mail.docx", "A 50471-2024")</f>
        <v/>
      </c>
      <c r="X61">
        <f>HYPERLINK("https://klasma.github.io/Logging_0580/tillsyn/A 50471-2024 tillsynsbegäran.docx", "A 50471-2024")</f>
        <v/>
      </c>
      <c r="Y61">
        <f>HYPERLINK("https://klasma.github.io/Logging_0580/tillsynsmail/A 50471-2024 tillsynsbegäran mail.docx", "A 50471-2024")</f>
        <v/>
      </c>
    </row>
    <row r="62" ht="15" customHeight="1">
      <c r="A62" t="inlineStr">
        <is>
          <t>A 17389-2021</t>
        </is>
      </c>
      <c r="B62" s="1" t="n">
        <v>44298.96792824074</v>
      </c>
      <c r="C62" s="1" t="n">
        <v>45966</v>
      </c>
      <c r="D62" t="inlineStr">
        <is>
          <t>ÖSTERGÖTLANDS LÄN</t>
        </is>
      </c>
      <c r="E62" t="inlineStr">
        <is>
          <t>LINKÖPING</t>
        </is>
      </c>
      <c r="G62" t="n">
        <v>5.1</v>
      </c>
      <c r="H62" t="n">
        <v>0</v>
      </c>
      <c r="I62" t="n">
        <v>1</v>
      </c>
      <c r="J62" t="n">
        <v>0</v>
      </c>
      <c r="K62" t="n">
        <v>0</v>
      </c>
      <c r="L62" t="n">
        <v>0</v>
      </c>
      <c r="M62" t="n">
        <v>0</v>
      </c>
      <c r="N62" t="n">
        <v>0</v>
      </c>
      <c r="O62" t="n">
        <v>0</v>
      </c>
      <c r="P62" t="n">
        <v>0</v>
      </c>
      <c r="Q62" t="n">
        <v>1</v>
      </c>
      <c r="R62" s="2" t="inlineStr">
        <is>
          <t>Blomkålssvamp</t>
        </is>
      </c>
      <c r="S62">
        <f>HYPERLINK("https://klasma.github.io/Logging_0580/artfynd/A 17389-2021 artfynd.xlsx", "A 17389-2021")</f>
        <v/>
      </c>
      <c r="T62">
        <f>HYPERLINK("https://klasma.github.io/Logging_0580/kartor/A 17389-2021 karta.png", "A 17389-2021")</f>
        <v/>
      </c>
      <c r="V62">
        <f>HYPERLINK("https://klasma.github.io/Logging_0580/klagomål/A 17389-2021 FSC-klagomål.docx", "A 17389-2021")</f>
        <v/>
      </c>
      <c r="W62">
        <f>HYPERLINK("https://klasma.github.io/Logging_0580/klagomålsmail/A 17389-2021 FSC-klagomål mail.docx", "A 17389-2021")</f>
        <v/>
      </c>
      <c r="X62">
        <f>HYPERLINK("https://klasma.github.io/Logging_0580/tillsyn/A 17389-2021 tillsynsbegäran.docx", "A 17389-2021")</f>
        <v/>
      </c>
      <c r="Y62">
        <f>HYPERLINK("https://klasma.github.io/Logging_0580/tillsynsmail/A 17389-2021 tillsynsbegäran mail.docx", "A 17389-2021")</f>
        <v/>
      </c>
    </row>
    <row r="63" ht="15" customHeight="1">
      <c r="A63" t="inlineStr">
        <is>
          <t>A 56128-2022</t>
        </is>
      </c>
      <c r="B63" s="1" t="n">
        <v>44889</v>
      </c>
      <c r="C63" s="1" t="n">
        <v>45966</v>
      </c>
      <c r="D63" t="inlineStr">
        <is>
          <t>ÖSTERGÖTLANDS LÄN</t>
        </is>
      </c>
      <c r="E63" t="inlineStr">
        <is>
          <t>LINKÖPING</t>
        </is>
      </c>
      <c r="G63" t="n">
        <v>2</v>
      </c>
      <c r="H63" t="n">
        <v>0</v>
      </c>
      <c r="I63" t="n">
        <v>1</v>
      </c>
      <c r="J63" t="n">
        <v>0</v>
      </c>
      <c r="K63" t="n">
        <v>0</v>
      </c>
      <c r="L63" t="n">
        <v>0</v>
      </c>
      <c r="M63" t="n">
        <v>0</v>
      </c>
      <c r="N63" t="n">
        <v>0</v>
      </c>
      <c r="O63" t="n">
        <v>0</v>
      </c>
      <c r="P63" t="n">
        <v>0</v>
      </c>
      <c r="Q63" t="n">
        <v>1</v>
      </c>
      <c r="R63" s="2" t="inlineStr">
        <is>
          <t>Tibast</t>
        </is>
      </c>
      <c r="S63">
        <f>HYPERLINK("https://klasma.github.io/Logging_0580/artfynd/A 56128-2022 artfynd.xlsx", "A 56128-2022")</f>
        <v/>
      </c>
      <c r="T63">
        <f>HYPERLINK("https://klasma.github.io/Logging_0580/kartor/A 56128-2022 karta.png", "A 56128-2022")</f>
        <v/>
      </c>
      <c r="V63">
        <f>HYPERLINK("https://klasma.github.io/Logging_0580/klagomål/A 56128-2022 FSC-klagomål.docx", "A 56128-2022")</f>
        <v/>
      </c>
      <c r="W63">
        <f>HYPERLINK("https://klasma.github.io/Logging_0580/klagomålsmail/A 56128-2022 FSC-klagomål mail.docx", "A 56128-2022")</f>
        <v/>
      </c>
      <c r="X63">
        <f>HYPERLINK("https://klasma.github.io/Logging_0580/tillsyn/A 56128-2022 tillsynsbegäran.docx", "A 56128-2022")</f>
        <v/>
      </c>
      <c r="Y63">
        <f>HYPERLINK("https://klasma.github.io/Logging_0580/tillsynsmail/A 56128-2022 tillsynsbegäran mail.docx", "A 56128-2022")</f>
        <v/>
      </c>
    </row>
    <row r="64" ht="15" customHeight="1">
      <c r="A64" t="inlineStr">
        <is>
          <t>A 40309-2024</t>
        </is>
      </c>
      <c r="B64" s="1" t="n">
        <v>45554.724375</v>
      </c>
      <c r="C64" s="1" t="n">
        <v>45966</v>
      </c>
      <c r="D64" t="inlineStr">
        <is>
          <t>ÖSTERGÖTLANDS LÄN</t>
        </is>
      </c>
      <c r="E64" t="inlineStr">
        <is>
          <t>LINKÖPING</t>
        </is>
      </c>
      <c r="F64" t="inlineStr">
        <is>
          <t>Allmännings- och besparingsskogar</t>
        </is>
      </c>
      <c r="G64" t="n">
        <v>6</v>
      </c>
      <c r="H64" t="n">
        <v>0</v>
      </c>
      <c r="I64" t="n">
        <v>0</v>
      </c>
      <c r="J64" t="n">
        <v>1</v>
      </c>
      <c r="K64" t="n">
        <v>0</v>
      </c>
      <c r="L64" t="n">
        <v>0</v>
      </c>
      <c r="M64" t="n">
        <v>0</v>
      </c>
      <c r="N64" t="n">
        <v>0</v>
      </c>
      <c r="O64" t="n">
        <v>1</v>
      </c>
      <c r="P64" t="n">
        <v>0</v>
      </c>
      <c r="Q64" t="n">
        <v>1</v>
      </c>
      <c r="R64" s="2" t="inlineStr">
        <is>
          <t>Garnlav</t>
        </is>
      </c>
      <c r="S64">
        <f>HYPERLINK("https://klasma.github.io/Logging_0580/artfynd/A 40309-2024 artfynd.xlsx", "A 40309-2024")</f>
        <v/>
      </c>
      <c r="T64">
        <f>HYPERLINK("https://klasma.github.io/Logging_0580/kartor/A 40309-2024 karta.png", "A 40309-2024")</f>
        <v/>
      </c>
      <c r="V64">
        <f>HYPERLINK("https://klasma.github.io/Logging_0580/klagomål/A 40309-2024 FSC-klagomål.docx", "A 40309-2024")</f>
        <v/>
      </c>
      <c r="W64">
        <f>HYPERLINK("https://klasma.github.io/Logging_0580/klagomålsmail/A 40309-2024 FSC-klagomål mail.docx", "A 40309-2024")</f>
        <v/>
      </c>
      <c r="X64">
        <f>HYPERLINK("https://klasma.github.io/Logging_0580/tillsyn/A 40309-2024 tillsynsbegäran.docx", "A 40309-2024")</f>
        <v/>
      </c>
      <c r="Y64">
        <f>HYPERLINK("https://klasma.github.io/Logging_0580/tillsynsmail/A 40309-2024 tillsynsbegäran mail.docx", "A 40309-2024")</f>
        <v/>
      </c>
    </row>
    <row r="65" ht="15" customHeight="1">
      <c r="A65" t="inlineStr">
        <is>
          <t>A 20295-2025</t>
        </is>
      </c>
      <c r="B65" s="1" t="n">
        <v>45774.74846064814</v>
      </c>
      <c r="C65" s="1" t="n">
        <v>45966</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54835-2023</t>
        </is>
      </c>
      <c r="B66" s="1" t="n">
        <v>45236</v>
      </c>
      <c r="C66" s="1" t="n">
        <v>45966</v>
      </c>
      <c r="D66" t="inlineStr">
        <is>
          <t>ÖSTERGÖTLANDS LÄN</t>
        </is>
      </c>
      <c r="E66" t="inlineStr">
        <is>
          <t>LINKÖPING</t>
        </is>
      </c>
      <c r="G66" t="n">
        <v>2</v>
      </c>
      <c r="H66" t="n">
        <v>1</v>
      </c>
      <c r="I66" t="n">
        <v>0</v>
      </c>
      <c r="J66" t="n">
        <v>0</v>
      </c>
      <c r="K66" t="n">
        <v>0</v>
      </c>
      <c r="L66" t="n">
        <v>0</v>
      </c>
      <c r="M66" t="n">
        <v>0</v>
      </c>
      <c r="N66" t="n">
        <v>0</v>
      </c>
      <c r="O66" t="n">
        <v>0</v>
      </c>
      <c r="P66" t="n">
        <v>0</v>
      </c>
      <c r="Q66" t="n">
        <v>1</v>
      </c>
      <c r="R66" s="2" t="inlineStr">
        <is>
          <t>Sparvuggla</t>
        </is>
      </c>
      <c r="S66">
        <f>HYPERLINK("https://klasma.github.io/Logging_0580/artfynd/A 54835-2023 artfynd.xlsx", "A 54835-2023")</f>
        <v/>
      </c>
      <c r="T66">
        <f>HYPERLINK("https://klasma.github.io/Logging_0580/kartor/A 54835-2023 karta.png", "A 54835-2023")</f>
        <v/>
      </c>
      <c r="V66">
        <f>HYPERLINK("https://klasma.github.io/Logging_0580/klagomål/A 54835-2023 FSC-klagomål.docx", "A 54835-2023")</f>
        <v/>
      </c>
      <c r="W66">
        <f>HYPERLINK("https://klasma.github.io/Logging_0580/klagomålsmail/A 54835-2023 FSC-klagomål mail.docx", "A 54835-2023")</f>
        <v/>
      </c>
      <c r="X66">
        <f>HYPERLINK("https://klasma.github.io/Logging_0580/tillsyn/A 54835-2023 tillsynsbegäran.docx", "A 54835-2023")</f>
        <v/>
      </c>
      <c r="Y66">
        <f>HYPERLINK("https://klasma.github.io/Logging_0580/tillsynsmail/A 54835-2023 tillsynsbegäran mail.docx", "A 54835-2023")</f>
        <v/>
      </c>
      <c r="Z66">
        <f>HYPERLINK("https://klasma.github.io/Logging_0580/fåglar/A 54835-2023 prioriterade fågelarter.docx", "A 54835-2023")</f>
        <v/>
      </c>
    </row>
    <row r="67" ht="15" customHeight="1">
      <c r="A67" t="inlineStr">
        <is>
          <t>A 60573-2021</t>
        </is>
      </c>
      <c r="B67" s="1" t="n">
        <v>44496</v>
      </c>
      <c r="C67" s="1" t="n">
        <v>45966</v>
      </c>
      <c r="D67" t="inlineStr">
        <is>
          <t>ÖSTERGÖTLANDS LÄN</t>
        </is>
      </c>
      <c r="E67" t="inlineStr">
        <is>
          <t>LINKÖPING</t>
        </is>
      </c>
      <c r="F67" t="inlineStr">
        <is>
          <t>Övriga Aktiebolag</t>
        </is>
      </c>
      <c r="G67" t="n">
        <v>5.6</v>
      </c>
      <c r="H67" t="n">
        <v>0</v>
      </c>
      <c r="I67" t="n">
        <v>0</v>
      </c>
      <c r="J67" t="n">
        <v>1</v>
      </c>
      <c r="K67" t="n">
        <v>0</v>
      </c>
      <c r="L67" t="n">
        <v>0</v>
      </c>
      <c r="M67" t="n">
        <v>0</v>
      </c>
      <c r="N67" t="n">
        <v>0</v>
      </c>
      <c r="O67" t="n">
        <v>1</v>
      </c>
      <c r="P67" t="n">
        <v>0</v>
      </c>
      <c r="Q67" t="n">
        <v>1</v>
      </c>
      <c r="R67" s="2" t="inlineStr">
        <is>
          <t>Sommarfibbla</t>
        </is>
      </c>
      <c r="S67">
        <f>HYPERLINK("https://klasma.github.io/Logging_0580/artfynd/A 60573-2021 artfynd.xlsx", "A 60573-2021")</f>
        <v/>
      </c>
      <c r="T67">
        <f>HYPERLINK("https://klasma.github.io/Logging_0580/kartor/A 60573-2021 karta.png", "A 60573-2021")</f>
        <v/>
      </c>
      <c r="V67">
        <f>HYPERLINK("https://klasma.github.io/Logging_0580/klagomål/A 60573-2021 FSC-klagomål.docx", "A 60573-2021")</f>
        <v/>
      </c>
      <c r="W67">
        <f>HYPERLINK("https://klasma.github.io/Logging_0580/klagomålsmail/A 60573-2021 FSC-klagomål mail.docx", "A 60573-2021")</f>
        <v/>
      </c>
      <c r="X67">
        <f>HYPERLINK("https://klasma.github.io/Logging_0580/tillsyn/A 60573-2021 tillsynsbegäran.docx", "A 60573-2021")</f>
        <v/>
      </c>
      <c r="Y67">
        <f>HYPERLINK("https://klasma.github.io/Logging_0580/tillsynsmail/A 60573-2021 tillsynsbegäran mail.docx", "A 60573-2021")</f>
        <v/>
      </c>
    </row>
    <row r="68" ht="15" customHeight="1">
      <c r="A68" t="inlineStr">
        <is>
          <t>A 43989-2025</t>
        </is>
      </c>
      <c r="B68" s="1" t="n">
        <v>45915.44128472222</v>
      </c>
      <c r="C68" s="1" t="n">
        <v>45966</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126-2024</t>
        </is>
      </c>
      <c r="B69" s="1" t="n">
        <v>45294</v>
      </c>
      <c r="C69" s="1" t="n">
        <v>45966</v>
      </c>
      <c r="D69" t="inlineStr">
        <is>
          <t>ÖSTERGÖTLANDS LÄN</t>
        </is>
      </c>
      <c r="E69" t="inlineStr">
        <is>
          <t>LINKÖPING</t>
        </is>
      </c>
      <c r="G69" t="n">
        <v>1</v>
      </c>
      <c r="H69" t="n">
        <v>0</v>
      </c>
      <c r="I69" t="n">
        <v>1</v>
      </c>
      <c r="J69" t="n">
        <v>0</v>
      </c>
      <c r="K69" t="n">
        <v>0</v>
      </c>
      <c r="L69" t="n">
        <v>0</v>
      </c>
      <c r="M69" t="n">
        <v>0</v>
      </c>
      <c r="N69" t="n">
        <v>0</v>
      </c>
      <c r="O69" t="n">
        <v>0</v>
      </c>
      <c r="P69" t="n">
        <v>0</v>
      </c>
      <c r="Q69" t="n">
        <v>1</v>
      </c>
      <c r="R69" s="2" t="inlineStr">
        <is>
          <t>Blåmossa</t>
        </is>
      </c>
      <c r="S69">
        <f>HYPERLINK("https://klasma.github.io/Logging_0580/artfynd/A 126-2024 artfynd.xlsx", "A 126-2024")</f>
        <v/>
      </c>
      <c r="T69">
        <f>HYPERLINK("https://klasma.github.io/Logging_0580/kartor/A 126-2024 karta.png", "A 126-2024")</f>
        <v/>
      </c>
      <c r="V69">
        <f>HYPERLINK("https://klasma.github.io/Logging_0580/klagomål/A 126-2024 FSC-klagomål.docx", "A 126-2024")</f>
        <v/>
      </c>
      <c r="W69">
        <f>HYPERLINK("https://klasma.github.io/Logging_0580/klagomålsmail/A 126-2024 FSC-klagomål mail.docx", "A 126-2024")</f>
        <v/>
      </c>
      <c r="X69">
        <f>HYPERLINK("https://klasma.github.io/Logging_0580/tillsyn/A 126-2024 tillsynsbegäran.docx", "A 126-2024")</f>
        <v/>
      </c>
      <c r="Y69">
        <f>HYPERLINK("https://klasma.github.io/Logging_0580/tillsynsmail/A 126-2024 tillsynsbegäran mail.docx", "A 126-2024")</f>
        <v/>
      </c>
    </row>
    <row r="70" ht="15" customHeight="1">
      <c r="A70" t="inlineStr">
        <is>
          <t>A 41749-2023</t>
        </is>
      </c>
      <c r="B70" s="1" t="n">
        <v>45176</v>
      </c>
      <c r="C70" s="1" t="n">
        <v>45966</v>
      </c>
      <c r="D70" t="inlineStr">
        <is>
          <t>ÖSTERGÖTLANDS LÄN</t>
        </is>
      </c>
      <c r="E70" t="inlineStr">
        <is>
          <t>LINKÖPING</t>
        </is>
      </c>
      <c r="G70" t="n">
        <v>3.6</v>
      </c>
      <c r="H70" t="n">
        <v>0</v>
      </c>
      <c r="I70" t="n">
        <v>0</v>
      </c>
      <c r="J70" t="n">
        <v>1</v>
      </c>
      <c r="K70" t="n">
        <v>0</v>
      </c>
      <c r="L70" t="n">
        <v>0</v>
      </c>
      <c r="M70" t="n">
        <v>0</v>
      </c>
      <c r="N70" t="n">
        <v>0</v>
      </c>
      <c r="O70" t="n">
        <v>1</v>
      </c>
      <c r="P70" t="n">
        <v>0</v>
      </c>
      <c r="Q70" t="n">
        <v>1</v>
      </c>
      <c r="R70" s="2" t="inlineStr">
        <is>
          <t>Svinrot</t>
        </is>
      </c>
      <c r="S70">
        <f>HYPERLINK("https://klasma.github.io/Logging_0580/artfynd/A 41749-2023 artfynd.xlsx", "A 41749-2023")</f>
        <v/>
      </c>
      <c r="T70">
        <f>HYPERLINK("https://klasma.github.io/Logging_0580/kartor/A 41749-2023 karta.png", "A 41749-2023")</f>
        <v/>
      </c>
      <c r="V70">
        <f>HYPERLINK("https://klasma.github.io/Logging_0580/klagomål/A 41749-2023 FSC-klagomål.docx", "A 41749-2023")</f>
        <v/>
      </c>
      <c r="W70">
        <f>HYPERLINK("https://klasma.github.io/Logging_0580/klagomålsmail/A 41749-2023 FSC-klagomål mail.docx", "A 41749-2023")</f>
        <v/>
      </c>
      <c r="X70">
        <f>HYPERLINK("https://klasma.github.io/Logging_0580/tillsyn/A 41749-2023 tillsynsbegäran.docx", "A 41749-2023")</f>
        <v/>
      </c>
      <c r="Y70">
        <f>HYPERLINK("https://klasma.github.io/Logging_0580/tillsynsmail/A 41749-2023 tillsynsbegäran mail.docx", "A 41749-2023")</f>
        <v/>
      </c>
    </row>
    <row r="71" ht="15" customHeight="1">
      <c r="A71" t="inlineStr">
        <is>
          <t>A 44760-2025</t>
        </is>
      </c>
      <c r="B71" s="1" t="n">
        <v>45917.71873842592</v>
      </c>
      <c r="C71" s="1" t="n">
        <v>45966</v>
      </c>
      <c r="D71" t="inlineStr">
        <is>
          <t>ÖSTERGÖTLANDS LÄN</t>
        </is>
      </c>
      <c r="E71" t="inlineStr">
        <is>
          <t>LINKÖPING</t>
        </is>
      </c>
      <c r="G71" t="n">
        <v>0.9</v>
      </c>
      <c r="H71" t="n">
        <v>0</v>
      </c>
      <c r="I71" t="n">
        <v>0</v>
      </c>
      <c r="J71" t="n">
        <v>1</v>
      </c>
      <c r="K71" t="n">
        <v>0</v>
      </c>
      <c r="L71" t="n">
        <v>0</v>
      </c>
      <c r="M71" t="n">
        <v>0</v>
      </c>
      <c r="N71" t="n">
        <v>0</v>
      </c>
      <c r="O71" t="n">
        <v>1</v>
      </c>
      <c r="P71" t="n">
        <v>0</v>
      </c>
      <c r="Q71" t="n">
        <v>1</v>
      </c>
      <c r="R71" s="2" t="inlineStr">
        <is>
          <t>Tallticka</t>
        </is>
      </c>
      <c r="S71">
        <f>HYPERLINK("https://klasma.github.io/Logging_0580/artfynd/A 44760-2025 artfynd.xlsx", "A 44760-2025")</f>
        <v/>
      </c>
      <c r="T71">
        <f>HYPERLINK("https://klasma.github.io/Logging_0580/kartor/A 44760-2025 karta.png", "A 44760-2025")</f>
        <v/>
      </c>
      <c r="V71">
        <f>HYPERLINK("https://klasma.github.io/Logging_0580/klagomål/A 44760-2025 FSC-klagomål.docx", "A 44760-2025")</f>
        <v/>
      </c>
      <c r="W71">
        <f>HYPERLINK("https://klasma.github.io/Logging_0580/klagomålsmail/A 44760-2025 FSC-klagomål mail.docx", "A 44760-2025")</f>
        <v/>
      </c>
      <c r="X71">
        <f>HYPERLINK("https://klasma.github.io/Logging_0580/tillsyn/A 44760-2025 tillsynsbegäran.docx", "A 44760-2025")</f>
        <v/>
      </c>
      <c r="Y71">
        <f>HYPERLINK("https://klasma.github.io/Logging_0580/tillsynsmail/A 44760-2025 tillsynsbegäran mail.docx", "A 44760-2025")</f>
        <v/>
      </c>
    </row>
    <row r="72" ht="15" customHeight="1">
      <c r="A72" t="inlineStr">
        <is>
          <t>A 50034-2025</t>
        </is>
      </c>
      <c r="B72" s="1" t="n">
        <v>45941</v>
      </c>
      <c r="C72" s="1" t="n">
        <v>45966</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931-2025</t>
        </is>
      </c>
      <c r="B73" s="1" t="n">
        <v>45665.88498842593</v>
      </c>
      <c r="C73" s="1" t="n">
        <v>45966</v>
      </c>
      <c r="D73" t="inlineStr">
        <is>
          <t>ÖSTERGÖTLANDS LÄN</t>
        </is>
      </c>
      <c r="E73" t="inlineStr">
        <is>
          <t>LINKÖPING</t>
        </is>
      </c>
      <c r="F73" t="inlineStr">
        <is>
          <t>Övriga Aktiebolag</t>
        </is>
      </c>
      <c r="G73" t="n">
        <v>0.8</v>
      </c>
      <c r="H73" t="n">
        <v>0</v>
      </c>
      <c r="I73" t="n">
        <v>0</v>
      </c>
      <c r="J73" t="n">
        <v>1</v>
      </c>
      <c r="K73" t="n">
        <v>0</v>
      </c>
      <c r="L73" t="n">
        <v>0</v>
      </c>
      <c r="M73" t="n">
        <v>0</v>
      </c>
      <c r="N73" t="n">
        <v>0</v>
      </c>
      <c r="O73" t="n">
        <v>1</v>
      </c>
      <c r="P73" t="n">
        <v>0</v>
      </c>
      <c r="Q73" t="n">
        <v>1</v>
      </c>
      <c r="R73" s="2" t="inlineStr">
        <is>
          <t>Tallticka</t>
        </is>
      </c>
      <c r="S73">
        <f>HYPERLINK("https://klasma.github.io/Logging_0580/artfynd/A 931-2025 artfynd.xlsx", "A 931-2025")</f>
        <v/>
      </c>
      <c r="T73">
        <f>HYPERLINK("https://klasma.github.io/Logging_0580/kartor/A 931-2025 karta.png", "A 931-2025")</f>
        <v/>
      </c>
      <c r="V73">
        <f>HYPERLINK("https://klasma.github.io/Logging_0580/klagomål/A 931-2025 FSC-klagomål.docx", "A 931-2025")</f>
        <v/>
      </c>
      <c r="W73">
        <f>HYPERLINK("https://klasma.github.io/Logging_0580/klagomålsmail/A 931-2025 FSC-klagomål mail.docx", "A 931-2025")</f>
        <v/>
      </c>
      <c r="X73">
        <f>HYPERLINK("https://klasma.github.io/Logging_0580/tillsyn/A 931-2025 tillsynsbegäran.docx", "A 931-2025")</f>
        <v/>
      </c>
      <c r="Y73">
        <f>HYPERLINK("https://klasma.github.io/Logging_0580/tillsynsmail/A 931-2025 tillsynsbegäran mail.docx", "A 931-2025")</f>
        <v/>
      </c>
    </row>
    <row r="74" ht="15" customHeight="1">
      <c r="A74" t="inlineStr">
        <is>
          <t>A 1716-2023</t>
        </is>
      </c>
      <c r="B74" s="1" t="n">
        <v>44938</v>
      </c>
      <c r="C74" s="1" t="n">
        <v>45966</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1213-2023</t>
        </is>
      </c>
      <c r="B75" s="1" t="n">
        <v>44930</v>
      </c>
      <c r="C75" s="1" t="n">
        <v>45966</v>
      </c>
      <c r="D75" t="inlineStr">
        <is>
          <t>ÖSTERGÖTLANDS LÄN</t>
        </is>
      </c>
      <c r="E75" t="inlineStr">
        <is>
          <t>LINKÖPING</t>
        </is>
      </c>
      <c r="F75" t="inlineStr">
        <is>
          <t>Övriga statliga verk och myndigheter</t>
        </is>
      </c>
      <c r="G75" t="n">
        <v>17.8</v>
      </c>
      <c r="H75" t="n">
        <v>0</v>
      </c>
      <c r="I75" t="n">
        <v>1</v>
      </c>
      <c r="J75" t="n">
        <v>0</v>
      </c>
      <c r="K75" t="n">
        <v>0</v>
      </c>
      <c r="L75" t="n">
        <v>0</v>
      </c>
      <c r="M75" t="n">
        <v>0</v>
      </c>
      <c r="N75" t="n">
        <v>0</v>
      </c>
      <c r="O75" t="n">
        <v>0</v>
      </c>
      <c r="P75" t="n">
        <v>0</v>
      </c>
      <c r="Q75" t="n">
        <v>1</v>
      </c>
      <c r="R75" s="2" t="inlineStr">
        <is>
          <t>Stubbspretmossa</t>
        </is>
      </c>
      <c r="S75">
        <f>HYPERLINK("https://klasma.github.io/Logging_0580/artfynd/A 1213-2023 artfynd.xlsx", "A 1213-2023")</f>
        <v/>
      </c>
      <c r="T75">
        <f>HYPERLINK("https://klasma.github.io/Logging_0580/kartor/A 1213-2023 karta.png", "A 1213-2023")</f>
        <v/>
      </c>
      <c r="V75">
        <f>HYPERLINK("https://klasma.github.io/Logging_0580/klagomål/A 1213-2023 FSC-klagomål.docx", "A 1213-2023")</f>
        <v/>
      </c>
      <c r="W75">
        <f>HYPERLINK("https://klasma.github.io/Logging_0580/klagomålsmail/A 1213-2023 FSC-klagomål mail.docx", "A 1213-2023")</f>
        <v/>
      </c>
      <c r="X75">
        <f>HYPERLINK("https://klasma.github.io/Logging_0580/tillsyn/A 1213-2023 tillsynsbegäran.docx", "A 1213-2023")</f>
        <v/>
      </c>
      <c r="Y75">
        <f>HYPERLINK("https://klasma.github.io/Logging_0580/tillsynsmail/A 1213-2023 tillsynsbegäran mail.docx", "A 1213-2023")</f>
        <v/>
      </c>
    </row>
    <row r="76" ht="15" customHeight="1">
      <c r="A76" t="inlineStr">
        <is>
          <t>A 45317-2023</t>
        </is>
      </c>
      <c r="B76" s="1" t="n">
        <v>45191.74868055555</v>
      </c>
      <c r="C76" s="1" t="n">
        <v>45966</v>
      </c>
      <c r="D76" t="inlineStr">
        <is>
          <t>ÖSTERGÖTLANDS LÄN</t>
        </is>
      </c>
      <c r="E76" t="inlineStr">
        <is>
          <t>LINKÖPING</t>
        </is>
      </c>
      <c r="F76" t="inlineStr">
        <is>
          <t>Allmännings- och besparingsskogar</t>
        </is>
      </c>
      <c r="G76" t="n">
        <v>29.3</v>
      </c>
      <c r="H76" t="n">
        <v>0</v>
      </c>
      <c r="I76" t="n">
        <v>0</v>
      </c>
      <c r="J76" t="n">
        <v>1</v>
      </c>
      <c r="K76" t="n">
        <v>0</v>
      </c>
      <c r="L76" t="n">
        <v>0</v>
      </c>
      <c r="M76" t="n">
        <v>0</v>
      </c>
      <c r="N76" t="n">
        <v>0</v>
      </c>
      <c r="O76" t="n">
        <v>1</v>
      </c>
      <c r="P76" t="n">
        <v>0</v>
      </c>
      <c r="Q76" t="n">
        <v>1</v>
      </c>
      <c r="R76" s="2" t="inlineStr">
        <is>
          <t>Svinrot</t>
        </is>
      </c>
      <c r="S76">
        <f>HYPERLINK("https://klasma.github.io/Logging_0580/artfynd/A 45317-2023 artfynd.xlsx", "A 45317-2023")</f>
        <v/>
      </c>
      <c r="T76">
        <f>HYPERLINK("https://klasma.github.io/Logging_0580/kartor/A 45317-2023 karta.png", "A 45317-2023")</f>
        <v/>
      </c>
      <c r="V76">
        <f>HYPERLINK("https://klasma.github.io/Logging_0580/klagomål/A 45317-2023 FSC-klagomål.docx", "A 45317-2023")</f>
        <v/>
      </c>
      <c r="W76">
        <f>HYPERLINK("https://klasma.github.io/Logging_0580/klagomålsmail/A 45317-2023 FSC-klagomål mail.docx", "A 45317-2023")</f>
        <v/>
      </c>
      <c r="X76">
        <f>HYPERLINK("https://klasma.github.io/Logging_0580/tillsyn/A 45317-2023 tillsynsbegäran.docx", "A 45317-2023")</f>
        <v/>
      </c>
      <c r="Y76">
        <f>HYPERLINK("https://klasma.github.io/Logging_0580/tillsynsmail/A 45317-2023 tillsynsbegäran mail.docx", "A 45317-2023")</f>
        <v/>
      </c>
    </row>
    <row r="77" ht="15" customHeight="1">
      <c r="A77" t="inlineStr">
        <is>
          <t>A 27403-2025</t>
        </is>
      </c>
      <c r="B77" s="1" t="n">
        <v>45812.72518518518</v>
      </c>
      <c r="C77" s="1" t="n">
        <v>45966</v>
      </c>
      <c r="D77" t="inlineStr">
        <is>
          <t>ÖSTERGÖTLANDS LÄN</t>
        </is>
      </c>
      <c r="E77" t="inlineStr">
        <is>
          <t>LINKÖPING</t>
        </is>
      </c>
      <c r="G77" t="n">
        <v>1.4</v>
      </c>
      <c r="H77" t="n">
        <v>0</v>
      </c>
      <c r="I77" t="n">
        <v>0</v>
      </c>
      <c r="J77" t="n">
        <v>1</v>
      </c>
      <c r="K77" t="n">
        <v>0</v>
      </c>
      <c r="L77" t="n">
        <v>0</v>
      </c>
      <c r="M77" t="n">
        <v>0</v>
      </c>
      <c r="N77" t="n">
        <v>0</v>
      </c>
      <c r="O77" t="n">
        <v>1</v>
      </c>
      <c r="P77" t="n">
        <v>0</v>
      </c>
      <c r="Q77" t="n">
        <v>1</v>
      </c>
      <c r="R77" s="2" t="inlineStr">
        <is>
          <t>Tallticka</t>
        </is>
      </c>
      <c r="S77">
        <f>HYPERLINK("https://klasma.github.io/Logging_0580/artfynd/A 27403-2025 artfynd.xlsx", "A 27403-2025")</f>
        <v/>
      </c>
      <c r="T77">
        <f>HYPERLINK("https://klasma.github.io/Logging_0580/kartor/A 27403-2025 karta.png", "A 27403-2025")</f>
        <v/>
      </c>
      <c r="V77">
        <f>HYPERLINK("https://klasma.github.io/Logging_0580/klagomål/A 27403-2025 FSC-klagomål.docx", "A 27403-2025")</f>
        <v/>
      </c>
      <c r="W77">
        <f>HYPERLINK("https://klasma.github.io/Logging_0580/klagomålsmail/A 27403-2025 FSC-klagomål mail.docx", "A 27403-2025")</f>
        <v/>
      </c>
      <c r="X77">
        <f>HYPERLINK("https://klasma.github.io/Logging_0580/tillsyn/A 27403-2025 tillsynsbegäran.docx", "A 27403-2025")</f>
        <v/>
      </c>
      <c r="Y77">
        <f>HYPERLINK("https://klasma.github.io/Logging_0580/tillsynsmail/A 27403-2025 tillsynsbegäran mail.docx", "A 27403-2025")</f>
        <v/>
      </c>
    </row>
    <row r="78" ht="15" customHeight="1">
      <c r="A78" t="inlineStr">
        <is>
          <t>A 36723-2023</t>
        </is>
      </c>
      <c r="B78" s="1" t="n">
        <v>45153</v>
      </c>
      <c r="C78" s="1" t="n">
        <v>45966</v>
      </c>
      <c r="D78" t="inlineStr">
        <is>
          <t>ÖSTERGÖTLANDS LÄN</t>
        </is>
      </c>
      <c r="E78" t="inlineStr">
        <is>
          <t>LINKÖPING</t>
        </is>
      </c>
      <c r="F78" t="inlineStr">
        <is>
          <t>Allmännings- och besparingsskogar</t>
        </is>
      </c>
      <c r="G78" t="n">
        <v>9.9</v>
      </c>
      <c r="H78" t="n">
        <v>0</v>
      </c>
      <c r="I78" t="n">
        <v>0</v>
      </c>
      <c r="J78" t="n">
        <v>0</v>
      </c>
      <c r="K78" t="n">
        <v>1</v>
      </c>
      <c r="L78" t="n">
        <v>0</v>
      </c>
      <c r="M78" t="n">
        <v>0</v>
      </c>
      <c r="N78" t="n">
        <v>0</v>
      </c>
      <c r="O78" t="n">
        <v>1</v>
      </c>
      <c r="P78" t="n">
        <v>1</v>
      </c>
      <c r="Q78" t="n">
        <v>1</v>
      </c>
      <c r="R78" s="2" t="inlineStr">
        <is>
          <t>Bitter taggsvamp</t>
        </is>
      </c>
      <c r="S78">
        <f>HYPERLINK("https://klasma.github.io/Logging_0580/artfynd/A 36723-2023 artfynd.xlsx", "A 36723-2023")</f>
        <v/>
      </c>
      <c r="T78">
        <f>HYPERLINK("https://klasma.github.io/Logging_0580/kartor/A 36723-2023 karta.png", "A 36723-2023")</f>
        <v/>
      </c>
      <c r="V78">
        <f>HYPERLINK("https://klasma.github.io/Logging_0580/klagomål/A 36723-2023 FSC-klagomål.docx", "A 36723-2023")</f>
        <v/>
      </c>
      <c r="W78">
        <f>HYPERLINK("https://klasma.github.io/Logging_0580/klagomålsmail/A 36723-2023 FSC-klagomål mail.docx", "A 36723-2023")</f>
        <v/>
      </c>
      <c r="X78">
        <f>HYPERLINK("https://klasma.github.io/Logging_0580/tillsyn/A 36723-2023 tillsynsbegäran.docx", "A 36723-2023")</f>
        <v/>
      </c>
      <c r="Y78">
        <f>HYPERLINK("https://klasma.github.io/Logging_0580/tillsynsmail/A 36723-2023 tillsynsbegäran mail.docx", "A 36723-2023")</f>
        <v/>
      </c>
    </row>
    <row r="79" ht="15" customHeight="1">
      <c r="A79" t="inlineStr">
        <is>
          <t>A 3395-2023</t>
        </is>
      </c>
      <c r="B79" s="1" t="n">
        <v>44949</v>
      </c>
      <c r="C79" s="1" t="n">
        <v>45966</v>
      </c>
      <c r="D79" t="inlineStr">
        <is>
          <t>ÖSTERGÖTLANDS LÄN</t>
        </is>
      </c>
      <c r="E79" t="inlineStr">
        <is>
          <t>LINKÖPING</t>
        </is>
      </c>
      <c r="G79" t="n">
        <v>2</v>
      </c>
      <c r="H79" t="n">
        <v>0</v>
      </c>
      <c r="I79" t="n">
        <v>0</v>
      </c>
      <c r="J79" t="n">
        <v>1</v>
      </c>
      <c r="K79" t="n">
        <v>0</v>
      </c>
      <c r="L79" t="n">
        <v>0</v>
      </c>
      <c r="M79" t="n">
        <v>0</v>
      </c>
      <c r="N79" t="n">
        <v>0</v>
      </c>
      <c r="O79" t="n">
        <v>1</v>
      </c>
      <c r="P79" t="n">
        <v>0</v>
      </c>
      <c r="Q79" t="n">
        <v>1</v>
      </c>
      <c r="R79" s="2" t="inlineStr">
        <is>
          <t>Sommarfibbla</t>
        </is>
      </c>
      <c r="S79">
        <f>HYPERLINK("https://klasma.github.io/Logging_0580/artfynd/A 3395-2023 artfynd.xlsx", "A 3395-2023")</f>
        <v/>
      </c>
      <c r="T79">
        <f>HYPERLINK("https://klasma.github.io/Logging_0580/kartor/A 3395-2023 karta.png", "A 3395-2023")</f>
        <v/>
      </c>
      <c r="V79">
        <f>HYPERLINK("https://klasma.github.io/Logging_0580/klagomål/A 3395-2023 FSC-klagomål.docx", "A 3395-2023")</f>
        <v/>
      </c>
      <c r="W79">
        <f>HYPERLINK("https://klasma.github.io/Logging_0580/klagomålsmail/A 3395-2023 FSC-klagomål mail.docx", "A 3395-2023")</f>
        <v/>
      </c>
      <c r="X79">
        <f>HYPERLINK("https://klasma.github.io/Logging_0580/tillsyn/A 3395-2023 tillsynsbegäran.docx", "A 3395-2023")</f>
        <v/>
      </c>
      <c r="Y79">
        <f>HYPERLINK("https://klasma.github.io/Logging_0580/tillsynsmail/A 3395-2023 tillsynsbegäran mail.docx", "A 3395-2023")</f>
        <v/>
      </c>
    </row>
    <row r="80" ht="15" customHeight="1">
      <c r="A80" t="inlineStr">
        <is>
          <t>A 19103-2021</t>
        </is>
      </c>
      <c r="B80" s="1" t="n">
        <v>44308</v>
      </c>
      <c r="C80" s="1" t="n">
        <v>45966</v>
      </c>
      <c r="D80" t="inlineStr">
        <is>
          <t>ÖSTERGÖTLANDS LÄN</t>
        </is>
      </c>
      <c r="E80" t="inlineStr">
        <is>
          <t>LINKÖPING</t>
        </is>
      </c>
      <c r="G80" t="n">
        <v>4.7</v>
      </c>
      <c r="H80" t="n">
        <v>0</v>
      </c>
      <c r="I80" t="n">
        <v>0</v>
      </c>
      <c r="J80" t="n">
        <v>1</v>
      </c>
      <c r="K80" t="n">
        <v>0</v>
      </c>
      <c r="L80" t="n">
        <v>0</v>
      </c>
      <c r="M80" t="n">
        <v>0</v>
      </c>
      <c r="N80" t="n">
        <v>0</v>
      </c>
      <c r="O80" t="n">
        <v>1</v>
      </c>
      <c r="P80" t="n">
        <v>0</v>
      </c>
      <c r="Q80" t="n">
        <v>1</v>
      </c>
      <c r="R80" s="2" t="inlineStr">
        <is>
          <t>Tallticka</t>
        </is>
      </c>
      <c r="S80">
        <f>HYPERLINK("https://klasma.github.io/Logging_0580/artfynd/A 19103-2021 artfynd.xlsx", "A 19103-2021")</f>
        <v/>
      </c>
      <c r="T80">
        <f>HYPERLINK("https://klasma.github.io/Logging_0580/kartor/A 19103-2021 karta.png", "A 19103-2021")</f>
        <v/>
      </c>
      <c r="V80">
        <f>HYPERLINK("https://klasma.github.io/Logging_0580/klagomål/A 19103-2021 FSC-klagomål.docx", "A 19103-2021")</f>
        <v/>
      </c>
      <c r="W80">
        <f>HYPERLINK("https://klasma.github.io/Logging_0580/klagomålsmail/A 19103-2021 FSC-klagomål mail.docx", "A 19103-2021")</f>
        <v/>
      </c>
      <c r="X80">
        <f>HYPERLINK("https://klasma.github.io/Logging_0580/tillsyn/A 19103-2021 tillsynsbegäran.docx", "A 19103-2021")</f>
        <v/>
      </c>
      <c r="Y80">
        <f>HYPERLINK("https://klasma.github.io/Logging_0580/tillsynsmail/A 19103-2021 tillsynsbegäran mail.docx", "A 19103-2021")</f>
        <v/>
      </c>
    </row>
    <row r="81" ht="15" customHeight="1">
      <c r="A81" t="inlineStr">
        <is>
          <t>A 59948-2022</t>
        </is>
      </c>
      <c r="B81" s="1" t="n">
        <v>44909</v>
      </c>
      <c r="C81" s="1" t="n">
        <v>45966</v>
      </c>
      <c r="D81" t="inlineStr">
        <is>
          <t>ÖSTERGÖTLANDS LÄN</t>
        </is>
      </c>
      <c r="E81" t="inlineStr">
        <is>
          <t>LINKÖPING</t>
        </is>
      </c>
      <c r="G81" t="n">
        <v>6.7</v>
      </c>
      <c r="H81" t="n">
        <v>0</v>
      </c>
      <c r="I81" t="n">
        <v>0</v>
      </c>
      <c r="J81" t="n">
        <v>0</v>
      </c>
      <c r="K81" t="n">
        <v>0</v>
      </c>
      <c r="L81" t="n">
        <v>0</v>
      </c>
      <c r="M81" t="n">
        <v>1</v>
      </c>
      <c r="N81" t="n">
        <v>0</v>
      </c>
      <c r="O81" t="n">
        <v>1</v>
      </c>
      <c r="P81" t="n">
        <v>1</v>
      </c>
      <c r="Q81" t="n">
        <v>1</v>
      </c>
      <c r="R81" s="2" t="inlineStr">
        <is>
          <t>Skogsalm</t>
        </is>
      </c>
      <c r="S81">
        <f>HYPERLINK("https://klasma.github.io/Logging_0580/artfynd/A 59948-2022 artfynd.xlsx", "A 59948-2022")</f>
        <v/>
      </c>
      <c r="T81">
        <f>HYPERLINK("https://klasma.github.io/Logging_0580/kartor/A 59948-2022 karta.png", "A 59948-2022")</f>
        <v/>
      </c>
      <c r="V81">
        <f>HYPERLINK("https://klasma.github.io/Logging_0580/klagomål/A 59948-2022 FSC-klagomål.docx", "A 59948-2022")</f>
        <v/>
      </c>
      <c r="W81">
        <f>HYPERLINK("https://klasma.github.io/Logging_0580/klagomålsmail/A 59948-2022 FSC-klagomål mail.docx", "A 59948-2022")</f>
        <v/>
      </c>
      <c r="X81">
        <f>HYPERLINK("https://klasma.github.io/Logging_0580/tillsyn/A 59948-2022 tillsynsbegäran.docx", "A 59948-2022")</f>
        <v/>
      </c>
      <c r="Y81">
        <f>HYPERLINK("https://klasma.github.io/Logging_0580/tillsynsmail/A 59948-2022 tillsynsbegäran mail.docx", "A 59948-2022")</f>
        <v/>
      </c>
    </row>
    <row r="82" ht="15" customHeight="1">
      <c r="A82" t="inlineStr">
        <is>
          <t>A 50806-2023</t>
        </is>
      </c>
      <c r="B82" s="1" t="n">
        <v>45217</v>
      </c>
      <c r="C82" s="1" t="n">
        <v>45966</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37683-2024</t>
        </is>
      </c>
      <c r="B83" s="1" t="n">
        <v>45541.59120370371</v>
      </c>
      <c r="C83" s="1" t="n">
        <v>45966</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56651-2023</t>
        </is>
      </c>
      <c r="B84" s="1" t="n">
        <v>45243</v>
      </c>
      <c r="C84" s="1" t="n">
        <v>45966</v>
      </c>
      <c r="D84" t="inlineStr">
        <is>
          <t>ÖSTERGÖTLANDS LÄN</t>
        </is>
      </c>
      <c r="E84" t="inlineStr">
        <is>
          <t>LINKÖPING</t>
        </is>
      </c>
      <c r="F84" t="inlineStr">
        <is>
          <t>Övriga Aktiebolag</t>
        </is>
      </c>
      <c r="G84" t="n">
        <v>2.3</v>
      </c>
      <c r="H84" t="n">
        <v>0</v>
      </c>
      <c r="I84" t="n">
        <v>0</v>
      </c>
      <c r="J84" t="n">
        <v>1</v>
      </c>
      <c r="K84" t="n">
        <v>0</v>
      </c>
      <c r="L84" t="n">
        <v>0</v>
      </c>
      <c r="M84" t="n">
        <v>0</v>
      </c>
      <c r="N84" t="n">
        <v>0</v>
      </c>
      <c r="O84" t="n">
        <v>1</v>
      </c>
      <c r="P84" t="n">
        <v>0</v>
      </c>
      <c r="Q84" t="n">
        <v>1</v>
      </c>
      <c r="R84" s="2" t="inlineStr">
        <is>
          <t>Gul dropplav</t>
        </is>
      </c>
      <c r="S84">
        <f>HYPERLINK("https://klasma.github.io/Logging_0580/artfynd/A 56651-2023 artfynd.xlsx", "A 56651-2023")</f>
        <v/>
      </c>
      <c r="T84">
        <f>HYPERLINK("https://klasma.github.io/Logging_0580/kartor/A 56651-2023 karta.png", "A 56651-2023")</f>
        <v/>
      </c>
      <c r="V84">
        <f>HYPERLINK("https://klasma.github.io/Logging_0580/klagomål/A 56651-2023 FSC-klagomål.docx", "A 56651-2023")</f>
        <v/>
      </c>
      <c r="W84">
        <f>HYPERLINK("https://klasma.github.io/Logging_0580/klagomålsmail/A 56651-2023 FSC-klagomål mail.docx", "A 56651-2023")</f>
        <v/>
      </c>
      <c r="X84">
        <f>HYPERLINK("https://klasma.github.io/Logging_0580/tillsyn/A 56651-2023 tillsynsbegäran.docx", "A 56651-2023")</f>
        <v/>
      </c>
      <c r="Y84">
        <f>HYPERLINK("https://klasma.github.io/Logging_0580/tillsynsmail/A 56651-2023 tillsynsbegäran mail.docx", "A 56651-2023")</f>
        <v/>
      </c>
    </row>
    <row r="85" ht="15" customHeight="1">
      <c r="A85" t="inlineStr">
        <is>
          <t>A 17444-2025</t>
        </is>
      </c>
      <c r="B85" s="1" t="n">
        <v>45757.43452546297</v>
      </c>
      <c r="C85" s="1" t="n">
        <v>45966</v>
      </c>
      <c r="D85" t="inlineStr">
        <is>
          <t>ÖSTERGÖTLANDS LÄN</t>
        </is>
      </c>
      <c r="E85" t="inlineStr">
        <is>
          <t>LINKÖPING</t>
        </is>
      </c>
      <c r="G85" t="n">
        <v>1.3</v>
      </c>
      <c r="H85" t="n">
        <v>1</v>
      </c>
      <c r="I85" t="n">
        <v>0</v>
      </c>
      <c r="J85" t="n">
        <v>1</v>
      </c>
      <c r="K85" t="n">
        <v>0</v>
      </c>
      <c r="L85" t="n">
        <v>0</v>
      </c>
      <c r="M85" t="n">
        <v>0</v>
      </c>
      <c r="N85" t="n">
        <v>0</v>
      </c>
      <c r="O85" t="n">
        <v>1</v>
      </c>
      <c r="P85" t="n">
        <v>0</v>
      </c>
      <c r="Q85" t="n">
        <v>1</v>
      </c>
      <c r="R85" s="2" t="inlineStr">
        <is>
          <t>Dårgräsfjäril</t>
        </is>
      </c>
      <c r="S85">
        <f>HYPERLINK("https://klasma.github.io/Logging_0580/artfynd/A 17444-2025 artfynd.xlsx", "A 17444-2025")</f>
        <v/>
      </c>
      <c r="T85">
        <f>HYPERLINK("https://klasma.github.io/Logging_0580/kartor/A 17444-2025 karta.png", "A 17444-2025")</f>
        <v/>
      </c>
      <c r="V85">
        <f>HYPERLINK("https://klasma.github.io/Logging_0580/klagomål/A 17444-2025 FSC-klagomål.docx", "A 17444-2025")</f>
        <v/>
      </c>
      <c r="W85">
        <f>HYPERLINK("https://klasma.github.io/Logging_0580/klagomålsmail/A 17444-2025 FSC-klagomål mail.docx", "A 17444-2025")</f>
        <v/>
      </c>
      <c r="X85">
        <f>HYPERLINK("https://klasma.github.io/Logging_0580/tillsyn/A 17444-2025 tillsynsbegäran.docx", "A 17444-2025")</f>
        <v/>
      </c>
      <c r="Y85">
        <f>HYPERLINK("https://klasma.github.io/Logging_0580/tillsynsmail/A 17444-2025 tillsynsbegäran mail.docx", "A 17444-2025")</f>
        <v/>
      </c>
    </row>
    <row r="86" ht="15" customHeight="1">
      <c r="A86" t="inlineStr">
        <is>
          <t>A 5911-2022</t>
        </is>
      </c>
      <c r="B86" s="1" t="n">
        <v>44597</v>
      </c>
      <c r="C86" s="1" t="n">
        <v>45966</v>
      </c>
      <c r="D86" t="inlineStr">
        <is>
          <t>ÖSTERGÖTLANDS LÄN</t>
        </is>
      </c>
      <c r="E86" t="inlineStr">
        <is>
          <t>LINKÖPING</t>
        </is>
      </c>
      <c r="G86" t="n">
        <v>3.5</v>
      </c>
      <c r="H86" t="n">
        <v>0</v>
      </c>
      <c r="I86" t="n">
        <v>0</v>
      </c>
      <c r="J86" t="n">
        <v>1</v>
      </c>
      <c r="K86" t="n">
        <v>0</v>
      </c>
      <c r="L86" t="n">
        <v>0</v>
      </c>
      <c r="M86" t="n">
        <v>0</v>
      </c>
      <c r="N86" t="n">
        <v>0</v>
      </c>
      <c r="O86" t="n">
        <v>1</v>
      </c>
      <c r="P86" t="n">
        <v>0</v>
      </c>
      <c r="Q86" t="n">
        <v>1</v>
      </c>
      <c r="R86" s="2" t="inlineStr">
        <is>
          <t>Spindelört</t>
        </is>
      </c>
      <c r="S86">
        <f>HYPERLINK("https://klasma.github.io/Logging_0580/artfynd/A 5911-2022 artfynd.xlsx", "A 5911-2022")</f>
        <v/>
      </c>
      <c r="T86">
        <f>HYPERLINK("https://klasma.github.io/Logging_0580/kartor/A 5911-2022 karta.png", "A 5911-2022")</f>
        <v/>
      </c>
      <c r="V86">
        <f>HYPERLINK("https://klasma.github.io/Logging_0580/klagomål/A 5911-2022 FSC-klagomål.docx", "A 5911-2022")</f>
        <v/>
      </c>
      <c r="W86">
        <f>HYPERLINK("https://klasma.github.io/Logging_0580/klagomålsmail/A 5911-2022 FSC-klagomål mail.docx", "A 5911-2022")</f>
        <v/>
      </c>
      <c r="X86">
        <f>HYPERLINK("https://klasma.github.io/Logging_0580/tillsyn/A 5911-2022 tillsynsbegäran.docx", "A 5911-2022")</f>
        <v/>
      </c>
      <c r="Y86">
        <f>HYPERLINK("https://klasma.github.io/Logging_0580/tillsynsmail/A 5911-2022 tillsynsbegäran mail.docx", "A 5911-2022")</f>
        <v/>
      </c>
    </row>
    <row r="87" ht="15" customHeight="1">
      <c r="A87" t="inlineStr">
        <is>
          <t>A 38881-2021</t>
        </is>
      </c>
      <c r="B87" s="1" t="n">
        <v>44411.46893518518</v>
      </c>
      <c r="C87" s="1" t="n">
        <v>45966</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45966</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45966</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45966</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45966</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45966</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398-2021</t>
        </is>
      </c>
      <c r="B93" s="1" t="n">
        <v>44201</v>
      </c>
      <c r="C93" s="1" t="n">
        <v>45966</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67322-2021</t>
        </is>
      </c>
      <c r="B94" s="1" t="n">
        <v>44523</v>
      </c>
      <c r="C94" s="1" t="n">
        <v>45966</v>
      </c>
      <c r="D94" t="inlineStr">
        <is>
          <t>ÖSTERGÖTLANDS LÄN</t>
        </is>
      </c>
      <c r="E94" t="inlineStr">
        <is>
          <t>LINKÖPING</t>
        </is>
      </c>
      <c r="G94" t="n">
        <v>0.8</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45966</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64269-2021</t>
        </is>
      </c>
      <c r="B96" s="1" t="n">
        <v>44510</v>
      </c>
      <c r="C96" s="1" t="n">
        <v>45966</v>
      </c>
      <c r="D96" t="inlineStr">
        <is>
          <t>ÖSTERGÖTLANDS LÄN</t>
        </is>
      </c>
      <c r="E96" t="inlineStr">
        <is>
          <t>LINKÖPING</t>
        </is>
      </c>
      <c r="G96" t="n">
        <v>1.9</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45966</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45966</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45966</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45966</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45966</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45966</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45966</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45966</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159-2022</t>
        </is>
      </c>
      <c r="B105" s="1" t="n">
        <v>44564</v>
      </c>
      <c r="C105" s="1" t="n">
        <v>45966</v>
      </c>
      <c r="D105" t="inlineStr">
        <is>
          <t>ÖSTERGÖTLANDS LÄN</t>
        </is>
      </c>
      <c r="E105" t="inlineStr">
        <is>
          <t>LINKÖPING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60639-2021</t>
        </is>
      </c>
      <c r="B106" s="1" t="n">
        <v>44496</v>
      </c>
      <c r="C106" s="1" t="n">
        <v>45966</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45966</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45966</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38143-2021</t>
        </is>
      </c>
      <c r="B109" s="1" t="n">
        <v>44405</v>
      </c>
      <c r="C109" s="1" t="n">
        <v>45966</v>
      </c>
      <c r="D109" t="inlineStr">
        <is>
          <t>ÖSTERGÖTLANDS LÄN</t>
        </is>
      </c>
      <c r="E109" t="inlineStr">
        <is>
          <t>LINKÖPING</t>
        </is>
      </c>
      <c r="G109" t="n">
        <v>4.1</v>
      </c>
      <c r="H109" t="n">
        <v>0</v>
      </c>
      <c r="I109" t="n">
        <v>0</v>
      </c>
      <c r="J109" t="n">
        <v>0</v>
      </c>
      <c r="K109" t="n">
        <v>0</v>
      </c>
      <c r="L109" t="n">
        <v>0</v>
      </c>
      <c r="M109" t="n">
        <v>0</v>
      </c>
      <c r="N109" t="n">
        <v>0</v>
      </c>
      <c r="O109" t="n">
        <v>0</v>
      </c>
      <c r="P109" t="n">
        <v>0</v>
      </c>
      <c r="Q109" t="n">
        <v>0</v>
      </c>
      <c r="R109" s="2" t="inlineStr"/>
    </row>
    <row r="110" ht="15" customHeight="1">
      <c r="A110" t="inlineStr">
        <is>
          <t>A 38254-2021</t>
        </is>
      </c>
      <c r="B110" s="1" t="n">
        <v>44405</v>
      </c>
      <c r="C110" s="1" t="n">
        <v>45966</v>
      </c>
      <c r="D110" t="inlineStr">
        <is>
          <t>ÖSTERGÖTLANDS LÄN</t>
        </is>
      </c>
      <c r="E110" t="inlineStr">
        <is>
          <t>LINKÖPING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261-2021</t>
        </is>
      </c>
      <c r="B111" s="1" t="n">
        <v>44200</v>
      </c>
      <c r="C111" s="1" t="n">
        <v>45966</v>
      </c>
      <c r="D111" t="inlineStr">
        <is>
          <t>ÖSTERGÖTLANDS LÄN</t>
        </is>
      </c>
      <c r="E111" t="inlineStr">
        <is>
          <t>LINKÖPING</t>
        </is>
      </c>
      <c r="G111" t="n">
        <v>3.1</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45966</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67120-2020</t>
        </is>
      </c>
      <c r="B113" s="1" t="n">
        <v>44180</v>
      </c>
      <c r="C113" s="1" t="n">
        <v>45966</v>
      </c>
      <c r="D113" t="inlineStr">
        <is>
          <t>ÖSTERGÖTLANDS LÄN</t>
        </is>
      </c>
      <c r="E113" t="inlineStr">
        <is>
          <t>LINKÖPING</t>
        </is>
      </c>
      <c r="F113" t="inlineStr">
        <is>
          <t>Övriga statliga verk och myndigheter</t>
        </is>
      </c>
      <c r="G113" t="n">
        <v>1.4</v>
      </c>
      <c r="H113" t="n">
        <v>0</v>
      </c>
      <c r="I113" t="n">
        <v>0</v>
      </c>
      <c r="J113" t="n">
        <v>0</v>
      </c>
      <c r="K113" t="n">
        <v>0</v>
      </c>
      <c r="L113" t="n">
        <v>0</v>
      </c>
      <c r="M113" t="n">
        <v>0</v>
      </c>
      <c r="N113" t="n">
        <v>0</v>
      </c>
      <c r="O113" t="n">
        <v>0</v>
      </c>
      <c r="P113" t="n">
        <v>0</v>
      </c>
      <c r="Q113" t="n">
        <v>0</v>
      </c>
      <c r="R113" s="2" t="inlineStr"/>
    </row>
    <row r="114" ht="15" customHeight="1">
      <c r="A114" t="inlineStr">
        <is>
          <t>A 44054-2021</t>
        </is>
      </c>
      <c r="B114" s="1" t="n">
        <v>44434</v>
      </c>
      <c r="C114" s="1" t="n">
        <v>45966</v>
      </c>
      <c r="D114" t="inlineStr">
        <is>
          <t>ÖSTERGÖTLANDS LÄN</t>
        </is>
      </c>
      <c r="E114" t="inlineStr">
        <is>
          <t>LINKÖPING</t>
        </is>
      </c>
      <c r="F114" t="inlineStr">
        <is>
          <t>Övriga Aktiebolag</t>
        </is>
      </c>
      <c r="G114" t="n">
        <v>2.3</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45966</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45966</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45966</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45966</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45966</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45966</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45966</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45966</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45966</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45966</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45966</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45966</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45966</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45966</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45966</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45966</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45966</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45966</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45966</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45966</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45966</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45966</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45966</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45966</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45966</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45966</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45966</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45966</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45966</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45966</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45966</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45966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45966</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45966</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45966</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45966</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45966</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45966</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45966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45966</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45966</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45966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45966</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45966</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45966</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45966</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45966</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34486-2021</t>
        </is>
      </c>
      <c r="B162" s="1" t="n">
        <v>44382.29295138889</v>
      </c>
      <c r="C162" s="1" t="n">
        <v>45966</v>
      </c>
      <c r="D162" t="inlineStr">
        <is>
          <t>ÖSTERGÖTLANDS LÄN</t>
        </is>
      </c>
      <c r="E162" t="inlineStr">
        <is>
          <t>LINKÖPING</t>
        </is>
      </c>
      <c r="G162" t="n">
        <v>4.4</v>
      </c>
      <c r="H162" t="n">
        <v>0</v>
      </c>
      <c r="I162" t="n">
        <v>0</v>
      </c>
      <c r="J162" t="n">
        <v>0</v>
      </c>
      <c r="K162" t="n">
        <v>0</v>
      </c>
      <c r="L162" t="n">
        <v>0</v>
      </c>
      <c r="M162" t="n">
        <v>0</v>
      </c>
      <c r="N162" t="n">
        <v>0</v>
      </c>
      <c r="O162" t="n">
        <v>0</v>
      </c>
      <c r="P162" t="n">
        <v>0</v>
      </c>
      <c r="Q162" t="n">
        <v>0</v>
      </c>
      <c r="R162" s="2" t="inlineStr"/>
    </row>
    <row r="163" ht="15" customHeight="1">
      <c r="A163" t="inlineStr">
        <is>
          <t>A 23416-2022</t>
        </is>
      </c>
      <c r="B163" s="1" t="n">
        <v>44720.78243055556</v>
      </c>
      <c r="C163" s="1" t="n">
        <v>45966</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5605-2022</t>
        </is>
      </c>
      <c r="B164" s="1" t="n">
        <v>44595</v>
      </c>
      <c r="C164" s="1" t="n">
        <v>45966</v>
      </c>
      <c r="D164" t="inlineStr">
        <is>
          <t>ÖSTERGÖTLANDS LÄN</t>
        </is>
      </c>
      <c r="E164" t="inlineStr">
        <is>
          <t>LINKÖPING</t>
        </is>
      </c>
      <c r="F164" t="inlineStr">
        <is>
          <t>Övriga statliga verk och myndigheter</t>
        </is>
      </c>
      <c r="G164" t="n">
        <v>3</v>
      </c>
      <c r="H164" t="n">
        <v>0</v>
      </c>
      <c r="I164" t="n">
        <v>0</v>
      </c>
      <c r="J164" t="n">
        <v>0</v>
      </c>
      <c r="K164" t="n">
        <v>0</v>
      </c>
      <c r="L164" t="n">
        <v>0</v>
      </c>
      <c r="M164" t="n">
        <v>0</v>
      </c>
      <c r="N164" t="n">
        <v>0</v>
      </c>
      <c r="O164" t="n">
        <v>0</v>
      </c>
      <c r="P164" t="n">
        <v>0</v>
      </c>
      <c r="Q164" t="n">
        <v>0</v>
      </c>
      <c r="R164" s="2" t="inlineStr"/>
    </row>
    <row r="165" ht="15" customHeight="1">
      <c r="A165" t="inlineStr">
        <is>
          <t>A 56688-2021</t>
        </is>
      </c>
      <c r="B165" s="1" t="n">
        <v>44481</v>
      </c>
      <c r="C165" s="1" t="n">
        <v>45966</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27666-2022</t>
        </is>
      </c>
      <c r="B166" s="1" t="n">
        <v>44743.39017361111</v>
      </c>
      <c r="C166" s="1" t="n">
        <v>45966</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19183-2021</t>
        </is>
      </c>
      <c r="B167" s="1" t="n">
        <v>44308.73248842593</v>
      </c>
      <c r="C167" s="1" t="n">
        <v>45966</v>
      </c>
      <c r="D167" t="inlineStr">
        <is>
          <t>ÖSTERGÖTLANDS LÄN</t>
        </is>
      </c>
      <c r="E167" t="inlineStr">
        <is>
          <t>LINKÖPING</t>
        </is>
      </c>
      <c r="F167" t="inlineStr">
        <is>
          <t>Allmännings- och besparingsskogar</t>
        </is>
      </c>
      <c r="G167" t="n">
        <v>4.6</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45966</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59288-2020</t>
        </is>
      </c>
      <c r="B169" s="1" t="n">
        <v>44147</v>
      </c>
      <c r="C169" s="1" t="n">
        <v>45966</v>
      </c>
      <c r="D169" t="inlineStr">
        <is>
          <t>ÖSTERGÖTLANDS LÄN</t>
        </is>
      </c>
      <c r="E169" t="inlineStr">
        <is>
          <t>LINKÖPING</t>
        </is>
      </c>
      <c r="G169" t="n">
        <v>2.8</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45966</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31732-2022</t>
        </is>
      </c>
      <c r="B171" s="1" t="n">
        <v>44776.49267361111</v>
      </c>
      <c r="C171" s="1" t="n">
        <v>45966</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4929-2021</t>
        </is>
      </c>
      <c r="B172" s="1" t="n">
        <v>44227.57533564815</v>
      </c>
      <c r="C172" s="1" t="n">
        <v>45966</v>
      </c>
      <c r="D172" t="inlineStr">
        <is>
          <t>ÖSTERGÖTLANDS LÄN</t>
        </is>
      </c>
      <c r="E172" t="inlineStr">
        <is>
          <t>LINKÖPING</t>
        </is>
      </c>
      <c r="G172" t="n">
        <v>0.4</v>
      </c>
      <c r="H172" t="n">
        <v>0</v>
      </c>
      <c r="I172" t="n">
        <v>0</v>
      </c>
      <c r="J172" t="n">
        <v>0</v>
      </c>
      <c r="K172" t="n">
        <v>0</v>
      </c>
      <c r="L172" t="n">
        <v>0</v>
      </c>
      <c r="M172" t="n">
        <v>0</v>
      </c>
      <c r="N172" t="n">
        <v>0</v>
      </c>
      <c r="O172" t="n">
        <v>0</v>
      </c>
      <c r="P172" t="n">
        <v>0</v>
      </c>
      <c r="Q172" t="n">
        <v>0</v>
      </c>
      <c r="R172" s="2" t="inlineStr"/>
    </row>
    <row r="173" ht="15" customHeight="1">
      <c r="A173" t="inlineStr">
        <is>
          <t>A 33891-2021</t>
        </is>
      </c>
      <c r="B173" s="1" t="n">
        <v>44378</v>
      </c>
      <c r="C173" s="1" t="n">
        <v>45966</v>
      </c>
      <c r="D173" t="inlineStr">
        <is>
          <t>ÖSTERGÖTLANDS LÄN</t>
        </is>
      </c>
      <c r="E173" t="inlineStr">
        <is>
          <t>LINKÖPING</t>
        </is>
      </c>
      <c r="G173" t="n">
        <v>5.1</v>
      </c>
      <c r="H173" t="n">
        <v>0</v>
      </c>
      <c r="I173" t="n">
        <v>0</v>
      </c>
      <c r="J173" t="n">
        <v>0</v>
      </c>
      <c r="K173" t="n">
        <v>0</v>
      </c>
      <c r="L173" t="n">
        <v>0</v>
      </c>
      <c r="M173" t="n">
        <v>0</v>
      </c>
      <c r="N173" t="n">
        <v>0</v>
      </c>
      <c r="O173" t="n">
        <v>0</v>
      </c>
      <c r="P173" t="n">
        <v>0</v>
      </c>
      <c r="Q173" t="n">
        <v>0</v>
      </c>
      <c r="R173" s="2" t="inlineStr"/>
    </row>
    <row r="174" ht="15" customHeight="1">
      <c r="A174" t="inlineStr">
        <is>
          <t>A 1787-2022</t>
        </is>
      </c>
      <c r="B174" s="1" t="n">
        <v>44574</v>
      </c>
      <c r="C174" s="1" t="n">
        <v>45966</v>
      </c>
      <c r="D174" t="inlineStr">
        <is>
          <t>ÖSTERGÖTLANDS LÄN</t>
        </is>
      </c>
      <c r="E174" t="inlineStr">
        <is>
          <t>LINKÖPING</t>
        </is>
      </c>
      <c r="G174" t="n">
        <v>1.9</v>
      </c>
      <c r="H174" t="n">
        <v>0</v>
      </c>
      <c r="I174" t="n">
        <v>0</v>
      </c>
      <c r="J174" t="n">
        <v>0</v>
      </c>
      <c r="K174" t="n">
        <v>0</v>
      </c>
      <c r="L174" t="n">
        <v>0</v>
      </c>
      <c r="M174" t="n">
        <v>0</v>
      </c>
      <c r="N174" t="n">
        <v>0</v>
      </c>
      <c r="O174" t="n">
        <v>0</v>
      </c>
      <c r="P174" t="n">
        <v>0</v>
      </c>
      <c r="Q174" t="n">
        <v>0</v>
      </c>
      <c r="R174" s="2" t="inlineStr"/>
    </row>
    <row r="175" ht="15" customHeight="1">
      <c r="A175" t="inlineStr">
        <is>
          <t>A 19254-2021</t>
        </is>
      </c>
      <c r="B175" s="1" t="n">
        <v>44309.38962962963</v>
      </c>
      <c r="C175" s="1" t="n">
        <v>45966</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61302-2021</t>
        </is>
      </c>
      <c r="B176" s="1" t="n">
        <v>44498.63189814815</v>
      </c>
      <c r="C176" s="1" t="n">
        <v>45966</v>
      </c>
      <c r="D176" t="inlineStr">
        <is>
          <t>ÖSTERGÖTLANDS LÄN</t>
        </is>
      </c>
      <c r="E176" t="inlineStr">
        <is>
          <t>LINKÖPING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60129-2020</t>
        </is>
      </c>
      <c r="B177" s="1" t="n">
        <v>44152</v>
      </c>
      <c r="C177" s="1" t="n">
        <v>45966</v>
      </c>
      <c r="D177" t="inlineStr">
        <is>
          <t>ÖSTERGÖTLANDS LÄN</t>
        </is>
      </c>
      <c r="E177" t="inlineStr">
        <is>
          <t>LINKÖPING</t>
        </is>
      </c>
      <c r="F177" t="inlineStr">
        <is>
          <t>Övriga statliga verk och myndigheter</t>
        </is>
      </c>
      <c r="G177" t="n">
        <v>2.5</v>
      </c>
      <c r="H177" t="n">
        <v>0</v>
      </c>
      <c r="I177" t="n">
        <v>0</v>
      </c>
      <c r="J177" t="n">
        <v>0</v>
      </c>
      <c r="K177" t="n">
        <v>0</v>
      </c>
      <c r="L177" t="n">
        <v>0</v>
      </c>
      <c r="M177" t="n">
        <v>0</v>
      </c>
      <c r="N177" t="n">
        <v>0</v>
      </c>
      <c r="O177" t="n">
        <v>0</v>
      </c>
      <c r="P177" t="n">
        <v>0</v>
      </c>
      <c r="Q177" t="n">
        <v>0</v>
      </c>
      <c r="R177" s="2" t="inlineStr"/>
    </row>
    <row r="178" ht="15" customHeight="1">
      <c r="A178" t="inlineStr">
        <is>
          <t>A 948-2022</t>
        </is>
      </c>
      <c r="B178" s="1" t="n">
        <v>44571</v>
      </c>
      <c r="C178" s="1" t="n">
        <v>45966</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4377-2021</t>
        </is>
      </c>
      <c r="B179" s="1" t="n">
        <v>44223</v>
      </c>
      <c r="C179" s="1" t="n">
        <v>45966</v>
      </c>
      <c r="D179" t="inlineStr">
        <is>
          <t>ÖSTERGÖTLANDS LÄN</t>
        </is>
      </c>
      <c r="E179" t="inlineStr">
        <is>
          <t>LINKÖPING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37014-2021</t>
        </is>
      </c>
      <c r="B180" s="1" t="n">
        <v>44393</v>
      </c>
      <c r="C180" s="1" t="n">
        <v>45966</v>
      </c>
      <c r="D180" t="inlineStr">
        <is>
          <t>ÖSTERGÖTLANDS LÄN</t>
        </is>
      </c>
      <c r="E180" t="inlineStr">
        <is>
          <t>LINKÖPING</t>
        </is>
      </c>
      <c r="F180" t="inlineStr">
        <is>
          <t>Allmännings- och besparingsskogar</t>
        </is>
      </c>
      <c r="G180" t="n">
        <v>7.7</v>
      </c>
      <c r="H180" t="n">
        <v>0</v>
      </c>
      <c r="I180" t="n">
        <v>0</v>
      </c>
      <c r="J180" t="n">
        <v>0</v>
      </c>
      <c r="K180" t="n">
        <v>0</v>
      </c>
      <c r="L180" t="n">
        <v>0</v>
      </c>
      <c r="M180" t="n">
        <v>0</v>
      </c>
      <c r="N180" t="n">
        <v>0</v>
      </c>
      <c r="O180" t="n">
        <v>0</v>
      </c>
      <c r="P180" t="n">
        <v>0</v>
      </c>
      <c r="Q180" t="n">
        <v>0</v>
      </c>
      <c r="R180" s="2" t="inlineStr"/>
    </row>
    <row r="181" ht="15" customHeight="1">
      <c r="A181" t="inlineStr">
        <is>
          <t>A 61153-2021</t>
        </is>
      </c>
      <c r="B181" s="1" t="n">
        <v>44497</v>
      </c>
      <c r="C181" s="1" t="n">
        <v>45966</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45966</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45966</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45966</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41426-2022</t>
        </is>
      </c>
      <c r="B185" s="1" t="n">
        <v>44826</v>
      </c>
      <c r="C185" s="1" t="n">
        <v>45966</v>
      </c>
      <c r="D185" t="inlineStr">
        <is>
          <t>ÖSTERGÖTLANDS LÄN</t>
        </is>
      </c>
      <c r="E185" t="inlineStr">
        <is>
          <t>LINKÖPING</t>
        </is>
      </c>
      <c r="G185" t="n">
        <v>3</v>
      </c>
      <c r="H185" t="n">
        <v>0</v>
      </c>
      <c r="I185" t="n">
        <v>0</v>
      </c>
      <c r="J185" t="n">
        <v>0</v>
      </c>
      <c r="K185" t="n">
        <v>0</v>
      </c>
      <c r="L185" t="n">
        <v>0</v>
      </c>
      <c r="M185" t="n">
        <v>0</v>
      </c>
      <c r="N185" t="n">
        <v>0</v>
      </c>
      <c r="O185" t="n">
        <v>0</v>
      </c>
      <c r="P185" t="n">
        <v>0</v>
      </c>
      <c r="Q185" t="n">
        <v>0</v>
      </c>
      <c r="R185" s="2" t="inlineStr"/>
    </row>
    <row r="186" ht="15" customHeight="1">
      <c r="A186" t="inlineStr">
        <is>
          <t>A 34162-2022</t>
        </is>
      </c>
      <c r="B186" s="1" t="n">
        <v>44791</v>
      </c>
      <c r="C186" s="1" t="n">
        <v>45966</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61298-2021</t>
        </is>
      </c>
      <c r="B187" s="1" t="n">
        <v>44498.62533564815</v>
      </c>
      <c r="C187" s="1" t="n">
        <v>45966</v>
      </c>
      <c r="D187" t="inlineStr">
        <is>
          <t>ÖSTERGÖTLANDS LÄN</t>
        </is>
      </c>
      <c r="E187" t="inlineStr">
        <is>
          <t>LINKÖPING</t>
        </is>
      </c>
      <c r="G187" t="n">
        <v>4.3</v>
      </c>
      <c r="H187" t="n">
        <v>0</v>
      </c>
      <c r="I187" t="n">
        <v>0</v>
      </c>
      <c r="J187" t="n">
        <v>0</v>
      </c>
      <c r="K187" t="n">
        <v>0</v>
      </c>
      <c r="L187" t="n">
        <v>0</v>
      </c>
      <c r="M187" t="n">
        <v>0</v>
      </c>
      <c r="N187" t="n">
        <v>0</v>
      </c>
      <c r="O187" t="n">
        <v>0</v>
      </c>
      <c r="P187" t="n">
        <v>0</v>
      </c>
      <c r="Q187" t="n">
        <v>0</v>
      </c>
      <c r="R187" s="2" t="inlineStr"/>
    </row>
    <row r="188" ht="15" customHeight="1">
      <c r="A188" t="inlineStr">
        <is>
          <t>A 61333-2021</t>
        </is>
      </c>
      <c r="B188" s="1" t="n">
        <v>44498.6764699074</v>
      </c>
      <c r="C188" s="1" t="n">
        <v>45966</v>
      </c>
      <c r="D188" t="inlineStr">
        <is>
          <t>ÖSTERGÖTLANDS LÄN</t>
        </is>
      </c>
      <c r="E188" t="inlineStr">
        <is>
          <t>LINKÖPING</t>
        </is>
      </c>
      <c r="G188" t="n">
        <v>7.5</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45966</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45966</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45966</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37934-2022</t>
        </is>
      </c>
      <c r="B192" s="1" t="n">
        <v>44809</v>
      </c>
      <c r="C192" s="1" t="n">
        <v>45966</v>
      </c>
      <c r="D192" t="inlineStr">
        <is>
          <t>ÖSTERGÖTLANDS LÄN</t>
        </is>
      </c>
      <c r="E192" t="inlineStr">
        <is>
          <t>LINKÖPING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54854-2022</t>
        </is>
      </c>
      <c r="B193" s="1" t="n">
        <v>44884</v>
      </c>
      <c r="C193" s="1" t="n">
        <v>45966</v>
      </c>
      <c r="D193" t="inlineStr">
        <is>
          <t>ÖSTERGÖTLANDS LÄN</t>
        </is>
      </c>
      <c r="E193" t="inlineStr">
        <is>
          <t>LINKÖPING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54855-2022</t>
        </is>
      </c>
      <c r="B194" s="1" t="n">
        <v>44884.59502314815</v>
      </c>
      <c r="C194" s="1" t="n">
        <v>45966</v>
      </c>
      <c r="D194" t="inlineStr">
        <is>
          <t>ÖSTERGÖTLANDS LÄN</t>
        </is>
      </c>
      <c r="E194" t="inlineStr">
        <is>
          <t>LINKÖPING</t>
        </is>
      </c>
      <c r="G194" t="n">
        <v>2.9</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45966</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45966</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20901-2021</t>
        </is>
      </c>
      <c r="B197" s="1" t="n">
        <v>44319</v>
      </c>
      <c r="C197" s="1" t="n">
        <v>45966</v>
      </c>
      <c r="D197" t="inlineStr">
        <is>
          <t>ÖSTERGÖTLANDS LÄN</t>
        </is>
      </c>
      <c r="E197" t="inlineStr">
        <is>
          <t>LINKÖPING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62321-2022</t>
        </is>
      </c>
      <c r="B198" s="1" t="n">
        <v>44916</v>
      </c>
      <c r="C198" s="1" t="n">
        <v>45966</v>
      </c>
      <c r="D198" t="inlineStr">
        <is>
          <t>ÖSTERGÖTLANDS LÄN</t>
        </is>
      </c>
      <c r="E198" t="inlineStr">
        <is>
          <t>LINKÖPING</t>
        </is>
      </c>
      <c r="F198" t="inlineStr">
        <is>
          <t>Kommuner</t>
        </is>
      </c>
      <c r="G198" t="n">
        <v>5.3</v>
      </c>
      <c r="H198" t="n">
        <v>0</v>
      </c>
      <c r="I198" t="n">
        <v>0</v>
      </c>
      <c r="J198" t="n">
        <v>0</v>
      </c>
      <c r="K198" t="n">
        <v>0</v>
      </c>
      <c r="L198" t="n">
        <v>0</v>
      </c>
      <c r="M198" t="n">
        <v>0</v>
      </c>
      <c r="N198" t="n">
        <v>0</v>
      </c>
      <c r="O198" t="n">
        <v>0</v>
      </c>
      <c r="P198" t="n">
        <v>0</v>
      </c>
      <c r="Q198" t="n">
        <v>0</v>
      </c>
      <c r="R198" s="2" t="inlineStr"/>
    </row>
    <row r="199" ht="15" customHeight="1">
      <c r="A199" t="inlineStr">
        <is>
          <t>A 63669-2023</t>
        </is>
      </c>
      <c r="B199" s="1" t="n">
        <v>45275</v>
      </c>
      <c r="C199" s="1" t="n">
        <v>45966</v>
      </c>
      <c r="D199" t="inlineStr">
        <is>
          <t>ÖSTERGÖTLANDS LÄN</t>
        </is>
      </c>
      <c r="E199" t="inlineStr">
        <is>
          <t>LINKÖPING</t>
        </is>
      </c>
      <c r="F199" t="inlineStr">
        <is>
          <t>Övriga Aktiebolag</t>
        </is>
      </c>
      <c r="G199" t="n">
        <v>3</v>
      </c>
      <c r="H199" t="n">
        <v>0</v>
      </c>
      <c r="I199" t="n">
        <v>0</v>
      </c>
      <c r="J199" t="n">
        <v>0</v>
      </c>
      <c r="K199" t="n">
        <v>0</v>
      </c>
      <c r="L199" t="n">
        <v>0</v>
      </c>
      <c r="M199" t="n">
        <v>0</v>
      </c>
      <c r="N199" t="n">
        <v>0</v>
      </c>
      <c r="O199" t="n">
        <v>0</v>
      </c>
      <c r="P199" t="n">
        <v>0</v>
      </c>
      <c r="Q199" t="n">
        <v>0</v>
      </c>
      <c r="R199" s="2" t="inlineStr"/>
    </row>
    <row r="200" ht="15" customHeight="1">
      <c r="A200" t="inlineStr">
        <is>
          <t>A 24586-2024</t>
        </is>
      </c>
      <c r="B200" s="1" t="n">
        <v>45460.46664351852</v>
      </c>
      <c r="C200" s="1" t="n">
        <v>45966</v>
      </c>
      <c r="D200" t="inlineStr">
        <is>
          <t>ÖSTERGÖTLANDS LÄN</t>
        </is>
      </c>
      <c r="E200" t="inlineStr">
        <is>
          <t>LINKÖPING</t>
        </is>
      </c>
      <c r="G200" t="n">
        <v>4</v>
      </c>
      <c r="H200" t="n">
        <v>0</v>
      </c>
      <c r="I200" t="n">
        <v>0</v>
      </c>
      <c r="J200" t="n">
        <v>0</v>
      </c>
      <c r="K200" t="n">
        <v>0</v>
      </c>
      <c r="L200" t="n">
        <v>0</v>
      </c>
      <c r="M200" t="n">
        <v>0</v>
      </c>
      <c r="N200" t="n">
        <v>0</v>
      </c>
      <c r="O200" t="n">
        <v>0</v>
      </c>
      <c r="P200" t="n">
        <v>0</v>
      </c>
      <c r="Q200" t="n">
        <v>0</v>
      </c>
      <c r="R200" s="2" t="inlineStr"/>
    </row>
    <row r="201" ht="15" customHeight="1">
      <c r="A201" t="inlineStr">
        <is>
          <t>A 65398-2021</t>
        </is>
      </c>
      <c r="B201" s="1" t="n">
        <v>44515</v>
      </c>
      <c r="C201" s="1" t="n">
        <v>45966</v>
      </c>
      <c r="D201" t="inlineStr">
        <is>
          <t>ÖSTERGÖTLANDS LÄN</t>
        </is>
      </c>
      <c r="E201" t="inlineStr">
        <is>
          <t>LINKÖPING</t>
        </is>
      </c>
      <c r="F201" t="inlineStr">
        <is>
          <t>Övriga statliga verk och myndigheter</t>
        </is>
      </c>
      <c r="G201" t="n">
        <v>2.4</v>
      </c>
      <c r="H201" t="n">
        <v>0</v>
      </c>
      <c r="I201" t="n">
        <v>0</v>
      </c>
      <c r="J201" t="n">
        <v>0</v>
      </c>
      <c r="K201" t="n">
        <v>0</v>
      </c>
      <c r="L201" t="n">
        <v>0</v>
      </c>
      <c r="M201" t="n">
        <v>0</v>
      </c>
      <c r="N201" t="n">
        <v>0</v>
      </c>
      <c r="O201" t="n">
        <v>0</v>
      </c>
      <c r="P201" t="n">
        <v>0</v>
      </c>
      <c r="Q201" t="n">
        <v>0</v>
      </c>
      <c r="R201" s="2" t="inlineStr"/>
    </row>
    <row r="202" ht="15" customHeight="1">
      <c r="A202" t="inlineStr">
        <is>
          <t>A 59576-2024</t>
        </is>
      </c>
      <c r="B202" s="1" t="n">
        <v>45638.66378472222</v>
      </c>
      <c r="C202" s="1" t="n">
        <v>45966</v>
      </c>
      <c r="D202" t="inlineStr">
        <is>
          <t>ÖSTERGÖTLANDS LÄN</t>
        </is>
      </c>
      <c r="E202" t="inlineStr">
        <is>
          <t>LINKÖPING</t>
        </is>
      </c>
      <c r="G202" t="n">
        <v>1.6</v>
      </c>
      <c r="H202" t="n">
        <v>0</v>
      </c>
      <c r="I202" t="n">
        <v>0</v>
      </c>
      <c r="J202" t="n">
        <v>0</v>
      </c>
      <c r="K202" t="n">
        <v>0</v>
      </c>
      <c r="L202" t="n">
        <v>0</v>
      </c>
      <c r="M202" t="n">
        <v>0</v>
      </c>
      <c r="N202" t="n">
        <v>0</v>
      </c>
      <c r="O202" t="n">
        <v>0</v>
      </c>
      <c r="P202" t="n">
        <v>0</v>
      </c>
      <c r="Q202" t="n">
        <v>0</v>
      </c>
      <c r="R202" s="2" t="inlineStr"/>
    </row>
    <row r="203" ht="15" customHeight="1">
      <c r="A203" t="inlineStr">
        <is>
          <t>A 59642-2024</t>
        </is>
      </c>
      <c r="B203" s="1" t="n">
        <v>45639.31511574074</v>
      </c>
      <c r="C203" s="1" t="n">
        <v>45966</v>
      </c>
      <c r="D203" t="inlineStr">
        <is>
          <t>ÖSTERGÖTLANDS LÄN</t>
        </is>
      </c>
      <c r="E203" t="inlineStr">
        <is>
          <t>LINKÖPING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59674-2024</t>
        </is>
      </c>
      <c r="B204" s="1" t="n">
        <v>45639</v>
      </c>
      <c r="C204" s="1" t="n">
        <v>45966</v>
      </c>
      <c r="D204" t="inlineStr">
        <is>
          <t>ÖSTERGÖTLANDS LÄN</t>
        </is>
      </c>
      <c r="E204" t="inlineStr">
        <is>
          <t>LINKÖPING</t>
        </is>
      </c>
      <c r="G204" t="n">
        <v>6.3</v>
      </c>
      <c r="H204" t="n">
        <v>0</v>
      </c>
      <c r="I204" t="n">
        <v>0</v>
      </c>
      <c r="J204" t="n">
        <v>0</v>
      </c>
      <c r="K204" t="n">
        <v>0</v>
      </c>
      <c r="L204" t="n">
        <v>0</v>
      </c>
      <c r="M204" t="n">
        <v>0</v>
      </c>
      <c r="N204" t="n">
        <v>0</v>
      </c>
      <c r="O204" t="n">
        <v>0</v>
      </c>
      <c r="P204" t="n">
        <v>0</v>
      </c>
      <c r="Q204" t="n">
        <v>0</v>
      </c>
      <c r="R204" s="2" t="inlineStr"/>
    </row>
    <row r="205" ht="15" customHeight="1">
      <c r="A205" t="inlineStr">
        <is>
          <t>A 1084-2023</t>
        </is>
      </c>
      <c r="B205" s="1" t="n">
        <v>44929</v>
      </c>
      <c r="C205" s="1" t="n">
        <v>45966</v>
      </c>
      <c r="D205" t="inlineStr">
        <is>
          <t>ÖSTERGÖTLANDS LÄN</t>
        </is>
      </c>
      <c r="E205" t="inlineStr">
        <is>
          <t>LINKÖPING</t>
        </is>
      </c>
      <c r="G205" t="n">
        <v>10.4</v>
      </c>
      <c r="H205" t="n">
        <v>0</v>
      </c>
      <c r="I205" t="n">
        <v>0</v>
      </c>
      <c r="J205" t="n">
        <v>0</v>
      </c>
      <c r="K205" t="n">
        <v>0</v>
      </c>
      <c r="L205" t="n">
        <v>0</v>
      </c>
      <c r="M205" t="n">
        <v>0</v>
      </c>
      <c r="N205" t="n">
        <v>0</v>
      </c>
      <c r="O205" t="n">
        <v>0</v>
      </c>
      <c r="P205" t="n">
        <v>0</v>
      </c>
      <c r="Q205" t="n">
        <v>0</v>
      </c>
      <c r="R205" s="2" t="inlineStr"/>
    </row>
    <row r="206" ht="15" customHeight="1">
      <c r="A206" t="inlineStr">
        <is>
          <t>A 267-2023</t>
        </is>
      </c>
      <c r="B206" s="1" t="n">
        <v>44928.80907407407</v>
      </c>
      <c r="C206" s="1" t="n">
        <v>45966</v>
      </c>
      <c r="D206" t="inlineStr">
        <is>
          <t>ÖSTERGÖTLANDS LÄN</t>
        </is>
      </c>
      <c r="E206" t="inlineStr">
        <is>
          <t>LINKÖPING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940-2023</t>
        </is>
      </c>
      <c r="B207" s="1" t="n">
        <v>44933</v>
      </c>
      <c r="C207" s="1" t="n">
        <v>45966</v>
      </c>
      <c r="D207" t="inlineStr">
        <is>
          <t>ÖSTERGÖTLANDS LÄN</t>
        </is>
      </c>
      <c r="E207" t="inlineStr">
        <is>
          <t>LINKÖPING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67912-2021</t>
        </is>
      </c>
      <c r="B208" s="1" t="n">
        <v>44525</v>
      </c>
      <c r="C208" s="1" t="n">
        <v>45966</v>
      </c>
      <c r="D208" t="inlineStr">
        <is>
          <t>ÖSTERGÖTLANDS LÄN</t>
        </is>
      </c>
      <c r="E208" t="inlineStr">
        <is>
          <t>LINKÖPING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67940-2021</t>
        </is>
      </c>
      <c r="B209" s="1" t="n">
        <v>44525.62849537037</v>
      </c>
      <c r="C209" s="1" t="n">
        <v>45966</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3742-2021</t>
        </is>
      </c>
      <c r="B210" s="1" t="n">
        <v>44221</v>
      </c>
      <c r="C210" s="1" t="n">
        <v>45966</v>
      </c>
      <c r="D210" t="inlineStr">
        <is>
          <t>ÖSTERGÖTLANDS LÄN</t>
        </is>
      </c>
      <c r="E210" t="inlineStr">
        <is>
          <t>LINKÖPING</t>
        </is>
      </c>
      <c r="G210" t="n">
        <v>5.5</v>
      </c>
      <c r="H210" t="n">
        <v>0</v>
      </c>
      <c r="I210" t="n">
        <v>0</v>
      </c>
      <c r="J210" t="n">
        <v>0</v>
      </c>
      <c r="K210" t="n">
        <v>0</v>
      </c>
      <c r="L210" t="n">
        <v>0</v>
      </c>
      <c r="M210" t="n">
        <v>0</v>
      </c>
      <c r="N210" t="n">
        <v>0</v>
      </c>
      <c r="O210" t="n">
        <v>0</v>
      </c>
      <c r="P210" t="n">
        <v>0</v>
      </c>
      <c r="Q210" t="n">
        <v>0</v>
      </c>
      <c r="R210" s="2" t="inlineStr"/>
    </row>
    <row r="211" ht="15" customHeight="1">
      <c r="A211" t="inlineStr">
        <is>
          <t>A 18916-2024</t>
        </is>
      </c>
      <c r="B211" s="1" t="n">
        <v>45427.39541666667</v>
      </c>
      <c r="C211" s="1" t="n">
        <v>45966</v>
      </c>
      <c r="D211" t="inlineStr">
        <is>
          <t>ÖSTERGÖTLANDS LÄN</t>
        </is>
      </c>
      <c r="E211" t="inlineStr">
        <is>
          <t>LINKÖPING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6369-2023</t>
        </is>
      </c>
      <c r="B212" s="1" t="n">
        <v>44965.61106481482</v>
      </c>
      <c r="C212" s="1" t="n">
        <v>45966</v>
      </c>
      <c r="D212" t="inlineStr">
        <is>
          <t>ÖSTERGÖTLANDS LÄN</t>
        </is>
      </c>
      <c r="E212" t="inlineStr">
        <is>
          <t>LINKÖPING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30980-2022</t>
        </is>
      </c>
      <c r="B213" s="1" t="n">
        <v>44768</v>
      </c>
      <c r="C213" s="1" t="n">
        <v>45966</v>
      </c>
      <c r="D213" t="inlineStr">
        <is>
          <t>ÖSTERGÖTLANDS LÄN</t>
        </is>
      </c>
      <c r="E213" t="inlineStr">
        <is>
          <t>LINKÖPING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10951-2022</t>
        </is>
      </c>
      <c r="B214" s="1" t="n">
        <v>44627</v>
      </c>
      <c r="C214" s="1" t="n">
        <v>45966</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11084-2022</t>
        </is>
      </c>
      <c r="B215" s="1" t="n">
        <v>44628</v>
      </c>
      <c r="C215" s="1" t="n">
        <v>45966</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60007-2022</t>
        </is>
      </c>
      <c r="B216" s="1" t="n">
        <v>44909.47282407407</v>
      </c>
      <c r="C216" s="1" t="n">
        <v>45966</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50799-2022</t>
        </is>
      </c>
      <c r="B217" s="1" t="n">
        <v>44862</v>
      </c>
      <c r="C217" s="1" t="n">
        <v>45966</v>
      </c>
      <c r="D217" t="inlineStr">
        <is>
          <t>ÖSTERGÖTLANDS LÄN</t>
        </is>
      </c>
      <c r="E217" t="inlineStr">
        <is>
          <t>LINKÖPING</t>
        </is>
      </c>
      <c r="G217" t="n">
        <v>0.9</v>
      </c>
      <c r="H217" t="n">
        <v>0</v>
      </c>
      <c r="I217" t="n">
        <v>0</v>
      </c>
      <c r="J217" t="n">
        <v>0</v>
      </c>
      <c r="K217" t="n">
        <v>0</v>
      </c>
      <c r="L217" t="n">
        <v>0</v>
      </c>
      <c r="M217" t="n">
        <v>0</v>
      </c>
      <c r="N217" t="n">
        <v>0</v>
      </c>
      <c r="O217" t="n">
        <v>0</v>
      </c>
      <c r="P217" t="n">
        <v>0</v>
      </c>
      <c r="Q217" t="n">
        <v>0</v>
      </c>
      <c r="R217" s="2" t="inlineStr"/>
    </row>
    <row r="218" ht="15" customHeight="1">
      <c r="A218" t="inlineStr">
        <is>
          <t>A 56064-2022</t>
        </is>
      </c>
      <c r="B218" s="1" t="n">
        <v>44889.59107638889</v>
      </c>
      <c r="C218" s="1" t="n">
        <v>45966</v>
      </c>
      <c r="D218" t="inlineStr">
        <is>
          <t>ÖSTERGÖTLANDS LÄN</t>
        </is>
      </c>
      <c r="E218" t="inlineStr">
        <is>
          <t>LINKÖPING</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47703-2023</t>
        </is>
      </c>
      <c r="B219" s="1" t="n">
        <v>45203</v>
      </c>
      <c r="C219" s="1" t="n">
        <v>45966</v>
      </c>
      <c r="D219" t="inlineStr">
        <is>
          <t>ÖSTERGÖTLANDS LÄN</t>
        </is>
      </c>
      <c r="E219" t="inlineStr">
        <is>
          <t>LINKÖPING</t>
        </is>
      </c>
      <c r="G219" t="n">
        <v>4.1</v>
      </c>
      <c r="H219" t="n">
        <v>0</v>
      </c>
      <c r="I219" t="n">
        <v>0</v>
      </c>
      <c r="J219" t="n">
        <v>0</v>
      </c>
      <c r="K219" t="n">
        <v>0</v>
      </c>
      <c r="L219" t="n">
        <v>0</v>
      </c>
      <c r="M219" t="n">
        <v>0</v>
      </c>
      <c r="N219" t="n">
        <v>0</v>
      </c>
      <c r="O219" t="n">
        <v>0</v>
      </c>
      <c r="P219" t="n">
        <v>0</v>
      </c>
      <c r="Q219" t="n">
        <v>0</v>
      </c>
      <c r="R219" s="2" t="inlineStr"/>
    </row>
    <row r="220" ht="15" customHeight="1">
      <c r="A220" t="inlineStr">
        <is>
          <t>A 10203-2023</t>
        </is>
      </c>
      <c r="B220" s="1" t="n">
        <v>44986.55711805556</v>
      </c>
      <c r="C220" s="1" t="n">
        <v>45966</v>
      </c>
      <c r="D220" t="inlineStr">
        <is>
          <t>ÖSTERGÖTLANDS LÄN</t>
        </is>
      </c>
      <c r="E220" t="inlineStr">
        <is>
          <t>LINKÖPING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16111-2022</t>
        </is>
      </c>
      <c r="B221" s="1" t="n">
        <v>44665</v>
      </c>
      <c r="C221" s="1" t="n">
        <v>45966</v>
      </c>
      <c r="D221" t="inlineStr">
        <is>
          <t>ÖSTERGÖTLANDS LÄN</t>
        </is>
      </c>
      <c r="E221" t="inlineStr">
        <is>
          <t>LINKÖPING</t>
        </is>
      </c>
      <c r="F221" t="inlineStr">
        <is>
          <t>Övriga Aktiebolag</t>
        </is>
      </c>
      <c r="G221" t="n">
        <v>2.9</v>
      </c>
      <c r="H221" t="n">
        <v>0</v>
      </c>
      <c r="I221" t="n">
        <v>0</v>
      </c>
      <c r="J221" t="n">
        <v>0</v>
      </c>
      <c r="K221" t="n">
        <v>0</v>
      </c>
      <c r="L221" t="n">
        <v>0</v>
      </c>
      <c r="M221" t="n">
        <v>0</v>
      </c>
      <c r="N221" t="n">
        <v>0</v>
      </c>
      <c r="O221" t="n">
        <v>0</v>
      </c>
      <c r="P221" t="n">
        <v>0</v>
      </c>
      <c r="Q221" t="n">
        <v>0</v>
      </c>
      <c r="R221" s="2" t="inlineStr"/>
    </row>
    <row r="222" ht="15" customHeight="1">
      <c r="A222" t="inlineStr">
        <is>
          <t>A 32255-2021</t>
        </is>
      </c>
      <c r="B222" s="1" t="n">
        <v>44371.45949074074</v>
      </c>
      <c r="C222" s="1" t="n">
        <v>45966</v>
      </c>
      <c r="D222" t="inlineStr">
        <is>
          <t>ÖSTERGÖTLANDS LÄN</t>
        </is>
      </c>
      <c r="E222" t="inlineStr">
        <is>
          <t>LINKÖPING</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48962-2022</t>
        </is>
      </c>
      <c r="B223" s="1" t="n">
        <v>44860.31635416667</v>
      </c>
      <c r="C223" s="1" t="n">
        <v>45966</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61281-2021</t>
        </is>
      </c>
      <c r="B224" s="1" t="n">
        <v>44498.60736111111</v>
      </c>
      <c r="C224" s="1" t="n">
        <v>45966</v>
      </c>
      <c r="D224" t="inlineStr">
        <is>
          <t>ÖSTERGÖTLANDS LÄN</t>
        </is>
      </c>
      <c r="E224" t="inlineStr">
        <is>
          <t>LINKÖPING</t>
        </is>
      </c>
      <c r="G224" t="n">
        <v>4.5</v>
      </c>
      <c r="H224" t="n">
        <v>0</v>
      </c>
      <c r="I224" t="n">
        <v>0</v>
      </c>
      <c r="J224" t="n">
        <v>0</v>
      </c>
      <c r="K224" t="n">
        <v>0</v>
      </c>
      <c r="L224" t="n">
        <v>0</v>
      </c>
      <c r="M224" t="n">
        <v>0</v>
      </c>
      <c r="N224" t="n">
        <v>0</v>
      </c>
      <c r="O224" t="n">
        <v>0</v>
      </c>
      <c r="P224" t="n">
        <v>0</v>
      </c>
      <c r="Q224" t="n">
        <v>0</v>
      </c>
      <c r="R224" s="2" t="inlineStr"/>
    </row>
    <row r="225" ht="15" customHeight="1">
      <c r="A225" t="inlineStr">
        <is>
          <t>A 25292-2021</t>
        </is>
      </c>
      <c r="B225" s="1" t="n">
        <v>44342</v>
      </c>
      <c r="C225" s="1" t="n">
        <v>45966</v>
      </c>
      <c r="D225" t="inlineStr">
        <is>
          <t>ÖSTERGÖTLANDS LÄN</t>
        </is>
      </c>
      <c r="E225" t="inlineStr">
        <is>
          <t>LINKÖPING</t>
        </is>
      </c>
      <c r="F225" t="inlineStr">
        <is>
          <t>Övriga Aktiebolag</t>
        </is>
      </c>
      <c r="G225" t="n">
        <v>12.8</v>
      </c>
      <c r="H225" t="n">
        <v>0</v>
      </c>
      <c r="I225" t="n">
        <v>0</v>
      </c>
      <c r="J225" t="n">
        <v>0</v>
      </c>
      <c r="K225" t="n">
        <v>0</v>
      </c>
      <c r="L225" t="n">
        <v>0</v>
      </c>
      <c r="M225" t="n">
        <v>0</v>
      </c>
      <c r="N225" t="n">
        <v>0</v>
      </c>
      <c r="O225" t="n">
        <v>0</v>
      </c>
      <c r="P225" t="n">
        <v>0</v>
      </c>
      <c r="Q225" t="n">
        <v>0</v>
      </c>
      <c r="R225" s="2" t="inlineStr"/>
    </row>
    <row r="226" ht="15" customHeight="1">
      <c r="A226" t="inlineStr">
        <is>
          <t>A 63935-2021</t>
        </is>
      </c>
      <c r="B226" s="1" t="n">
        <v>44509</v>
      </c>
      <c r="C226" s="1" t="n">
        <v>45966</v>
      </c>
      <c r="D226" t="inlineStr">
        <is>
          <t>ÖSTERGÖTLANDS LÄN</t>
        </is>
      </c>
      <c r="E226" t="inlineStr">
        <is>
          <t>LINKÖPING</t>
        </is>
      </c>
      <c r="F226" t="inlineStr">
        <is>
          <t>Övriga statliga verk och myndigheter</t>
        </is>
      </c>
      <c r="G226" t="n">
        <v>2.8</v>
      </c>
      <c r="H226" t="n">
        <v>0</v>
      </c>
      <c r="I226" t="n">
        <v>0</v>
      </c>
      <c r="J226" t="n">
        <v>0</v>
      </c>
      <c r="K226" t="n">
        <v>0</v>
      </c>
      <c r="L226" t="n">
        <v>0</v>
      </c>
      <c r="M226" t="n">
        <v>0</v>
      </c>
      <c r="N226" t="n">
        <v>0</v>
      </c>
      <c r="O226" t="n">
        <v>0</v>
      </c>
      <c r="P226" t="n">
        <v>0</v>
      </c>
      <c r="Q226" t="n">
        <v>0</v>
      </c>
      <c r="R226" s="2" t="inlineStr"/>
    </row>
    <row r="227" ht="15" customHeight="1">
      <c r="A227" t="inlineStr">
        <is>
          <t>A 38971-2025</t>
        </is>
      </c>
      <c r="B227" s="1" t="n">
        <v>45887.71827546296</v>
      </c>
      <c r="C227" s="1" t="n">
        <v>45966</v>
      </c>
      <c r="D227" t="inlineStr">
        <is>
          <t>ÖSTERGÖTLANDS LÄN</t>
        </is>
      </c>
      <c r="E227" t="inlineStr">
        <is>
          <t>LINKÖPING</t>
        </is>
      </c>
      <c r="G227" t="n">
        <v>3.9</v>
      </c>
      <c r="H227" t="n">
        <v>0</v>
      </c>
      <c r="I227" t="n">
        <v>0</v>
      </c>
      <c r="J227" t="n">
        <v>0</v>
      </c>
      <c r="K227" t="n">
        <v>0</v>
      </c>
      <c r="L227" t="n">
        <v>0</v>
      </c>
      <c r="M227" t="n">
        <v>0</v>
      </c>
      <c r="N227" t="n">
        <v>0</v>
      </c>
      <c r="O227" t="n">
        <v>0</v>
      </c>
      <c r="P227" t="n">
        <v>0</v>
      </c>
      <c r="Q227" t="n">
        <v>0</v>
      </c>
      <c r="R227" s="2" t="inlineStr"/>
    </row>
    <row r="228" ht="15" customHeight="1">
      <c r="A228" t="inlineStr">
        <is>
          <t>A 55345-2021</t>
        </is>
      </c>
      <c r="B228" s="1" t="n">
        <v>44475</v>
      </c>
      <c r="C228" s="1" t="n">
        <v>45966</v>
      </c>
      <c r="D228" t="inlineStr">
        <is>
          <t>ÖSTERGÖTLANDS LÄN</t>
        </is>
      </c>
      <c r="E228" t="inlineStr">
        <is>
          <t>LINKÖPING</t>
        </is>
      </c>
      <c r="G228" t="n">
        <v>5.7</v>
      </c>
      <c r="H228" t="n">
        <v>0</v>
      </c>
      <c r="I228" t="n">
        <v>0</v>
      </c>
      <c r="J228" t="n">
        <v>0</v>
      </c>
      <c r="K228" t="n">
        <v>0</v>
      </c>
      <c r="L228" t="n">
        <v>0</v>
      </c>
      <c r="M228" t="n">
        <v>0</v>
      </c>
      <c r="N228" t="n">
        <v>0</v>
      </c>
      <c r="O228" t="n">
        <v>0</v>
      </c>
      <c r="P228" t="n">
        <v>0</v>
      </c>
      <c r="Q228" t="n">
        <v>0</v>
      </c>
      <c r="R228" s="2" t="inlineStr"/>
    </row>
    <row r="229" ht="15" customHeight="1">
      <c r="A229" t="inlineStr">
        <is>
          <t>A 2618-2023</t>
        </is>
      </c>
      <c r="B229" s="1" t="n">
        <v>44944.35847222222</v>
      </c>
      <c r="C229" s="1" t="n">
        <v>45966</v>
      </c>
      <c r="D229" t="inlineStr">
        <is>
          <t>ÖSTERGÖTLANDS LÄN</t>
        </is>
      </c>
      <c r="E229" t="inlineStr">
        <is>
          <t>LINKÖPING</t>
        </is>
      </c>
      <c r="G229" t="n">
        <v>4.3</v>
      </c>
      <c r="H229" t="n">
        <v>0</v>
      </c>
      <c r="I229" t="n">
        <v>0</v>
      </c>
      <c r="J229" t="n">
        <v>0</v>
      </c>
      <c r="K229" t="n">
        <v>0</v>
      </c>
      <c r="L229" t="n">
        <v>0</v>
      </c>
      <c r="M229" t="n">
        <v>0</v>
      </c>
      <c r="N229" t="n">
        <v>0</v>
      </c>
      <c r="O229" t="n">
        <v>0</v>
      </c>
      <c r="P229" t="n">
        <v>0</v>
      </c>
      <c r="Q229" t="n">
        <v>0</v>
      </c>
      <c r="R229" s="2" t="inlineStr"/>
    </row>
    <row r="230" ht="15" customHeight="1">
      <c r="A230" t="inlineStr">
        <is>
          <t>A 27891-2021</t>
        </is>
      </c>
      <c r="B230" s="1" t="n">
        <v>44354.65108796296</v>
      </c>
      <c r="C230" s="1" t="n">
        <v>45966</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62020-2024</t>
        </is>
      </c>
      <c r="B231" s="1" t="n">
        <v>45655.83563657408</v>
      </c>
      <c r="C231" s="1" t="n">
        <v>45966</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62021-2024</t>
        </is>
      </c>
      <c r="B232" s="1" t="n">
        <v>45655.84232638889</v>
      </c>
      <c r="C232" s="1" t="n">
        <v>45966</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1268-2023</t>
        </is>
      </c>
      <c r="B233" s="1" t="n">
        <v>44936</v>
      </c>
      <c r="C233" s="1" t="n">
        <v>45966</v>
      </c>
      <c r="D233" t="inlineStr">
        <is>
          <t>ÖSTERGÖTLANDS LÄN</t>
        </is>
      </c>
      <c r="E233" t="inlineStr">
        <is>
          <t>LINKÖPING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39457-2023</t>
        </is>
      </c>
      <c r="B234" s="1" t="n">
        <v>45166</v>
      </c>
      <c r="C234" s="1" t="n">
        <v>45966</v>
      </c>
      <c r="D234" t="inlineStr">
        <is>
          <t>ÖSTERGÖTLANDS LÄN</t>
        </is>
      </c>
      <c r="E234" t="inlineStr">
        <is>
          <t>LINKÖPING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62687-2023</t>
        </is>
      </c>
      <c r="B235" s="1" t="n">
        <v>45271</v>
      </c>
      <c r="C235" s="1" t="n">
        <v>45966</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34641-2022</t>
        </is>
      </c>
      <c r="B236" s="1" t="n">
        <v>44795</v>
      </c>
      <c r="C236" s="1" t="n">
        <v>45966</v>
      </c>
      <c r="D236" t="inlineStr">
        <is>
          <t>ÖSTERGÖTLANDS LÄN</t>
        </is>
      </c>
      <c r="E236" t="inlineStr">
        <is>
          <t>LINKÖPING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1362-2023</t>
        </is>
      </c>
      <c r="B237" s="1" t="n">
        <v>44931</v>
      </c>
      <c r="C237" s="1" t="n">
        <v>45966</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938-2023</t>
        </is>
      </c>
      <c r="B238" s="1" t="n">
        <v>44933</v>
      </c>
      <c r="C238" s="1" t="n">
        <v>45966</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2389-2023</t>
        </is>
      </c>
      <c r="B239" s="1" t="n">
        <v>44942</v>
      </c>
      <c r="C239" s="1" t="n">
        <v>45966</v>
      </c>
      <c r="D239" t="inlineStr">
        <is>
          <t>ÖSTERGÖTLANDS LÄN</t>
        </is>
      </c>
      <c r="E239" t="inlineStr">
        <is>
          <t>LINKÖPING</t>
        </is>
      </c>
      <c r="G239" t="n">
        <v>3.3</v>
      </c>
      <c r="H239" t="n">
        <v>0</v>
      </c>
      <c r="I239" t="n">
        <v>0</v>
      </c>
      <c r="J239" t="n">
        <v>0</v>
      </c>
      <c r="K239" t="n">
        <v>0</v>
      </c>
      <c r="L239" t="n">
        <v>0</v>
      </c>
      <c r="M239" t="n">
        <v>0</v>
      </c>
      <c r="N239" t="n">
        <v>0</v>
      </c>
      <c r="O239" t="n">
        <v>0</v>
      </c>
      <c r="P239" t="n">
        <v>0</v>
      </c>
      <c r="Q239" t="n">
        <v>0</v>
      </c>
      <c r="R239" s="2" t="inlineStr"/>
    </row>
    <row r="240" ht="15" customHeight="1">
      <c r="A240" t="inlineStr">
        <is>
          <t>A 38235-2022</t>
        </is>
      </c>
      <c r="B240" s="1" t="n">
        <v>44812</v>
      </c>
      <c r="C240" s="1" t="n">
        <v>45966</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48-2024</t>
        </is>
      </c>
      <c r="B241" s="1" t="n">
        <v>45293</v>
      </c>
      <c r="C241" s="1" t="n">
        <v>45966</v>
      </c>
      <c r="D241" t="inlineStr">
        <is>
          <t>ÖSTERGÖTLANDS LÄN</t>
        </is>
      </c>
      <c r="E241" t="inlineStr">
        <is>
          <t>LINKÖPING</t>
        </is>
      </c>
      <c r="G241" t="n">
        <v>4.6</v>
      </c>
      <c r="H241" t="n">
        <v>0</v>
      </c>
      <c r="I241" t="n">
        <v>0</v>
      </c>
      <c r="J241" t="n">
        <v>0</v>
      </c>
      <c r="K241" t="n">
        <v>0</v>
      </c>
      <c r="L241" t="n">
        <v>0</v>
      </c>
      <c r="M241" t="n">
        <v>0</v>
      </c>
      <c r="N241" t="n">
        <v>0</v>
      </c>
      <c r="O241" t="n">
        <v>0</v>
      </c>
      <c r="P241" t="n">
        <v>0</v>
      </c>
      <c r="Q241" t="n">
        <v>0</v>
      </c>
      <c r="R241" s="2" t="inlineStr"/>
    </row>
    <row r="242" ht="15" customHeight="1">
      <c r="A242" t="inlineStr">
        <is>
          <t>A 45771-2023</t>
        </is>
      </c>
      <c r="B242" s="1" t="n">
        <v>45195.4384375</v>
      </c>
      <c r="C242" s="1" t="n">
        <v>45966</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30547-2023</t>
        </is>
      </c>
      <c r="B243" s="1" t="n">
        <v>45111.75905092592</v>
      </c>
      <c r="C243" s="1" t="n">
        <v>45966</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40502-2024</t>
        </is>
      </c>
      <c r="B244" s="1" t="n">
        <v>45555.57263888889</v>
      </c>
      <c r="C244" s="1" t="n">
        <v>45966</v>
      </c>
      <c r="D244" t="inlineStr">
        <is>
          <t>ÖSTERGÖTLANDS LÄN</t>
        </is>
      </c>
      <c r="E244" t="inlineStr">
        <is>
          <t>LINKÖPING</t>
        </is>
      </c>
      <c r="F244" t="inlineStr">
        <is>
          <t>Allmännings- och besparingsskogar</t>
        </is>
      </c>
      <c r="G244" t="n">
        <v>17.5</v>
      </c>
      <c r="H244" t="n">
        <v>0</v>
      </c>
      <c r="I244" t="n">
        <v>0</v>
      </c>
      <c r="J244" t="n">
        <v>0</v>
      </c>
      <c r="K244" t="n">
        <v>0</v>
      </c>
      <c r="L244" t="n">
        <v>0</v>
      </c>
      <c r="M244" t="n">
        <v>0</v>
      </c>
      <c r="N244" t="n">
        <v>0</v>
      </c>
      <c r="O244" t="n">
        <v>0</v>
      </c>
      <c r="P244" t="n">
        <v>0</v>
      </c>
      <c r="Q244" t="n">
        <v>0</v>
      </c>
      <c r="R244" s="2" t="inlineStr"/>
    </row>
    <row r="245" ht="15" customHeight="1">
      <c r="A245" t="inlineStr">
        <is>
          <t>A 49928-2024</t>
        </is>
      </c>
      <c r="B245" s="1" t="n">
        <v>45597.57811342592</v>
      </c>
      <c r="C245" s="1" t="n">
        <v>45966</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3627-2023</t>
        </is>
      </c>
      <c r="B246" s="1" t="n">
        <v>44950.64782407408</v>
      </c>
      <c r="C246" s="1" t="n">
        <v>45966</v>
      </c>
      <c r="D246" t="inlineStr">
        <is>
          <t>ÖSTERGÖTLANDS LÄN</t>
        </is>
      </c>
      <c r="E246" t="inlineStr">
        <is>
          <t>LINKÖPING</t>
        </is>
      </c>
      <c r="G246" t="n">
        <v>3.1</v>
      </c>
      <c r="H246" t="n">
        <v>0</v>
      </c>
      <c r="I246" t="n">
        <v>0</v>
      </c>
      <c r="J246" t="n">
        <v>0</v>
      </c>
      <c r="K246" t="n">
        <v>0</v>
      </c>
      <c r="L246" t="n">
        <v>0</v>
      </c>
      <c r="M246" t="n">
        <v>0</v>
      </c>
      <c r="N246" t="n">
        <v>0</v>
      </c>
      <c r="O246" t="n">
        <v>0</v>
      </c>
      <c r="P246" t="n">
        <v>0</v>
      </c>
      <c r="Q246" t="n">
        <v>0</v>
      </c>
      <c r="R246" s="2" t="inlineStr"/>
    </row>
    <row r="247" ht="15" customHeight="1">
      <c r="A247" t="inlineStr">
        <is>
          <t>A 51405-2023</t>
        </is>
      </c>
      <c r="B247" s="1" t="n">
        <v>45219</v>
      </c>
      <c r="C247" s="1" t="n">
        <v>45966</v>
      </c>
      <c r="D247" t="inlineStr">
        <is>
          <t>ÖSTERGÖTLANDS LÄN</t>
        </is>
      </c>
      <c r="E247" t="inlineStr">
        <is>
          <t>LINKÖPING</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11601-2023</t>
        </is>
      </c>
      <c r="B248" s="1" t="n">
        <v>44994</v>
      </c>
      <c r="C248" s="1" t="n">
        <v>45966</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40338-2024</t>
        </is>
      </c>
      <c r="B249" s="1" t="n">
        <v>45555.32940972222</v>
      </c>
      <c r="C249" s="1" t="n">
        <v>45966</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34880-2022</t>
        </is>
      </c>
      <c r="B250" s="1" t="n">
        <v>44796</v>
      </c>
      <c r="C250" s="1" t="n">
        <v>45966</v>
      </c>
      <c r="D250" t="inlineStr">
        <is>
          <t>ÖSTERGÖTLANDS LÄN</t>
        </is>
      </c>
      <c r="E250" t="inlineStr">
        <is>
          <t>LINKÖPING</t>
        </is>
      </c>
      <c r="F250" t="inlineStr">
        <is>
          <t>Övriga statliga verk och myndigheter</t>
        </is>
      </c>
      <c r="G250" t="n">
        <v>4</v>
      </c>
      <c r="H250" t="n">
        <v>0</v>
      </c>
      <c r="I250" t="n">
        <v>0</v>
      </c>
      <c r="J250" t="n">
        <v>0</v>
      </c>
      <c r="K250" t="n">
        <v>0</v>
      </c>
      <c r="L250" t="n">
        <v>0</v>
      </c>
      <c r="M250" t="n">
        <v>0</v>
      </c>
      <c r="N250" t="n">
        <v>0</v>
      </c>
      <c r="O250" t="n">
        <v>0</v>
      </c>
      <c r="P250" t="n">
        <v>0</v>
      </c>
      <c r="Q250" t="n">
        <v>0</v>
      </c>
      <c r="R250" s="2" t="inlineStr"/>
    </row>
    <row r="251" ht="15" customHeight="1">
      <c r="A251" t="inlineStr">
        <is>
          <t>A 48042-2022</t>
        </is>
      </c>
      <c r="B251" s="1" t="n">
        <v>44855</v>
      </c>
      <c r="C251" s="1" t="n">
        <v>45966</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167-2024</t>
        </is>
      </c>
      <c r="B252" s="1" t="n">
        <v>45294</v>
      </c>
      <c r="C252" s="1" t="n">
        <v>45966</v>
      </c>
      <c r="D252" t="inlineStr">
        <is>
          <t>ÖSTERGÖTLANDS LÄN</t>
        </is>
      </c>
      <c r="E252" t="inlineStr">
        <is>
          <t>LINKÖPING</t>
        </is>
      </c>
      <c r="F252" t="inlineStr">
        <is>
          <t>Allmännings- och besparingsskogar</t>
        </is>
      </c>
      <c r="G252" t="n">
        <v>11.6</v>
      </c>
      <c r="H252" t="n">
        <v>0</v>
      </c>
      <c r="I252" t="n">
        <v>0</v>
      </c>
      <c r="J252" t="n">
        <v>0</v>
      </c>
      <c r="K252" t="n">
        <v>0</v>
      </c>
      <c r="L252" t="n">
        <v>0</v>
      </c>
      <c r="M252" t="n">
        <v>0</v>
      </c>
      <c r="N252" t="n">
        <v>0</v>
      </c>
      <c r="O252" t="n">
        <v>0</v>
      </c>
      <c r="P252" t="n">
        <v>0</v>
      </c>
      <c r="Q252" t="n">
        <v>0</v>
      </c>
      <c r="R252" s="2" t="inlineStr"/>
    </row>
    <row r="253" ht="15" customHeight="1">
      <c r="A253" t="inlineStr">
        <is>
          <t>A 24464-2023</t>
        </is>
      </c>
      <c r="B253" s="1" t="n">
        <v>45082.58068287037</v>
      </c>
      <c r="C253" s="1" t="n">
        <v>45966</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24467-2023</t>
        </is>
      </c>
      <c r="B254" s="1" t="n">
        <v>45082</v>
      </c>
      <c r="C254" s="1" t="n">
        <v>45966</v>
      </c>
      <c r="D254" t="inlineStr">
        <is>
          <t>ÖSTERGÖTLANDS LÄN</t>
        </is>
      </c>
      <c r="E254" t="inlineStr">
        <is>
          <t>LINKÖPING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27186-2021</t>
        </is>
      </c>
      <c r="B255" s="1" t="n">
        <v>44350.67715277777</v>
      </c>
      <c r="C255" s="1" t="n">
        <v>45966</v>
      </c>
      <c r="D255" t="inlineStr">
        <is>
          <t>ÖSTERGÖTLANDS LÄN</t>
        </is>
      </c>
      <c r="E255" t="inlineStr">
        <is>
          <t>LINKÖPING</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48389-2024</t>
        </is>
      </c>
      <c r="B256" s="1" t="n">
        <v>45590.59991898148</v>
      </c>
      <c r="C256" s="1" t="n">
        <v>45966</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46847-2025</t>
        </is>
      </c>
      <c r="B257" s="1" t="n">
        <v>45928.69971064815</v>
      </c>
      <c r="C257" s="1" t="n">
        <v>45966</v>
      </c>
      <c r="D257" t="inlineStr">
        <is>
          <t>ÖSTERGÖTLANDS LÄN</t>
        </is>
      </c>
      <c r="E257" t="inlineStr">
        <is>
          <t>LINKÖPING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45966</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7343-2025</t>
        </is>
      </c>
      <c r="B259" s="1" t="n">
        <v>45703.67853009259</v>
      </c>
      <c r="C259" s="1" t="n">
        <v>45966</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56792-2023</t>
        </is>
      </c>
      <c r="B260" s="1" t="n">
        <v>45244</v>
      </c>
      <c r="C260" s="1" t="n">
        <v>45966</v>
      </c>
      <c r="D260" t="inlineStr">
        <is>
          <t>ÖSTERGÖTLANDS LÄN</t>
        </is>
      </c>
      <c r="E260" t="inlineStr">
        <is>
          <t>LINKÖPING</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47606-2025</t>
        </is>
      </c>
      <c r="B261" s="1" t="n">
        <v>45931.46402777778</v>
      </c>
      <c r="C261" s="1" t="n">
        <v>45966</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48271-2023</t>
        </is>
      </c>
      <c r="B262" s="1" t="n">
        <v>45205</v>
      </c>
      <c r="C262" s="1" t="n">
        <v>45966</v>
      </c>
      <c r="D262" t="inlineStr">
        <is>
          <t>ÖSTERGÖTLANDS LÄN</t>
        </is>
      </c>
      <c r="E262" t="inlineStr">
        <is>
          <t>LINKÖPING</t>
        </is>
      </c>
      <c r="G262" t="n">
        <v>3</v>
      </c>
      <c r="H262" t="n">
        <v>0</v>
      </c>
      <c r="I262" t="n">
        <v>0</v>
      </c>
      <c r="J262" t="n">
        <v>0</v>
      </c>
      <c r="K262" t="n">
        <v>0</v>
      </c>
      <c r="L262" t="n">
        <v>0</v>
      </c>
      <c r="M262" t="n">
        <v>0</v>
      </c>
      <c r="N262" t="n">
        <v>0</v>
      </c>
      <c r="O262" t="n">
        <v>0</v>
      </c>
      <c r="P262" t="n">
        <v>0</v>
      </c>
      <c r="Q262" t="n">
        <v>0</v>
      </c>
      <c r="R262" s="2" t="inlineStr"/>
    </row>
    <row r="263" ht="15" customHeight="1">
      <c r="A263" t="inlineStr">
        <is>
          <t>A 39017-2021</t>
        </is>
      </c>
      <c r="B263" s="1" t="n">
        <v>44412</v>
      </c>
      <c r="C263" s="1" t="n">
        <v>45966</v>
      </c>
      <c r="D263" t="inlineStr">
        <is>
          <t>ÖSTERGÖTLANDS LÄN</t>
        </is>
      </c>
      <c r="E263" t="inlineStr">
        <is>
          <t>LINKÖPING</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12720-2022</t>
        </is>
      </c>
      <c r="B264" s="1" t="n">
        <v>44641</v>
      </c>
      <c r="C264" s="1" t="n">
        <v>45966</v>
      </c>
      <c r="D264" t="inlineStr">
        <is>
          <t>ÖSTERGÖTLANDS LÄN</t>
        </is>
      </c>
      <c r="E264" t="inlineStr">
        <is>
          <t>LINKÖPING</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47233-2025</t>
        </is>
      </c>
      <c r="B265" s="1" t="n">
        <v>45930.40612268518</v>
      </c>
      <c r="C265" s="1" t="n">
        <v>45966</v>
      </c>
      <c r="D265" t="inlineStr">
        <is>
          <t>ÖSTERGÖTLANDS LÄN</t>
        </is>
      </c>
      <c r="E265" t="inlineStr">
        <is>
          <t>LINKÖPING</t>
        </is>
      </c>
      <c r="G265" t="n">
        <v>4.3</v>
      </c>
      <c r="H265" t="n">
        <v>0</v>
      </c>
      <c r="I265" t="n">
        <v>0</v>
      </c>
      <c r="J265" t="n">
        <v>0</v>
      </c>
      <c r="K265" t="n">
        <v>0</v>
      </c>
      <c r="L265" t="n">
        <v>0</v>
      </c>
      <c r="M265" t="n">
        <v>0</v>
      </c>
      <c r="N265" t="n">
        <v>0</v>
      </c>
      <c r="O265" t="n">
        <v>0</v>
      </c>
      <c r="P265" t="n">
        <v>0</v>
      </c>
      <c r="Q265" t="n">
        <v>0</v>
      </c>
      <c r="R265" s="2" t="inlineStr"/>
    </row>
    <row r="266" ht="15" customHeight="1">
      <c r="A266" t="inlineStr">
        <is>
          <t>A 62018-2024</t>
        </is>
      </c>
      <c r="B266" s="1" t="n">
        <v>45655.81387731482</v>
      </c>
      <c r="C266" s="1" t="n">
        <v>45966</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39438-2025</t>
        </is>
      </c>
      <c r="B267" s="1" t="n">
        <v>45889.68641203704</v>
      </c>
      <c r="C267" s="1" t="n">
        <v>45966</v>
      </c>
      <c r="D267" t="inlineStr">
        <is>
          <t>ÖSTERGÖTLANDS LÄN</t>
        </is>
      </c>
      <c r="E267" t="inlineStr">
        <is>
          <t>LINKÖPING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47304-2025</t>
        </is>
      </c>
      <c r="B268" s="1" t="n">
        <v>45930.52037037037</v>
      </c>
      <c r="C268" s="1" t="n">
        <v>45966</v>
      </c>
      <c r="D268" t="inlineStr">
        <is>
          <t>ÖSTERGÖTLANDS LÄN</t>
        </is>
      </c>
      <c r="E268" t="inlineStr">
        <is>
          <t>LINKÖPING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1260-2023</t>
        </is>
      </c>
      <c r="B269" s="1" t="n">
        <v>44936</v>
      </c>
      <c r="C269" s="1" t="n">
        <v>45966</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27264-2025</t>
        </is>
      </c>
      <c r="B270" s="1" t="n">
        <v>45812.4794212963</v>
      </c>
      <c r="C270" s="1" t="n">
        <v>45966</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1355-2023</t>
        </is>
      </c>
      <c r="B271" s="1" t="n">
        <v>44931</v>
      </c>
      <c r="C271" s="1" t="n">
        <v>45966</v>
      </c>
      <c r="D271" t="inlineStr">
        <is>
          <t>ÖSTERGÖTLANDS LÄN</t>
        </is>
      </c>
      <c r="E271" t="inlineStr">
        <is>
          <t>LINKÖPING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3007-2025</t>
        </is>
      </c>
      <c r="B272" s="1" t="n">
        <v>45678.56328703704</v>
      </c>
      <c r="C272" s="1" t="n">
        <v>45966</v>
      </c>
      <c r="D272" t="inlineStr">
        <is>
          <t>ÖSTERGÖTLANDS LÄN</t>
        </is>
      </c>
      <c r="E272" t="inlineStr">
        <is>
          <t>LINKÖPING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3008-2023</t>
        </is>
      </c>
      <c r="B273" s="1" t="n">
        <v>44945.79784722222</v>
      </c>
      <c r="C273" s="1" t="n">
        <v>45966</v>
      </c>
      <c r="D273" t="inlineStr">
        <is>
          <t>ÖSTERGÖTLANDS LÄN</t>
        </is>
      </c>
      <c r="E273" t="inlineStr">
        <is>
          <t>LINKÖPING</t>
        </is>
      </c>
      <c r="G273" t="n">
        <v>19.3</v>
      </c>
      <c r="H273" t="n">
        <v>0</v>
      </c>
      <c r="I273" t="n">
        <v>0</v>
      </c>
      <c r="J273" t="n">
        <v>0</v>
      </c>
      <c r="K273" t="n">
        <v>0</v>
      </c>
      <c r="L273" t="n">
        <v>0</v>
      </c>
      <c r="M273" t="n">
        <v>0</v>
      </c>
      <c r="N273" t="n">
        <v>0</v>
      </c>
      <c r="O273" t="n">
        <v>0</v>
      </c>
      <c r="P273" t="n">
        <v>0</v>
      </c>
      <c r="Q273" t="n">
        <v>0</v>
      </c>
      <c r="R273" s="2" t="inlineStr"/>
    </row>
    <row r="274" ht="15" customHeight="1">
      <c r="A274" t="inlineStr">
        <is>
          <t>A 12035-2025</t>
        </is>
      </c>
      <c r="B274" s="1" t="n">
        <v>45728.64946759259</v>
      </c>
      <c r="C274" s="1" t="n">
        <v>45966</v>
      </c>
      <c r="D274" t="inlineStr">
        <is>
          <t>ÖSTERGÖTLANDS LÄN</t>
        </is>
      </c>
      <c r="E274" t="inlineStr">
        <is>
          <t>LINKÖPING</t>
        </is>
      </c>
      <c r="G274" t="n">
        <v>3.7</v>
      </c>
      <c r="H274" t="n">
        <v>0</v>
      </c>
      <c r="I274" t="n">
        <v>0</v>
      </c>
      <c r="J274" t="n">
        <v>0</v>
      </c>
      <c r="K274" t="n">
        <v>0</v>
      </c>
      <c r="L274" t="n">
        <v>0</v>
      </c>
      <c r="M274" t="n">
        <v>0</v>
      </c>
      <c r="N274" t="n">
        <v>0</v>
      </c>
      <c r="O274" t="n">
        <v>0</v>
      </c>
      <c r="P274" t="n">
        <v>0</v>
      </c>
      <c r="Q274" t="n">
        <v>0</v>
      </c>
      <c r="R274" s="2" t="inlineStr"/>
    </row>
    <row r="275" ht="15" customHeight="1">
      <c r="A275" t="inlineStr">
        <is>
          <t>A 10492-2022</t>
        </is>
      </c>
      <c r="B275" s="1" t="n">
        <v>44623.6377199074</v>
      </c>
      <c r="C275" s="1" t="n">
        <v>45966</v>
      </c>
      <c r="D275" t="inlineStr">
        <is>
          <t>ÖSTERGÖTLANDS LÄN</t>
        </is>
      </c>
      <c r="E275" t="inlineStr">
        <is>
          <t>LINKÖPING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30551-2023</t>
        </is>
      </c>
      <c r="B276" s="1" t="n">
        <v>45111</v>
      </c>
      <c r="C276" s="1" t="n">
        <v>45966</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30860-2022</t>
        </is>
      </c>
      <c r="B277" s="1" t="n">
        <v>44767</v>
      </c>
      <c r="C277" s="1" t="n">
        <v>45966</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30465-2023</t>
        </is>
      </c>
      <c r="B278" s="1" t="n">
        <v>45111</v>
      </c>
      <c r="C278" s="1" t="n">
        <v>45966</v>
      </c>
      <c r="D278" t="inlineStr">
        <is>
          <t>ÖSTERGÖTLANDS LÄN</t>
        </is>
      </c>
      <c r="E278" t="inlineStr">
        <is>
          <t>LINKÖPING</t>
        </is>
      </c>
      <c r="F278" t="inlineStr">
        <is>
          <t>Övriga Aktiebolag</t>
        </is>
      </c>
      <c r="G278" t="n">
        <v>0.7</v>
      </c>
      <c r="H278" t="n">
        <v>0</v>
      </c>
      <c r="I278" t="n">
        <v>0</v>
      </c>
      <c r="J278" t="n">
        <v>0</v>
      </c>
      <c r="K278" t="n">
        <v>0</v>
      </c>
      <c r="L278" t="n">
        <v>0</v>
      </c>
      <c r="M278" t="n">
        <v>0</v>
      </c>
      <c r="N278" t="n">
        <v>0</v>
      </c>
      <c r="O278" t="n">
        <v>0</v>
      </c>
      <c r="P278" t="n">
        <v>0</v>
      </c>
      <c r="Q278" t="n">
        <v>0</v>
      </c>
      <c r="R278" s="2" t="inlineStr"/>
    </row>
    <row r="279" ht="15" customHeight="1">
      <c r="A279" t="inlineStr">
        <is>
          <t>A 60004-2022</t>
        </is>
      </c>
      <c r="B279" s="1" t="n">
        <v>44909.47206018519</v>
      </c>
      <c r="C279" s="1" t="n">
        <v>45966</v>
      </c>
      <c r="D279" t="inlineStr">
        <is>
          <t>ÖSTERGÖTLANDS LÄN</t>
        </is>
      </c>
      <c r="E279" t="inlineStr">
        <is>
          <t>LINKÖPING</t>
        </is>
      </c>
      <c r="G279" t="n">
        <v>2.2</v>
      </c>
      <c r="H279" t="n">
        <v>0</v>
      </c>
      <c r="I279" t="n">
        <v>0</v>
      </c>
      <c r="J279" t="n">
        <v>0</v>
      </c>
      <c r="K279" t="n">
        <v>0</v>
      </c>
      <c r="L279" t="n">
        <v>0</v>
      </c>
      <c r="M279" t="n">
        <v>0</v>
      </c>
      <c r="N279" t="n">
        <v>0</v>
      </c>
      <c r="O279" t="n">
        <v>0</v>
      </c>
      <c r="P279" t="n">
        <v>0</v>
      </c>
      <c r="Q279" t="n">
        <v>0</v>
      </c>
      <c r="R279" s="2" t="inlineStr"/>
    </row>
    <row r="280" ht="15" customHeight="1">
      <c r="A280" t="inlineStr">
        <is>
          <t>A 60010-2022</t>
        </is>
      </c>
      <c r="B280" s="1" t="n">
        <v>44909.4740625</v>
      </c>
      <c r="C280" s="1" t="n">
        <v>45966</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53827-2023</t>
        </is>
      </c>
      <c r="B281" s="1" t="n">
        <v>45230</v>
      </c>
      <c r="C281" s="1" t="n">
        <v>45966</v>
      </c>
      <c r="D281" t="inlineStr">
        <is>
          <t>ÖSTERGÖTLANDS LÄN</t>
        </is>
      </c>
      <c r="E281" t="inlineStr">
        <is>
          <t>LINKÖPING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34558-2022</t>
        </is>
      </c>
      <c r="B282" s="1" t="n">
        <v>44794.57594907407</v>
      </c>
      <c r="C282" s="1" t="n">
        <v>45966</v>
      </c>
      <c r="D282" t="inlineStr">
        <is>
          <t>ÖSTERGÖTLANDS LÄN</t>
        </is>
      </c>
      <c r="E282" t="inlineStr">
        <is>
          <t>LINKÖPING</t>
        </is>
      </c>
      <c r="G282" t="n">
        <v>2.2</v>
      </c>
      <c r="H282" t="n">
        <v>0</v>
      </c>
      <c r="I282" t="n">
        <v>0</v>
      </c>
      <c r="J282" t="n">
        <v>0</v>
      </c>
      <c r="K282" t="n">
        <v>0</v>
      </c>
      <c r="L282" t="n">
        <v>0</v>
      </c>
      <c r="M282" t="n">
        <v>0</v>
      </c>
      <c r="N282" t="n">
        <v>0</v>
      </c>
      <c r="O282" t="n">
        <v>0</v>
      </c>
      <c r="P282" t="n">
        <v>0</v>
      </c>
      <c r="Q282" t="n">
        <v>0</v>
      </c>
      <c r="R282" s="2" t="inlineStr"/>
    </row>
    <row r="283" ht="15" customHeight="1">
      <c r="A283" t="inlineStr">
        <is>
          <t>A 63489-2023</t>
        </is>
      </c>
      <c r="B283" s="1" t="n">
        <v>45274.66761574074</v>
      </c>
      <c r="C283" s="1" t="n">
        <v>45966</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39074-2025</t>
        </is>
      </c>
      <c r="B284" s="1" t="n">
        <v>45888</v>
      </c>
      <c r="C284" s="1" t="n">
        <v>45966</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39021-2021</t>
        </is>
      </c>
      <c r="B285" s="1" t="n">
        <v>44412</v>
      </c>
      <c r="C285" s="1" t="n">
        <v>45966</v>
      </c>
      <c r="D285" t="inlineStr">
        <is>
          <t>ÖSTERGÖTLANDS LÄN</t>
        </is>
      </c>
      <c r="E285" t="inlineStr">
        <is>
          <t>LINKÖPING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72567-2021</t>
        </is>
      </c>
      <c r="B286" s="1" t="n">
        <v>44546.45023148148</v>
      </c>
      <c r="C286" s="1" t="n">
        <v>45966</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28266-2024</t>
        </is>
      </c>
      <c r="B287" s="1" t="n">
        <v>45477.43600694444</v>
      </c>
      <c r="C287" s="1" t="n">
        <v>45966</v>
      </c>
      <c r="D287" t="inlineStr">
        <is>
          <t>ÖSTERGÖTLANDS LÄN</t>
        </is>
      </c>
      <c r="E287" t="inlineStr">
        <is>
          <t>LINKÖPING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4256-2022</t>
        </is>
      </c>
      <c r="B288" s="1" t="n">
        <v>44588</v>
      </c>
      <c r="C288" s="1" t="n">
        <v>45966</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61649-2023</t>
        </is>
      </c>
      <c r="B289" s="1" t="n">
        <v>45265</v>
      </c>
      <c r="C289" s="1" t="n">
        <v>45966</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62353-2022</t>
        </is>
      </c>
      <c r="B290" s="1" t="n">
        <v>44923</v>
      </c>
      <c r="C290" s="1" t="n">
        <v>45966</v>
      </c>
      <c r="D290" t="inlineStr">
        <is>
          <t>ÖSTERGÖTLANDS LÄN</t>
        </is>
      </c>
      <c r="E290" t="inlineStr">
        <is>
          <t>LINKÖPING</t>
        </is>
      </c>
      <c r="F290" t="inlineStr">
        <is>
          <t>Allmännings- och besparingsskogar</t>
        </is>
      </c>
      <c r="G290" t="n">
        <v>1.7</v>
      </c>
      <c r="H290" t="n">
        <v>0</v>
      </c>
      <c r="I290" t="n">
        <v>0</v>
      </c>
      <c r="J290" t="n">
        <v>0</v>
      </c>
      <c r="K290" t="n">
        <v>0</v>
      </c>
      <c r="L290" t="n">
        <v>0</v>
      </c>
      <c r="M290" t="n">
        <v>0</v>
      </c>
      <c r="N290" t="n">
        <v>0</v>
      </c>
      <c r="O290" t="n">
        <v>0</v>
      </c>
      <c r="P290" t="n">
        <v>0</v>
      </c>
      <c r="Q290" t="n">
        <v>0</v>
      </c>
      <c r="R290" s="2" t="inlineStr"/>
    </row>
    <row r="291" ht="15" customHeight="1">
      <c r="A291" t="inlineStr">
        <is>
          <t>A 30111-2024</t>
        </is>
      </c>
      <c r="B291" s="1" t="n">
        <v>45489.46947916667</v>
      </c>
      <c r="C291" s="1" t="n">
        <v>45966</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30119-2024</t>
        </is>
      </c>
      <c r="B292" s="1" t="n">
        <v>45489</v>
      </c>
      <c r="C292" s="1" t="n">
        <v>45966</v>
      </c>
      <c r="D292" t="inlineStr">
        <is>
          <t>ÖSTERGÖTLANDS LÄN</t>
        </is>
      </c>
      <c r="E292" t="inlineStr">
        <is>
          <t>LINKÖPING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29411-2023</t>
        </is>
      </c>
      <c r="B293" s="1" t="n">
        <v>45106.46225694445</v>
      </c>
      <c r="C293" s="1" t="n">
        <v>45966</v>
      </c>
      <c r="D293" t="inlineStr">
        <is>
          <t>ÖSTERGÖTLANDS LÄN</t>
        </is>
      </c>
      <c r="E293" t="inlineStr">
        <is>
          <t>LINKÖPING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29412-2023</t>
        </is>
      </c>
      <c r="B294" s="1" t="n">
        <v>45106.46359953703</v>
      </c>
      <c r="C294" s="1" t="n">
        <v>45966</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31792-2021</t>
        </is>
      </c>
      <c r="B295" s="1" t="n">
        <v>44369</v>
      </c>
      <c r="C295" s="1" t="n">
        <v>45966</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25418-2023</t>
        </is>
      </c>
      <c r="B296" s="1" t="n">
        <v>45089</v>
      </c>
      <c r="C296" s="1" t="n">
        <v>45966</v>
      </c>
      <c r="D296" t="inlineStr">
        <is>
          <t>ÖSTERGÖTLANDS LÄN</t>
        </is>
      </c>
      <c r="E296" t="inlineStr">
        <is>
          <t>LINKÖPING</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421-2024</t>
        </is>
      </c>
      <c r="B297" s="1" t="n">
        <v>45296.51877314815</v>
      </c>
      <c r="C297" s="1" t="n">
        <v>45966</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22043-2023</t>
        </is>
      </c>
      <c r="B298" s="1" t="n">
        <v>45069.39050925926</v>
      </c>
      <c r="C298" s="1" t="n">
        <v>45966</v>
      </c>
      <c r="D298" t="inlineStr">
        <is>
          <t>ÖSTERGÖTLANDS LÄN</t>
        </is>
      </c>
      <c r="E298" t="inlineStr">
        <is>
          <t>LINKÖPING</t>
        </is>
      </c>
      <c r="G298" t="n">
        <v>5.9</v>
      </c>
      <c r="H298" t="n">
        <v>0</v>
      </c>
      <c r="I298" t="n">
        <v>0</v>
      </c>
      <c r="J298" t="n">
        <v>0</v>
      </c>
      <c r="K298" t="n">
        <v>0</v>
      </c>
      <c r="L298" t="n">
        <v>0</v>
      </c>
      <c r="M298" t="n">
        <v>0</v>
      </c>
      <c r="N298" t="n">
        <v>0</v>
      </c>
      <c r="O298" t="n">
        <v>0</v>
      </c>
      <c r="P298" t="n">
        <v>0</v>
      </c>
      <c r="Q298" t="n">
        <v>0</v>
      </c>
      <c r="R298" s="2" t="inlineStr"/>
    </row>
    <row r="299" ht="15" customHeight="1">
      <c r="A299" t="inlineStr">
        <is>
          <t>A 223-2024</t>
        </is>
      </c>
      <c r="B299" s="1" t="n">
        <v>45294.72739583333</v>
      </c>
      <c r="C299" s="1" t="n">
        <v>45966</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48343-2025</t>
        </is>
      </c>
      <c r="B300" s="1" t="n">
        <v>45932</v>
      </c>
      <c r="C300" s="1" t="n">
        <v>45966</v>
      </c>
      <c r="D300" t="inlineStr">
        <is>
          <t>ÖSTERGÖTLANDS LÄN</t>
        </is>
      </c>
      <c r="E300" t="inlineStr">
        <is>
          <t>LINKÖPING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61532-2021</t>
        </is>
      </c>
      <c r="B301" s="1" t="n">
        <v>44501</v>
      </c>
      <c r="C301" s="1" t="n">
        <v>45966</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14028-2024</t>
        </is>
      </c>
      <c r="B302" s="1" t="n">
        <v>45392</v>
      </c>
      <c r="C302" s="1" t="n">
        <v>45966</v>
      </c>
      <c r="D302" t="inlineStr">
        <is>
          <t>ÖSTERGÖTLANDS LÄN</t>
        </is>
      </c>
      <c r="E302" t="inlineStr">
        <is>
          <t>LINKÖPING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40431-2024</t>
        </is>
      </c>
      <c r="B303" s="1" t="n">
        <v>45555.47070601852</v>
      </c>
      <c r="C303" s="1" t="n">
        <v>45966</v>
      </c>
      <c r="D303" t="inlineStr">
        <is>
          <t>ÖSTERGÖTLANDS LÄN</t>
        </is>
      </c>
      <c r="E303" t="inlineStr">
        <is>
          <t>LINKÖPING</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48266-2025</t>
        </is>
      </c>
      <c r="B304" s="1" t="n">
        <v>45932</v>
      </c>
      <c r="C304" s="1" t="n">
        <v>45966</v>
      </c>
      <c r="D304" t="inlineStr">
        <is>
          <t>ÖSTERGÖTLANDS LÄN</t>
        </is>
      </c>
      <c r="E304" t="inlineStr">
        <is>
          <t>LINKÖPING</t>
        </is>
      </c>
      <c r="F304" t="inlineStr">
        <is>
          <t>Övriga Aktiebolag</t>
        </is>
      </c>
      <c r="G304" t="n">
        <v>0.5</v>
      </c>
      <c r="H304" t="n">
        <v>0</v>
      </c>
      <c r="I304" t="n">
        <v>0</v>
      </c>
      <c r="J304" t="n">
        <v>0</v>
      </c>
      <c r="K304" t="n">
        <v>0</v>
      </c>
      <c r="L304" t="n">
        <v>0</v>
      </c>
      <c r="M304" t="n">
        <v>0</v>
      </c>
      <c r="N304" t="n">
        <v>0</v>
      </c>
      <c r="O304" t="n">
        <v>0</v>
      </c>
      <c r="P304" t="n">
        <v>0</v>
      </c>
      <c r="Q304" t="n">
        <v>0</v>
      </c>
      <c r="R304" s="2" t="inlineStr"/>
    </row>
    <row r="305" ht="15" customHeight="1">
      <c r="A305" t="inlineStr">
        <is>
          <t>A 19464-2024</t>
        </is>
      </c>
      <c r="B305" s="1" t="n">
        <v>45429</v>
      </c>
      <c r="C305" s="1" t="n">
        <v>45966</v>
      </c>
      <c r="D305" t="inlineStr">
        <is>
          <t>ÖSTERGÖTLANDS LÄN</t>
        </is>
      </c>
      <c r="E305" t="inlineStr">
        <is>
          <t>LINKÖPING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630-2024</t>
        </is>
      </c>
      <c r="B306" s="1" t="n">
        <v>45299.67736111111</v>
      </c>
      <c r="C306" s="1" t="n">
        <v>45966</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22772-2024</t>
        </is>
      </c>
      <c r="B307" s="1" t="n">
        <v>45448.46712962963</v>
      </c>
      <c r="C307" s="1" t="n">
        <v>45966</v>
      </c>
      <c r="D307" t="inlineStr">
        <is>
          <t>ÖSTERGÖTLANDS LÄN</t>
        </is>
      </c>
      <c r="E307" t="inlineStr">
        <is>
          <t>LINKÖPING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60860-2024</t>
        </is>
      </c>
      <c r="B308" s="1" t="n">
        <v>45644.6893287037</v>
      </c>
      <c r="C308" s="1" t="n">
        <v>45966</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48254-2025</t>
        </is>
      </c>
      <c r="B309" s="1" t="n">
        <v>45932</v>
      </c>
      <c r="C309" s="1" t="n">
        <v>45966</v>
      </c>
      <c r="D309" t="inlineStr">
        <is>
          <t>ÖSTERGÖTLANDS LÄN</t>
        </is>
      </c>
      <c r="E309" t="inlineStr">
        <is>
          <t>LINKÖPING</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2697-2023</t>
        </is>
      </c>
      <c r="B310" s="1" t="n">
        <v>44944</v>
      </c>
      <c r="C310" s="1" t="n">
        <v>45966</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30433-2024</t>
        </is>
      </c>
      <c r="B311" s="1" t="n">
        <v>45491.69741898148</v>
      </c>
      <c r="C311" s="1" t="n">
        <v>45966</v>
      </c>
      <c r="D311" t="inlineStr">
        <is>
          <t>ÖSTERGÖTLANDS LÄN</t>
        </is>
      </c>
      <c r="E311" t="inlineStr">
        <is>
          <t>LINKÖPING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45806-2024</t>
        </is>
      </c>
      <c r="B312" s="1" t="n">
        <v>45579.69619212963</v>
      </c>
      <c r="C312" s="1" t="n">
        <v>45966</v>
      </c>
      <c r="D312" t="inlineStr">
        <is>
          <t>ÖSTERGÖTLANDS LÄN</t>
        </is>
      </c>
      <c r="E312" t="inlineStr">
        <is>
          <t>LINKÖPING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56756-2023</t>
        </is>
      </c>
      <c r="B313" s="1" t="n">
        <v>45244</v>
      </c>
      <c r="C313" s="1" t="n">
        <v>45966</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40169-2025</t>
        </is>
      </c>
      <c r="B314" s="1" t="n">
        <v>45894.62824074074</v>
      </c>
      <c r="C314" s="1" t="n">
        <v>45966</v>
      </c>
      <c r="D314" t="inlineStr">
        <is>
          <t>ÖSTERGÖTLANDS LÄN</t>
        </is>
      </c>
      <c r="E314" t="inlineStr">
        <is>
          <t>LINKÖPING</t>
        </is>
      </c>
      <c r="G314" t="n">
        <v>2.8</v>
      </c>
      <c r="H314" t="n">
        <v>0</v>
      </c>
      <c r="I314" t="n">
        <v>0</v>
      </c>
      <c r="J314" t="n">
        <v>0</v>
      </c>
      <c r="K314" t="n">
        <v>0</v>
      </c>
      <c r="L314" t="n">
        <v>0</v>
      </c>
      <c r="M314" t="n">
        <v>0</v>
      </c>
      <c r="N314" t="n">
        <v>0</v>
      </c>
      <c r="O314" t="n">
        <v>0</v>
      </c>
      <c r="P314" t="n">
        <v>0</v>
      </c>
      <c r="Q314" t="n">
        <v>0</v>
      </c>
      <c r="R314" s="2" t="inlineStr"/>
    </row>
    <row r="315" ht="15" customHeight="1">
      <c r="A315" t="inlineStr">
        <is>
          <t>A 63528-2023</t>
        </is>
      </c>
      <c r="B315" s="1" t="n">
        <v>45274.94810185185</v>
      </c>
      <c r="C315" s="1" t="n">
        <v>45966</v>
      </c>
      <c r="D315" t="inlineStr">
        <is>
          <t>ÖSTERGÖTLANDS LÄN</t>
        </is>
      </c>
      <c r="E315" t="inlineStr">
        <is>
          <t>LINKÖPING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61936-2023</t>
        </is>
      </c>
      <c r="B316" s="1" t="n">
        <v>45266.54534722222</v>
      </c>
      <c r="C316" s="1" t="n">
        <v>45966</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62492-2023</t>
        </is>
      </c>
      <c r="B317" s="1" t="n">
        <v>45268.58987268519</v>
      </c>
      <c r="C317" s="1" t="n">
        <v>45966</v>
      </c>
      <c r="D317" t="inlineStr">
        <is>
          <t>ÖSTERGÖTLANDS LÄN</t>
        </is>
      </c>
      <c r="E317" t="inlineStr">
        <is>
          <t>LINKÖPING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60985-2023</t>
        </is>
      </c>
      <c r="B318" s="1" t="n">
        <v>45261.48429398148</v>
      </c>
      <c r="C318" s="1" t="n">
        <v>45966</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24904-2024</t>
        </is>
      </c>
      <c r="B319" s="1" t="n">
        <v>45461</v>
      </c>
      <c r="C319" s="1" t="n">
        <v>45966</v>
      </c>
      <c r="D319" t="inlineStr">
        <is>
          <t>ÖSTERGÖTLANDS LÄN</t>
        </is>
      </c>
      <c r="E319" t="inlineStr">
        <is>
          <t>LINKÖPING</t>
        </is>
      </c>
      <c r="G319" t="n">
        <v>3.8</v>
      </c>
      <c r="H319" t="n">
        <v>0</v>
      </c>
      <c r="I319" t="n">
        <v>0</v>
      </c>
      <c r="J319" t="n">
        <v>0</v>
      </c>
      <c r="K319" t="n">
        <v>0</v>
      </c>
      <c r="L319" t="n">
        <v>0</v>
      </c>
      <c r="M319" t="n">
        <v>0</v>
      </c>
      <c r="N319" t="n">
        <v>0</v>
      </c>
      <c r="O319" t="n">
        <v>0</v>
      </c>
      <c r="P319" t="n">
        <v>0</v>
      </c>
      <c r="Q319" t="n">
        <v>0</v>
      </c>
      <c r="R319" s="2" t="inlineStr"/>
    </row>
    <row r="320" ht="15" customHeight="1">
      <c r="A320" t="inlineStr">
        <is>
          <t>A 55009-2023</t>
        </is>
      </c>
      <c r="B320" s="1" t="n">
        <v>45237</v>
      </c>
      <c r="C320" s="1" t="n">
        <v>45966</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34872-2023</t>
        </is>
      </c>
      <c r="B321" s="1" t="n">
        <v>45140</v>
      </c>
      <c r="C321" s="1" t="n">
        <v>45966</v>
      </c>
      <c r="D321" t="inlineStr">
        <is>
          <t>ÖSTERGÖTLANDS LÄN</t>
        </is>
      </c>
      <c r="E321" t="inlineStr">
        <is>
          <t>LINKÖPING</t>
        </is>
      </c>
      <c r="G321" t="n">
        <v>4.8</v>
      </c>
      <c r="H321" t="n">
        <v>0</v>
      </c>
      <c r="I321" t="n">
        <v>0</v>
      </c>
      <c r="J321" t="n">
        <v>0</v>
      </c>
      <c r="K321" t="n">
        <v>0</v>
      </c>
      <c r="L321" t="n">
        <v>0</v>
      </c>
      <c r="M321" t="n">
        <v>0</v>
      </c>
      <c r="N321" t="n">
        <v>0</v>
      </c>
      <c r="O321" t="n">
        <v>0</v>
      </c>
      <c r="P321" t="n">
        <v>0</v>
      </c>
      <c r="Q321" t="n">
        <v>0</v>
      </c>
      <c r="R321" s="2" t="inlineStr"/>
    </row>
    <row r="322" ht="15" customHeight="1">
      <c r="A322" t="inlineStr">
        <is>
          <t>A 674-2024</t>
        </is>
      </c>
      <c r="B322" s="1" t="n">
        <v>45300.34408564815</v>
      </c>
      <c r="C322" s="1" t="n">
        <v>45966</v>
      </c>
      <c r="D322" t="inlineStr">
        <is>
          <t>ÖSTERGÖTLANDS LÄN</t>
        </is>
      </c>
      <c r="E322" t="inlineStr">
        <is>
          <t>LINKÖPING</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20455-2024</t>
        </is>
      </c>
      <c r="B323" s="1" t="n">
        <v>45435.65314814815</v>
      </c>
      <c r="C323" s="1" t="n">
        <v>45966</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224-2024</t>
        </is>
      </c>
      <c r="B324" s="1" t="n">
        <v>45294</v>
      </c>
      <c r="C324" s="1" t="n">
        <v>45966</v>
      </c>
      <c r="D324" t="inlineStr">
        <is>
          <t>ÖSTERGÖTLANDS LÄN</t>
        </is>
      </c>
      <c r="E324" t="inlineStr">
        <is>
          <t>LINKÖPING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36336-2022</t>
        </is>
      </c>
      <c r="B325" s="1" t="n">
        <v>44803</v>
      </c>
      <c r="C325" s="1" t="n">
        <v>45966</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49615-2025</t>
        </is>
      </c>
      <c r="B326" s="1" t="n">
        <v>45938</v>
      </c>
      <c r="C326" s="1" t="n">
        <v>45966</v>
      </c>
      <c r="D326" t="inlineStr">
        <is>
          <t>ÖSTERGÖTLANDS LÄN</t>
        </is>
      </c>
      <c r="E326" t="inlineStr">
        <is>
          <t>LINKÖPING</t>
        </is>
      </c>
      <c r="F326" t="inlineStr">
        <is>
          <t>Övriga Aktiebolag</t>
        </is>
      </c>
      <c r="G326" t="n">
        <v>1.6</v>
      </c>
      <c r="H326" t="n">
        <v>0</v>
      </c>
      <c r="I326" t="n">
        <v>0</v>
      </c>
      <c r="J326" t="n">
        <v>0</v>
      </c>
      <c r="K326" t="n">
        <v>0</v>
      </c>
      <c r="L326" t="n">
        <v>0</v>
      </c>
      <c r="M326" t="n">
        <v>0</v>
      </c>
      <c r="N326" t="n">
        <v>0</v>
      </c>
      <c r="O326" t="n">
        <v>0</v>
      </c>
      <c r="P326" t="n">
        <v>0</v>
      </c>
      <c r="Q326" t="n">
        <v>0</v>
      </c>
      <c r="R326" s="2" t="inlineStr"/>
    </row>
    <row r="327" ht="15" customHeight="1">
      <c r="A327" t="inlineStr">
        <is>
          <t>A 49619-2025</t>
        </is>
      </c>
      <c r="B327" s="1" t="n">
        <v>45938</v>
      </c>
      <c r="C327" s="1" t="n">
        <v>45966</v>
      </c>
      <c r="D327" t="inlineStr">
        <is>
          <t>ÖSTERGÖTLANDS LÄN</t>
        </is>
      </c>
      <c r="E327" t="inlineStr">
        <is>
          <t>LINKÖPING</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6782-2024</t>
        </is>
      </c>
      <c r="B328" s="1" t="n">
        <v>45342</v>
      </c>
      <c r="C328" s="1" t="n">
        <v>45966</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49629-2025</t>
        </is>
      </c>
      <c r="B329" s="1" t="n">
        <v>45938</v>
      </c>
      <c r="C329" s="1" t="n">
        <v>45966</v>
      </c>
      <c r="D329" t="inlineStr">
        <is>
          <t>ÖSTERGÖTLANDS LÄN</t>
        </is>
      </c>
      <c r="E329" t="inlineStr">
        <is>
          <t>LINKÖPING</t>
        </is>
      </c>
      <c r="F329" t="inlineStr">
        <is>
          <t>Övriga Aktiebolag</t>
        </is>
      </c>
      <c r="G329" t="n">
        <v>4.5</v>
      </c>
      <c r="H329" t="n">
        <v>0</v>
      </c>
      <c r="I329" t="n">
        <v>0</v>
      </c>
      <c r="J329" t="n">
        <v>0</v>
      </c>
      <c r="K329" t="n">
        <v>0</v>
      </c>
      <c r="L329" t="n">
        <v>0</v>
      </c>
      <c r="M329" t="n">
        <v>0</v>
      </c>
      <c r="N329" t="n">
        <v>0</v>
      </c>
      <c r="O329" t="n">
        <v>0</v>
      </c>
      <c r="P329" t="n">
        <v>0</v>
      </c>
      <c r="Q329" t="n">
        <v>0</v>
      </c>
      <c r="R329" s="2" t="inlineStr"/>
    </row>
    <row r="330" ht="15" customHeight="1">
      <c r="A330" t="inlineStr">
        <is>
          <t>A 49633-2025</t>
        </is>
      </c>
      <c r="B330" s="1" t="n">
        <v>45938</v>
      </c>
      <c r="C330" s="1" t="n">
        <v>45966</v>
      </c>
      <c r="D330" t="inlineStr">
        <is>
          <t>ÖSTERGÖTLANDS LÄN</t>
        </is>
      </c>
      <c r="E330" t="inlineStr">
        <is>
          <t>LINKÖPING</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49455-2025</t>
        </is>
      </c>
      <c r="B331" s="1" t="n">
        <v>45938</v>
      </c>
      <c r="C331" s="1" t="n">
        <v>45966</v>
      </c>
      <c r="D331" t="inlineStr">
        <is>
          <t>ÖSTERGÖTLANDS LÄN</t>
        </is>
      </c>
      <c r="E331" t="inlineStr">
        <is>
          <t>LINKÖPING</t>
        </is>
      </c>
      <c r="F331" t="inlineStr">
        <is>
          <t>Övriga Aktiebolag</t>
        </is>
      </c>
      <c r="G331" t="n">
        <v>5.9</v>
      </c>
      <c r="H331" t="n">
        <v>0</v>
      </c>
      <c r="I331" t="n">
        <v>0</v>
      </c>
      <c r="J331" t="n">
        <v>0</v>
      </c>
      <c r="K331" t="n">
        <v>0</v>
      </c>
      <c r="L331" t="n">
        <v>0</v>
      </c>
      <c r="M331" t="n">
        <v>0</v>
      </c>
      <c r="N331" t="n">
        <v>0</v>
      </c>
      <c r="O331" t="n">
        <v>0</v>
      </c>
      <c r="P331" t="n">
        <v>0</v>
      </c>
      <c r="Q331" t="n">
        <v>0</v>
      </c>
      <c r="R331" s="2" t="inlineStr"/>
    </row>
    <row r="332" ht="15" customHeight="1">
      <c r="A332" t="inlineStr">
        <is>
          <t>A 10094-2024</t>
        </is>
      </c>
      <c r="B332" s="1" t="n">
        <v>45364</v>
      </c>
      <c r="C332" s="1" t="n">
        <v>45966</v>
      </c>
      <c r="D332" t="inlineStr">
        <is>
          <t>ÖSTERGÖTLANDS LÄN</t>
        </is>
      </c>
      <c r="E332" t="inlineStr">
        <is>
          <t>LINKÖPING</t>
        </is>
      </c>
      <c r="F332" t="inlineStr">
        <is>
          <t>Övriga Aktiebolag</t>
        </is>
      </c>
      <c r="G332" t="n">
        <v>1.9</v>
      </c>
      <c r="H332" t="n">
        <v>0</v>
      </c>
      <c r="I332" t="n">
        <v>0</v>
      </c>
      <c r="J332" t="n">
        <v>0</v>
      </c>
      <c r="K332" t="n">
        <v>0</v>
      </c>
      <c r="L332" t="n">
        <v>0</v>
      </c>
      <c r="M332" t="n">
        <v>0</v>
      </c>
      <c r="N332" t="n">
        <v>0</v>
      </c>
      <c r="O332" t="n">
        <v>0</v>
      </c>
      <c r="P332" t="n">
        <v>0</v>
      </c>
      <c r="Q332" t="n">
        <v>0</v>
      </c>
      <c r="R332" s="2" t="inlineStr"/>
    </row>
    <row r="333" ht="15" customHeight="1">
      <c r="A333" t="inlineStr">
        <is>
          <t>A 25097-2023</t>
        </is>
      </c>
      <c r="B333" s="1" t="n">
        <v>45086</v>
      </c>
      <c r="C333" s="1" t="n">
        <v>45966</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63684-2023</t>
        </is>
      </c>
      <c r="B334" s="1" t="n">
        <v>45275</v>
      </c>
      <c r="C334" s="1" t="n">
        <v>45966</v>
      </c>
      <c r="D334" t="inlineStr">
        <is>
          <t>ÖSTERGÖTLANDS LÄN</t>
        </is>
      </c>
      <c r="E334" t="inlineStr">
        <is>
          <t>LINKÖPING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63688-2023</t>
        </is>
      </c>
      <c r="B335" s="1" t="n">
        <v>45275</v>
      </c>
      <c r="C335" s="1" t="n">
        <v>45966</v>
      </c>
      <c r="D335" t="inlineStr">
        <is>
          <t>ÖSTERGÖTLANDS LÄN</t>
        </is>
      </c>
      <c r="E335" t="inlineStr">
        <is>
          <t>LINKÖPING</t>
        </is>
      </c>
      <c r="F335" t="inlineStr">
        <is>
          <t>Övriga Aktiebolag</t>
        </is>
      </c>
      <c r="G335" t="n">
        <v>2.4</v>
      </c>
      <c r="H335" t="n">
        <v>0</v>
      </c>
      <c r="I335" t="n">
        <v>0</v>
      </c>
      <c r="J335" t="n">
        <v>0</v>
      </c>
      <c r="K335" t="n">
        <v>0</v>
      </c>
      <c r="L335" t="n">
        <v>0</v>
      </c>
      <c r="M335" t="n">
        <v>0</v>
      </c>
      <c r="N335" t="n">
        <v>0</v>
      </c>
      <c r="O335" t="n">
        <v>0</v>
      </c>
      <c r="P335" t="n">
        <v>0</v>
      </c>
      <c r="Q335" t="n">
        <v>0</v>
      </c>
      <c r="R335" s="2" t="inlineStr"/>
    </row>
    <row r="336" ht="15" customHeight="1">
      <c r="A336" t="inlineStr">
        <is>
          <t>A 63691-2023</t>
        </is>
      </c>
      <c r="B336" s="1" t="n">
        <v>45275</v>
      </c>
      <c r="C336" s="1" t="n">
        <v>45966</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36657-2023</t>
        </is>
      </c>
      <c r="B337" s="1" t="n">
        <v>45153.5702662037</v>
      </c>
      <c r="C337" s="1" t="n">
        <v>45966</v>
      </c>
      <c r="D337" t="inlineStr">
        <is>
          <t>ÖSTERGÖTLANDS LÄN</t>
        </is>
      </c>
      <c r="E337" t="inlineStr">
        <is>
          <t>LINKÖPING</t>
        </is>
      </c>
      <c r="F337" t="inlineStr">
        <is>
          <t>Allmännings- och besparingsskogar</t>
        </is>
      </c>
      <c r="G337" t="n">
        <v>2</v>
      </c>
      <c r="H337" t="n">
        <v>0</v>
      </c>
      <c r="I337" t="n">
        <v>0</v>
      </c>
      <c r="J337" t="n">
        <v>0</v>
      </c>
      <c r="K337" t="n">
        <v>0</v>
      </c>
      <c r="L337" t="n">
        <v>0</v>
      </c>
      <c r="M337" t="n">
        <v>0</v>
      </c>
      <c r="N337" t="n">
        <v>0</v>
      </c>
      <c r="O337" t="n">
        <v>0</v>
      </c>
      <c r="P337" t="n">
        <v>0</v>
      </c>
      <c r="Q337" t="n">
        <v>0</v>
      </c>
      <c r="R337" s="2" t="inlineStr"/>
    </row>
    <row r="338" ht="15" customHeight="1">
      <c r="A338" t="inlineStr">
        <is>
          <t>A 14667-2024</t>
        </is>
      </c>
      <c r="B338" s="1" t="n">
        <v>45397.42005787037</v>
      </c>
      <c r="C338" s="1" t="n">
        <v>45966</v>
      </c>
      <c r="D338" t="inlineStr">
        <is>
          <t>ÖSTERGÖTLANDS LÄN</t>
        </is>
      </c>
      <c r="E338" t="inlineStr">
        <is>
          <t>LINKÖPING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49647-2025</t>
        </is>
      </c>
      <c r="B339" s="1" t="n">
        <v>45938</v>
      </c>
      <c r="C339" s="1" t="n">
        <v>45966</v>
      </c>
      <c r="D339" t="inlineStr">
        <is>
          <t>ÖSTERGÖTLANDS LÄN</t>
        </is>
      </c>
      <c r="E339" t="inlineStr">
        <is>
          <t>LINKÖPING</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49650-2025</t>
        </is>
      </c>
      <c r="B340" s="1" t="n">
        <v>45938</v>
      </c>
      <c r="C340" s="1" t="n">
        <v>45966</v>
      </c>
      <c r="D340" t="inlineStr">
        <is>
          <t>ÖSTERGÖTLANDS LÄN</t>
        </is>
      </c>
      <c r="E340" t="inlineStr">
        <is>
          <t>LINKÖPING</t>
        </is>
      </c>
      <c r="F340" t="inlineStr">
        <is>
          <t>Övriga Aktiebolag</t>
        </is>
      </c>
      <c r="G340" t="n">
        <v>1.5</v>
      </c>
      <c r="H340" t="n">
        <v>0</v>
      </c>
      <c r="I340" t="n">
        <v>0</v>
      </c>
      <c r="J340" t="n">
        <v>0</v>
      </c>
      <c r="K340" t="n">
        <v>0</v>
      </c>
      <c r="L340" t="n">
        <v>0</v>
      </c>
      <c r="M340" t="n">
        <v>0</v>
      </c>
      <c r="N340" t="n">
        <v>0</v>
      </c>
      <c r="O340" t="n">
        <v>0</v>
      </c>
      <c r="P340" t="n">
        <v>0</v>
      </c>
      <c r="Q340" t="n">
        <v>0</v>
      </c>
      <c r="R340" s="2" t="inlineStr"/>
    </row>
    <row r="341" ht="15" customHeight="1">
      <c r="A341" t="inlineStr">
        <is>
          <t>A 49652-2025</t>
        </is>
      </c>
      <c r="B341" s="1" t="n">
        <v>45938</v>
      </c>
      <c r="C341" s="1" t="n">
        <v>45966</v>
      </c>
      <c r="D341" t="inlineStr">
        <is>
          <t>ÖSTERGÖTLANDS LÄN</t>
        </is>
      </c>
      <c r="E341" t="inlineStr">
        <is>
          <t>LINKÖPING</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49663-2025</t>
        </is>
      </c>
      <c r="B342" s="1" t="n">
        <v>45938</v>
      </c>
      <c r="C342" s="1" t="n">
        <v>45966</v>
      </c>
      <c r="D342" t="inlineStr">
        <is>
          <t>ÖSTERGÖTLANDS LÄN</t>
        </is>
      </c>
      <c r="E342" t="inlineStr">
        <is>
          <t>LINKÖPING</t>
        </is>
      </c>
      <c r="F342" t="inlineStr">
        <is>
          <t>Övriga Aktiebolag</t>
        </is>
      </c>
      <c r="G342" t="n">
        <v>1.2</v>
      </c>
      <c r="H342" t="n">
        <v>0</v>
      </c>
      <c r="I342" t="n">
        <v>0</v>
      </c>
      <c r="J342" t="n">
        <v>0</v>
      </c>
      <c r="K342" t="n">
        <v>0</v>
      </c>
      <c r="L342" t="n">
        <v>0</v>
      </c>
      <c r="M342" t="n">
        <v>0</v>
      </c>
      <c r="N342" t="n">
        <v>0</v>
      </c>
      <c r="O342" t="n">
        <v>0</v>
      </c>
      <c r="P342" t="n">
        <v>0</v>
      </c>
      <c r="Q342" t="n">
        <v>0</v>
      </c>
      <c r="R342" s="2" t="inlineStr"/>
    </row>
    <row r="343" ht="15" customHeight="1">
      <c r="A343" t="inlineStr">
        <is>
          <t>A 10461-2023</t>
        </is>
      </c>
      <c r="B343" s="1" t="n">
        <v>44987.5969212963</v>
      </c>
      <c r="C343" s="1" t="n">
        <v>45966</v>
      </c>
      <c r="D343" t="inlineStr">
        <is>
          <t>ÖSTERGÖTLANDS LÄN</t>
        </is>
      </c>
      <c r="E343" t="inlineStr">
        <is>
          <t>LINKÖPING</t>
        </is>
      </c>
      <c r="G343" t="n">
        <v>7.8</v>
      </c>
      <c r="H343" t="n">
        <v>0</v>
      </c>
      <c r="I343" t="n">
        <v>0</v>
      </c>
      <c r="J343" t="n">
        <v>0</v>
      </c>
      <c r="K343" t="n">
        <v>0</v>
      </c>
      <c r="L343" t="n">
        <v>0</v>
      </c>
      <c r="M343" t="n">
        <v>0</v>
      </c>
      <c r="N343" t="n">
        <v>0</v>
      </c>
      <c r="O343" t="n">
        <v>0</v>
      </c>
      <c r="P343" t="n">
        <v>0</v>
      </c>
      <c r="Q343" t="n">
        <v>0</v>
      </c>
      <c r="R343" s="2" t="inlineStr"/>
    </row>
    <row r="344" ht="15" customHeight="1">
      <c r="A344" t="inlineStr">
        <is>
          <t>A 49632-2025</t>
        </is>
      </c>
      <c r="B344" s="1" t="n">
        <v>45938</v>
      </c>
      <c r="C344" s="1" t="n">
        <v>45966</v>
      </c>
      <c r="D344" t="inlineStr">
        <is>
          <t>ÖSTERGÖTLANDS LÄN</t>
        </is>
      </c>
      <c r="E344" t="inlineStr">
        <is>
          <t>LINKÖPING</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49654-2025</t>
        </is>
      </c>
      <c r="B345" s="1" t="n">
        <v>45938</v>
      </c>
      <c r="C345" s="1" t="n">
        <v>45966</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49605-2025</t>
        </is>
      </c>
      <c r="B346" s="1" t="n">
        <v>45938</v>
      </c>
      <c r="C346" s="1" t="n">
        <v>45966</v>
      </c>
      <c r="D346" t="inlineStr">
        <is>
          <t>ÖSTERGÖTLANDS LÄN</t>
        </is>
      </c>
      <c r="E346" t="inlineStr">
        <is>
          <t>LINKÖPING</t>
        </is>
      </c>
      <c r="F346" t="inlineStr">
        <is>
          <t>Övriga Aktiebolag</t>
        </is>
      </c>
      <c r="G346" t="n">
        <v>3.3</v>
      </c>
      <c r="H346" t="n">
        <v>0</v>
      </c>
      <c r="I346" t="n">
        <v>0</v>
      </c>
      <c r="J346" t="n">
        <v>0</v>
      </c>
      <c r="K346" t="n">
        <v>0</v>
      </c>
      <c r="L346" t="n">
        <v>0</v>
      </c>
      <c r="M346" t="n">
        <v>0</v>
      </c>
      <c r="N346" t="n">
        <v>0</v>
      </c>
      <c r="O346" t="n">
        <v>0</v>
      </c>
      <c r="P346" t="n">
        <v>0</v>
      </c>
      <c r="Q346" t="n">
        <v>0</v>
      </c>
      <c r="R346" s="2" t="inlineStr"/>
    </row>
    <row r="347" ht="15" customHeight="1">
      <c r="A347" t="inlineStr">
        <is>
          <t>A 50386-2021</t>
        </is>
      </c>
      <c r="B347" s="1" t="n">
        <v>44459</v>
      </c>
      <c r="C347" s="1" t="n">
        <v>45966</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350-2022</t>
        </is>
      </c>
      <c r="B348" s="1" t="n">
        <v>44565</v>
      </c>
      <c r="C348" s="1" t="n">
        <v>45966</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54845-2023</t>
        </is>
      </c>
      <c r="B349" s="1" t="n">
        <v>45236</v>
      </c>
      <c r="C349" s="1" t="n">
        <v>45966</v>
      </c>
      <c r="D349" t="inlineStr">
        <is>
          <t>ÖSTERGÖTLANDS LÄN</t>
        </is>
      </c>
      <c r="E349" t="inlineStr">
        <is>
          <t>LINKÖPING</t>
        </is>
      </c>
      <c r="F349" t="inlineStr">
        <is>
          <t>Övriga Aktiebolag</t>
        </is>
      </c>
      <c r="G349" t="n">
        <v>5.7</v>
      </c>
      <c r="H349" t="n">
        <v>0</v>
      </c>
      <c r="I349" t="n">
        <v>0</v>
      </c>
      <c r="J349" t="n">
        <v>0</v>
      </c>
      <c r="K349" t="n">
        <v>0</v>
      </c>
      <c r="L349" t="n">
        <v>0</v>
      </c>
      <c r="M349" t="n">
        <v>0</v>
      </c>
      <c r="N349" t="n">
        <v>0</v>
      </c>
      <c r="O349" t="n">
        <v>0</v>
      </c>
      <c r="P349" t="n">
        <v>0</v>
      </c>
      <c r="Q349" t="n">
        <v>0</v>
      </c>
      <c r="R349" s="2" t="inlineStr"/>
    </row>
    <row r="350" ht="15" customHeight="1">
      <c r="A350" t="inlineStr">
        <is>
          <t>A 18891-2022</t>
        </is>
      </c>
      <c r="B350" s="1" t="n">
        <v>44690</v>
      </c>
      <c r="C350" s="1" t="n">
        <v>45966</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15714-2024</t>
        </is>
      </c>
      <c r="B351" s="1" t="n">
        <v>45404.48288194444</v>
      </c>
      <c r="C351" s="1" t="n">
        <v>45966</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30976-2022</t>
        </is>
      </c>
      <c r="B352" s="1" t="n">
        <v>44768</v>
      </c>
      <c r="C352" s="1" t="n">
        <v>45966</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37715-2022</t>
        </is>
      </c>
      <c r="B353" s="1" t="n">
        <v>44810</v>
      </c>
      <c r="C353" s="1" t="n">
        <v>45966</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55736-2022</t>
        </is>
      </c>
      <c r="B354" s="1" t="n">
        <v>44888</v>
      </c>
      <c r="C354" s="1" t="n">
        <v>45966</v>
      </c>
      <c r="D354" t="inlineStr">
        <is>
          <t>ÖSTERGÖTLANDS LÄN</t>
        </is>
      </c>
      <c r="E354" t="inlineStr">
        <is>
          <t>LINKÖPING</t>
        </is>
      </c>
      <c r="G354" t="n">
        <v>5.5</v>
      </c>
      <c r="H354" t="n">
        <v>0</v>
      </c>
      <c r="I354" t="n">
        <v>0</v>
      </c>
      <c r="J354" t="n">
        <v>0</v>
      </c>
      <c r="K354" t="n">
        <v>0</v>
      </c>
      <c r="L354" t="n">
        <v>0</v>
      </c>
      <c r="M354" t="n">
        <v>0</v>
      </c>
      <c r="N354" t="n">
        <v>0</v>
      </c>
      <c r="O354" t="n">
        <v>0</v>
      </c>
      <c r="P354" t="n">
        <v>0</v>
      </c>
      <c r="Q354" t="n">
        <v>0</v>
      </c>
      <c r="R354" s="2" t="inlineStr"/>
    </row>
    <row r="355" ht="15" customHeight="1">
      <c r="A355" t="inlineStr">
        <is>
          <t>A 40983-2025</t>
        </is>
      </c>
      <c r="B355" s="1" t="n">
        <v>45898</v>
      </c>
      <c r="C355" s="1" t="n">
        <v>45966</v>
      </c>
      <c r="D355" t="inlineStr">
        <is>
          <t>ÖSTERGÖTLANDS LÄN</t>
        </is>
      </c>
      <c r="E355" t="inlineStr">
        <is>
          <t>LINKÖPING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30429-2024</t>
        </is>
      </c>
      <c r="B356" s="1" t="n">
        <v>45491.68972222223</v>
      </c>
      <c r="C356" s="1" t="n">
        <v>45966</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62488-2023</t>
        </is>
      </c>
      <c r="B357" s="1" t="n">
        <v>45268.5847337963</v>
      </c>
      <c r="C357" s="1" t="n">
        <v>45966</v>
      </c>
      <c r="D357" t="inlineStr">
        <is>
          <t>ÖSTERGÖTLANDS LÄN</t>
        </is>
      </c>
      <c r="E357" t="inlineStr">
        <is>
          <t>LINKÖPING</t>
        </is>
      </c>
      <c r="G357" t="n">
        <v>4.1</v>
      </c>
      <c r="H357" t="n">
        <v>0</v>
      </c>
      <c r="I357" t="n">
        <v>0</v>
      </c>
      <c r="J357" t="n">
        <v>0</v>
      </c>
      <c r="K357" t="n">
        <v>0</v>
      </c>
      <c r="L357" t="n">
        <v>0</v>
      </c>
      <c r="M357" t="n">
        <v>0</v>
      </c>
      <c r="N357" t="n">
        <v>0</v>
      </c>
      <c r="O357" t="n">
        <v>0</v>
      </c>
      <c r="P357" t="n">
        <v>0</v>
      </c>
      <c r="Q357" t="n">
        <v>0</v>
      </c>
      <c r="R357" s="2" t="inlineStr"/>
    </row>
    <row r="358" ht="15" customHeight="1">
      <c r="A358" t="inlineStr">
        <is>
          <t>A 30435-2024</t>
        </is>
      </c>
      <c r="B358" s="1" t="n">
        <v>45491.69962962963</v>
      </c>
      <c r="C358" s="1" t="n">
        <v>45966</v>
      </c>
      <c r="D358" t="inlineStr">
        <is>
          <t>ÖSTERGÖTLANDS LÄN</t>
        </is>
      </c>
      <c r="E358" t="inlineStr">
        <is>
          <t>LINKÖPING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24351-2024</t>
        </is>
      </c>
      <c r="B359" s="1" t="n">
        <v>45457.59011574074</v>
      </c>
      <c r="C359" s="1" t="n">
        <v>45966</v>
      </c>
      <c r="D359" t="inlineStr">
        <is>
          <t>ÖSTERGÖTLANDS LÄN</t>
        </is>
      </c>
      <c r="E359" t="inlineStr">
        <is>
          <t>LINKÖPING</t>
        </is>
      </c>
      <c r="G359" t="n">
        <v>11.9</v>
      </c>
      <c r="H359" t="n">
        <v>0</v>
      </c>
      <c r="I359" t="n">
        <v>0</v>
      </c>
      <c r="J359" t="n">
        <v>0</v>
      </c>
      <c r="K359" t="n">
        <v>0</v>
      </c>
      <c r="L359" t="n">
        <v>0</v>
      </c>
      <c r="M359" t="n">
        <v>0</v>
      </c>
      <c r="N359" t="n">
        <v>0</v>
      </c>
      <c r="O359" t="n">
        <v>0</v>
      </c>
      <c r="P359" t="n">
        <v>0</v>
      </c>
      <c r="Q359" t="n">
        <v>0</v>
      </c>
      <c r="R359" s="2" t="inlineStr"/>
    </row>
    <row r="360" ht="15" customHeight="1">
      <c r="A360" t="inlineStr">
        <is>
          <t>A 4927-2021</t>
        </is>
      </c>
      <c r="B360" s="1" t="n">
        <v>44227.57215277778</v>
      </c>
      <c r="C360" s="1" t="n">
        <v>45966</v>
      </c>
      <c r="D360" t="inlineStr">
        <is>
          <t>ÖSTERGÖTLANDS LÄN</t>
        </is>
      </c>
      <c r="E360" t="inlineStr">
        <is>
          <t>LINKÖPING</t>
        </is>
      </c>
      <c r="G360" t="n">
        <v>0.3</v>
      </c>
      <c r="H360" t="n">
        <v>0</v>
      </c>
      <c r="I360" t="n">
        <v>0</v>
      </c>
      <c r="J360" t="n">
        <v>0</v>
      </c>
      <c r="K360" t="n">
        <v>0</v>
      </c>
      <c r="L360" t="n">
        <v>0</v>
      </c>
      <c r="M360" t="n">
        <v>0</v>
      </c>
      <c r="N360" t="n">
        <v>0</v>
      </c>
      <c r="O360" t="n">
        <v>0</v>
      </c>
      <c r="P360" t="n">
        <v>0</v>
      </c>
      <c r="Q360" t="n">
        <v>0</v>
      </c>
      <c r="R360" s="2" t="inlineStr"/>
    </row>
    <row r="361" ht="15" customHeight="1">
      <c r="A361" t="inlineStr">
        <is>
          <t>A 10194-2023</t>
        </is>
      </c>
      <c r="B361" s="1" t="n">
        <v>44986.52277777778</v>
      </c>
      <c r="C361" s="1" t="n">
        <v>45966</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38231-2022</t>
        </is>
      </c>
      <c r="B362" s="1" t="n">
        <v>44812</v>
      </c>
      <c r="C362" s="1" t="n">
        <v>45966</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34557-2022</t>
        </is>
      </c>
      <c r="B363" s="1" t="n">
        <v>44794.57074074074</v>
      </c>
      <c r="C363" s="1" t="n">
        <v>45966</v>
      </c>
      <c r="D363" t="inlineStr">
        <is>
          <t>ÖSTERGÖTLANDS LÄN</t>
        </is>
      </c>
      <c r="E363" t="inlineStr">
        <is>
          <t>LINKÖPING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13011-2022</t>
        </is>
      </c>
      <c r="B364" s="1" t="n">
        <v>44643</v>
      </c>
      <c r="C364" s="1" t="n">
        <v>45966</v>
      </c>
      <c r="D364" t="inlineStr">
        <is>
          <t>ÖSTERGÖTLANDS LÄN</t>
        </is>
      </c>
      <c r="E364" t="inlineStr">
        <is>
          <t>LINKÖPING</t>
        </is>
      </c>
      <c r="G364" t="n">
        <v>3.7</v>
      </c>
      <c r="H364" t="n">
        <v>0</v>
      </c>
      <c r="I364" t="n">
        <v>0</v>
      </c>
      <c r="J364" t="n">
        <v>0</v>
      </c>
      <c r="K364" t="n">
        <v>0</v>
      </c>
      <c r="L364" t="n">
        <v>0</v>
      </c>
      <c r="M364" t="n">
        <v>0</v>
      </c>
      <c r="N364" t="n">
        <v>0</v>
      </c>
      <c r="O364" t="n">
        <v>0</v>
      </c>
      <c r="P364" t="n">
        <v>0</v>
      </c>
      <c r="Q364" t="n">
        <v>0</v>
      </c>
      <c r="R364" s="2" t="inlineStr"/>
    </row>
    <row r="365" ht="15" customHeight="1">
      <c r="A365" t="inlineStr">
        <is>
          <t>A 617-2024</t>
        </is>
      </c>
      <c r="B365" s="1" t="n">
        <v>45299.66028935185</v>
      </c>
      <c r="C365" s="1" t="n">
        <v>45966</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41511-2025</t>
        </is>
      </c>
      <c r="B366" s="1" t="n">
        <v>45901.53839120371</v>
      </c>
      <c r="C366" s="1" t="n">
        <v>45966</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19362-2023</t>
        </is>
      </c>
      <c r="B367" s="1" t="n">
        <v>45049</v>
      </c>
      <c r="C367" s="1" t="n">
        <v>45966</v>
      </c>
      <c r="D367" t="inlineStr">
        <is>
          <t>ÖSTERGÖTLANDS LÄN</t>
        </is>
      </c>
      <c r="E367" t="inlineStr">
        <is>
          <t>LINKÖPING</t>
        </is>
      </c>
      <c r="G367" t="n">
        <v>0.1</v>
      </c>
      <c r="H367" t="n">
        <v>0</v>
      </c>
      <c r="I367" t="n">
        <v>0</v>
      </c>
      <c r="J367" t="n">
        <v>0</v>
      </c>
      <c r="K367" t="n">
        <v>0</v>
      </c>
      <c r="L367" t="n">
        <v>0</v>
      </c>
      <c r="M367" t="n">
        <v>0</v>
      </c>
      <c r="N367" t="n">
        <v>0</v>
      </c>
      <c r="O367" t="n">
        <v>0</v>
      </c>
      <c r="P367" t="n">
        <v>0</v>
      </c>
      <c r="Q367" t="n">
        <v>0</v>
      </c>
      <c r="R367" s="2" t="inlineStr"/>
    </row>
    <row r="368" ht="15" customHeight="1">
      <c r="A368" t="inlineStr">
        <is>
          <t>A 19132-2023</t>
        </is>
      </c>
      <c r="B368" s="1" t="n">
        <v>45048.54754629629</v>
      </c>
      <c r="C368" s="1" t="n">
        <v>45966</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7702-2023</t>
        </is>
      </c>
      <c r="B369" s="1" t="n">
        <v>44967</v>
      </c>
      <c r="C369" s="1" t="n">
        <v>45966</v>
      </c>
      <c r="D369" t="inlineStr">
        <is>
          <t>ÖSTERGÖTLANDS LÄN</t>
        </is>
      </c>
      <c r="E369" t="inlineStr">
        <is>
          <t>LINKÖPING</t>
        </is>
      </c>
      <c r="F369" t="inlineStr">
        <is>
          <t>Övriga statliga verk och myndigheter</t>
        </is>
      </c>
      <c r="G369" t="n">
        <v>8</v>
      </c>
      <c r="H369" t="n">
        <v>0</v>
      </c>
      <c r="I369" t="n">
        <v>0</v>
      </c>
      <c r="J369" t="n">
        <v>0</v>
      </c>
      <c r="K369" t="n">
        <v>0</v>
      </c>
      <c r="L369" t="n">
        <v>0</v>
      </c>
      <c r="M369" t="n">
        <v>0</v>
      </c>
      <c r="N369" t="n">
        <v>0</v>
      </c>
      <c r="O369" t="n">
        <v>0</v>
      </c>
      <c r="P369" t="n">
        <v>0</v>
      </c>
      <c r="Q369" t="n">
        <v>0</v>
      </c>
      <c r="R369" s="2" t="inlineStr"/>
    </row>
    <row r="370" ht="15" customHeight="1">
      <c r="A370" t="inlineStr">
        <is>
          <t>A 42000-2023</t>
        </is>
      </c>
      <c r="B370" s="1" t="n">
        <v>45177</v>
      </c>
      <c r="C370" s="1" t="n">
        <v>45966</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41706-2025</t>
        </is>
      </c>
      <c r="B371" s="1" t="n">
        <v>45902.42209490741</v>
      </c>
      <c r="C371" s="1" t="n">
        <v>45966</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31534-2023</t>
        </is>
      </c>
      <c r="B372" s="1" t="n">
        <v>45116</v>
      </c>
      <c r="C372" s="1" t="n">
        <v>45966</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50667-2025</t>
        </is>
      </c>
      <c r="B373" s="1" t="n">
        <v>45945</v>
      </c>
      <c r="C373" s="1" t="n">
        <v>45966</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3042-2024</t>
        </is>
      </c>
      <c r="B374" s="1" t="n">
        <v>45316.35028935185</v>
      </c>
      <c r="C374" s="1" t="n">
        <v>45966</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35427-2023</t>
        </is>
      </c>
      <c r="B375" s="1" t="n">
        <v>45146</v>
      </c>
      <c r="C375" s="1" t="n">
        <v>45966</v>
      </c>
      <c r="D375" t="inlineStr">
        <is>
          <t>ÖSTERGÖTLANDS LÄN</t>
        </is>
      </c>
      <c r="E375" t="inlineStr">
        <is>
          <t>LINKÖPING</t>
        </is>
      </c>
      <c r="F375" t="inlineStr">
        <is>
          <t>Övriga Aktiebolag</t>
        </is>
      </c>
      <c r="G375" t="n">
        <v>2.5</v>
      </c>
      <c r="H375" t="n">
        <v>0</v>
      </c>
      <c r="I375" t="n">
        <v>0</v>
      </c>
      <c r="J375" t="n">
        <v>0</v>
      </c>
      <c r="K375" t="n">
        <v>0</v>
      </c>
      <c r="L375" t="n">
        <v>0</v>
      </c>
      <c r="M375" t="n">
        <v>0</v>
      </c>
      <c r="N375" t="n">
        <v>0</v>
      </c>
      <c r="O375" t="n">
        <v>0</v>
      </c>
      <c r="P375" t="n">
        <v>0</v>
      </c>
      <c r="Q375" t="n">
        <v>0</v>
      </c>
      <c r="R375" s="2" t="inlineStr"/>
    </row>
    <row r="376" ht="15" customHeight="1">
      <c r="A376" t="inlineStr">
        <is>
          <t>A 31635-2023</t>
        </is>
      </c>
      <c r="B376" s="1" t="n">
        <v>45105</v>
      </c>
      <c r="C376" s="1" t="n">
        <v>45966</v>
      </c>
      <c r="D376" t="inlineStr">
        <is>
          <t>ÖSTERGÖTLANDS LÄN</t>
        </is>
      </c>
      <c r="E376" t="inlineStr">
        <is>
          <t>LINKÖPING</t>
        </is>
      </c>
      <c r="F376" t="inlineStr">
        <is>
          <t>Övriga statliga verk och myndigheter</t>
        </is>
      </c>
      <c r="G376" t="n">
        <v>4.6</v>
      </c>
      <c r="H376" t="n">
        <v>0</v>
      </c>
      <c r="I376" t="n">
        <v>0</v>
      </c>
      <c r="J376" t="n">
        <v>0</v>
      </c>
      <c r="K376" t="n">
        <v>0</v>
      </c>
      <c r="L376" t="n">
        <v>0</v>
      </c>
      <c r="M376" t="n">
        <v>0</v>
      </c>
      <c r="N376" t="n">
        <v>0</v>
      </c>
      <c r="O376" t="n">
        <v>0</v>
      </c>
      <c r="P376" t="n">
        <v>0</v>
      </c>
      <c r="Q376" t="n">
        <v>0</v>
      </c>
      <c r="R376" s="2" t="inlineStr"/>
    </row>
    <row r="377" ht="15" customHeight="1">
      <c r="A377" t="inlineStr">
        <is>
          <t>A 20296-2025</t>
        </is>
      </c>
      <c r="B377" s="1" t="n">
        <v>45774.74922453704</v>
      </c>
      <c r="C377" s="1" t="n">
        <v>45966</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67129-2020</t>
        </is>
      </c>
      <c r="B378" s="1" t="n">
        <v>44180</v>
      </c>
      <c r="C378" s="1" t="n">
        <v>45966</v>
      </c>
      <c r="D378" t="inlineStr">
        <is>
          <t>ÖSTERGÖTLANDS LÄN</t>
        </is>
      </c>
      <c r="E378" t="inlineStr">
        <is>
          <t>LINKÖPING</t>
        </is>
      </c>
      <c r="F378" t="inlineStr">
        <is>
          <t>Övriga statliga verk och myndigheter</t>
        </is>
      </c>
      <c r="G378" t="n">
        <v>2.7</v>
      </c>
      <c r="H378" t="n">
        <v>0</v>
      </c>
      <c r="I378" t="n">
        <v>0</v>
      </c>
      <c r="J378" t="n">
        <v>0</v>
      </c>
      <c r="K378" t="n">
        <v>0</v>
      </c>
      <c r="L378" t="n">
        <v>0</v>
      </c>
      <c r="M378" t="n">
        <v>0</v>
      </c>
      <c r="N378" t="n">
        <v>0</v>
      </c>
      <c r="O378" t="n">
        <v>0</v>
      </c>
      <c r="P378" t="n">
        <v>0</v>
      </c>
      <c r="Q378" t="n">
        <v>0</v>
      </c>
      <c r="R378" s="2" t="inlineStr"/>
    </row>
    <row r="379" ht="15" customHeight="1">
      <c r="A379" t="inlineStr">
        <is>
          <t>A 36725-2023</t>
        </is>
      </c>
      <c r="B379" s="1" t="n">
        <v>45153.68471064815</v>
      </c>
      <c r="C379" s="1" t="n">
        <v>45966</v>
      </c>
      <c r="D379" t="inlineStr">
        <is>
          <t>ÖSTERGÖTLANDS LÄN</t>
        </is>
      </c>
      <c r="E379" t="inlineStr">
        <is>
          <t>LINKÖPING</t>
        </is>
      </c>
      <c r="F379" t="inlineStr">
        <is>
          <t>Allmännings- och besparingsskogar</t>
        </is>
      </c>
      <c r="G379" t="n">
        <v>2.6</v>
      </c>
      <c r="H379" t="n">
        <v>0</v>
      </c>
      <c r="I379" t="n">
        <v>0</v>
      </c>
      <c r="J379" t="n">
        <v>0</v>
      </c>
      <c r="K379" t="n">
        <v>0</v>
      </c>
      <c r="L379" t="n">
        <v>0</v>
      </c>
      <c r="M379" t="n">
        <v>0</v>
      </c>
      <c r="N379" t="n">
        <v>0</v>
      </c>
      <c r="O379" t="n">
        <v>0</v>
      </c>
      <c r="P379" t="n">
        <v>0</v>
      </c>
      <c r="Q379" t="n">
        <v>0</v>
      </c>
      <c r="R379" s="2" t="inlineStr"/>
    </row>
    <row r="380" ht="15" customHeight="1">
      <c r="A380" t="inlineStr">
        <is>
          <t>A 22770-2024</t>
        </is>
      </c>
      <c r="B380" s="1" t="n">
        <v>45448.4634375</v>
      </c>
      <c r="C380" s="1" t="n">
        <v>45966</v>
      </c>
      <c r="D380" t="inlineStr">
        <is>
          <t>ÖSTERGÖTLANDS LÄN</t>
        </is>
      </c>
      <c r="E380" t="inlineStr">
        <is>
          <t>LINKÖPING</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53639-2023</t>
        </is>
      </c>
      <c r="B381" s="1" t="n">
        <v>45230.59686342593</v>
      </c>
      <c r="C381" s="1" t="n">
        <v>45966</v>
      </c>
      <c r="D381" t="inlineStr">
        <is>
          <t>ÖSTERGÖTLANDS LÄN</t>
        </is>
      </c>
      <c r="E381" t="inlineStr">
        <is>
          <t>LINKÖPING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29293-2025</t>
        </is>
      </c>
      <c r="B382" s="1" t="n">
        <v>45824</v>
      </c>
      <c r="C382" s="1" t="n">
        <v>45966</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1657-2024</t>
        </is>
      </c>
      <c r="B383" s="1" t="n">
        <v>45306.82501157407</v>
      </c>
      <c r="C383" s="1" t="n">
        <v>45966</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50784-2022</t>
        </is>
      </c>
      <c r="B384" s="1" t="n">
        <v>44862</v>
      </c>
      <c r="C384" s="1" t="n">
        <v>45966</v>
      </c>
      <c r="D384" t="inlineStr">
        <is>
          <t>ÖSTERGÖTLANDS LÄN</t>
        </is>
      </c>
      <c r="E384" t="inlineStr">
        <is>
          <t>LINKÖPING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10253-2022</t>
        </is>
      </c>
      <c r="B385" s="1" t="n">
        <v>44622</v>
      </c>
      <c r="C385" s="1" t="n">
        <v>45966</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11595-2025</t>
        </is>
      </c>
      <c r="B386" s="1" t="n">
        <v>45727.41893518518</v>
      </c>
      <c r="C386" s="1" t="n">
        <v>45966</v>
      </c>
      <c r="D386" t="inlineStr">
        <is>
          <t>ÖSTERGÖTLANDS LÄN</t>
        </is>
      </c>
      <c r="E386" t="inlineStr">
        <is>
          <t>LINKÖPING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26803-2024</t>
        </is>
      </c>
      <c r="B387" s="1" t="n">
        <v>45470</v>
      </c>
      <c r="C387" s="1" t="n">
        <v>45966</v>
      </c>
      <c r="D387" t="inlineStr">
        <is>
          <t>ÖSTERGÖTLANDS LÄN</t>
        </is>
      </c>
      <c r="E387" t="inlineStr">
        <is>
          <t>LINKÖPING</t>
        </is>
      </c>
      <c r="F387" t="inlineStr">
        <is>
          <t>Allmännings- och besparingsskogar</t>
        </is>
      </c>
      <c r="G387" t="n">
        <v>4.5</v>
      </c>
      <c r="H387" t="n">
        <v>0</v>
      </c>
      <c r="I387" t="n">
        <v>0</v>
      </c>
      <c r="J387" t="n">
        <v>0</v>
      </c>
      <c r="K387" t="n">
        <v>0</v>
      </c>
      <c r="L387" t="n">
        <v>0</v>
      </c>
      <c r="M387" t="n">
        <v>0</v>
      </c>
      <c r="N387" t="n">
        <v>0</v>
      </c>
      <c r="O387" t="n">
        <v>0</v>
      </c>
      <c r="P387" t="n">
        <v>0</v>
      </c>
      <c r="Q387" t="n">
        <v>0</v>
      </c>
      <c r="R387" s="2" t="inlineStr"/>
    </row>
    <row r="388" ht="15" customHeight="1">
      <c r="A388" t="inlineStr">
        <is>
          <t>A 42624-2025</t>
        </is>
      </c>
      <c r="B388" s="1" t="n">
        <v>45905</v>
      </c>
      <c r="C388" s="1" t="n">
        <v>45966</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42626-2025</t>
        </is>
      </c>
      <c r="B389" s="1" t="n">
        <v>45905</v>
      </c>
      <c r="C389" s="1" t="n">
        <v>45966</v>
      </c>
      <c r="D389" t="inlineStr">
        <is>
          <t>ÖSTERGÖTLANDS LÄN</t>
        </is>
      </c>
      <c r="E389" t="inlineStr">
        <is>
          <t>LINKÖPING</t>
        </is>
      </c>
      <c r="G389" t="n">
        <v>3.6</v>
      </c>
      <c r="H389" t="n">
        <v>0</v>
      </c>
      <c r="I389" t="n">
        <v>0</v>
      </c>
      <c r="J389" t="n">
        <v>0</v>
      </c>
      <c r="K389" t="n">
        <v>0</v>
      </c>
      <c r="L389" t="n">
        <v>0</v>
      </c>
      <c r="M389" t="n">
        <v>0</v>
      </c>
      <c r="N389" t="n">
        <v>0</v>
      </c>
      <c r="O389" t="n">
        <v>0</v>
      </c>
      <c r="P389" t="n">
        <v>0</v>
      </c>
      <c r="Q389" t="n">
        <v>0</v>
      </c>
      <c r="R389" s="2" t="inlineStr"/>
    </row>
    <row r="390" ht="15" customHeight="1">
      <c r="A390" t="inlineStr">
        <is>
          <t>A 42623-2025</t>
        </is>
      </c>
      <c r="B390" s="1" t="n">
        <v>45905</v>
      </c>
      <c r="C390" s="1" t="n">
        <v>45966</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19187-2021</t>
        </is>
      </c>
      <c r="B391" s="1" t="n">
        <v>44308</v>
      </c>
      <c r="C391" s="1" t="n">
        <v>45966</v>
      </c>
      <c r="D391" t="inlineStr">
        <is>
          <t>ÖSTERGÖTLANDS LÄN</t>
        </is>
      </c>
      <c r="E391" t="inlineStr">
        <is>
          <t>LINKÖPING</t>
        </is>
      </c>
      <c r="F391" t="inlineStr">
        <is>
          <t>Allmännings- och besparingsskogar</t>
        </is>
      </c>
      <c r="G391" t="n">
        <v>20</v>
      </c>
      <c r="H391" t="n">
        <v>0</v>
      </c>
      <c r="I391" t="n">
        <v>0</v>
      </c>
      <c r="J391" t="n">
        <v>0</v>
      </c>
      <c r="K391" t="n">
        <v>0</v>
      </c>
      <c r="L391" t="n">
        <v>0</v>
      </c>
      <c r="M391" t="n">
        <v>0</v>
      </c>
      <c r="N391" t="n">
        <v>0</v>
      </c>
      <c r="O391" t="n">
        <v>0</v>
      </c>
      <c r="P391" t="n">
        <v>0</v>
      </c>
      <c r="Q391" t="n">
        <v>0</v>
      </c>
      <c r="R391" s="2" t="inlineStr"/>
    </row>
    <row r="392" ht="15" customHeight="1">
      <c r="A392" t="inlineStr">
        <is>
          <t>A 48839-2022</t>
        </is>
      </c>
      <c r="B392" s="1" t="n">
        <v>44859</v>
      </c>
      <c r="C392" s="1" t="n">
        <v>45966</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60472-2022</t>
        </is>
      </c>
      <c r="B393" s="1" t="n">
        <v>44911.41037037037</v>
      </c>
      <c r="C393" s="1" t="n">
        <v>45966</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8967-2025</t>
        </is>
      </c>
      <c r="B394" s="1" t="n">
        <v>45712</v>
      </c>
      <c r="C394" s="1" t="n">
        <v>45966</v>
      </c>
      <c r="D394" t="inlineStr">
        <is>
          <t>ÖSTERGÖTLANDS LÄN</t>
        </is>
      </c>
      <c r="E394" t="inlineStr">
        <is>
          <t>LINKÖPING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43934-2023</t>
        </is>
      </c>
      <c r="B395" s="1" t="n">
        <v>45187</v>
      </c>
      <c r="C395" s="1" t="n">
        <v>45966</v>
      </c>
      <c r="D395" t="inlineStr">
        <is>
          <t>ÖSTERGÖTLANDS LÄN</t>
        </is>
      </c>
      <c r="E395" t="inlineStr">
        <is>
          <t>LINKÖPING</t>
        </is>
      </c>
      <c r="F395" t="inlineStr">
        <is>
          <t>Övriga Aktiebolag</t>
        </is>
      </c>
      <c r="G395" t="n">
        <v>3.8</v>
      </c>
      <c r="H395" t="n">
        <v>0</v>
      </c>
      <c r="I395" t="n">
        <v>0</v>
      </c>
      <c r="J395" t="n">
        <v>0</v>
      </c>
      <c r="K395" t="n">
        <v>0</v>
      </c>
      <c r="L395" t="n">
        <v>0</v>
      </c>
      <c r="M395" t="n">
        <v>0</v>
      </c>
      <c r="N395" t="n">
        <v>0</v>
      </c>
      <c r="O395" t="n">
        <v>0</v>
      </c>
      <c r="P395" t="n">
        <v>0</v>
      </c>
      <c r="Q395" t="n">
        <v>0</v>
      </c>
      <c r="R395" s="2" t="inlineStr"/>
    </row>
    <row r="396" ht="15" customHeight="1">
      <c r="A396" t="inlineStr">
        <is>
          <t>A 22774-2024</t>
        </is>
      </c>
      <c r="B396" s="1" t="n">
        <v>45448.46924768519</v>
      </c>
      <c r="C396" s="1" t="n">
        <v>45966</v>
      </c>
      <c r="D396" t="inlineStr">
        <is>
          <t>ÖSTERGÖTLANDS LÄN</t>
        </is>
      </c>
      <c r="E396" t="inlineStr">
        <is>
          <t>LINKÖPING</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22778-2024</t>
        </is>
      </c>
      <c r="B397" s="1" t="n">
        <v>45448.47233796296</v>
      </c>
      <c r="C397" s="1" t="n">
        <v>45966</v>
      </c>
      <c r="D397" t="inlineStr">
        <is>
          <t>ÖSTERGÖTLANDS LÄN</t>
        </is>
      </c>
      <c r="E397" t="inlineStr">
        <is>
          <t>LINKÖPING</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1209-2023</t>
        </is>
      </c>
      <c r="B398" s="1" t="n">
        <v>44930</v>
      </c>
      <c r="C398" s="1" t="n">
        <v>45966</v>
      </c>
      <c r="D398" t="inlineStr">
        <is>
          <t>ÖSTERGÖTLANDS LÄN</t>
        </is>
      </c>
      <c r="E398" t="inlineStr">
        <is>
          <t>LINKÖPING</t>
        </is>
      </c>
      <c r="F398" t="inlineStr">
        <is>
          <t>Övriga statliga verk och myndigheter</t>
        </is>
      </c>
      <c r="G398" t="n">
        <v>25.8</v>
      </c>
      <c r="H398" t="n">
        <v>0</v>
      </c>
      <c r="I398" t="n">
        <v>0</v>
      </c>
      <c r="J398" t="n">
        <v>0</v>
      </c>
      <c r="K398" t="n">
        <v>0</v>
      </c>
      <c r="L398" t="n">
        <v>0</v>
      </c>
      <c r="M398" t="n">
        <v>0</v>
      </c>
      <c r="N398" t="n">
        <v>0</v>
      </c>
      <c r="O398" t="n">
        <v>0</v>
      </c>
      <c r="P398" t="n">
        <v>0</v>
      </c>
      <c r="Q398" t="n">
        <v>0</v>
      </c>
      <c r="R398" s="2" t="inlineStr"/>
    </row>
    <row r="399" ht="15" customHeight="1">
      <c r="A399" t="inlineStr">
        <is>
          <t>A 63678-2023</t>
        </is>
      </c>
      <c r="B399" s="1" t="n">
        <v>45275.64769675926</v>
      </c>
      <c r="C399" s="1" t="n">
        <v>45966</v>
      </c>
      <c r="D399" t="inlineStr">
        <is>
          <t>ÖSTERGÖTLANDS LÄN</t>
        </is>
      </c>
      <c r="E399" t="inlineStr">
        <is>
          <t>LINKÖPING</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10407-2025</t>
        </is>
      </c>
      <c r="B400" s="1" t="n">
        <v>45720.62863425926</v>
      </c>
      <c r="C400" s="1" t="n">
        <v>45966</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11590-2023</t>
        </is>
      </c>
      <c r="B401" s="1" t="n">
        <v>44994.36689814815</v>
      </c>
      <c r="C401" s="1" t="n">
        <v>45966</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19169-2023</t>
        </is>
      </c>
      <c r="B402" s="1" t="n">
        <v>45044</v>
      </c>
      <c r="C402" s="1" t="n">
        <v>45966</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52796-2023</t>
        </is>
      </c>
      <c r="B403" s="1" t="n">
        <v>45219</v>
      </c>
      <c r="C403" s="1" t="n">
        <v>45966</v>
      </c>
      <c r="D403" t="inlineStr">
        <is>
          <t>ÖSTERGÖTLANDS LÄN</t>
        </is>
      </c>
      <c r="E403" t="inlineStr">
        <is>
          <t>LINKÖPING</t>
        </is>
      </c>
      <c r="F403" t="inlineStr">
        <is>
          <t>Övriga statliga verk och myndigheter</t>
        </is>
      </c>
      <c r="G403" t="n">
        <v>3.9</v>
      </c>
      <c r="H403" t="n">
        <v>0</v>
      </c>
      <c r="I403" t="n">
        <v>0</v>
      </c>
      <c r="J403" t="n">
        <v>0</v>
      </c>
      <c r="K403" t="n">
        <v>0</v>
      </c>
      <c r="L403" t="n">
        <v>0</v>
      </c>
      <c r="M403" t="n">
        <v>0</v>
      </c>
      <c r="N403" t="n">
        <v>0</v>
      </c>
      <c r="O403" t="n">
        <v>0</v>
      </c>
      <c r="P403" t="n">
        <v>0</v>
      </c>
      <c r="Q403" t="n">
        <v>0</v>
      </c>
      <c r="R403" s="2" t="inlineStr"/>
    </row>
    <row r="404" ht="15" customHeight="1">
      <c r="A404" t="inlineStr">
        <is>
          <t>A 672-2024</t>
        </is>
      </c>
      <c r="B404" s="1" t="n">
        <v>45300</v>
      </c>
      <c r="C404" s="1" t="n">
        <v>45966</v>
      </c>
      <c r="D404" t="inlineStr">
        <is>
          <t>ÖSTERGÖTLANDS LÄN</t>
        </is>
      </c>
      <c r="E404" t="inlineStr">
        <is>
          <t>LINKÖPING</t>
        </is>
      </c>
      <c r="F404" t="inlineStr">
        <is>
          <t>Sveaskog</t>
        </is>
      </c>
      <c r="G404" t="n">
        <v>4.5</v>
      </c>
      <c r="H404" t="n">
        <v>0</v>
      </c>
      <c r="I404" t="n">
        <v>0</v>
      </c>
      <c r="J404" t="n">
        <v>0</v>
      </c>
      <c r="K404" t="n">
        <v>0</v>
      </c>
      <c r="L404" t="n">
        <v>0</v>
      </c>
      <c r="M404" t="n">
        <v>0</v>
      </c>
      <c r="N404" t="n">
        <v>0</v>
      </c>
      <c r="O404" t="n">
        <v>0</v>
      </c>
      <c r="P404" t="n">
        <v>0</v>
      </c>
      <c r="Q404" t="n">
        <v>0</v>
      </c>
      <c r="R404" s="2" t="inlineStr"/>
    </row>
    <row r="405" ht="15" customHeight="1">
      <c r="A405" t="inlineStr">
        <is>
          <t>A 55493-2021</t>
        </is>
      </c>
      <c r="B405" s="1" t="n">
        <v>44475.61988425926</v>
      </c>
      <c r="C405" s="1" t="n">
        <v>45966</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51802-2025</t>
        </is>
      </c>
      <c r="B406" s="1" t="n">
        <v>45950</v>
      </c>
      <c r="C406" s="1" t="n">
        <v>45966</v>
      </c>
      <c r="D406" t="inlineStr">
        <is>
          <t>ÖSTERGÖTLANDS LÄN</t>
        </is>
      </c>
      <c r="E406" t="inlineStr">
        <is>
          <t>LINKÖPING</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1844-2025</t>
        </is>
      </c>
      <c r="B407" s="1" t="n">
        <v>45671.57730324074</v>
      </c>
      <c r="C407" s="1" t="n">
        <v>45966</v>
      </c>
      <c r="D407" t="inlineStr">
        <is>
          <t>ÖSTERGÖTLANDS LÄN</t>
        </is>
      </c>
      <c r="E407" t="inlineStr">
        <is>
          <t>LINKÖPING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14093-2024</t>
        </is>
      </c>
      <c r="B408" s="1" t="n">
        <v>45392.60278935185</v>
      </c>
      <c r="C408" s="1" t="n">
        <v>45966</v>
      </c>
      <c r="D408" t="inlineStr">
        <is>
          <t>ÖSTERGÖTLANDS LÄN</t>
        </is>
      </c>
      <c r="E408" t="inlineStr">
        <is>
          <t>LINKÖPING</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62019-2024</t>
        </is>
      </c>
      <c r="B409" s="1" t="n">
        <v>45655.82</v>
      </c>
      <c r="C409" s="1" t="n">
        <v>45966</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25119-2023</t>
        </is>
      </c>
      <c r="B410" s="1" t="n">
        <v>45086.42326388889</v>
      </c>
      <c r="C410" s="1" t="n">
        <v>45966</v>
      </c>
      <c r="D410" t="inlineStr">
        <is>
          <t>ÖSTERGÖTLANDS LÄN</t>
        </is>
      </c>
      <c r="E410" t="inlineStr">
        <is>
          <t>LINKÖPING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52111-2025</t>
        </is>
      </c>
      <c r="B411" s="1" t="n">
        <v>45952.69527777778</v>
      </c>
      <c r="C411" s="1" t="n">
        <v>45966</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57396-2021</t>
        </is>
      </c>
      <c r="B412" s="1" t="n">
        <v>44483.56151620371</v>
      </c>
      <c r="C412" s="1" t="n">
        <v>45966</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51571-2024</t>
        </is>
      </c>
      <c r="B413" s="1" t="n">
        <v>45604</v>
      </c>
      <c r="C413" s="1" t="n">
        <v>45966</v>
      </c>
      <c r="D413" t="inlineStr">
        <is>
          <t>ÖSTERGÖTLANDS LÄN</t>
        </is>
      </c>
      <c r="E413" t="inlineStr">
        <is>
          <t>LINKÖPING</t>
        </is>
      </c>
      <c r="F413" t="inlineStr">
        <is>
          <t>Övriga Aktiebolag</t>
        </is>
      </c>
      <c r="G413" t="n">
        <v>1.4</v>
      </c>
      <c r="H413" t="n">
        <v>0</v>
      </c>
      <c r="I413" t="n">
        <v>0</v>
      </c>
      <c r="J413" t="n">
        <v>0</v>
      </c>
      <c r="K413" t="n">
        <v>0</v>
      </c>
      <c r="L413" t="n">
        <v>0</v>
      </c>
      <c r="M413" t="n">
        <v>0</v>
      </c>
      <c r="N413" t="n">
        <v>0</v>
      </c>
      <c r="O413" t="n">
        <v>0</v>
      </c>
      <c r="P413" t="n">
        <v>0</v>
      </c>
      <c r="Q413" t="n">
        <v>0</v>
      </c>
      <c r="R413" s="2" t="inlineStr"/>
    </row>
    <row r="414" ht="15" customHeight="1">
      <c r="A414" t="inlineStr">
        <is>
          <t>A 17143-2025</t>
        </is>
      </c>
      <c r="B414" s="1" t="n">
        <v>45755.92731481481</v>
      </c>
      <c r="C414" s="1" t="n">
        <v>45966</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21165-2025</t>
        </is>
      </c>
      <c r="B415" s="1" t="n">
        <v>45779.39417824074</v>
      </c>
      <c r="C415" s="1" t="n">
        <v>45966</v>
      </c>
      <c r="D415" t="inlineStr">
        <is>
          <t>ÖSTERGÖTLANDS LÄN</t>
        </is>
      </c>
      <c r="E415" t="inlineStr">
        <is>
          <t>LINKÖPING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21155-2025</t>
        </is>
      </c>
      <c r="B416" s="1" t="n">
        <v>45779.37586805555</v>
      </c>
      <c r="C416" s="1" t="n">
        <v>45966</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17124-2025</t>
        </is>
      </c>
      <c r="B417" s="1" t="n">
        <v>45755.69678240741</v>
      </c>
      <c r="C417" s="1" t="n">
        <v>45966</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17126-2025</t>
        </is>
      </c>
      <c r="B418" s="1" t="n">
        <v>45755.70814814815</v>
      </c>
      <c r="C418" s="1" t="n">
        <v>45966</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31640-2023</t>
        </is>
      </c>
      <c r="B419" s="1" t="n">
        <v>45117</v>
      </c>
      <c r="C419" s="1" t="n">
        <v>45966</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30855-2022</t>
        </is>
      </c>
      <c r="B420" s="1" t="n">
        <v>44767</v>
      </c>
      <c r="C420" s="1" t="n">
        <v>45966</v>
      </c>
      <c r="D420" t="inlineStr">
        <is>
          <t>ÖSTERGÖTLANDS LÄN</t>
        </is>
      </c>
      <c r="E420" t="inlineStr">
        <is>
          <t>LINKÖPING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52743-2025</t>
        </is>
      </c>
      <c r="B421" s="1" t="n">
        <v>45957.38039351852</v>
      </c>
      <c r="C421" s="1" t="n">
        <v>45966</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11790-2024</t>
        </is>
      </c>
      <c r="B422" s="1" t="n">
        <v>45374</v>
      </c>
      <c r="C422" s="1" t="n">
        <v>45966</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52807-2025</t>
        </is>
      </c>
      <c r="B423" s="1" t="n">
        <v>45957.44837962963</v>
      </c>
      <c r="C423" s="1" t="n">
        <v>45966</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61281-2021</t>
        </is>
      </c>
      <c r="B424" s="1" t="n">
        <v>44498.60736111111</v>
      </c>
      <c r="C424" s="1" t="n">
        <v>45966</v>
      </c>
      <c r="D424" t="inlineStr">
        <is>
          <t>ÖSTERGÖTLANDS LÄN</t>
        </is>
      </c>
      <c r="E424" t="inlineStr">
        <is>
          <t>LINKÖPING</t>
        </is>
      </c>
      <c r="G424" t="n">
        <v>4.5</v>
      </c>
      <c r="H424" t="n">
        <v>0</v>
      </c>
      <c r="I424" t="n">
        <v>0</v>
      </c>
      <c r="J424" t="n">
        <v>0</v>
      </c>
      <c r="K424" t="n">
        <v>0</v>
      </c>
      <c r="L424" t="n">
        <v>0</v>
      </c>
      <c r="M424" t="n">
        <v>0</v>
      </c>
      <c r="N424" t="n">
        <v>0</v>
      </c>
      <c r="O424" t="n">
        <v>0</v>
      </c>
      <c r="P424" t="n">
        <v>0</v>
      </c>
      <c r="Q424" t="n">
        <v>0</v>
      </c>
      <c r="R424" s="2" t="inlineStr"/>
    </row>
    <row r="425" ht="15" customHeight="1">
      <c r="A425" t="inlineStr">
        <is>
          <t>A 44170-2025</t>
        </is>
      </c>
      <c r="B425" s="1" t="n">
        <v>45915.59864583334</v>
      </c>
      <c r="C425" s="1" t="n">
        <v>45966</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22264-2025</t>
        </is>
      </c>
      <c r="B426" s="1" t="n">
        <v>45785</v>
      </c>
      <c r="C426" s="1" t="n">
        <v>45966</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34877-2023</t>
        </is>
      </c>
      <c r="B427" s="1" t="n">
        <v>45140</v>
      </c>
      <c r="C427" s="1" t="n">
        <v>45966</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52740-2025</t>
        </is>
      </c>
      <c r="B428" s="1" t="n">
        <v>45957.37747685185</v>
      </c>
      <c r="C428" s="1" t="n">
        <v>45966</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43755-2025</t>
        </is>
      </c>
      <c r="B429" s="1" t="n">
        <v>45912.47329861111</v>
      </c>
      <c r="C429" s="1" t="n">
        <v>45966</v>
      </c>
      <c r="D429" t="inlineStr">
        <is>
          <t>ÖSTERGÖTLANDS LÄN</t>
        </is>
      </c>
      <c r="E429" t="inlineStr">
        <is>
          <t>LINKÖPING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6206-2024</t>
        </is>
      </c>
      <c r="B430" s="1" t="n">
        <v>45337.5977662037</v>
      </c>
      <c r="C430" s="1" t="n">
        <v>45966</v>
      </c>
      <c r="D430" t="inlineStr">
        <is>
          <t>ÖSTERGÖTLANDS LÄN</t>
        </is>
      </c>
      <c r="E430" t="inlineStr">
        <is>
          <t>LINKÖPING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43758-2025</t>
        </is>
      </c>
      <c r="B431" s="1" t="n">
        <v>45912.47711805555</v>
      </c>
      <c r="C431" s="1" t="n">
        <v>45966</v>
      </c>
      <c r="D431" t="inlineStr">
        <is>
          <t>ÖSTERGÖTLANDS LÄN</t>
        </is>
      </c>
      <c r="E431" t="inlineStr">
        <is>
          <t>LINKÖPING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52802-2025</t>
        </is>
      </c>
      <c r="B432" s="1" t="n">
        <v>45957.44295138889</v>
      </c>
      <c r="C432" s="1" t="n">
        <v>45966</v>
      </c>
      <c r="D432" t="inlineStr">
        <is>
          <t>ÖSTERGÖTLANDS LÄN</t>
        </is>
      </c>
      <c r="E432" t="inlineStr">
        <is>
          <t>LINKÖPING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43753-2025</t>
        </is>
      </c>
      <c r="B433" s="1" t="n">
        <v>45912.4715625</v>
      </c>
      <c r="C433" s="1" t="n">
        <v>45966</v>
      </c>
      <c r="D433" t="inlineStr">
        <is>
          <t>ÖSTERGÖTLANDS LÄN</t>
        </is>
      </c>
      <c r="E433" t="inlineStr">
        <is>
          <t>LINKÖPING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9473-2024</t>
        </is>
      </c>
      <c r="B434" s="1" t="n">
        <v>45359.55474537037</v>
      </c>
      <c r="C434" s="1" t="n">
        <v>45966</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168-2024</t>
        </is>
      </c>
      <c r="B435" s="1" t="n">
        <v>45294</v>
      </c>
      <c r="C435" s="1" t="n">
        <v>45966</v>
      </c>
      <c r="D435" t="inlineStr">
        <is>
          <t>ÖSTERGÖTLANDS LÄN</t>
        </is>
      </c>
      <c r="E435" t="inlineStr">
        <is>
          <t>LINKÖPING</t>
        </is>
      </c>
      <c r="F435" t="inlineStr">
        <is>
          <t>Allmännings- och besparingsskogar</t>
        </is>
      </c>
      <c r="G435" t="n">
        <v>8.9</v>
      </c>
      <c r="H435" t="n">
        <v>0</v>
      </c>
      <c r="I435" t="n">
        <v>0</v>
      </c>
      <c r="J435" t="n">
        <v>0</v>
      </c>
      <c r="K435" t="n">
        <v>0</v>
      </c>
      <c r="L435" t="n">
        <v>0</v>
      </c>
      <c r="M435" t="n">
        <v>0</v>
      </c>
      <c r="N435" t="n">
        <v>0</v>
      </c>
      <c r="O435" t="n">
        <v>0</v>
      </c>
      <c r="P435" t="n">
        <v>0</v>
      </c>
      <c r="Q435" t="n">
        <v>0</v>
      </c>
      <c r="R435" s="2" t="inlineStr"/>
    </row>
    <row r="436" ht="15" customHeight="1">
      <c r="A436" t="inlineStr">
        <is>
          <t>A 6859-2024</t>
        </is>
      </c>
      <c r="B436" s="1" t="n">
        <v>45342</v>
      </c>
      <c r="C436" s="1" t="n">
        <v>45966</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44287-2024</t>
        </is>
      </c>
      <c r="B437" s="1" t="n">
        <v>45573.50582175926</v>
      </c>
      <c r="C437" s="1" t="n">
        <v>45966</v>
      </c>
      <c r="D437" t="inlineStr">
        <is>
          <t>ÖSTERGÖTLANDS LÄN</t>
        </is>
      </c>
      <c r="E437" t="inlineStr">
        <is>
          <t>LINKÖPING</t>
        </is>
      </c>
      <c r="G437" t="n">
        <v>12.7</v>
      </c>
      <c r="H437" t="n">
        <v>0</v>
      </c>
      <c r="I437" t="n">
        <v>0</v>
      </c>
      <c r="J437" t="n">
        <v>0</v>
      </c>
      <c r="K437" t="n">
        <v>0</v>
      </c>
      <c r="L437" t="n">
        <v>0</v>
      </c>
      <c r="M437" t="n">
        <v>0</v>
      </c>
      <c r="N437" t="n">
        <v>0</v>
      </c>
      <c r="O437" t="n">
        <v>0</v>
      </c>
      <c r="P437" t="n">
        <v>0</v>
      </c>
      <c r="Q437" t="n">
        <v>0</v>
      </c>
      <c r="R437" s="2" t="inlineStr"/>
    </row>
    <row r="438" ht="15" customHeight="1">
      <c r="A438" t="inlineStr">
        <is>
          <t>A 52800-2025</t>
        </is>
      </c>
      <c r="B438" s="1" t="n">
        <v>45957.44152777778</v>
      </c>
      <c r="C438" s="1" t="n">
        <v>45966</v>
      </c>
      <c r="D438" t="inlineStr">
        <is>
          <t>ÖSTERGÖTLANDS LÄN</t>
        </is>
      </c>
      <c r="E438" t="inlineStr">
        <is>
          <t>LINKÖPING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51919-2024</t>
        </is>
      </c>
      <c r="B439" s="1" t="n">
        <v>45607.60791666667</v>
      </c>
      <c r="C439" s="1" t="n">
        <v>45966</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56623-2024</t>
        </is>
      </c>
      <c r="B440" s="1" t="n">
        <v>45625</v>
      </c>
      <c r="C440" s="1" t="n">
        <v>45966</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22364-2025</t>
        </is>
      </c>
      <c r="B441" s="1" t="n">
        <v>45786.46930555555</v>
      </c>
      <c r="C441" s="1" t="n">
        <v>45966</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11330-2023</t>
        </is>
      </c>
      <c r="B442" s="1" t="n">
        <v>44993.24648148148</v>
      </c>
      <c r="C442" s="1" t="n">
        <v>45966</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63304-2021</t>
        </is>
      </c>
      <c r="B443" s="1" t="n">
        <v>44508.4396412037</v>
      </c>
      <c r="C443" s="1" t="n">
        <v>45966</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14528-2025</t>
        </is>
      </c>
      <c r="B444" s="1" t="n">
        <v>45741</v>
      </c>
      <c r="C444" s="1" t="n">
        <v>45966</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572-2025</t>
        </is>
      </c>
      <c r="B445" s="1" t="n">
        <v>45664.56349537037</v>
      </c>
      <c r="C445" s="1" t="n">
        <v>45966</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10797-2024</t>
        </is>
      </c>
      <c r="B446" s="1" t="n">
        <v>45369.6190162037</v>
      </c>
      <c r="C446" s="1" t="n">
        <v>45966</v>
      </c>
      <c r="D446" t="inlineStr">
        <is>
          <t>ÖSTERGÖTLANDS LÄN</t>
        </is>
      </c>
      <c r="E446" t="inlineStr">
        <is>
          <t>LINKÖPING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30856-2022</t>
        </is>
      </c>
      <c r="B447" s="1" t="n">
        <v>44767</v>
      </c>
      <c r="C447" s="1" t="n">
        <v>45966</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38580-2024</t>
        </is>
      </c>
      <c r="B448" s="1" t="n">
        <v>45546.64825231482</v>
      </c>
      <c r="C448" s="1" t="n">
        <v>45966</v>
      </c>
      <c r="D448" t="inlineStr">
        <is>
          <t>ÖSTERGÖTLANDS LÄN</t>
        </is>
      </c>
      <c r="E448" t="inlineStr">
        <is>
          <t>LINKÖPING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44759-2025</t>
        </is>
      </c>
      <c r="B449" s="1" t="n">
        <v>45917.7152662037</v>
      </c>
      <c r="C449" s="1" t="n">
        <v>45966</v>
      </c>
      <c r="D449" t="inlineStr">
        <is>
          <t>ÖSTERGÖTLANDS LÄN</t>
        </is>
      </c>
      <c r="E449" t="inlineStr">
        <is>
          <t>LINKÖPING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57752-2023</t>
        </is>
      </c>
      <c r="B450" s="1" t="n">
        <v>45246.78474537037</v>
      </c>
      <c r="C450" s="1" t="n">
        <v>45966</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3530-2024</t>
        </is>
      </c>
      <c r="B451" s="1" t="n">
        <v>45320.54717592592</v>
      </c>
      <c r="C451" s="1" t="n">
        <v>45966</v>
      </c>
      <c r="D451" t="inlineStr">
        <is>
          <t>ÖSTERGÖTLANDS LÄN</t>
        </is>
      </c>
      <c r="E451" t="inlineStr">
        <is>
          <t>LINKÖPING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62073-2023</t>
        </is>
      </c>
      <c r="B452" s="1" t="n">
        <v>45266.73844907407</v>
      </c>
      <c r="C452" s="1" t="n">
        <v>45966</v>
      </c>
      <c r="D452" t="inlineStr">
        <is>
          <t>ÖSTERGÖTLANDS LÄN</t>
        </is>
      </c>
      <c r="E452" t="inlineStr">
        <is>
          <t>LINKÖPING</t>
        </is>
      </c>
      <c r="F452" t="inlineStr">
        <is>
          <t>Allmännings- och besparingsskogar</t>
        </is>
      </c>
      <c r="G452" t="n">
        <v>1.8</v>
      </c>
      <c r="H452" t="n">
        <v>0</v>
      </c>
      <c r="I452" t="n">
        <v>0</v>
      </c>
      <c r="J452" t="n">
        <v>0</v>
      </c>
      <c r="K452" t="n">
        <v>0</v>
      </c>
      <c r="L452" t="n">
        <v>0</v>
      </c>
      <c r="M452" t="n">
        <v>0</v>
      </c>
      <c r="N452" t="n">
        <v>0</v>
      </c>
      <c r="O452" t="n">
        <v>0</v>
      </c>
      <c r="P452" t="n">
        <v>0</v>
      </c>
      <c r="Q452" t="n">
        <v>0</v>
      </c>
      <c r="R452" s="2" t="inlineStr"/>
    </row>
    <row r="453" ht="15" customHeight="1">
      <c r="A453" t="inlineStr">
        <is>
          <t>A 5872-2025</t>
        </is>
      </c>
      <c r="B453" s="1" t="n">
        <v>45695.36659722222</v>
      </c>
      <c r="C453" s="1" t="n">
        <v>45966</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53814-2023</t>
        </is>
      </c>
      <c r="B454" s="1" t="n">
        <v>45231</v>
      </c>
      <c r="C454" s="1" t="n">
        <v>45966</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3432-2023</t>
        </is>
      </c>
      <c r="B455" s="1" t="n">
        <v>44949</v>
      </c>
      <c r="C455" s="1" t="n">
        <v>45966</v>
      </c>
      <c r="D455" t="inlineStr">
        <is>
          <t>ÖSTERGÖTLANDS LÄN</t>
        </is>
      </c>
      <c r="E455" t="inlineStr">
        <is>
          <t>LINKÖPING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29312-2024</t>
        </is>
      </c>
      <c r="B456" s="1" t="n">
        <v>45483</v>
      </c>
      <c r="C456" s="1" t="n">
        <v>45966</v>
      </c>
      <c r="D456" t="inlineStr">
        <is>
          <t>ÖSTERGÖTLANDS LÄN</t>
        </is>
      </c>
      <c r="E456" t="inlineStr">
        <is>
          <t>LINKÖPING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54425-2022</t>
        </is>
      </c>
      <c r="B457" s="1" t="n">
        <v>44882.57453703704</v>
      </c>
      <c r="C457" s="1" t="n">
        <v>45966</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54428-2022</t>
        </is>
      </c>
      <c r="B458" s="1" t="n">
        <v>44882.57643518518</v>
      </c>
      <c r="C458" s="1" t="n">
        <v>45966</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23120-2025</t>
        </is>
      </c>
      <c r="B459" s="1" t="n">
        <v>45791.37481481482</v>
      </c>
      <c r="C459" s="1" t="n">
        <v>45966</v>
      </c>
      <c r="D459" t="inlineStr">
        <is>
          <t>ÖSTERGÖTLANDS LÄN</t>
        </is>
      </c>
      <c r="E459" t="inlineStr">
        <is>
          <t>LINKÖPING</t>
        </is>
      </c>
      <c r="G459" t="n">
        <v>2.9</v>
      </c>
      <c r="H459" t="n">
        <v>0</v>
      </c>
      <c r="I459" t="n">
        <v>0</v>
      </c>
      <c r="J459" t="n">
        <v>0</v>
      </c>
      <c r="K459" t="n">
        <v>0</v>
      </c>
      <c r="L459" t="n">
        <v>0</v>
      </c>
      <c r="M459" t="n">
        <v>0</v>
      </c>
      <c r="N459" t="n">
        <v>0</v>
      </c>
      <c r="O459" t="n">
        <v>0</v>
      </c>
      <c r="P459" t="n">
        <v>0</v>
      </c>
      <c r="Q459" t="n">
        <v>0</v>
      </c>
      <c r="R459" s="2" t="inlineStr"/>
    </row>
    <row r="460" ht="15" customHeight="1">
      <c r="A460" t="inlineStr">
        <is>
          <t>A 44764-2025</t>
        </is>
      </c>
      <c r="B460" s="1" t="n">
        <v>45917.72821759259</v>
      </c>
      <c r="C460" s="1" t="n">
        <v>45966</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23768-2025</t>
        </is>
      </c>
      <c r="B461" s="1" t="n">
        <v>45793.47493055555</v>
      </c>
      <c r="C461" s="1" t="n">
        <v>45966</v>
      </c>
      <c r="D461" t="inlineStr">
        <is>
          <t>ÖSTERGÖTLANDS LÄN</t>
        </is>
      </c>
      <c r="E461" t="inlineStr">
        <is>
          <t>LINKÖPING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660-2023</t>
        </is>
      </c>
      <c r="B462" s="1" t="n">
        <v>44930</v>
      </c>
      <c r="C462" s="1" t="n">
        <v>45966</v>
      </c>
      <c r="D462" t="inlineStr">
        <is>
          <t>ÖSTERGÖTLANDS LÄN</t>
        </is>
      </c>
      <c r="E462" t="inlineStr">
        <is>
          <t>LINKÖPING</t>
        </is>
      </c>
      <c r="F462" t="inlineStr">
        <is>
          <t>Kyrkan</t>
        </is>
      </c>
      <c r="G462" t="n">
        <v>1.6</v>
      </c>
      <c r="H462" t="n">
        <v>0</v>
      </c>
      <c r="I462" t="n">
        <v>0</v>
      </c>
      <c r="J462" t="n">
        <v>0</v>
      </c>
      <c r="K462" t="n">
        <v>0</v>
      </c>
      <c r="L462" t="n">
        <v>0</v>
      </c>
      <c r="M462" t="n">
        <v>0</v>
      </c>
      <c r="N462" t="n">
        <v>0</v>
      </c>
      <c r="O462" t="n">
        <v>0</v>
      </c>
      <c r="P462" t="n">
        <v>0</v>
      </c>
      <c r="Q462" t="n">
        <v>0</v>
      </c>
      <c r="R462" s="2" t="inlineStr"/>
    </row>
    <row r="463" ht="15" customHeight="1">
      <c r="A463" t="inlineStr">
        <is>
          <t>A 62501-2023</t>
        </is>
      </c>
      <c r="B463" s="1" t="n">
        <v>45268</v>
      </c>
      <c r="C463" s="1" t="n">
        <v>45966</v>
      </c>
      <c r="D463" t="inlineStr">
        <is>
          <t>ÖSTERGÖTLANDS LÄN</t>
        </is>
      </c>
      <c r="E463" t="inlineStr">
        <is>
          <t>LINKÖPING</t>
        </is>
      </c>
      <c r="G463" t="n">
        <v>7.4</v>
      </c>
      <c r="H463" t="n">
        <v>0</v>
      </c>
      <c r="I463" t="n">
        <v>0</v>
      </c>
      <c r="J463" t="n">
        <v>0</v>
      </c>
      <c r="K463" t="n">
        <v>0</v>
      </c>
      <c r="L463" t="n">
        <v>0</v>
      </c>
      <c r="M463" t="n">
        <v>0</v>
      </c>
      <c r="N463" t="n">
        <v>0</v>
      </c>
      <c r="O463" t="n">
        <v>0</v>
      </c>
      <c r="P463" t="n">
        <v>0</v>
      </c>
      <c r="Q463" t="n">
        <v>0</v>
      </c>
      <c r="R463" s="2" t="inlineStr"/>
    </row>
    <row r="464" ht="15" customHeight="1">
      <c r="A464" t="inlineStr">
        <is>
          <t>A 13413-2023</t>
        </is>
      </c>
      <c r="B464" s="1" t="n">
        <v>45005.58341435185</v>
      </c>
      <c r="C464" s="1" t="n">
        <v>45966</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26620-2023</t>
        </is>
      </c>
      <c r="B465" s="1" t="n">
        <v>45092.70390046296</v>
      </c>
      <c r="C465" s="1" t="n">
        <v>45966</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45112-2025</t>
        </is>
      </c>
      <c r="B466" s="1" t="n">
        <v>45919</v>
      </c>
      <c r="C466" s="1" t="n">
        <v>45966</v>
      </c>
      <c r="D466" t="inlineStr">
        <is>
          <t>ÖSTERGÖTLANDS LÄN</t>
        </is>
      </c>
      <c r="E466" t="inlineStr">
        <is>
          <t>LINKÖPING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50056-2025</t>
        </is>
      </c>
      <c r="B467" s="1" t="n">
        <v>45941</v>
      </c>
      <c r="C467" s="1" t="n">
        <v>45966</v>
      </c>
      <c r="D467" t="inlineStr">
        <is>
          <t>ÖSTERGÖTLANDS LÄN</t>
        </is>
      </c>
      <c r="E467" t="inlineStr">
        <is>
          <t>LINKÖPING</t>
        </is>
      </c>
      <c r="G467" t="n">
        <v>0.3</v>
      </c>
      <c r="H467" t="n">
        <v>0</v>
      </c>
      <c r="I467" t="n">
        <v>0</v>
      </c>
      <c r="J467" t="n">
        <v>0</v>
      </c>
      <c r="K467" t="n">
        <v>0</v>
      </c>
      <c r="L467" t="n">
        <v>0</v>
      </c>
      <c r="M467" t="n">
        <v>0</v>
      </c>
      <c r="N467" t="n">
        <v>0</v>
      </c>
      <c r="O467" t="n">
        <v>0</v>
      </c>
      <c r="P467" t="n">
        <v>0</v>
      </c>
      <c r="Q467" t="n">
        <v>0</v>
      </c>
      <c r="R467" s="2" t="inlineStr"/>
    </row>
    <row r="468" ht="15" customHeight="1">
      <c r="A468" t="inlineStr">
        <is>
          <t>A 62374-2020</t>
        </is>
      </c>
      <c r="B468" s="1" t="n">
        <v>44159</v>
      </c>
      <c r="C468" s="1" t="n">
        <v>45966</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16462-2021</t>
        </is>
      </c>
      <c r="B469" s="1" t="n">
        <v>44293</v>
      </c>
      <c r="C469" s="1" t="n">
        <v>45966</v>
      </c>
      <c r="D469" t="inlineStr">
        <is>
          <t>ÖSTERGÖTLANDS LÄN</t>
        </is>
      </c>
      <c r="E469" t="inlineStr">
        <is>
          <t>LINKÖPING</t>
        </is>
      </c>
      <c r="F469" t="inlineStr">
        <is>
          <t>Allmännings- och besparingsskogar</t>
        </is>
      </c>
      <c r="G469" t="n">
        <v>24.7</v>
      </c>
      <c r="H469" t="n">
        <v>0</v>
      </c>
      <c r="I469" t="n">
        <v>0</v>
      </c>
      <c r="J469" t="n">
        <v>0</v>
      </c>
      <c r="K469" t="n">
        <v>0</v>
      </c>
      <c r="L469" t="n">
        <v>0</v>
      </c>
      <c r="M469" t="n">
        <v>0</v>
      </c>
      <c r="N469" t="n">
        <v>0</v>
      </c>
      <c r="O469" t="n">
        <v>0</v>
      </c>
      <c r="P469" t="n">
        <v>0</v>
      </c>
      <c r="Q469" t="n">
        <v>0</v>
      </c>
      <c r="R469" s="2" t="inlineStr"/>
    </row>
    <row r="470" ht="15" customHeight="1">
      <c r="A470" t="inlineStr">
        <is>
          <t>A 48699-2024</t>
        </is>
      </c>
      <c r="B470" s="1" t="n">
        <v>45593.52091435185</v>
      </c>
      <c r="C470" s="1" t="n">
        <v>45966</v>
      </c>
      <c r="D470" t="inlineStr">
        <is>
          <t>ÖSTERGÖTLANDS LÄN</t>
        </is>
      </c>
      <c r="E470" t="inlineStr">
        <is>
          <t>LINKÖPING</t>
        </is>
      </c>
      <c r="G470" t="n">
        <v>1.3</v>
      </c>
      <c r="H470" t="n">
        <v>0</v>
      </c>
      <c r="I470" t="n">
        <v>0</v>
      </c>
      <c r="J470" t="n">
        <v>0</v>
      </c>
      <c r="K470" t="n">
        <v>0</v>
      </c>
      <c r="L470" t="n">
        <v>0</v>
      </c>
      <c r="M470" t="n">
        <v>0</v>
      </c>
      <c r="N470" t="n">
        <v>0</v>
      </c>
      <c r="O470" t="n">
        <v>0</v>
      </c>
      <c r="P470" t="n">
        <v>0</v>
      </c>
      <c r="Q470" t="n">
        <v>0</v>
      </c>
      <c r="R470" s="2" t="inlineStr"/>
    </row>
    <row r="471" ht="15" customHeight="1">
      <c r="A471" t="inlineStr">
        <is>
          <t>A 45634-2025</t>
        </is>
      </c>
      <c r="B471" s="1" t="n">
        <v>45922.85089120371</v>
      </c>
      <c r="C471" s="1" t="n">
        <v>45966</v>
      </c>
      <c r="D471" t="inlineStr">
        <is>
          <t>ÖSTERGÖTLANDS LÄN</t>
        </is>
      </c>
      <c r="E471" t="inlineStr">
        <is>
          <t>LINKÖPING</t>
        </is>
      </c>
      <c r="F471" t="inlineStr">
        <is>
          <t>Övriga Aktiebolag</t>
        </is>
      </c>
      <c r="G471" t="n">
        <v>0.3</v>
      </c>
      <c r="H471" t="n">
        <v>0</v>
      </c>
      <c r="I471" t="n">
        <v>0</v>
      </c>
      <c r="J471" t="n">
        <v>0</v>
      </c>
      <c r="K471" t="n">
        <v>0</v>
      </c>
      <c r="L471" t="n">
        <v>0</v>
      </c>
      <c r="M471" t="n">
        <v>0</v>
      </c>
      <c r="N471" t="n">
        <v>0</v>
      </c>
      <c r="O471" t="n">
        <v>0</v>
      </c>
      <c r="P471" t="n">
        <v>0</v>
      </c>
      <c r="Q471" t="n">
        <v>0</v>
      </c>
      <c r="R471" s="2" t="inlineStr"/>
    </row>
    <row r="472" ht="15" customHeight="1">
      <c r="A472" t="inlineStr">
        <is>
          <t>A 54329-2025</t>
        </is>
      </c>
      <c r="B472" s="1" t="n">
        <v>45965.34706018519</v>
      </c>
      <c r="C472" s="1" t="n">
        <v>45966</v>
      </c>
      <c r="D472" t="inlineStr">
        <is>
          <t>ÖSTERGÖTLANDS LÄN</t>
        </is>
      </c>
      <c r="E472" t="inlineStr">
        <is>
          <t>LINKÖPING</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57745-2022</t>
        </is>
      </c>
      <c r="B473" s="1" t="n">
        <v>44897.58119212963</v>
      </c>
      <c r="C473" s="1" t="n">
        <v>45966</v>
      </c>
      <c r="D473" t="inlineStr">
        <is>
          <t>ÖSTERGÖTLANDS LÄN</t>
        </is>
      </c>
      <c r="E473" t="inlineStr">
        <is>
          <t>LINKÖPING</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63554-2023</t>
        </is>
      </c>
      <c r="B474" s="1" t="n">
        <v>45275</v>
      </c>
      <c r="C474" s="1" t="n">
        <v>45966</v>
      </c>
      <c r="D474" t="inlineStr">
        <is>
          <t>ÖSTERGÖTLANDS LÄN</t>
        </is>
      </c>
      <c r="E474" t="inlineStr">
        <is>
          <t>LINKÖPING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13911-2025</t>
        </is>
      </c>
      <c r="B475" s="1" t="n">
        <v>45737.64784722222</v>
      </c>
      <c r="C475" s="1" t="n">
        <v>45966</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34889-2023</t>
        </is>
      </c>
      <c r="B476" s="1" t="n">
        <v>45140</v>
      </c>
      <c r="C476" s="1" t="n">
        <v>45966</v>
      </c>
      <c r="D476" t="inlineStr">
        <is>
          <t>ÖSTERGÖTLANDS LÄN</t>
        </is>
      </c>
      <c r="E476" t="inlineStr">
        <is>
          <t>LINKÖPING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63638-2023</t>
        </is>
      </c>
      <c r="B477" s="1" t="n">
        <v>45275</v>
      </c>
      <c r="C477" s="1" t="n">
        <v>45966</v>
      </c>
      <c r="D477" t="inlineStr">
        <is>
          <t>ÖSTERGÖTLANDS LÄN</t>
        </is>
      </c>
      <c r="E477" t="inlineStr">
        <is>
          <t>LINKÖPING</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63658-2023</t>
        </is>
      </c>
      <c r="B478" s="1" t="n">
        <v>45275</v>
      </c>
      <c r="C478" s="1" t="n">
        <v>45966</v>
      </c>
      <c r="D478" t="inlineStr">
        <is>
          <t>ÖSTERGÖTLANDS LÄN</t>
        </is>
      </c>
      <c r="E478" t="inlineStr">
        <is>
          <t>LINKÖPING</t>
        </is>
      </c>
      <c r="F478" t="inlineStr">
        <is>
          <t>Övriga Aktiebolag</t>
        </is>
      </c>
      <c r="G478" t="n">
        <v>1.5</v>
      </c>
      <c r="H478" t="n">
        <v>0</v>
      </c>
      <c r="I478" t="n">
        <v>0</v>
      </c>
      <c r="J478" t="n">
        <v>0</v>
      </c>
      <c r="K478" t="n">
        <v>0</v>
      </c>
      <c r="L478" t="n">
        <v>0</v>
      </c>
      <c r="M478" t="n">
        <v>0</v>
      </c>
      <c r="N478" t="n">
        <v>0</v>
      </c>
      <c r="O478" t="n">
        <v>0</v>
      </c>
      <c r="P478" t="n">
        <v>0</v>
      </c>
      <c r="Q478" t="n">
        <v>0</v>
      </c>
      <c r="R478" s="2" t="inlineStr"/>
    </row>
    <row r="479" ht="15" customHeight="1">
      <c r="A479" t="inlineStr">
        <is>
          <t>A 54332-2025</t>
        </is>
      </c>
      <c r="B479" s="1" t="n">
        <v>45965.34915509259</v>
      </c>
      <c r="C479" s="1" t="n">
        <v>45966</v>
      </c>
      <c r="D479" t="inlineStr">
        <is>
          <t>ÖSTERGÖTLANDS LÄN</t>
        </is>
      </c>
      <c r="E479" t="inlineStr">
        <is>
          <t>LINKÖPING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44280-2024</t>
        </is>
      </c>
      <c r="B480" s="1" t="n">
        <v>45573.49461805556</v>
      </c>
      <c r="C480" s="1" t="n">
        <v>45966</v>
      </c>
      <c r="D480" t="inlineStr">
        <is>
          <t>ÖSTERGÖTLANDS LÄN</t>
        </is>
      </c>
      <c r="E480" t="inlineStr">
        <is>
          <t>LINKÖPING</t>
        </is>
      </c>
      <c r="G480" t="n">
        <v>5.3</v>
      </c>
      <c r="H480" t="n">
        <v>0</v>
      </c>
      <c r="I480" t="n">
        <v>0</v>
      </c>
      <c r="J480" t="n">
        <v>0</v>
      </c>
      <c r="K480" t="n">
        <v>0</v>
      </c>
      <c r="L480" t="n">
        <v>0</v>
      </c>
      <c r="M480" t="n">
        <v>0</v>
      </c>
      <c r="N480" t="n">
        <v>0</v>
      </c>
      <c r="O480" t="n">
        <v>0</v>
      </c>
      <c r="P480" t="n">
        <v>0</v>
      </c>
      <c r="Q480" t="n">
        <v>0</v>
      </c>
      <c r="R480" s="2" t="inlineStr"/>
    </row>
    <row r="481" ht="15" customHeight="1">
      <c r="A481" t="inlineStr">
        <is>
          <t>A 16820-2024</t>
        </is>
      </c>
      <c r="B481" s="1" t="n">
        <v>45411.46809027778</v>
      </c>
      <c r="C481" s="1" t="n">
        <v>45966</v>
      </c>
      <c r="D481" t="inlineStr">
        <is>
          <t>ÖSTERGÖTLANDS LÄN</t>
        </is>
      </c>
      <c r="E481" t="inlineStr">
        <is>
          <t>LINKÖPING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4456-2024</t>
        </is>
      </c>
      <c r="B482" s="1" t="n">
        <v>45327.52847222222</v>
      </c>
      <c r="C482" s="1" t="n">
        <v>45966</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20298-2025</t>
        </is>
      </c>
      <c r="B483" s="1" t="n">
        <v>45774.75024305555</v>
      </c>
      <c r="C483" s="1" t="n">
        <v>45966</v>
      </c>
      <c r="D483" t="inlineStr">
        <is>
          <t>ÖSTERGÖTLANDS LÄN</t>
        </is>
      </c>
      <c r="E483" t="inlineStr">
        <is>
          <t>LINKÖPING</t>
        </is>
      </c>
      <c r="G483" t="n">
        <v>1.3</v>
      </c>
      <c r="H483" t="n">
        <v>0</v>
      </c>
      <c r="I483" t="n">
        <v>0</v>
      </c>
      <c r="J483" t="n">
        <v>0</v>
      </c>
      <c r="K483" t="n">
        <v>0</v>
      </c>
      <c r="L483" t="n">
        <v>0</v>
      </c>
      <c r="M483" t="n">
        <v>0</v>
      </c>
      <c r="N483" t="n">
        <v>0</v>
      </c>
      <c r="O483" t="n">
        <v>0</v>
      </c>
      <c r="P483" t="n">
        <v>0</v>
      </c>
      <c r="Q483" t="n">
        <v>0</v>
      </c>
      <c r="R483" s="2" t="inlineStr"/>
    </row>
    <row r="484" ht="15" customHeight="1">
      <c r="A484" t="inlineStr">
        <is>
          <t>A 15121-2022</t>
        </is>
      </c>
      <c r="B484" s="1" t="n">
        <v>44658</v>
      </c>
      <c r="C484" s="1" t="n">
        <v>45966</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50743-2023</t>
        </is>
      </c>
      <c r="B485" s="1" t="n">
        <v>45217</v>
      </c>
      <c r="C485" s="1" t="n">
        <v>45966</v>
      </c>
      <c r="D485" t="inlineStr">
        <is>
          <t>ÖSTERGÖTLANDS LÄN</t>
        </is>
      </c>
      <c r="E485" t="inlineStr">
        <is>
          <t>LINKÖPING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54333-2025</t>
        </is>
      </c>
      <c r="B486" s="1" t="n">
        <v>45965.35090277778</v>
      </c>
      <c r="C486" s="1" t="n">
        <v>45966</v>
      </c>
      <c r="D486" t="inlineStr">
        <is>
          <t>ÖSTERGÖTLANDS LÄN</t>
        </is>
      </c>
      <c r="E486" t="inlineStr">
        <is>
          <t>LINKÖPING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45792-2025</t>
        </is>
      </c>
      <c r="B487" s="1" t="n">
        <v>45923.56998842592</v>
      </c>
      <c r="C487" s="1" t="n">
        <v>45966</v>
      </c>
      <c r="D487" t="inlineStr">
        <is>
          <t>ÖSTERGÖTLANDS LÄN</t>
        </is>
      </c>
      <c r="E487" t="inlineStr">
        <is>
          <t>LINKÖPING</t>
        </is>
      </c>
      <c r="G487" t="n">
        <v>2.6</v>
      </c>
      <c r="H487" t="n">
        <v>0</v>
      </c>
      <c r="I487" t="n">
        <v>0</v>
      </c>
      <c r="J487" t="n">
        <v>0</v>
      </c>
      <c r="K487" t="n">
        <v>0</v>
      </c>
      <c r="L487" t="n">
        <v>0</v>
      </c>
      <c r="M487" t="n">
        <v>0</v>
      </c>
      <c r="N487" t="n">
        <v>0</v>
      </c>
      <c r="O487" t="n">
        <v>0</v>
      </c>
      <c r="P487" t="n">
        <v>0</v>
      </c>
      <c r="Q487" t="n">
        <v>0</v>
      </c>
      <c r="R487" s="2" t="inlineStr"/>
    </row>
    <row r="488" ht="15" customHeight="1">
      <c r="A488" t="inlineStr">
        <is>
          <t>A 45804-2025</t>
        </is>
      </c>
      <c r="B488" s="1" t="n">
        <v>45923.5819675926</v>
      </c>
      <c r="C488" s="1" t="n">
        <v>45966</v>
      </c>
      <c r="D488" t="inlineStr">
        <is>
          <t>ÖSTERGÖTLANDS LÄN</t>
        </is>
      </c>
      <c r="E488" t="inlineStr">
        <is>
          <t>LINKÖPING</t>
        </is>
      </c>
      <c r="G488" t="n">
        <v>3.3</v>
      </c>
      <c r="H488" t="n">
        <v>0</v>
      </c>
      <c r="I488" t="n">
        <v>0</v>
      </c>
      <c r="J488" t="n">
        <v>0</v>
      </c>
      <c r="K488" t="n">
        <v>0</v>
      </c>
      <c r="L488" t="n">
        <v>0</v>
      </c>
      <c r="M488" t="n">
        <v>0</v>
      </c>
      <c r="N488" t="n">
        <v>0</v>
      </c>
      <c r="O488" t="n">
        <v>0</v>
      </c>
      <c r="P488" t="n">
        <v>0</v>
      </c>
      <c r="Q488" t="n">
        <v>0</v>
      </c>
      <c r="R488" s="2" t="inlineStr"/>
    </row>
    <row r="489" ht="15" customHeight="1">
      <c r="A489" t="inlineStr">
        <is>
          <t>A 1440-2021</t>
        </is>
      </c>
      <c r="B489" s="1" t="n">
        <v>44208</v>
      </c>
      <c r="C489" s="1" t="n">
        <v>45966</v>
      </c>
      <c r="D489" t="inlineStr">
        <is>
          <t>ÖSTERGÖTLANDS LÄN</t>
        </is>
      </c>
      <c r="E489" t="inlineStr">
        <is>
          <t>LINKÖPING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13687-2025</t>
        </is>
      </c>
      <c r="B490" s="1" t="n">
        <v>45737.31425925926</v>
      </c>
      <c r="C490" s="1" t="n">
        <v>45966</v>
      </c>
      <c r="D490" t="inlineStr">
        <is>
          <t>ÖSTERGÖTLANDS LÄN</t>
        </is>
      </c>
      <c r="E490" t="inlineStr">
        <is>
          <t>LINKÖPING</t>
        </is>
      </c>
      <c r="G490" t="n">
        <v>2.7</v>
      </c>
      <c r="H490" t="n">
        <v>0</v>
      </c>
      <c r="I490" t="n">
        <v>0</v>
      </c>
      <c r="J490" t="n">
        <v>0</v>
      </c>
      <c r="K490" t="n">
        <v>0</v>
      </c>
      <c r="L490" t="n">
        <v>0</v>
      </c>
      <c r="M490" t="n">
        <v>0</v>
      </c>
      <c r="N490" t="n">
        <v>0</v>
      </c>
      <c r="O490" t="n">
        <v>0</v>
      </c>
      <c r="P490" t="n">
        <v>0</v>
      </c>
      <c r="Q490" t="n">
        <v>0</v>
      </c>
      <c r="R490" s="2" t="inlineStr"/>
    </row>
    <row r="491" ht="15" customHeight="1">
      <c r="A491" t="inlineStr">
        <is>
          <t>A 13695-2025</t>
        </is>
      </c>
      <c r="B491" s="1" t="n">
        <v>45737.32219907407</v>
      </c>
      <c r="C491" s="1" t="n">
        <v>45966</v>
      </c>
      <c r="D491" t="inlineStr">
        <is>
          <t>ÖSTERGÖTLANDS LÄN</t>
        </is>
      </c>
      <c r="E491" t="inlineStr">
        <is>
          <t>LINKÖPING</t>
        </is>
      </c>
      <c r="G491" t="n">
        <v>5.3</v>
      </c>
      <c r="H491" t="n">
        <v>0</v>
      </c>
      <c r="I491" t="n">
        <v>0</v>
      </c>
      <c r="J491" t="n">
        <v>0</v>
      </c>
      <c r="K491" t="n">
        <v>0</v>
      </c>
      <c r="L491" t="n">
        <v>0</v>
      </c>
      <c r="M491" t="n">
        <v>0</v>
      </c>
      <c r="N491" t="n">
        <v>0</v>
      </c>
      <c r="O491" t="n">
        <v>0</v>
      </c>
      <c r="P491" t="n">
        <v>0</v>
      </c>
      <c r="Q491" t="n">
        <v>0</v>
      </c>
      <c r="R491" s="2" t="inlineStr"/>
    </row>
    <row r="492" ht="15" customHeight="1">
      <c r="A492" t="inlineStr">
        <is>
          <t>A 20294-2025</t>
        </is>
      </c>
      <c r="B492" s="1" t="n">
        <v>45774.74667824074</v>
      </c>
      <c r="C492" s="1" t="n">
        <v>45966</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17128-2025</t>
        </is>
      </c>
      <c r="B493" s="1" t="n">
        <v>45755.72622685185</v>
      </c>
      <c r="C493" s="1" t="n">
        <v>45966</v>
      </c>
      <c r="D493" t="inlineStr">
        <is>
          <t>ÖSTERGÖTLANDS LÄN</t>
        </is>
      </c>
      <c r="E493" t="inlineStr">
        <is>
          <t>LINKÖPING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1993-2023</t>
        </is>
      </c>
      <c r="B494" s="1" t="n">
        <v>44939</v>
      </c>
      <c r="C494" s="1" t="n">
        <v>45966</v>
      </c>
      <c r="D494" t="inlineStr">
        <is>
          <t>ÖSTERGÖTLANDS LÄN</t>
        </is>
      </c>
      <c r="E494" t="inlineStr">
        <is>
          <t>LINKÖPING</t>
        </is>
      </c>
      <c r="G494" t="n">
        <v>3.7</v>
      </c>
      <c r="H494" t="n">
        <v>0</v>
      </c>
      <c r="I494" t="n">
        <v>0</v>
      </c>
      <c r="J494" t="n">
        <v>0</v>
      </c>
      <c r="K494" t="n">
        <v>0</v>
      </c>
      <c r="L494" t="n">
        <v>0</v>
      </c>
      <c r="M494" t="n">
        <v>0</v>
      </c>
      <c r="N494" t="n">
        <v>0</v>
      </c>
      <c r="O494" t="n">
        <v>0</v>
      </c>
      <c r="P494" t="n">
        <v>0</v>
      </c>
      <c r="Q494" t="n">
        <v>0</v>
      </c>
      <c r="R494" s="2" t="inlineStr"/>
    </row>
    <row r="495" ht="15" customHeight="1">
      <c r="A495" t="inlineStr">
        <is>
          <t>A 52125-2022</t>
        </is>
      </c>
      <c r="B495" s="1" t="n">
        <v>44873</v>
      </c>
      <c r="C495" s="1" t="n">
        <v>45966</v>
      </c>
      <c r="D495" t="inlineStr">
        <is>
          <t>ÖSTERGÖTLANDS LÄN</t>
        </is>
      </c>
      <c r="E495" t="inlineStr">
        <is>
          <t>LINKÖPING</t>
        </is>
      </c>
      <c r="F495" t="inlineStr">
        <is>
          <t>Övriga Aktiebolag</t>
        </is>
      </c>
      <c r="G495" t="n">
        <v>0.7</v>
      </c>
      <c r="H495" t="n">
        <v>0</v>
      </c>
      <c r="I495" t="n">
        <v>0</v>
      </c>
      <c r="J495" t="n">
        <v>0</v>
      </c>
      <c r="K495" t="n">
        <v>0</v>
      </c>
      <c r="L495" t="n">
        <v>0</v>
      </c>
      <c r="M495" t="n">
        <v>0</v>
      </c>
      <c r="N495" t="n">
        <v>0</v>
      </c>
      <c r="O495" t="n">
        <v>0</v>
      </c>
      <c r="P495" t="n">
        <v>0</v>
      </c>
      <c r="Q495" t="n">
        <v>0</v>
      </c>
      <c r="R495" s="2" t="inlineStr"/>
    </row>
    <row r="496" ht="15" customHeight="1">
      <c r="A496" t="inlineStr">
        <is>
          <t>A 26002-2025</t>
        </is>
      </c>
      <c r="B496" s="1" t="n">
        <v>45804.66534722222</v>
      </c>
      <c r="C496" s="1" t="n">
        <v>45966</v>
      </c>
      <c r="D496" t="inlineStr">
        <is>
          <t>ÖSTERGÖTLANDS LÄN</t>
        </is>
      </c>
      <c r="E496" t="inlineStr">
        <is>
          <t>LINKÖPING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27343-2023</t>
        </is>
      </c>
      <c r="B497" s="1" t="n">
        <v>45096</v>
      </c>
      <c r="C497" s="1" t="n">
        <v>45966</v>
      </c>
      <c r="D497" t="inlineStr">
        <is>
          <t>ÖSTERGÖTLANDS LÄN</t>
        </is>
      </c>
      <c r="E497" t="inlineStr">
        <is>
          <t>LINKÖPING</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25996-2025</t>
        </is>
      </c>
      <c r="B498" s="1" t="n">
        <v>45804.65851851852</v>
      </c>
      <c r="C498" s="1" t="n">
        <v>45966</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22842-2023</t>
        </is>
      </c>
      <c r="B499" s="1" t="n">
        <v>45071</v>
      </c>
      <c r="C499" s="1" t="n">
        <v>45966</v>
      </c>
      <c r="D499" t="inlineStr">
        <is>
          <t>ÖSTERGÖTLANDS LÄN</t>
        </is>
      </c>
      <c r="E499" t="inlineStr">
        <is>
          <t>LINKÖPING</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14520-2025</t>
        </is>
      </c>
      <c r="B500" s="1" t="n">
        <v>45741</v>
      </c>
      <c r="C500" s="1" t="n">
        <v>45966</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31548-2022</t>
        </is>
      </c>
      <c r="B501" s="1" t="n">
        <v>44775.39832175926</v>
      </c>
      <c r="C501" s="1" t="n">
        <v>45966</v>
      </c>
      <c r="D501" t="inlineStr">
        <is>
          <t>ÖSTERGÖTLANDS LÄN</t>
        </is>
      </c>
      <c r="E501" t="inlineStr">
        <is>
          <t>LINKÖPING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62017-2024</t>
        </is>
      </c>
      <c r="B502" s="1" t="n">
        <v>45655.81140046296</v>
      </c>
      <c r="C502" s="1" t="n">
        <v>45966</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17785-2023</t>
        </is>
      </c>
      <c r="B503" s="1" t="n">
        <v>45037.55094907407</v>
      </c>
      <c r="C503" s="1" t="n">
        <v>45966</v>
      </c>
      <c r="D503" t="inlineStr">
        <is>
          <t>ÖSTERGÖTLANDS LÄN</t>
        </is>
      </c>
      <c r="E503" t="inlineStr">
        <is>
          <t>LINKÖPING</t>
        </is>
      </c>
      <c r="F503" t="inlineStr">
        <is>
          <t>Allmännings- och besparingsskogar</t>
        </is>
      </c>
      <c r="G503" t="n">
        <v>3.1</v>
      </c>
      <c r="H503" t="n">
        <v>0</v>
      </c>
      <c r="I503" t="n">
        <v>0</v>
      </c>
      <c r="J503" t="n">
        <v>0</v>
      </c>
      <c r="K503" t="n">
        <v>0</v>
      </c>
      <c r="L503" t="n">
        <v>0</v>
      </c>
      <c r="M503" t="n">
        <v>0</v>
      </c>
      <c r="N503" t="n">
        <v>0</v>
      </c>
      <c r="O503" t="n">
        <v>0</v>
      </c>
      <c r="P503" t="n">
        <v>0</v>
      </c>
      <c r="Q503" t="n">
        <v>0</v>
      </c>
      <c r="R503" s="2" t="inlineStr"/>
    </row>
    <row r="504" ht="15" customHeight="1">
      <c r="A504" t="inlineStr">
        <is>
          <t>A 22771-2024</t>
        </is>
      </c>
      <c r="B504" s="1" t="n">
        <v>45448.46574074074</v>
      </c>
      <c r="C504" s="1" t="n">
        <v>45966</v>
      </c>
      <c r="D504" t="inlineStr">
        <is>
          <t>ÖSTERGÖTLANDS LÄN</t>
        </is>
      </c>
      <c r="E504" t="inlineStr">
        <is>
          <t>LINKÖPING</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62686-2023</t>
        </is>
      </c>
      <c r="B505" s="1" t="n">
        <v>45271</v>
      </c>
      <c r="C505" s="1" t="n">
        <v>45966</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42044-2023</t>
        </is>
      </c>
      <c r="B506" s="1" t="n">
        <v>45177</v>
      </c>
      <c r="C506" s="1" t="n">
        <v>45966</v>
      </c>
      <c r="D506" t="inlineStr">
        <is>
          <t>ÖSTERGÖTLANDS LÄN</t>
        </is>
      </c>
      <c r="E506" t="inlineStr">
        <is>
          <t>LINKÖPING</t>
        </is>
      </c>
      <c r="G506" t="n">
        <v>3.9</v>
      </c>
      <c r="H506" t="n">
        <v>0</v>
      </c>
      <c r="I506" t="n">
        <v>0</v>
      </c>
      <c r="J506" t="n">
        <v>0</v>
      </c>
      <c r="K506" t="n">
        <v>0</v>
      </c>
      <c r="L506" t="n">
        <v>0</v>
      </c>
      <c r="M506" t="n">
        <v>0</v>
      </c>
      <c r="N506" t="n">
        <v>0</v>
      </c>
      <c r="O506" t="n">
        <v>0</v>
      </c>
      <c r="P506" t="n">
        <v>0</v>
      </c>
      <c r="Q506" t="n">
        <v>0</v>
      </c>
      <c r="R506" s="2" t="inlineStr"/>
    </row>
    <row r="507" ht="15" customHeight="1">
      <c r="A507" t="inlineStr">
        <is>
          <t>A 5314-2021</t>
        </is>
      </c>
      <c r="B507" s="1" t="n">
        <v>44229</v>
      </c>
      <c r="C507" s="1" t="n">
        <v>45966</v>
      </c>
      <c r="D507" t="inlineStr">
        <is>
          <t>ÖSTERGÖTLANDS LÄN</t>
        </is>
      </c>
      <c r="E507" t="inlineStr">
        <is>
          <t>LINKÖPING</t>
        </is>
      </c>
      <c r="G507" t="n">
        <v>6.2</v>
      </c>
      <c r="H507" t="n">
        <v>0</v>
      </c>
      <c r="I507" t="n">
        <v>0</v>
      </c>
      <c r="J507" t="n">
        <v>0</v>
      </c>
      <c r="K507" t="n">
        <v>0</v>
      </c>
      <c r="L507" t="n">
        <v>0</v>
      </c>
      <c r="M507" t="n">
        <v>0</v>
      </c>
      <c r="N507" t="n">
        <v>0</v>
      </c>
      <c r="O507" t="n">
        <v>0</v>
      </c>
      <c r="P507" t="n">
        <v>0</v>
      </c>
      <c r="Q507" t="n">
        <v>0</v>
      </c>
      <c r="R507" s="2" t="inlineStr"/>
    </row>
    <row r="508" ht="15" customHeight="1">
      <c r="A508" t="inlineStr">
        <is>
          <t>A 49656-2021</t>
        </is>
      </c>
      <c r="B508" s="1" t="n">
        <v>44454</v>
      </c>
      <c r="C508" s="1" t="n">
        <v>45966</v>
      </c>
      <c r="D508" t="inlineStr">
        <is>
          <t>ÖSTERGÖTLANDS LÄN</t>
        </is>
      </c>
      <c r="E508" t="inlineStr">
        <is>
          <t>LINKÖPING</t>
        </is>
      </c>
      <c r="G508" t="n">
        <v>2.3</v>
      </c>
      <c r="H508" t="n">
        <v>0</v>
      </c>
      <c r="I508" t="n">
        <v>0</v>
      </c>
      <c r="J508" t="n">
        <v>0</v>
      </c>
      <c r="K508" t="n">
        <v>0</v>
      </c>
      <c r="L508" t="n">
        <v>0</v>
      </c>
      <c r="M508" t="n">
        <v>0</v>
      </c>
      <c r="N508" t="n">
        <v>0</v>
      </c>
      <c r="O508" t="n">
        <v>0</v>
      </c>
      <c r="P508" t="n">
        <v>0</v>
      </c>
      <c r="Q508" t="n">
        <v>0</v>
      </c>
      <c r="R508" s="2" t="inlineStr"/>
    </row>
    <row r="509" ht="15" customHeight="1">
      <c r="A509" t="inlineStr">
        <is>
          <t>A 38230-2023</t>
        </is>
      </c>
      <c r="B509" s="1" t="n">
        <v>45161.55373842592</v>
      </c>
      <c r="C509" s="1" t="n">
        <v>45966</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45442-2024</t>
        </is>
      </c>
      <c r="B510" s="1" t="n">
        <v>45576.64189814815</v>
      </c>
      <c r="C510" s="1" t="n">
        <v>45966</v>
      </c>
      <c r="D510" t="inlineStr">
        <is>
          <t>ÖSTERGÖTLANDS LÄN</t>
        </is>
      </c>
      <c r="E510" t="inlineStr">
        <is>
          <t>LINKÖPING</t>
        </is>
      </c>
      <c r="G510" t="n">
        <v>1.8</v>
      </c>
      <c r="H510" t="n">
        <v>0</v>
      </c>
      <c r="I510" t="n">
        <v>0</v>
      </c>
      <c r="J510" t="n">
        <v>0</v>
      </c>
      <c r="K510" t="n">
        <v>0</v>
      </c>
      <c r="L510" t="n">
        <v>0</v>
      </c>
      <c r="M510" t="n">
        <v>0</v>
      </c>
      <c r="N510" t="n">
        <v>0</v>
      </c>
      <c r="O510" t="n">
        <v>0</v>
      </c>
      <c r="P510" t="n">
        <v>0</v>
      </c>
      <c r="Q510" t="n">
        <v>0</v>
      </c>
      <c r="R510" s="2" t="inlineStr"/>
    </row>
    <row r="511" ht="15" customHeight="1">
      <c r="A511" t="inlineStr">
        <is>
          <t>A 52220-2023</t>
        </is>
      </c>
      <c r="B511" s="1" t="n">
        <v>45217</v>
      </c>
      <c r="C511" s="1" t="n">
        <v>45966</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52225-2023</t>
        </is>
      </c>
      <c r="B512" s="1" t="n">
        <v>45217</v>
      </c>
      <c r="C512" s="1" t="n">
        <v>45966</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4908-2023</t>
        </is>
      </c>
      <c r="B513" s="1" t="n">
        <v>44958</v>
      </c>
      <c r="C513" s="1" t="n">
        <v>45966</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42832-2023</t>
        </is>
      </c>
      <c r="B514" s="1" t="n">
        <v>45182.38091435185</v>
      </c>
      <c r="C514" s="1" t="n">
        <v>45966</v>
      </c>
      <c r="D514" t="inlineStr">
        <is>
          <t>ÖSTERGÖTLANDS LÄN</t>
        </is>
      </c>
      <c r="E514" t="inlineStr">
        <is>
          <t>LINKÖPING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1265-2023</t>
        </is>
      </c>
      <c r="B515" s="1" t="n">
        <v>44936</v>
      </c>
      <c r="C515" s="1" t="n">
        <v>45966</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56560-2023</t>
        </is>
      </c>
      <c r="B516" s="1" t="n">
        <v>45238</v>
      </c>
      <c r="C516" s="1" t="n">
        <v>45966</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52412-2023</t>
        </is>
      </c>
      <c r="B517" s="1" t="n">
        <v>45225.27888888889</v>
      </c>
      <c r="C517" s="1" t="n">
        <v>45966</v>
      </c>
      <c r="D517" t="inlineStr">
        <is>
          <t>ÖSTERGÖTLANDS LÄN</t>
        </is>
      </c>
      <c r="E517" t="inlineStr">
        <is>
          <t>LINKÖPING</t>
        </is>
      </c>
      <c r="G517" t="n">
        <v>1.8</v>
      </c>
      <c r="H517" t="n">
        <v>0</v>
      </c>
      <c r="I517" t="n">
        <v>0</v>
      </c>
      <c r="J517" t="n">
        <v>0</v>
      </c>
      <c r="K517" t="n">
        <v>0</v>
      </c>
      <c r="L517" t="n">
        <v>0</v>
      </c>
      <c r="M517" t="n">
        <v>0</v>
      </c>
      <c r="N517" t="n">
        <v>0</v>
      </c>
      <c r="O517" t="n">
        <v>0</v>
      </c>
      <c r="P517" t="n">
        <v>0</v>
      </c>
      <c r="Q517" t="n">
        <v>0</v>
      </c>
      <c r="R517" s="2" t="inlineStr"/>
    </row>
    <row r="518" ht="15" customHeight="1">
      <c r="A518" t="inlineStr">
        <is>
          <t>A 52413-2023</t>
        </is>
      </c>
      <c r="B518" s="1" t="n">
        <v>45225.27950231481</v>
      </c>
      <c r="C518" s="1" t="n">
        <v>45966</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27950-2025</t>
        </is>
      </c>
      <c r="B519" s="1" t="n">
        <v>45817.52960648148</v>
      </c>
      <c r="C519" s="1" t="n">
        <v>45966</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27797-2025</t>
        </is>
      </c>
      <c r="B520" s="1" t="n">
        <v>45816.80521990741</v>
      </c>
      <c r="C520" s="1" t="n">
        <v>45966</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27798-2025</t>
        </is>
      </c>
      <c r="B521" s="1" t="n">
        <v>45816.81532407407</v>
      </c>
      <c r="C521" s="1" t="n">
        <v>45966</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12411-2022</t>
        </is>
      </c>
      <c r="B522" s="1" t="n">
        <v>44638.21601851852</v>
      </c>
      <c r="C522" s="1" t="n">
        <v>45966</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7354-2025</t>
        </is>
      </c>
      <c r="B523" s="1" t="n">
        <v>45704.41174768518</v>
      </c>
      <c r="C523" s="1" t="n">
        <v>45966</v>
      </c>
      <c r="D523" t="inlineStr">
        <is>
          <t>ÖSTERGÖTLANDS LÄN</t>
        </is>
      </c>
      <c r="E523" t="inlineStr">
        <is>
          <t>LINKÖPING</t>
        </is>
      </c>
      <c r="G523" t="n">
        <v>4.8</v>
      </c>
      <c r="H523" t="n">
        <v>0</v>
      </c>
      <c r="I523" t="n">
        <v>0</v>
      </c>
      <c r="J523" t="n">
        <v>0</v>
      </c>
      <c r="K523" t="n">
        <v>0</v>
      </c>
      <c r="L523" t="n">
        <v>0</v>
      </c>
      <c r="M523" t="n">
        <v>0</v>
      </c>
      <c r="N523" t="n">
        <v>0</v>
      </c>
      <c r="O523" t="n">
        <v>0</v>
      </c>
      <c r="P523" t="n">
        <v>0</v>
      </c>
      <c r="Q523" t="n">
        <v>0</v>
      </c>
      <c r="R523" s="2" t="inlineStr"/>
    </row>
    <row r="524" ht="15" customHeight="1">
      <c r="A524" t="inlineStr">
        <is>
          <t>A 28200-2025</t>
        </is>
      </c>
      <c r="B524" s="1" t="n">
        <v>45818.4428125</v>
      </c>
      <c r="C524" s="1" t="n">
        <v>45966</v>
      </c>
      <c r="D524" t="inlineStr">
        <is>
          <t>ÖSTERGÖTLANDS LÄN</t>
        </is>
      </c>
      <c r="E524" t="inlineStr">
        <is>
          <t>LINKÖPING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28204-2025</t>
        </is>
      </c>
      <c r="B525" s="1" t="n">
        <v>45818.4477662037</v>
      </c>
      <c r="C525" s="1" t="n">
        <v>45966</v>
      </c>
      <c r="D525" t="inlineStr">
        <is>
          <t>ÖSTERGÖTLANDS LÄN</t>
        </is>
      </c>
      <c r="E525" t="inlineStr">
        <is>
          <t>LINKÖPING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28416-2025</t>
        </is>
      </c>
      <c r="B526" s="1" t="n">
        <v>45819.35346064815</v>
      </c>
      <c r="C526" s="1" t="n">
        <v>45966</v>
      </c>
      <c r="D526" t="inlineStr">
        <is>
          <t>ÖSTERGÖTLANDS LÄN</t>
        </is>
      </c>
      <c r="E526" t="inlineStr">
        <is>
          <t>LINKÖPING</t>
        </is>
      </c>
      <c r="F526" t="inlineStr">
        <is>
          <t>Sveaskog</t>
        </is>
      </c>
      <c r="G526" t="n">
        <v>3.7</v>
      </c>
      <c r="H526" t="n">
        <v>0</v>
      </c>
      <c r="I526" t="n">
        <v>0</v>
      </c>
      <c r="J526" t="n">
        <v>0</v>
      </c>
      <c r="K526" t="n">
        <v>0</v>
      </c>
      <c r="L526" t="n">
        <v>0</v>
      </c>
      <c r="M526" t="n">
        <v>0</v>
      </c>
      <c r="N526" t="n">
        <v>0</v>
      </c>
      <c r="O526" t="n">
        <v>0</v>
      </c>
      <c r="P526" t="n">
        <v>0</v>
      </c>
      <c r="Q526" t="n">
        <v>0</v>
      </c>
      <c r="R526" s="2" t="inlineStr"/>
    </row>
    <row r="527" ht="15" customHeight="1">
      <c r="A527" t="inlineStr">
        <is>
          <t>A 23491-2024</t>
        </is>
      </c>
      <c r="B527" s="1" t="n">
        <v>45453</v>
      </c>
      <c r="C527" s="1" t="n">
        <v>45966</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70-2024</t>
        </is>
      </c>
      <c r="B528" s="1" t="n">
        <v>45293</v>
      </c>
      <c r="C528" s="1" t="n">
        <v>45966</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28398-2025</t>
        </is>
      </c>
      <c r="B529" s="1" t="n">
        <v>45819.34208333334</v>
      </c>
      <c r="C529" s="1" t="n">
        <v>45966</v>
      </c>
      <c r="D529" t="inlineStr">
        <is>
          <t>ÖSTERGÖTLANDS LÄN</t>
        </is>
      </c>
      <c r="E529" t="inlineStr">
        <is>
          <t>LINKÖPING</t>
        </is>
      </c>
      <c r="F529" t="inlineStr">
        <is>
          <t>Sveaskog</t>
        </is>
      </c>
      <c r="G529" t="n">
        <v>7.9</v>
      </c>
      <c r="H529" t="n">
        <v>0</v>
      </c>
      <c r="I529" t="n">
        <v>0</v>
      </c>
      <c r="J529" t="n">
        <v>0</v>
      </c>
      <c r="K529" t="n">
        <v>0</v>
      </c>
      <c r="L529" t="n">
        <v>0</v>
      </c>
      <c r="M529" t="n">
        <v>0</v>
      </c>
      <c r="N529" t="n">
        <v>0</v>
      </c>
      <c r="O529" t="n">
        <v>0</v>
      </c>
      <c r="P529" t="n">
        <v>0</v>
      </c>
      <c r="Q529" t="n">
        <v>0</v>
      </c>
      <c r="R529" s="2" t="inlineStr"/>
    </row>
    <row r="530" ht="15" customHeight="1">
      <c r="A530" t="inlineStr">
        <is>
          <t>A 6054-2022</t>
        </is>
      </c>
      <c r="B530" s="1" t="n">
        <v>44599.53623842593</v>
      </c>
      <c r="C530" s="1" t="n">
        <v>45966</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28209-2025</t>
        </is>
      </c>
      <c r="B531" s="1" t="n">
        <v>45818.45112268518</v>
      </c>
      <c r="C531" s="1" t="n">
        <v>45966</v>
      </c>
      <c r="D531" t="inlineStr">
        <is>
          <t>ÖSTERGÖTLANDS LÄN</t>
        </is>
      </c>
      <c r="E531" t="inlineStr">
        <is>
          <t>LINKÖPING</t>
        </is>
      </c>
      <c r="G531" t="n">
        <v>4.2</v>
      </c>
      <c r="H531" t="n">
        <v>0</v>
      </c>
      <c r="I531" t="n">
        <v>0</v>
      </c>
      <c r="J531" t="n">
        <v>0</v>
      </c>
      <c r="K531" t="n">
        <v>0</v>
      </c>
      <c r="L531" t="n">
        <v>0</v>
      </c>
      <c r="M531" t="n">
        <v>0</v>
      </c>
      <c r="N531" t="n">
        <v>0</v>
      </c>
      <c r="O531" t="n">
        <v>0</v>
      </c>
      <c r="P531" t="n">
        <v>0</v>
      </c>
      <c r="Q531" t="n">
        <v>0</v>
      </c>
      <c r="R531" s="2" t="inlineStr"/>
    </row>
    <row r="532" ht="15" customHeight="1">
      <c r="A532" t="inlineStr">
        <is>
          <t>A 31725-2022</t>
        </is>
      </c>
      <c r="B532" s="1" t="n">
        <v>44776.48541666667</v>
      </c>
      <c r="C532" s="1" t="n">
        <v>45966</v>
      </c>
      <c r="D532" t="inlineStr">
        <is>
          <t>ÖSTERGÖTLANDS LÄN</t>
        </is>
      </c>
      <c r="E532" t="inlineStr">
        <is>
          <t>LINKÖPING</t>
        </is>
      </c>
      <c r="G532" t="n">
        <v>2.6</v>
      </c>
      <c r="H532" t="n">
        <v>0</v>
      </c>
      <c r="I532" t="n">
        <v>0</v>
      </c>
      <c r="J532" t="n">
        <v>0</v>
      </c>
      <c r="K532" t="n">
        <v>0</v>
      </c>
      <c r="L532" t="n">
        <v>0</v>
      </c>
      <c r="M532" t="n">
        <v>0</v>
      </c>
      <c r="N532" t="n">
        <v>0</v>
      </c>
      <c r="O532" t="n">
        <v>0</v>
      </c>
      <c r="P532" t="n">
        <v>0</v>
      </c>
      <c r="Q532" t="n">
        <v>0</v>
      </c>
      <c r="R532" s="2" t="inlineStr"/>
    </row>
    <row r="533" ht="15" customHeight="1">
      <c r="A533" t="inlineStr">
        <is>
          <t>A 29027-2025</t>
        </is>
      </c>
      <c r="B533" s="1" t="n">
        <v>45821.4375462963</v>
      </c>
      <c r="C533" s="1" t="n">
        <v>45966</v>
      </c>
      <c r="D533" t="inlineStr">
        <is>
          <t>ÖSTERGÖTLANDS LÄN</t>
        </is>
      </c>
      <c r="E533" t="inlineStr">
        <is>
          <t>LINKÖPING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29411-2025</t>
        </is>
      </c>
      <c r="B534" s="1" t="n">
        <v>45824.6219212963</v>
      </c>
      <c r="C534" s="1" t="n">
        <v>45966</v>
      </c>
      <c r="D534" t="inlineStr">
        <is>
          <t>ÖSTERGÖTLANDS LÄN</t>
        </is>
      </c>
      <c r="E534" t="inlineStr">
        <is>
          <t>LINKÖPING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29393-2025</t>
        </is>
      </c>
      <c r="B535" s="1" t="n">
        <v>45824.6057175926</v>
      </c>
      <c r="C535" s="1" t="n">
        <v>45966</v>
      </c>
      <c r="D535" t="inlineStr">
        <is>
          <t>ÖSTERGÖTLANDS LÄN</t>
        </is>
      </c>
      <c r="E535" t="inlineStr">
        <is>
          <t>LINKÖPING</t>
        </is>
      </c>
      <c r="F535" t="inlineStr">
        <is>
          <t>Sveaskog</t>
        </is>
      </c>
      <c r="G535" t="n">
        <v>24.6</v>
      </c>
      <c r="H535" t="n">
        <v>0</v>
      </c>
      <c r="I535" t="n">
        <v>0</v>
      </c>
      <c r="J535" t="n">
        <v>0</v>
      </c>
      <c r="K535" t="n">
        <v>0</v>
      </c>
      <c r="L535" t="n">
        <v>0</v>
      </c>
      <c r="M535" t="n">
        <v>0</v>
      </c>
      <c r="N535" t="n">
        <v>0</v>
      </c>
      <c r="O535" t="n">
        <v>0</v>
      </c>
      <c r="P535" t="n">
        <v>0</v>
      </c>
      <c r="Q535" t="n">
        <v>0</v>
      </c>
      <c r="R535" s="2" t="inlineStr"/>
    </row>
    <row r="536" ht="15" customHeight="1">
      <c r="A536" t="inlineStr">
        <is>
          <t>A 29599-2025</t>
        </is>
      </c>
      <c r="B536" s="1" t="n">
        <v>45825.41101851852</v>
      </c>
      <c r="C536" s="1" t="n">
        <v>45966</v>
      </c>
      <c r="D536" t="inlineStr">
        <is>
          <t>ÖSTERGÖTLANDS LÄN</t>
        </is>
      </c>
      <c r="E536" t="inlineStr">
        <is>
          <t>LINKÖPING</t>
        </is>
      </c>
      <c r="G536" t="n">
        <v>0.9</v>
      </c>
      <c r="H536" t="n">
        <v>0</v>
      </c>
      <c r="I536" t="n">
        <v>0</v>
      </c>
      <c r="J536" t="n">
        <v>0</v>
      </c>
      <c r="K536" t="n">
        <v>0</v>
      </c>
      <c r="L536" t="n">
        <v>0</v>
      </c>
      <c r="M536" t="n">
        <v>0</v>
      </c>
      <c r="N536" t="n">
        <v>0</v>
      </c>
      <c r="O536" t="n">
        <v>0</v>
      </c>
      <c r="P536" t="n">
        <v>0</v>
      </c>
      <c r="Q536" t="n">
        <v>0</v>
      </c>
      <c r="R536" s="2" t="inlineStr"/>
    </row>
    <row r="537" ht="15" customHeight="1">
      <c r="A537" t="inlineStr">
        <is>
          <t>A 57391-2023</t>
        </is>
      </c>
      <c r="B537" s="1" t="n">
        <v>45245</v>
      </c>
      <c r="C537" s="1" t="n">
        <v>45966</v>
      </c>
      <c r="D537" t="inlineStr">
        <is>
          <t>ÖSTERGÖTLANDS LÄN</t>
        </is>
      </c>
      <c r="E537" t="inlineStr">
        <is>
          <t>LINKÖPING</t>
        </is>
      </c>
      <c r="F537" t="inlineStr">
        <is>
          <t>Övriga Aktiebolag</t>
        </is>
      </c>
      <c r="G537" t="n">
        <v>1.7</v>
      </c>
      <c r="H537" t="n">
        <v>0</v>
      </c>
      <c r="I537" t="n">
        <v>0</v>
      </c>
      <c r="J537" t="n">
        <v>0</v>
      </c>
      <c r="K537" t="n">
        <v>0</v>
      </c>
      <c r="L537" t="n">
        <v>0</v>
      </c>
      <c r="M537" t="n">
        <v>0</v>
      </c>
      <c r="N537" t="n">
        <v>0</v>
      </c>
      <c r="O537" t="n">
        <v>0</v>
      </c>
      <c r="P537" t="n">
        <v>0</v>
      </c>
      <c r="Q537" t="n">
        <v>0</v>
      </c>
      <c r="R537" s="2" t="inlineStr"/>
    </row>
    <row r="538" ht="15" customHeight="1">
      <c r="A538" t="inlineStr">
        <is>
          <t>A 7992-2023</t>
        </is>
      </c>
      <c r="B538" s="1" t="n">
        <v>44970</v>
      </c>
      <c r="C538" s="1" t="n">
        <v>45966</v>
      </c>
      <c r="D538" t="inlineStr">
        <is>
          <t>ÖSTERGÖTLANDS LÄN</t>
        </is>
      </c>
      <c r="E538" t="inlineStr">
        <is>
          <t>LINKÖPING</t>
        </is>
      </c>
      <c r="F538" t="inlineStr">
        <is>
          <t>Kommuner</t>
        </is>
      </c>
      <c r="G538" t="n">
        <v>1</v>
      </c>
      <c r="H538" t="n">
        <v>0</v>
      </c>
      <c r="I538" t="n">
        <v>0</v>
      </c>
      <c r="J538" t="n">
        <v>0</v>
      </c>
      <c r="K538" t="n">
        <v>0</v>
      </c>
      <c r="L538" t="n">
        <v>0</v>
      </c>
      <c r="M538" t="n">
        <v>0</v>
      </c>
      <c r="N538" t="n">
        <v>0</v>
      </c>
      <c r="O538" t="n">
        <v>0</v>
      </c>
      <c r="P538" t="n">
        <v>0</v>
      </c>
      <c r="Q538" t="n">
        <v>0</v>
      </c>
      <c r="R538" s="2" t="inlineStr"/>
    </row>
    <row r="539" ht="15" customHeight="1">
      <c r="A539" t="inlineStr">
        <is>
          <t>A 30355-2025</t>
        </is>
      </c>
      <c r="B539" s="1" t="n">
        <v>45827</v>
      </c>
      <c r="C539" s="1" t="n">
        <v>45966</v>
      </c>
      <c r="D539" t="inlineStr">
        <is>
          <t>ÖSTERGÖTLANDS LÄN</t>
        </is>
      </c>
      <c r="E539" t="inlineStr">
        <is>
          <t>LINKÖPING</t>
        </is>
      </c>
      <c r="F539" t="inlineStr">
        <is>
          <t>Sveaskog</t>
        </is>
      </c>
      <c r="G539" t="n">
        <v>3.1</v>
      </c>
      <c r="H539" t="n">
        <v>0</v>
      </c>
      <c r="I539" t="n">
        <v>0</v>
      </c>
      <c r="J539" t="n">
        <v>0</v>
      </c>
      <c r="K539" t="n">
        <v>0</v>
      </c>
      <c r="L539" t="n">
        <v>0</v>
      </c>
      <c r="M539" t="n">
        <v>0</v>
      </c>
      <c r="N539" t="n">
        <v>0</v>
      </c>
      <c r="O539" t="n">
        <v>0</v>
      </c>
      <c r="P539" t="n">
        <v>0</v>
      </c>
      <c r="Q539" t="n">
        <v>0</v>
      </c>
      <c r="R539" s="2" t="inlineStr"/>
    </row>
    <row r="540" ht="15" customHeight="1">
      <c r="A540" t="inlineStr">
        <is>
          <t>A 13689-2025</t>
        </is>
      </c>
      <c r="B540" s="1" t="n">
        <v>45737.31590277778</v>
      </c>
      <c r="C540" s="1" t="n">
        <v>45966</v>
      </c>
      <c r="D540" t="inlineStr">
        <is>
          <t>ÖSTERGÖTLANDS LÄN</t>
        </is>
      </c>
      <c r="E540" t="inlineStr">
        <is>
          <t>LINKÖPING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13696-2025</t>
        </is>
      </c>
      <c r="B541" s="1" t="n">
        <v>45737.32273148148</v>
      </c>
      <c r="C541" s="1" t="n">
        <v>45966</v>
      </c>
      <c r="D541" t="inlineStr">
        <is>
          <t>ÖSTERGÖTLANDS LÄN</t>
        </is>
      </c>
      <c r="E541" t="inlineStr">
        <is>
          <t>LINKÖPING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30353-2025</t>
        </is>
      </c>
      <c r="B542" s="1" t="n">
        <v>45827</v>
      </c>
      <c r="C542" s="1" t="n">
        <v>45966</v>
      </c>
      <c r="D542" t="inlineStr">
        <is>
          <t>ÖSTERGÖTLANDS LÄN</t>
        </is>
      </c>
      <c r="E542" t="inlineStr">
        <is>
          <t>LINKÖPING</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1924-2024</t>
        </is>
      </c>
      <c r="B543" s="1" t="n">
        <v>45308</v>
      </c>
      <c r="C543" s="1" t="n">
        <v>45966</v>
      </c>
      <c r="D543" t="inlineStr">
        <is>
          <t>ÖSTERGÖTLANDS LÄN</t>
        </is>
      </c>
      <c r="E543" t="inlineStr">
        <is>
          <t>LINKÖPING</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32346-2023</t>
        </is>
      </c>
      <c r="B544" s="1" t="n">
        <v>45120</v>
      </c>
      <c r="C544" s="1" t="n">
        <v>45966</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50508-2024</t>
        </is>
      </c>
      <c r="B545" s="1" t="n">
        <v>45601.53907407408</v>
      </c>
      <c r="C545" s="1" t="n">
        <v>45966</v>
      </c>
      <c r="D545" t="inlineStr">
        <is>
          <t>ÖSTERGÖTLANDS LÄN</t>
        </is>
      </c>
      <c r="E545" t="inlineStr">
        <is>
          <t>LINKÖPING</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7808-2022</t>
        </is>
      </c>
      <c r="B546" s="1" t="n">
        <v>44608</v>
      </c>
      <c r="C546" s="1" t="n">
        <v>45966</v>
      </c>
      <c r="D546" t="inlineStr">
        <is>
          <t>ÖSTERGÖTLANDS LÄN</t>
        </is>
      </c>
      <c r="E546" t="inlineStr">
        <is>
          <t>LINKÖPING</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27844-2024</t>
        </is>
      </c>
      <c r="B547" s="1" t="n">
        <v>45475.63047453704</v>
      </c>
      <c r="C547" s="1" t="n">
        <v>45966</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55945-2024</t>
        </is>
      </c>
      <c r="B548" s="1" t="n">
        <v>45623.61754629629</v>
      </c>
      <c r="C548" s="1" t="n">
        <v>45966</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40810-2022</t>
        </is>
      </c>
      <c r="B549" s="1" t="n">
        <v>44824</v>
      </c>
      <c r="C549" s="1" t="n">
        <v>45966</v>
      </c>
      <c r="D549" t="inlineStr">
        <is>
          <t>ÖSTERGÖTLANDS LÄN</t>
        </is>
      </c>
      <c r="E549" t="inlineStr">
        <is>
          <t>LINKÖPING</t>
        </is>
      </c>
      <c r="G549" t="n">
        <v>2.8</v>
      </c>
      <c r="H549" t="n">
        <v>0</v>
      </c>
      <c r="I549" t="n">
        <v>0</v>
      </c>
      <c r="J549" t="n">
        <v>0</v>
      </c>
      <c r="K549" t="n">
        <v>0</v>
      </c>
      <c r="L549" t="n">
        <v>0</v>
      </c>
      <c r="M549" t="n">
        <v>0</v>
      </c>
      <c r="N549" t="n">
        <v>0</v>
      </c>
      <c r="O549" t="n">
        <v>0</v>
      </c>
      <c r="P549" t="n">
        <v>0</v>
      </c>
      <c r="Q549" t="n">
        <v>0</v>
      </c>
      <c r="R549" s="2" t="inlineStr"/>
    </row>
    <row r="550" ht="15" customHeight="1">
      <c r="A550" t="inlineStr">
        <is>
          <t>A 34928-2023</t>
        </is>
      </c>
      <c r="B550" s="1" t="n">
        <v>45142</v>
      </c>
      <c r="C550" s="1" t="n">
        <v>45966</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1263-2024</t>
        </is>
      </c>
      <c r="B551" s="1" t="n">
        <v>45302</v>
      </c>
      <c r="C551" s="1" t="n">
        <v>45966</v>
      </c>
      <c r="D551" t="inlineStr">
        <is>
          <t>ÖSTERGÖTLANDS LÄN</t>
        </is>
      </c>
      <c r="E551" t="inlineStr">
        <is>
          <t>LINKÖPING</t>
        </is>
      </c>
      <c r="G551" t="n">
        <v>1.8</v>
      </c>
      <c r="H551" t="n">
        <v>0</v>
      </c>
      <c r="I551" t="n">
        <v>0</v>
      </c>
      <c r="J551" t="n">
        <v>0</v>
      </c>
      <c r="K551" t="n">
        <v>0</v>
      </c>
      <c r="L551" t="n">
        <v>0</v>
      </c>
      <c r="M551" t="n">
        <v>0</v>
      </c>
      <c r="N551" t="n">
        <v>0</v>
      </c>
      <c r="O551" t="n">
        <v>0</v>
      </c>
      <c r="P551" t="n">
        <v>0</v>
      </c>
      <c r="Q551" t="n">
        <v>0</v>
      </c>
      <c r="R551" s="2" t="inlineStr"/>
    </row>
    <row r="552" ht="15" customHeight="1">
      <c r="A552" t="inlineStr">
        <is>
          <t>A 31581-2025</t>
        </is>
      </c>
      <c r="B552" s="1" t="n">
        <v>45833.6840162037</v>
      </c>
      <c r="C552" s="1" t="n">
        <v>45966</v>
      </c>
      <c r="D552" t="inlineStr">
        <is>
          <t>ÖSTERGÖTLANDS LÄN</t>
        </is>
      </c>
      <c r="E552" t="inlineStr">
        <is>
          <t>LINKÖPING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31585-2025</t>
        </is>
      </c>
      <c r="B553" s="1" t="n">
        <v>45833.68815972222</v>
      </c>
      <c r="C553" s="1" t="n">
        <v>45966</v>
      </c>
      <c r="D553" t="inlineStr">
        <is>
          <t>ÖSTERGÖTLANDS LÄN</t>
        </is>
      </c>
      <c r="E553" t="inlineStr">
        <is>
          <t>LINKÖPING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51559-2024</t>
        </is>
      </c>
      <c r="B554" s="1" t="n">
        <v>45604.61431712963</v>
      </c>
      <c r="C554" s="1" t="n">
        <v>45966</v>
      </c>
      <c r="D554" t="inlineStr">
        <is>
          <t>ÖSTERGÖTLANDS LÄN</t>
        </is>
      </c>
      <c r="E554" t="inlineStr">
        <is>
          <t>LINKÖPING</t>
        </is>
      </c>
      <c r="F554" t="inlineStr">
        <is>
          <t>Övriga Aktiebolag</t>
        </is>
      </c>
      <c r="G554" t="n">
        <v>2.4</v>
      </c>
      <c r="H554" t="n">
        <v>0</v>
      </c>
      <c r="I554" t="n">
        <v>0</v>
      </c>
      <c r="J554" t="n">
        <v>0</v>
      </c>
      <c r="K554" t="n">
        <v>0</v>
      </c>
      <c r="L554" t="n">
        <v>0</v>
      </c>
      <c r="M554" t="n">
        <v>0</v>
      </c>
      <c r="N554" t="n">
        <v>0</v>
      </c>
      <c r="O554" t="n">
        <v>0</v>
      </c>
      <c r="P554" t="n">
        <v>0</v>
      </c>
      <c r="Q554" t="n">
        <v>0</v>
      </c>
      <c r="R554" s="2" t="inlineStr"/>
    </row>
    <row r="555" ht="15" customHeight="1">
      <c r="A555" t="inlineStr">
        <is>
          <t>A 52531-2023</t>
        </is>
      </c>
      <c r="B555" s="1" t="n">
        <v>45225</v>
      </c>
      <c r="C555" s="1" t="n">
        <v>45966</v>
      </c>
      <c r="D555" t="inlineStr">
        <is>
          <t>ÖSTERGÖTLANDS LÄN</t>
        </is>
      </c>
      <c r="E555" t="inlineStr">
        <is>
          <t>LINKÖPING</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49979-2022</t>
        </is>
      </c>
      <c r="B556" s="1" t="n">
        <v>44865</v>
      </c>
      <c r="C556" s="1" t="n">
        <v>45966</v>
      </c>
      <c r="D556" t="inlineStr">
        <is>
          <t>ÖSTERGÖTLANDS LÄN</t>
        </is>
      </c>
      <c r="E556" t="inlineStr">
        <is>
          <t>LINKÖPING</t>
        </is>
      </c>
      <c r="F556" t="inlineStr">
        <is>
          <t>Övriga Aktiebolag</t>
        </is>
      </c>
      <c r="G556" t="n">
        <v>11.4</v>
      </c>
      <c r="H556" t="n">
        <v>0</v>
      </c>
      <c r="I556" t="n">
        <v>0</v>
      </c>
      <c r="J556" t="n">
        <v>0</v>
      </c>
      <c r="K556" t="n">
        <v>0</v>
      </c>
      <c r="L556" t="n">
        <v>0</v>
      </c>
      <c r="M556" t="n">
        <v>0</v>
      </c>
      <c r="N556" t="n">
        <v>0</v>
      </c>
      <c r="O556" t="n">
        <v>0</v>
      </c>
      <c r="P556" t="n">
        <v>0</v>
      </c>
      <c r="Q556" t="n">
        <v>0</v>
      </c>
      <c r="R556" s="2" t="inlineStr"/>
    </row>
    <row r="557" ht="15" customHeight="1">
      <c r="A557" t="inlineStr">
        <is>
          <t>A 39219-2021</t>
        </is>
      </c>
      <c r="B557" s="1" t="n">
        <v>44413</v>
      </c>
      <c r="C557" s="1" t="n">
        <v>45966</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39224-2021</t>
        </is>
      </c>
      <c r="B558" s="1" t="n">
        <v>44413</v>
      </c>
      <c r="C558" s="1" t="n">
        <v>45966</v>
      </c>
      <c r="D558" t="inlineStr">
        <is>
          <t>ÖSTERGÖTLANDS LÄN</t>
        </is>
      </c>
      <c r="E558" t="inlineStr">
        <is>
          <t>LINKÖPING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62495-2023</t>
        </is>
      </c>
      <c r="B559" s="1" t="n">
        <v>45268.59717592593</v>
      </c>
      <c r="C559" s="1" t="n">
        <v>45966</v>
      </c>
      <c r="D559" t="inlineStr">
        <is>
          <t>ÖSTERGÖTLANDS LÄN</t>
        </is>
      </c>
      <c r="E559" t="inlineStr">
        <is>
          <t>LINKÖPING</t>
        </is>
      </c>
      <c r="G559" t="n">
        <v>4.1</v>
      </c>
      <c r="H559" t="n">
        <v>0</v>
      </c>
      <c r="I559" t="n">
        <v>0</v>
      </c>
      <c r="J559" t="n">
        <v>0</v>
      </c>
      <c r="K559" t="n">
        <v>0</v>
      </c>
      <c r="L559" t="n">
        <v>0</v>
      </c>
      <c r="M559" t="n">
        <v>0</v>
      </c>
      <c r="N559" t="n">
        <v>0</v>
      </c>
      <c r="O559" t="n">
        <v>0</v>
      </c>
      <c r="P559" t="n">
        <v>0</v>
      </c>
      <c r="Q559" t="n">
        <v>0</v>
      </c>
      <c r="R559" s="2" t="inlineStr"/>
    </row>
    <row r="560" ht="15" customHeight="1">
      <c r="A560" t="inlineStr">
        <is>
          <t>A 29413-2023</t>
        </is>
      </c>
      <c r="B560" s="1" t="n">
        <v>45106.46465277778</v>
      </c>
      <c r="C560" s="1" t="n">
        <v>45966</v>
      </c>
      <c r="D560" t="inlineStr">
        <is>
          <t>ÖSTERGÖTLANDS LÄN</t>
        </is>
      </c>
      <c r="E560" t="inlineStr">
        <is>
          <t>LINKÖPING</t>
        </is>
      </c>
      <c r="G560" t="n">
        <v>8</v>
      </c>
      <c r="H560" t="n">
        <v>0</v>
      </c>
      <c r="I560" t="n">
        <v>0</v>
      </c>
      <c r="J560" t="n">
        <v>0</v>
      </c>
      <c r="K560" t="n">
        <v>0</v>
      </c>
      <c r="L560" t="n">
        <v>0</v>
      </c>
      <c r="M560" t="n">
        <v>0</v>
      </c>
      <c r="N560" t="n">
        <v>0</v>
      </c>
      <c r="O560" t="n">
        <v>0</v>
      </c>
      <c r="P560" t="n">
        <v>0</v>
      </c>
      <c r="Q560" t="n">
        <v>0</v>
      </c>
      <c r="R560" s="2" t="inlineStr"/>
    </row>
    <row r="561" ht="15" customHeight="1">
      <c r="A561" t="inlineStr">
        <is>
          <t>A 20291-2025</t>
        </is>
      </c>
      <c r="B561" s="1" t="n">
        <v>45774.74288194445</v>
      </c>
      <c r="C561" s="1" t="n">
        <v>45966</v>
      </c>
      <c r="D561" t="inlineStr">
        <is>
          <t>ÖSTERGÖTLANDS LÄN</t>
        </is>
      </c>
      <c r="E561" t="inlineStr">
        <is>
          <t>LINKÖPING</t>
        </is>
      </c>
      <c r="G561" t="n">
        <v>2.3</v>
      </c>
      <c r="H561" t="n">
        <v>0</v>
      </c>
      <c r="I561" t="n">
        <v>0</v>
      </c>
      <c r="J561" t="n">
        <v>0</v>
      </c>
      <c r="K561" t="n">
        <v>0</v>
      </c>
      <c r="L561" t="n">
        <v>0</v>
      </c>
      <c r="M561" t="n">
        <v>0</v>
      </c>
      <c r="N561" t="n">
        <v>0</v>
      </c>
      <c r="O561" t="n">
        <v>0</v>
      </c>
      <c r="P561" t="n">
        <v>0</v>
      </c>
      <c r="Q561" t="n">
        <v>0</v>
      </c>
      <c r="R561" s="2" t="inlineStr"/>
    </row>
    <row r="562" ht="15" customHeight="1">
      <c r="A562" t="inlineStr">
        <is>
          <t>A 20293-2025</t>
        </is>
      </c>
      <c r="B562" s="1" t="n">
        <v>45774.74611111111</v>
      </c>
      <c r="C562" s="1" t="n">
        <v>45966</v>
      </c>
      <c r="D562" t="inlineStr">
        <is>
          <t>ÖSTERGÖTLANDS LÄN</t>
        </is>
      </c>
      <c r="E562" t="inlineStr">
        <is>
          <t>LINKÖPING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25948-2023</t>
        </is>
      </c>
      <c r="B563" s="1" t="n">
        <v>45090</v>
      </c>
      <c r="C563" s="1" t="n">
        <v>45966</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1627-2023</t>
        </is>
      </c>
      <c r="B564" s="1" t="n">
        <v>44937</v>
      </c>
      <c r="C564" s="1" t="n">
        <v>45966</v>
      </c>
      <c r="D564" t="inlineStr">
        <is>
          <t>ÖSTERGÖTLANDS LÄN</t>
        </is>
      </c>
      <c r="E564" t="inlineStr">
        <is>
          <t>LINKÖPING</t>
        </is>
      </c>
      <c r="G564" t="n">
        <v>10.8</v>
      </c>
      <c r="H564" t="n">
        <v>0</v>
      </c>
      <c r="I564" t="n">
        <v>0</v>
      </c>
      <c r="J564" t="n">
        <v>0</v>
      </c>
      <c r="K564" t="n">
        <v>0</v>
      </c>
      <c r="L564" t="n">
        <v>0</v>
      </c>
      <c r="M564" t="n">
        <v>0</v>
      </c>
      <c r="N564" t="n">
        <v>0</v>
      </c>
      <c r="O564" t="n">
        <v>0</v>
      </c>
      <c r="P564" t="n">
        <v>0</v>
      </c>
      <c r="Q564" t="n">
        <v>0</v>
      </c>
      <c r="R564" s="2" t="inlineStr"/>
    </row>
    <row r="565" ht="15" customHeight="1">
      <c r="A565" t="inlineStr">
        <is>
          <t>A 30481-2023</t>
        </is>
      </c>
      <c r="B565" s="1" t="n">
        <v>45111</v>
      </c>
      <c r="C565" s="1" t="n">
        <v>45966</v>
      </c>
      <c r="D565" t="inlineStr">
        <is>
          <t>ÖSTERGÖTLANDS LÄN</t>
        </is>
      </c>
      <c r="E565" t="inlineStr">
        <is>
          <t>LINKÖPING</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21782-2024</t>
        </is>
      </c>
      <c r="B566" s="1" t="n">
        <v>45442.63368055555</v>
      </c>
      <c r="C566" s="1" t="n">
        <v>45966</v>
      </c>
      <c r="D566" t="inlineStr">
        <is>
          <t>ÖSTERGÖTLANDS LÄN</t>
        </is>
      </c>
      <c r="E566" t="inlineStr">
        <is>
          <t>LINKÖPING</t>
        </is>
      </c>
      <c r="G566" t="n">
        <v>1.4</v>
      </c>
      <c r="H566" t="n">
        <v>0</v>
      </c>
      <c r="I566" t="n">
        <v>0</v>
      </c>
      <c r="J566" t="n">
        <v>0</v>
      </c>
      <c r="K566" t="n">
        <v>0</v>
      </c>
      <c r="L566" t="n">
        <v>0</v>
      </c>
      <c r="M566" t="n">
        <v>0</v>
      </c>
      <c r="N566" t="n">
        <v>0</v>
      </c>
      <c r="O566" t="n">
        <v>0</v>
      </c>
      <c r="P566" t="n">
        <v>0</v>
      </c>
      <c r="Q566" t="n">
        <v>0</v>
      </c>
      <c r="R566" s="2" t="inlineStr"/>
    </row>
    <row r="567" ht="15" customHeight="1">
      <c r="A567" t="inlineStr">
        <is>
          <t>A 11671-2023</t>
        </is>
      </c>
      <c r="B567" s="1" t="n">
        <v>44994.48125</v>
      </c>
      <c r="C567" s="1" t="n">
        <v>45966</v>
      </c>
      <c r="D567" t="inlineStr">
        <is>
          <t>ÖSTERGÖTLANDS LÄN</t>
        </is>
      </c>
      <c r="E567" t="inlineStr">
        <is>
          <t>LINKÖPING</t>
        </is>
      </c>
      <c r="G567" t="n">
        <v>2.6</v>
      </c>
      <c r="H567" t="n">
        <v>0</v>
      </c>
      <c r="I567" t="n">
        <v>0</v>
      </c>
      <c r="J567" t="n">
        <v>0</v>
      </c>
      <c r="K567" t="n">
        <v>0</v>
      </c>
      <c r="L567" t="n">
        <v>0</v>
      </c>
      <c r="M567" t="n">
        <v>0</v>
      </c>
      <c r="N567" t="n">
        <v>0</v>
      </c>
      <c r="O567" t="n">
        <v>0</v>
      </c>
      <c r="P567" t="n">
        <v>0</v>
      </c>
      <c r="Q567" t="n">
        <v>0</v>
      </c>
      <c r="R567" s="2" t="inlineStr"/>
    </row>
    <row r="568" ht="15" customHeight="1">
      <c r="A568" t="inlineStr">
        <is>
          <t>A 3013-2023</t>
        </is>
      </c>
      <c r="B568" s="1" t="n">
        <v>44945.8092824074</v>
      </c>
      <c r="C568" s="1" t="n">
        <v>45966</v>
      </c>
      <c r="D568" t="inlineStr">
        <is>
          <t>ÖSTERGÖTLANDS LÄN</t>
        </is>
      </c>
      <c r="E568" t="inlineStr">
        <is>
          <t>LINKÖPING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49747-2024</t>
        </is>
      </c>
      <c r="B569" s="1" t="n">
        <v>45596</v>
      </c>
      <c r="C569" s="1" t="n">
        <v>45966</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42997-2021</t>
        </is>
      </c>
      <c r="B570" s="1" t="n">
        <v>44431.45556712963</v>
      </c>
      <c r="C570" s="1" t="n">
        <v>45966</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32723-2025</t>
        </is>
      </c>
      <c r="B571" s="1" t="n">
        <v>45838</v>
      </c>
      <c r="C571" s="1" t="n">
        <v>45966</v>
      </c>
      <c r="D571" t="inlineStr">
        <is>
          <t>ÖSTERGÖTLANDS LÄN</t>
        </is>
      </c>
      <c r="E571" t="inlineStr">
        <is>
          <t>LINKÖPING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3011-2023</t>
        </is>
      </c>
      <c r="B572" s="1" t="n">
        <v>44945</v>
      </c>
      <c r="C572" s="1" t="n">
        <v>45966</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23735-2023</t>
        </is>
      </c>
      <c r="B573" s="1" t="n">
        <v>45077</v>
      </c>
      <c r="C573" s="1" t="n">
        <v>45966</v>
      </c>
      <c r="D573" t="inlineStr">
        <is>
          <t>ÖSTERGÖTLANDS LÄN</t>
        </is>
      </c>
      <c r="E573" t="inlineStr">
        <is>
          <t>LINKÖPING</t>
        </is>
      </c>
      <c r="G573" t="n">
        <v>1.7</v>
      </c>
      <c r="H573" t="n">
        <v>0</v>
      </c>
      <c r="I573" t="n">
        <v>0</v>
      </c>
      <c r="J573" t="n">
        <v>0</v>
      </c>
      <c r="K573" t="n">
        <v>0</v>
      </c>
      <c r="L573" t="n">
        <v>0</v>
      </c>
      <c r="M573" t="n">
        <v>0</v>
      </c>
      <c r="N573" t="n">
        <v>0</v>
      </c>
      <c r="O573" t="n">
        <v>0</v>
      </c>
      <c r="P573" t="n">
        <v>0</v>
      </c>
      <c r="Q573" t="n">
        <v>0</v>
      </c>
      <c r="R573" s="2" t="inlineStr"/>
    </row>
    <row r="574" ht="15" customHeight="1">
      <c r="A574" t="inlineStr">
        <is>
          <t>A 45821-2024</t>
        </is>
      </c>
      <c r="B574" s="1" t="n">
        <v>45579.75803240741</v>
      </c>
      <c r="C574" s="1" t="n">
        <v>45966</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53647-2021</t>
        </is>
      </c>
      <c r="B575" s="1" t="n">
        <v>44469</v>
      </c>
      <c r="C575" s="1" t="n">
        <v>45966</v>
      </c>
      <c r="D575" t="inlineStr">
        <is>
          <t>ÖSTERGÖTLANDS LÄN</t>
        </is>
      </c>
      <c r="E575" t="inlineStr">
        <is>
          <t>LINKÖPING</t>
        </is>
      </c>
      <c r="G575" t="n">
        <v>2.3</v>
      </c>
      <c r="H575" t="n">
        <v>0</v>
      </c>
      <c r="I575" t="n">
        <v>0</v>
      </c>
      <c r="J575" t="n">
        <v>0</v>
      </c>
      <c r="K575" t="n">
        <v>0</v>
      </c>
      <c r="L575" t="n">
        <v>0</v>
      </c>
      <c r="M575" t="n">
        <v>0</v>
      </c>
      <c r="N575" t="n">
        <v>0</v>
      </c>
      <c r="O575" t="n">
        <v>0</v>
      </c>
      <c r="P575" t="n">
        <v>0</v>
      </c>
      <c r="Q575" t="n">
        <v>0</v>
      </c>
      <c r="R575" s="2" t="inlineStr"/>
    </row>
    <row r="576" ht="15" customHeight="1">
      <c r="A576" t="inlineStr">
        <is>
          <t>A 3041-2024</t>
        </is>
      </c>
      <c r="B576" s="1" t="n">
        <v>45316.34875</v>
      </c>
      <c r="C576" s="1" t="n">
        <v>45966</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6599-2023</t>
        </is>
      </c>
      <c r="B577" s="1" t="n">
        <v>44966.52603009259</v>
      </c>
      <c r="C577" s="1" t="n">
        <v>45966</v>
      </c>
      <c r="D577" t="inlineStr">
        <is>
          <t>ÖSTERGÖTLANDS LÄN</t>
        </is>
      </c>
      <c r="E577" t="inlineStr">
        <is>
          <t>LINKÖPING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33947-2025</t>
        </is>
      </c>
      <c r="B578" s="1" t="n">
        <v>45842.65444444444</v>
      </c>
      <c r="C578" s="1" t="n">
        <v>45966</v>
      </c>
      <c r="D578" t="inlineStr">
        <is>
          <t>ÖSTERGÖTLANDS LÄN</t>
        </is>
      </c>
      <c r="E578" t="inlineStr">
        <is>
          <t>LINKÖPING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53529-2024</t>
        </is>
      </c>
      <c r="B579" s="1" t="n">
        <v>45614</v>
      </c>
      <c r="C579" s="1" t="n">
        <v>45966</v>
      </c>
      <c r="D579" t="inlineStr">
        <is>
          <t>ÖSTERGÖTLANDS LÄN</t>
        </is>
      </c>
      <c r="E579" t="inlineStr">
        <is>
          <t>LINKÖPING</t>
        </is>
      </c>
      <c r="G579" t="n">
        <v>6.7</v>
      </c>
      <c r="H579" t="n">
        <v>0</v>
      </c>
      <c r="I579" t="n">
        <v>0</v>
      </c>
      <c r="J579" t="n">
        <v>0</v>
      </c>
      <c r="K579" t="n">
        <v>0</v>
      </c>
      <c r="L579" t="n">
        <v>0</v>
      </c>
      <c r="M579" t="n">
        <v>0</v>
      </c>
      <c r="N579" t="n">
        <v>0</v>
      </c>
      <c r="O579" t="n">
        <v>0</v>
      </c>
      <c r="P579" t="n">
        <v>0</v>
      </c>
      <c r="Q579" t="n">
        <v>0</v>
      </c>
      <c r="R579" s="2" t="inlineStr"/>
    </row>
    <row r="580" ht="15" customHeight="1">
      <c r="A580" t="inlineStr">
        <is>
          <t>A 62012-2024</t>
        </is>
      </c>
      <c r="B580" s="1" t="n">
        <v>45655.79679398148</v>
      </c>
      <c r="C580" s="1" t="n">
        <v>45966</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50963-2021</t>
        </is>
      </c>
      <c r="B581" s="1" t="n">
        <v>44460</v>
      </c>
      <c r="C581" s="1" t="n">
        <v>45966</v>
      </c>
      <c r="D581" t="inlineStr">
        <is>
          <t>ÖSTERGÖTLANDS LÄN</t>
        </is>
      </c>
      <c r="E581" t="inlineStr">
        <is>
          <t>LINKÖPING</t>
        </is>
      </c>
      <c r="G581" t="n">
        <v>4.4</v>
      </c>
      <c r="H581" t="n">
        <v>0</v>
      </c>
      <c r="I581" t="n">
        <v>0</v>
      </c>
      <c r="J581" t="n">
        <v>0</v>
      </c>
      <c r="K581" t="n">
        <v>0</v>
      </c>
      <c r="L581" t="n">
        <v>0</v>
      </c>
      <c r="M581" t="n">
        <v>0</v>
      </c>
      <c r="N581" t="n">
        <v>0</v>
      </c>
      <c r="O581" t="n">
        <v>0</v>
      </c>
      <c r="P581" t="n">
        <v>0</v>
      </c>
      <c r="Q581" t="n">
        <v>0</v>
      </c>
      <c r="R581" s="2" t="inlineStr"/>
    </row>
    <row r="582" ht="15" customHeight="1">
      <c r="A582" t="inlineStr">
        <is>
          <t>A 61307-2021</t>
        </is>
      </c>
      <c r="B582" s="1" t="n">
        <v>44498.63928240741</v>
      </c>
      <c r="C582" s="1" t="n">
        <v>45966</v>
      </c>
      <c r="D582" t="inlineStr">
        <is>
          <t>ÖSTERGÖTLANDS LÄN</t>
        </is>
      </c>
      <c r="E582" t="inlineStr">
        <is>
          <t>LINKÖPING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61325-2021</t>
        </is>
      </c>
      <c r="B583" s="1" t="n">
        <v>44498.66814814815</v>
      </c>
      <c r="C583" s="1" t="n">
        <v>45966</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20469-2025</t>
        </is>
      </c>
      <c r="B584" s="1" t="n">
        <v>45775</v>
      </c>
      <c r="C584" s="1" t="n">
        <v>45966</v>
      </c>
      <c r="D584" t="inlineStr">
        <is>
          <t>ÖSTERGÖTLANDS LÄN</t>
        </is>
      </c>
      <c r="E584" t="inlineStr">
        <is>
          <t>LINKÖPING</t>
        </is>
      </c>
      <c r="F584" t="inlineStr">
        <is>
          <t>Kyrkan</t>
        </is>
      </c>
      <c r="G584" t="n">
        <v>6.1</v>
      </c>
      <c r="H584" t="n">
        <v>0</v>
      </c>
      <c r="I584" t="n">
        <v>0</v>
      </c>
      <c r="J584" t="n">
        <v>0</v>
      </c>
      <c r="K584" t="n">
        <v>0</v>
      </c>
      <c r="L584" t="n">
        <v>0</v>
      </c>
      <c r="M584" t="n">
        <v>0</v>
      </c>
      <c r="N584" t="n">
        <v>0</v>
      </c>
      <c r="O584" t="n">
        <v>0</v>
      </c>
      <c r="P584" t="n">
        <v>0</v>
      </c>
      <c r="Q584" t="n">
        <v>0</v>
      </c>
      <c r="R584" s="2" t="inlineStr"/>
    </row>
    <row r="585" ht="15" customHeight="1">
      <c r="A585" t="inlineStr">
        <is>
          <t>A 63665-2023</t>
        </is>
      </c>
      <c r="B585" s="1" t="n">
        <v>45275</v>
      </c>
      <c r="C585" s="1" t="n">
        <v>45966</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35735-2023</t>
        </is>
      </c>
      <c r="B586" s="1" t="n">
        <v>45147</v>
      </c>
      <c r="C586" s="1" t="n">
        <v>45966</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45831-2024</t>
        </is>
      </c>
      <c r="B587" s="1" t="n">
        <v>45579.90508101852</v>
      </c>
      <c r="C587" s="1" t="n">
        <v>45966</v>
      </c>
      <c r="D587" t="inlineStr">
        <is>
          <t>ÖSTERGÖTLANDS LÄN</t>
        </is>
      </c>
      <c r="E587" t="inlineStr">
        <is>
          <t>LINKÖPING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17157-2024</t>
        </is>
      </c>
      <c r="B588" s="1" t="n">
        <v>45412.70567129629</v>
      </c>
      <c r="C588" s="1" t="n">
        <v>45966</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33867-2023</t>
        </is>
      </c>
      <c r="B589" s="1" t="n">
        <v>45133.94640046296</v>
      </c>
      <c r="C589" s="1" t="n">
        <v>45966</v>
      </c>
      <c r="D589" t="inlineStr">
        <is>
          <t>ÖSTERGÖTLANDS LÄN</t>
        </is>
      </c>
      <c r="E589" t="inlineStr">
        <is>
          <t>LINKÖPING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33800-2023</t>
        </is>
      </c>
      <c r="B590" s="1" t="n">
        <v>45121</v>
      </c>
      <c r="C590" s="1" t="n">
        <v>45966</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26007-2025</t>
        </is>
      </c>
      <c r="B591" s="1" t="n">
        <v>45804.67081018518</v>
      </c>
      <c r="C591" s="1" t="n">
        <v>45966</v>
      </c>
      <c r="D591" t="inlineStr">
        <is>
          <t>ÖSTERGÖTLANDS LÄN</t>
        </is>
      </c>
      <c r="E591" t="inlineStr">
        <is>
          <t>LINKÖPING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35174-2025</t>
        </is>
      </c>
      <c r="B592" s="1" t="n">
        <v>45852.90648148148</v>
      </c>
      <c r="C592" s="1" t="n">
        <v>45966</v>
      </c>
      <c r="D592" t="inlineStr">
        <is>
          <t>ÖSTERGÖTLANDS LÄN</t>
        </is>
      </c>
      <c r="E592" t="inlineStr">
        <is>
          <t>LINKÖPING</t>
        </is>
      </c>
      <c r="G592" t="n">
        <v>1.3</v>
      </c>
      <c r="H592" t="n">
        <v>0</v>
      </c>
      <c r="I592" t="n">
        <v>0</v>
      </c>
      <c r="J592" t="n">
        <v>0</v>
      </c>
      <c r="K592" t="n">
        <v>0</v>
      </c>
      <c r="L592" t="n">
        <v>0</v>
      </c>
      <c r="M592" t="n">
        <v>0</v>
      </c>
      <c r="N592" t="n">
        <v>0</v>
      </c>
      <c r="O592" t="n">
        <v>0</v>
      </c>
      <c r="P592" t="n">
        <v>0</v>
      </c>
      <c r="Q592" t="n">
        <v>0</v>
      </c>
      <c r="R592" s="2" t="inlineStr"/>
    </row>
    <row r="593" ht="15" customHeight="1">
      <c r="A593" t="inlineStr">
        <is>
          <t>A 37154-2023</t>
        </is>
      </c>
      <c r="B593" s="1" t="n">
        <v>45155</v>
      </c>
      <c r="C593" s="1" t="n">
        <v>45966</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47991-2023</t>
        </is>
      </c>
      <c r="B594" s="1" t="n">
        <v>45204.62655092592</v>
      </c>
      <c r="C594" s="1" t="n">
        <v>45966</v>
      </c>
      <c r="D594" t="inlineStr">
        <is>
          <t>ÖSTERGÖTLANDS LÄN</t>
        </is>
      </c>
      <c r="E594" t="inlineStr">
        <is>
          <t>LINKÖPING</t>
        </is>
      </c>
      <c r="F594" t="inlineStr">
        <is>
          <t>Allmännings- och besparingsskogar</t>
        </is>
      </c>
      <c r="G594" t="n">
        <v>7.3</v>
      </c>
      <c r="H594" t="n">
        <v>0</v>
      </c>
      <c r="I594" t="n">
        <v>0</v>
      </c>
      <c r="J594" t="n">
        <v>0</v>
      </c>
      <c r="K594" t="n">
        <v>0</v>
      </c>
      <c r="L594" t="n">
        <v>0</v>
      </c>
      <c r="M594" t="n">
        <v>0</v>
      </c>
      <c r="N594" t="n">
        <v>0</v>
      </c>
      <c r="O594" t="n">
        <v>0</v>
      </c>
      <c r="P594" t="n">
        <v>0</v>
      </c>
      <c r="Q594" t="n">
        <v>0</v>
      </c>
      <c r="R594" s="2" t="inlineStr"/>
    </row>
    <row r="595" ht="15" customHeight="1">
      <c r="A595" t="inlineStr">
        <is>
          <t>A 35179-2025</t>
        </is>
      </c>
      <c r="B595" s="1" t="n">
        <v>45852.93737268518</v>
      </c>
      <c r="C595" s="1" t="n">
        <v>45966</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35180-2025</t>
        </is>
      </c>
      <c r="B596" s="1" t="n">
        <v>45852.9413425926</v>
      </c>
      <c r="C596" s="1" t="n">
        <v>45966</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35178-2025</t>
        </is>
      </c>
      <c r="B597" s="1" t="n">
        <v>45852.91939814815</v>
      </c>
      <c r="C597" s="1" t="n">
        <v>45966</v>
      </c>
      <c r="D597" t="inlineStr">
        <is>
          <t>ÖSTERGÖTLANDS LÄN</t>
        </is>
      </c>
      <c r="E597" t="inlineStr">
        <is>
          <t>LINKÖPING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53812-2023</t>
        </is>
      </c>
      <c r="B598" s="1" t="n">
        <v>45231.39583333334</v>
      </c>
      <c r="C598" s="1" t="n">
        <v>45966</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53830-2023</t>
        </is>
      </c>
      <c r="B599" s="1" t="n">
        <v>45230</v>
      </c>
      <c r="C599" s="1" t="n">
        <v>45966</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56841-2023</t>
        </is>
      </c>
      <c r="B600" s="1" t="n">
        <v>45244</v>
      </c>
      <c r="C600" s="1" t="n">
        <v>45966</v>
      </c>
      <c r="D600" t="inlineStr">
        <is>
          <t>ÖSTERGÖTLANDS LÄN</t>
        </is>
      </c>
      <c r="E600" t="inlineStr">
        <is>
          <t>LINKÖPING</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56741-2023</t>
        </is>
      </c>
      <c r="B601" s="1" t="n">
        <v>45244</v>
      </c>
      <c r="C601" s="1" t="n">
        <v>45966</v>
      </c>
      <c r="D601" t="inlineStr">
        <is>
          <t>ÖSTERGÖTLANDS LÄN</t>
        </is>
      </c>
      <c r="E601" t="inlineStr">
        <is>
          <t>LINKÖPING</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53816-2023</t>
        </is>
      </c>
      <c r="B602" s="1" t="n">
        <v>45231.40012731482</v>
      </c>
      <c r="C602" s="1" t="n">
        <v>45966</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63935-2021</t>
        </is>
      </c>
      <c r="B603" s="1" t="n">
        <v>44509</v>
      </c>
      <c r="C603" s="1" t="n">
        <v>45966</v>
      </c>
      <c r="D603" t="inlineStr">
        <is>
          <t>ÖSTERGÖTLANDS LÄN</t>
        </is>
      </c>
      <c r="E603" t="inlineStr">
        <is>
          <t>LINKÖPING</t>
        </is>
      </c>
      <c r="F603" t="inlineStr">
        <is>
          <t>Övriga statliga verk och myndigheter</t>
        </is>
      </c>
      <c r="G603" t="n">
        <v>2.8</v>
      </c>
      <c r="H603" t="n">
        <v>0</v>
      </c>
      <c r="I603" t="n">
        <v>0</v>
      </c>
      <c r="J603" t="n">
        <v>0</v>
      </c>
      <c r="K603" t="n">
        <v>0</v>
      </c>
      <c r="L603" t="n">
        <v>0</v>
      </c>
      <c r="M603" t="n">
        <v>0</v>
      </c>
      <c r="N603" t="n">
        <v>0</v>
      </c>
      <c r="O603" t="n">
        <v>0</v>
      </c>
      <c r="P603" t="n">
        <v>0</v>
      </c>
      <c r="Q603" t="n">
        <v>0</v>
      </c>
      <c r="R603" s="2" t="inlineStr"/>
    </row>
    <row r="604" ht="15" customHeight="1">
      <c r="A604" t="inlineStr">
        <is>
          <t>A 6726-2024</t>
        </is>
      </c>
      <c r="B604" s="1" t="n">
        <v>45341</v>
      </c>
      <c r="C604" s="1" t="n">
        <v>45966</v>
      </c>
      <c r="D604" t="inlineStr">
        <is>
          <t>ÖSTERGÖTLANDS LÄN</t>
        </is>
      </c>
      <c r="E604" t="inlineStr">
        <is>
          <t>LINKÖPING</t>
        </is>
      </c>
      <c r="G604" t="n">
        <v>2.7</v>
      </c>
      <c r="H604" t="n">
        <v>0</v>
      </c>
      <c r="I604" t="n">
        <v>0</v>
      </c>
      <c r="J604" t="n">
        <v>0</v>
      </c>
      <c r="K604" t="n">
        <v>0</v>
      </c>
      <c r="L604" t="n">
        <v>0</v>
      </c>
      <c r="M604" t="n">
        <v>0</v>
      </c>
      <c r="N604" t="n">
        <v>0</v>
      </c>
      <c r="O604" t="n">
        <v>0</v>
      </c>
      <c r="P604" t="n">
        <v>0</v>
      </c>
      <c r="Q604" t="n">
        <v>0</v>
      </c>
      <c r="R604" s="2" t="inlineStr"/>
    </row>
    <row r="605" ht="15" customHeight="1">
      <c r="A605" t="inlineStr">
        <is>
          <t>A 35757-2025</t>
        </is>
      </c>
      <c r="B605" s="1" t="n">
        <v>45860.59876157407</v>
      </c>
      <c r="C605" s="1" t="n">
        <v>45966</v>
      </c>
      <c r="D605" t="inlineStr">
        <is>
          <t>ÖSTERGÖTLANDS LÄN</t>
        </is>
      </c>
      <c r="E605" t="inlineStr">
        <is>
          <t>LINKÖPING</t>
        </is>
      </c>
      <c r="G605" t="n">
        <v>5.7</v>
      </c>
      <c r="H605" t="n">
        <v>0</v>
      </c>
      <c r="I605" t="n">
        <v>0</v>
      </c>
      <c r="J605" t="n">
        <v>0</v>
      </c>
      <c r="K605" t="n">
        <v>0</v>
      </c>
      <c r="L605" t="n">
        <v>0</v>
      </c>
      <c r="M605" t="n">
        <v>0</v>
      </c>
      <c r="N605" t="n">
        <v>0</v>
      </c>
      <c r="O605" t="n">
        <v>0</v>
      </c>
      <c r="P605" t="n">
        <v>0</v>
      </c>
      <c r="Q605" t="n">
        <v>0</v>
      </c>
      <c r="R605" s="2" t="inlineStr"/>
    </row>
    <row r="606" ht="15" customHeight="1">
      <c r="A606" t="inlineStr">
        <is>
          <t>A 35745-2025</t>
        </is>
      </c>
      <c r="B606" s="1" t="n">
        <v>45860.54739583333</v>
      </c>
      <c r="C606" s="1" t="n">
        <v>45966</v>
      </c>
      <c r="D606" t="inlineStr">
        <is>
          <t>ÖSTERGÖTLANDS LÄN</t>
        </is>
      </c>
      <c r="E606" t="inlineStr">
        <is>
          <t>LINKÖPING</t>
        </is>
      </c>
      <c r="G606" t="n">
        <v>4.4</v>
      </c>
      <c r="H606" t="n">
        <v>0</v>
      </c>
      <c r="I606" t="n">
        <v>0</v>
      </c>
      <c r="J606" t="n">
        <v>0</v>
      </c>
      <c r="K606" t="n">
        <v>0</v>
      </c>
      <c r="L606" t="n">
        <v>0</v>
      </c>
      <c r="M606" t="n">
        <v>0</v>
      </c>
      <c r="N606" t="n">
        <v>0</v>
      </c>
      <c r="O606" t="n">
        <v>0</v>
      </c>
      <c r="P606" t="n">
        <v>0</v>
      </c>
      <c r="Q606" t="n">
        <v>0</v>
      </c>
      <c r="R606" s="2" t="inlineStr"/>
    </row>
    <row r="607" ht="15" customHeight="1">
      <c r="A607" t="inlineStr">
        <is>
          <t>A 35747-2025</t>
        </is>
      </c>
      <c r="B607" s="1" t="n">
        <v>45860.56385416666</v>
      </c>
      <c r="C607" s="1" t="n">
        <v>45966</v>
      </c>
      <c r="D607" t="inlineStr">
        <is>
          <t>ÖSTERGÖTLANDS LÄN</t>
        </is>
      </c>
      <c r="E607" t="inlineStr">
        <is>
          <t>LINKÖPING</t>
        </is>
      </c>
      <c r="G607" t="n">
        <v>2.4</v>
      </c>
      <c r="H607" t="n">
        <v>0</v>
      </c>
      <c r="I607" t="n">
        <v>0</v>
      </c>
      <c r="J607" t="n">
        <v>0</v>
      </c>
      <c r="K607" t="n">
        <v>0</v>
      </c>
      <c r="L607" t="n">
        <v>0</v>
      </c>
      <c r="M607" t="n">
        <v>0</v>
      </c>
      <c r="N607" t="n">
        <v>0</v>
      </c>
      <c r="O607" t="n">
        <v>0</v>
      </c>
      <c r="P607" t="n">
        <v>0</v>
      </c>
      <c r="Q607" t="n">
        <v>0</v>
      </c>
      <c r="R607" s="2" t="inlineStr"/>
    </row>
    <row r="608" ht="15" customHeight="1">
      <c r="A608" t="inlineStr">
        <is>
          <t>A 3007-2023</t>
        </is>
      </c>
      <c r="B608" s="1" t="n">
        <v>44945</v>
      </c>
      <c r="C608" s="1" t="n">
        <v>45966</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18145-2021</t>
        </is>
      </c>
      <c r="B609" s="1" t="n">
        <v>44302</v>
      </c>
      <c r="C609" s="1" t="n">
        <v>45966</v>
      </c>
      <c r="D609" t="inlineStr">
        <is>
          <t>ÖSTERGÖTLANDS LÄN</t>
        </is>
      </c>
      <c r="E609" t="inlineStr">
        <is>
          <t>LINKÖPING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35759-2025</t>
        </is>
      </c>
      <c r="B610" s="1" t="n">
        <v>45860</v>
      </c>
      <c r="C610" s="1" t="n">
        <v>45966</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29309-2024</t>
        </is>
      </c>
      <c r="B611" s="1" t="n">
        <v>45483</v>
      </c>
      <c r="C611" s="1" t="n">
        <v>45966</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30985-2022</t>
        </is>
      </c>
      <c r="B612" s="1" t="n">
        <v>44768</v>
      </c>
      <c r="C612" s="1" t="n">
        <v>45966</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53411-2023</t>
        </is>
      </c>
      <c r="B613" s="1" t="n">
        <v>45229.81049768518</v>
      </c>
      <c r="C613" s="1" t="n">
        <v>45966</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38317-2024</t>
        </is>
      </c>
      <c r="B614" s="1" t="n">
        <v>45545.65766203704</v>
      </c>
      <c r="C614" s="1" t="n">
        <v>45966</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26788-2022</t>
        </is>
      </c>
      <c r="B615" s="1" t="n">
        <v>44740</v>
      </c>
      <c r="C615" s="1" t="n">
        <v>45966</v>
      </c>
      <c r="D615" t="inlineStr">
        <is>
          <t>ÖSTERGÖTLANDS LÄN</t>
        </is>
      </c>
      <c r="E615" t="inlineStr">
        <is>
          <t>LINKÖPING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24462-2023</t>
        </is>
      </c>
      <c r="B616" s="1" t="n">
        <v>45082</v>
      </c>
      <c r="C616" s="1" t="n">
        <v>45966</v>
      </c>
      <c r="D616" t="inlineStr">
        <is>
          <t>ÖSTERGÖTLANDS LÄN</t>
        </is>
      </c>
      <c r="E616" t="inlineStr">
        <is>
          <t>LINKÖPING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45966</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10741-2023</t>
        </is>
      </c>
      <c r="B618" s="1" t="n">
        <v>44988.70084490741</v>
      </c>
      <c r="C618" s="1" t="n">
        <v>45966</v>
      </c>
      <c r="D618" t="inlineStr">
        <is>
          <t>ÖSTERGÖTLANDS LÄN</t>
        </is>
      </c>
      <c r="E618" t="inlineStr">
        <is>
          <t>LINKÖPING</t>
        </is>
      </c>
      <c r="F618" t="inlineStr">
        <is>
          <t>Allmännings- och besparingsskogar</t>
        </is>
      </c>
      <c r="G618" t="n">
        <v>11.2</v>
      </c>
      <c r="H618" t="n">
        <v>0</v>
      </c>
      <c r="I618" t="n">
        <v>0</v>
      </c>
      <c r="J618" t="n">
        <v>0</v>
      </c>
      <c r="K618" t="n">
        <v>0</v>
      </c>
      <c r="L618" t="n">
        <v>0</v>
      </c>
      <c r="M618" t="n">
        <v>0</v>
      </c>
      <c r="N618" t="n">
        <v>0</v>
      </c>
      <c r="O618" t="n">
        <v>0</v>
      </c>
      <c r="P618" t="n">
        <v>0</v>
      </c>
      <c r="Q618" t="n">
        <v>0</v>
      </c>
      <c r="R618" s="2" t="inlineStr"/>
    </row>
    <row r="619" ht="15" customHeight="1">
      <c r="A619" t="inlineStr">
        <is>
          <t>A 43473-2024</t>
        </is>
      </c>
      <c r="B619" s="1" t="n">
        <v>45568</v>
      </c>
      <c r="C619" s="1" t="n">
        <v>45966</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43475-2024</t>
        </is>
      </c>
      <c r="B620" s="1" t="n">
        <v>45568</v>
      </c>
      <c r="C620" s="1" t="n">
        <v>45966</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58947-2022</t>
        </is>
      </c>
      <c r="B621" s="1" t="n">
        <v>44903.64769675926</v>
      </c>
      <c r="C621" s="1" t="n">
        <v>45966</v>
      </c>
      <c r="D621" t="inlineStr">
        <is>
          <t>ÖSTERGÖTLANDS LÄN</t>
        </is>
      </c>
      <c r="E621" t="inlineStr">
        <is>
          <t>LINKÖPING</t>
        </is>
      </c>
      <c r="G621" t="n">
        <v>4</v>
      </c>
      <c r="H621" t="n">
        <v>0</v>
      </c>
      <c r="I621" t="n">
        <v>0</v>
      </c>
      <c r="J621" t="n">
        <v>0</v>
      </c>
      <c r="K621" t="n">
        <v>0</v>
      </c>
      <c r="L621" t="n">
        <v>0</v>
      </c>
      <c r="M621" t="n">
        <v>0</v>
      </c>
      <c r="N621" t="n">
        <v>0</v>
      </c>
      <c r="O621" t="n">
        <v>0</v>
      </c>
      <c r="P621" t="n">
        <v>0</v>
      </c>
      <c r="Q621" t="n">
        <v>0</v>
      </c>
      <c r="R621" s="2" t="inlineStr"/>
    </row>
    <row r="622" ht="15" customHeight="1">
      <c r="A622" t="inlineStr">
        <is>
          <t>A 1207-2023</t>
        </is>
      </c>
      <c r="B622" s="1" t="n">
        <v>44930</v>
      </c>
      <c r="C622" s="1" t="n">
        <v>45966</v>
      </c>
      <c r="D622" t="inlineStr">
        <is>
          <t>ÖSTERGÖTLANDS LÄN</t>
        </is>
      </c>
      <c r="E622" t="inlineStr">
        <is>
          <t>LINKÖPING</t>
        </is>
      </c>
      <c r="F622" t="inlineStr">
        <is>
          <t>Övriga statliga verk och myndigheter</t>
        </is>
      </c>
      <c r="G622" t="n">
        <v>32.8</v>
      </c>
      <c r="H622" t="n">
        <v>0</v>
      </c>
      <c r="I622" t="n">
        <v>0</v>
      </c>
      <c r="J622" t="n">
        <v>0</v>
      </c>
      <c r="K622" t="n">
        <v>0</v>
      </c>
      <c r="L622" t="n">
        <v>0</v>
      </c>
      <c r="M622" t="n">
        <v>0</v>
      </c>
      <c r="N622" t="n">
        <v>0</v>
      </c>
      <c r="O622" t="n">
        <v>0</v>
      </c>
      <c r="P622" t="n">
        <v>0</v>
      </c>
      <c r="Q622" t="n">
        <v>0</v>
      </c>
      <c r="R622" s="2" t="inlineStr"/>
    </row>
    <row r="623" ht="15" customHeight="1">
      <c r="A623" t="inlineStr">
        <is>
          <t>A 29859-2024</t>
        </is>
      </c>
      <c r="B623" s="1" t="n">
        <v>45485.6846412037</v>
      </c>
      <c r="C623" s="1" t="n">
        <v>45966</v>
      </c>
      <c r="D623" t="inlineStr">
        <is>
          <t>ÖSTERGÖTLANDS LÄN</t>
        </is>
      </c>
      <c r="E623" t="inlineStr">
        <is>
          <t>LINKÖPING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45819-2024</t>
        </is>
      </c>
      <c r="B624" s="1" t="n">
        <v>45579.7454050926</v>
      </c>
      <c r="C624" s="1" t="n">
        <v>45966</v>
      </c>
      <c r="D624" t="inlineStr">
        <is>
          <t>ÖSTERGÖTLANDS LÄN</t>
        </is>
      </c>
      <c r="E624" t="inlineStr">
        <is>
          <t>LINKÖPING</t>
        </is>
      </c>
      <c r="G624" t="n">
        <v>5</v>
      </c>
      <c r="H624" t="n">
        <v>0</v>
      </c>
      <c r="I624" t="n">
        <v>0</v>
      </c>
      <c r="J624" t="n">
        <v>0</v>
      </c>
      <c r="K624" t="n">
        <v>0</v>
      </c>
      <c r="L624" t="n">
        <v>0</v>
      </c>
      <c r="M624" t="n">
        <v>0</v>
      </c>
      <c r="N624" t="n">
        <v>0</v>
      </c>
      <c r="O624" t="n">
        <v>0</v>
      </c>
      <c r="P624" t="n">
        <v>0</v>
      </c>
      <c r="Q624" t="n">
        <v>0</v>
      </c>
      <c r="R624" s="2" t="inlineStr"/>
    </row>
    <row r="625" ht="15" customHeight="1">
      <c r="A625" t="inlineStr">
        <is>
          <t>A 37057-2025</t>
        </is>
      </c>
      <c r="B625" s="1" t="n">
        <v>45875.37489583333</v>
      </c>
      <c r="C625" s="1" t="n">
        <v>45966</v>
      </c>
      <c r="D625" t="inlineStr">
        <is>
          <t>ÖSTERGÖTLANDS LÄN</t>
        </is>
      </c>
      <c r="E625" t="inlineStr">
        <is>
          <t>LINKÖPING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15748-2025</t>
        </is>
      </c>
      <c r="B626" s="1" t="n">
        <v>45748.55282407408</v>
      </c>
      <c r="C626" s="1" t="n">
        <v>45966</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15754-2025</t>
        </is>
      </c>
      <c r="B627" s="1" t="n">
        <v>45748.56105324074</v>
      </c>
      <c r="C627" s="1" t="n">
        <v>45966</v>
      </c>
      <c r="D627" t="inlineStr">
        <is>
          <t>ÖSTERGÖTLANDS LÄN</t>
        </is>
      </c>
      <c r="E627" t="inlineStr">
        <is>
          <t>LINKÖPING</t>
        </is>
      </c>
      <c r="G627" t="n">
        <v>1.7</v>
      </c>
      <c r="H627" t="n">
        <v>0</v>
      </c>
      <c r="I627" t="n">
        <v>0</v>
      </c>
      <c r="J627" t="n">
        <v>0</v>
      </c>
      <c r="K627" t="n">
        <v>0</v>
      </c>
      <c r="L627" t="n">
        <v>0</v>
      </c>
      <c r="M627" t="n">
        <v>0</v>
      </c>
      <c r="N627" t="n">
        <v>0</v>
      </c>
      <c r="O627" t="n">
        <v>0</v>
      </c>
      <c r="P627" t="n">
        <v>0</v>
      </c>
      <c r="Q627" t="n">
        <v>0</v>
      </c>
      <c r="R627" s="2" t="inlineStr"/>
    </row>
    <row r="628" ht="15" customHeight="1">
      <c r="A628" t="inlineStr">
        <is>
          <t>A 30518-2024</t>
        </is>
      </c>
      <c r="B628" s="1" t="n">
        <v>45492</v>
      </c>
      <c r="C628" s="1" t="n">
        <v>45966</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53797-2023</t>
        </is>
      </c>
      <c r="B629" s="1" t="n">
        <v>45230</v>
      </c>
      <c r="C629" s="1" t="n">
        <v>45966</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55345-2021</t>
        </is>
      </c>
      <c r="B630" s="1" t="n">
        <v>44475</v>
      </c>
      <c r="C630" s="1" t="n">
        <v>45966</v>
      </c>
      <c r="D630" t="inlineStr">
        <is>
          <t>ÖSTERGÖTLANDS LÄN</t>
        </is>
      </c>
      <c r="E630" t="inlineStr">
        <is>
          <t>LINKÖPING</t>
        </is>
      </c>
      <c r="G630" t="n">
        <v>5.7</v>
      </c>
      <c r="H630" t="n">
        <v>0</v>
      </c>
      <c r="I630" t="n">
        <v>0</v>
      </c>
      <c r="J630" t="n">
        <v>0</v>
      </c>
      <c r="K630" t="n">
        <v>0</v>
      </c>
      <c r="L630" t="n">
        <v>0</v>
      </c>
      <c r="M630" t="n">
        <v>0</v>
      </c>
      <c r="N630" t="n">
        <v>0</v>
      </c>
      <c r="O630" t="n">
        <v>0</v>
      </c>
      <c r="P630" t="n">
        <v>0</v>
      </c>
      <c r="Q630" t="n">
        <v>0</v>
      </c>
      <c r="R630" s="2" t="inlineStr"/>
    </row>
    <row r="631" ht="15" customHeight="1">
      <c r="A631" t="inlineStr">
        <is>
          <t>A 59954-2020</t>
        </is>
      </c>
      <c r="B631" s="1" t="n">
        <v>44151</v>
      </c>
      <c r="C631" s="1" t="n">
        <v>45966</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59969-2020</t>
        </is>
      </c>
      <c r="B632" s="1" t="n">
        <v>44151</v>
      </c>
      <c r="C632" s="1" t="n">
        <v>45966</v>
      </c>
      <c r="D632" t="inlineStr">
        <is>
          <t>ÖSTERGÖTLANDS LÄN</t>
        </is>
      </c>
      <c r="E632" t="inlineStr">
        <is>
          <t>LINKÖPING</t>
        </is>
      </c>
      <c r="G632" t="n">
        <v>2.2</v>
      </c>
      <c r="H632" t="n">
        <v>0</v>
      </c>
      <c r="I632" t="n">
        <v>0</v>
      </c>
      <c r="J632" t="n">
        <v>0</v>
      </c>
      <c r="K632" t="n">
        <v>0</v>
      </c>
      <c r="L632" t="n">
        <v>0</v>
      </c>
      <c r="M632" t="n">
        <v>0</v>
      </c>
      <c r="N632" t="n">
        <v>0</v>
      </c>
      <c r="O632" t="n">
        <v>0</v>
      </c>
      <c r="P632" t="n">
        <v>0</v>
      </c>
      <c r="Q632" t="n">
        <v>0</v>
      </c>
      <c r="R632" s="2" t="inlineStr"/>
    </row>
    <row r="633" ht="15" customHeight="1">
      <c r="A633" t="inlineStr">
        <is>
          <t>A 10198-2023</t>
        </is>
      </c>
      <c r="B633" s="1" t="n">
        <v>44986.54665509259</v>
      </c>
      <c r="C633" s="1" t="n">
        <v>45966</v>
      </c>
      <c r="D633" t="inlineStr">
        <is>
          <t>ÖSTERGÖTLANDS LÄN</t>
        </is>
      </c>
      <c r="E633" t="inlineStr">
        <is>
          <t>LINKÖPING</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4298-2023</t>
        </is>
      </c>
      <c r="B634" s="1" t="n">
        <v>44953</v>
      </c>
      <c r="C634" s="1" t="n">
        <v>45966</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16665-2023</t>
        </is>
      </c>
      <c r="B635" s="1" t="n">
        <v>45030.5583912037</v>
      </c>
      <c r="C635" s="1" t="n">
        <v>45966</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12428-2024</t>
        </is>
      </c>
      <c r="B636" s="1" t="n">
        <v>45379</v>
      </c>
      <c r="C636" s="1" t="n">
        <v>45966</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26618-2023</t>
        </is>
      </c>
      <c r="B637" s="1" t="n">
        <v>45092.70306712963</v>
      </c>
      <c r="C637" s="1" t="n">
        <v>45966</v>
      </c>
      <c r="D637" t="inlineStr">
        <is>
          <t>ÖSTERGÖTLANDS LÄN</t>
        </is>
      </c>
      <c r="E637" t="inlineStr">
        <is>
          <t>LINKÖPING</t>
        </is>
      </c>
      <c r="G637" t="n">
        <v>6.9</v>
      </c>
      <c r="H637" t="n">
        <v>0</v>
      </c>
      <c r="I637" t="n">
        <v>0</v>
      </c>
      <c r="J637" t="n">
        <v>0</v>
      </c>
      <c r="K637" t="n">
        <v>0</v>
      </c>
      <c r="L637" t="n">
        <v>0</v>
      </c>
      <c r="M637" t="n">
        <v>0</v>
      </c>
      <c r="N637" t="n">
        <v>0</v>
      </c>
      <c r="O637" t="n">
        <v>0</v>
      </c>
      <c r="P637" t="n">
        <v>0</v>
      </c>
      <c r="Q637" t="n">
        <v>0</v>
      </c>
      <c r="R637" s="2" t="inlineStr"/>
    </row>
    <row r="638" ht="15" customHeight="1">
      <c r="A638" t="inlineStr">
        <is>
          <t>A 34930-2023</t>
        </is>
      </c>
      <c r="B638" s="1" t="n">
        <v>45142</v>
      </c>
      <c r="C638" s="1" t="n">
        <v>45966</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670-2024</t>
        </is>
      </c>
      <c r="B639" s="1" t="n">
        <v>45300.3408912037</v>
      </c>
      <c r="C639" s="1" t="n">
        <v>45966</v>
      </c>
      <c r="D639" t="inlineStr">
        <is>
          <t>ÖSTERGÖTLANDS LÄN</t>
        </is>
      </c>
      <c r="E639" t="inlineStr">
        <is>
          <t>LINKÖPING</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63845-2021</t>
        </is>
      </c>
      <c r="B640" s="1" t="n">
        <v>44509</v>
      </c>
      <c r="C640" s="1" t="n">
        <v>45966</v>
      </c>
      <c r="D640" t="inlineStr">
        <is>
          <t>ÖSTERGÖTLANDS LÄN</t>
        </is>
      </c>
      <c r="E640" t="inlineStr">
        <is>
          <t>LINKÖPING</t>
        </is>
      </c>
      <c r="G640" t="n">
        <v>5</v>
      </c>
      <c r="H640" t="n">
        <v>0</v>
      </c>
      <c r="I640" t="n">
        <v>0</v>
      </c>
      <c r="J640" t="n">
        <v>0</v>
      </c>
      <c r="K640" t="n">
        <v>0</v>
      </c>
      <c r="L640" t="n">
        <v>0</v>
      </c>
      <c r="M640" t="n">
        <v>0</v>
      </c>
      <c r="N640" t="n">
        <v>0</v>
      </c>
      <c r="O640" t="n">
        <v>0</v>
      </c>
      <c r="P640" t="n">
        <v>0</v>
      </c>
      <c r="Q640" t="n">
        <v>0</v>
      </c>
      <c r="R640" s="2" t="inlineStr"/>
    </row>
    <row r="641" ht="15" customHeight="1">
      <c r="A641" t="inlineStr">
        <is>
          <t>A 54034-2022</t>
        </is>
      </c>
      <c r="B641" s="1" t="n">
        <v>44881</v>
      </c>
      <c r="C641" s="1" t="n">
        <v>45966</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25829-2025</t>
        </is>
      </c>
      <c r="B642" s="1" t="n">
        <v>45804.44505787037</v>
      </c>
      <c r="C642" s="1" t="n">
        <v>45966</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38046-2025</t>
        </is>
      </c>
      <c r="B643" s="1" t="n">
        <v>45882.39939814815</v>
      </c>
      <c r="C643" s="1" t="n">
        <v>45966</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36336-2023</t>
        </is>
      </c>
      <c r="B644" s="1" t="n">
        <v>45152.45078703704</v>
      </c>
      <c r="C644" s="1" t="n">
        <v>45966</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48829-2023</t>
        </is>
      </c>
      <c r="B645" s="1" t="n">
        <v>45209.38177083333</v>
      </c>
      <c r="C645" s="1" t="n">
        <v>45966</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60001-2022</t>
        </is>
      </c>
      <c r="B646" s="1" t="n">
        <v>44909.47087962963</v>
      </c>
      <c r="C646" s="1" t="n">
        <v>45966</v>
      </c>
      <c r="D646" t="inlineStr">
        <is>
          <t>ÖSTERGÖTLANDS LÄN</t>
        </is>
      </c>
      <c r="E646" t="inlineStr">
        <is>
          <t>LINKÖPING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60013-2022</t>
        </is>
      </c>
      <c r="B647" s="1" t="n">
        <v>44909.47482638889</v>
      </c>
      <c r="C647" s="1" t="n">
        <v>45966</v>
      </c>
      <c r="D647" t="inlineStr">
        <is>
          <t>ÖSTERGÖTLANDS LÄN</t>
        </is>
      </c>
      <c r="E647" t="inlineStr">
        <is>
          <t>LINKÖPING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46426-2025</t>
        </is>
      </c>
      <c r="B648" s="1" t="n">
        <v>45925.6012962963</v>
      </c>
      <c r="C648" s="1" t="n">
        <v>45966</v>
      </c>
      <c r="D648" t="inlineStr">
        <is>
          <t>ÖSTERGÖTLANDS LÄN</t>
        </is>
      </c>
      <c r="E648" t="inlineStr">
        <is>
          <t>LINKÖPING</t>
        </is>
      </c>
      <c r="G648" t="n">
        <v>4.4</v>
      </c>
      <c r="H648" t="n">
        <v>0</v>
      </c>
      <c r="I648" t="n">
        <v>0</v>
      </c>
      <c r="J648" t="n">
        <v>0</v>
      </c>
      <c r="K648" t="n">
        <v>0</v>
      </c>
      <c r="L648" t="n">
        <v>0</v>
      </c>
      <c r="M648" t="n">
        <v>0</v>
      </c>
      <c r="N648" t="n">
        <v>0</v>
      </c>
      <c r="O648" t="n">
        <v>0</v>
      </c>
      <c r="P648" t="n">
        <v>0</v>
      </c>
      <c r="Q648" t="n">
        <v>0</v>
      </c>
      <c r="R648" s="2" t="inlineStr"/>
    </row>
    <row r="649" ht="15" customHeight="1">
      <c r="A649" t="inlineStr">
        <is>
          <t>A 46377-2025</t>
        </is>
      </c>
      <c r="B649" s="1" t="n">
        <v>45925.51773148148</v>
      </c>
      <c r="C649" s="1" t="n">
        <v>45966</v>
      </c>
      <c r="D649" t="inlineStr">
        <is>
          <t>ÖSTERGÖTLANDS LÄN</t>
        </is>
      </c>
      <c r="E649" t="inlineStr">
        <is>
          <t>LINKÖPING</t>
        </is>
      </c>
      <c r="G649" t="n">
        <v>3.1</v>
      </c>
      <c r="H649" t="n">
        <v>0</v>
      </c>
      <c r="I649" t="n">
        <v>0</v>
      </c>
      <c r="J649" t="n">
        <v>0</v>
      </c>
      <c r="K649" t="n">
        <v>0</v>
      </c>
      <c r="L649" t="n">
        <v>0</v>
      </c>
      <c r="M649" t="n">
        <v>0</v>
      </c>
      <c r="N649" t="n">
        <v>0</v>
      </c>
      <c r="O649" t="n">
        <v>0</v>
      </c>
      <c r="P649" t="n">
        <v>0</v>
      </c>
      <c r="Q649" t="n">
        <v>0</v>
      </c>
      <c r="R649" s="2" t="inlineStr"/>
    </row>
    <row r="650" ht="15" customHeight="1">
      <c r="A650" t="inlineStr">
        <is>
          <t>A 46428-2025</t>
        </is>
      </c>
      <c r="B650" s="1" t="n">
        <v>45925.60758101852</v>
      </c>
      <c r="C650" s="1" t="n">
        <v>45966</v>
      </c>
      <c r="D650" t="inlineStr">
        <is>
          <t>ÖSTERGÖTLANDS LÄN</t>
        </is>
      </c>
      <c r="E650" t="inlineStr">
        <is>
          <t>LINKÖPING</t>
        </is>
      </c>
      <c r="G650" t="n">
        <v>3</v>
      </c>
      <c r="H650" t="n">
        <v>0</v>
      </c>
      <c r="I650" t="n">
        <v>0</v>
      </c>
      <c r="J650" t="n">
        <v>0</v>
      </c>
      <c r="K650" t="n">
        <v>0</v>
      </c>
      <c r="L650" t="n">
        <v>0</v>
      </c>
      <c r="M650" t="n">
        <v>0</v>
      </c>
      <c r="N650" t="n">
        <v>0</v>
      </c>
      <c r="O650" t="n">
        <v>0</v>
      </c>
      <c r="P650" t="n">
        <v>0</v>
      </c>
      <c r="Q650" t="n">
        <v>0</v>
      </c>
      <c r="R650" s="2" t="inlineStr"/>
    </row>
    <row r="651" ht="15" customHeight="1">
      <c r="A651" t="inlineStr">
        <is>
          <t>A 1211-2023</t>
        </is>
      </c>
      <c r="B651" s="1" t="n">
        <v>44930</v>
      </c>
      <c r="C651" s="1" t="n">
        <v>45966</v>
      </c>
      <c r="D651" t="inlineStr">
        <is>
          <t>ÖSTERGÖTLANDS LÄN</t>
        </is>
      </c>
      <c r="E651" t="inlineStr">
        <is>
          <t>LINKÖPING</t>
        </is>
      </c>
      <c r="F651" t="inlineStr">
        <is>
          <t>Övriga statliga verk och myndigheter</t>
        </is>
      </c>
      <c r="G651" t="n">
        <v>7.9</v>
      </c>
      <c r="H651" t="n">
        <v>0</v>
      </c>
      <c r="I651" t="n">
        <v>0</v>
      </c>
      <c r="J651" t="n">
        <v>0</v>
      </c>
      <c r="K651" t="n">
        <v>0</v>
      </c>
      <c r="L651" t="n">
        <v>0</v>
      </c>
      <c r="M651" t="n">
        <v>0</v>
      </c>
      <c r="N651" t="n">
        <v>0</v>
      </c>
      <c r="O651" t="n">
        <v>0</v>
      </c>
      <c r="P651" t="n">
        <v>0</v>
      </c>
      <c r="Q651" t="n">
        <v>0</v>
      </c>
      <c r="R651" s="2" t="inlineStr"/>
    </row>
    <row r="652" ht="15" customHeight="1">
      <c r="A652" t="inlineStr">
        <is>
          <t>A 46194-2025</t>
        </is>
      </c>
      <c r="B652" s="1" t="n">
        <v>45924.68075231482</v>
      </c>
      <c r="C652" s="1" t="n">
        <v>45966</v>
      </c>
      <c r="D652" t="inlineStr">
        <is>
          <t>ÖSTERGÖTLANDS LÄN</t>
        </is>
      </c>
      <c r="E652" t="inlineStr">
        <is>
          <t>LINKÖPING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38136-2023</t>
        </is>
      </c>
      <c r="B653" s="1" t="n">
        <v>45161.37310185185</v>
      </c>
      <c r="C653" s="1" t="n">
        <v>45966</v>
      </c>
      <c r="D653" t="inlineStr">
        <is>
          <t>ÖSTERGÖTLANDS LÄN</t>
        </is>
      </c>
      <c r="E653" t="inlineStr">
        <is>
          <t>LINKÖPING</t>
        </is>
      </c>
      <c r="G653" t="n">
        <v>5.6</v>
      </c>
      <c r="H653" t="n">
        <v>0</v>
      </c>
      <c r="I653" t="n">
        <v>0</v>
      </c>
      <c r="J653" t="n">
        <v>0</v>
      </c>
      <c r="K653" t="n">
        <v>0</v>
      </c>
      <c r="L653" t="n">
        <v>0</v>
      </c>
      <c r="M653" t="n">
        <v>0</v>
      </c>
      <c r="N653" t="n">
        <v>0</v>
      </c>
      <c r="O653" t="n">
        <v>0</v>
      </c>
      <c r="P653" t="n">
        <v>0</v>
      </c>
      <c r="Q653" t="n">
        <v>0</v>
      </c>
      <c r="R653" s="2" t="inlineStr"/>
    </row>
    <row r="654" ht="15" customHeight="1">
      <c r="A654" t="inlineStr">
        <is>
          <t>A 48186-2022</t>
        </is>
      </c>
      <c r="B654" s="1" t="n">
        <v>44858</v>
      </c>
      <c r="C654" s="1" t="n">
        <v>45966</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12317-2025</t>
        </is>
      </c>
      <c r="B655" s="1" t="n">
        <v>45729.8487037037</v>
      </c>
      <c r="C655" s="1" t="n">
        <v>45966</v>
      </c>
      <c r="D655" t="inlineStr">
        <is>
          <t>ÖSTERGÖTLANDS LÄN</t>
        </is>
      </c>
      <c r="E655" t="inlineStr">
        <is>
          <t>LINKÖPING</t>
        </is>
      </c>
      <c r="G655" t="n">
        <v>8</v>
      </c>
      <c r="H655" t="n">
        <v>0</v>
      </c>
      <c r="I655" t="n">
        <v>0</v>
      </c>
      <c r="J655" t="n">
        <v>0</v>
      </c>
      <c r="K655" t="n">
        <v>0</v>
      </c>
      <c r="L655" t="n">
        <v>0</v>
      </c>
      <c r="M655" t="n">
        <v>0</v>
      </c>
      <c r="N655" t="n">
        <v>0</v>
      </c>
      <c r="O655" t="n">
        <v>0</v>
      </c>
      <c r="P655" t="n">
        <v>0</v>
      </c>
      <c r="Q655" t="n">
        <v>0</v>
      </c>
      <c r="R655" s="2" t="inlineStr"/>
    </row>
    <row r="656" ht="15" customHeight="1">
      <c r="A656" t="inlineStr">
        <is>
          <t>A 36557-2023</t>
        </is>
      </c>
      <c r="B656" s="1" t="n">
        <v>45153</v>
      </c>
      <c r="C656" s="1" t="n">
        <v>45966</v>
      </c>
      <c r="D656" t="inlineStr">
        <is>
          <t>ÖSTERGÖTLANDS LÄN</t>
        </is>
      </c>
      <c r="E656" t="inlineStr">
        <is>
          <t>LINKÖPING</t>
        </is>
      </c>
      <c r="F656" t="inlineStr">
        <is>
          <t>Övriga Aktiebolag</t>
        </is>
      </c>
      <c r="G656" t="n">
        <v>3.1</v>
      </c>
      <c r="H656" t="n">
        <v>0</v>
      </c>
      <c r="I656" t="n">
        <v>0</v>
      </c>
      <c r="J656" t="n">
        <v>0</v>
      </c>
      <c r="K656" t="n">
        <v>0</v>
      </c>
      <c r="L656" t="n">
        <v>0</v>
      </c>
      <c r="M656" t="n">
        <v>0</v>
      </c>
      <c r="N656" t="n">
        <v>0</v>
      </c>
      <c r="O656" t="n">
        <v>0</v>
      </c>
      <c r="P656" t="n">
        <v>0</v>
      </c>
      <c r="Q656" t="n">
        <v>0</v>
      </c>
      <c r="R656" s="2" t="inlineStr"/>
    </row>
    <row r="657" ht="15" customHeight="1">
      <c r="A657" t="inlineStr">
        <is>
          <t>A 2085-2024</t>
        </is>
      </c>
      <c r="B657" s="1" t="n">
        <v>45309</v>
      </c>
      <c r="C657" s="1" t="n">
        <v>45966</v>
      </c>
      <c r="D657" t="inlineStr">
        <is>
          <t>ÖSTERGÖTLANDS LÄN</t>
        </is>
      </c>
      <c r="E657" t="inlineStr">
        <is>
          <t>LINKÖPING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30468-2023</t>
        </is>
      </c>
      <c r="B658" s="1" t="n">
        <v>45111.58732638889</v>
      </c>
      <c r="C658" s="1" t="n">
        <v>45966</v>
      </c>
      <c r="D658" t="inlineStr">
        <is>
          <t>ÖSTERGÖTLANDS LÄN</t>
        </is>
      </c>
      <c r="E658" t="inlineStr">
        <is>
          <t>LINKÖPING</t>
        </is>
      </c>
      <c r="G658" t="n">
        <v>10.1</v>
      </c>
      <c r="H658" t="n">
        <v>0</v>
      </c>
      <c r="I658" t="n">
        <v>0</v>
      </c>
      <c r="J658" t="n">
        <v>0</v>
      </c>
      <c r="K658" t="n">
        <v>0</v>
      </c>
      <c r="L658" t="n">
        <v>0</v>
      </c>
      <c r="M658" t="n">
        <v>0</v>
      </c>
      <c r="N658" t="n">
        <v>0</v>
      </c>
      <c r="O658" t="n">
        <v>0</v>
      </c>
      <c r="P658" t="n">
        <v>0</v>
      </c>
      <c r="Q658" t="n">
        <v>0</v>
      </c>
      <c r="R658" s="2" t="inlineStr"/>
    </row>
    <row r="659" ht="15" customHeight="1">
      <c r="A659" t="inlineStr">
        <is>
          <t>A 38715-2023</t>
        </is>
      </c>
      <c r="B659" s="1" t="n">
        <v>45160</v>
      </c>
      <c r="C659" s="1" t="n">
        <v>45966</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34864-2023</t>
        </is>
      </c>
      <c r="B660" s="1" t="n">
        <v>45141</v>
      </c>
      <c r="C660" s="1" t="n">
        <v>45966</v>
      </c>
      <c r="D660" t="inlineStr">
        <is>
          <t>ÖSTERGÖTLANDS LÄN</t>
        </is>
      </c>
      <c r="E660" t="inlineStr">
        <is>
          <t>LINKÖPING</t>
        </is>
      </c>
      <c r="G660" t="n">
        <v>3.3</v>
      </c>
      <c r="H660" t="n">
        <v>0</v>
      </c>
      <c r="I660" t="n">
        <v>0</v>
      </c>
      <c r="J660" t="n">
        <v>0</v>
      </c>
      <c r="K660" t="n">
        <v>0</v>
      </c>
      <c r="L660" t="n">
        <v>0</v>
      </c>
      <c r="M660" t="n">
        <v>0</v>
      </c>
      <c r="N660" t="n">
        <v>0</v>
      </c>
      <c r="O660" t="n">
        <v>0</v>
      </c>
      <c r="P660" t="n">
        <v>0</v>
      </c>
      <c r="Q660" t="n">
        <v>0</v>
      </c>
      <c r="R660" s="2" t="inlineStr"/>
    </row>
    <row r="661" ht="15" customHeight="1">
      <c r="A661" t="inlineStr">
        <is>
          <t>A 46687-2021</t>
        </is>
      </c>
      <c r="B661" s="1" t="n">
        <v>44445</v>
      </c>
      <c r="C661" s="1" t="n">
        <v>45966</v>
      </c>
      <c r="D661" t="inlineStr">
        <is>
          <t>ÖSTERGÖTLANDS LÄN</t>
        </is>
      </c>
      <c r="E661" t="inlineStr">
        <is>
          <t>LINKÖPING</t>
        </is>
      </c>
      <c r="F661" t="inlineStr">
        <is>
          <t>Övriga statliga verk och myndigheter</t>
        </is>
      </c>
      <c r="G661" t="n">
        <v>2.3</v>
      </c>
      <c r="H661" t="n">
        <v>0</v>
      </c>
      <c r="I661" t="n">
        <v>0</v>
      </c>
      <c r="J661" t="n">
        <v>0</v>
      </c>
      <c r="K661" t="n">
        <v>0</v>
      </c>
      <c r="L661" t="n">
        <v>0</v>
      </c>
      <c r="M661" t="n">
        <v>0</v>
      </c>
      <c r="N661" t="n">
        <v>0</v>
      </c>
      <c r="O661" t="n">
        <v>0</v>
      </c>
      <c r="P661" t="n">
        <v>0</v>
      </c>
      <c r="Q661" t="n">
        <v>0</v>
      </c>
      <c r="R661" s="2" t="inlineStr"/>
    </row>
    <row r="662" ht="15" customHeight="1">
      <c r="A662" t="inlineStr">
        <is>
          <t>A 17103-2025</t>
        </is>
      </c>
      <c r="B662" s="1" t="n">
        <v>45755.66143518518</v>
      </c>
      <c r="C662" s="1" t="n">
        <v>45966</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40618-2021</t>
        </is>
      </c>
      <c r="B663" s="1" t="n">
        <v>44420.49575231481</v>
      </c>
      <c r="C663" s="1" t="n">
        <v>45966</v>
      </c>
      <c r="D663" t="inlineStr">
        <is>
          <t>ÖSTERGÖTLANDS LÄN</t>
        </is>
      </c>
      <c r="E663" t="inlineStr">
        <is>
          <t>LINKÖPING</t>
        </is>
      </c>
      <c r="G663" t="n">
        <v>2.3</v>
      </c>
      <c r="H663" t="n">
        <v>0</v>
      </c>
      <c r="I663" t="n">
        <v>0</v>
      </c>
      <c r="J663" t="n">
        <v>0</v>
      </c>
      <c r="K663" t="n">
        <v>0</v>
      </c>
      <c r="L663" t="n">
        <v>0</v>
      </c>
      <c r="M663" t="n">
        <v>0</v>
      </c>
      <c r="N663" t="n">
        <v>0</v>
      </c>
      <c r="O663" t="n">
        <v>0</v>
      </c>
      <c r="P663" t="n">
        <v>0</v>
      </c>
      <c r="Q663" t="n">
        <v>0</v>
      </c>
      <c r="R663" s="2" t="inlineStr"/>
    </row>
    <row r="664" ht="15" customHeight="1">
      <c r="A664" t="inlineStr">
        <is>
          <t>A 56180-2024</t>
        </is>
      </c>
      <c r="B664" s="1" t="n">
        <v>45624.56611111111</v>
      </c>
      <c r="C664" s="1" t="n">
        <v>45966</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30471-2023</t>
        </is>
      </c>
      <c r="B665" s="1" t="n">
        <v>45111.58931712963</v>
      </c>
      <c r="C665" s="1" t="n">
        <v>45966</v>
      </c>
      <c r="D665" t="inlineStr">
        <is>
          <t>ÖSTERGÖTLANDS LÄN</t>
        </is>
      </c>
      <c r="E665" t="inlineStr">
        <is>
          <t>LINKÖPING</t>
        </is>
      </c>
      <c r="G665" t="n">
        <v>2.9</v>
      </c>
      <c r="H665" t="n">
        <v>0</v>
      </c>
      <c r="I665" t="n">
        <v>0</v>
      </c>
      <c r="J665" t="n">
        <v>0</v>
      </c>
      <c r="K665" t="n">
        <v>0</v>
      </c>
      <c r="L665" t="n">
        <v>0</v>
      </c>
      <c r="M665" t="n">
        <v>0</v>
      </c>
      <c r="N665" t="n">
        <v>0</v>
      </c>
      <c r="O665" t="n">
        <v>0</v>
      </c>
      <c r="P665" t="n">
        <v>0</v>
      </c>
      <c r="Q665" t="n">
        <v>0</v>
      </c>
      <c r="R665" s="2" t="inlineStr"/>
    </row>
    <row r="666" ht="15" customHeight="1">
      <c r="A666" t="inlineStr">
        <is>
          <t>A 227-2024</t>
        </is>
      </c>
      <c r="B666" s="1" t="n">
        <v>45294.73603009259</v>
      </c>
      <c r="C666" s="1" t="n">
        <v>45966</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44155-2024</t>
        </is>
      </c>
      <c r="B667" s="1" t="n">
        <v>45572.68226851852</v>
      </c>
      <c r="C667" s="1" t="n">
        <v>45966</v>
      </c>
      <c r="D667" t="inlineStr">
        <is>
          <t>ÖSTERGÖTLANDS LÄN</t>
        </is>
      </c>
      <c r="E667" t="inlineStr">
        <is>
          <t>LINKÖPING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30434-2024</t>
        </is>
      </c>
      <c r="B668" s="1" t="n">
        <v>45491.69811342593</v>
      </c>
      <c r="C668" s="1" t="n">
        <v>45966</v>
      </c>
      <c r="D668" t="inlineStr">
        <is>
          <t>ÖSTERGÖTLANDS LÄN</t>
        </is>
      </c>
      <c r="E668" t="inlineStr">
        <is>
          <t>LINKÖPING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56917-2022</t>
        </is>
      </c>
      <c r="B669" s="1" t="n">
        <v>44894</v>
      </c>
      <c r="C669" s="1" t="n">
        <v>45966</v>
      </c>
      <c r="D669" t="inlineStr">
        <is>
          <t>ÖSTERGÖTLANDS LÄN</t>
        </is>
      </c>
      <c r="E669" t="inlineStr">
        <is>
          <t>LINKÖPING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57766-2023</t>
        </is>
      </c>
      <c r="B670" s="1" t="n">
        <v>45246</v>
      </c>
      <c r="C670" s="1" t="n">
        <v>45966</v>
      </c>
      <c r="D670" t="inlineStr">
        <is>
          <t>ÖSTERGÖTLANDS LÄN</t>
        </is>
      </c>
      <c r="E670" t="inlineStr">
        <is>
          <t>LINKÖPING</t>
        </is>
      </c>
      <c r="F670" t="inlineStr">
        <is>
          <t>Allmännings- och besparingsskogar</t>
        </is>
      </c>
      <c r="G670" t="n">
        <v>12.8</v>
      </c>
      <c r="H670" t="n">
        <v>0</v>
      </c>
      <c r="I670" t="n">
        <v>0</v>
      </c>
      <c r="J670" t="n">
        <v>0</v>
      </c>
      <c r="K670" t="n">
        <v>0</v>
      </c>
      <c r="L670" t="n">
        <v>0</v>
      </c>
      <c r="M670" t="n">
        <v>0</v>
      </c>
      <c r="N670" t="n">
        <v>0</v>
      </c>
      <c r="O670" t="n">
        <v>0</v>
      </c>
      <c r="P670" t="n">
        <v>0</v>
      </c>
      <c r="Q670" t="n">
        <v>0</v>
      </c>
      <c r="R670" s="2" t="inlineStr"/>
    </row>
    <row r="671" ht="15" customHeight="1">
      <c r="A671" t="inlineStr">
        <is>
          <t>A 25568-2024</t>
        </is>
      </c>
      <c r="B671" s="1" t="n">
        <v>45463.58699074074</v>
      </c>
      <c r="C671" s="1" t="n">
        <v>45966</v>
      </c>
      <c r="D671" t="inlineStr">
        <is>
          <t>ÖSTERGÖTLANDS LÄN</t>
        </is>
      </c>
      <c r="E671" t="inlineStr">
        <is>
          <t>LINKÖPING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22833-2023</t>
        </is>
      </c>
      <c r="B672" s="1" t="n">
        <v>45071</v>
      </c>
      <c r="C672" s="1" t="n">
        <v>45966</v>
      </c>
      <c r="D672" t="inlineStr">
        <is>
          <t>ÖSTERGÖTLANDS LÄN</t>
        </is>
      </c>
      <c r="E672" t="inlineStr">
        <is>
          <t>LINKÖPING</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2997-2025</t>
        </is>
      </c>
      <c r="B673" s="1" t="n">
        <v>45678.54631944445</v>
      </c>
      <c r="C673" s="1" t="n">
        <v>45966</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41345-2021</t>
        </is>
      </c>
      <c r="B674" s="1" t="n">
        <v>44424.61851851852</v>
      </c>
      <c r="C674" s="1" t="n">
        <v>45966</v>
      </c>
      <c r="D674" t="inlineStr">
        <is>
          <t>ÖSTERGÖTLANDS LÄN</t>
        </is>
      </c>
      <c r="E674" t="inlineStr">
        <is>
          <t>LINKÖPING</t>
        </is>
      </c>
      <c r="F674" t="inlineStr">
        <is>
          <t>Sveaskog</t>
        </is>
      </c>
      <c r="G674" t="n">
        <v>6.3</v>
      </c>
      <c r="H674" t="n">
        <v>0</v>
      </c>
      <c r="I674" t="n">
        <v>0</v>
      </c>
      <c r="J674" t="n">
        <v>0</v>
      </c>
      <c r="K674" t="n">
        <v>0</v>
      </c>
      <c r="L674" t="n">
        <v>0</v>
      </c>
      <c r="M674" t="n">
        <v>0</v>
      </c>
      <c r="N674" t="n">
        <v>0</v>
      </c>
      <c r="O674" t="n">
        <v>0</v>
      </c>
      <c r="P674" t="n">
        <v>0</v>
      </c>
      <c r="Q674" t="n">
        <v>0</v>
      </c>
      <c r="R674" s="2" t="inlineStr"/>
    </row>
    <row r="675" ht="15" customHeight="1">
      <c r="A675" t="inlineStr">
        <is>
          <t>A 13266-2025</t>
        </is>
      </c>
      <c r="B675" s="1" t="n">
        <v>45735.53318287037</v>
      </c>
      <c r="C675" s="1" t="n">
        <v>45966</v>
      </c>
      <c r="D675" t="inlineStr">
        <is>
          <t>ÖSTERGÖTLANDS LÄN</t>
        </is>
      </c>
      <c r="E675" t="inlineStr">
        <is>
          <t>LINKÖPING</t>
        </is>
      </c>
      <c r="G675" t="n">
        <v>3.1</v>
      </c>
      <c r="H675" t="n">
        <v>0</v>
      </c>
      <c r="I675" t="n">
        <v>0</v>
      </c>
      <c r="J675" t="n">
        <v>0</v>
      </c>
      <c r="K675" t="n">
        <v>0</v>
      </c>
      <c r="L675" t="n">
        <v>0</v>
      </c>
      <c r="M675" t="n">
        <v>0</v>
      </c>
      <c r="N675" t="n">
        <v>0</v>
      </c>
      <c r="O675" t="n">
        <v>0</v>
      </c>
      <c r="P675" t="n">
        <v>0</v>
      </c>
      <c r="Q675" t="n">
        <v>0</v>
      </c>
      <c r="R675" s="2" t="inlineStr"/>
    </row>
    <row r="676" ht="15" customHeight="1">
      <c r="A676" t="inlineStr">
        <is>
          <t>A 16213-2025</t>
        </is>
      </c>
      <c r="B676" s="1" t="n">
        <v>45750.62740740741</v>
      </c>
      <c r="C676" s="1" t="n">
        <v>45966</v>
      </c>
      <c r="D676" t="inlineStr">
        <is>
          <t>ÖSTERGÖTLANDS LÄN</t>
        </is>
      </c>
      <c r="E676" t="inlineStr">
        <is>
          <t>LINKÖPING</t>
        </is>
      </c>
      <c r="G676" t="n">
        <v>3.4</v>
      </c>
      <c r="H676" t="n">
        <v>0</v>
      </c>
      <c r="I676" t="n">
        <v>0</v>
      </c>
      <c r="J676" t="n">
        <v>0</v>
      </c>
      <c r="K676" t="n">
        <v>0</v>
      </c>
      <c r="L676" t="n">
        <v>0</v>
      </c>
      <c r="M676" t="n">
        <v>0</v>
      </c>
      <c r="N676" t="n">
        <v>0</v>
      </c>
      <c r="O676" t="n">
        <v>0</v>
      </c>
      <c r="P676" t="n">
        <v>0</v>
      </c>
      <c r="Q676" t="n">
        <v>0</v>
      </c>
      <c r="R676" s="2" t="inlineStr"/>
    </row>
    <row r="677" ht="15" customHeight="1">
      <c r="A677" t="inlineStr">
        <is>
          <t>A 46225-2021</t>
        </is>
      </c>
      <c r="B677" s="1" t="n">
        <v>44442</v>
      </c>
      <c r="C677" s="1" t="n">
        <v>45966</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25776-2021</t>
        </is>
      </c>
      <c r="B678" s="1" t="n">
        <v>44343</v>
      </c>
      <c r="C678" s="1" t="n">
        <v>45966</v>
      </c>
      <c r="D678" t="inlineStr">
        <is>
          <t>ÖSTERGÖTLANDS LÄN</t>
        </is>
      </c>
      <c r="E678" t="inlineStr">
        <is>
          <t>LINKÖPING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51484-2023</t>
        </is>
      </c>
      <c r="B679" s="1" t="n">
        <v>45222</v>
      </c>
      <c r="C679" s="1" t="n">
        <v>45966</v>
      </c>
      <c r="D679" t="inlineStr">
        <is>
          <t>ÖSTERGÖTLANDS LÄN</t>
        </is>
      </c>
      <c r="E679" t="inlineStr">
        <is>
          <t>LINKÖPING</t>
        </is>
      </c>
      <c r="F679" t="inlineStr">
        <is>
          <t>Övriga Aktiebolag</t>
        </is>
      </c>
      <c r="G679" t="n">
        <v>7.7</v>
      </c>
      <c r="H679" t="n">
        <v>0</v>
      </c>
      <c r="I679" t="n">
        <v>0</v>
      </c>
      <c r="J679" t="n">
        <v>0</v>
      </c>
      <c r="K679" t="n">
        <v>0</v>
      </c>
      <c r="L679" t="n">
        <v>0</v>
      </c>
      <c r="M679" t="n">
        <v>0</v>
      </c>
      <c r="N679" t="n">
        <v>0</v>
      </c>
      <c r="O679" t="n">
        <v>0</v>
      </c>
      <c r="P679" t="n">
        <v>0</v>
      </c>
      <c r="Q679" t="n">
        <v>0</v>
      </c>
      <c r="R679" s="2" t="inlineStr"/>
    </row>
    <row r="680" ht="15" customHeight="1">
      <c r="A680" t="inlineStr">
        <is>
          <t>A 17898-2022</t>
        </is>
      </c>
      <c r="B680" s="1" t="n">
        <v>44683</v>
      </c>
      <c r="C680" s="1" t="n">
        <v>45966</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63487-2023</t>
        </is>
      </c>
      <c r="B681" s="1" t="n">
        <v>45274.66712962963</v>
      </c>
      <c r="C681" s="1" t="n">
        <v>45966</v>
      </c>
      <c r="D681" t="inlineStr">
        <is>
          <t>ÖSTERGÖTLANDS LÄN</t>
        </is>
      </c>
      <c r="E681" t="inlineStr">
        <is>
          <t>LINKÖPING</t>
        </is>
      </c>
      <c r="G681" t="n">
        <v>1.4</v>
      </c>
      <c r="H681" t="n">
        <v>0</v>
      </c>
      <c r="I681" t="n">
        <v>0</v>
      </c>
      <c r="J681" t="n">
        <v>0</v>
      </c>
      <c r="K681" t="n">
        <v>0</v>
      </c>
      <c r="L681" t="n">
        <v>0</v>
      </c>
      <c r="M681" t="n">
        <v>0</v>
      </c>
      <c r="N681" t="n">
        <v>0</v>
      </c>
      <c r="O681" t="n">
        <v>0</v>
      </c>
      <c r="P681" t="n">
        <v>0</v>
      </c>
      <c r="Q681" t="n">
        <v>0</v>
      </c>
      <c r="R681" s="2" t="inlineStr"/>
    </row>
    <row r="682" ht="15" customHeight="1">
      <c r="A682" t="inlineStr">
        <is>
          <t>A 35463-2023</t>
        </is>
      </c>
      <c r="B682" s="1" t="n">
        <v>45146</v>
      </c>
      <c r="C682" s="1" t="n">
        <v>45966</v>
      </c>
      <c r="D682" t="inlineStr">
        <is>
          <t>ÖSTERGÖTLANDS LÄN</t>
        </is>
      </c>
      <c r="E682" t="inlineStr">
        <is>
          <t>LINKÖPING</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55632-2022</t>
        </is>
      </c>
      <c r="B683" s="1" t="n">
        <v>44888</v>
      </c>
      <c r="C683" s="1" t="n">
        <v>45966</v>
      </c>
      <c r="D683" t="inlineStr">
        <is>
          <t>ÖSTERGÖTLANDS LÄN</t>
        </is>
      </c>
      <c r="E683" t="inlineStr">
        <is>
          <t>LINKÖPING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63559-2023</t>
        </is>
      </c>
      <c r="B684" s="1" t="n">
        <v>45275.35924768518</v>
      </c>
      <c r="C684" s="1" t="n">
        <v>45966</v>
      </c>
      <c r="D684" t="inlineStr">
        <is>
          <t>ÖSTERGÖTLANDS LÄN</t>
        </is>
      </c>
      <c r="E684" t="inlineStr">
        <is>
          <t>LINKÖPING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58114-2021</t>
        </is>
      </c>
      <c r="B685" s="1" t="n">
        <v>44487</v>
      </c>
      <c r="C685" s="1" t="n">
        <v>45966</v>
      </c>
      <c r="D685" t="inlineStr">
        <is>
          <t>ÖSTERGÖTLANDS LÄN</t>
        </is>
      </c>
      <c r="E685" t="inlineStr">
        <is>
          <t>LINKÖPING</t>
        </is>
      </c>
      <c r="F685" t="inlineStr">
        <is>
          <t>Övriga Aktiebolag</t>
        </is>
      </c>
      <c r="G685" t="n">
        <v>0.8</v>
      </c>
      <c r="H685" t="n">
        <v>0</v>
      </c>
      <c r="I685" t="n">
        <v>0</v>
      </c>
      <c r="J685" t="n">
        <v>0</v>
      </c>
      <c r="K685" t="n">
        <v>0</v>
      </c>
      <c r="L685" t="n">
        <v>0</v>
      </c>
      <c r="M685" t="n">
        <v>0</v>
      </c>
      <c r="N685" t="n">
        <v>0</v>
      </c>
      <c r="O685" t="n">
        <v>0</v>
      </c>
      <c r="P685" t="n">
        <v>0</v>
      </c>
      <c r="Q685" t="n">
        <v>0</v>
      </c>
      <c r="R685" s="2" t="inlineStr"/>
    </row>
    <row r="686" ht="15" customHeight="1">
      <c r="A686" t="inlineStr">
        <is>
          <t>A 55944-2024</t>
        </is>
      </c>
      <c r="B686" s="1" t="n">
        <v>45623.61640046296</v>
      </c>
      <c r="C686" s="1" t="n">
        <v>45966</v>
      </c>
      <c r="D686" t="inlineStr">
        <is>
          <t>ÖSTERGÖTLANDS LÄN</t>
        </is>
      </c>
      <c r="E686" t="inlineStr">
        <is>
          <t>LINKÖPING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55947-2024</t>
        </is>
      </c>
      <c r="B687" s="1" t="n">
        <v>45623</v>
      </c>
      <c r="C687" s="1" t="n">
        <v>45966</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3374-2023</t>
        </is>
      </c>
      <c r="B688" s="1" t="n">
        <v>44949</v>
      </c>
      <c r="C688" s="1" t="n">
        <v>45966</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24151-2024</t>
        </is>
      </c>
      <c r="B689" s="1" t="n">
        <v>45456.67717592593</v>
      </c>
      <c r="C689" s="1" t="n">
        <v>45966</v>
      </c>
      <c r="D689" t="inlineStr">
        <is>
          <t>ÖSTERGÖTLANDS LÄN</t>
        </is>
      </c>
      <c r="E689" t="inlineStr">
        <is>
          <t>LINKÖPING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67123-2020</t>
        </is>
      </c>
      <c r="B690" s="1" t="n">
        <v>44180</v>
      </c>
      <c r="C690" s="1" t="n">
        <v>45966</v>
      </c>
      <c r="D690" t="inlineStr">
        <is>
          <t>ÖSTERGÖTLANDS LÄN</t>
        </is>
      </c>
      <c r="E690" t="inlineStr">
        <is>
          <t>LINKÖPING</t>
        </is>
      </c>
      <c r="F690" t="inlineStr">
        <is>
          <t>Övriga statliga verk och myndigheter</t>
        </is>
      </c>
      <c r="G690" t="n">
        <v>1.3</v>
      </c>
      <c r="H690" t="n">
        <v>0</v>
      </c>
      <c r="I690" t="n">
        <v>0</v>
      </c>
      <c r="J690" t="n">
        <v>0</v>
      </c>
      <c r="K690" t="n">
        <v>0</v>
      </c>
      <c r="L690" t="n">
        <v>0</v>
      </c>
      <c r="M690" t="n">
        <v>0</v>
      </c>
      <c r="N690" t="n">
        <v>0</v>
      </c>
      <c r="O690" t="n">
        <v>0</v>
      </c>
      <c r="P690" t="n">
        <v>0</v>
      </c>
      <c r="Q690" t="n">
        <v>0</v>
      </c>
      <c r="R690" s="2" t="inlineStr"/>
    </row>
    <row r="691" ht="15" customHeight="1">
      <c r="A691" t="inlineStr">
        <is>
          <t>A 14576-2023</t>
        </is>
      </c>
      <c r="B691" s="1" t="n">
        <v>45013</v>
      </c>
      <c r="C691" s="1" t="n">
        <v>45966</v>
      </c>
      <c r="D691" t="inlineStr">
        <is>
          <t>ÖSTERGÖTLANDS LÄN</t>
        </is>
      </c>
      <c r="E691" t="inlineStr">
        <is>
          <t>LINKÖPING</t>
        </is>
      </c>
      <c r="G691" t="n">
        <v>3.2</v>
      </c>
      <c r="H691" t="n">
        <v>0</v>
      </c>
      <c r="I691" t="n">
        <v>0</v>
      </c>
      <c r="J691" t="n">
        <v>0</v>
      </c>
      <c r="K691" t="n">
        <v>0</v>
      </c>
      <c r="L691" t="n">
        <v>0</v>
      </c>
      <c r="M691" t="n">
        <v>0</v>
      </c>
      <c r="N691" t="n">
        <v>0</v>
      </c>
      <c r="O691" t="n">
        <v>0</v>
      </c>
      <c r="P691" t="n">
        <v>0</v>
      </c>
      <c r="Q691" t="n">
        <v>0</v>
      </c>
      <c r="R691" s="2" t="inlineStr"/>
    </row>
    <row r="692" ht="15" customHeight="1">
      <c r="A692" t="inlineStr">
        <is>
          <t>A 74160-2021</t>
        </is>
      </c>
      <c r="B692" s="1" t="n">
        <v>44558</v>
      </c>
      <c r="C692" s="1" t="n">
        <v>45966</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27766-2022</t>
        </is>
      </c>
      <c r="B693" s="1" t="n">
        <v>44743.53112268518</v>
      </c>
      <c r="C693" s="1" t="n">
        <v>45966</v>
      </c>
      <c r="D693" t="inlineStr">
        <is>
          <t>ÖSTERGÖTLANDS LÄN</t>
        </is>
      </c>
      <c r="E693" t="inlineStr">
        <is>
          <t>LINKÖPING</t>
        </is>
      </c>
      <c r="G693" t="n">
        <v>2</v>
      </c>
      <c r="H693" t="n">
        <v>0</v>
      </c>
      <c r="I693" t="n">
        <v>0</v>
      </c>
      <c r="J693" t="n">
        <v>0</v>
      </c>
      <c r="K693" t="n">
        <v>0</v>
      </c>
      <c r="L693" t="n">
        <v>0</v>
      </c>
      <c r="M693" t="n">
        <v>0</v>
      </c>
      <c r="N693" t="n">
        <v>0</v>
      </c>
      <c r="O693" t="n">
        <v>0</v>
      </c>
      <c r="P693" t="n">
        <v>0</v>
      </c>
      <c r="Q693" t="n">
        <v>0</v>
      </c>
      <c r="R693" s="2" t="inlineStr"/>
    </row>
    <row r="694" ht="15" customHeight="1">
      <c r="A694" t="inlineStr">
        <is>
          <t>A 53641-2023</t>
        </is>
      </c>
      <c r="B694" s="1" t="n">
        <v>45230</v>
      </c>
      <c r="C694" s="1" t="n">
        <v>45966</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33000-2023</t>
        </is>
      </c>
      <c r="B695" s="1" t="n">
        <v>45125</v>
      </c>
      <c r="C695" s="1" t="n">
        <v>45966</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52892-2024</t>
        </is>
      </c>
      <c r="B696" s="1" t="n">
        <v>45610</v>
      </c>
      <c r="C696" s="1" t="n">
        <v>45966</v>
      </c>
      <c r="D696" t="inlineStr">
        <is>
          <t>ÖSTERGÖTLANDS LÄN</t>
        </is>
      </c>
      <c r="E696" t="inlineStr">
        <is>
          <t>LINKÖPING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30521-2024</t>
        </is>
      </c>
      <c r="B697" s="1" t="n">
        <v>45492</v>
      </c>
      <c r="C697" s="1" t="n">
        <v>45966</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51191-2022</t>
        </is>
      </c>
      <c r="B698" s="1" t="n">
        <v>44865</v>
      </c>
      <c r="C698" s="1" t="n">
        <v>45966</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12289-2025</t>
        </is>
      </c>
      <c r="B699" s="1" t="n">
        <v>45729</v>
      </c>
      <c r="C699" s="1" t="n">
        <v>45966</v>
      </c>
      <c r="D699" t="inlineStr">
        <is>
          <t>ÖSTERGÖTLANDS LÄN</t>
        </is>
      </c>
      <c r="E699" t="inlineStr">
        <is>
          <t>LINKÖPING</t>
        </is>
      </c>
      <c r="F699" t="inlineStr">
        <is>
          <t>Övriga statliga verk och myndigheter</t>
        </is>
      </c>
      <c r="G699" t="n">
        <v>6.5</v>
      </c>
      <c r="H699" t="n">
        <v>0</v>
      </c>
      <c r="I699" t="n">
        <v>0</v>
      </c>
      <c r="J699" t="n">
        <v>0</v>
      </c>
      <c r="K699" t="n">
        <v>0</v>
      </c>
      <c r="L699" t="n">
        <v>0</v>
      </c>
      <c r="M699" t="n">
        <v>0</v>
      </c>
      <c r="N699" t="n">
        <v>0</v>
      </c>
      <c r="O699" t="n">
        <v>0</v>
      </c>
      <c r="P699" t="n">
        <v>0</v>
      </c>
      <c r="Q699" t="n">
        <v>0</v>
      </c>
      <c r="R699" s="2" t="inlineStr"/>
    </row>
    <row r="700" ht="15" customHeight="1">
      <c r="A700" t="inlineStr">
        <is>
          <t>A 9434-2024</t>
        </is>
      </c>
      <c r="B700" s="1" t="n">
        <v>45359</v>
      </c>
      <c r="C700" s="1" t="n">
        <v>45966</v>
      </c>
      <c r="D700" t="inlineStr">
        <is>
          <t>ÖSTERGÖTLANDS LÄN</t>
        </is>
      </c>
      <c r="E700" t="inlineStr">
        <is>
          <t>LINKÖPING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42054-2022</t>
        </is>
      </c>
      <c r="B701" s="1" t="n">
        <v>44830</v>
      </c>
      <c r="C701" s="1" t="n">
        <v>45966</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50182-2023</t>
        </is>
      </c>
      <c r="B702" s="1" t="n">
        <v>45208</v>
      </c>
      <c r="C702" s="1" t="n">
        <v>45966</v>
      </c>
      <c r="D702" t="inlineStr">
        <is>
          <t>ÖSTERGÖTLANDS LÄN</t>
        </is>
      </c>
      <c r="E702" t="inlineStr">
        <is>
          <t>LINKÖPING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35781-2023</t>
        </is>
      </c>
      <c r="B703" s="1" t="n">
        <v>45147</v>
      </c>
      <c r="C703" s="1" t="n">
        <v>45966</v>
      </c>
      <c r="D703" t="inlineStr">
        <is>
          <t>ÖSTERGÖTLANDS LÄN</t>
        </is>
      </c>
      <c r="E703" t="inlineStr">
        <is>
          <t>LINKÖPING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6387-2022</t>
        </is>
      </c>
      <c r="B704" s="1" t="n">
        <v>44600</v>
      </c>
      <c r="C704" s="1" t="n">
        <v>45966</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48707-2023</t>
        </is>
      </c>
      <c r="B705" s="1" t="n">
        <v>45202</v>
      </c>
      <c r="C705" s="1" t="n">
        <v>45966</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12089-2025</t>
        </is>
      </c>
      <c r="B706" s="1" t="n">
        <v>45729</v>
      </c>
      <c r="C706" s="1" t="n">
        <v>45966</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15658-2023</t>
        </is>
      </c>
      <c r="B707" s="1" t="n">
        <v>45021.41194444444</v>
      </c>
      <c r="C707" s="1" t="n">
        <v>45966</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38886-2024</t>
        </is>
      </c>
      <c r="B708" s="1" t="n">
        <v>45547.66443287037</v>
      </c>
      <c r="C708" s="1" t="n">
        <v>45966</v>
      </c>
      <c r="D708" t="inlineStr">
        <is>
          <t>ÖSTERGÖTLANDS LÄN</t>
        </is>
      </c>
      <c r="E708" t="inlineStr">
        <is>
          <t>LINKÖPING</t>
        </is>
      </c>
      <c r="G708" t="n">
        <v>5.3</v>
      </c>
      <c r="H708" t="n">
        <v>0</v>
      </c>
      <c r="I708" t="n">
        <v>0</v>
      </c>
      <c r="J708" t="n">
        <v>0</v>
      </c>
      <c r="K708" t="n">
        <v>0</v>
      </c>
      <c r="L708" t="n">
        <v>0</v>
      </c>
      <c r="M708" t="n">
        <v>0</v>
      </c>
      <c r="N708" t="n">
        <v>0</v>
      </c>
      <c r="O708" t="n">
        <v>0</v>
      </c>
      <c r="P708" t="n">
        <v>0</v>
      </c>
      <c r="Q708" t="n">
        <v>0</v>
      </c>
      <c r="R708" s="2" t="inlineStr"/>
    </row>
    <row r="709" ht="15" customHeight="1">
      <c r="A709" t="inlineStr">
        <is>
          <t>A 51583-2024</t>
        </is>
      </c>
      <c r="B709" s="1" t="n">
        <v>45604.6397337963</v>
      </c>
      <c r="C709" s="1" t="n">
        <v>45966</v>
      </c>
      <c r="D709" t="inlineStr">
        <is>
          <t>ÖSTERGÖTLANDS LÄN</t>
        </is>
      </c>
      <c r="E709" t="inlineStr">
        <is>
          <t>LINKÖPING</t>
        </is>
      </c>
      <c r="F709" t="inlineStr">
        <is>
          <t>Övriga Aktiebolag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58714-2020</t>
        </is>
      </c>
      <c r="B710" s="1" t="n">
        <v>44146</v>
      </c>
      <c r="C710" s="1" t="n">
        <v>45966</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64694-2023</t>
        </is>
      </c>
      <c r="B711" s="1" t="n">
        <v>45281</v>
      </c>
      <c r="C711" s="1" t="n">
        <v>45966</v>
      </c>
      <c r="D711" t="inlineStr">
        <is>
          <t>ÖSTERGÖTLANDS LÄN</t>
        </is>
      </c>
      <c r="E711" t="inlineStr">
        <is>
          <t>LINKÖPING</t>
        </is>
      </c>
      <c r="F711" t="inlineStr">
        <is>
          <t>Övriga statliga verk och myndigheter</t>
        </is>
      </c>
      <c r="G711" t="n">
        <v>4.9</v>
      </c>
      <c r="H711" t="n">
        <v>0</v>
      </c>
      <c r="I711" t="n">
        <v>0</v>
      </c>
      <c r="J711" t="n">
        <v>0</v>
      </c>
      <c r="K711" t="n">
        <v>0</v>
      </c>
      <c r="L711" t="n">
        <v>0</v>
      </c>
      <c r="M711" t="n">
        <v>0</v>
      </c>
      <c r="N711" t="n">
        <v>0</v>
      </c>
      <c r="O711" t="n">
        <v>0</v>
      </c>
      <c r="P711" t="n">
        <v>0</v>
      </c>
      <c r="Q711" t="n">
        <v>0</v>
      </c>
      <c r="R711" s="2" t="inlineStr"/>
    </row>
    <row r="712">
      <c r="A712" t="inlineStr">
        <is>
          <t>A 32602-2022</t>
        </is>
      </c>
      <c r="B712" s="1" t="n">
        <v>44783.43192129629</v>
      </c>
      <c r="C712" s="1" t="n">
        <v>45966</v>
      </c>
      <c r="D712" t="inlineStr">
        <is>
          <t>ÖSTERGÖTLANDS LÄN</t>
        </is>
      </c>
      <c r="E712" t="inlineStr">
        <is>
          <t>LINKÖPING</t>
        </is>
      </c>
      <c r="G712" t="n">
        <v>0.6</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2025-11-05T10:08:52Z</dcterms:created>
  <dcterms:modified xmlns:dcterms="http://purl.org/dc/terms/" xmlns:xsi="http://www.w3.org/2001/XMLSchema-instance" xsi:type="dcterms:W3CDTF">2025-11-05T10:08:52Z</dcterms:modified>
</cp:coreProperties>
</file>