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46029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46029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46029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46029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46029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46029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46029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46029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46029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46029</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46029</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46029</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46029</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55683-2025</t>
        </is>
      </c>
      <c r="B15" s="1" t="n">
        <v>45972.4255324074</v>
      </c>
      <c r="C15" s="1" t="n">
        <v>46029</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46029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46029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46029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55341-2024</t>
        </is>
      </c>
      <c r="B19" s="1" t="n">
        <v>45621.71255787037</v>
      </c>
      <c r="C19" s="1" t="n">
        <v>46029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46029</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46029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46029</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46029</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46029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46029</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46029</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46029</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46029</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46029</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50048-2025</t>
        </is>
      </c>
      <c r="B30" s="1" t="n">
        <v>45941</v>
      </c>
      <c r="C30" s="1" t="n">
        <v>46029</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38913-2023</t>
        </is>
      </c>
      <c r="B31" s="1" t="n">
        <v>45163</v>
      </c>
      <c r="C31" s="1" t="n">
        <v>46029</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46029</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46029</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46029</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46029</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46029</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46029</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46029</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46029</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46029</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46029</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46029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46029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46029</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46029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46029</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46029</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46029</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46029</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46029</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46029</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27403-2025</t>
        </is>
      </c>
      <c r="B52" s="1" t="n">
        <v>45812.72518518518</v>
      </c>
      <c r="C52" s="1" t="n">
        <v>46029</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1213-2023</t>
        </is>
      </c>
      <c r="B53" s="1" t="n">
        <v>44930</v>
      </c>
      <c r="C53" s="1" t="n">
        <v>46029</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50471-2024</t>
        </is>
      </c>
      <c r="B54" s="1" t="n">
        <v>45601.47166666666</v>
      </c>
      <c r="C54" s="1" t="n">
        <v>46029</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50806-2023</t>
        </is>
      </c>
      <c r="B55" s="1" t="n">
        <v>45217</v>
      </c>
      <c r="C55" s="1" t="n">
        <v>46029</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36723-2023</t>
        </is>
      </c>
      <c r="B56" s="1" t="n">
        <v>45153</v>
      </c>
      <c r="C56" s="1" t="n">
        <v>46029</v>
      </c>
      <c r="D56" t="inlineStr">
        <is>
          <t>ÖSTERGÖTLANDS LÄN</t>
        </is>
      </c>
      <c r="E56" t="inlineStr">
        <is>
          <t>LINKÖPING</t>
        </is>
      </c>
      <c r="F56" t="inlineStr">
        <is>
          <t>Allmännings- och besparingsskogar</t>
        </is>
      </c>
      <c r="G56" t="n">
        <v>9.9</v>
      </c>
      <c r="H56" t="n">
        <v>0</v>
      </c>
      <c r="I56" t="n">
        <v>0</v>
      </c>
      <c r="J56" t="n">
        <v>0</v>
      </c>
      <c r="K56" t="n">
        <v>1</v>
      </c>
      <c r="L56" t="n">
        <v>0</v>
      </c>
      <c r="M56" t="n">
        <v>0</v>
      </c>
      <c r="N56" t="n">
        <v>0</v>
      </c>
      <c r="O56" t="n">
        <v>1</v>
      </c>
      <c r="P56" t="n">
        <v>1</v>
      </c>
      <c r="Q56" t="n">
        <v>1</v>
      </c>
      <c r="R56" s="2" t="inlineStr">
        <is>
          <t>Bitter taggsvamp</t>
        </is>
      </c>
      <c r="S56">
        <f>HYPERLINK("https://klasma.github.io/Logging_0580/artfynd/A 36723-2023 artfynd.xlsx", "A 36723-2023")</f>
        <v/>
      </c>
      <c r="T56">
        <f>HYPERLINK("https://klasma.github.io/Logging_0580/kartor/A 36723-2023 karta.png", "A 36723-2023")</f>
        <v/>
      </c>
      <c r="V56">
        <f>HYPERLINK("https://klasma.github.io/Logging_0580/klagomål/A 36723-2023 FSC-klagomål.docx", "A 36723-2023")</f>
        <v/>
      </c>
      <c r="W56">
        <f>HYPERLINK("https://klasma.github.io/Logging_0580/klagomålsmail/A 36723-2023 FSC-klagomål mail.docx", "A 36723-2023")</f>
        <v/>
      </c>
      <c r="X56">
        <f>HYPERLINK("https://klasma.github.io/Logging_0580/tillsyn/A 36723-2023 tillsynsbegäran.docx", "A 36723-2023")</f>
        <v/>
      </c>
      <c r="Y56">
        <f>HYPERLINK("https://klasma.github.io/Logging_0580/tillsynsmail/A 36723-2023 tillsynsbegäran mail.docx", "A 36723-2023")</f>
        <v/>
      </c>
    </row>
    <row r="57" ht="15" customHeight="1">
      <c r="A57" t="inlineStr">
        <is>
          <t>A 60573-2021</t>
        </is>
      </c>
      <c r="B57" s="1" t="n">
        <v>44496</v>
      </c>
      <c r="C57" s="1" t="n">
        <v>46029</v>
      </c>
      <c r="D57" t="inlineStr">
        <is>
          <t>ÖSTERGÖTLANDS LÄN</t>
        </is>
      </c>
      <c r="E57" t="inlineStr">
        <is>
          <t>LINKÖPING</t>
        </is>
      </c>
      <c r="F57" t="inlineStr">
        <is>
          <t>Övriga Aktiebolag</t>
        </is>
      </c>
      <c r="G57" t="n">
        <v>5.6</v>
      </c>
      <c r="H57" t="n">
        <v>0</v>
      </c>
      <c r="I57" t="n">
        <v>0</v>
      </c>
      <c r="J57" t="n">
        <v>1</v>
      </c>
      <c r="K57" t="n">
        <v>0</v>
      </c>
      <c r="L57" t="n">
        <v>0</v>
      </c>
      <c r="M57" t="n">
        <v>0</v>
      </c>
      <c r="N57" t="n">
        <v>0</v>
      </c>
      <c r="O57" t="n">
        <v>1</v>
      </c>
      <c r="P57" t="n">
        <v>0</v>
      </c>
      <c r="Q57" t="n">
        <v>1</v>
      </c>
      <c r="R57" s="2" t="inlineStr">
        <is>
          <t>Sommarfibbla</t>
        </is>
      </c>
      <c r="S57">
        <f>HYPERLINK("https://klasma.github.io/Logging_0580/artfynd/A 60573-2021 artfynd.xlsx", "A 60573-2021")</f>
        <v/>
      </c>
      <c r="T57">
        <f>HYPERLINK("https://klasma.github.io/Logging_0580/kartor/A 60573-2021 karta.png", "A 60573-2021")</f>
        <v/>
      </c>
      <c r="V57">
        <f>HYPERLINK("https://klasma.github.io/Logging_0580/klagomål/A 60573-2021 FSC-klagomål.docx", "A 60573-2021")</f>
        <v/>
      </c>
      <c r="W57">
        <f>HYPERLINK("https://klasma.github.io/Logging_0580/klagomålsmail/A 60573-2021 FSC-klagomål mail.docx", "A 60573-2021")</f>
        <v/>
      </c>
      <c r="X57">
        <f>HYPERLINK("https://klasma.github.io/Logging_0580/tillsyn/A 60573-2021 tillsynsbegäran.docx", "A 60573-2021")</f>
        <v/>
      </c>
      <c r="Y57">
        <f>HYPERLINK("https://klasma.github.io/Logging_0580/tillsynsmail/A 60573-2021 tillsynsbegäran mail.docx", "A 60573-2021")</f>
        <v/>
      </c>
    </row>
    <row r="58" ht="15" customHeight="1">
      <c r="A58" t="inlineStr">
        <is>
          <t>A 43989-2025</t>
        </is>
      </c>
      <c r="B58" s="1" t="n">
        <v>45915.44128472222</v>
      </c>
      <c r="C58" s="1" t="n">
        <v>46029</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44760-2025</t>
        </is>
      </c>
      <c r="B59" s="1" t="n">
        <v>45917.71873842592</v>
      </c>
      <c r="C59" s="1" t="n">
        <v>46029</v>
      </c>
      <c r="D59" t="inlineStr">
        <is>
          <t>ÖSTERGÖTLANDS LÄN</t>
        </is>
      </c>
      <c r="E59" t="inlineStr">
        <is>
          <t>LINKÖPING</t>
        </is>
      </c>
      <c r="G59" t="n">
        <v>0.9</v>
      </c>
      <c r="H59" t="n">
        <v>0</v>
      </c>
      <c r="I59" t="n">
        <v>0</v>
      </c>
      <c r="J59" t="n">
        <v>1</v>
      </c>
      <c r="K59" t="n">
        <v>0</v>
      </c>
      <c r="L59" t="n">
        <v>0</v>
      </c>
      <c r="M59" t="n">
        <v>0</v>
      </c>
      <c r="N59" t="n">
        <v>0</v>
      </c>
      <c r="O59" t="n">
        <v>1</v>
      </c>
      <c r="P59" t="n">
        <v>0</v>
      </c>
      <c r="Q59" t="n">
        <v>1</v>
      </c>
      <c r="R59" s="2" t="inlineStr">
        <is>
          <t>Tallticka</t>
        </is>
      </c>
      <c r="S59">
        <f>HYPERLINK("https://klasma.github.io/Logging_0580/artfynd/A 44760-2025 artfynd.xlsx", "A 44760-2025")</f>
        <v/>
      </c>
      <c r="T59">
        <f>HYPERLINK("https://klasma.github.io/Logging_0580/kartor/A 44760-2025 karta.png", "A 44760-2025")</f>
        <v/>
      </c>
      <c r="V59">
        <f>HYPERLINK("https://klasma.github.io/Logging_0580/klagomål/A 44760-2025 FSC-klagomål.docx", "A 44760-2025")</f>
        <v/>
      </c>
      <c r="W59">
        <f>HYPERLINK("https://klasma.github.io/Logging_0580/klagomålsmail/A 44760-2025 FSC-klagomål mail.docx", "A 44760-2025")</f>
        <v/>
      </c>
      <c r="X59">
        <f>HYPERLINK("https://klasma.github.io/Logging_0580/tillsyn/A 44760-2025 tillsynsbegäran.docx", "A 44760-2025")</f>
        <v/>
      </c>
      <c r="Y59">
        <f>HYPERLINK("https://klasma.github.io/Logging_0580/tillsynsmail/A 44760-2025 tillsynsbegäran mail.docx", "A 44760-2025")</f>
        <v/>
      </c>
    </row>
    <row r="60" ht="15" customHeight="1">
      <c r="A60" t="inlineStr">
        <is>
          <t>A 48273-2025</t>
        </is>
      </c>
      <c r="B60" s="1" t="n">
        <v>45932</v>
      </c>
      <c r="C60" s="1" t="n">
        <v>46029</v>
      </c>
      <c r="D60" t="inlineStr">
        <is>
          <t>ÖSTERGÖTLANDS LÄN</t>
        </is>
      </c>
      <c r="E60" t="inlineStr">
        <is>
          <t>LINKÖPING</t>
        </is>
      </c>
      <c r="F60" t="inlineStr">
        <is>
          <t>Övriga Aktiebolag</t>
        </is>
      </c>
      <c r="G60" t="n">
        <v>4.6</v>
      </c>
      <c r="H60" t="n">
        <v>0</v>
      </c>
      <c r="I60" t="n">
        <v>0</v>
      </c>
      <c r="J60" t="n">
        <v>1</v>
      </c>
      <c r="K60" t="n">
        <v>0</v>
      </c>
      <c r="L60" t="n">
        <v>0</v>
      </c>
      <c r="M60" t="n">
        <v>0</v>
      </c>
      <c r="N60" t="n">
        <v>0</v>
      </c>
      <c r="O60" t="n">
        <v>1</v>
      </c>
      <c r="P60" t="n">
        <v>0</v>
      </c>
      <c r="Q60" t="n">
        <v>1</v>
      </c>
      <c r="R60" s="2" t="inlineStr">
        <is>
          <t>Barrviolspindling</t>
        </is>
      </c>
      <c r="S60">
        <f>HYPERLINK("https://klasma.github.io/Logging_0580/artfynd/A 48273-2025 artfynd.xlsx", "A 48273-2025")</f>
        <v/>
      </c>
      <c r="T60">
        <f>HYPERLINK("https://klasma.github.io/Logging_0580/kartor/A 48273-2025 karta.png", "A 48273-2025")</f>
        <v/>
      </c>
      <c r="V60">
        <f>HYPERLINK("https://klasma.github.io/Logging_0580/klagomål/A 48273-2025 FSC-klagomål.docx", "A 48273-2025")</f>
        <v/>
      </c>
      <c r="W60">
        <f>HYPERLINK("https://klasma.github.io/Logging_0580/klagomålsmail/A 48273-2025 FSC-klagomål mail.docx", "A 48273-2025")</f>
        <v/>
      </c>
      <c r="X60">
        <f>HYPERLINK("https://klasma.github.io/Logging_0580/tillsyn/A 48273-2025 tillsynsbegäran.docx", "A 48273-2025")</f>
        <v/>
      </c>
      <c r="Y60">
        <f>HYPERLINK("https://klasma.github.io/Logging_0580/tillsynsmail/A 48273-2025 tillsynsbegäran mail.docx", "A 48273-2025")</f>
        <v/>
      </c>
    </row>
    <row r="61" ht="15" customHeight="1">
      <c r="A61" t="inlineStr">
        <is>
          <t>A 48298-2025</t>
        </is>
      </c>
      <c r="B61" s="1" t="n">
        <v>45932</v>
      </c>
      <c r="C61" s="1" t="n">
        <v>46029</v>
      </c>
      <c r="D61" t="inlineStr">
        <is>
          <t>ÖSTERGÖTLANDS LÄN</t>
        </is>
      </c>
      <c r="E61" t="inlineStr">
        <is>
          <t>LINKÖPING</t>
        </is>
      </c>
      <c r="F61" t="inlineStr">
        <is>
          <t>Övriga Aktiebolag</t>
        </is>
      </c>
      <c r="G61" t="n">
        <v>1.7</v>
      </c>
      <c r="H61" t="n">
        <v>0</v>
      </c>
      <c r="I61" t="n">
        <v>1</v>
      </c>
      <c r="J61" t="n">
        <v>0</v>
      </c>
      <c r="K61" t="n">
        <v>0</v>
      </c>
      <c r="L61" t="n">
        <v>0</v>
      </c>
      <c r="M61" t="n">
        <v>0</v>
      </c>
      <c r="N61" t="n">
        <v>0</v>
      </c>
      <c r="O61" t="n">
        <v>0</v>
      </c>
      <c r="P61" t="n">
        <v>0</v>
      </c>
      <c r="Q61" t="n">
        <v>1</v>
      </c>
      <c r="R61" s="2" t="inlineStr">
        <is>
          <t>Västlig hakmossa</t>
        </is>
      </c>
      <c r="S61">
        <f>HYPERLINK("https://klasma.github.io/Logging_0580/artfynd/A 48298-2025 artfynd.xlsx", "A 48298-2025")</f>
        <v/>
      </c>
      <c r="T61">
        <f>HYPERLINK("https://klasma.github.io/Logging_0580/kartor/A 48298-2025 karta.png", "A 48298-2025")</f>
        <v/>
      </c>
      <c r="V61">
        <f>HYPERLINK("https://klasma.github.io/Logging_0580/klagomål/A 48298-2025 FSC-klagomål.docx", "A 48298-2025")</f>
        <v/>
      </c>
      <c r="W61">
        <f>HYPERLINK("https://klasma.github.io/Logging_0580/klagomålsmail/A 48298-2025 FSC-klagomål mail.docx", "A 48298-2025")</f>
        <v/>
      </c>
      <c r="X61">
        <f>HYPERLINK("https://klasma.github.io/Logging_0580/tillsyn/A 48298-2025 tillsynsbegäran.docx", "A 48298-2025")</f>
        <v/>
      </c>
      <c r="Y61">
        <f>HYPERLINK("https://klasma.github.io/Logging_0580/tillsynsmail/A 48298-2025 tillsynsbegäran mail.docx", "A 48298-2025")</f>
        <v/>
      </c>
    </row>
    <row r="62" ht="15" customHeight="1">
      <c r="A62" t="inlineStr">
        <is>
          <t>A 48353-2025</t>
        </is>
      </c>
      <c r="B62" s="1" t="n">
        <v>45932</v>
      </c>
      <c r="C62" s="1" t="n">
        <v>46029</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48347-2025</t>
        </is>
      </c>
      <c r="B63" s="1" t="n">
        <v>45932</v>
      </c>
      <c r="C63" s="1" t="n">
        <v>46029</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5911-2022</t>
        </is>
      </c>
      <c r="B64" s="1" t="n">
        <v>44597</v>
      </c>
      <c r="C64" s="1" t="n">
        <v>46029</v>
      </c>
      <c r="D64" t="inlineStr">
        <is>
          <t>ÖSTERGÖTLANDS LÄN</t>
        </is>
      </c>
      <c r="E64" t="inlineStr">
        <is>
          <t>LINKÖPING</t>
        </is>
      </c>
      <c r="G64" t="n">
        <v>3.5</v>
      </c>
      <c r="H64" t="n">
        <v>0</v>
      </c>
      <c r="I64" t="n">
        <v>0</v>
      </c>
      <c r="J64" t="n">
        <v>1</v>
      </c>
      <c r="K64" t="n">
        <v>0</v>
      </c>
      <c r="L64" t="n">
        <v>0</v>
      </c>
      <c r="M64" t="n">
        <v>0</v>
      </c>
      <c r="N64" t="n">
        <v>0</v>
      </c>
      <c r="O64" t="n">
        <v>1</v>
      </c>
      <c r="P64" t="n">
        <v>0</v>
      </c>
      <c r="Q64" t="n">
        <v>1</v>
      </c>
      <c r="R64" s="2" t="inlineStr">
        <is>
          <t>Spindelört</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50034-2025</t>
        </is>
      </c>
      <c r="B65" s="1" t="n">
        <v>45941</v>
      </c>
      <c r="C65" s="1" t="n">
        <v>46029</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56128-2022</t>
        </is>
      </c>
      <c r="B66" s="1" t="n">
        <v>44889</v>
      </c>
      <c r="C66" s="1" t="n">
        <v>46029</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59474-2025</t>
        </is>
      </c>
      <c r="B67" s="1" t="n">
        <v>45989.58512731481</v>
      </c>
      <c r="C67" s="1" t="n">
        <v>46029</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54835-2023</t>
        </is>
      </c>
      <c r="B68" s="1" t="n">
        <v>45236</v>
      </c>
      <c r="C68" s="1" t="n">
        <v>46029</v>
      </c>
      <c r="D68" t="inlineStr">
        <is>
          <t>ÖSTERGÖTLANDS LÄN</t>
        </is>
      </c>
      <c r="E68" t="inlineStr">
        <is>
          <t>LINKÖPING</t>
        </is>
      </c>
      <c r="G68" t="n">
        <v>2</v>
      </c>
      <c r="H68" t="n">
        <v>1</v>
      </c>
      <c r="I68" t="n">
        <v>0</v>
      </c>
      <c r="J68" t="n">
        <v>0</v>
      </c>
      <c r="K68" t="n">
        <v>0</v>
      </c>
      <c r="L68" t="n">
        <v>0</v>
      </c>
      <c r="M68" t="n">
        <v>0</v>
      </c>
      <c r="N68" t="n">
        <v>0</v>
      </c>
      <c r="O68" t="n">
        <v>0</v>
      </c>
      <c r="P68" t="n">
        <v>0</v>
      </c>
      <c r="Q68" t="n">
        <v>1</v>
      </c>
      <c r="R68" s="2" t="inlineStr">
        <is>
          <t>Sparvuggla</t>
        </is>
      </c>
      <c r="S68">
        <f>HYPERLINK("https://klasma.github.io/Logging_0580/artfynd/A 54835-2023 artfynd.xlsx", "A 54835-2023")</f>
        <v/>
      </c>
      <c r="T68">
        <f>HYPERLINK("https://klasma.github.io/Logging_0580/kartor/A 54835-2023 karta.png", "A 54835-2023")</f>
        <v/>
      </c>
      <c r="V68">
        <f>HYPERLINK("https://klasma.github.io/Logging_0580/klagomål/A 54835-2023 FSC-klagomål.docx", "A 54835-2023")</f>
        <v/>
      </c>
      <c r="W68">
        <f>HYPERLINK("https://klasma.github.io/Logging_0580/klagomålsmail/A 54835-2023 FSC-klagomål mail.docx", "A 54835-2023")</f>
        <v/>
      </c>
      <c r="X68">
        <f>HYPERLINK("https://klasma.github.io/Logging_0580/tillsyn/A 54835-2023 tillsynsbegäran.docx", "A 54835-2023")</f>
        <v/>
      </c>
      <c r="Y68">
        <f>HYPERLINK("https://klasma.github.io/Logging_0580/tillsynsmail/A 54835-2023 tillsynsbegäran mail.docx", "A 54835-2023")</f>
        <v/>
      </c>
      <c r="Z68">
        <f>HYPERLINK("https://klasma.github.io/Logging_0580/fåglar/A 54835-2023 prioriterade fågelarter.docx", "A 54835-2023")</f>
        <v/>
      </c>
    </row>
    <row r="69" ht="15" customHeight="1">
      <c r="A69" t="inlineStr">
        <is>
          <t>A 34881-2023</t>
        </is>
      </c>
      <c r="B69" s="1" t="n">
        <v>45140</v>
      </c>
      <c r="C69" s="1" t="n">
        <v>46029</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19103-2021</t>
        </is>
      </c>
      <c r="B70" s="1" t="n">
        <v>44308</v>
      </c>
      <c r="C70" s="1" t="n">
        <v>46029</v>
      </c>
      <c r="D70" t="inlineStr">
        <is>
          <t>ÖSTERGÖTLANDS LÄN</t>
        </is>
      </c>
      <c r="E70" t="inlineStr">
        <is>
          <t>LINKÖPING</t>
        </is>
      </c>
      <c r="G70" t="n">
        <v>4.7</v>
      </c>
      <c r="H70" t="n">
        <v>0</v>
      </c>
      <c r="I70" t="n">
        <v>0</v>
      </c>
      <c r="J70" t="n">
        <v>1</v>
      </c>
      <c r="K70" t="n">
        <v>0</v>
      </c>
      <c r="L70" t="n">
        <v>0</v>
      </c>
      <c r="M70" t="n">
        <v>0</v>
      </c>
      <c r="N70" t="n">
        <v>0</v>
      </c>
      <c r="O70" t="n">
        <v>1</v>
      </c>
      <c r="P70" t="n">
        <v>0</v>
      </c>
      <c r="Q70" t="n">
        <v>1</v>
      </c>
      <c r="R70" s="2" t="inlineStr">
        <is>
          <t>Tallticka</t>
        </is>
      </c>
      <c r="S70">
        <f>HYPERLINK("https://klasma.github.io/Logging_0580/artfynd/A 19103-2021 artfynd.xlsx", "A 19103-2021")</f>
        <v/>
      </c>
      <c r="T70">
        <f>HYPERLINK("https://klasma.github.io/Logging_0580/kartor/A 19103-2021 karta.png", "A 19103-2021")</f>
        <v/>
      </c>
      <c r="V70">
        <f>HYPERLINK("https://klasma.github.io/Logging_0580/klagomål/A 19103-2021 FSC-klagomål.docx", "A 19103-2021")</f>
        <v/>
      </c>
      <c r="W70">
        <f>HYPERLINK("https://klasma.github.io/Logging_0580/klagomålsmail/A 19103-2021 FSC-klagomål mail.docx", "A 19103-2021")</f>
        <v/>
      </c>
      <c r="X70">
        <f>HYPERLINK("https://klasma.github.io/Logging_0580/tillsyn/A 19103-2021 tillsynsbegäran.docx", "A 19103-2021")</f>
        <v/>
      </c>
      <c r="Y70">
        <f>HYPERLINK("https://klasma.github.io/Logging_0580/tillsynsmail/A 19103-2021 tillsynsbegäran mail.docx", "A 19103-2021")</f>
        <v/>
      </c>
    </row>
    <row r="71" ht="15" customHeight="1">
      <c r="A71" t="inlineStr">
        <is>
          <t>A 45317-2023</t>
        </is>
      </c>
      <c r="B71" s="1" t="n">
        <v>45191.74868055555</v>
      </c>
      <c r="C71" s="1" t="n">
        <v>46029</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46029</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46029</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60311-2025</t>
        </is>
      </c>
      <c r="B74" s="1" t="n">
        <v>45994</v>
      </c>
      <c r="C74" s="1" t="n">
        <v>46029</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Gammelekslav</t>
        </is>
      </c>
      <c r="S74">
        <f>HYPERLINK("https://klasma.github.io/Logging_0580/artfynd/A 60311-2025 artfynd.xlsx", "A 60311-2025")</f>
        <v/>
      </c>
      <c r="T74">
        <f>HYPERLINK("https://klasma.github.io/Logging_0580/kartor/A 60311-2025 karta.png", "A 60311-2025")</f>
        <v/>
      </c>
      <c r="V74">
        <f>HYPERLINK("https://klasma.github.io/Logging_0580/klagomål/A 60311-2025 FSC-klagomål.docx", "A 60311-2025")</f>
        <v/>
      </c>
      <c r="W74">
        <f>HYPERLINK("https://klasma.github.io/Logging_0580/klagomålsmail/A 60311-2025 FSC-klagomål mail.docx", "A 60311-2025")</f>
        <v/>
      </c>
      <c r="X74">
        <f>HYPERLINK("https://klasma.github.io/Logging_0580/tillsyn/A 60311-2025 tillsynsbegäran.docx", "A 60311-2025")</f>
        <v/>
      </c>
      <c r="Y74">
        <f>HYPERLINK("https://klasma.github.io/Logging_0580/tillsynsmail/A 60311-2025 tillsynsbegäran mail.docx", "A 60311-2025")</f>
        <v/>
      </c>
    </row>
    <row r="75" ht="15" customHeight="1">
      <c r="A75" t="inlineStr">
        <is>
          <t>A 35948-2023</t>
        </is>
      </c>
      <c r="B75" s="1" t="n">
        <v>45148</v>
      </c>
      <c r="C75" s="1" t="n">
        <v>46029</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56112-2025</t>
        </is>
      </c>
      <c r="B76" s="1" t="n">
        <v>45973.73625</v>
      </c>
      <c r="C76" s="1" t="n">
        <v>46029</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56651-2023</t>
        </is>
      </c>
      <c r="B77" s="1" t="n">
        <v>45243</v>
      </c>
      <c r="C77" s="1" t="n">
        <v>46029</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59948-2022</t>
        </is>
      </c>
      <c r="B78" s="1" t="n">
        <v>44909</v>
      </c>
      <c r="C78" s="1" t="n">
        <v>46029</v>
      </c>
      <c r="D78" t="inlineStr">
        <is>
          <t>ÖSTERGÖTLANDS LÄN</t>
        </is>
      </c>
      <c r="E78" t="inlineStr">
        <is>
          <t>LINKÖPING</t>
        </is>
      </c>
      <c r="G78" t="n">
        <v>6.7</v>
      </c>
      <c r="H78" t="n">
        <v>0</v>
      </c>
      <c r="I78" t="n">
        <v>0</v>
      </c>
      <c r="J78" t="n">
        <v>0</v>
      </c>
      <c r="K78" t="n">
        <v>0</v>
      </c>
      <c r="L78" t="n">
        <v>0</v>
      </c>
      <c r="M78" t="n">
        <v>1</v>
      </c>
      <c r="N78" t="n">
        <v>0</v>
      </c>
      <c r="O78" t="n">
        <v>1</v>
      </c>
      <c r="P78" t="n">
        <v>1</v>
      </c>
      <c r="Q78" t="n">
        <v>1</v>
      </c>
      <c r="R78" s="2" t="inlineStr">
        <is>
          <t>Skogsalm</t>
        </is>
      </c>
      <c r="S78">
        <f>HYPERLINK("https://klasma.github.io/Logging_0580/artfynd/A 59948-2022 artfynd.xlsx", "A 59948-2022")</f>
        <v/>
      </c>
      <c r="T78">
        <f>HYPERLINK("https://klasma.github.io/Logging_0580/kartor/A 59948-2022 karta.png", "A 59948-2022")</f>
        <v/>
      </c>
      <c r="V78">
        <f>HYPERLINK("https://klasma.github.io/Logging_0580/klagomål/A 59948-2022 FSC-klagomål.docx", "A 59948-2022")</f>
        <v/>
      </c>
      <c r="W78">
        <f>HYPERLINK("https://klasma.github.io/Logging_0580/klagomålsmail/A 59948-2022 FSC-klagomål mail.docx", "A 59948-2022")</f>
        <v/>
      </c>
      <c r="X78">
        <f>HYPERLINK("https://klasma.github.io/Logging_0580/tillsyn/A 59948-2022 tillsynsbegäran.docx", "A 59948-2022")</f>
        <v/>
      </c>
      <c r="Y78">
        <f>HYPERLINK("https://klasma.github.io/Logging_0580/tillsynsmail/A 59948-2022 tillsynsbegäran mail.docx", "A 59948-2022")</f>
        <v/>
      </c>
    </row>
    <row r="79" ht="15" customHeight="1">
      <c r="A79" t="inlineStr">
        <is>
          <t>A 39457-2023</t>
        </is>
      </c>
      <c r="B79" s="1" t="n">
        <v>45166</v>
      </c>
      <c r="C79" s="1" t="n">
        <v>46029</v>
      </c>
      <c r="D79" t="inlineStr">
        <is>
          <t>ÖSTERGÖTLANDS LÄN</t>
        </is>
      </c>
      <c r="E79" t="inlineStr">
        <is>
          <t>LINKÖPING</t>
        </is>
      </c>
      <c r="G79" t="n">
        <v>2.1</v>
      </c>
      <c r="H79" t="n">
        <v>1</v>
      </c>
      <c r="I79" t="n">
        <v>0</v>
      </c>
      <c r="J79" t="n">
        <v>0</v>
      </c>
      <c r="K79" t="n">
        <v>0</v>
      </c>
      <c r="L79" t="n">
        <v>0</v>
      </c>
      <c r="M79" t="n">
        <v>0</v>
      </c>
      <c r="N79" t="n">
        <v>0</v>
      </c>
      <c r="O79" t="n">
        <v>0</v>
      </c>
      <c r="P79" t="n">
        <v>0</v>
      </c>
      <c r="Q79" t="n">
        <v>1</v>
      </c>
      <c r="R79" s="2" t="inlineStr">
        <is>
          <t>Sparvuggla</t>
        </is>
      </c>
      <c r="S79">
        <f>HYPERLINK("https://klasma.github.io/Logging_0580/artfynd/A 39457-2023 artfynd.xlsx", "A 39457-2023")</f>
        <v/>
      </c>
      <c r="T79">
        <f>HYPERLINK("https://klasma.github.io/Logging_0580/kartor/A 39457-2023 karta.png", "A 39457-2023")</f>
        <v/>
      </c>
      <c r="V79">
        <f>HYPERLINK("https://klasma.github.io/Logging_0580/klagomål/A 39457-2023 FSC-klagomål.docx", "A 39457-2023")</f>
        <v/>
      </c>
      <c r="W79">
        <f>HYPERLINK("https://klasma.github.io/Logging_0580/klagomålsmail/A 39457-2023 FSC-klagomål mail.docx", "A 39457-2023")</f>
        <v/>
      </c>
      <c r="X79">
        <f>HYPERLINK("https://klasma.github.io/Logging_0580/tillsyn/A 39457-2023 tillsynsbegäran.docx", "A 39457-2023")</f>
        <v/>
      </c>
      <c r="Y79">
        <f>HYPERLINK("https://klasma.github.io/Logging_0580/tillsynsmail/A 39457-2023 tillsynsbegäran mail.docx", "A 39457-2023")</f>
        <v/>
      </c>
      <c r="Z79">
        <f>HYPERLINK("https://klasma.github.io/Logging_0580/fåglar/A 39457-2023 prioriterade fågelarter.docx", "A 39457-2023")</f>
        <v/>
      </c>
    </row>
    <row r="80" ht="15" customHeight="1">
      <c r="A80" t="inlineStr">
        <is>
          <t>A 62071-2023</t>
        </is>
      </c>
      <c r="B80" s="1" t="n">
        <v>45266.73542824074</v>
      </c>
      <c r="C80" s="1" t="n">
        <v>46029</v>
      </c>
      <c r="D80" t="inlineStr">
        <is>
          <t>ÖSTERGÖTLANDS LÄN</t>
        </is>
      </c>
      <c r="E80" t="inlineStr">
        <is>
          <t>LINKÖPING</t>
        </is>
      </c>
      <c r="G80" t="n">
        <v>6.5</v>
      </c>
      <c r="H80" t="n">
        <v>0</v>
      </c>
      <c r="I80" t="n">
        <v>0</v>
      </c>
      <c r="J80" t="n">
        <v>1</v>
      </c>
      <c r="K80" t="n">
        <v>0</v>
      </c>
      <c r="L80" t="n">
        <v>0</v>
      </c>
      <c r="M80" t="n">
        <v>0</v>
      </c>
      <c r="N80" t="n">
        <v>0</v>
      </c>
      <c r="O80" t="n">
        <v>1</v>
      </c>
      <c r="P80" t="n">
        <v>0</v>
      </c>
      <c r="Q80" t="n">
        <v>1</v>
      </c>
      <c r="R80" s="2" t="inlineStr">
        <is>
          <t>Svinrot</t>
        </is>
      </c>
      <c r="S80">
        <f>HYPERLINK("https://klasma.github.io/Logging_0580/artfynd/A 62071-2023 artfynd.xlsx", "A 62071-2023")</f>
        <v/>
      </c>
      <c r="T80">
        <f>HYPERLINK("https://klasma.github.io/Logging_0580/kartor/A 62071-2023 karta.png", "A 62071-2023")</f>
        <v/>
      </c>
      <c r="V80">
        <f>HYPERLINK("https://klasma.github.io/Logging_0580/klagomål/A 62071-2023 FSC-klagomål.docx", "A 62071-2023")</f>
        <v/>
      </c>
      <c r="W80">
        <f>HYPERLINK("https://klasma.github.io/Logging_0580/klagomålsmail/A 62071-2023 FSC-klagomål mail.docx", "A 62071-2023")</f>
        <v/>
      </c>
      <c r="X80">
        <f>HYPERLINK("https://klasma.github.io/Logging_0580/tillsyn/A 62071-2023 tillsynsbegäran.docx", "A 62071-2023")</f>
        <v/>
      </c>
      <c r="Y80">
        <f>HYPERLINK("https://klasma.github.io/Logging_0580/tillsynsmail/A 62071-2023 tillsynsbegäran mail.docx", "A 62071-2023")</f>
        <v/>
      </c>
    </row>
    <row r="81" ht="15" customHeight="1">
      <c r="A81" t="inlineStr">
        <is>
          <t>A 90-2024</t>
        </is>
      </c>
      <c r="B81" s="1" t="n">
        <v>45293</v>
      </c>
      <c r="C81" s="1" t="n">
        <v>46029</v>
      </c>
      <c r="D81" t="inlineStr">
        <is>
          <t>ÖSTERGÖTLANDS LÄN</t>
        </is>
      </c>
      <c r="E81" t="inlineStr">
        <is>
          <t>LINKÖPING</t>
        </is>
      </c>
      <c r="G81" t="n">
        <v>1.8</v>
      </c>
      <c r="H81" t="n">
        <v>0</v>
      </c>
      <c r="I81" t="n">
        <v>1</v>
      </c>
      <c r="J81" t="n">
        <v>0</v>
      </c>
      <c r="K81" t="n">
        <v>0</v>
      </c>
      <c r="L81" t="n">
        <v>0</v>
      </c>
      <c r="M81" t="n">
        <v>0</v>
      </c>
      <c r="N81" t="n">
        <v>0</v>
      </c>
      <c r="O81" t="n">
        <v>0</v>
      </c>
      <c r="P81" t="n">
        <v>0</v>
      </c>
      <c r="Q81" t="n">
        <v>1</v>
      </c>
      <c r="R81" s="2" t="inlineStr">
        <is>
          <t>Grov fjädermossa</t>
        </is>
      </c>
      <c r="S81">
        <f>HYPERLINK("https://klasma.github.io/Logging_0580/artfynd/A 90-2024 artfynd.xlsx", "A 90-2024")</f>
        <v/>
      </c>
      <c r="T81">
        <f>HYPERLINK("https://klasma.github.io/Logging_0580/kartor/A 90-2024 karta.png", "A 90-2024")</f>
        <v/>
      </c>
      <c r="V81">
        <f>HYPERLINK("https://klasma.github.io/Logging_0580/klagomål/A 90-2024 FSC-klagomål.docx", "A 90-2024")</f>
        <v/>
      </c>
      <c r="W81">
        <f>HYPERLINK("https://klasma.github.io/Logging_0580/klagomålsmail/A 90-2024 FSC-klagomål mail.docx", "A 90-2024")</f>
        <v/>
      </c>
      <c r="X81">
        <f>HYPERLINK("https://klasma.github.io/Logging_0580/tillsyn/A 90-2024 tillsynsbegäran.docx", "A 90-2024")</f>
        <v/>
      </c>
      <c r="Y81">
        <f>HYPERLINK("https://klasma.github.io/Logging_0580/tillsynsmail/A 90-2024 tillsynsbegäran mail.docx", "A 90-2024")</f>
        <v/>
      </c>
    </row>
    <row r="82" ht="15" customHeight="1">
      <c r="A82" t="inlineStr">
        <is>
          <t>A 17444-2025</t>
        </is>
      </c>
      <c r="B82" s="1" t="n">
        <v>45757.43452546297</v>
      </c>
      <c r="C82" s="1" t="n">
        <v>46029</v>
      </c>
      <c r="D82" t="inlineStr">
        <is>
          <t>ÖSTERGÖTLANDS LÄN</t>
        </is>
      </c>
      <c r="E82" t="inlineStr">
        <is>
          <t>LINKÖPING</t>
        </is>
      </c>
      <c r="G82" t="n">
        <v>1.3</v>
      </c>
      <c r="H82" t="n">
        <v>1</v>
      </c>
      <c r="I82" t="n">
        <v>0</v>
      </c>
      <c r="J82" t="n">
        <v>1</v>
      </c>
      <c r="K82" t="n">
        <v>0</v>
      </c>
      <c r="L82" t="n">
        <v>0</v>
      </c>
      <c r="M82" t="n">
        <v>0</v>
      </c>
      <c r="N82" t="n">
        <v>0</v>
      </c>
      <c r="O82" t="n">
        <v>1</v>
      </c>
      <c r="P82" t="n">
        <v>0</v>
      </c>
      <c r="Q82" t="n">
        <v>1</v>
      </c>
      <c r="R82" s="2" t="inlineStr">
        <is>
          <t>Dårgräsfjäril</t>
        </is>
      </c>
      <c r="S82">
        <f>HYPERLINK("https://klasma.github.io/Logging_0580/artfynd/A 17444-2025 artfynd.xlsx", "A 17444-2025")</f>
        <v/>
      </c>
      <c r="T82">
        <f>HYPERLINK("https://klasma.github.io/Logging_0580/kartor/A 17444-2025 karta.png", "A 17444-2025")</f>
        <v/>
      </c>
      <c r="V82">
        <f>HYPERLINK("https://klasma.github.io/Logging_0580/klagomål/A 17444-2025 FSC-klagomål.docx", "A 17444-2025")</f>
        <v/>
      </c>
      <c r="W82">
        <f>HYPERLINK("https://klasma.github.io/Logging_0580/klagomålsmail/A 17444-2025 FSC-klagomål mail.docx", "A 17444-2025")</f>
        <v/>
      </c>
      <c r="X82">
        <f>HYPERLINK("https://klasma.github.io/Logging_0580/tillsyn/A 17444-2025 tillsynsbegäran.docx", "A 17444-2025")</f>
        <v/>
      </c>
      <c r="Y82">
        <f>HYPERLINK("https://klasma.github.io/Logging_0580/tillsynsmail/A 17444-2025 tillsynsbegäran mail.docx", "A 17444-2025")</f>
        <v/>
      </c>
    </row>
    <row r="83" ht="15" customHeight="1">
      <c r="A83" t="inlineStr">
        <is>
          <t>A 40309-2024</t>
        </is>
      </c>
      <c r="B83" s="1" t="n">
        <v>45554.724375</v>
      </c>
      <c r="C83" s="1" t="n">
        <v>46029</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15290-2025</t>
        </is>
      </c>
      <c r="B84" s="1" t="n">
        <v>45745.45288194445</v>
      </c>
      <c r="C84" s="1" t="n">
        <v>46029</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1716-2023</t>
        </is>
      </c>
      <c r="B85" s="1" t="n">
        <v>44938</v>
      </c>
      <c r="C85" s="1" t="n">
        <v>46029</v>
      </c>
      <c r="D85" t="inlineStr">
        <is>
          <t>ÖSTERGÖTLANDS LÄN</t>
        </is>
      </c>
      <c r="E85" t="inlineStr">
        <is>
          <t>LINKÖPING</t>
        </is>
      </c>
      <c r="G85" t="n">
        <v>3.6</v>
      </c>
      <c r="H85" t="n">
        <v>0</v>
      </c>
      <c r="I85" t="n">
        <v>0</v>
      </c>
      <c r="J85" t="n">
        <v>1</v>
      </c>
      <c r="K85" t="n">
        <v>0</v>
      </c>
      <c r="L85" t="n">
        <v>0</v>
      </c>
      <c r="M85" t="n">
        <v>0</v>
      </c>
      <c r="N85" t="n">
        <v>0</v>
      </c>
      <c r="O85" t="n">
        <v>1</v>
      </c>
      <c r="P85" t="n">
        <v>0</v>
      </c>
      <c r="Q85" t="n">
        <v>1</v>
      </c>
      <c r="R85" s="2" t="inlineStr">
        <is>
          <t>Svinrot</t>
        </is>
      </c>
      <c r="S85">
        <f>HYPERLINK("https://klasma.github.io/Logging_0580/artfynd/A 1716-2023 artfynd.xlsx", "A 1716-2023")</f>
        <v/>
      </c>
      <c r="T85">
        <f>HYPERLINK("https://klasma.github.io/Logging_0580/kartor/A 1716-2023 karta.png", "A 1716-2023")</f>
        <v/>
      </c>
      <c r="V85">
        <f>HYPERLINK("https://klasma.github.io/Logging_0580/klagomål/A 1716-2023 FSC-klagomål.docx", "A 1716-2023")</f>
        <v/>
      </c>
      <c r="W85">
        <f>HYPERLINK("https://klasma.github.io/Logging_0580/klagomålsmail/A 1716-2023 FSC-klagomål mail.docx", "A 1716-2023")</f>
        <v/>
      </c>
      <c r="X85">
        <f>HYPERLINK("https://klasma.github.io/Logging_0580/tillsyn/A 1716-2023 tillsynsbegäran.docx", "A 1716-2023")</f>
        <v/>
      </c>
      <c r="Y85">
        <f>HYPERLINK("https://klasma.github.io/Logging_0580/tillsynsmail/A 1716-2023 tillsynsbegäran mail.docx", "A 1716-2023")</f>
        <v/>
      </c>
    </row>
    <row r="86" ht="15" customHeight="1">
      <c r="A86" t="inlineStr">
        <is>
          <t>A 931-2025</t>
        </is>
      </c>
      <c r="B86" s="1" t="n">
        <v>45665.88498842593</v>
      </c>
      <c r="C86" s="1" t="n">
        <v>46029</v>
      </c>
      <c r="D86" t="inlineStr">
        <is>
          <t>ÖSTERGÖTLANDS LÄN</t>
        </is>
      </c>
      <c r="E86" t="inlineStr">
        <is>
          <t>LINKÖPING</t>
        </is>
      </c>
      <c r="F86" t="inlineStr">
        <is>
          <t>Övriga Aktiebolag</t>
        </is>
      </c>
      <c r="G86" t="n">
        <v>0.8</v>
      </c>
      <c r="H86" t="n">
        <v>0</v>
      </c>
      <c r="I86" t="n">
        <v>0</v>
      </c>
      <c r="J86" t="n">
        <v>1</v>
      </c>
      <c r="K86" t="n">
        <v>0</v>
      </c>
      <c r="L86" t="n">
        <v>0</v>
      </c>
      <c r="M86" t="n">
        <v>0</v>
      </c>
      <c r="N86" t="n">
        <v>0</v>
      </c>
      <c r="O86" t="n">
        <v>1</v>
      </c>
      <c r="P86" t="n">
        <v>0</v>
      </c>
      <c r="Q86" t="n">
        <v>1</v>
      </c>
      <c r="R86" s="2" t="inlineStr">
        <is>
          <t>Tallticka</t>
        </is>
      </c>
      <c r="S86">
        <f>HYPERLINK("https://klasma.github.io/Logging_0580/artfynd/A 931-2025 artfynd.xlsx", "A 931-2025")</f>
        <v/>
      </c>
      <c r="T86">
        <f>HYPERLINK("https://klasma.github.io/Logging_0580/kartor/A 931-2025 karta.png", "A 931-2025")</f>
        <v/>
      </c>
      <c r="V86">
        <f>HYPERLINK("https://klasma.github.io/Logging_0580/klagomål/A 931-2025 FSC-klagomål.docx", "A 931-2025")</f>
        <v/>
      </c>
      <c r="W86">
        <f>HYPERLINK("https://klasma.github.io/Logging_0580/klagomålsmail/A 931-2025 FSC-klagomål mail.docx", "A 931-2025")</f>
        <v/>
      </c>
      <c r="X86">
        <f>HYPERLINK("https://klasma.github.io/Logging_0580/tillsyn/A 931-2025 tillsynsbegäran.docx", "A 931-2025")</f>
        <v/>
      </c>
      <c r="Y86">
        <f>HYPERLINK("https://klasma.github.io/Logging_0580/tillsynsmail/A 931-2025 tillsynsbegäran mail.docx", "A 931-2025")</f>
        <v/>
      </c>
    </row>
    <row r="87" ht="15" customHeight="1">
      <c r="A87" t="inlineStr">
        <is>
          <t>A 126-2024</t>
        </is>
      </c>
      <c r="B87" s="1" t="n">
        <v>45294</v>
      </c>
      <c r="C87" s="1" t="n">
        <v>46029</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46029</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3397-2023</t>
        </is>
      </c>
      <c r="B89" s="1" t="n">
        <v>44949</v>
      </c>
      <c r="C89" s="1" t="n">
        <v>46029</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41749-2023</t>
        </is>
      </c>
      <c r="B90" s="1" t="n">
        <v>45176</v>
      </c>
      <c r="C90" s="1" t="n">
        <v>46029</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46029</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46029</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46029</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46029</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46029</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46029</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46029</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46029</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46029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46029</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46029</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46029</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46029</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46029</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46029</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46029</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46029</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46029</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46029</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46029</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46029</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46029</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46029</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46029</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46029</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46029</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46029</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46029</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46029</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46029</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46029</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46029</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46029</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46029</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46029</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46029</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46029</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46029</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46029</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46029</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46029</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46029</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46029</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46029</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46029</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46029</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46029</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46029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46029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46029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46029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46029</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46416-2021</t>
        </is>
      </c>
      <c r="B143" s="1" t="n">
        <v>44442</v>
      </c>
      <c r="C143" s="1" t="n">
        <v>46029</v>
      </c>
      <c r="D143" t="inlineStr">
        <is>
          <t>ÖSTERGÖTLANDS LÄN</t>
        </is>
      </c>
      <c r="E143" t="inlineStr">
        <is>
          <t>LINKÖPING</t>
        </is>
      </c>
      <c r="G143" t="n">
        <v>2.3</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46029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46029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46029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46029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46029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46029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46029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46029</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46029</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46029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9935-2021</t>
        </is>
      </c>
      <c r="B154" s="1" t="n">
        <v>44253</v>
      </c>
      <c r="C154" s="1" t="n">
        <v>46029</v>
      </c>
      <c r="D154" t="inlineStr">
        <is>
          <t>ÖSTERGÖTLANDS LÄN</t>
        </is>
      </c>
      <c r="E154" t="inlineStr">
        <is>
          <t>LINKÖPING</t>
        </is>
      </c>
      <c r="G154" t="n">
        <v>4.5</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46029</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46029</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46029</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46029</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46029</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46029</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46029</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46029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46029</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46029</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46029</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46029</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46029</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46029</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46029</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46029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46029</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46029</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46029</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46029</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46029</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46029</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46029</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46029</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46029</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46029</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46029</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5605-2022</t>
        </is>
      </c>
      <c r="B182" s="1" t="n">
        <v>44595</v>
      </c>
      <c r="C182" s="1" t="n">
        <v>46029</v>
      </c>
      <c r="D182" t="inlineStr">
        <is>
          <t>ÖSTERGÖTLANDS LÄN</t>
        </is>
      </c>
      <c r="E182" t="inlineStr">
        <is>
          <t>LINKÖPING</t>
        </is>
      </c>
      <c r="F182" t="inlineStr">
        <is>
          <t>Övriga statliga verk och myndigheter</t>
        </is>
      </c>
      <c r="G182" t="n">
        <v>3</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46029</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46029</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46029</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46029</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46029</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46029</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46029</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12413-2022</t>
        </is>
      </c>
      <c r="B190" s="1" t="n">
        <v>44638</v>
      </c>
      <c r="C190" s="1" t="n">
        <v>46029</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46490-2022</t>
        </is>
      </c>
      <c r="B191" s="1" t="n">
        <v>44848</v>
      </c>
      <c r="C191" s="1" t="n">
        <v>46029</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46029</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46029</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46029</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46029</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46029</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46029</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12412-2022</t>
        </is>
      </c>
      <c r="B198" s="1" t="n">
        <v>44638</v>
      </c>
      <c r="C198" s="1" t="n">
        <v>46029</v>
      </c>
      <c r="D198" t="inlineStr">
        <is>
          <t>ÖSTERGÖTLANDS LÄN</t>
        </is>
      </c>
      <c r="E198" t="inlineStr">
        <is>
          <t>LINKÖPING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61333-2021</t>
        </is>
      </c>
      <c r="B199" s="1" t="n">
        <v>44498.6764699074</v>
      </c>
      <c r="C199" s="1" t="n">
        <v>46029</v>
      </c>
      <c r="D199" t="inlineStr">
        <is>
          <t>ÖSTERGÖTLANDS LÄN</t>
        </is>
      </c>
      <c r="E199" t="inlineStr">
        <is>
          <t>LINKÖPING</t>
        </is>
      </c>
      <c r="G199" t="n">
        <v>7.5</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46029</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46029</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46029</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46029</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46029</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39021-2021</t>
        </is>
      </c>
      <c r="B205" s="1" t="n">
        <v>44412</v>
      </c>
      <c r="C205" s="1" t="n">
        <v>46029</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46029</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51484-2023</t>
        </is>
      </c>
      <c r="B207" s="1" t="n">
        <v>45222</v>
      </c>
      <c r="C207" s="1" t="n">
        <v>46029</v>
      </c>
      <c r="D207" t="inlineStr">
        <is>
          <t>ÖSTERGÖTLANDS LÄN</t>
        </is>
      </c>
      <c r="E207" t="inlineStr">
        <is>
          <t>LINKÖPING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63678-2023</t>
        </is>
      </c>
      <c r="B208" s="1" t="n">
        <v>45275.64769675926</v>
      </c>
      <c r="C208" s="1" t="n">
        <v>46029</v>
      </c>
      <c r="D208" t="inlineStr">
        <is>
          <t>ÖSTERGÖTLANDS LÄN</t>
        </is>
      </c>
      <c r="E208" t="inlineStr">
        <is>
          <t>LINKÖPING</t>
        </is>
      </c>
      <c r="F208" t="inlineStr">
        <is>
          <t>Övriga Aktiebolag</t>
        </is>
      </c>
      <c r="G208" t="n">
        <v>0.4</v>
      </c>
      <c r="H208" t="n">
        <v>0</v>
      </c>
      <c r="I208" t="n">
        <v>0</v>
      </c>
      <c r="J208" t="n">
        <v>0</v>
      </c>
      <c r="K208" t="n">
        <v>0</v>
      </c>
      <c r="L208" t="n">
        <v>0</v>
      </c>
      <c r="M208" t="n">
        <v>0</v>
      </c>
      <c r="N208" t="n">
        <v>0</v>
      </c>
      <c r="O208" t="n">
        <v>0</v>
      </c>
      <c r="P208" t="n">
        <v>0</v>
      </c>
      <c r="Q208" t="n">
        <v>0</v>
      </c>
      <c r="R208" s="2" t="inlineStr"/>
    </row>
    <row r="209" ht="15" customHeight="1">
      <c r="A209" t="inlineStr">
        <is>
          <t>A 63688-2023</t>
        </is>
      </c>
      <c r="B209" s="1" t="n">
        <v>45275</v>
      </c>
      <c r="C209" s="1" t="n">
        <v>46029</v>
      </c>
      <c r="D209" t="inlineStr">
        <is>
          <t>ÖSTERGÖTLANDS LÄN</t>
        </is>
      </c>
      <c r="E209" t="inlineStr">
        <is>
          <t>LINKÖPING</t>
        </is>
      </c>
      <c r="F209" t="inlineStr">
        <is>
          <t>Övriga Aktiebolag</t>
        </is>
      </c>
      <c r="G209" t="n">
        <v>2.4</v>
      </c>
      <c r="H209" t="n">
        <v>0</v>
      </c>
      <c r="I209" t="n">
        <v>0</v>
      </c>
      <c r="J209" t="n">
        <v>0</v>
      </c>
      <c r="K209" t="n">
        <v>0</v>
      </c>
      <c r="L209" t="n">
        <v>0</v>
      </c>
      <c r="M209" t="n">
        <v>0</v>
      </c>
      <c r="N209" t="n">
        <v>0</v>
      </c>
      <c r="O209" t="n">
        <v>0</v>
      </c>
      <c r="P209" t="n">
        <v>0</v>
      </c>
      <c r="Q209" t="n">
        <v>0</v>
      </c>
      <c r="R209" s="2" t="inlineStr"/>
    </row>
    <row r="210" ht="15" customHeight="1">
      <c r="A210" t="inlineStr">
        <is>
          <t>A 63691-2023</t>
        </is>
      </c>
      <c r="B210" s="1" t="n">
        <v>45275</v>
      </c>
      <c r="C210" s="1" t="n">
        <v>46029</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17157-2024</t>
        </is>
      </c>
      <c r="B211" s="1" t="n">
        <v>45412.70567129629</v>
      </c>
      <c r="C211" s="1" t="n">
        <v>46029</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34557-2022</t>
        </is>
      </c>
      <c r="B212" s="1" t="n">
        <v>44794.57074074074</v>
      </c>
      <c r="C212" s="1" t="n">
        <v>46029</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12428-2024</t>
        </is>
      </c>
      <c r="B213" s="1" t="n">
        <v>45379</v>
      </c>
      <c r="C213" s="1" t="n">
        <v>46029</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9434-2024</t>
        </is>
      </c>
      <c r="B214" s="1" t="n">
        <v>45359</v>
      </c>
      <c r="C214" s="1" t="n">
        <v>46029</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13689-2025</t>
        </is>
      </c>
      <c r="B215" s="1" t="n">
        <v>45737.31590277778</v>
      </c>
      <c r="C215" s="1" t="n">
        <v>46029</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13696-2025</t>
        </is>
      </c>
      <c r="B216" s="1" t="n">
        <v>45737.32273148148</v>
      </c>
      <c r="C216" s="1" t="n">
        <v>46029</v>
      </c>
      <c r="D216" t="inlineStr">
        <is>
          <t>ÖSTERGÖTLANDS LÄN</t>
        </is>
      </c>
      <c r="E216" t="inlineStr">
        <is>
          <t>LINKÖPING</t>
        </is>
      </c>
      <c r="G216" t="n">
        <v>3.5</v>
      </c>
      <c r="H216" t="n">
        <v>0</v>
      </c>
      <c r="I216" t="n">
        <v>0</v>
      </c>
      <c r="J216" t="n">
        <v>0</v>
      </c>
      <c r="K216" t="n">
        <v>0</v>
      </c>
      <c r="L216" t="n">
        <v>0</v>
      </c>
      <c r="M216" t="n">
        <v>0</v>
      </c>
      <c r="N216" t="n">
        <v>0</v>
      </c>
      <c r="O216" t="n">
        <v>0</v>
      </c>
      <c r="P216" t="n">
        <v>0</v>
      </c>
      <c r="Q216" t="n">
        <v>0</v>
      </c>
      <c r="R216" s="2" t="inlineStr"/>
    </row>
    <row r="217" ht="15" customHeight="1">
      <c r="A217" t="inlineStr">
        <is>
          <t>A 46225-2021</t>
        </is>
      </c>
      <c r="B217" s="1" t="n">
        <v>44442</v>
      </c>
      <c r="C217" s="1" t="n">
        <v>46029</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54428-2022</t>
        </is>
      </c>
      <c r="B218" s="1" t="n">
        <v>44882.57643518518</v>
      </c>
      <c r="C218" s="1" t="n">
        <v>46029</v>
      </c>
      <c r="D218" t="inlineStr">
        <is>
          <t>ÖSTERGÖTLANDS LÄN</t>
        </is>
      </c>
      <c r="E218" t="inlineStr">
        <is>
          <t>LINKÖPING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48962-2022</t>
        </is>
      </c>
      <c r="B219" s="1" t="n">
        <v>44860.31635416667</v>
      </c>
      <c r="C219" s="1" t="n">
        <v>46029</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46029</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46029</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46029</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11790-2024</t>
        </is>
      </c>
      <c r="B223" s="1" t="n">
        <v>45374</v>
      </c>
      <c r="C223" s="1" t="n">
        <v>46029</v>
      </c>
      <c r="D223" t="inlineStr">
        <is>
          <t>ÖSTERGÖTLANDS LÄN</t>
        </is>
      </c>
      <c r="E223" t="inlineStr">
        <is>
          <t>LINKÖPING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24586-2024</t>
        </is>
      </c>
      <c r="B224" s="1" t="n">
        <v>45460.46664351852</v>
      </c>
      <c r="C224" s="1" t="n">
        <v>46029</v>
      </c>
      <c r="D224" t="inlineStr">
        <is>
          <t>ÖSTERGÖTLANDS LÄN</t>
        </is>
      </c>
      <c r="E224" t="inlineStr">
        <is>
          <t>LINKÖPING</t>
        </is>
      </c>
      <c r="G224" t="n">
        <v>4</v>
      </c>
      <c r="H224" t="n">
        <v>0</v>
      </c>
      <c r="I224" t="n">
        <v>0</v>
      </c>
      <c r="J224" t="n">
        <v>0</v>
      </c>
      <c r="K224" t="n">
        <v>0</v>
      </c>
      <c r="L224" t="n">
        <v>0</v>
      </c>
      <c r="M224" t="n">
        <v>0</v>
      </c>
      <c r="N224" t="n">
        <v>0</v>
      </c>
      <c r="O224" t="n">
        <v>0</v>
      </c>
      <c r="P224" t="n">
        <v>0</v>
      </c>
      <c r="Q224" t="n">
        <v>0</v>
      </c>
      <c r="R224" s="2" t="inlineStr"/>
    </row>
    <row r="225" ht="15" customHeight="1">
      <c r="A225" t="inlineStr">
        <is>
          <t>A 17124-2025</t>
        </is>
      </c>
      <c r="B225" s="1" t="n">
        <v>45755.69678240741</v>
      </c>
      <c r="C225" s="1" t="n">
        <v>46029</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17126-2025</t>
        </is>
      </c>
      <c r="B226" s="1" t="n">
        <v>45755.70814814815</v>
      </c>
      <c r="C226" s="1" t="n">
        <v>46029</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17143-2025</t>
        </is>
      </c>
      <c r="B227" s="1" t="n">
        <v>45755.92731481481</v>
      </c>
      <c r="C227" s="1" t="n">
        <v>46029</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39017-2021</t>
        </is>
      </c>
      <c r="B228" s="1" t="n">
        <v>44412</v>
      </c>
      <c r="C228" s="1" t="n">
        <v>46029</v>
      </c>
      <c r="D228" t="inlineStr">
        <is>
          <t>ÖSTERGÖTLANDS LÄN</t>
        </is>
      </c>
      <c r="E228" t="inlineStr">
        <is>
          <t>LINKÖPING</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16820-2024</t>
        </is>
      </c>
      <c r="B229" s="1" t="n">
        <v>45411.46809027778</v>
      </c>
      <c r="C229" s="1" t="n">
        <v>46029</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30980-2022</t>
        </is>
      </c>
      <c r="B230" s="1" t="n">
        <v>44768</v>
      </c>
      <c r="C230" s="1" t="n">
        <v>46029</v>
      </c>
      <c r="D230" t="inlineStr">
        <is>
          <t>ÖSTERGÖTLANDS LÄN</t>
        </is>
      </c>
      <c r="E230" t="inlineStr">
        <is>
          <t>LINKÖPING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45457.59011574074</v>
      </c>
      <c r="C231" s="1" t="n">
        <v>46029</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49979-2022</t>
        </is>
      </c>
      <c r="B232" s="1" t="n">
        <v>44865</v>
      </c>
      <c r="C232" s="1" t="n">
        <v>46029</v>
      </c>
      <c r="D232" t="inlineStr">
        <is>
          <t>ÖSTERGÖTLANDS LÄN</t>
        </is>
      </c>
      <c r="E232" t="inlineStr">
        <is>
          <t>LINKÖPING</t>
        </is>
      </c>
      <c r="F232" t="inlineStr">
        <is>
          <t>Övriga Aktiebolag</t>
        </is>
      </c>
      <c r="G232" t="n">
        <v>11.4</v>
      </c>
      <c r="H232" t="n">
        <v>0</v>
      </c>
      <c r="I232" t="n">
        <v>0</v>
      </c>
      <c r="J232" t="n">
        <v>0</v>
      </c>
      <c r="K232" t="n">
        <v>0</v>
      </c>
      <c r="L232" t="n">
        <v>0</v>
      </c>
      <c r="M232" t="n">
        <v>0</v>
      </c>
      <c r="N232" t="n">
        <v>0</v>
      </c>
      <c r="O232" t="n">
        <v>0</v>
      </c>
      <c r="P232" t="n">
        <v>0</v>
      </c>
      <c r="Q232" t="n">
        <v>0</v>
      </c>
      <c r="R232" s="2" t="inlineStr"/>
    </row>
    <row r="233" ht="15" customHeight="1">
      <c r="A233" t="inlineStr">
        <is>
          <t>A 53827-2023</t>
        </is>
      </c>
      <c r="B233" s="1" t="n">
        <v>45230</v>
      </c>
      <c r="C233" s="1" t="n">
        <v>46029</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62501-2023</t>
        </is>
      </c>
      <c r="B234" s="1" t="n">
        <v>45268</v>
      </c>
      <c r="C234" s="1" t="n">
        <v>46029</v>
      </c>
      <c r="D234" t="inlineStr">
        <is>
          <t>ÖSTERGÖTLANDS LÄN</t>
        </is>
      </c>
      <c r="E234" t="inlineStr">
        <is>
          <t>LINKÖPING</t>
        </is>
      </c>
      <c r="G234" t="n">
        <v>7.4</v>
      </c>
      <c r="H234" t="n">
        <v>0</v>
      </c>
      <c r="I234" t="n">
        <v>0</v>
      </c>
      <c r="J234" t="n">
        <v>0</v>
      </c>
      <c r="K234" t="n">
        <v>0</v>
      </c>
      <c r="L234" t="n">
        <v>0</v>
      </c>
      <c r="M234" t="n">
        <v>0</v>
      </c>
      <c r="N234" t="n">
        <v>0</v>
      </c>
      <c r="O234" t="n">
        <v>0</v>
      </c>
      <c r="P234" t="n">
        <v>0</v>
      </c>
      <c r="Q234" t="n">
        <v>0</v>
      </c>
      <c r="R234" s="2" t="inlineStr"/>
    </row>
    <row r="235" ht="15" customHeight="1">
      <c r="A235" t="inlineStr">
        <is>
          <t>A 58947-2022</t>
        </is>
      </c>
      <c r="B235" s="1" t="n">
        <v>44903.64769675926</v>
      </c>
      <c r="C235" s="1" t="n">
        <v>46029</v>
      </c>
      <c r="D235" t="inlineStr">
        <is>
          <t>ÖSTERGÖTLANDS LÄN</t>
        </is>
      </c>
      <c r="E235" t="inlineStr">
        <is>
          <t>LINKÖPING</t>
        </is>
      </c>
      <c r="G235" t="n">
        <v>4</v>
      </c>
      <c r="H235" t="n">
        <v>0</v>
      </c>
      <c r="I235" t="n">
        <v>0</v>
      </c>
      <c r="J235" t="n">
        <v>0</v>
      </c>
      <c r="K235" t="n">
        <v>0</v>
      </c>
      <c r="L235" t="n">
        <v>0</v>
      </c>
      <c r="M235" t="n">
        <v>0</v>
      </c>
      <c r="N235" t="n">
        <v>0</v>
      </c>
      <c r="O235" t="n">
        <v>0</v>
      </c>
      <c r="P235" t="n">
        <v>0</v>
      </c>
      <c r="Q235" t="n">
        <v>0</v>
      </c>
      <c r="R235" s="2" t="inlineStr"/>
    </row>
    <row r="236" ht="15" customHeight="1">
      <c r="A236" t="inlineStr">
        <is>
          <t>A 45819-2024</t>
        </is>
      </c>
      <c r="B236" s="1" t="n">
        <v>45579.7454050926</v>
      </c>
      <c r="C236" s="1" t="n">
        <v>46029</v>
      </c>
      <c r="D236" t="inlineStr">
        <is>
          <t>ÖSTERGÖTLANDS LÄN</t>
        </is>
      </c>
      <c r="E236" t="inlineStr">
        <is>
          <t>LINKÖPING</t>
        </is>
      </c>
      <c r="G236" t="n">
        <v>5</v>
      </c>
      <c r="H236" t="n">
        <v>0</v>
      </c>
      <c r="I236" t="n">
        <v>0</v>
      </c>
      <c r="J236" t="n">
        <v>0</v>
      </c>
      <c r="K236" t="n">
        <v>0</v>
      </c>
      <c r="L236" t="n">
        <v>0</v>
      </c>
      <c r="M236" t="n">
        <v>0</v>
      </c>
      <c r="N236" t="n">
        <v>0</v>
      </c>
      <c r="O236" t="n">
        <v>0</v>
      </c>
      <c r="P236" t="n">
        <v>0</v>
      </c>
      <c r="Q236" t="n">
        <v>0</v>
      </c>
      <c r="R236" s="2" t="inlineStr"/>
    </row>
    <row r="237" ht="15" customHeight="1">
      <c r="A237" t="inlineStr">
        <is>
          <t>A 940-2023</t>
        </is>
      </c>
      <c r="B237" s="1" t="n">
        <v>44933</v>
      </c>
      <c r="C237" s="1" t="n">
        <v>46029</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3041-2024</t>
        </is>
      </c>
      <c r="B238" s="1" t="n">
        <v>45316.34875</v>
      </c>
      <c r="C238" s="1" t="n">
        <v>46029</v>
      </c>
      <c r="D238" t="inlineStr">
        <is>
          <t>ÖSTERGÖTLANDS LÄN</t>
        </is>
      </c>
      <c r="E238" t="inlineStr">
        <is>
          <t>LINKÖPING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7992-2023</t>
        </is>
      </c>
      <c r="B239" s="1" t="n">
        <v>44970</v>
      </c>
      <c r="C239" s="1" t="n">
        <v>46029</v>
      </c>
      <c r="D239" t="inlineStr">
        <is>
          <t>ÖSTERGÖTLANDS LÄN</t>
        </is>
      </c>
      <c r="E239" t="inlineStr">
        <is>
          <t>LINKÖPING</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3530-2024</t>
        </is>
      </c>
      <c r="B240" s="1" t="n">
        <v>45320.54717592592</v>
      </c>
      <c r="C240" s="1" t="n">
        <v>46029</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55345-2021</t>
        </is>
      </c>
      <c r="B241" s="1" t="n">
        <v>44475</v>
      </c>
      <c r="C241" s="1" t="n">
        <v>46029</v>
      </c>
      <c r="D241" t="inlineStr">
        <is>
          <t>ÖSTERGÖTLANDS LÄN</t>
        </is>
      </c>
      <c r="E241" t="inlineStr">
        <is>
          <t>LINKÖPING</t>
        </is>
      </c>
      <c r="G241" t="n">
        <v>5.7</v>
      </c>
      <c r="H241" t="n">
        <v>0</v>
      </c>
      <c r="I241" t="n">
        <v>0</v>
      </c>
      <c r="J241" t="n">
        <v>0</v>
      </c>
      <c r="K241" t="n">
        <v>0</v>
      </c>
      <c r="L241" t="n">
        <v>0</v>
      </c>
      <c r="M241" t="n">
        <v>0</v>
      </c>
      <c r="N241" t="n">
        <v>0</v>
      </c>
      <c r="O241" t="n">
        <v>0</v>
      </c>
      <c r="P241" t="n">
        <v>0</v>
      </c>
      <c r="Q241" t="n">
        <v>0</v>
      </c>
      <c r="R241" s="2" t="inlineStr"/>
    </row>
    <row r="242" ht="15" customHeight="1">
      <c r="A242" t="inlineStr">
        <is>
          <t>A 23768-2025</t>
        </is>
      </c>
      <c r="B242" s="1" t="n">
        <v>45793.47493055555</v>
      </c>
      <c r="C242" s="1" t="n">
        <v>46029</v>
      </c>
      <c r="D242" t="inlineStr">
        <is>
          <t>ÖSTERGÖTLANDS LÄN</t>
        </is>
      </c>
      <c r="E242" t="inlineStr">
        <is>
          <t>LINKÖPING</t>
        </is>
      </c>
      <c r="G242" t="n">
        <v>3.4</v>
      </c>
      <c r="H242" t="n">
        <v>0</v>
      </c>
      <c r="I242" t="n">
        <v>0</v>
      </c>
      <c r="J242" t="n">
        <v>0</v>
      </c>
      <c r="K242" t="n">
        <v>0</v>
      </c>
      <c r="L242" t="n">
        <v>0</v>
      </c>
      <c r="M242" t="n">
        <v>0</v>
      </c>
      <c r="N242" t="n">
        <v>0</v>
      </c>
      <c r="O242" t="n">
        <v>0</v>
      </c>
      <c r="P242" t="n">
        <v>0</v>
      </c>
      <c r="Q242" t="n">
        <v>0</v>
      </c>
      <c r="R242" s="2" t="inlineStr"/>
    </row>
    <row r="243" ht="15" customHeight="1">
      <c r="A243" t="inlineStr">
        <is>
          <t>A 63489-2023</t>
        </is>
      </c>
      <c r="B243" s="1" t="n">
        <v>45274.66761574074</v>
      </c>
      <c r="C243" s="1" t="n">
        <v>46029</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62686-2023</t>
        </is>
      </c>
      <c r="B244" s="1" t="n">
        <v>45271</v>
      </c>
      <c r="C244" s="1" t="n">
        <v>46029</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3008-2023</t>
        </is>
      </c>
      <c r="B245" s="1" t="n">
        <v>44945.79784722222</v>
      </c>
      <c r="C245" s="1" t="n">
        <v>46029</v>
      </c>
      <c r="D245" t="inlineStr">
        <is>
          <t>ÖSTERGÖTLANDS LÄN</t>
        </is>
      </c>
      <c r="E245" t="inlineStr">
        <is>
          <t>LINKÖPING</t>
        </is>
      </c>
      <c r="G245" t="n">
        <v>19.3</v>
      </c>
      <c r="H245" t="n">
        <v>0</v>
      </c>
      <c r="I245" t="n">
        <v>0</v>
      </c>
      <c r="J245" t="n">
        <v>0</v>
      </c>
      <c r="K245" t="n">
        <v>0</v>
      </c>
      <c r="L245" t="n">
        <v>0</v>
      </c>
      <c r="M245" t="n">
        <v>0</v>
      </c>
      <c r="N245" t="n">
        <v>0</v>
      </c>
      <c r="O245" t="n">
        <v>0</v>
      </c>
      <c r="P245" t="n">
        <v>0</v>
      </c>
      <c r="Q245" t="n">
        <v>0</v>
      </c>
      <c r="R245" s="2" t="inlineStr"/>
    </row>
    <row r="246" ht="15" customHeight="1">
      <c r="A246" t="inlineStr">
        <is>
          <t>A 70-2024</t>
        </is>
      </c>
      <c r="B246" s="1" t="n">
        <v>45293</v>
      </c>
      <c r="C246" s="1" t="n">
        <v>46029</v>
      </c>
      <c r="D246" t="inlineStr">
        <is>
          <t>ÖSTERGÖTLANDS LÄN</t>
        </is>
      </c>
      <c r="E246" t="inlineStr">
        <is>
          <t>LINKÖPING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55345-2021</t>
        </is>
      </c>
      <c r="B247" s="1" t="n">
        <v>44475</v>
      </c>
      <c r="C247" s="1" t="n">
        <v>46029</v>
      </c>
      <c r="D247" t="inlineStr">
        <is>
          <t>ÖSTERGÖTLANDS LÄN</t>
        </is>
      </c>
      <c r="E247" t="inlineStr">
        <is>
          <t>LINKÖPING</t>
        </is>
      </c>
      <c r="G247" t="n">
        <v>5.7</v>
      </c>
      <c r="H247" t="n">
        <v>0</v>
      </c>
      <c r="I247" t="n">
        <v>0</v>
      </c>
      <c r="J247" t="n">
        <v>0</v>
      </c>
      <c r="K247" t="n">
        <v>0</v>
      </c>
      <c r="L247" t="n">
        <v>0</v>
      </c>
      <c r="M247" t="n">
        <v>0</v>
      </c>
      <c r="N247" t="n">
        <v>0</v>
      </c>
      <c r="O247" t="n">
        <v>0</v>
      </c>
      <c r="P247" t="n">
        <v>0</v>
      </c>
      <c r="Q247" t="n">
        <v>0</v>
      </c>
      <c r="R247" s="2" t="inlineStr"/>
    </row>
    <row r="248" ht="15" customHeight="1">
      <c r="A248" t="inlineStr">
        <is>
          <t>A 6782-2024</t>
        </is>
      </c>
      <c r="B248" s="1" t="n">
        <v>45342</v>
      </c>
      <c r="C248" s="1" t="n">
        <v>46029</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617-2024</t>
        </is>
      </c>
      <c r="B249" s="1" t="n">
        <v>45299.66028935185</v>
      </c>
      <c r="C249" s="1" t="n">
        <v>46029</v>
      </c>
      <c r="D249" t="inlineStr">
        <is>
          <t>ÖSTERGÖTLANDS LÄN</t>
        </is>
      </c>
      <c r="E249" t="inlineStr">
        <is>
          <t>LINKÖPING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670-2024</t>
        </is>
      </c>
      <c r="B250" s="1" t="n">
        <v>45300.3408912037</v>
      </c>
      <c r="C250" s="1" t="n">
        <v>46029</v>
      </c>
      <c r="D250" t="inlineStr">
        <is>
          <t>ÖSTERGÖTLANDS LÄN</t>
        </is>
      </c>
      <c r="E250" t="inlineStr">
        <is>
          <t>LINKÖPING</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52125-2022</t>
        </is>
      </c>
      <c r="B251" s="1" t="n">
        <v>44873</v>
      </c>
      <c r="C251" s="1" t="n">
        <v>46029</v>
      </c>
      <c r="D251" t="inlineStr">
        <is>
          <t>ÖSTERGÖTLANDS LÄN</t>
        </is>
      </c>
      <c r="E251" t="inlineStr">
        <is>
          <t>LINKÖPING</t>
        </is>
      </c>
      <c r="F251" t="inlineStr">
        <is>
          <t>Övriga Aktiebolag</t>
        </is>
      </c>
      <c r="G251" t="n">
        <v>0.7</v>
      </c>
      <c r="H251" t="n">
        <v>0</v>
      </c>
      <c r="I251" t="n">
        <v>0</v>
      </c>
      <c r="J251" t="n">
        <v>0</v>
      </c>
      <c r="K251" t="n">
        <v>0</v>
      </c>
      <c r="L251" t="n">
        <v>0</v>
      </c>
      <c r="M251" t="n">
        <v>0</v>
      </c>
      <c r="N251" t="n">
        <v>0</v>
      </c>
      <c r="O251" t="n">
        <v>0</v>
      </c>
      <c r="P251" t="n">
        <v>0</v>
      </c>
      <c r="Q251" t="n">
        <v>0</v>
      </c>
      <c r="R251" s="2" t="inlineStr"/>
    </row>
    <row r="252" ht="15" customHeight="1">
      <c r="A252" t="inlineStr">
        <is>
          <t>A 61281-2021</t>
        </is>
      </c>
      <c r="B252" s="1" t="n">
        <v>44498.60736111111</v>
      </c>
      <c r="C252" s="1" t="n">
        <v>46029</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63935-2021</t>
        </is>
      </c>
      <c r="B253" s="1" t="n">
        <v>44509</v>
      </c>
      <c r="C253" s="1" t="n">
        <v>46029</v>
      </c>
      <c r="D253" t="inlineStr">
        <is>
          <t>ÖSTERGÖTLANDS LÄN</t>
        </is>
      </c>
      <c r="E253" t="inlineStr">
        <is>
          <t>LINKÖPING</t>
        </is>
      </c>
      <c r="F253" t="inlineStr">
        <is>
          <t>Övriga statliga verk och myndigheter</t>
        </is>
      </c>
      <c r="G253" t="n">
        <v>2.8</v>
      </c>
      <c r="H253" t="n">
        <v>0</v>
      </c>
      <c r="I253" t="n">
        <v>0</v>
      </c>
      <c r="J253" t="n">
        <v>0</v>
      </c>
      <c r="K253" t="n">
        <v>0</v>
      </c>
      <c r="L253" t="n">
        <v>0</v>
      </c>
      <c r="M253" t="n">
        <v>0</v>
      </c>
      <c r="N253" t="n">
        <v>0</v>
      </c>
      <c r="O253" t="n">
        <v>0</v>
      </c>
      <c r="P253" t="n">
        <v>0</v>
      </c>
      <c r="Q253" t="n">
        <v>0</v>
      </c>
      <c r="R253" s="2" t="inlineStr"/>
    </row>
    <row r="254" ht="15" customHeight="1">
      <c r="A254" t="inlineStr">
        <is>
          <t>A 1084-2023</t>
        </is>
      </c>
      <c r="B254" s="1" t="n">
        <v>44929</v>
      </c>
      <c r="C254" s="1" t="n">
        <v>46029</v>
      </c>
      <c r="D254" t="inlineStr">
        <is>
          <t>ÖSTERGÖTLANDS LÄN</t>
        </is>
      </c>
      <c r="E254" t="inlineStr">
        <is>
          <t>LINKÖPING</t>
        </is>
      </c>
      <c r="G254" t="n">
        <v>10.4</v>
      </c>
      <c r="H254" t="n">
        <v>0</v>
      </c>
      <c r="I254" t="n">
        <v>0</v>
      </c>
      <c r="J254" t="n">
        <v>0</v>
      </c>
      <c r="K254" t="n">
        <v>0</v>
      </c>
      <c r="L254" t="n">
        <v>0</v>
      </c>
      <c r="M254" t="n">
        <v>0</v>
      </c>
      <c r="N254" t="n">
        <v>0</v>
      </c>
      <c r="O254" t="n">
        <v>0</v>
      </c>
      <c r="P254" t="n">
        <v>0</v>
      </c>
      <c r="Q254" t="n">
        <v>0</v>
      </c>
      <c r="R254" s="2" t="inlineStr"/>
    </row>
    <row r="255" ht="15" customHeight="1">
      <c r="A255" t="inlineStr">
        <is>
          <t>A 25292-2021</t>
        </is>
      </c>
      <c r="B255" s="1" t="n">
        <v>44342</v>
      </c>
      <c r="C255" s="1" t="n">
        <v>46029</v>
      </c>
      <c r="D255" t="inlineStr">
        <is>
          <t>ÖSTERGÖTLANDS LÄN</t>
        </is>
      </c>
      <c r="E255" t="inlineStr">
        <is>
          <t>LINKÖPING</t>
        </is>
      </c>
      <c r="F255" t="inlineStr">
        <is>
          <t>Övriga Aktiebolag</t>
        </is>
      </c>
      <c r="G255" t="n">
        <v>12.8</v>
      </c>
      <c r="H255" t="n">
        <v>0</v>
      </c>
      <c r="I255" t="n">
        <v>0</v>
      </c>
      <c r="J255" t="n">
        <v>0</v>
      </c>
      <c r="K255" t="n">
        <v>0</v>
      </c>
      <c r="L255" t="n">
        <v>0</v>
      </c>
      <c r="M255" t="n">
        <v>0</v>
      </c>
      <c r="N255" t="n">
        <v>0</v>
      </c>
      <c r="O255" t="n">
        <v>0</v>
      </c>
      <c r="P255" t="n">
        <v>0</v>
      </c>
      <c r="Q255" t="n">
        <v>0</v>
      </c>
      <c r="R255" s="2" t="inlineStr"/>
    </row>
    <row r="256" ht="15" customHeight="1">
      <c r="A256" t="inlineStr">
        <is>
          <t>A 29859-2024</t>
        </is>
      </c>
      <c r="B256" s="1" t="n">
        <v>45485.6846412037</v>
      </c>
      <c r="C256" s="1" t="n">
        <v>46029</v>
      </c>
      <c r="D256" t="inlineStr">
        <is>
          <t>ÖSTERGÖTLANDS LÄN</t>
        </is>
      </c>
      <c r="E256" t="inlineStr">
        <is>
          <t>LINKÖPING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51571-2024</t>
        </is>
      </c>
      <c r="B257" s="1" t="n">
        <v>45604</v>
      </c>
      <c r="C257" s="1" t="n">
        <v>46029</v>
      </c>
      <c r="D257" t="inlineStr">
        <is>
          <t>ÖSTERGÖTLANDS LÄN</t>
        </is>
      </c>
      <c r="E257" t="inlineStr">
        <is>
          <t>LINKÖPING</t>
        </is>
      </c>
      <c r="F257" t="inlineStr">
        <is>
          <t>Övriga Aktiebolag</t>
        </is>
      </c>
      <c r="G257" t="n">
        <v>1.4</v>
      </c>
      <c r="H257" t="n">
        <v>0</v>
      </c>
      <c r="I257" t="n">
        <v>0</v>
      </c>
      <c r="J257" t="n">
        <v>0</v>
      </c>
      <c r="K257" t="n">
        <v>0</v>
      </c>
      <c r="L257" t="n">
        <v>0</v>
      </c>
      <c r="M257" t="n">
        <v>0</v>
      </c>
      <c r="N257" t="n">
        <v>0</v>
      </c>
      <c r="O257" t="n">
        <v>0</v>
      </c>
      <c r="P257" t="n">
        <v>0</v>
      </c>
      <c r="Q257" t="n">
        <v>0</v>
      </c>
      <c r="R257" s="2" t="inlineStr"/>
    </row>
    <row r="258" ht="15" customHeight="1">
      <c r="A258" t="inlineStr">
        <is>
          <t>A 223-2024</t>
        </is>
      </c>
      <c r="B258" s="1" t="n">
        <v>45294.72739583333</v>
      </c>
      <c r="C258" s="1" t="n">
        <v>46029</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227-2024</t>
        </is>
      </c>
      <c r="B259" s="1" t="n">
        <v>45294.73603009259</v>
      </c>
      <c r="C259" s="1" t="n">
        <v>46029</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39074-2025</t>
        </is>
      </c>
      <c r="B260" s="1" t="n">
        <v>45888</v>
      </c>
      <c r="C260" s="1" t="n">
        <v>46029</v>
      </c>
      <c r="D260" t="inlineStr">
        <is>
          <t>ÖSTERGÖTLANDS LÄN</t>
        </is>
      </c>
      <c r="E260" t="inlineStr">
        <is>
          <t>LINKÖPING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56917-2022</t>
        </is>
      </c>
      <c r="B261" s="1" t="n">
        <v>44894</v>
      </c>
      <c r="C261" s="1" t="n">
        <v>46029</v>
      </c>
      <c r="D261" t="inlineStr">
        <is>
          <t>ÖSTERGÖTLANDS LÄN</t>
        </is>
      </c>
      <c r="E261" t="inlineStr">
        <is>
          <t>LINKÖPING</t>
        </is>
      </c>
      <c r="G261" t="n">
        <v>2.2</v>
      </c>
      <c r="H261" t="n">
        <v>0</v>
      </c>
      <c r="I261" t="n">
        <v>0</v>
      </c>
      <c r="J261" t="n">
        <v>0</v>
      </c>
      <c r="K261" t="n">
        <v>0</v>
      </c>
      <c r="L261" t="n">
        <v>0</v>
      </c>
      <c r="M261" t="n">
        <v>0</v>
      </c>
      <c r="N261" t="n">
        <v>0</v>
      </c>
      <c r="O261" t="n">
        <v>0</v>
      </c>
      <c r="P261" t="n">
        <v>0</v>
      </c>
      <c r="Q261" t="n">
        <v>0</v>
      </c>
      <c r="R261" s="2" t="inlineStr"/>
    </row>
    <row r="262" ht="15" customHeight="1">
      <c r="A262" t="inlineStr">
        <is>
          <t>A 44280-2024</t>
        </is>
      </c>
      <c r="B262" s="1" t="n">
        <v>45573.49461805556</v>
      </c>
      <c r="C262" s="1" t="n">
        <v>46029</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1265-2023</t>
        </is>
      </c>
      <c r="B263" s="1" t="n">
        <v>44936</v>
      </c>
      <c r="C263" s="1" t="n">
        <v>46029</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1362-2023</t>
        </is>
      </c>
      <c r="B264" s="1" t="n">
        <v>44931</v>
      </c>
      <c r="C264" s="1" t="n">
        <v>46029</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54034-2022</t>
        </is>
      </c>
      <c r="B265" s="1" t="n">
        <v>44881</v>
      </c>
      <c r="C265" s="1" t="n">
        <v>46029</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55493-2021</t>
        </is>
      </c>
      <c r="B266" s="1" t="n">
        <v>44475.61988425926</v>
      </c>
      <c r="C266" s="1" t="n">
        <v>46029</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6054-2022</t>
        </is>
      </c>
      <c r="B267" s="1" t="n">
        <v>44599.53623842593</v>
      </c>
      <c r="C267" s="1" t="n">
        <v>46029</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25996-2025</t>
        </is>
      </c>
      <c r="B268" s="1" t="n">
        <v>45804.65851851852</v>
      </c>
      <c r="C268" s="1" t="n">
        <v>46029</v>
      </c>
      <c r="D268" t="inlineStr">
        <is>
          <t>ÖSTERGÖTLANDS LÄN</t>
        </is>
      </c>
      <c r="E268" t="inlineStr">
        <is>
          <t>LINKÖPING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38971-2025</t>
        </is>
      </c>
      <c r="B269" s="1" t="n">
        <v>45887.71827546296</v>
      </c>
      <c r="C269" s="1" t="n">
        <v>46029</v>
      </c>
      <c r="D269" t="inlineStr">
        <is>
          <t>ÖSTERGÖTLANDS LÄN</t>
        </is>
      </c>
      <c r="E269" t="inlineStr">
        <is>
          <t>LINKÖPING</t>
        </is>
      </c>
      <c r="G269" t="n">
        <v>3.9</v>
      </c>
      <c r="H269" t="n">
        <v>0</v>
      </c>
      <c r="I269" t="n">
        <v>0</v>
      </c>
      <c r="J269" t="n">
        <v>0</v>
      </c>
      <c r="K269" t="n">
        <v>0</v>
      </c>
      <c r="L269" t="n">
        <v>0</v>
      </c>
      <c r="M269" t="n">
        <v>0</v>
      </c>
      <c r="N269" t="n">
        <v>0</v>
      </c>
      <c r="O269" t="n">
        <v>0</v>
      </c>
      <c r="P269" t="n">
        <v>0</v>
      </c>
      <c r="Q269" t="n">
        <v>0</v>
      </c>
      <c r="R269" s="2" t="inlineStr"/>
    </row>
    <row r="270" ht="15" customHeight="1">
      <c r="A270" t="inlineStr">
        <is>
          <t>A 25119-2023</t>
        </is>
      </c>
      <c r="B270" s="1" t="n">
        <v>45086.42326388889</v>
      </c>
      <c r="C270" s="1" t="n">
        <v>46029</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46029</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4456-2024</t>
        </is>
      </c>
      <c r="B272" s="1" t="n">
        <v>45327.52847222222</v>
      </c>
      <c r="C272" s="1" t="n">
        <v>46029</v>
      </c>
      <c r="D272" t="inlineStr">
        <is>
          <t>ÖSTERGÖTLANDS LÄN</t>
        </is>
      </c>
      <c r="E272" t="inlineStr">
        <is>
          <t>LINKÖPING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46029</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58114-2021</t>
        </is>
      </c>
      <c r="B274" s="1" t="n">
        <v>44487</v>
      </c>
      <c r="C274" s="1" t="n">
        <v>46029</v>
      </c>
      <c r="D274" t="inlineStr">
        <is>
          <t>ÖSTERGÖTLANDS LÄN</t>
        </is>
      </c>
      <c r="E274" t="inlineStr">
        <is>
          <t>LINKÖPING</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52892-2024</t>
        </is>
      </c>
      <c r="B275" s="1" t="n">
        <v>45610</v>
      </c>
      <c r="C275" s="1" t="n">
        <v>46029</v>
      </c>
      <c r="D275" t="inlineStr">
        <is>
          <t>ÖSTERGÖTLANDS LÄN</t>
        </is>
      </c>
      <c r="E275" t="inlineStr">
        <is>
          <t>LINKÖPING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44945.79784722222</v>
      </c>
      <c r="C276" s="1" t="n">
        <v>46029</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27264-2025</t>
        </is>
      </c>
      <c r="B277" s="1" t="n">
        <v>45812.4794212963</v>
      </c>
      <c r="C277" s="1" t="n">
        <v>46029</v>
      </c>
      <c r="D277" t="inlineStr">
        <is>
          <t>ÖSTERGÖTLANDS LÄN</t>
        </is>
      </c>
      <c r="E277" t="inlineStr">
        <is>
          <t>LINKÖPING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55736-2022</t>
        </is>
      </c>
      <c r="B278" s="1" t="n">
        <v>44888</v>
      </c>
      <c r="C278" s="1" t="n">
        <v>46029</v>
      </c>
      <c r="D278" t="inlineStr">
        <is>
          <t>ÖSTERGÖTLANDS LÄN</t>
        </is>
      </c>
      <c r="E278" t="inlineStr">
        <is>
          <t>LINKÖPING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39438-2025</t>
        </is>
      </c>
      <c r="B279" s="1" t="n">
        <v>45889.68641203704</v>
      </c>
      <c r="C279" s="1" t="n">
        <v>46029</v>
      </c>
      <c r="D279" t="inlineStr">
        <is>
          <t>ÖSTERGÖTLANDS LÄN</t>
        </is>
      </c>
      <c r="E279" t="inlineStr">
        <is>
          <t>LINKÖPING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30434-2024</t>
        </is>
      </c>
      <c r="B280" s="1" t="n">
        <v>45491.69811342593</v>
      </c>
      <c r="C280" s="1" t="n">
        <v>46029</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11084-2022</t>
        </is>
      </c>
      <c r="B281" s="1" t="n">
        <v>44628</v>
      </c>
      <c r="C281" s="1" t="n">
        <v>46029</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57745-2022</t>
        </is>
      </c>
      <c r="B282" s="1" t="n">
        <v>44897.58119212963</v>
      </c>
      <c r="C282" s="1" t="n">
        <v>46029</v>
      </c>
      <c r="D282" t="inlineStr">
        <is>
          <t>ÖSTERGÖTLANDS LÄN</t>
        </is>
      </c>
      <c r="E282" t="inlineStr">
        <is>
          <t>LINKÖPING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14520-2025</t>
        </is>
      </c>
      <c r="B283" s="1" t="n">
        <v>45741</v>
      </c>
      <c r="C283" s="1" t="n">
        <v>46029</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40169-2025</t>
        </is>
      </c>
      <c r="B284" s="1" t="n">
        <v>45894.62824074074</v>
      </c>
      <c r="C284" s="1" t="n">
        <v>46029</v>
      </c>
      <c r="D284" t="inlineStr">
        <is>
          <t>ÖSTERGÖTLANDS LÄN</t>
        </is>
      </c>
      <c r="E284" t="inlineStr">
        <is>
          <t>LINKÖPING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56064-2022</t>
        </is>
      </c>
      <c r="B285" s="1" t="n">
        <v>44889.59107638889</v>
      </c>
      <c r="C285" s="1" t="n">
        <v>46029</v>
      </c>
      <c r="D285" t="inlineStr">
        <is>
          <t>ÖSTERGÖTLANDS LÄN</t>
        </is>
      </c>
      <c r="E285" t="inlineStr">
        <is>
          <t>LINKÖPING</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28200-2025</t>
        </is>
      </c>
      <c r="B286" s="1" t="n">
        <v>45818.4428125</v>
      </c>
      <c r="C286" s="1" t="n">
        <v>46029</v>
      </c>
      <c r="D286" t="inlineStr">
        <is>
          <t>ÖSTERGÖTLANDS LÄN</t>
        </is>
      </c>
      <c r="E286" t="inlineStr">
        <is>
          <t>LINKÖPING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40502-2024</t>
        </is>
      </c>
      <c r="B287" s="1" t="n">
        <v>45555.57263888889</v>
      </c>
      <c r="C287" s="1" t="n">
        <v>46029</v>
      </c>
      <c r="D287" t="inlineStr">
        <is>
          <t>ÖSTERGÖTLANDS LÄN</t>
        </is>
      </c>
      <c r="E287" t="inlineStr">
        <is>
          <t>LINKÖPING</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27950-2025</t>
        </is>
      </c>
      <c r="B288" s="1" t="n">
        <v>45817.52960648148</v>
      </c>
      <c r="C288" s="1" t="n">
        <v>46029</v>
      </c>
      <c r="D288" t="inlineStr">
        <is>
          <t>ÖSTERGÖTLANDS LÄN</t>
        </is>
      </c>
      <c r="E288" t="inlineStr">
        <is>
          <t>LINKÖPING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44155-2024</t>
        </is>
      </c>
      <c r="B289" s="1" t="n">
        <v>45572.68226851852</v>
      </c>
      <c r="C289" s="1" t="n">
        <v>46029</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27797-2025</t>
        </is>
      </c>
      <c r="B290" s="1" t="n">
        <v>45816.80521990741</v>
      </c>
      <c r="C290" s="1" t="n">
        <v>46029</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27798-2025</t>
        </is>
      </c>
      <c r="B291" s="1" t="n">
        <v>45816.81532407407</v>
      </c>
      <c r="C291" s="1" t="n">
        <v>46029</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28209-2025</t>
        </is>
      </c>
      <c r="B292" s="1" t="n">
        <v>45818.45112268518</v>
      </c>
      <c r="C292" s="1" t="n">
        <v>46029</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28204-2025</t>
        </is>
      </c>
      <c r="B293" s="1" t="n">
        <v>45818.4477662037</v>
      </c>
      <c r="C293" s="1" t="n">
        <v>46029</v>
      </c>
      <c r="D293" t="inlineStr">
        <is>
          <t>ÖSTERGÖTLANDS LÄN</t>
        </is>
      </c>
      <c r="E293" t="inlineStr">
        <is>
          <t>LINKÖPING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28398-2025</t>
        </is>
      </c>
      <c r="B294" s="1" t="n">
        <v>45819.34208333334</v>
      </c>
      <c r="C294" s="1" t="n">
        <v>46029</v>
      </c>
      <c r="D294" t="inlineStr">
        <is>
          <t>ÖSTERGÖTLANDS LÄN</t>
        </is>
      </c>
      <c r="E294" t="inlineStr">
        <is>
          <t>LINKÖPING</t>
        </is>
      </c>
      <c r="F294" t="inlineStr">
        <is>
          <t>Sveaskog</t>
        </is>
      </c>
      <c r="G294" t="n">
        <v>7.9</v>
      </c>
      <c r="H294" t="n">
        <v>0</v>
      </c>
      <c r="I294" t="n">
        <v>0</v>
      </c>
      <c r="J294" t="n">
        <v>0</v>
      </c>
      <c r="K294" t="n">
        <v>0</v>
      </c>
      <c r="L294" t="n">
        <v>0</v>
      </c>
      <c r="M294" t="n">
        <v>0</v>
      </c>
      <c r="N294" t="n">
        <v>0</v>
      </c>
      <c r="O294" t="n">
        <v>0</v>
      </c>
      <c r="P294" t="n">
        <v>0</v>
      </c>
      <c r="Q294" t="n">
        <v>0</v>
      </c>
      <c r="R294" s="2" t="inlineStr"/>
    </row>
    <row r="295" ht="15" customHeight="1">
      <c r="A295" t="inlineStr">
        <is>
          <t>A 42997-2021</t>
        </is>
      </c>
      <c r="B295" s="1" t="n">
        <v>44431.45556712963</v>
      </c>
      <c r="C295" s="1" t="n">
        <v>46029</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28416-2025</t>
        </is>
      </c>
      <c r="B296" s="1" t="n">
        <v>45819.35346064815</v>
      </c>
      <c r="C296" s="1" t="n">
        <v>46029</v>
      </c>
      <c r="D296" t="inlineStr">
        <is>
          <t>ÖSTERGÖTLANDS LÄN</t>
        </is>
      </c>
      <c r="E296" t="inlineStr">
        <is>
          <t>LINKÖPING</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29027-2025</t>
        </is>
      </c>
      <c r="B297" s="1" t="n">
        <v>45821.4375462963</v>
      </c>
      <c r="C297" s="1" t="n">
        <v>46029</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29393-2025</t>
        </is>
      </c>
      <c r="B298" s="1" t="n">
        <v>45824.6057175926</v>
      </c>
      <c r="C298" s="1" t="n">
        <v>46029</v>
      </c>
      <c r="D298" t="inlineStr">
        <is>
          <t>ÖSTERGÖTLANDS LÄN</t>
        </is>
      </c>
      <c r="E298" t="inlineStr">
        <is>
          <t>LINKÖPING</t>
        </is>
      </c>
      <c r="F298" t="inlineStr">
        <is>
          <t>Sveaskog</t>
        </is>
      </c>
      <c r="G298" t="n">
        <v>24.6</v>
      </c>
      <c r="H298" t="n">
        <v>0</v>
      </c>
      <c r="I298" t="n">
        <v>0</v>
      </c>
      <c r="J298" t="n">
        <v>0</v>
      </c>
      <c r="K298" t="n">
        <v>0</v>
      </c>
      <c r="L298" t="n">
        <v>0</v>
      </c>
      <c r="M298" t="n">
        <v>0</v>
      </c>
      <c r="N298" t="n">
        <v>0</v>
      </c>
      <c r="O298" t="n">
        <v>0</v>
      </c>
      <c r="P298" t="n">
        <v>0</v>
      </c>
      <c r="Q298" t="n">
        <v>0</v>
      </c>
      <c r="R298" s="2" t="inlineStr"/>
    </row>
    <row r="299" ht="15" customHeight="1">
      <c r="A299" t="inlineStr">
        <is>
          <t>A 29411-2025</t>
        </is>
      </c>
      <c r="B299" s="1" t="n">
        <v>45824.6219212963</v>
      </c>
      <c r="C299" s="1" t="n">
        <v>46029</v>
      </c>
      <c r="D299" t="inlineStr">
        <is>
          <t>ÖSTERGÖTLANDS LÄN</t>
        </is>
      </c>
      <c r="E299" t="inlineStr">
        <is>
          <t>LINKÖPING</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29599-2025</t>
        </is>
      </c>
      <c r="B300" s="1" t="n">
        <v>45825.41101851852</v>
      </c>
      <c r="C300" s="1" t="n">
        <v>46029</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14028-2024</t>
        </is>
      </c>
      <c r="B301" s="1" t="n">
        <v>45392</v>
      </c>
      <c r="C301" s="1" t="n">
        <v>46029</v>
      </c>
      <c r="D301" t="inlineStr">
        <is>
          <t>ÖSTERGÖTLANDS LÄN</t>
        </is>
      </c>
      <c r="E301" t="inlineStr">
        <is>
          <t>LINKÖPING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30355-2025</t>
        </is>
      </c>
      <c r="B302" s="1" t="n">
        <v>45827</v>
      </c>
      <c r="C302" s="1" t="n">
        <v>46029</v>
      </c>
      <c r="D302" t="inlineStr">
        <is>
          <t>ÖSTERGÖTLANDS LÄN</t>
        </is>
      </c>
      <c r="E302" t="inlineStr">
        <is>
          <t>LINKÖPING</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30353-2025</t>
        </is>
      </c>
      <c r="B303" s="1" t="n">
        <v>45827</v>
      </c>
      <c r="C303" s="1" t="n">
        <v>46029</v>
      </c>
      <c r="D303" t="inlineStr">
        <is>
          <t>ÖSTERGÖTLANDS LÄN</t>
        </is>
      </c>
      <c r="E303" t="inlineStr">
        <is>
          <t>LINKÖPING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14667-2024</t>
        </is>
      </c>
      <c r="B304" s="1" t="n">
        <v>45397.42005787037</v>
      </c>
      <c r="C304" s="1" t="n">
        <v>46029</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2697-2023</t>
        </is>
      </c>
      <c r="B305" s="1" t="n">
        <v>44944</v>
      </c>
      <c r="C305" s="1" t="n">
        <v>46029</v>
      </c>
      <c r="D305" t="inlineStr">
        <is>
          <t>ÖSTERGÖTLANDS LÄN</t>
        </is>
      </c>
      <c r="E305" t="inlineStr">
        <is>
          <t>LINKÖPING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53641-2023</t>
        </is>
      </c>
      <c r="B306" s="1" t="n">
        <v>45230</v>
      </c>
      <c r="C306" s="1" t="n">
        <v>46029</v>
      </c>
      <c r="D306" t="inlineStr">
        <is>
          <t>ÖSTERGÖTLANDS LÄN</t>
        </is>
      </c>
      <c r="E306" t="inlineStr">
        <is>
          <t>LINKÖPING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48707-2023</t>
        </is>
      </c>
      <c r="B307" s="1" t="n">
        <v>45202</v>
      </c>
      <c r="C307" s="1" t="n">
        <v>46029</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53411-2023</t>
        </is>
      </c>
      <c r="B308" s="1" t="n">
        <v>45229.81049768518</v>
      </c>
      <c r="C308" s="1" t="n">
        <v>46029</v>
      </c>
      <c r="D308" t="inlineStr">
        <is>
          <t>ÖSTERGÖTLANDS LÄN</t>
        </is>
      </c>
      <c r="E308" t="inlineStr">
        <is>
          <t>LINKÖPING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56741-2023</t>
        </is>
      </c>
      <c r="B309" s="1" t="n">
        <v>45244</v>
      </c>
      <c r="C309" s="1" t="n">
        <v>46029</v>
      </c>
      <c r="D309" t="inlineStr">
        <is>
          <t>ÖSTERGÖTLANDS LÄN</t>
        </is>
      </c>
      <c r="E309" t="inlineStr">
        <is>
          <t>LINKÖPING</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56792-2023</t>
        </is>
      </c>
      <c r="B310" s="1" t="n">
        <v>45244</v>
      </c>
      <c r="C310" s="1" t="n">
        <v>46029</v>
      </c>
      <c r="D310" t="inlineStr">
        <is>
          <t>ÖSTERGÖTLANDS LÄN</t>
        </is>
      </c>
      <c r="E310" t="inlineStr">
        <is>
          <t>LINKÖPING</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3007-2023</t>
        </is>
      </c>
      <c r="B311" s="1" t="n">
        <v>44945</v>
      </c>
      <c r="C311" s="1" t="n">
        <v>46029</v>
      </c>
      <c r="D311" t="inlineStr">
        <is>
          <t>ÖSTERGÖTLANDS LÄN</t>
        </is>
      </c>
      <c r="E311" t="inlineStr">
        <is>
          <t>LINKÖPING</t>
        </is>
      </c>
      <c r="G311" t="n">
        <v>2.6</v>
      </c>
      <c r="H311" t="n">
        <v>0</v>
      </c>
      <c r="I311" t="n">
        <v>0</v>
      </c>
      <c r="J311" t="n">
        <v>0</v>
      </c>
      <c r="K311" t="n">
        <v>0</v>
      </c>
      <c r="L311" t="n">
        <v>0</v>
      </c>
      <c r="M311" t="n">
        <v>0</v>
      </c>
      <c r="N311" t="n">
        <v>0</v>
      </c>
      <c r="O311" t="n">
        <v>0</v>
      </c>
      <c r="P311" t="n">
        <v>0</v>
      </c>
      <c r="Q311" t="n">
        <v>0</v>
      </c>
      <c r="R311" s="2" t="inlineStr"/>
    </row>
    <row r="312" ht="15" customHeight="1">
      <c r="A312" t="inlineStr">
        <is>
          <t>A 40338-2024</t>
        </is>
      </c>
      <c r="B312" s="1" t="n">
        <v>45555.32940972222</v>
      </c>
      <c r="C312" s="1" t="n">
        <v>46029</v>
      </c>
      <c r="D312" t="inlineStr">
        <is>
          <t>ÖSTERGÖTLANDS LÄN</t>
        </is>
      </c>
      <c r="E312" t="inlineStr">
        <is>
          <t>LINKÖPING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3013-2023</t>
        </is>
      </c>
      <c r="B313" s="1" t="n">
        <v>44945.8092824074</v>
      </c>
      <c r="C313" s="1" t="n">
        <v>46029</v>
      </c>
      <c r="D313" t="inlineStr">
        <is>
          <t>ÖSTERGÖTLANDS LÄN</t>
        </is>
      </c>
      <c r="E313" t="inlineStr">
        <is>
          <t>LINKÖPING</t>
        </is>
      </c>
      <c r="G313" t="n">
        <v>5.2</v>
      </c>
      <c r="H313" t="n">
        <v>0</v>
      </c>
      <c r="I313" t="n">
        <v>0</v>
      </c>
      <c r="J313" t="n">
        <v>0</v>
      </c>
      <c r="K313" t="n">
        <v>0</v>
      </c>
      <c r="L313" t="n">
        <v>0</v>
      </c>
      <c r="M313" t="n">
        <v>0</v>
      </c>
      <c r="N313" t="n">
        <v>0</v>
      </c>
      <c r="O313" t="n">
        <v>0</v>
      </c>
      <c r="P313" t="n">
        <v>0</v>
      </c>
      <c r="Q313" t="n">
        <v>0</v>
      </c>
      <c r="R313" s="2" t="inlineStr"/>
    </row>
    <row r="314" ht="15" customHeight="1">
      <c r="A314" t="inlineStr">
        <is>
          <t>A 41706-2025</t>
        </is>
      </c>
      <c r="B314" s="1" t="n">
        <v>45902.42209490741</v>
      </c>
      <c r="C314" s="1" t="n">
        <v>46029</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31581-2025</t>
        </is>
      </c>
      <c r="B315" s="1" t="n">
        <v>45833.6840162037</v>
      </c>
      <c r="C315" s="1" t="n">
        <v>46029</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31585-2025</t>
        </is>
      </c>
      <c r="B316" s="1" t="n">
        <v>45833.68815972222</v>
      </c>
      <c r="C316" s="1" t="n">
        <v>46029</v>
      </c>
      <c r="D316" t="inlineStr">
        <is>
          <t>ÖSTERGÖTLANDS LÄN</t>
        </is>
      </c>
      <c r="E316" t="inlineStr">
        <is>
          <t>LINKÖPING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55945-2024</t>
        </is>
      </c>
      <c r="B317" s="1" t="n">
        <v>45623.61754629629</v>
      </c>
      <c r="C317" s="1" t="n">
        <v>46029</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1993-2023</t>
        </is>
      </c>
      <c r="B318" s="1" t="n">
        <v>44939</v>
      </c>
      <c r="C318" s="1" t="n">
        <v>46029</v>
      </c>
      <c r="D318" t="inlineStr">
        <is>
          <t>ÖSTERGÖTLANDS LÄN</t>
        </is>
      </c>
      <c r="E318" t="inlineStr">
        <is>
          <t>LINKÖPING</t>
        </is>
      </c>
      <c r="G318" t="n">
        <v>3.7</v>
      </c>
      <c r="H318" t="n">
        <v>0</v>
      </c>
      <c r="I318" t="n">
        <v>0</v>
      </c>
      <c r="J318" t="n">
        <v>0</v>
      </c>
      <c r="K318" t="n">
        <v>0</v>
      </c>
      <c r="L318" t="n">
        <v>0</v>
      </c>
      <c r="M318" t="n">
        <v>0</v>
      </c>
      <c r="N318" t="n">
        <v>0</v>
      </c>
      <c r="O318" t="n">
        <v>0</v>
      </c>
      <c r="P318" t="n">
        <v>0</v>
      </c>
      <c r="Q318" t="n">
        <v>0</v>
      </c>
      <c r="R318" s="2" t="inlineStr"/>
    </row>
    <row r="319" ht="15" customHeight="1">
      <c r="A319" t="inlineStr">
        <is>
          <t>A 2618-2023</t>
        </is>
      </c>
      <c r="B319" s="1" t="n">
        <v>44944.35847222222</v>
      </c>
      <c r="C319" s="1" t="n">
        <v>46029</v>
      </c>
      <c r="D319" t="inlineStr">
        <is>
          <t>ÖSTERGÖTLANDS LÄN</t>
        </is>
      </c>
      <c r="E319" t="inlineStr">
        <is>
          <t>LINKÖPING</t>
        </is>
      </c>
      <c r="G319" t="n">
        <v>4.3</v>
      </c>
      <c r="H319" t="n">
        <v>0</v>
      </c>
      <c r="I319" t="n">
        <v>0</v>
      </c>
      <c r="J319" t="n">
        <v>0</v>
      </c>
      <c r="K319" t="n">
        <v>0</v>
      </c>
      <c r="L319" t="n">
        <v>0</v>
      </c>
      <c r="M319" t="n">
        <v>0</v>
      </c>
      <c r="N319" t="n">
        <v>0</v>
      </c>
      <c r="O319" t="n">
        <v>0</v>
      </c>
      <c r="P319" t="n">
        <v>0</v>
      </c>
      <c r="Q319" t="n">
        <v>0</v>
      </c>
      <c r="R319" s="2" t="inlineStr"/>
    </row>
    <row r="320" ht="15" customHeight="1">
      <c r="A320" t="inlineStr">
        <is>
          <t>A 10203-2023</t>
        </is>
      </c>
      <c r="B320" s="1" t="n">
        <v>44986.55711805556</v>
      </c>
      <c r="C320" s="1" t="n">
        <v>46029</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34889-2023</t>
        </is>
      </c>
      <c r="B321" s="1" t="n">
        <v>45140</v>
      </c>
      <c r="C321" s="1" t="n">
        <v>46029</v>
      </c>
      <c r="D321" t="inlineStr">
        <is>
          <t>ÖSTERGÖTLANDS LÄN</t>
        </is>
      </c>
      <c r="E321" t="inlineStr">
        <is>
          <t>LINKÖPING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34928-2023</t>
        </is>
      </c>
      <c r="B322" s="1" t="n">
        <v>45142</v>
      </c>
      <c r="C322" s="1" t="n">
        <v>46029</v>
      </c>
      <c r="D322" t="inlineStr">
        <is>
          <t>ÖSTERGÖTLANDS LÄN</t>
        </is>
      </c>
      <c r="E322" t="inlineStr">
        <is>
          <t>LINKÖPING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32723-2025</t>
        </is>
      </c>
      <c r="B323" s="1" t="n">
        <v>45838</v>
      </c>
      <c r="C323" s="1" t="n">
        <v>46029</v>
      </c>
      <c r="D323" t="inlineStr">
        <is>
          <t>ÖSTERGÖTLANDS LÄN</t>
        </is>
      </c>
      <c r="E323" t="inlineStr">
        <is>
          <t>LINKÖPING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1268-2023</t>
        </is>
      </c>
      <c r="B324" s="1" t="n">
        <v>44936</v>
      </c>
      <c r="C324" s="1" t="n">
        <v>46029</v>
      </c>
      <c r="D324" t="inlineStr">
        <is>
          <t>ÖSTERGÖTLANDS LÄN</t>
        </is>
      </c>
      <c r="E324" t="inlineStr">
        <is>
          <t>LINKÖPING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5314-2021</t>
        </is>
      </c>
      <c r="B325" s="1" t="n">
        <v>44229</v>
      </c>
      <c r="C325" s="1" t="n">
        <v>46029</v>
      </c>
      <c r="D325" t="inlineStr">
        <is>
          <t>ÖSTERGÖTLANDS LÄN</t>
        </is>
      </c>
      <c r="E325" t="inlineStr">
        <is>
          <t>LINKÖPING</t>
        </is>
      </c>
      <c r="G325" t="n">
        <v>6.2</v>
      </c>
      <c r="H325" t="n">
        <v>0</v>
      </c>
      <c r="I325" t="n">
        <v>0</v>
      </c>
      <c r="J325" t="n">
        <v>0</v>
      </c>
      <c r="K325" t="n">
        <v>0</v>
      </c>
      <c r="L325" t="n">
        <v>0</v>
      </c>
      <c r="M325" t="n">
        <v>0</v>
      </c>
      <c r="N325" t="n">
        <v>0</v>
      </c>
      <c r="O325" t="n">
        <v>0</v>
      </c>
      <c r="P325" t="n">
        <v>0</v>
      </c>
      <c r="Q325" t="n">
        <v>0</v>
      </c>
      <c r="R325" s="2" t="inlineStr"/>
    </row>
    <row r="326" ht="15" customHeight="1">
      <c r="A326" t="inlineStr">
        <is>
          <t>A 41511-2025</t>
        </is>
      </c>
      <c r="B326" s="1" t="n">
        <v>45901.53839120371</v>
      </c>
      <c r="C326" s="1" t="n">
        <v>46029</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49747-2024</t>
        </is>
      </c>
      <c r="B327" s="1" t="n">
        <v>45596</v>
      </c>
      <c r="C327" s="1" t="n">
        <v>46029</v>
      </c>
      <c r="D327" t="inlineStr">
        <is>
          <t>ÖSTERGÖTLANDS LÄN</t>
        </is>
      </c>
      <c r="E327" t="inlineStr">
        <is>
          <t>LINKÖPING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3042-2024</t>
        </is>
      </c>
      <c r="B328" s="1" t="n">
        <v>45316.35028935185</v>
      </c>
      <c r="C328" s="1" t="n">
        <v>46029</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29293-2025</t>
        </is>
      </c>
      <c r="B329" s="1" t="n">
        <v>45824</v>
      </c>
      <c r="C329" s="1" t="n">
        <v>46029</v>
      </c>
      <c r="D329" t="inlineStr">
        <is>
          <t>ÖSTERGÖTLANDS LÄN</t>
        </is>
      </c>
      <c r="E329" t="inlineStr">
        <is>
          <t>LINKÖPING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31725-2022</t>
        </is>
      </c>
      <c r="B330" s="1" t="n">
        <v>44776.48541666667</v>
      </c>
      <c r="C330" s="1" t="n">
        <v>46029</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33947-2025</t>
        </is>
      </c>
      <c r="B331" s="1" t="n">
        <v>45842.65444444444</v>
      </c>
      <c r="C331" s="1" t="n">
        <v>46029</v>
      </c>
      <c r="D331" t="inlineStr">
        <is>
          <t>ÖSTERGÖTLANDS LÄN</t>
        </is>
      </c>
      <c r="E331" t="inlineStr">
        <is>
          <t>LINKÖPING</t>
        </is>
      </c>
      <c r="F331" t="inlineStr">
        <is>
          <t>Sveaskog</t>
        </is>
      </c>
      <c r="G331" t="n">
        <v>0.6</v>
      </c>
      <c r="H331" t="n">
        <v>0</v>
      </c>
      <c r="I331" t="n">
        <v>0</v>
      </c>
      <c r="J331" t="n">
        <v>0</v>
      </c>
      <c r="K331" t="n">
        <v>0</v>
      </c>
      <c r="L331" t="n">
        <v>0</v>
      </c>
      <c r="M331" t="n">
        <v>0</v>
      </c>
      <c r="N331" t="n">
        <v>0</v>
      </c>
      <c r="O331" t="n">
        <v>0</v>
      </c>
      <c r="P331" t="n">
        <v>0</v>
      </c>
      <c r="Q331" t="n">
        <v>0</v>
      </c>
      <c r="R331" s="2" t="inlineStr"/>
    </row>
    <row r="332" ht="15" customHeight="1">
      <c r="A332" t="inlineStr">
        <is>
          <t>A 2389-2023</t>
        </is>
      </c>
      <c r="B332" s="1" t="n">
        <v>44942</v>
      </c>
      <c r="C332" s="1" t="n">
        <v>46029</v>
      </c>
      <c r="D332" t="inlineStr">
        <is>
          <t>ÖSTERGÖTLANDS LÄN</t>
        </is>
      </c>
      <c r="E332" t="inlineStr">
        <is>
          <t>LINKÖPING</t>
        </is>
      </c>
      <c r="G332" t="n">
        <v>3.3</v>
      </c>
      <c r="H332" t="n">
        <v>0</v>
      </c>
      <c r="I332" t="n">
        <v>0</v>
      </c>
      <c r="J332" t="n">
        <v>0</v>
      </c>
      <c r="K332" t="n">
        <v>0</v>
      </c>
      <c r="L332" t="n">
        <v>0</v>
      </c>
      <c r="M332" t="n">
        <v>0</v>
      </c>
      <c r="N332" t="n">
        <v>0</v>
      </c>
      <c r="O332" t="n">
        <v>0</v>
      </c>
      <c r="P332" t="n">
        <v>0</v>
      </c>
      <c r="Q332" t="n">
        <v>0</v>
      </c>
      <c r="R332" s="2" t="inlineStr"/>
    </row>
    <row r="333" ht="15" customHeight="1">
      <c r="A333" t="inlineStr">
        <is>
          <t>A 3627-2023</t>
        </is>
      </c>
      <c r="B333" s="1" t="n">
        <v>44950.64782407408</v>
      </c>
      <c r="C333" s="1" t="n">
        <v>46029</v>
      </c>
      <c r="D333" t="inlineStr">
        <is>
          <t>ÖSTERGÖTLANDS LÄN</t>
        </is>
      </c>
      <c r="E333" t="inlineStr">
        <is>
          <t>LINKÖPING</t>
        </is>
      </c>
      <c r="G333" t="n">
        <v>3.1</v>
      </c>
      <c r="H333" t="n">
        <v>0</v>
      </c>
      <c r="I333" t="n">
        <v>0</v>
      </c>
      <c r="J333" t="n">
        <v>0</v>
      </c>
      <c r="K333" t="n">
        <v>0</v>
      </c>
      <c r="L333" t="n">
        <v>0</v>
      </c>
      <c r="M333" t="n">
        <v>0</v>
      </c>
      <c r="N333" t="n">
        <v>0</v>
      </c>
      <c r="O333" t="n">
        <v>0</v>
      </c>
      <c r="P333" t="n">
        <v>0</v>
      </c>
      <c r="Q333" t="n">
        <v>0</v>
      </c>
      <c r="R333" s="2" t="inlineStr"/>
    </row>
    <row r="334" ht="15" customHeight="1">
      <c r="A334" t="inlineStr">
        <is>
          <t>A 62687-2023</t>
        </is>
      </c>
      <c r="B334" s="1" t="n">
        <v>45271</v>
      </c>
      <c r="C334" s="1" t="n">
        <v>46029</v>
      </c>
      <c r="D334" t="inlineStr">
        <is>
          <t>ÖSTERGÖTLANDS LÄN</t>
        </is>
      </c>
      <c r="E334" t="inlineStr">
        <is>
          <t>LINKÖPING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62012-2024</t>
        </is>
      </c>
      <c r="B335" s="1" t="n">
        <v>45655.79679398148</v>
      </c>
      <c r="C335" s="1" t="n">
        <v>46029</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42623-2025</t>
        </is>
      </c>
      <c r="B336" s="1" t="n">
        <v>45905</v>
      </c>
      <c r="C336" s="1" t="n">
        <v>46029</v>
      </c>
      <c r="D336" t="inlineStr">
        <is>
          <t>ÖSTERGÖTLANDS LÄN</t>
        </is>
      </c>
      <c r="E336" t="inlineStr">
        <is>
          <t>LINKÖPING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53529-2024</t>
        </is>
      </c>
      <c r="B337" s="1" t="n">
        <v>45614</v>
      </c>
      <c r="C337" s="1" t="n">
        <v>46029</v>
      </c>
      <c r="D337" t="inlineStr">
        <is>
          <t>ÖSTERGÖTLANDS LÄN</t>
        </is>
      </c>
      <c r="E337" t="inlineStr">
        <is>
          <t>LINKÖPING</t>
        </is>
      </c>
      <c r="G337" t="n">
        <v>6.7</v>
      </c>
      <c r="H337" t="n">
        <v>0</v>
      </c>
      <c r="I337" t="n">
        <v>0</v>
      </c>
      <c r="J337" t="n">
        <v>0</v>
      </c>
      <c r="K337" t="n">
        <v>0</v>
      </c>
      <c r="L337" t="n">
        <v>0</v>
      </c>
      <c r="M337" t="n">
        <v>0</v>
      </c>
      <c r="N337" t="n">
        <v>0</v>
      </c>
      <c r="O337" t="n">
        <v>0</v>
      </c>
      <c r="P337" t="n">
        <v>0</v>
      </c>
      <c r="Q337" t="n">
        <v>0</v>
      </c>
      <c r="R337" s="2" t="inlineStr"/>
    </row>
    <row r="338" ht="15" customHeight="1">
      <c r="A338" t="inlineStr">
        <is>
          <t>A 18891-2022</t>
        </is>
      </c>
      <c r="B338" s="1" t="n">
        <v>44690</v>
      </c>
      <c r="C338" s="1" t="n">
        <v>46029</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42624-2025</t>
        </is>
      </c>
      <c r="B339" s="1" t="n">
        <v>45905</v>
      </c>
      <c r="C339" s="1" t="n">
        <v>46029</v>
      </c>
      <c r="D339" t="inlineStr">
        <is>
          <t>ÖSTERGÖTLANDS LÄN</t>
        </is>
      </c>
      <c r="E339" t="inlineStr">
        <is>
          <t>LINKÖPING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42626-2025</t>
        </is>
      </c>
      <c r="B340" s="1" t="n">
        <v>45905</v>
      </c>
      <c r="C340" s="1" t="n">
        <v>46029</v>
      </c>
      <c r="D340" t="inlineStr">
        <is>
          <t>ÖSTERGÖTLANDS LÄN</t>
        </is>
      </c>
      <c r="E340" t="inlineStr">
        <is>
          <t>LINKÖPING</t>
        </is>
      </c>
      <c r="G340" t="n">
        <v>3.6</v>
      </c>
      <c r="H340" t="n">
        <v>0</v>
      </c>
      <c r="I340" t="n">
        <v>0</v>
      </c>
      <c r="J340" t="n">
        <v>0</v>
      </c>
      <c r="K340" t="n">
        <v>0</v>
      </c>
      <c r="L340" t="n">
        <v>0</v>
      </c>
      <c r="M340" t="n">
        <v>0</v>
      </c>
      <c r="N340" t="n">
        <v>0</v>
      </c>
      <c r="O340" t="n">
        <v>0</v>
      </c>
      <c r="P340" t="n">
        <v>0</v>
      </c>
      <c r="Q340" t="n">
        <v>0</v>
      </c>
      <c r="R340" s="2" t="inlineStr"/>
    </row>
    <row r="341" ht="15" customHeight="1">
      <c r="A341" t="inlineStr">
        <is>
          <t>A 20469-2025</t>
        </is>
      </c>
      <c r="B341" s="1" t="n">
        <v>45775</v>
      </c>
      <c r="C341" s="1" t="n">
        <v>46029</v>
      </c>
      <c r="D341" t="inlineStr">
        <is>
          <t>ÖSTERGÖTLANDS LÄN</t>
        </is>
      </c>
      <c r="E341" t="inlineStr">
        <is>
          <t>LINKÖPING</t>
        </is>
      </c>
      <c r="F341" t="inlineStr">
        <is>
          <t>Kyrkan</t>
        </is>
      </c>
      <c r="G341" t="n">
        <v>6.1</v>
      </c>
      <c r="H341" t="n">
        <v>0</v>
      </c>
      <c r="I341" t="n">
        <v>0</v>
      </c>
      <c r="J341" t="n">
        <v>0</v>
      </c>
      <c r="K341" t="n">
        <v>0</v>
      </c>
      <c r="L341" t="n">
        <v>0</v>
      </c>
      <c r="M341" t="n">
        <v>0</v>
      </c>
      <c r="N341" t="n">
        <v>0</v>
      </c>
      <c r="O341" t="n">
        <v>0</v>
      </c>
      <c r="P341" t="n">
        <v>0</v>
      </c>
      <c r="Q341" t="n">
        <v>0</v>
      </c>
      <c r="R341" s="2" t="inlineStr"/>
    </row>
    <row r="342" ht="15" customHeight="1">
      <c r="A342" t="inlineStr">
        <is>
          <t>A 26620-2023</t>
        </is>
      </c>
      <c r="B342" s="1" t="n">
        <v>45092.70390046296</v>
      </c>
      <c r="C342" s="1" t="n">
        <v>46029</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33800-2023</t>
        </is>
      </c>
      <c r="B343" s="1" t="n">
        <v>45121</v>
      </c>
      <c r="C343" s="1" t="n">
        <v>46029</v>
      </c>
      <c r="D343" t="inlineStr">
        <is>
          <t>ÖSTERGÖTLANDS LÄN</t>
        </is>
      </c>
      <c r="E343" t="inlineStr">
        <is>
          <t>LINKÖPING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47991-2023</t>
        </is>
      </c>
      <c r="B344" s="1" t="n">
        <v>45204.62655092592</v>
      </c>
      <c r="C344" s="1" t="n">
        <v>46029</v>
      </c>
      <c r="D344" t="inlineStr">
        <is>
          <t>ÖSTERGÖTLANDS LÄN</t>
        </is>
      </c>
      <c r="E344" t="inlineStr">
        <is>
          <t>LINKÖPING</t>
        </is>
      </c>
      <c r="F344" t="inlineStr">
        <is>
          <t>Allmännings- och besparingsskogar</t>
        </is>
      </c>
      <c r="G344" t="n">
        <v>7.3</v>
      </c>
      <c r="H344" t="n">
        <v>0</v>
      </c>
      <c r="I344" t="n">
        <v>0</v>
      </c>
      <c r="J344" t="n">
        <v>0</v>
      </c>
      <c r="K344" t="n">
        <v>0</v>
      </c>
      <c r="L344" t="n">
        <v>0</v>
      </c>
      <c r="M344" t="n">
        <v>0</v>
      </c>
      <c r="N344" t="n">
        <v>0</v>
      </c>
      <c r="O344" t="n">
        <v>0</v>
      </c>
      <c r="P344" t="n">
        <v>0</v>
      </c>
      <c r="Q344" t="n">
        <v>0</v>
      </c>
      <c r="R344" s="2" t="inlineStr"/>
    </row>
    <row r="345" ht="15" customHeight="1">
      <c r="A345" t="inlineStr">
        <is>
          <t>A 56180-2024</t>
        </is>
      </c>
      <c r="B345" s="1" t="n">
        <v>45624.56611111111</v>
      </c>
      <c r="C345" s="1" t="n">
        <v>46029</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938-2023</t>
        </is>
      </c>
      <c r="B346" s="1" t="n">
        <v>44933</v>
      </c>
      <c r="C346" s="1" t="n">
        <v>46029</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25418-2023</t>
        </is>
      </c>
      <c r="B347" s="1" t="n">
        <v>45089</v>
      </c>
      <c r="C347" s="1" t="n">
        <v>46029</v>
      </c>
      <c r="D347" t="inlineStr">
        <is>
          <t>ÖSTERGÖTLANDS LÄN</t>
        </is>
      </c>
      <c r="E347" t="inlineStr">
        <is>
          <t>LINKÖPING</t>
        </is>
      </c>
      <c r="F347" t="inlineStr">
        <is>
          <t>Övriga Aktiebolag</t>
        </is>
      </c>
      <c r="G347" t="n">
        <v>2.4</v>
      </c>
      <c r="H347" t="n">
        <v>0</v>
      </c>
      <c r="I347" t="n">
        <v>0</v>
      </c>
      <c r="J347" t="n">
        <v>0</v>
      </c>
      <c r="K347" t="n">
        <v>0</v>
      </c>
      <c r="L347" t="n">
        <v>0</v>
      </c>
      <c r="M347" t="n">
        <v>0</v>
      </c>
      <c r="N347" t="n">
        <v>0</v>
      </c>
      <c r="O347" t="n">
        <v>0</v>
      </c>
      <c r="P347" t="n">
        <v>0</v>
      </c>
      <c r="Q347" t="n">
        <v>0</v>
      </c>
      <c r="R347" s="2" t="inlineStr"/>
    </row>
    <row r="348" ht="15" customHeight="1">
      <c r="A348" t="inlineStr">
        <is>
          <t>A 60007-2022</t>
        </is>
      </c>
      <c r="B348" s="1" t="n">
        <v>44909.47282407407</v>
      </c>
      <c r="C348" s="1" t="n">
        <v>46029</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35178-2025</t>
        </is>
      </c>
      <c r="B349" s="1" t="n">
        <v>45852.91939814815</v>
      </c>
      <c r="C349" s="1" t="n">
        <v>46029</v>
      </c>
      <c r="D349" t="inlineStr">
        <is>
          <t>ÖSTERGÖTLANDS LÄN</t>
        </is>
      </c>
      <c r="E349" t="inlineStr">
        <is>
          <t>LINKÖPING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35174-2025</t>
        </is>
      </c>
      <c r="B350" s="1" t="n">
        <v>45852.90648148148</v>
      </c>
      <c r="C350" s="1" t="n">
        <v>46029</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26007-2025</t>
        </is>
      </c>
      <c r="B351" s="1" t="n">
        <v>45804.67081018518</v>
      </c>
      <c r="C351" s="1" t="n">
        <v>46029</v>
      </c>
      <c r="D351" t="inlineStr">
        <is>
          <t>ÖSTERGÖTLANDS LÄN</t>
        </is>
      </c>
      <c r="E351" t="inlineStr">
        <is>
          <t>LINKÖPING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35179-2025</t>
        </is>
      </c>
      <c r="B352" s="1" t="n">
        <v>45852.93737268518</v>
      </c>
      <c r="C352" s="1" t="n">
        <v>46029</v>
      </c>
      <c r="D352" t="inlineStr">
        <is>
          <t>ÖSTERGÖTLANDS LÄN</t>
        </is>
      </c>
      <c r="E352" t="inlineStr">
        <is>
          <t>LINKÖPING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35180-2025</t>
        </is>
      </c>
      <c r="B353" s="1" t="n">
        <v>45852.9413425926</v>
      </c>
      <c r="C353" s="1" t="n">
        <v>46029</v>
      </c>
      <c r="D353" t="inlineStr">
        <is>
          <t>ÖSTERGÖTLANDS LÄN</t>
        </is>
      </c>
      <c r="E353" t="inlineStr">
        <is>
          <t>LINKÖPING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11601-2023</t>
        </is>
      </c>
      <c r="B354" s="1" t="n">
        <v>44994</v>
      </c>
      <c r="C354" s="1" t="n">
        <v>46029</v>
      </c>
      <c r="D354" t="inlineStr">
        <is>
          <t>ÖSTERGÖTLANDS LÄN</t>
        </is>
      </c>
      <c r="E354" t="inlineStr">
        <is>
          <t>LINKÖPING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35747-2025</t>
        </is>
      </c>
      <c r="B355" s="1" t="n">
        <v>45860.56385416666</v>
      </c>
      <c r="C355" s="1" t="n">
        <v>46029</v>
      </c>
      <c r="D355" t="inlineStr">
        <is>
          <t>ÖSTERGÖTLANDS LÄN</t>
        </is>
      </c>
      <c r="E355" t="inlineStr">
        <is>
          <t>LINKÖPING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35745-2025</t>
        </is>
      </c>
      <c r="B356" s="1" t="n">
        <v>45860.54739583333</v>
      </c>
      <c r="C356" s="1" t="n">
        <v>46029</v>
      </c>
      <c r="D356" t="inlineStr">
        <is>
          <t>ÖSTERGÖTLANDS LÄN</t>
        </is>
      </c>
      <c r="E356" t="inlineStr">
        <is>
          <t>LINKÖPING</t>
        </is>
      </c>
      <c r="G356" t="n">
        <v>4.4</v>
      </c>
      <c r="H356" t="n">
        <v>0</v>
      </c>
      <c r="I356" t="n">
        <v>0</v>
      </c>
      <c r="J356" t="n">
        <v>0</v>
      </c>
      <c r="K356" t="n">
        <v>0</v>
      </c>
      <c r="L356" t="n">
        <v>0</v>
      </c>
      <c r="M356" t="n">
        <v>0</v>
      </c>
      <c r="N356" t="n">
        <v>0</v>
      </c>
      <c r="O356" t="n">
        <v>0</v>
      </c>
      <c r="P356" t="n">
        <v>0</v>
      </c>
      <c r="Q356" t="n">
        <v>0</v>
      </c>
      <c r="R356" s="2" t="inlineStr"/>
    </row>
    <row r="357" ht="15" customHeight="1">
      <c r="A357" t="inlineStr">
        <is>
          <t>A 35757-2025</t>
        </is>
      </c>
      <c r="B357" s="1" t="n">
        <v>45860.59876157407</v>
      </c>
      <c r="C357" s="1" t="n">
        <v>46029</v>
      </c>
      <c r="D357" t="inlineStr">
        <is>
          <t>ÖSTERGÖTLANDS LÄN</t>
        </is>
      </c>
      <c r="E357" t="inlineStr">
        <is>
          <t>LINKÖPING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35759-2025</t>
        </is>
      </c>
      <c r="B358" s="1" t="n">
        <v>45860</v>
      </c>
      <c r="C358" s="1" t="n">
        <v>46029</v>
      </c>
      <c r="D358" t="inlineStr">
        <is>
          <t>ÖSTERGÖTLANDS LÄN</t>
        </is>
      </c>
      <c r="E358" t="inlineStr">
        <is>
          <t>LINKÖPING</t>
        </is>
      </c>
      <c r="G358" t="n">
        <v>1</v>
      </c>
      <c r="H358" t="n">
        <v>0</v>
      </c>
      <c r="I358" t="n">
        <v>0</v>
      </c>
      <c r="J358" t="n">
        <v>0</v>
      </c>
      <c r="K358" t="n">
        <v>0</v>
      </c>
      <c r="L358" t="n">
        <v>0</v>
      </c>
      <c r="M358" t="n">
        <v>0</v>
      </c>
      <c r="N358" t="n">
        <v>0</v>
      </c>
      <c r="O358" t="n">
        <v>0</v>
      </c>
      <c r="P358" t="n">
        <v>0</v>
      </c>
      <c r="Q358" t="n">
        <v>0</v>
      </c>
      <c r="R358" s="2" t="inlineStr"/>
    </row>
    <row r="359" ht="15" customHeight="1">
      <c r="A359" t="inlineStr">
        <is>
          <t>A 1260-2023</t>
        </is>
      </c>
      <c r="B359" s="1" t="n">
        <v>44936</v>
      </c>
      <c r="C359" s="1" t="n">
        <v>46029</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7702-2023</t>
        </is>
      </c>
      <c r="B360" s="1" t="n">
        <v>44967</v>
      </c>
      <c r="C360" s="1" t="n">
        <v>46029</v>
      </c>
      <c r="D360" t="inlineStr">
        <is>
          <t>ÖSTERGÖTLANDS LÄN</t>
        </is>
      </c>
      <c r="E360" t="inlineStr">
        <is>
          <t>LINKÖPING</t>
        </is>
      </c>
      <c r="F360" t="inlineStr">
        <is>
          <t>Övriga statliga verk och myndigheter</t>
        </is>
      </c>
      <c r="G360" t="n">
        <v>8</v>
      </c>
      <c r="H360" t="n">
        <v>0</v>
      </c>
      <c r="I360" t="n">
        <v>0</v>
      </c>
      <c r="J360" t="n">
        <v>0</v>
      </c>
      <c r="K360" t="n">
        <v>0</v>
      </c>
      <c r="L360" t="n">
        <v>0</v>
      </c>
      <c r="M360" t="n">
        <v>0</v>
      </c>
      <c r="N360" t="n">
        <v>0</v>
      </c>
      <c r="O360" t="n">
        <v>0</v>
      </c>
      <c r="P360" t="n">
        <v>0</v>
      </c>
      <c r="Q360" t="n">
        <v>0</v>
      </c>
      <c r="R360" s="2" t="inlineStr"/>
    </row>
    <row r="361" ht="15" customHeight="1">
      <c r="A361" t="inlineStr">
        <is>
          <t>A 674-2024</t>
        </is>
      </c>
      <c r="B361" s="1" t="n">
        <v>45300.34408564815</v>
      </c>
      <c r="C361" s="1" t="n">
        <v>46029</v>
      </c>
      <c r="D361" t="inlineStr">
        <is>
          <t>ÖSTERGÖTLANDS LÄN</t>
        </is>
      </c>
      <c r="E361" t="inlineStr">
        <is>
          <t>LINKÖPING</t>
        </is>
      </c>
      <c r="F361" t="inlineStr">
        <is>
          <t>Sveaskog</t>
        </is>
      </c>
      <c r="G361" t="n">
        <v>2.9</v>
      </c>
      <c r="H361" t="n">
        <v>0</v>
      </c>
      <c r="I361" t="n">
        <v>0</v>
      </c>
      <c r="J361" t="n">
        <v>0</v>
      </c>
      <c r="K361" t="n">
        <v>0</v>
      </c>
      <c r="L361" t="n">
        <v>0</v>
      </c>
      <c r="M361" t="n">
        <v>0</v>
      </c>
      <c r="N361" t="n">
        <v>0</v>
      </c>
      <c r="O361" t="n">
        <v>0</v>
      </c>
      <c r="P361" t="n">
        <v>0</v>
      </c>
      <c r="Q361" t="n">
        <v>0</v>
      </c>
      <c r="R361" s="2" t="inlineStr"/>
    </row>
    <row r="362" ht="15" customHeight="1">
      <c r="A362" t="inlineStr">
        <is>
          <t>A 63684-2023</t>
        </is>
      </c>
      <c r="B362" s="1" t="n">
        <v>45275</v>
      </c>
      <c r="C362" s="1" t="n">
        <v>46029</v>
      </c>
      <c r="D362" t="inlineStr">
        <is>
          <t>ÖSTERGÖTLANDS LÄN</t>
        </is>
      </c>
      <c r="E362" t="inlineStr">
        <is>
          <t>LINKÖPING</t>
        </is>
      </c>
      <c r="G362" t="n">
        <v>0.4</v>
      </c>
      <c r="H362" t="n">
        <v>0</v>
      </c>
      <c r="I362" t="n">
        <v>0</v>
      </c>
      <c r="J362" t="n">
        <v>0</v>
      </c>
      <c r="K362" t="n">
        <v>0</v>
      </c>
      <c r="L362" t="n">
        <v>0</v>
      </c>
      <c r="M362" t="n">
        <v>0</v>
      </c>
      <c r="N362" t="n">
        <v>0</v>
      </c>
      <c r="O362" t="n">
        <v>0</v>
      </c>
      <c r="P362" t="n">
        <v>0</v>
      </c>
      <c r="Q362" t="n">
        <v>0</v>
      </c>
      <c r="R362" s="2" t="inlineStr"/>
    </row>
    <row r="363" ht="15" customHeight="1">
      <c r="A363" t="inlineStr">
        <is>
          <t>A 167-2024</t>
        </is>
      </c>
      <c r="B363" s="1" t="n">
        <v>45294</v>
      </c>
      <c r="C363" s="1" t="n">
        <v>46029</v>
      </c>
      <c r="D363" t="inlineStr">
        <is>
          <t>ÖSTERGÖTLANDS LÄN</t>
        </is>
      </c>
      <c r="E363" t="inlineStr">
        <is>
          <t>LINKÖPING</t>
        </is>
      </c>
      <c r="F363" t="inlineStr">
        <is>
          <t>Allmännings- och besparingsskogar</t>
        </is>
      </c>
      <c r="G363" t="n">
        <v>11.6</v>
      </c>
      <c r="H363" t="n">
        <v>0</v>
      </c>
      <c r="I363" t="n">
        <v>0</v>
      </c>
      <c r="J363" t="n">
        <v>0</v>
      </c>
      <c r="K363" t="n">
        <v>0</v>
      </c>
      <c r="L363" t="n">
        <v>0</v>
      </c>
      <c r="M363" t="n">
        <v>0</v>
      </c>
      <c r="N363" t="n">
        <v>0</v>
      </c>
      <c r="O363" t="n">
        <v>0</v>
      </c>
      <c r="P363" t="n">
        <v>0</v>
      </c>
      <c r="Q363" t="n">
        <v>0</v>
      </c>
      <c r="R363" s="2" t="inlineStr"/>
    </row>
    <row r="364" ht="15" customHeight="1">
      <c r="A364" t="inlineStr">
        <is>
          <t>A 36725-2023</t>
        </is>
      </c>
      <c r="B364" s="1" t="n">
        <v>45153.68471064815</v>
      </c>
      <c r="C364" s="1" t="n">
        <v>46029</v>
      </c>
      <c r="D364" t="inlineStr">
        <is>
          <t>ÖSTERGÖTLANDS LÄN</t>
        </is>
      </c>
      <c r="E364" t="inlineStr">
        <is>
          <t>LINKÖPING</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27343-2023</t>
        </is>
      </c>
      <c r="B365" s="1" t="n">
        <v>45096</v>
      </c>
      <c r="C365" s="1" t="n">
        <v>46029</v>
      </c>
      <c r="D365" t="inlineStr">
        <is>
          <t>ÖSTERGÖTLANDS LÄN</t>
        </is>
      </c>
      <c r="E365" t="inlineStr">
        <is>
          <t>LINKÖPING</t>
        </is>
      </c>
      <c r="F365" t="inlineStr">
        <is>
          <t>Allmännings- och besparingsskogar</t>
        </is>
      </c>
      <c r="G365" t="n">
        <v>6.9</v>
      </c>
      <c r="H365" t="n">
        <v>0</v>
      </c>
      <c r="I365" t="n">
        <v>0</v>
      </c>
      <c r="J365" t="n">
        <v>0</v>
      </c>
      <c r="K365" t="n">
        <v>0</v>
      </c>
      <c r="L365" t="n">
        <v>0</v>
      </c>
      <c r="M365" t="n">
        <v>0</v>
      </c>
      <c r="N365" t="n">
        <v>0</v>
      </c>
      <c r="O365" t="n">
        <v>0</v>
      </c>
      <c r="P365" t="n">
        <v>0</v>
      </c>
      <c r="Q365" t="n">
        <v>0</v>
      </c>
      <c r="R365" s="2" t="inlineStr"/>
    </row>
    <row r="366" ht="15" customHeight="1">
      <c r="A366" t="inlineStr">
        <is>
          <t>A 22774-2024</t>
        </is>
      </c>
      <c r="B366" s="1" t="n">
        <v>45448.46924768519</v>
      </c>
      <c r="C366" s="1" t="n">
        <v>46029</v>
      </c>
      <c r="D366" t="inlineStr">
        <is>
          <t>ÖSTERGÖTLANDS LÄN</t>
        </is>
      </c>
      <c r="E366" t="inlineStr">
        <is>
          <t>LINKÖPING</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22778-2024</t>
        </is>
      </c>
      <c r="B367" s="1" t="n">
        <v>45448.47233796296</v>
      </c>
      <c r="C367" s="1" t="n">
        <v>46029</v>
      </c>
      <c r="D367" t="inlineStr">
        <is>
          <t>ÖSTERGÖTLANDS LÄN</t>
        </is>
      </c>
      <c r="E367" t="inlineStr">
        <is>
          <t>LINKÖPING</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43755-2025</t>
        </is>
      </c>
      <c r="B368" s="1" t="n">
        <v>45912.47329861111</v>
      </c>
      <c r="C368" s="1" t="n">
        <v>46029</v>
      </c>
      <c r="D368" t="inlineStr">
        <is>
          <t>ÖSTERGÖTLANDS LÄN</t>
        </is>
      </c>
      <c r="E368" t="inlineStr">
        <is>
          <t>LINKÖPING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34864-2023</t>
        </is>
      </c>
      <c r="B369" s="1" t="n">
        <v>45141</v>
      </c>
      <c r="C369" s="1" t="n">
        <v>46029</v>
      </c>
      <c r="D369" t="inlineStr">
        <is>
          <t>ÖSTERGÖTLANDS LÄN</t>
        </is>
      </c>
      <c r="E369" t="inlineStr">
        <is>
          <t>LINKÖPING</t>
        </is>
      </c>
      <c r="G369" t="n">
        <v>3.3</v>
      </c>
      <c r="H369" t="n">
        <v>0</v>
      </c>
      <c r="I369" t="n">
        <v>0</v>
      </c>
      <c r="J369" t="n">
        <v>0</v>
      </c>
      <c r="K369" t="n">
        <v>0</v>
      </c>
      <c r="L369" t="n">
        <v>0</v>
      </c>
      <c r="M369" t="n">
        <v>0</v>
      </c>
      <c r="N369" t="n">
        <v>0</v>
      </c>
      <c r="O369" t="n">
        <v>0</v>
      </c>
      <c r="P369" t="n">
        <v>0</v>
      </c>
      <c r="Q369" t="n">
        <v>0</v>
      </c>
      <c r="R369" s="2" t="inlineStr"/>
    </row>
    <row r="370" ht="15" customHeight="1">
      <c r="A370" t="inlineStr">
        <is>
          <t>A 52531-2023</t>
        </is>
      </c>
      <c r="B370" s="1" t="n">
        <v>45225</v>
      </c>
      <c r="C370" s="1" t="n">
        <v>46029</v>
      </c>
      <c r="D370" t="inlineStr">
        <is>
          <t>ÖSTERGÖTLANDS LÄN</t>
        </is>
      </c>
      <c r="E370" t="inlineStr">
        <is>
          <t>LINKÖPING</t>
        </is>
      </c>
      <c r="F370" t="inlineStr">
        <is>
          <t>Övriga Aktiebolag</t>
        </is>
      </c>
      <c r="G370" t="n">
        <v>1</v>
      </c>
      <c r="H370" t="n">
        <v>0</v>
      </c>
      <c r="I370" t="n">
        <v>0</v>
      </c>
      <c r="J370" t="n">
        <v>0</v>
      </c>
      <c r="K370" t="n">
        <v>0</v>
      </c>
      <c r="L370" t="n">
        <v>0</v>
      </c>
      <c r="M370" t="n">
        <v>0</v>
      </c>
      <c r="N370" t="n">
        <v>0</v>
      </c>
      <c r="O370" t="n">
        <v>0</v>
      </c>
      <c r="P370" t="n">
        <v>0</v>
      </c>
      <c r="Q370" t="n">
        <v>0</v>
      </c>
      <c r="R370" s="2" t="inlineStr"/>
    </row>
    <row r="371" ht="15" customHeight="1">
      <c r="A371" t="inlineStr">
        <is>
          <t>A 34930-2023</t>
        </is>
      </c>
      <c r="B371" s="1" t="n">
        <v>45142</v>
      </c>
      <c r="C371" s="1" t="n">
        <v>46029</v>
      </c>
      <c r="D371" t="inlineStr">
        <is>
          <t>ÖSTERGÖTLANDS LÄN</t>
        </is>
      </c>
      <c r="E371" t="inlineStr">
        <is>
          <t>LINKÖPING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43753-2025</t>
        </is>
      </c>
      <c r="B372" s="1" t="n">
        <v>45912.4715625</v>
      </c>
      <c r="C372" s="1" t="n">
        <v>46029</v>
      </c>
      <c r="D372" t="inlineStr">
        <is>
          <t>ÖSTERGÖTLANDS LÄN</t>
        </is>
      </c>
      <c r="E372" t="inlineStr">
        <is>
          <t>LINKÖPING</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43758-2025</t>
        </is>
      </c>
      <c r="B373" s="1" t="n">
        <v>45912.47711805555</v>
      </c>
      <c r="C373" s="1" t="n">
        <v>46029</v>
      </c>
      <c r="D373" t="inlineStr">
        <is>
          <t>ÖSTERGÖTLANDS LÄN</t>
        </is>
      </c>
      <c r="E373" t="inlineStr">
        <is>
          <t>LINKÖPING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30985-2022</t>
        </is>
      </c>
      <c r="B374" s="1" t="n">
        <v>44768</v>
      </c>
      <c r="C374" s="1" t="n">
        <v>46029</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44170-2025</t>
        </is>
      </c>
      <c r="B375" s="1" t="n">
        <v>45915.59864583334</v>
      </c>
      <c r="C375" s="1" t="n">
        <v>46029</v>
      </c>
      <c r="D375" t="inlineStr">
        <is>
          <t>ÖSTERGÖTLANDS LÄN</t>
        </is>
      </c>
      <c r="E375" t="inlineStr">
        <is>
          <t>LINKÖPING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37057-2025</t>
        </is>
      </c>
      <c r="B376" s="1" t="n">
        <v>45875.37489583333</v>
      </c>
      <c r="C376" s="1" t="n">
        <v>46029</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59642-2024</t>
        </is>
      </c>
      <c r="B377" s="1" t="n">
        <v>45639.31511574074</v>
      </c>
      <c r="C377" s="1" t="n">
        <v>46029</v>
      </c>
      <c r="D377" t="inlineStr">
        <is>
          <t>ÖSTERGÖTLANDS LÄN</t>
        </is>
      </c>
      <c r="E377" t="inlineStr">
        <is>
          <t>LINKÖPING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15748-2025</t>
        </is>
      </c>
      <c r="B378" s="1" t="n">
        <v>45748.55282407408</v>
      </c>
      <c r="C378" s="1" t="n">
        <v>46029</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31792-2021</t>
        </is>
      </c>
      <c r="B379" s="1" t="n">
        <v>44369</v>
      </c>
      <c r="C379" s="1" t="n">
        <v>46029</v>
      </c>
      <c r="D379" t="inlineStr">
        <is>
          <t>ÖSTERGÖTLANDS LÄN</t>
        </is>
      </c>
      <c r="E379" t="inlineStr">
        <is>
          <t>LINKÖPING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25097-2023</t>
        </is>
      </c>
      <c r="B380" s="1" t="n">
        <v>45086</v>
      </c>
      <c r="C380" s="1" t="n">
        <v>46029</v>
      </c>
      <c r="D380" t="inlineStr">
        <is>
          <t>ÖSTERGÖTLANDS LÄN</t>
        </is>
      </c>
      <c r="E380" t="inlineStr">
        <is>
          <t>LINKÖPING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35735-2023</t>
        </is>
      </c>
      <c r="B381" s="1" t="n">
        <v>45147</v>
      </c>
      <c r="C381" s="1" t="n">
        <v>46029</v>
      </c>
      <c r="D381" t="inlineStr">
        <is>
          <t>ÖSTERGÖTLANDS LÄN</t>
        </is>
      </c>
      <c r="E381" t="inlineStr">
        <is>
          <t>LINKÖPING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16462-2021</t>
        </is>
      </c>
      <c r="B382" s="1" t="n">
        <v>44293</v>
      </c>
      <c r="C382" s="1" t="n">
        <v>46029</v>
      </c>
      <c r="D382" t="inlineStr">
        <is>
          <t>ÖSTERGÖTLANDS LÄN</t>
        </is>
      </c>
      <c r="E382" t="inlineStr">
        <is>
          <t>LINKÖPING</t>
        </is>
      </c>
      <c r="F382" t="inlineStr">
        <is>
          <t>Allmännings- och besparingsskogar</t>
        </is>
      </c>
      <c r="G382" t="n">
        <v>24.7</v>
      </c>
      <c r="H382" t="n">
        <v>0</v>
      </c>
      <c r="I382" t="n">
        <v>0</v>
      </c>
      <c r="J382" t="n">
        <v>0</v>
      </c>
      <c r="K382" t="n">
        <v>0</v>
      </c>
      <c r="L382" t="n">
        <v>0</v>
      </c>
      <c r="M382" t="n">
        <v>0</v>
      </c>
      <c r="N382" t="n">
        <v>0</v>
      </c>
      <c r="O382" t="n">
        <v>0</v>
      </c>
      <c r="P382" t="n">
        <v>0</v>
      </c>
      <c r="Q382" t="n">
        <v>0</v>
      </c>
      <c r="R382" s="2" t="inlineStr"/>
    </row>
    <row r="383" ht="15" customHeight="1">
      <c r="A383" t="inlineStr">
        <is>
          <t>A 25776-2021</t>
        </is>
      </c>
      <c r="B383" s="1" t="n">
        <v>44343</v>
      </c>
      <c r="C383" s="1" t="n">
        <v>46029</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30856-2022</t>
        </is>
      </c>
      <c r="B384" s="1" t="n">
        <v>44767</v>
      </c>
      <c r="C384" s="1" t="n">
        <v>46029</v>
      </c>
      <c r="D384" t="inlineStr">
        <is>
          <t>ÖSTERGÖTLANDS LÄN</t>
        </is>
      </c>
      <c r="E384" t="inlineStr">
        <is>
          <t>LINKÖPING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25829-2025</t>
        </is>
      </c>
      <c r="B385" s="1" t="n">
        <v>45804.44505787037</v>
      </c>
      <c r="C385" s="1" t="n">
        <v>46029</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19187-2021</t>
        </is>
      </c>
      <c r="B386" s="1" t="n">
        <v>44308</v>
      </c>
      <c r="C386" s="1" t="n">
        <v>46029</v>
      </c>
      <c r="D386" t="inlineStr">
        <is>
          <t>ÖSTERGÖTLANDS LÄN</t>
        </is>
      </c>
      <c r="E386" t="inlineStr">
        <is>
          <t>LINKÖPING</t>
        </is>
      </c>
      <c r="F386" t="inlineStr">
        <is>
          <t>Allmännings- och besparingsskogar</t>
        </is>
      </c>
      <c r="G386" t="n">
        <v>20</v>
      </c>
      <c r="H386" t="n">
        <v>0</v>
      </c>
      <c r="I386" t="n">
        <v>0</v>
      </c>
      <c r="J386" t="n">
        <v>0</v>
      </c>
      <c r="K386" t="n">
        <v>0</v>
      </c>
      <c r="L386" t="n">
        <v>0</v>
      </c>
      <c r="M386" t="n">
        <v>0</v>
      </c>
      <c r="N386" t="n">
        <v>0</v>
      </c>
      <c r="O386" t="n">
        <v>0</v>
      </c>
      <c r="P386" t="n">
        <v>0</v>
      </c>
      <c r="Q386" t="n">
        <v>0</v>
      </c>
      <c r="R386" s="2" t="inlineStr"/>
    </row>
    <row r="387" ht="15" customHeight="1">
      <c r="A387" t="inlineStr">
        <is>
          <t>A 44759-2025</t>
        </is>
      </c>
      <c r="B387" s="1" t="n">
        <v>45917.7152662037</v>
      </c>
      <c r="C387" s="1" t="n">
        <v>46029</v>
      </c>
      <c r="D387" t="inlineStr">
        <is>
          <t>ÖSTERGÖTLANDS LÄN</t>
        </is>
      </c>
      <c r="E387" t="inlineStr">
        <is>
          <t>LINKÖPING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44764-2025</t>
        </is>
      </c>
      <c r="B388" s="1" t="n">
        <v>45917.72821759259</v>
      </c>
      <c r="C388" s="1" t="n">
        <v>46029</v>
      </c>
      <c r="D388" t="inlineStr">
        <is>
          <t>ÖSTERGÖTLANDS LÄN</t>
        </is>
      </c>
      <c r="E388" t="inlineStr">
        <is>
          <t>LINKÖPING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39219-2021</t>
        </is>
      </c>
      <c r="B389" s="1" t="n">
        <v>44413</v>
      </c>
      <c r="C389" s="1" t="n">
        <v>46029</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39224-2021</t>
        </is>
      </c>
      <c r="B390" s="1" t="n">
        <v>44413</v>
      </c>
      <c r="C390" s="1" t="n">
        <v>46029</v>
      </c>
      <c r="D390" t="inlineStr">
        <is>
          <t>ÖSTERGÖTLANDS LÄN</t>
        </is>
      </c>
      <c r="E390" t="inlineStr">
        <is>
          <t>LINKÖPING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45112-2025</t>
        </is>
      </c>
      <c r="B391" s="1" t="n">
        <v>45919</v>
      </c>
      <c r="C391" s="1" t="n">
        <v>46029</v>
      </c>
      <c r="D391" t="inlineStr">
        <is>
          <t>ÖSTERGÖTLANDS LÄN</t>
        </is>
      </c>
      <c r="E391" t="inlineStr">
        <is>
          <t>LINKÖPING</t>
        </is>
      </c>
      <c r="G391" t="n">
        <v>3.5</v>
      </c>
      <c r="H391" t="n">
        <v>0</v>
      </c>
      <c r="I391" t="n">
        <v>0</v>
      </c>
      <c r="J391" t="n">
        <v>0</v>
      </c>
      <c r="K391" t="n">
        <v>0</v>
      </c>
      <c r="L391" t="n">
        <v>0</v>
      </c>
      <c r="M391" t="n">
        <v>0</v>
      </c>
      <c r="N391" t="n">
        <v>0</v>
      </c>
      <c r="O391" t="n">
        <v>0</v>
      </c>
      <c r="P391" t="n">
        <v>0</v>
      </c>
      <c r="Q391" t="n">
        <v>0</v>
      </c>
      <c r="R391" s="2" t="inlineStr"/>
    </row>
    <row r="392" ht="15" customHeight="1">
      <c r="A392" t="inlineStr">
        <is>
          <t>A 45634-2025</t>
        </is>
      </c>
      <c r="B392" s="1" t="n">
        <v>45922.85089120371</v>
      </c>
      <c r="C392" s="1" t="n">
        <v>46029</v>
      </c>
      <c r="D392" t="inlineStr">
        <is>
          <t>ÖSTERGÖTLANDS LÄN</t>
        </is>
      </c>
      <c r="E392" t="inlineStr">
        <is>
          <t>LINKÖPING</t>
        </is>
      </c>
      <c r="F392" t="inlineStr">
        <is>
          <t>Övriga Aktiebolag</t>
        </is>
      </c>
      <c r="G392" t="n">
        <v>0.3</v>
      </c>
      <c r="H392" t="n">
        <v>0</v>
      </c>
      <c r="I392" t="n">
        <v>0</v>
      </c>
      <c r="J392" t="n">
        <v>0</v>
      </c>
      <c r="K392" t="n">
        <v>0</v>
      </c>
      <c r="L392" t="n">
        <v>0</v>
      </c>
      <c r="M392" t="n">
        <v>0</v>
      </c>
      <c r="N392" t="n">
        <v>0</v>
      </c>
      <c r="O392" t="n">
        <v>0</v>
      </c>
      <c r="P392" t="n">
        <v>0</v>
      </c>
      <c r="Q392" t="n">
        <v>0</v>
      </c>
      <c r="R392" s="2" t="inlineStr"/>
    </row>
    <row r="393" ht="15" customHeight="1">
      <c r="A393" t="inlineStr">
        <is>
          <t>A 45792-2025</t>
        </is>
      </c>
      <c r="B393" s="1" t="n">
        <v>45923.56998842592</v>
      </c>
      <c r="C393" s="1" t="n">
        <v>46029</v>
      </c>
      <c r="D393" t="inlineStr">
        <is>
          <t>ÖSTERGÖTLANDS LÄN</t>
        </is>
      </c>
      <c r="E393" t="inlineStr">
        <is>
          <t>LINKÖPING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43934-2023</t>
        </is>
      </c>
      <c r="B394" s="1" t="n">
        <v>45187</v>
      </c>
      <c r="C394" s="1" t="n">
        <v>46029</v>
      </c>
      <c r="D394" t="inlineStr">
        <is>
          <t>ÖSTERGÖTLANDS LÄN</t>
        </is>
      </c>
      <c r="E394" t="inlineStr">
        <is>
          <t>LINKÖPING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45804-2025</t>
        </is>
      </c>
      <c r="B395" s="1" t="n">
        <v>45923.5819675926</v>
      </c>
      <c r="C395" s="1" t="n">
        <v>46029</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38046-2025</t>
        </is>
      </c>
      <c r="B396" s="1" t="n">
        <v>45882.39939814815</v>
      </c>
      <c r="C396" s="1" t="n">
        <v>46029</v>
      </c>
      <c r="D396" t="inlineStr">
        <is>
          <t>ÖSTERGÖTLANDS LÄN</t>
        </is>
      </c>
      <c r="E396" t="inlineStr">
        <is>
          <t>LINKÖPING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46428-2025</t>
        </is>
      </c>
      <c r="B397" s="1" t="n">
        <v>45925.60758101852</v>
      </c>
      <c r="C397" s="1" t="n">
        <v>46029</v>
      </c>
      <c r="D397" t="inlineStr">
        <is>
          <t>ÖSTERGÖTLANDS LÄN</t>
        </is>
      </c>
      <c r="E397" t="inlineStr">
        <is>
          <t>LINKÖPING</t>
        </is>
      </c>
      <c r="G397" t="n">
        <v>3</v>
      </c>
      <c r="H397" t="n">
        <v>0</v>
      </c>
      <c r="I397" t="n">
        <v>0</v>
      </c>
      <c r="J397" t="n">
        <v>0</v>
      </c>
      <c r="K397" t="n">
        <v>0</v>
      </c>
      <c r="L397" t="n">
        <v>0</v>
      </c>
      <c r="M397" t="n">
        <v>0</v>
      </c>
      <c r="N397" t="n">
        <v>0</v>
      </c>
      <c r="O397" t="n">
        <v>0</v>
      </c>
      <c r="P397" t="n">
        <v>0</v>
      </c>
      <c r="Q397" t="n">
        <v>0</v>
      </c>
      <c r="R397" s="2" t="inlineStr"/>
    </row>
    <row r="398" ht="15" customHeight="1">
      <c r="A398" t="inlineStr">
        <is>
          <t>A 46426-2025</t>
        </is>
      </c>
      <c r="B398" s="1" t="n">
        <v>45925.6012962963</v>
      </c>
      <c r="C398" s="1" t="n">
        <v>46029</v>
      </c>
      <c r="D398" t="inlineStr">
        <is>
          <t>ÖSTERGÖTLANDS LÄN</t>
        </is>
      </c>
      <c r="E398" t="inlineStr">
        <is>
          <t>LINKÖPING</t>
        </is>
      </c>
      <c r="G398" t="n">
        <v>4.4</v>
      </c>
      <c r="H398" t="n">
        <v>0</v>
      </c>
      <c r="I398" t="n">
        <v>0</v>
      </c>
      <c r="J398" t="n">
        <v>0</v>
      </c>
      <c r="K398" t="n">
        <v>0</v>
      </c>
      <c r="L398" t="n">
        <v>0</v>
      </c>
      <c r="M398" t="n">
        <v>0</v>
      </c>
      <c r="N398" t="n">
        <v>0</v>
      </c>
      <c r="O398" t="n">
        <v>0</v>
      </c>
      <c r="P398" t="n">
        <v>0</v>
      </c>
      <c r="Q398" t="n">
        <v>0</v>
      </c>
      <c r="R398" s="2" t="inlineStr"/>
    </row>
    <row r="399" ht="15" customHeight="1">
      <c r="A399" t="inlineStr">
        <is>
          <t>A 7354-2025</t>
        </is>
      </c>
      <c r="B399" s="1" t="n">
        <v>45704.41174768518</v>
      </c>
      <c r="C399" s="1" t="n">
        <v>46029</v>
      </c>
      <c r="D399" t="inlineStr">
        <is>
          <t>ÖSTERGÖTLANDS LÄN</t>
        </is>
      </c>
      <c r="E399" t="inlineStr">
        <is>
          <t>LINKÖPING</t>
        </is>
      </c>
      <c r="G399" t="n">
        <v>4.8</v>
      </c>
      <c r="H399" t="n">
        <v>0</v>
      </c>
      <c r="I399" t="n">
        <v>0</v>
      </c>
      <c r="J399" t="n">
        <v>0</v>
      </c>
      <c r="K399" t="n">
        <v>0</v>
      </c>
      <c r="L399" t="n">
        <v>0</v>
      </c>
      <c r="M399" t="n">
        <v>0</v>
      </c>
      <c r="N399" t="n">
        <v>0</v>
      </c>
      <c r="O399" t="n">
        <v>0</v>
      </c>
      <c r="P399" t="n">
        <v>0</v>
      </c>
      <c r="Q399" t="n">
        <v>0</v>
      </c>
      <c r="R399" s="2" t="inlineStr"/>
    </row>
    <row r="400" ht="15" customHeight="1">
      <c r="A400" t="inlineStr">
        <is>
          <t>A 46377-2025</t>
        </is>
      </c>
      <c r="B400" s="1" t="n">
        <v>45925.51773148148</v>
      </c>
      <c r="C400" s="1" t="n">
        <v>46029</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63935-2021</t>
        </is>
      </c>
      <c r="B401" s="1" t="n">
        <v>44509</v>
      </c>
      <c r="C401" s="1" t="n">
        <v>46029</v>
      </c>
      <c r="D401" t="inlineStr">
        <is>
          <t>ÖSTERGÖTLANDS LÄN</t>
        </is>
      </c>
      <c r="E401" t="inlineStr">
        <is>
          <t>LINKÖPING</t>
        </is>
      </c>
      <c r="F401" t="inlineStr">
        <is>
          <t>Övriga statliga verk och myndigheter</t>
        </is>
      </c>
      <c r="G401" t="n">
        <v>2.8</v>
      </c>
      <c r="H401" t="n">
        <v>0</v>
      </c>
      <c r="I401" t="n">
        <v>0</v>
      </c>
      <c r="J401" t="n">
        <v>0</v>
      </c>
      <c r="K401" t="n">
        <v>0</v>
      </c>
      <c r="L401" t="n">
        <v>0</v>
      </c>
      <c r="M401" t="n">
        <v>0</v>
      </c>
      <c r="N401" t="n">
        <v>0</v>
      </c>
      <c r="O401" t="n">
        <v>0</v>
      </c>
      <c r="P401" t="n">
        <v>0</v>
      </c>
      <c r="Q401" t="n">
        <v>0</v>
      </c>
      <c r="R401" s="2" t="inlineStr"/>
    </row>
    <row r="402" ht="15" customHeight="1">
      <c r="A402" t="inlineStr">
        <is>
          <t>A 40810-2022</t>
        </is>
      </c>
      <c r="B402" s="1" t="n">
        <v>44824</v>
      </c>
      <c r="C402" s="1" t="n">
        <v>46029</v>
      </c>
      <c r="D402" t="inlineStr">
        <is>
          <t>ÖSTERGÖTLANDS LÄN</t>
        </is>
      </c>
      <c r="E402" t="inlineStr">
        <is>
          <t>LINKÖPING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47304-2025</t>
        </is>
      </c>
      <c r="B403" s="1" t="n">
        <v>45930.52037037037</v>
      </c>
      <c r="C403" s="1" t="n">
        <v>46029</v>
      </c>
      <c r="D403" t="inlineStr">
        <is>
          <t>ÖSTERGÖTLANDS LÄN</t>
        </is>
      </c>
      <c r="E403" t="inlineStr">
        <is>
          <t>LINKÖPING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47233-2025</t>
        </is>
      </c>
      <c r="B404" s="1" t="n">
        <v>45930.40612268518</v>
      </c>
      <c r="C404" s="1" t="n">
        <v>46029</v>
      </c>
      <c r="D404" t="inlineStr">
        <is>
          <t>ÖSTERGÖTLANDS LÄN</t>
        </is>
      </c>
      <c r="E404" t="inlineStr">
        <is>
          <t>LINKÖPING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20298-2025</t>
        </is>
      </c>
      <c r="B405" s="1" t="n">
        <v>45774.75024305555</v>
      </c>
      <c r="C405" s="1" t="n">
        <v>46029</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46847-2025</t>
        </is>
      </c>
      <c r="B406" s="1" t="n">
        <v>45928.69971064815</v>
      </c>
      <c r="C406" s="1" t="n">
        <v>46029</v>
      </c>
      <c r="D406" t="inlineStr">
        <is>
          <t>ÖSTERGÖTLANDS LÄN</t>
        </is>
      </c>
      <c r="E406" t="inlineStr">
        <is>
          <t>LINKÖPING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14576-2023</t>
        </is>
      </c>
      <c r="B407" s="1" t="n">
        <v>45013</v>
      </c>
      <c r="C407" s="1" t="n">
        <v>46029</v>
      </c>
      <c r="D407" t="inlineStr">
        <is>
          <t>ÖSTERGÖTLANDS LÄN</t>
        </is>
      </c>
      <c r="E407" t="inlineStr">
        <is>
          <t>LINKÖPING</t>
        </is>
      </c>
      <c r="G407" t="n">
        <v>3.2</v>
      </c>
      <c r="H407" t="n">
        <v>0</v>
      </c>
      <c r="I407" t="n">
        <v>0</v>
      </c>
      <c r="J407" t="n">
        <v>0</v>
      </c>
      <c r="K407" t="n">
        <v>0</v>
      </c>
      <c r="L407" t="n">
        <v>0</v>
      </c>
      <c r="M407" t="n">
        <v>0</v>
      </c>
      <c r="N407" t="n">
        <v>0</v>
      </c>
      <c r="O407" t="n">
        <v>0</v>
      </c>
      <c r="P407" t="n">
        <v>0</v>
      </c>
      <c r="Q407" t="n">
        <v>0</v>
      </c>
      <c r="R407" s="2" t="inlineStr"/>
    </row>
    <row r="408" ht="15" customHeight="1">
      <c r="A408" t="inlineStr">
        <is>
          <t>A 48343-2025</t>
        </is>
      </c>
      <c r="B408" s="1" t="n">
        <v>45932</v>
      </c>
      <c r="C408" s="1" t="n">
        <v>46029</v>
      </c>
      <c r="D408" t="inlineStr">
        <is>
          <t>ÖSTERGÖTLANDS LÄN</t>
        </is>
      </c>
      <c r="E408" t="inlineStr">
        <is>
          <t>LINKÖPING</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47606-2025</t>
        </is>
      </c>
      <c r="B409" s="1" t="n">
        <v>45931.46402777778</v>
      </c>
      <c r="C409" s="1" t="n">
        <v>46029</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12089-2025</t>
        </is>
      </c>
      <c r="B410" s="1" t="n">
        <v>45729</v>
      </c>
      <c r="C410" s="1" t="n">
        <v>46029</v>
      </c>
      <c r="D410" t="inlineStr">
        <is>
          <t>ÖSTERGÖTLANDS LÄN</t>
        </is>
      </c>
      <c r="E410" t="inlineStr">
        <is>
          <t>LINKÖPING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48254-2025</t>
        </is>
      </c>
      <c r="B411" s="1" t="n">
        <v>45932</v>
      </c>
      <c r="C411" s="1" t="n">
        <v>46029</v>
      </c>
      <c r="D411" t="inlineStr">
        <is>
          <t>ÖSTERGÖTLANDS LÄN</t>
        </is>
      </c>
      <c r="E411" t="inlineStr">
        <is>
          <t>LINKÖPING</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48266-2025</t>
        </is>
      </c>
      <c r="B412" s="1" t="n">
        <v>45932</v>
      </c>
      <c r="C412" s="1" t="n">
        <v>46029</v>
      </c>
      <c r="D412" t="inlineStr">
        <is>
          <t>ÖSTERGÖTLANDS LÄN</t>
        </is>
      </c>
      <c r="E412" t="inlineStr">
        <is>
          <t>LINKÖPING</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62321-2022</t>
        </is>
      </c>
      <c r="B413" s="1" t="n">
        <v>44916</v>
      </c>
      <c r="C413" s="1" t="n">
        <v>46029</v>
      </c>
      <c r="D413" t="inlineStr">
        <is>
          <t>ÖSTERGÖTLANDS LÄN</t>
        </is>
      </c>
      <c r="E413" t="inlineStr">
        <is>
          <t>LINKÖPING</t>
        </is>
      </c>
      <c r="F413" t="inlineStr">
        <is>
          <t>Kommuner</t>
        </is>
      </c>
      <c r="G413" t="n">
        <v>5.3</v>
      </c>
      <c r="H413" t="n">
        <v>0</v>
      </c>
      <c r="I413" t="n">
        <v>0</v>
      </c>
      <c r="J413" t="n">
        <v>0</v>
      </c>
      <c r="K413" t="n">
        <v>0</v>
      </c>
      <c r="L413" t="n">
        <v>0</v>
      </c>
      <c r="M413" t="n">
        <v>0</v>
      </c>
      <c r="N413" t="n">
        <v>0</v>
      </c>
      <c r="O413" t="n">
        <v>0</v>
      </c>
      <c r="P413" t="n">
        <v>0</v>
      </c>
      <c r="Q413" t="n">
        <v>0</v>
      </c>
      <c r="R413" s="2" t="inlineStr"/>
    </row>
    <row r="414" ht="15" customHeight="1">
      <c r="A414" t="inlineStr">
        <is>
          <t>A 43475-2024</t>
        </is>
      </c>
      <c r="B414" s="1" t="n">
        <v>45568</v>
      </c>
      <c r="C414" s="1" t="n">
        <v>46029</v>
      </c>
      <c r="D414" t="inlineStr">
        <is>
          <t>ÖSTERGÖTLANDS LÄN</t>
        </is>
      </c>
      <c r="E414" t="inlineStr">
        <is>
          <t>LINKÖPING</t>
        </is>
      </c>
      <c r="G414" t="n">
        <v>3.2</v>
      </c>
      <c r="H414" t="n">
        <v>0</v>
      </c>
      <c r="I414" t="n">
        <v>0</v>
      </c>
      <c r="J414" t="n">
        <v>0</v>
      </c>
      <c r="K414" t="n">
        <v>0</v>
      </c>
      <c r="L414" t="n">
        <v>0</v>
      </c>
      <c r="M414" t="n">
        <v>0</v>
      </c>
      <c r="N414" t="n">
        <v>0</v>
      </c>
      <c r="O414" t="n">
        <v>0</v>
      </c>
      <c r="P414" t="n">
        <v>0</v>
      </c>
      <c r="Q414" t="n">
        <v>0</v>
      </c>
      <c r="R414" s="2" t="inlineStr"/>
    </row>
    <row r="415" ht="15" customHeight="1">
      <c r="A415" t="inlineStr">
        <is>
          <t>A 17103-2025</t>
        </is>
      </c>
      <c r="B415" s="1" t="n">
        <v>45755.66143518518</v>
      </c>
      <c r="C415" s="1" t="n">
        <v>46029</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30551-2023</t>
        </is>
      </c>
      <c r="B416" s="1" t="n">
        <v>45111</v>
      </c>
      <c r="C416" s="1" t="n">
        <v>46029</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50784-2022</t>
        </is>
      </c>
      <c r="B417" s="1" t="n">
        <v>44862</v>
      </c>
      <c r="C417" s="1" t="n">
        <v>46029</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49605-2025</t>
        </is>
      </c>
      <c r="B418" s="1" t="n">
        <v>45938</v>
      </c>
      <c r="C418" s="1" t="n">
        <v>46029</v>
      </c>
      <c r="D418" t="inlineStr">
        <is>
          <t>ÖSTERGÖTLANDS LÄN</t>
        </is>
      </c>
      <c r="E418" t="inlineStr">
        <is>
          <t>LINKÖPING</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22043-2023</t>
        </is>
      </c>
      <c r="B419" s="1" t="n">
        <v>45069.39050925926</v>
      </c>
      <c r="C419" s="1" t="n">
        <v>46029</v>
      </c>
      <c r="D419" t="inlineStr">
        <is>
          <t>ÖSTERGÖTLANDS LÄN</t>
        </is>
      </c>
      <c r="E419" t="inlineStr">
        <is>
          <t>LINKÖPING</t>
        </is>
      </c>
      <c r="G419" t="n">
        <v>5.9</v>
      </c>
      <c r="H419" t="n">
        <v>0</v>
      </c>
      <c r="I419" t="n">
        <v>0</v>
      </c>
      <c r="J419" t="n">
        <v>0</v>
      </c>
      <c r="K419" t="n">
        <v>0</v>
      </c>
      <c r="L419" t="n">
        <v>0</v>
      </c>
      <c r="M419" t="n">
        <v>0</v>
      </c>
      <c r="N419" t="n">
        <v>0</v>
      </c>
      <c r="O419" t="n">
        <v>0</v>
      </c>
      <c r="P419" t="n">
        <v>0</v>
      </c>
      <c r="Q419" t="n">
        <v>0</v>
      </c>
      <c r="R419" s="2" t="inlineStr"/>
    </row>
    <row r="420" ht="15" customHeight="1">
      <c r="A420" t="inlineStr">
        <is>
          <t>A 49647-2025</t>
        </is>
      </c>
      <c r="B420" s="1" t="n">
        <v>45938</v>
      </c>
      <c r="C420" s="1" t="n">
        <v>46029</v>
      </c>
      <c r="D420" t="inlineStr">
        <is>
          <t>ÖSTERGÖTLANDS LÄN</t>
        </is>
      </c>
      <c r="E420" t="inlineStr">
        <is>
          <t>LINKÖPING</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49656-2021</t>
        </is>
      </c>
      <c r="B421" s="1" t="n">
        <v>44454</v>
      </c>
      <c r="C421" s="1" t="n">
        <v>46029</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49633-2025</t>
        </is>
      </c>
      <c r="B422" s="1" t="n">
        <v>45938</v>
      </c>
      <c r="C422" s="1" t="n">
        <v>46029</v>
      </c>
      <c r="D422" t="inlineStr">
        <is>
          <t>ÖSTERGÖTLANDS LÄN</t>
        </is>
      </c>
      <c r="E422" t="inlineStr">
        <is>
          <t>LINKÖPING</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49663-2025</t>
        </is>
      </c>
      <c r="B423" s="1" t="n">
        <v>45938</v>
      </c>
      <c r="C423" s="1" t="n">
        <v>46029</v>
      </c>
      <c r="D423" t="inlineStr">
        <is>
          <t>ÖSTERGÖTLANDS LÄN</t>
        </is>
      </c>
      <c r="E423" t="inlineStr">
        <is>
          <t>LINKÖPING</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49455-2025</t>
        </is>
      </c>
      <c r="B424" s="1" t="n">
        <v>45938</v>
      </c>
      <c r="C424" s="1" t="n">
        <v>46029</v>
      </c>
      <c r="D424" t="inlineStr">
        <is>
          <t>ÖSTERGÖTLANDS LÄN</t>
        </is>
      </c>
      <c r="E424" t="inlineStr">
        <is>
          <t>LINKÖPING</t>
        </is>
      </c>
      <c r="F424" t="inlineStr">
        <is>
          <t>Övriga Aktiebolag</t>
        </is>
      </c>
      <c r="G424" t="n">
        <v>5.9</v>
      </c>
      <c r="H424" t="n">
        <v>0</v>
      </c>
      <c r="I424" t="n">
        <v>0</v>
      </c>
      <c r="J424" t="n">
        <v>0</v>
      </c>
      <c r="K424" t="n">
        <v>0</v>
      </c>
      <c r="L424" t="n">
        <v>0</v>
      </c>
      <c r="M424" t="n">
        <v>0</v>
      </c>
      <c r="N424" t="n">
        <v>0</v>
      </c>
      <c r="O424" t="n">
        <v>0</v>
      </c>
      <c r="P424" t="n">
        <v>0</v>
      </c>
      <c r="Q424" t="n">
        <v>0</v>
      </c>
      <c r="R424" s="2" t="inlineStr"/>
    </row>
    <row r="425" ht="15" customHeight="1">
      <c r="A425" t="inlineStr">
        <is>
          <t>A 30465-2023</t>
        </is>
      </c>
      <c r="B425" s="1" t="n">
        <v>45111</v>
      </c>
      <c r="C425" s="1" t="n">
        <v>46029</v>
      </c>
      <c r="D425" t="inlineStr">
        <is>
          <t>ÖSTERGÖTLANDS LÄN</t>
        </is>
      </c>
      <c r="E425" t="inlineStr">
        <is>
          <t>LINKÖPING</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49652-2025</t>
        </is>
      </c>
      <c r="B426" s="1" t="n">
        <v>45938</v>
      </c>
      <c r="C426" s="1" t="n">
        <v>46029</v>
      </c>
      <c r="D426" t="inlineStr">
        <is>
          <t>ÖSTERGÖTLANDS LÄN</t>
        </is>
      </c>
      <c r="E426" t="inlineStr">
        <is>
          <t>LINKÖPING</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49654-2025</t>
        </is>
      </c>
      <c r="B427" s="1" t="n">
        <v>45938</v>
      </c>
      <c r="C427" s="1" t="n">
        <v>46029</v>
      </c>
      <c r="D427" t="inlineStr">
        <is>
          <t>ÖSTERGÖTLANDS LÄN</t>
        </is>
      </c>
      <c r="E427" t="inlineStr">
        <is>
          <t>LINKÖPING</t>
        </is>
      </c>
      <c r="F427" t="inlineStr">
        <is>
          <t>Övriga Aktiebolag</t>
        </is>
      </c>
      <c r="G427" t="n">
        <v>3.1</v>
      </c>
      <c r="H427" t="n">
        <v>0</v>
      </c>
      <c r="I427" t="n">
        <v>0</v>
      </c>
      <c r="J427" t="n">
        <v>0</v>
      </c>
      <c r="K427" t="n">
        <v>0</v>
      </c>
      <c r="L427" t="n">
        <v>0</v>
      </c>
      <c r="M427" t="n">
        <v>0</v>
      </c>
      <c r="N427" t="n">
        <v>0</v>
      </c>
      <c r="O427" t="n">
        <v>0</v>
      </c>
      <c r="P427" t="n">
        <v>0</v>
      </c>
      <c r="Q427" t="n">
        <v>0</v>
      </c>
      <c r="R427" s="2" t="inlineStr"/>
    </row>
    <row r="428" ht="15" customHeight="1">
      <c r="A428" t="inlineStr">
        <is>
          <t>A 49619-2025</t>
        </is>
      </c>
      <c r="B428" s="1" t="n">
        <v>45938</v>
      </c>
      <c r="C428" s="1" t="n">
        <v>46029</v>
      </c>
      <c r="D428" t="inlineStr">
        <is>
          <t>ÖSTERGÖTLANDS LÄN</t>
        </is>
      </c>
      <c r="E428" t="inlineStr">
        <is>
          <t>LINKÖPING</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49629-2025</t>
        </is>
      </c>
      <c r="B429" s="1" t="n">
        <v>45938</v>
      </c>
      <c r="C429" s="1" t="n">
        <v>46029</v>
      </c>
      <c r="D429" t="inlineStr">
        <is>
          <t>ÖSTERGÖTLANDS LÄN</t>
        </is>
      </c>
      <c r="E429" t="inlineStr">
        <is>
          <t>LINKÖPING</t>
        </is>
      </c>
      <c r="F429" t="inlineStr">
        <is>
          <t>Övriga Aktiebolag</t>
        </is>
      </c>
      <c r="G429" t="n">
        <v>4.5</v>
      </c>
      <c r="H429" t="n">
        <v>0</v>
      </c>
      <c r="I429" t="n">
        <v>0</v>
      </c>
      <c r="J429" t="n">
        <v>0</v>
      </c>
      <c r="K429" t="n">
        <v>0</v>
      </c>
      <c r="L429" t="n">
        <v>0</v>
      </c>
      <c r="M429" t="n">
        <v>0</v>
      </c>
      <c r="N429" t="n">
        <v>0</v>
      </c>
      <c r="O429" t="n">
        <v>0</v>
      </c>
      <c r="P429" t="n">
        <v>0</v>
      </c>
      <c r="Q429" t="n">
        <v>0</v>
      </c>
      <c r="R429" s="2" t="inlineStr"/>
    </row>
    <row r="430" ht="15" customHeight="1">
      <c r="A430" t="inlineStr">
        <is>
          <t>A 49650-2025</t>
        </is>
      </c>
      <c r="B430" s="1" t="n">
        <v>45938</v>
      </c>
      <c r="C430" s="1" t="n">
        <v>46029</v>
      </c>
      <c r="D430" t="inlineStr">
        <is>
          <t>ÖSTERGÖTLANDS LÄN</t>
        </is>
      </c>
      <c r="E430" t="inlineStr">
        <is>
          <t>LINKÖPING</t>
        </is>
      </c>
      <c r="F430" t="inlineStr">
        <is>
          <t>Övriga Aktiebolag</t>
        </is>
      </c>
      <c r="G430" t="n">
        <v>1.5</v>
      </c>
      <c r="H430" t="n">
        <v>0</v>
      </c>
      <c r="I430" t="n">
        <v>0</v>
      </c>
      <c r="J430" t="n">
        <v>0</v>
      </c>
      <c r="K430" t="n">
        <v>0</v>
      </c>
      <c r="L430" t="n">
        <v>0</v>
      </c>
      <c r="M430" t="n">
        <v>0</v>
      </c>
      <c r="N430" t="n">
        <v>0</v>
      </c>
      <c r="O430" t="n">
        <v>0</v>
      </c>
      <c r="P430" t="n">
        <v>0</v>
      </c>
      <c r="Q430" t="n">
        <v>0</v>
      </c>
      <c r="R430" s="2" t="inlineStr"/>
    </row>
    <row r="431" ht="15" customHeight="1">
      <c r="A431" t="inlineStr">
        <is>
          <t>A 30521-2024</t>
        </is>
      </c>
      <c r="B431" s="1" t="n">
        <v>45492</v>
      </c>
      <c r="C431" s="1" t="n">
        <v>46029</v>
      </c>
      <c r="D431" t="inlineStr">
        <is>
          <t>ÖSTERGÖTLANDS LÄN</t>
        </is>
      </c>
      <c r="E431" t="inlineStr">
        <is>
          <t>LINKÖPING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49632-2025</t>
        </is>
      </c>
      <c r="B432" s="1" t="n">
        <v>45938</v>
      </c>
      <c r="C432" s="1" t="n">
        <v>46029</v>
      </c>
      <c r="D432" t="inlineStr">
        <is>
          <t>ÖSTERGÖTLANDS LÄN</t>
        </is>
      </c>
      <c r="E432" t="inlineStr">
        <is>
          <t>LINKÖPING</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49615-2025</t>
        </is>
      </c>
      <c r="B433" s="1" t="n">
        <v>45938</v>
      </c>
      <c r="C433" s="1" t="n">
        <v>46029</v>
      </c>
      <c r="D433" t="inlineStr">
        <is>
          <t>ÖSTERGÖTLANDS LÄN</t>
        </is>
      </c>
      <c r="E433" t="inlineStr">
        <is>
          <t>LINKÖPING</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40618-2021</t>
        </is>
      </c>
      <c r="B434" s="1" t="n">
        <v>44420.49575231481</v>
      </c>
      <c r="C434" s="1" t="n">
        <v>46029</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23735-2023</t>
        </is>
      </c>
      <c r="B435" s="1" t="n">
        <v>45077</v>
      </c>
      <c r="C435" s="1" t="n">
        <v>46029</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350-2022</t>
        </is>
      </c>
      <c r="B436" s="1" t="n">
        <v>44565</v>
      </c>
      <c r="C436" s="1" t="n">
        <v>46029</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4256-2022</t>
        </is>
      </c>
      <c r="B437" s="1" t="n">
        <v>44588</v>
      </c>
      <c r="C437" s="1" t="n">
        <v>46029</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25948-2023</t>
        </is>
      </c>
      <c r="B438" s="1" t="n">
        <v>45090</v>
      </c>
      <c r="C438" s="1" t="n">
        <v>46029</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33867-2023</t>
        </is>
      </c>
      <c r="B439" s="1" t="n">
        <v>45133.94640046296</v>
      </c>
      <c r="C439" s="1" t="n">
        <v>46029</v>
      </c>
      <c r="D439" t="inlineStr">
        <is>
          <t>ÖSTERGÖTLANDS LÄN</t>
        </is>
      </c>
      <c r="E439" t="inlineStr">
        <is>
          <t>LINKÖPING</t>
        </is>
      </c>
      <c r="G439" t="n">
        <v>2.3</v>
      </c>
      <c r="H439" t="n">
        <v>0</v>
      </c>
      <c r="I439" t="n">
        <v>0</v>
      </c>
      <c r="J439" t="n">
        <v>0</v>
      </c>
      <c r="K439" t="n">
        <v>0</v>
      </c>
      <c r="L439" t="n">
        <v>0</v>
      </c>
      <c r="M439" t="n">
        <v>0</v>
      </c>
      <c r="N439" t="n">
        <v>0</v>
      </c>
      <c r="O439" t="n">
        <v>0</v>
      </c>
      <c r="P439" t="n">
        <v>0</v>
      </c>
      <c r="Q439" t="n">
        <v>0</v>
      </c>
      <c r="R439" s="2" t="inlineStr"/>
    </row>
    <row r="440" ht="15" customHeight="1">
      <c r="A440" t="inlineStr">
        <is>
          <t>A 40983-2025</t>
        </is>
      </c>
      <c r="B440" s="1" t="n">
        <v>45898</v>
      </c>
      <c r="C440" s="1" t="n">
        <v>46029</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24462-2023</t>
        </is>
      </c>
      <c r="B441" s="1" t="n">
        <v>45082</v>
      </c>
      <c r="C441" s="1" t="n">
        <v>46029</v>
      </c>
      <c r="D441" t="inlineStr">
        <is>
          <t>ÖSTERGÖTLANDS LÄN</t>
        </is>
      </c>
      <c r="E441" t="inlineStr">
        <is>
          <t>LINKÖPING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50056-2025</t>
        </is>
      </c>
      <c r="B442" s="1" t="n">
        <v>45941</v>
      </c>
      <c r="C442" s="1" t="n">
        <v>46029</v>
      </c>
      <c r="D442" t="inlineStr">
        <is>
          <t>ÖSTERGÖTLANDS LÄN</t>
        </is>
      </c>
      <c r="E442" t="inlineStr">
        <is>
          <t>LINKÖPING</t>
        </is>
      </c>
      <c r="G442" t="n">
        <v>0.3</v>
      </c>
      <c r="H442" t="n">
        <v>0</v>
      </c>
      <c r="I442" t="n">
        <v>0</v>
      </c>
      <c r="J442" t="n">
        <v>0</v>
      </c>
      <c r="K442" t="n">
        <v>0</v>
      </c>
      <c r="L442" t="n">
        <v>0</v>
      </c>
      <c r="M442" t="n">
        <v>0</v>
      </c>
      <c r="N442" t="n">
        <v>0</v>
      </c>
      <c r="O442" t="n">
        <v>0</v>
      </c>
      <c r="P442" t="n">
        <v>0</v>
      </c>
      <c r="Q442" t="n">
        <v>0</v>
      </c>
      <c r="R442" s="2" t="inlineStr"/>
    </row>
    <row r="443" ht="15" customHeight="1">
      <c r="A443" t="inlineStr">
        <is>
          <t>A 48829-2023</t>
        </is>
      </c>
      <c r="B443" s="1" t="n">
        <v>45209.38177083333</v>
      </c>
      <c r="C443" s="1" t="n">
        <v>46029</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58802-2025</t>
        </is>
      </c>
      <c r="B444" s="1" t="n">
        <v>45986.8768287037</v>
      </c>
      <c r="C444" s="1" t="n">
        <v>46029</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38231-2022</t>
        </is>
      </c>
      <c r="B445" s="1" t="n">
        <v>44812</v>
      </c>
      <c r="C445" s="1" t="n">
        <v>46029</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50799-2022</t>
        </is>
      </c>
      <c r="B446" s="1" t="n">
        <v>44862</v>
      </c>
      <c r="C446" s="1" t="n">
        <v>46029</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40431-2024</t>
        </is>
      </c>
      <c r="B447" s="1" t="n">
        <v>45555.47070601852</v>
      </c>
      <c r="C447" s="1" t="n">
        <v>46029</v>
      </c>
      <c r="D447" t="inlineStr">
        <is>
          <t>ÖSTERGÖTLANDS LÄN</t>
        </is>
      </c>
      <c r="E447" t="inlineStr">
        <is>
          <t>LINKÖPING</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267-2023</t>
        </is>
      </c>
      <c r="B448" s="1" t="n">
        <v>44928.80907407407</v>
      </c>
      <c r="C448" s="1" t="n">
        <v>46029</v>
      </c>
      <c r="D448" t="inlineStr">
        <is>
          <t>ÖSTERGÖTLANDS LÄN</t>
        </is>
      </c>
      <c r="E448" t="inlineStr">
        <is>
          <t>LINKÖPING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26618-2023</t>
        </is>
      </c>
      <c r="B449" s="1" t="n">
        <v>45092.70306712963</v>
      </c>
      <c r="C449" s="1" t="n">
        <v>46029</v>
      </c>
      <c r="D449" t="inlineStr">
        <is>
          <t>ÖSTERGÖTLANDS LÄN</t>
        </is>
      </c>
      <c r="E449" t="inlineStr">
        <is>
          <t>LINKÖPING</t>
        </is>
      </c>
      <c r="G449" t="n">
        <v>6.9</v>
      </c>
      <c r="H449" t="n">
        <v>0</v>
      </c>
      <c r="I449" t="n">
        <v>0</v>
      </c>
      <c r="J449" t="n">
        <v>0</v>
      </c>
      <c r="K449" t="n">
        <v>0</v>
      </c>
      <c r="L449" t="n">
        <v>0</v>
      </c>
      <c r="M449" t="n">
        <v>0</v>
      </c>
      <c r="N449" t="n">
        <v>0</v>
      </c>
      <c r="O449" t="n">
        <v>0</v>
      </c>
      <c r="P449" t="n">
        <v>0</v>
      </c>
      <c r="Q449" t="n">
        <v>0</v>
      </c>
      <c r="R449" s="2" t="inlineStr"/>
    </row>
    <row r="450" ht="15" customHeight="1">
      <c r="A450" t="inlineStr">
        <is>
          <t>A 50667-2025</t>
        </is>
      </c>
      <c r="B450" s="1" t="n">
        <v>45945</v>
      </c>
      <c r="C450" s="1" t="n">
        <v>46029</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63665-2023</t>
        </is>
      </c>
      <c r="B451" s="1" t="n">
        <v>45275</v>
      </c>
      <c r="C451" s="1" t="n">
        <v>46029</v>
      </c>
      <c r="D451" t="inlineStr">
        <is>
          <t>ÖSTERGÖTLANDS LÄN</t>
        </is>
      </c>
      <c r="E451" t="inlineStr">
        <is>
          <t>LINKÖPING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30429-2024</t>
        </is>
      </c>
      <c r="B452" s="1" t="n">
        <v>45491.68972222223</v>
      </c>
      <c r="C452" s="1" t="n">
        <v>46029</v>
      </c>
      <c r="D452" t="inlineStr">
        <is>
          <t>ÖSTERGÖTLANDS LÄN</t>
        </is>
      </c>
      <c r="E452" t="inlineStr">
        <is>
          <t>LINKÖPING</t>
        </is>
      </c>
      <c r="G452" t="n">
        <v>2.2</v>
      </c>
      <c r="H452" t="n">
        <v>0</v>
      </c>
      <c r="I452" t="n">
        <v>0</v>
      </c>
      <c r="J452" t="n">
        <v>0</v>
      </c>
      <c r="K452" t="n">
        <v>0</v>
      </c>
      <c r="L452" t="n">
        <v>0</v>
      </c>
      <c r="M452" t="n">
        <v>0</v>
      </c>
      <c r="N452" t="n">
        <v>0</v>
      </c>
      <c r="O452" t="n">
        <v>0</v>
      </c>
      <c r="P452" t="n">
        <v>0</v>
      </c>
      <c r="Q452" t="n">
        <v>0</v>
      </c>
      <c r="R452" s="2" t="inlineStr"/>
    </row>
    <row r="453" ht="15" customHeight="1">
      <c r="A453" t="inlineStr">
        <is>
          <t>A 30435-2024</t>
        </is>
      </c>
      <c r="B453" s="1" t="n">
        <v>45491.69962962963</v>
      </c>
      <c r="C453" s="1" t="n">
        <v>46029</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53816-2023</t>
        </is>
      </c>
      <c r="B454" s="1" t="n">
        <v>45231.40012731482</v>
      </c>
      <c r="C454" s="1" t="n">
        <v>46029</v>
      </c>
      <c r="D454" t="inlineStr">
        <is>
          <t>ÖSTERGÖTLANDS LÄN</t>
        </is>
      </c>
      <c r="E454" t="inlineStr">
        <is>
          <t>LINKÖPING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36557-2023</t>
        </is>
      </c>
      <c r="B455" s="1" t="n">
        <v>45153</v>
      </c>
      <c r="C455" s="1" t="n">
        <v>46029</v>
      </c>
      <c r="D455" t="inlineStr">
        <is>
          <t>ÖSTERGÖTLANDS LÄN</t>
        </is>
      </c>
      <c r="E455" t="inlineStr">
        <is>
          <t>LINKÖPING</t>
        </is>
      </c>
      <c r="F455" t="inlineStr">
        <is>
          <t>Övriga Aktiebolag</t>
        </is>
      </c>
      <c r="G455" t="n">
        <v>3.1</v>
      </c>
      <c r="H455" t="n">
        <v>0</v>
      </c>
      <c r="I455" t="n">
        <v>0</v>
      </c>
      <c r="J455" t="n">
        <v>0</v>
      </c>
      <c r="K455" t="n">
        <v>0</v>
      </c>
      <c r="L455" t="n">
        <v>0</v>
      </c>
      <c r="M455" t="n">
        <v>0</v>
      </c>
      <c r="N455" t="n">
        <v>0</v>
      </c>
      <c r="O455" t="n">
        <v>0</v>
      </c>
      <c r="P455" t="n">
        <v>0</v>
      </c>
      <c r="Q455" t="n">
        <v>0</v>
      </c>
      <c r="R455" s="2" t="inlineStr"/>
    </row>
    <row r="456" ht="15" customHeight="1">
      <c r="A456" t="inlineStr">
        <is>
          <t>A 6599-2023</t>
        </is>
      </c>
      <c r="B456" s="1" t="n">
        <v>44966.52603009259</v>
      </c>
      <c r="C456" s="1" t="n">
        <v>46029</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43473-2024</t>
        </is>
      </c>
      <c r="B457" s="1" t="n">
        <v>45568</v>
      </c>
      <c r="C457" s="1" t="n">
        <v>46029</v>
      </c>
      <c r="D457" t="inlineStr">
        <is>
          <t>ÖSTERGÖTLANDS LÄN</t>
        </is>
      </c>
      <c r="E457" t="inlineStr">
        <is>
          <t>LINKÖPING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59472-2025</t>
        </is>
      </c>
      <c r="B458" s="1" t="n">
        <v>45989.58321759259</v>
      </c>
      <c r="C458" s="1" t="n">
        <v>46029</v>
      </c>
      <c r="D458" t="inlineStr">
        <is>
          <t>ÖSTERGÖTLANDS LÄN</t>
        </is>
      </c>
      <c r="E458" t="inlineStr">
        <is>
          <t>LINKÖPING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51802-2025</t>
        </is>
      </c>
      <c r="B459" s="1" t="n">
        <v>45950</v>
      </c>
      <c r="C459" s="1" t="n">
        <v>46029</v>
      </c>
      <c r="D459" t="inlineStr">
        <is>
          <t>ÖSTERGÖTLANDS LÄN</t>
        </is>
      </c>
      <c r="E459" t="inlineStr">
        <is>
          <t>LINKÖPING</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10253-2022</t>
        </is>
      </c>
      <c r="B460" s="1" t="n">
        <v>44622</v>
      </c>
      <c r="C460" s="1" t="n">
        <v>46029</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61532-2021</t>
        </is>
      </c>
      <c r="B461" s="1" t="n">
        <v>44501</v>
      </c>
      <c r="C461" s="1" t="n">
        <v>46029</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3374-2023</t>
        </is>
      </c>
      <c r="B462" s="1" t="n">
        <v>44949</v>
      </c>
      <c r="C462" s="1" t="n">
        <v>46029</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224-2024</t>
        </is>
      </c>
      <c r="B463" s="1" t="n">
        <v>45294</v>
      </c>
      <c r="C463" s="1" t="n">
        <v>46029</v>
      </c>
      <c r="D463" t="inlineStr">
        <is>
          <t>ÖSTERGÖTLANDS LÄN</t>
        </is>
      </c>
      <c r="E463" t="inlineStr">
        <is>
          <t>LINKÖPING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6726-2024</t>
        </is>
      </c>
      <c r="B464" s="1" t="n">
        <v>45341</v>
      </c>
      <c r="C464" s="1" t="n">
        <v>46029</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60087-2025</t>
        </is>
      </c>
      <c r="B465" s="1" t="n">
        <v>45993.71726851852</v>
      </c>
      <c r="C465" s="1" t="n">
        <v>46029</v>
      </c>
      <c r="D465" t="inlineStr">
        <is>
          <t>ÖSTERGÖTLANDS LÄN</t>
        </is>
      </c>
      <c r="E465" t="inlineStr">
        <is>
          <t>LINKÖPING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53814-2023</t>
        </is>
      </c>
      <c r="B466" s="1" t="n">
        <v>45231</v>
      </c>
      <c r="C466" s="1" t="n">
        <v>46029</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60284-2025</t>
        </is>
      </c>
      <c r="B467" s="1" t="n">
        <v>45994.64373842593</v>
      </c>
      <c r="C467" s="1" t="n">
        <v>46029</v>
      </c>
      <c r="D467" t="inlineStr">
        <is>
          <t>ÖSTERGÖTLANDS LÄN</t>
        </is>
      </c>
      <c r="E467" t="inlineStr">
        <is>
          <t>LINKÖPING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60306-2025</t>
        </is>
      </c>
      <c r="B468" s="1" t="n">
        <v>45994.68326388889</v>
      </c>
      <c r="C468" s="1" t="n">
        <v>46029</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52111-2025</t>
        </is>
      </c>
      <c r="B469" s="1" t="n">
        <v>45952.69527777778</v>
      </c>
      <c r="C469" s="1" t="n">
        <v>46029</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60004-2022</t>
        </is>
      </c>
      <c r="B470" s="1" t="n">
        <v>44909.47206018519</v>
      </c>
      <c r="C470" s="1" t="n">
        <v>46029</v>
      </c>
      <c r="D470" t="inlineStr">
        <is>
          <t>ÖSTERGÖTLANDS LÄN</t>
        </is>
      </c>
      <c r="E470" t="inlineStr">
        <is>
          <t>LINKÖPING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52796-2023</t>
        </is>
      </c>
      <c r="B471" s="1" t="n">
        <v>45219</v>
      </c>
      <c r="C471" s="1" t="n">
        <v>46029</v>
      </c>
      <c r="D471" t="inlineStr">
        <is>
          <t>ÖSTERGÖTLANDS LÄN</t>
        </is>
      </c>
      <c r="E471" t="inlineStr">
        <is>
          <t>LINKÖPING</t>
        </is>
      </c>
      <c r="F471" t="inlineStr">
        <is>
          <t>Övriga statliga verk och myndigheter</t>
        </is>
      </c>
      <c r="G471" t="n">
        <v>3.9</v>
      </c>
      <c r="H471" t="n">
        <v>0</v>
      </c>
      <c r="I471" t="n">
        <v>0</v>
      </c>
      <c r="J471" t="n">
        <v>0</v>
      </c>
      <c r="K471" t="n">
        <v>0</v>
      </c>
      <c r="L471" t="n">
        <v>0</v>
      </c>
      <c r="M471" t="n">
        <v>0</v>
      </c>
      <c r="N471" t="n">
        <v>0</v>
      </c>
      <c r="O471" t="n">
        <v>0</v>
      </c>
      <c r="P471" t="n">
        <v>0</v>
      </c>
      <c r="Q471" t="n">
        <v>0</v>
      </c>
      <c r="R471" s="2" t="inlineStr"/>
    </row>
    <row r="472" ht="15" customHeight="1">
      <c r="A472" t="inlineStr">
        <is>
          <t>A 50743-2023</t>
        </is>
      </c>
      <c r="B472" s="1" t="n">
        <v>45217</v>
      </c>
      <c r="C472" s="1" t="n">
        <v>46029</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45771-2023</t>
        </is>
      </c>
      <c r="B473" s="1" t="n">
        <v>45195.4384375</v>
      </c>
      <c r="C473" s="1" t="n">
        <v>46029</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63554-2023</t>
        </is>
      </c>
      <c r="B474" s="1" t="n">
        <v>45275</v>
      </c>
      <c r="C474" s="1" t="n">
        <v>46029</v>
      </c>
      <c r="D474" t="inlineStr">
        <is>
          <t>ÖSTERGÖTLANDS LÄN</t>
        </is>
      </c>
      <c r="E474" t="inlineStr">
        <is>
          <t>LINKÖPING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30111-2024</t>
        </is>
      </c>
      <c r="B475" s="1" t="n">
        <v>45489.46947916667</v>
      </c>
      <c r="C475" s="1" t="n">
        <v>46029</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30119-2024</t>
        </is>
      </c>
      <c r="B476" s="1" t="n">
        <v>45489</v>
      </c>
      <c r="C476" s="1" t="n">
        <v>46029</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6206-2024</t>
        </is>
      </c>
      <c r="B477" s="1" t="n">
        <v>45337.5977662037</v>
      </c>
      <c r="C477" s="1" t="n">
        <v>46029</v>
      </c>
      <c r="D477" t="inlineStr">
        <is>
          <t>ÖSTERGÖTLANDS LÄN</t>
        </is>
      </c>
      <c r="E477" t="inlineStr">
        <is>
          <t>LINKÖPING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15714-2024</t>
        </is>
      </c>
      <c r="B478" s="1" t="n">
        <v>45404.48288194444</v>
      </c>
      <c r="C478" s="1" t="n">
        <v>46029</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30481-2023</t>
        </is>
      </c>
      <c r="B479" s="1" t="n">
        <v>45111</v>
      </c>
      <c r="C479" s="1" t="n">
        <v>46029</v>
      </c>
      <c r="D479" t="inlineStr">
        <is>
          <t>ÖSTERGÖTLANDS LÄN</t>
        </is>
      </c>
      <c r="E479" t="inlineStr">
        <is>
          <t>LINKÖPING</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74160-2021</t>
        </is>
      </c>
      <c r="B480" s="1" t="n">
        <v>44558</v>
      </c>
      <c r="C480" s="1" t="n">
        <v>46029</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60703-2025</t>
        </is>
      </c>
      <c r="B481" s="1" t="n">
        <v>45996.6052662037</v>
      </c>
      <c r="C481" s="1" t="n">
        <v>46029</v>
      </c>
      <c r="D481" t="inlineStr">
        <is>
          <t>ÖSTERGÖTLANDS LÄN</t>
        </is>
      </c>
      <c r="E481" t="inlineStr">
        <is>
          <t>LINKÖPING</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63559-2023</t>
        </is>
      </c>
      <c r="B482" s="1" t="n">
        <v>45275.35924768518</v>
      </c>
      <c r="C482" s="1" t="n">
        <v>46029</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23491-2024</t>
        </is>
      </c>
      <c r="B483" s="1" t="n">
        <v>45453</v>
      </c>
      <c r="C483" s="1" t="n">
        <v>46029</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29309-2024</t>
        </is>
      </c>
      <c r="B484" s="1" t="n">
        <v>45483</v>
      </c>
      <c r="C484" s="1" t="n">
        <v>46029</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29411-2023</t>
        </is>
      </c>
      <c r="B485" s="1" t="n">
        <v>45106.46225694445</v>
      </c>
      <c r="C485" s="1" t="n">
        <v>46029</v>
      </c>
      <c r="D485" t="inlineStr">
        <is>
          <t>ÖSTERGÖTLANDS LÄN</t>
        </is>
      </c>
      <c r="E485" t="inlineStr">
        <is>
          <t>LINKÖPING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29412-2023</t>
        </is>
      </c>
      <c r="B486" s="1" t="n">
        <v>45106.46359953703</v>
      </c>
      <c r="C486" s="1" t="n">
        <v>46029</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29413-2023</t>
        </is>
      </c>
      <c r="B487" s="1" t="n">
        <v>45106.46465277778</v>
      </c>
      <c r="C487" s="1" t="n">
        <v>46029</v>
      </c>
      <c r="D487" t="inlineStr">
        <is>
          <t>ÖSTERGÖTLANDS LÄN</t>
        </is>
      </c>
      <c r="E487" t="inlineStr">
        <is>
          <t>LINKÖPING</t>
        </is>
      </c>
      <c r="G487" t="n">
        <v>8</v>
      </c>
      <c r="H487" t="n">
        <v>0</v>
      </c>
      <c r="I487" t="n">
        <v>0</v>
      </c>
      <c r="J487" t="n">
        <v>0</v>
      </c>
      <c r="K487" t="n">
        <v>0</v>
      </c>
      <c r="L487" t="n">
        <v>0</v>
      </c>
      <c r="M487" t="n">
        <v>0</v>
      </c>
      <c r="N487" t="n">
        <v>0</v>
      </c>
      <c r="O487" t="n">
        <v>0</v>
      </c>
      <c r="P487" t="n">
        <v>0</v>
      </c>
      <c r="Q487" t="n">
        <v>0</v>
      </c>
      <c r="R487" s="2" t="inlineStr"/>
    </row>
    <row r="488" ht="15" customHeight="1">
      <c r="A488" t="inlineStr">
        <is>
          <t>A 24151-2024</t>
        </is>
      </c>
      <c r="B488" s="1" t="n">
        <v>45456.67717592593</v>
      </c>
      <c r="C488" s="1" t="n">
        <v>46029</v>
      </c>
      <c r="D488" t="inlineStr">
        <is>
          <t>ÖSTERGÖTLANDS LÄN</t>
        </is>
      </c>
      <c r="E488" t="inlineStr">
        <is>
          <t>LINKÖPING</t>
        </is>
      </c>
      <c r="G488" t="n">
        <v>2.1</v>
      </c>
      <c r="H488" t="n">
        <v>0</v>
      </c>
      <c r="I488" t="n">
        <v>0</v>
      </c>
      <c r="J488" t="n">
        <v>0</v>
      </c>
      <c r="K488" t="n">
        <v>0</v>
      </c>
      <c r="L488" t="n">
        <v>0</v>
      </c>
      <c r="M488" t="n">
        <v>0</v>
      </c>
      <c r="N488" t="n">
        <v>0</v>
      </c>
      <c r="O488" t="n">
        <v>0</v>
      </c>
      <c r="P488" t="n">
        <v>0</v>
      </c>
      <c r="Q488" t="n">
        <v>0</v>
      </c>
      <c r="R488" s="2" t="inlineStr"/>
    </row>
    <row r="489" ht="15" customHeight="1">
      <c r="A489" t="inlineStr">
        <is>
          <t>A 52800-2025</t>
        </is>
      </c>
      <c r="B489" s="1" t="n">
        <v>45957.44152777778</v>
      </c>
      <c r="C489" s="1" t="n">
        <v>46029</v>
      </c>
      <c r="D489" t="inlineStr">
        <is>
          <t>ÖSTERGÖTLANDS LÄN</t>
        </is>
      </c>
      <c r="E489" t="inlineStr">
        <is>
          <t>LINKÖPING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52802-2025</t>
        </is>
      </c>
      <c r="B490" s="1" t="n">
        <v>45957.44295138889</v>
      </c>
      <c r="C490" s="1" t="n">
        <v>46029</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63845-2021</t>
        </is>
      </c>
      <c r="B491" s="1" t="n">
        <v>44509</v>
      </c>
      <c r="C491" s="1" t="n">
        <v>46029</v>
      </c>
      <c r="D491" t="inlineStr">
        <is>
          <t>ÖSTERGÖTLANDS LÄN</t>
        </is>
      </c>
      <c r="E491" t="inlineStr">
        <is>
          <t>LINKÖPING</t>
        </is>
      </c>
      <c r="G491" t="n">
        <v>5</v>
      </c>
      <c r="H491" t="n">
        <v>0</v>
      </c>
      <c r="I491" t="n">
        <v>0</v>
      </c>
      <c r="J491" t="n">
        <v>0</v>
      </c>
      <c r="K491" t="n">
        <v>0</v>
      </c>
      <c r="L491" t="n">
        <v>0</v>
      </c>
      <c r="M491" t="n">
        <v>0</v>
      </c>
      <c r="N491" t="n">
        <v>0</v>
      </c>
      <c r="O491" t="n">
        <v>0</v>
      </c>
      <c r="P491" t="n">
        <v>0</v>
      </c>
      <c r="Q491" t="n">
        <v>0</v>
      </c>
      <c r="R491" s="2" t="inlineStr"/>
    </row>
    <row r="492" ht="15" customHeight="1">
      <c r="A492" t="inlineStr">
        <is>
          <t>A 17785-2023</t>
        </is>
      </c>
      <c r="B492" s="1" t="n">
        <v>45037.55094907407</v>
      </c>
      <c r="C492" s="1" t="n">
        <v>46029</v>
      </c>
      <c r="D492" t="inlineStr">
        <is>
          <t>ÖSTERGÖTLANDS LÄN</t>
        </is>
      </c>
      <c r="E492" t="inlineStr">
        <is>
          <t>LINKÖPING</t>
        </is>
      </c>
      <c r="F492" t="inlineStr">
        <is>
          <t>Allmännings- och besparingsskogar</t>
        </is>
      </c>
      <c r="G492" t="n">
        <v>3.1</v>
      </c>
      <c r="H492" t="n">
        <v>0</v>
      </c>
      <c r="I492" t="n">
        <v>0</v>
      </c>
      <c r="J492" t="n">
        <v>0</v>
      </c>
      <c r="K492" t="n">
        <v>0</v>
      </c>
      <c r="L492" t="n">
        <v>0</v>
      </c>
      <c r="M492" t="n">
        <v>0</v>
      </c>
      <c r="N492" t="n">
        <v>0</v>
      </c>
      <c r="O492" t="n">
        <v>0</v>
      </c>
      <c r="P492" t="n">
        <v>0</v>
      </c>
      <c r="Q492" t="n">
        <v>0</v>
      </c>
      <c r="R492" s="2" t="inlineStr"/>
    </row>
    <row r="493" ht="15" customHeight="1">
      <c r="A493" t="inlineStr">
        <is>
          <t>A 32346-2023</t>
        </is>
      </c>
      <c r="B493" s="1" t="n">
        <v>45120</v>
      </c>
      <c r="C493" s="1" t="n">
        <v>46029</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1627-2023</t>
        </is>
      </c>
      <c r="B494" s="1" t="n">
        <v>44937</v>
      </c>
      <c r="C494" s="1" t="n">
        <v>46029</v>
      </c>
      <c r="D494" t="inlineStr">
        <is>
          <t>ÖSTERGÖTLANDS LÄN</t>
        </is>
      </c>
      <c r="E494" t="inlineStr">
        <is>
          <t>LINKÖPING</t>
        </is>
      </c>
      <c r="G494" t="n">
        <v>10.8</v>
      </c>
      <c r="H494" t="n">
        <v>0</v>
      </c>
      <c r="I494" t="n">
        <v>0</v>
      </c>
      <c r="J494" t="n">
        <v>0</v>
      </c>
      <c r="K494" t="n">
        <v>0</v>
      </c>
      <c r="L494" t="n">
        <v>0</v>
      </c>
      <c r="M494" t="n">
        <v>0</v>
      </c>
      <c r="N494" t="n">
        <v>0</v>
      </c>
      <c r="O494" t="n">
        <v>0</v>
      </c>
      <c r="P494" t="n">
        <v>0</v>
      </c>
      <c r="Q494" t="n">
        <v>0</v>
      </c>
      <c r="R494" s="2" t="inlineStr"/>
    </row>
    <row r="495" ht="15" customHeight="1">
      <c r="A495" t="inlineStr">
        <is>
          <t>A 52740-2025</t>
        </is>
      </c>
      <c r="B495" s="1" t="n">
        <v>45957.37747685185</v>
      </c>
      <c r="C495" s="1" t="n">
        <v>46029</v>
      </c>
      <c r="D495" t="inlineStr">
        <is>
          <t>ÖSTERGÖTLANDS LÄN</t>
        </is>
      </c>
      <c r="E495" t="inlineStr">
        <is>
          <t>LINKÖPING</t>
        </is>
      </c>
      <c r="G495" t="n">
        <v>3.7</v>
      </c>
      <c r="H495" t="n">
        <v>0</v>
      </c>
      <c r="I495" t="n">
        <v>0</v>
      </c>
      <c r="J495" t="n">
        <v>0</v>
      </c>
      <c r="K495" t="n">
        <v>0</v>
      </c>
      <c r="L495" t="n">
        <v>0</v>
      </c>
      <c r="M495" t="n">
        <v>0</v>
      </c>
      <c r="N495" t="n">
        <v>0</v>
      </c>
      <c r="O495" t="n">
        <v>0</v>
      </c>
      <c r="P495" t="n">
        <v>0</v>
      </c>
      <c r="Q495" t="n">
        <v>0</v>
      </c>
      <c r="R495" s="2" t="inlineStr"/>
    </row>
    <row r="496" ht="15" customHeight="1">
      <c r="A496" t="inlineStr">
        <is>
          <t>A 52743-2025</t>
        </is>
      </c>
      <c r="B496" s="1" t="n">
        <v>45957.38039351852</v>
      </c>
      <c r="C496" s="1" t="n">
        <v>46029</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52807-2025</t>
        </is>
      </c>
      <c r="B497" s="1" t="n">
        <v>45957.44837962963</v>
      </c>
      <c r="C497" s="1" t="n">
        <v>46029</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16665-2023</t>
        </is>
      </c>
      <c r="B498" s="1" t="n">
        <v>45030.5583912037</v>
      </c>
      <c r="C498" s="1" t="n">
        <v>46029</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60860-2024</t>
        </is>
      </c>
      <c r="B499" s="1" t="n">
        <v>45644.6893287037</v>
      </c>
      <c r="C499" s="1" t="n">
        <v>46029</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31640-2023</t>
        </is>
      </c>
      <c r="B500" s="1" t="n">
        <v>45117</v>
      </c>
      <c r="C500" s="1" t="n">
        <v>46029</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16213-2025</t>
        </is>
      </c>
      <c r="B501" s="1" t="n">
        <v>45750.62740740741</v>
      </c>
      <c r="C501" s="1" t="n">
        <v>46029</v>
      </c>
      <c r="D501" t="inlineStr">
        <is>
          <t>ÖSTERGÖTLANDS LÄN</t>
        </is>
      </c>
      <c r="E501" t="inlineStr">
        <is>
          <t>LINKÖPING</t>
        </is>
      </c>
      <c r="G501" t="n">
        <v>3.4</v>
      </c>
      <c r="H501" t="n">
        <v>0</v>
      </c>
      <c r="I501" t="n">
        <v>0</v>
      </c>
      <c r="J501" t="n">
        <v>0</v>
      </c>
      <c r="K501" t="n">
        <v>0</v>
      </c>
      <c r="L501" t="n">
        <v>0</v>
      </c>
      <c r="M501" t="n">
        <v>0</v>
      </c>
      <c r="N501" t="n">
        <v>0</v>
      </c>
      <c r="O501" t="n">
        <v>0</v>
      </c>
      <c r="P501" t="n">
        <v>0</v>
      </c>
      <c r="Q501" t="n">
        <v>0</v>
      </c>
      <c r="R501" s="2" t="inlineStr"/>
    </row>
    <row r="502" ht="15" customHeight="1">
      <c r="A502" t="inlineStr">
        <is>
          <t>A 34872-2023</t>
        </is>
      </c>
      <c r="B502" s="1" t="n">
        <v>45140</v>
      </c>
      <c r="C502" s="1" t="n">
        <v>46029</v>
      </c>
      <c r="D502" t="inlineStr">
        <is>
          <t>ÖSTERGÖTLANDS LÄN</t>
        </is>
      </c>
      <c r="E502" t="inlineStr">
        <is>
          <t>LINKÖPING</t>
        </is>
      </c>
      <c r="G502" t="n">
        <v>4.8</v>
      </c>
      <c r="H502" t="n">
        <v>0</v>
      </c>
      <c r="I502" t="n">
        <v>0</v>
      </c>
      <c r="J502" t="n">
        <v>0</v>
      </c>
      <c r="K502" t="n">
        <v>0</v>
      </c>
      <c r="L502" t="n">
        <v>0</v>
      </c>
      <c r="M502" t="n">
        <v>0</v>
      </c>
      <c r="N502" t="n">
        <v>0</v>
      </c>
      <c r="O502" t="n">
        <v>0</v>
      </c>
      <c r="P502" t="n">
        <v>0</v>
      </c>
      <c r="Q502" t="n">
        <v>0</v>
      </c>
      <c r="R502" s="2" t="inlineStr"/>
    </row>
    <row r="503" ht="15" customHeight="1">
      <c r="A503" t="inlineStr">
        <is>
          <t>A 33000-2023</t>
        </is>
      </c>
      <c r="B503" s="1" t="n">
        <v>45125</v>
      </c>
      <c r="C503" s="1" t="n">
        <v>46029</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2997-2025</t>
        </is>
      </c>
      <c r="B504" s="1" t="n">
        <v>45678.54631944445</v>
      </c>
      <c r="C504" s="1" t="n">
        <v>46029</v>
      </c>
      <c r="D504" t="inlineStr">
        <is>
          <t>ÖSTERGÖTLANDS LÄN</t>
        </is>
      </c>
      <c r="E504" t="inlineStr">
        <is>
          <t>LINKÖPING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31534-2023</t>
        </is>
      </c>
      <c r="B505" s="1" t="n">
        <v>45116</v>
      </c>
      <c r="C505" s="1" t="n">
        <v>46029</v>
      </c>
      <c r="D505" t="inlineStr">
        <is>
          <t>ÖSTERGÖTLANDS LÄN</t>
        </is>
      </c>
      <c r="E505" t="inlineStr">
        <is>
          <t>LINKÖPING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61447-2025</t>
        </is>
      </c>
      <c r="B506" s="1" t="n">
        <v>46001.57554398148</v>
      </c>
      <c r="C506" s="1" t="n">
        <v>46029</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61643-2025</t>
        </is>
      </c>
      <c r="B507" s="1" t="n">
        <v>46002.43575231481</v>
      </c>
      <c r="C507" s="1" t="n">
        <v>46029</v>
      </c>
      <c r="D507" t="inlineStr">
        <is>
          <t>ÖSTERGÖTLANDS LÄN</t>
        </is>
      </c>
      <c r="E507" t="inlineStr">
        <is>
          <t>LINKÖPING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61645-2025</t>
        </is>
      </c>
      <c r="B508" s="1" t="n">
        <v>46002.43697916667</v>
      </c>
      <c r="C508" s="1" t="n">
        <v>46029</v>
      </c>
      <c r="D508" t="inlineStr">
        <is>
          <t>ÖSTERGÖTLANDS LÄN</t>
        </is>
      </c>
      <c r="E508" t="inlineStr">
        <is>
          <t>LINKÖPING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26803-2024</t>
        </is>
      </c>
      <c r="B509" s="1" t="n">
        <v>45470</v>
      </c>
      <c r="C509" s="1" t="n">
        <v>46029</v>
      </c>
      <c r="D509" t="inlineStr">
        <is>
          <t>ÖSTERGÖTLANDS LÄN</t>
        </is>
      </c>
      <c r="E509" t="inlineStr">
        <is>
          <t>LINKÖPING</t>
        </is>
      </c>
      <c r="F509" t="inlineStr">
        <is>
          <t>Allmännings- och besparingsskogar</t>
        </is>
      </c>
      <c r="G509" t="n">
        <v>4.5</v>
      </c>
      <c r="H509" t="n">
        <v>0</v>
      </c>
      <c r="I509" t="n">
        <v>0</v>
      </c>
      <c r="J509" t="n">
        <v>0</v>
      </c>
      <c r="K509" t="n">
        <v>0</v>
      </c>
      <c r="L509" t="n">
        <v>0</v>
      </c>
      <c r="M509" t="n">
        <v>0</v>
      </c>
      <c r="N509" t="n">
        <v>0</v>
      </c>
      <c r="O509" t="n">
        <v>0</v>
      </c>
      <c r="P509" t="n">
        <v>0</v>
      </c>
      <c r="Q509" t="n">
        <v>0</v>
      </c>
      <c r="R509" s="2" t="inlineStr"/>
    </row>
    <row r="510" ht="15" customHeight="1">
      <c r="A510" t="inlineStr">
        <is>
          <t>A 61899-2025</t>
        </is>
      </c>
      <c r="B510" s="1" t="n">
        <v>46003.46635416667</v>
      </c>
      <c r="C510" s="1" t="n">
        <v>46029</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61230-2025</t>
        </is>
      </c>
      <c r="B511" s="1" t="n">
        <v>46000.63111111111</v>
      </c>
      <c r="C511" s="1" t="n">
        <v>46029</v>
      </c>
      <c r="D511" t="inlineStr">
        <is>
          <t>ÖSTERGÖTLANDS LÄN</t>
        </is>
      </c>
      <c r="E511" t="inlineStr">
        <is>
          <t>LINKÖPING</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45806-2024</t>
        </is>
      </c>
      <c r="B512" s="1" t="n">
        <v>45579.69619212963</v>
      </c>
      <c r="C512" s="1" t="n">
        <v>46029</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37154-2023</t>
        </is>
      </c>
      <c r="B513" s="1" t="n">
        <v>45155</v>
      </c>
      <c r="C513" s="1" t="n">
        <v>46029</v>
      </c>
      <c r="D513" t="inlineStr">
        <is>
          <t>ÖSTERGÖTLANDS LÄN</t>
        </is>
      </c>
      <c r="E513" t="inlineStr">
        <is>
          <t>LINKÖPING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11330-2023</t>
        </is>
      </c>
      <c r="B514" s="1" t="n">
        <v>44993.24648148148</v>
      </c>
      <c r="C514" s="1" t="n">
        <v>46029</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62686-2025</t>
        </is>
      </c>
      <c r="B515" s="1" t="n">
        <v>46008.46769675926</v>
      </c>
      <c r="C515" s="1" t="n">
        <v>46029</v>
      </c>
      <c r="D515" t="inlineStr">
        <is>
          <t>ÖSTERGÖTLANDS LÄN</t>
        </is>
      </c>
      <c r="E515" t="inlineStr">
        <is>
          <t>LINKÖPING</t>
        </is>
      </c>
      <c r="G515" t="n">
        <v>7.6</v>
      </c>
      <c r="H515" t="n">
        <v>0</v>
      </c>
      <c r="I515" t="n">
        <v>0</v>
      </c>
      <c r="J515" t="n">
        <v>0</v>
      </c>
      <c r="K515" t="n">
        <v>0</v>
      </c>
      <c r="L515" t="n">
        <v>0</v>
      </c>
      <c r="M515" t="n">
        <v>0</v>
      </c>
      <c r="N515" t="n">
        <v>0</v>
      </c>
      <c r="O515" t="n">
        <v>0</v>
      </c>
      <c r="P515" t="n">
        <v>0</v>
      </c>
      <c r="Q515" t="n">
        <v>0</v>
      </c>
      <c r="R515" s="2" t="inlineStr"/>
    </row>
    <row r="516" ht="15" customHeight="1">
      <c r="A516" t="inlineStr">
        <is>
          <t>A 42000-2023</t>
        </is>
      </c>
      <c r="B516" s="1" t="n">
        <v>45177</v>
      </c>
      <c r="C516" s="1" t="n">
        <v>46029</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54333-2025</t>
        </is>
      </c>
      <c r="B517" s="1" t="n">
        <v>45965.35090277778</v>
      </c>
      <c r="C517" s="1" t="n">
        <v>46029</v>
      </c>
      <c r="D517" t="inlineStr">
        <is>
          <t>ÖSTERGÖTLANDS LÄN</t>
        </is>
      </c>
      <c r="E517" t="inlineStr">
        <is>
          <t>LINKÖPING</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54332-2025</t>
        </is>
      </c>
      <c r="B518" s="1" t="n">
        <v>45965.34915509259</v>
      </c>
      <c r="C518" s="1" t="n">
        <v>46029</v>
      </c>
      <c r="D518" t="inlineStr">
        <is>
          <t>ÖSTERGÖTLANDS LÄN</t>
        </is>
      </c>
      <c r="E518" t="inlineStr">
        <is>
          <t>LINKÖPING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32602-2022</t>
        </is>
      </c>
      <c r="B519" s="1" t="n">
        <v>44783.43192129629</v>
      </c>
      <c r="C519" s="1" t="n">
        <v>46029</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62515-2025</t>
        </is>
      </c>
      <c r="B520" s="1" t="n">
        <v>46007.60548611111</v>
      </c>
      <c r="C520" s="1" t="n">
        <v>46029</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62791-2025</t>
        </is>
      </c>
      <c r="B521" s="1" t="n">
        <v>46008.63266203704</v>
      </c>
      <c r="C521" s="1" t="n">
        <v>46029</v>
      </c>
      <c r="D521" t="inlineStr">
        <is>
          <t>ÖSTERGÖTLANDS LÄN</t>
        </is>
      </c>
      <c r="E521" t="inlineStr">
        <is>
          <t>LINKÖPING</t>
        </is>
      </c>
      <c r="G521" t="n">
        <v>2.4</v>
      </c>
      <c r="H521" t="n">
        <v>0</v>
      </c>
      <c r="I521" t="n">
        <v>0</v>
      </c>
      <c r="J521" t="n">
        <v>0</v>
      </c>
      <c r="K521" t="n">
        <v>0</v>
      </c>
      <c r="L521" t="n">
        <v>0</v>
      </c>
      <c r="M521" t="n">
        <v>0</v>
      </c>
      <c r="N521" t="n">
        <v>0</v>
      </c>
      <c r="O521" t="n">
        <v>0</v>
      </c>
      <c r="P521" t="n">
        <v>0</v>
      </c>
      <c r="Q521" t="n">
        <v>0</v>
      </c>
      <c r="R521" s="2" t="inlineStr"/>
    </row>
    <row r="522" ht="15" customHeight="1">
      <c r="A522" t="inlineStr">
        <is>
          <t>A 54329-2025</t>
        </is>
      </c>
      <c r="B522" s="1" t="n">
        <v>45965.34706018519</v>
      </c>
      <c r="C522" s="1" t="n">
        <v>46029</v>
      </c>
      <c r="D522" t="inlineStr">
        <is>
          <t>ÖSTERGÖTLANDS LÄN</t>
        </is>
      </c>
      <c r="E522" t="inlineStr">
        <is>
          <t>LINKÖPING</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59205-2025</t>
        </is>
      </c>
      <c r="B523" s="1" t="n">
        <v>45988.60721064815</v>
      </c>
      <c r="C523" s="1" t="n">
        <v>46029</v>
      </c>
      <c r="D523" t="inlineStr">
        <is>
          <t>ÖSTERGÖTLANDS LÄN</t>
        </is>
      </c>
      <c r="E523" t="inlineStr">
        <is>
          <t>LINKÖPING</t>
        </is>
      </c>
      <c r="F523" t="inlineStr">
        <is>
          <t>Sveaskog</t>
        </is>
      </c>
      <c r="G523" t="n">
        <v>11.3</v>
      </c>
      <c r="H523" t="n">
        <v>0</v>
      </c>
      <c r="I523" t="n">
        <v>0</v>
      </c>
      <c r="J523" t="n">
        <v>0</v>
      </c>
      <c r="K523" t="n">
        <v>0</v>
      </c>
      <c r="L523" t="n">
        <v>0</v>
      </c>
      <c r="M523" t="n">
        <v>0</v>
      </c>
      <c r="N523" t="n">
        <v>0</v>
      </c>
      <c r="O523" t="n">
        <v>0</v>
      </c>
      <c r="P523" t="n">
        <v>0</v>
      </c>
      <c r="Q523" t="n">
        <v>0</v>
      </c>
      <c r="R523" s="2" t="inlineStr"/>
    </row>
    <row r="524" ht="15" customHeight="1">
      <c r="A524" t="inlineStr">
        <is>
          <t>A 13413-2023</t>
        </is>
      </c>
      <c r="B524" s="1" t="n">
        <v>45005.58341435185</v>
      </c>
      <c r="C524" s="1" t="n">
        <v>46029</v>
      </c>
      <c r="D524" t="inlineStr">
        <is>
          <t>ÖSTERGÖTLANDS LÄN</t>
        </is>
      </c>
      <c r="E524" t="inlineStr">
        <is>
          <t>LINKÖPING</t>
        </is>
      </c>
      <c r="G524" t="n">
        <v>2.4</v>
      </c>
      <c r="H524" t="n">
        <v>0</v>
      </c>
      <c r="I524" t="n">
        <v>0</v>
      </c>
      <c r="J524" t="n">
        <v>0</v>
      </c>
      <c r="K524" t="n">
        <v>0</v>
      </c>
      <c r="L524" t="n">
        <v>0</v>
      </c>
      <c r="M524" t="n">
        <v>0</v>
      </c>
      <c r="N524" t="n">
        <v>0</v>
      </c>
      <c r="O524" t="n">
        <v>0</v>
      </c>
      <c r="P524" t="n">
        <v>0</v>
      </c>
      <c r="Q524" t="n">
        <v>0</v>
      </c>
      <c r="R524" s="2" t="inlineStr"/>
    </row>
    <row r="525" ht="15" customHeight="1">
      <c r="A525" t="inlineStr">
        <is>
          <t>A 63528-2023</t>
        </is>
      </c>
      <c r="B525" s="1" t="n">
        <v>45274.94810185185</v>
      </c>
      <c r="C525" s="1" t="n">
        <v>46029</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63638-2023</t>
        </is>
      </c>
      <c r="B526" s="1" t="n">
        <v>45275</v>
      </c>
      <c r="C526" s="1" t="n">
        <v>46029</v>
      </c>
      <c r="D526" t="inlineStr">
        <is>
          <t>ÖSTERGÖTLANDS LÄN</t>
        </is>
      </c>
      <c r="E526" t="inlineStr">
        <is>
          <t>LINKÖPING</t>
        </is>
      </c>
      <c r="F526" t="inlineStr">
        <is>
          <t>Övriga Aktiebolag</t>
        </is>
      </c>
      <c r="G526" t="n">
        <v>2.4</v>
      </c>
      <c r="H526" t="n">
        <v>0</v>
      </c>
      <c r="I526" t="n">
        <v>0</v>
      </c>
      <c r="J526" t="n">
        <v>0</v>
      </c>
      <c r="K526" t="n">
        <v>0</v>
      </c>
      <c r="L526" t="n">
        <v>0</v>
      </c>
      <c r="M526" t="n">
        <v>0</v>
      </c>
      <c r="N526" t="n">
        <v>0</v>
      </c>
      <c r="O526" t="n">
        <v>0</v>
      </c>
      <c r="P526" t="n">
        <v>0</v>
      </c>
      <c r="Q526" t="n">
        <v>0</v>
      </c>
      <c r="R526" s="2" t="inlineStr"/>
    </row>
    <row r="527" ht="15" customHeight="1">
      <c r="A527" t="inlineStr">
        <is>
          <t>A 63658-2023</t>
        </is>
      </c>
      <c r="B527" s="1" t="n">
        <v>45275</v>
      </c>
      <c r="C527" s="1" t="n">
        <v>46029</v>
      </c>
      <c r="D527" t="inlineStr">
        <is>
          <t>ÖSTERGÖTLANDS LÄN</t>
        </is>
      </c>
      <c r="E527" t="inlineStr">
        <is>
          <t>LINKÖPING</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7808-2022</t>
        </is>
      </c>
      <c r="B528" s="1" t="n">
        <v>44608</v>
      </c>
      <c r="C528" s="1" t="n">
        <v>46029</v>
      </c>
      <c r="D528" t="inlineStr">
        <is>
          <t>ÖSTERGÖTLANDS LÄN</t>
        </is>
      </c>
      <c r="E528" t="inlineStr">
        <is>
          <t>LINKÖPING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36336-2023</t>
        </is>
      </c>
      <c r="B529" s="1" t="n">
        <v>45152.45078703704</v>
      </c>
      <c r="C529" s="1" t="n">
        <v>46029</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56623-2024</t>
        </is>
      </c>
      <c r="B530" s="1" t="n">
        <v>45625</v>
      </c>
      <c r="C530" s="1" t="n">
        <v>46029</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55109-2025</t>
        </is>
      </c>
      <c r="B531" s="1" t="n">
        <v>45968.37731481482</v>
      </c>
      <c r="C531" s="1" t="n">
        <v>46029</v>
      </c>
      <c r="D531" t="inlineStr">
        <is>
          <t>ÖSTERGÖTLANDS LÄN</t>
        </is>
      </c>
      <c r="E531" t="inlineStr">
        <is>
          <t>LINKÖPING</t>
        </is>
      </c>
      <c r="G531" t="n">
        <v>3.2</v>
      </c>
      <c r="H531" t="n">
        <v>0</v>
      </c>
      <c r="I531" t="n">
        <v>0</v>
      </c>
      <c r="J531" t="n">
        <v>0</v>
      </c>
      <c r="K531" t="n">
        <v>0</v>
      </c>
      <c r="L531" t="n">
        <v>0</v>
      </c>
      <c r="M531" t="n">
        <v>0</v>
      </c>
      <c r="N531" t="n">
        <v>0</v>
      </c>
      <c r="O531" t="n">
        <v>0</v>
      </c>
      <c r="P531" t="n">
        <v>0</v>
      </c>
      <c r="Q531" t="n">
        <v>0</v>
      </c>
      <c r="R531" s="2" t="inlineStr"/>
    </row>
    <row r="532" ht="15" customHeight="1">
      <c r="A532" t="inlineStr">
        <is>
          <t>A 55165-2025</t>
        </is>
      </c>
      <c r="B532" s="1" t="n">
        <v>45968.48194444444</v>
      </c>
      <c r="C532" s="1" t="n">
        <v>46029</v>
      </c>
      <c r="D532" t="inlineStr">
        <is>
          <t>ÖSTERGÖTLANDS LÄN</t>
        </is>
      </c>
      <c r="E532" t="inlineStr">
        <is>
          <t>LINKÖPING</t>
        </is>
      </c>
      <c r="G532" t="n">
        <v>2.4</v>
      </c>
      <c r="H532" t="n">
        <v>0</v>
      </c>
      <c r="I532" t="n">
        <v>0</v>
      </c>
      <c r="J532" t="n">
        <v>0</v>
      </c>
      <c r="K532" t="n">
        <v>0</v>
      </c>
      <c r="L532" t="n">
        <v>0</v>
      </c>
      <c r="M532" t="n">
        <v>0</v>
      </c>
      <c r="N532" t="n">
        <v>0</v>
      </c>
      <c r="O532" t="n">
        <v>0</v>
      </c>
      <c r="P532" t="n">
        <v>0</v>
      </c>
      <c r="Q532" t="n">
        <v>0</v>
      </c>
      <c r="R532" s="2" t="inlineStr"/>
    </row>
    <row r="533" ht="15" customHeight="1">
      <c r="A533" t="inlineStr">
        <is>
          <t>A 63144-2025</t>
        </is>
      </c>
      <c r="B533" s="1" t="n">
        <v>46010.34716435185</v>
      </c>
      <c r="C533" s="1" t="n">
        <v>46029</v>
      </c>
      <c r="D533" t="inlineStr">
        <is>
          <t>ÖSTERGÖTLANDS LÄN</t>
        </is>
      </c>
      <c r="E533" t="inlineStr">
        <is>
          <t>LINKÖPING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63147-2025</t>
        </is>
      </c>
      <c r="B534" s="1" t="n">
        <v>46010.35003472222</v>
      </c>
      <c r="C534" s="1" t="n">
        <v>46029</v>
      </c>
      <c r="D534" t="inlineStr">
        <is>
          <t>ÖSTERGÖTLANDS LÄN</t>
        </is>
      </c>
      <c r="E534" t="inlineStr">
        <is>
          <t>LINKÖPING</t>
        </is>
      </c>
      <c r="G534" t="n">
        <v>4</v>
      </c>
      <c r="H534" t="n">
        <v>0</v>
      </c>
      <c r="I534" t="n">
        <v>0</v>
      </c>
      <c r="J534" t="n">
        <v>0</v>
      </c>
      <c r="K534" t="n">
        <v>0</v>
      </c>
      <c r="L534" t="n">
        <v>0</v>
      </c>
      <c r="M534" t="n">
        <v>0</v>
      </c>
      <c r="N534" t="n">
        <v>0</v>
      </c>
      <c r="O534" t="n">
        <v>0</v>
      </c>
      <c r="P534" t="n">
        <v>0</v>
      </c>
      <c r="Q534" t="n">
        <v>0</v>
      </c>
      <c r="R534" s="2" t="inlineStr"/>
    </row>
    <row r="535" ht="15" customHeight="1">
      <c r="A535" t="inlineStr">
        <is>
          <t>A 13011-2022</t>
        </is>
      </c>
      <c r="B535" s="1" t="n">
        <v>44643</v>
      </c>
      <c r="C535" s="1" t="n">
        <v>46029</v>
      </c>
      <c r="D535" t="inlineStr">
        <is>
          <t>ÖSTERGÖTLANDS LÄN</t>
        </is>
      </c>
      <c r="E535" t="inlineStr">
        <is>
          <t>LINKÖPING</t>
        </is>
      </c>
      <c r="G535" t="n">
        <v>3.7</v>
      </c>
      <c r="H535" t="n">
        <v>0</v>
      </c>
      <c r="I535" t="n">
        <v>0</v>
      </c>
      <c r="J535" t="n">
        <v>0</v>
      </c>
      <c r="K535" t="n">
        <v>0</v>
      </c>
      <c r="L535" t="n">
        <v>0</v>
      </c>
      <c r="M535" t="n">
        <v>0</v>
      </c>
      <c r="N535" t="n">
        <v>0</v>
      </c>
      <c r="O535" t="n">
        <v>0</v>
      </c>
      <c r="P535" t="n">
        <v>0</v>
      </c>
      <c r="Q535" t="n">
        <v>0</v>
      </c>
      <c r="R535" s="2" t="inlineStr"/>
    </row>
    <row r="536" ht="15" customHeight="1">
      <c r="A536" t="inlineStr">
        <is>
          <t>A 55102-2025</t>
        </is>
      </c>
      <c r="B536" s="1" t="n">
        <v>45968.35410879629</v>
      </c>
      <c r="C536" s="1" t="n">
        <v>46029</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55132-2025</t>
        </is>
      </c>
      <c r="B537" s="1" t="n">
        <v>45968.41912037037</v>
      </c>
      <c r="C537" s="1" t="n">
        <v>46029</v>
      </c>
      <c r="D537" t="inlineStr">
        <is>
          <t>ÖSTERGÖTLANDS LÄN</t>
        </is>
      </c>
      <c r="E537" t="inlineStr">
        <is>
          <t>LINKÖPING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11595-2025</t>
        </is>
      </c>
      <c r="B538" s="1" t="n">
        <v>45727.41893518518</v>
      </c>
      <c r="C538" s="1" t="n">
        <v>46029</v>
      </c>
      <c r="D538" t="inlineStr">
        <is>
          <t>ÖSTERGÖTLANDS LÄN</t>
        </is>
      </c>
      <c r="E538" t="inlineStr">
        <is>
          <t>LINKÖPING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50508-2024</t>
        </is>
      </c>
      <c r="B539" s="1" t="n">
        <v>45601.53907407408</v>
      </c>
      <c r="C539" s="1" t="n">
        <v>46029</v>
      </c>
      <c r="D539" t="inlineStr">
        <is>
          <t>ÖSTERGÖTLANDS LÄN</t>
        </is>
      </c>
      <c r="E539" t="inlineStr">
        <is>
          <t>LINKÖPING</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36336-2022</t>
        </is>
      </c>
      <c r="B540" s="1" t="n">
        <v>44803</v>
      </c>
      <c r="C540" s="1" t="n">
        <v>46029</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48839-2022</t>
        </is>
      </c>
      <c r="B541" s="1" t="n">
        <v>44859</v>
      </c>
      <c r="C541" s="1" t="n">
        <v>46029</v>
      </c>
      <c r="D541" t="inlineStr">
        <is>
          <t>ÖSTERGÖTLANDS LÄN</t>
        </is>
      </c>
      <c r="E541" t="inlineStr">
        <is>
          <t>LINKÖPING</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6387-2022</t>
        </is>
      </c>
      <c r="B542" s="1" t="n">
        <v>44600</v>
      </c>
      <c r="C542" s="1" t="n">
        <v>46029</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34641-2022</t>
        </is>
      </c>
      <c r="B543" s="1" t="n">
        <v>44795</v>
      </c>
      <c r="C543" s="1" t="n">
        <v>46029</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13687-2025</t>
        </is>
      </c>
      <c r="B544" s="1" t="n">
        <v>45737.31425925926</v>
      </c>
      <c r="C544" s="1" t="n">
        <v>46029</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13695-2025</t>
        </is>
      </c>
      <c r="B545" s="1" t="n">
        <v>45737.32219907407</v>
      </c>
      <c r="C545" s="1" t="n">
        <v>46029</v>
      </c>
      <c r="D545" t="inlineStr">
        <is>
          <t>ÖSTERGÖTLANDS LÄN</t>
        </is>
      </c>
      <c r="E545" t="inlineStr">
        <is>
          <t>LINKÖPING</t>
        </is>
      </c>
      <c r="G545" t="n">
        <v>5.3</v>
      </c>
      <c r="H545" t="n">
        <v>0</v>
      </c>
      <c r="I545" t="n">
        <v>0</v>
      </c>
      <c r="J545" t="n">
        <v>0</v>
      </c>
      <c r="K545" t="n">
        <v>0</v>
      </c>
      <c r="L545" t="n">
        <v>0</v>
      </c>
      <c r="M545" t="n">
        <v>0</v>
      </c>
      <c r="N545" t="n">
        <v>0</v>
      </c>
      <c r="O545" t="n">
        <v>0</v>
      </c>
      <c r="P545" t="n">
        <v>0</v>
      </c>
      <c r="Q545" t="n">
        <v>0</v>
      </c>
      <c r="R545" s="2" t="inlineStr"/>
    </row>
    <row r="546" ht="15" customHeight="1">
      <c r="A546" t="inlineStr">
        <is>
          <t>A 56105-2025</t>
        </is>
      </c>
      <c r="B546" s="1" t="n">
        <v>45973.72855324074</v>
      </c>
      <c r="C546" s="1" t="n">
        <v>46029</v>
      </c>
      <c r="D546" t="inlineStr">
        <is>
          <t>ÖSTERGÖTLANDS LÄN</t>
        </is>
      </c>
      <c r="E546" t="inlineStr">
        <is>
          <t>LINKÖPING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52413-2023</t>
        </is>
      </c>
      <c r="B547" s="1" t="n">
        <v>45225.27950231481</v>
      </c>
      <c r="C547" s="1" t="n">
        <v>46029</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56403-2025</t>
        </is>
      </c>
      <c r="B548" s="1" t="n">
        <v>45974</v>
      </c>
      <c r="C548" s="1" t="n">
        <v>46029</v>
      </c>
      <c r="D548" t="inlineStr">
        <is>
          <t>ÖSTERGÖTLANDS LÄN</t>
        </is>
      </c>
      <c r="E548" t="inlineStr">
        <is>
          <t>LINKÖPING</t>
        </is>
      </c>
      <c r="G548" t="n">
        <v>3.3</v>
      </c>
      <c r="H548" t="n">
        <v>0</v>
      </c>
      <c r="I548" t="n">
        <v>0</v>
      </c>
      <c r="J548" t="n">
        <v>0</v>
      </c>
      <c r="K548" t="n">
        <v>0</v>
      </c>
      <c r="L548" t="n">
        <v>0</v>
      </c>
      <c r="M548" t="n">
        <v>0</v>
      </c>
      <c r="N548" t="n">
        <v>0</v>
      </c>
      <c r="O548" t="n">
        <v>0</v>
      </c>
      <c r="P548" t="n">
        <v>0</v>
      </c>
      <c r="Q548" t="n">
        <v>0</v>
      </c>
      <c r="R548" s="2" t="inlineStr"/>
    </row>
    <row r="549" ht="15" customHeight="1">
      <c r="A549" t="inlineStr">
        <is>
          <t>A 42054-2022</t>
        </is>
      </c>
      <c r="B549" s="1" t="n">
        <v>44830</v>
      </c>
      <c r="C549" s="1" t="n">
        <v>46029</v>
      </c>
      <c r="D549" t="inlineStr">
        <is>
          <t>ÖSTERGÖTLANDS LÄN</t>
        </is>
      </c>
      <c r="E549" t="inlineStr">
        <is>
          <t>LINKÖPING</t>
        </is>
      </c>
      <c r="G549" t="n">
        <v>1.7</v>
      </c>
      <c r="H549" t="n">
        <v>0</v>
      </c>
      <c r="I549" t="n">
        <v>0</v>
      </c>
      <c r="J549" t="n">
        <v>0</v>
      </c>
      <c r="K549" t="n">
        <v>0</v>
      </c>
      <c r="L549" t="n">
        <v>0</v>
      </c>
      <c r="M549" t="n">
        <v>0</v>
      </c>
      <c r="N549" t="n">
        <v>0</v>
      </c>
      <c r="O549" t="n">
        <v>0</v>
      </c>
      <c r="P549" t="n">
        <v>0</v>
      </c>
      <c r="Q549" t="n">
        <v>0</v>
      </c>
      <c r="R549" s="2" t="inlineStr"/>
    </row>
    <row r="550" ht="15" customHeight="1">
      <c r="A550" t="inlineStr">
        <is>
          <t>A 53797-2023</t>
        </is>
      </c>
      <c r="B550" s="1" t="n">
        <v>45230</v>
      </c>
      <c r="C550" s="1" t="n">
        <v>46029</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56113-2025</t>
        </is>
      </c>
      <c r="B551" s="1" t="n">
        <v>45973.73924768518</v>
      </c>
      <c r="C551" s="1" t="n">
        <v>46029</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56704-2025</t>
        </is>
      </c>
      <c r="B552" s="1" t="n">
        <v>45977.50608796296</v>
      </c>
      <c r="C552" s="1" t="n">
        <v>46029</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22833-2023</t>
        </is>
      </c>
      <c r="B553" s="1" t="n">
        <v>45071</v>
      </c>
      <c r="C553" s="1" t="n">
        <v>46029</v>
      </c>
      <c r="D553" t="inlineStr">
        <is>
          <t>ÖSTERGÖTLANDS LÄN</t>
        </is>
      </c>
      <c r="E553" t="inlineStr">
        <is>
          <t>LINKÖPING</t>
        </is>
      </c>
      <c r="F553" t="inlineStr">
        <is>
          <t>Kommuner</t>
        </is>
      </c>
      <c r="G553" t="n">
        <v>1</v>
      </c>
      <c r="H553" t="n">
        <v>0</v>
      </c>
      <c r="I553" t="n">
        <v>0</v>
      </c>
      <c r="J553" t="n">
        <v>0</v>
      </c>
      <c r="K553" t="n">
        <v>0</v>
      </c>
      <c r="L553" t="n">
        <v>0</v>
      </c>
      <c r="M553" t="n">
        <v>0</v>
      </c>
      <c r="N553" t="n">
        <v>0</v>
      </c>
      <c r="O553" t="n">
        <v>0</v>
      </c>
      <c r="P553" t="n">
        <v>0</v>
      </c>
      <c r="Q553" t="n">
        <v>0</v>
      </c>
      <c r="R553" s="2" t="inlineStr"/>
    </row>
    <row r="554" ht="15" customHeight="1">
      <c r="A554" t="inlineStr">
        <is>
          <t>A 17898-2022</t>
        </is>
      </c>
      <c r="B554" s="1" t="n">
        <v>44683</v>
      </c>
      <c r="C554" s="1" t="n">
        <v>46029</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62017-2024</t>
        </is>
      </c>
      <c r="B555" s="1" t="n">
        <v>45655.81140046296</v>
      </c>
      <c r="C555" s="1" t="n">
        <v>46029</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12411-2022</t>
        </is>
      </c>
      <c r="B556" s="1" t="n">
        <v>44638.21601851852</v>
      </c>
      <c r="C556" s="1" t="n">
        <v>46029</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10492-2022</t>
        </is>
      </c>
      <c r="B557" s="1" t="n">
        <v>44623.6377199074</v>
      </c>
      <c r="C557" s="1" t="n">
        <v>46029</v>
      </c>
      <c r="D557" t="inlineStr">
        <is>
          <t>ÖSTERGÖTLANDS LÄN</t>
        </is>
      </c>
      <c r="E557" t="inlineStr">
        <is>
          <t>LINKÖPING</t>
        </is>
      </c>
      <c r="G557" t="n">
        <v>2.1</v>
      </c>
      <c r="H557" t="n">
        <v>0</v>
      </c>
      <c r="I557" t="n">
        <v>0</v>
      </c>
      <c r="J557" t="n">
        <v>0</v>
      </c>
      <c r="K557" t="n">
        <v>0</v>
      </c>
      <c r="L557" t="n">
        <v>0</v>
      </c>
      <c r="M557" t="n">
        <v>0</v>
      </c>
      <c r="N557" t="n">
        <v>0</v>
      </c>
      <c r="O557" t="n">
        <v>0</v>
      </c>
      <c r="P557" t="n">
        <v>0</v>
      </c>
      <c r="Q557" t="n">
        <v>0</v>
      </c>
      <c r="R557" s="2" t="inlineStr"/>
    </row>
    <row r="558" ht="15" customHeight="1">
      <c r="A558" t="inlineStr">
        <is>
          <t>A 7343-2025</t>
        </is>
      </c>
      <c r="B558" s="1" t="n">
        <v>45703.67853009259</v>
      </c>
      <c r="C558" s="1" t="n">
        <v>46029</v>
      </c>
      <c r="D558" t="inlineStr">
        <is>
          <t>ÖSTERGÖTLANDS LÄN</t>
        </is>
      </c>
      <c r="E558" t="inlineStr">
        <is>
          <t>LINKÖPING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8967-2025</t>
        </is>
      </c>
      <c r="B559" s="1" t="n">
        <v>45712</v>
      </c>
      <c r="C559" s="1" t="n">
        <v>46029</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35427-2023</t>
        </is>
      </c>
      <c r="B560" s="1" t="n">
        <v>45146</v>
      </c>
      <c r="C560" s="1" t="n">
        <v>46029</v>
      </c>
      <c r="D560" t="inlineStr">
        <is>
          <t>ÖSTERGÖTLANDS LÄN</t>
        </is>
      </c>
      <c r="E560" t="inlineStr">
        <is>
          <t>LINKÖPING</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30468-2023</t>
        </is>
      </c>
      <c r="B561" s="1" t="n">
        <v>45111.58732638889</v>
      </c>
      <c r="C561" s="1" t="n">
        <v>46029</v>
      </c>
      <c r="D561" t="inlineStr">
        <is>
          <t>ÖSTERGÖTLANDS LÄN</t>
        </is>
      </c>
      <c r="E561" t="inlineStr">
        <is>
          <t>LINKÖPING</t>
        </is>
      </c>
      <c r="G561" t="n">
        <v>10.1</v>
      </c>
      <c r="H561" t="n">
        <v>0</v>
      </c>
      <c r="I561" t="n">
        <v>0</v>
      </c>
      <c r="J561" t="n">
        <v>0</v>
      </c>
      <c r="K561" t="n">
        <v>0</v>
      </c>
      <c r="L561" t="n">
        <v>0</v>
      </c>
      <c r="M561" t="n">
        <v>0</v>
      </c>
      <c r="N561" t="n">
        <v>0</v>
      </c>
      <c r="O561" t="n">
        <v>0</v>
      </c>
      <c r="P561" t="n">
        <v>0</v>
      </c>
      <c r="Q561" t="n">
        <v>0</v>
      </c>
      <c r="R561" s="2" t="inlineStr"/>
    </row>
    <row r="562" ht="15" customHeight="1">
      <c r="A562" t="inlineStr">
        <is>
          <t>A 20296-2025</t>
        </is>
      </c>
      <c r="B562" s="1" t="n">
        <v>45774.74922453704</v>
      </c>
      <c r="C562" s="1" t="n">
        <v>46029</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56841-2023</t>
        </is>
      </c>
      <c r="B563" s="1" t="n">
        <v>45244</v>
      </c>
      <c r="C563" s="1" t="n">
        <v>46029</v>
      </c>
      <c r="D563" t="inlineStr">
        <is>
          <t>ÖSTERGÖTLANDS LÄN</t>
        </is>
      </c>
      <c r="E563" t="inlineStr">
        <is>
          <t>LINKÖPING</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53812-2023</t>
        </is>
      </c>
      <c r="B564" s="1" t="n">
        <v>45231.39583333334</v>
      </c>
      <c r="C564" s="1" t="n">
        <v>46029</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53830-2023</t>
        </is>
      </c>
      <c r="B565" s="1" t="n">
        <v>45230</v>
      </c>
      <c r="C565" s="1" t="n">
        <v>46029</v>
      </c>
      <c r="D565" t="inlineStr">
        <is>
          <t>ÖSTERGÖTLANDS LÄN</t>
        </is>
      </c>
      <c r="E565" t="inlineStr">
        <is>
          <t>LINKÖPING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60866-2025</t>
        </is>
      </c>
      <c r="B566" s="1" t="n">
        <v>45999</v>
      </c>
      <c r="C566" s="1" t="n">
        <v>46029</v>
      </c>
      <c r="D566" t="inlineStr">
        <is>
          <t>ÖSTERGÖTLANDS LÄN</t>
        </is>
      </c>
      <c r="E566" t="inlineStr">
        <is>
          <t>LINKÖPING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38715-2023</t>
        </is>
      </c>
      <c r="B567" s="1" t="n">
        <v>45160</v>
      </c>
      <c r="C567" s="1" t="n">
        <v>46029</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55004-2025</t>
        </is>
      </c>
      <c r="B568" s="1" t="n">
        <v>45967</v>
      </c>
      <c r="C568" s="1" t="n">
        <v>46029</v>
      </c>
      <c r="D568" t="inlineStr">
        <is>
          <t>ÖSTERGÖTLANDS LÄN</t>
        </is>
      </c>
      <c r="E568" t="inlineStr">
        <is>
          <t>LINKÖPING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27766-2022</t>
        </is>
      </c>
      <c r="B569" s="1" t="n">
        <v>44743.53112268518</v>
      </c>
      <c r="C569" s="1" t="n">
        <v>46029</v>
      </c>
      <c r="D569" t="inlineStr">
        <is>
          <t>ÖSTERGÖTLANDS LÄN</t>
        </is>
      </c>
      <c r="E569" t="inlineStr">
        <is>
          <t>LINKÖPING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48271-2023</t>
        </is>
      </c>
      <c r="B570" s="1" t="n">
        <v>45205</v>
      </c>
      <c r="C570" s="1" t="n">
        <v>46029</v>
      </c>
      <c r="D570" t="inlineStr">
        <is>
          <t>ÖSTERGÖTLANDS LÄN</t>
        </is>
      </c>
      <c r="E570" t="inlineStr">
        <is>
          <t>LINKÖPING</t>
        </is>
      </c>
      <c r="G570" t="n">
        <v>3</v>
      </c>
      <c r="H570" t="n">
        <v>0</v>
      </c>
      <c r="I570" t="n">
        <v>0</v>
      </c>
      <c r="J570" t="n">
        <v>0</v>
      </c>
      <c r="K570" t="n">
        <v>0</v>
      </c>
      <c r="L570" t="n">
        <v>0</v>
      </c>
      <c r="M570" t="n">
        <v>0</v>
      </c>
      <c r="N570" t="n">
        <v>0</v>
      </c>
      <c r="O570" t="n">
        <v>0</v>
      </c>
      <c r="P570" t="n">
        <v>0</v>
      </c>
      <c r="Q570" t="n">
        <v>0</v>
      </c>
      <c r="R570" s="2" t="inlineStr"/>
    </row>
    <row r="571" ht="15" customHeight="1">
      <c r="A571" t="inlineStr">
        <is>
          <t>A 13266-2025</t>
        </is>
      </c>
      <c r="B571" s="1" t="n">
        <v>45735.53318287037</v>
      </c>
      <c r="C571" s="1" t="n">
        <v>46029</v>
      </c>
      <c r="D571" t="inlineStr">
        <is>
          <t>ÖSTERGÖTLANDS LÄN</t>
        </is>
      </c>
      <c r="E571" t="inlineStr">
        <is>
          <t>LINKÖPING</t>
        </is>
      </c>
      <c r="G571" t="n">
        <v>3.1</v>
      </c>
      <c r="H571" t="n">
        <v>0</v>
      </c>
      <c r="I571" t="n">
        <v>0</v>
      </c>
      <c r="J571" t="n">
        <v>0</v>
      </c>
      <c r="K571" t="n">
        <v>0</v>
      </c>
      <c r="L571" t="n">
        <v>0</v>
      </c>
      <c r="M571" t="n">
        <v>0</v>
      </c>
      <c r="N571" t="n">
        <v>0</v>
      </c>
      <c r="O571" t="n">
        <v>0</v>
      </c>
      <c r="P571" t="n">
        <v>0</v>
      </c>
      <c r="Q571" t="n">
        <v>0</v>
      </c>
      <c r="R571" s="2" t="inlineStr"/>
    </row>
    <row r="572" ht="15" customHeight="1">
      <c r="A572" t="inlineStr">
        <is>
          <t>A 60001-2022</t>
        </is>
      </c>
      <c r="B572" s="1" t="n">
        <v>44909.47087962963</v>
      </c>
      <c r="C572" s="1" t="n">
        <v>46029</v>
      </c>
      <c r="D572" t="inlineStr">
        <is>
          <t>ÖSTERGÖTLANDS LÄN</t>
        </is>
      </c>
      <c r="E572" t="inlineStr">
        <is>
          <t>LINKÖPING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1657-2024</t>
        </is>
      </c>
      <c r="B573" s="1" t="n">
        <v>45306.82501157407</v>
      </c>
      <c r="C573" s="1" t="n">
        <v>46029</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30976-2022</t>
        </is>
      </c>
      <c r="B574" s="1" t="n">
        <v>44768</v>
      </c>
      <c r="C574" s="1" t="n">
        <v>46029</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30860-2022</t>
        </is>
      </c>
      <c r="B575" s="1" t="n">
        <v>44767</v>
      </c>
      <c r="C575" s="1" t="n">
        <v>46029</v>
      </c>
      <c r="D575" t="inlineStr">
        <is>
          <t>ÖSTERGÖTLANDS LÄN</t>
        </is>
      </c>
      <c r="E575" t="inlineStr">
        <is>
          <t>LINKÖPING</t>
        </is>
      </c>
      <c r="G575" t="n">
        <v>0.8</v>
      </c>
      <c r="H575" t="n">
        <v>0</v>
      </c>
      <c r="I575" t="n">
        <v>0</v>
      </c>
      <c r="J575" t="n">
        <v>0</v>
      </c>
      <c r="K575" t="n">
        <v>0</v>
      </c>
      <c r="L575" t="n">
        <v>0</v>
      </c>
      <c r="M575" t="n">
        <v>0</v>
      </c>
      <c r="N575" t="n">
        <v>0</v>
      </c>
      <c r="O575" t="n">
        <v>0</v>
      </c>
      <c r="P575" t="n">
        <v>0</v>
      </c>
      <c r="Q575" t="n">
        <v>0</v>
      </c>
      <c r="R575" s="2" t="inlineStr"/>
    </row>
    <row r="576" ht="15" customHeight="1">
      <c r="A576" t="inlineStr">
        <is>
          <t>A 48186-2022</t>
        </is>
      </c>
      <c r="B576" s="1" t="n">
        <v>44858</v>
      </c>
      <c r="C576" s="1" t="n">
        <v>46029</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28266-2024</t>
        </is>
      </c>
      <c r="B577" s="1" t="n">
        <v>45477.43600694444</v>
      </c>
      <c r="C577" s="1" t="n">
        <v>46029</v>
      </c>
      <c r="D577" t="inlineStr">
        <is>
          <t>ÖSTERGÖTLANDS LÄN</t>
        </is>
      </c>
      <c r="E577" t="inlineStr">
        <is>
          <t>LINKÖPING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31548-2022</t>
        </is>
      </c>
      <c r="B578" s="1" t="n">
        <v>44775.39832175926</v>
      </c>
      <c r="C578" s="1" t="n">
        <v>46029</v>
      </c>
      <c r="D578" t="inlineStr">
        <is>
          <t>ÖSTERGÖTLANDS LÄN</t>
        </is>
      </c>
      <c r="E578" t="inlineStr">
        <is>
          <t>LINKÖPING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1211-2023</t>
        </is>
      </c>
      <c r="B579" s="1" t="n">
        <v>44930</v>
      </c>
      <c r="C579" s="1" t="n">
        <v>46029</v>
      </c>
      <c r="D579" t="inlineStr">
        <is>
          <t>ÖSTERGÖTLANDS LÄN</t>
        </is>
      </c>
      <c r="E579" t="inlineStr">
        <is>
          <t>LINKÖPING</t>
        </is>
      </c>
      <c r="F579" t="inlineStr">
        <is>
          <t>Övriga statliga verk och myndigheter</t>
        </is>
      </c>
      <c r="G579" t="n">
        <v>7.9</v>
      </c>
      <c r="H579" t="n">
        <v>0</v>
      </c>
      <c r="I579" t="n">
        <v>0</v>
      </c>
      <c r="J579" t="n">
        <v>0</v>
      </c>
      <c r="K579" t="n">
        <v>0</v>
      </c>
      <c r="L579" t="n">
        <v>0</v>
      </c>
      <c r="M579" t="n">
        <v>0</v>
      </c>
      <c r="N579" t="n">
        <v>0</v>
      </c>
      <c r="O579" t="n">
        <v>0</v>
      </c>
      <c r="P579" t="n">
        <v>0</v>
      </c>
      <c r="Q579" t="n">
        <v>0</v>
      </c>
      <c r="R579" s="2" t="inlineStr"/>
    </row>
    <row r="580" ht="15" customHeight="1">
      <c r="A580" t="inlineStr">
        <is>
          <t>A 51191-2022</t>
        </is>
      </c>
      <c r="B580" s="1" t="n">
        <v>44865</v>
      </c>
      <c r="C580" s="1" t="n">
        <v>46029</v>
      </c>
      <c r="D580" t="inlineStr">
        <is>
          <t>ÖSTERGÖTLANDS LÄN</t>
        </is>
      </c>
      <c r="E580" t="inlineStr">
        <is>
          <t>LINKÖPING</t>
        </is>
      </c>
      <c r="G580" t="n">
        <v>2.2</v>
      </c>
      <c r="H580" t="n">
        <v>0</v>
      </c>
      <c r="I580" t="n">
        <v>0</v>
      </c>
      <c r="J580" t="n">
        <v>0</v>
      </c>
      <c r="K580" t="n">
        <v>0</v>
      </c>
      <c r="L580" t="n">
        <v>0</v>
      </c>
      <c r="M580" t="n">
        <v>0</v>
      </c>
      <c r="N580" t="n">
        <v>0</v>
      </c>
      <c r="O580" t="n">
        <v>0</v>
      </c>
      <c r="P580" t="n">
        <v>0</v>
      </c>
      <c r="Q580" t="n">
        <v>0</v>
      </c>
      <c r="R580" s="2" t="inlineStr"/>
    </row>
    <row r="581" ht="15" customHeight="1">
      <c r="A581" t="inlineStr">
        <is>
          <t>A 55632-2022</t>
        </is>
      </c>
      <c r="B581" s="1" t="n">
        <v>44888</v>
      </c>
      <c r="C581" s="1" t="n">
        <v>46029</v>
      </c>
      <c r="D581" t="inlineStr">
        <is>
          <t>ÖSTERGÖTLANDS LÄN</t>
        </is>
      </c>
      <c r="E581" t="inlineStr">
        <is>
          <t>LINKÖPING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63669-2023</t>
        </is>
      </c>
      <c r="B582" s="1" t="n">
        <v>45275</v>
      </c>
      <c r="C582" s="1" t="n">
        <v>46029</v>
      </c>
      <c r="D582" t="inlineStr">
        <is>
          <t>ÖSTERGÖTLANDS LÄN</t>
        </is>
      </c>
      <c r="E582" t="inlineStr">
        <is>
          <t>LINKÖPING</t>
        </is>
      </c>
      <c r="F582" t="inlineStr">
        <is>
          <t>Övriga Aktiebolag</t>
        </is>
      </c>
      <c r="G582" t="n">
        <v>3</v>
      </c>
      <c r="H582" t="n">
        <v>0</v>
      </c>
      <c r="I582" t="n">
        <v>0</v>
      </c>
      <c r="J582" t="n">
        <v>0</v>
      </c>
      <c r="K582" t="n">
        <v>0</v>
      </c>
      <c r="L582" t="n">
        <v>0</v>
      </c>
      <c r="M582" t="n">
        <v>0</v>
      </c>
      <c r="N582" t="n">
        <v>0</v>
      </c>
      <c r="O582" t="n">
        <v>0</v>
      </c>
      <c r="P582" t="n">
        <v>0</v>
      </c>
      <c r="Q582" t="n">
        <v>0</v>
      </c>
      <c r="R582" s="2" t="inlineStr"/>
    </row>
    <row r="583" ht="15" customHeight="1">
      <c r="A583" t="inlineStr">
        <is>
          <t>A 12289-2025</t>
        </is>
      </c>
      <c r="B583" s="1" t="n">
        <v>45729</v>
      </c>
      <c r="C583" s="1" t="n">
        <v>46029</v>
      </c>
      <c r="D583" t="inlineStr">
        <is>
          <t>ÖSTERGÖTLANDS LÄN</t>
        </is>
      </c>
      <c r="E583" t="inlineStr">
        <is>
          <t>LINKÖPING</t>
        </is>
      </c>
      <c r="F583" t="inlineStr">
        <is>
          <t>Övriga statliga verk och myndigheter</t>
        </is>
      </c>
      <c r="G583" t="n">
        <v>6.5</v>
      </c>
      <c r="H583" t="n">
        <v>0</v>
      </c>
      <c r="I583" t="n">
        <v>0</v>
      </c>
      <c r="J583" t="n">
        <v>0</v>
      </c>
      <c r="K583" t="n">
        <v>0</v>
      </c>
      <c r="L583" t="n">
        <v>0</v>
      </c>
      <c r="M583" t="n">
        <v>0</v>
      </c>
      <c r="N583" t="n">
        <v>0</v>
      </c>
      <c r="O583" t="n">
        <v>0</v>
      </c>
      <c r="P583" t="n">
        <v>0</v>
      </c>
      <c r="Q583" t="n">
        <v>0</v>
      </c>
      <c r="R583" s="2" t="inlineStr"/>
    </row>
    <row r="584" ht="15" customHeight="1">
      <c r="A584" t="inlineStr">
        <is>
          <t>A 36657-2023</t>
        </is>
      </c>
      <c r="B584" s="1" t="n">
        <v>45153.5702662037</v>
      </c>
      <c r="C584" s="1" t="n">
        <v>46029</v>
      </c>
      <c r="D584" t="inlineStr">
        <is>
          <t>ÖSTERGÖTLANDS LÄN</t>
        </is>
      </c>
      <c r="E584" t="inlineStr">
        <is>
          <t>LINKÖPING</t>
        </is>
      </c>
      <c r="F584" t="inlineStr">
        <is>
          <t>Allmännings- och besparingsskogar</t>
        </is>
      </c>
      <c r="G584" t="n">
        <v>2</v>
      </c>
      <c r="H584" t="n">
        <v>0</v>
      </c>
      <c r="I584" t="n">
        <v>0</v>
      </c>
      <c r="J584" t="n">
        <v>0</v>
      </c>
      <c r="K584" t="n">
        <v>0</v>
      </c>
      <c r="L584" t="n">
        <v>0</v>
      </c>
      <c r="M584" t="n">
        <v>0</v>
      </c>
      <c r="N584" t="n">
        <v>0</v>
      </c>
      <c r="O584" t="n">
        <v>0</v>
      </c>
      <c r="P584" t="n">
        <v>0</v>
      </c>
      <c r="Q584" t="n">
        <v>0</v>
      </c>
      <c r="R584" s="2" t="inlineStr"/>
    </row>
    <row r="585" ht="15" customHeight="1">
      <c r="A585" t="inlineStr">
        <is>
          <t>A 19169-2023</t>
        </is>
      </c>
      <c r="B585" s="1" t="n">
        <v>45044</v>
      </c>
      <c r="C585" s="1" t="n">
        <v>46029</v>
      </c>
      <c r="D585" t="inlineStr">
        <is>
          <t>ÖSTERGÖTLANDS LÄN</t>
        </is>
      </c>
      <c r="E585" t="inlineStr">
        <is>
          <t>LINKÖPING</t>
        </is>
      </c>
      <c r="G585" t="n">
        <v>2.7</v>
      </c>
      <c r="H585" t="n">
        <v>0</v>
      </c>
      <c r="I585" t="n">
        <v>0</v>
      </c>
      <c r="J585" t="n">
        <v>0</v>
      </c>
      <c r="K585" t="n">
        <v>0</v>
      </c>
      <c r="L585" t="n">
        <v>0</v>
      </c>
      <c r="M585" t="n">
        <v>0</v>
      </c>
      <c r="N585" t="n">
        <v>0</v>
      </c>
      <c r="O585" t="n">
        <v>0</v>
      </c>
      <c r="P585" t="n">
        <v>0</v>
      </c>
      <c r="Q585" t="n">
        <v>0</v>
      </c>
      <c r="R585" s="2" t="inlineStr"/>
    </row>
    <row r="586" ht="15" customHeight="1">
      <c r="A586" t="inlineStr">
        <is>
          <t>A 1209-2023</t>
        </is>
      </c>
      <c r="B586" s="1" t="n">
        <v>44930</v>
      </c>
      <c r="C586" s="1" t="n">
        <v>46029</v>
      </c>
      <c r="D586" t="inlineStr">
        <is>
          <t>ÖSTERGÖTLANDS LÄN</t>
        </is>
      </c>
      <c r="E586" t="inlineStr">
        <is>
          <t>LINKÖPING</t>
        </is>
      </c>
      <c r="F586" t="inlineStr">
        <is>
          <t>Övriga statliga verk och myndigheter</t>
        </is>
      </c>
      <c r="G586" t="n">
        <v>25.8</v>
      </c>
      <c r="H586" t="n">
        <v>0</v>
      </c>
      <c r="I586" t="n">
        <v>0</v>
      </c>
      <c r="J586" t="n">
        <v>0</v>
      </c>
      <c r="K586" t="n">
        <v>0</v>
      </c>
      <c r="L586" t="n">
        <v>0</v>
      </c>
      <c r="M586" t="n">
        <v>0</v>
      </c>
      <c r="N586" t="n">
        <v>0</v>
      </c>
      <c r="O586" t="n">
        <v>0</v>
      </c>
      <c r="P586" t="n">
        <v>0</v>
      </c>
      <c r="Q586" t="n">
        <v>0</v>
      </c>
      <c r="R586" s="2" t="inlineStr"/>
    </row>
    <row r="587" ht="15" customHeight="1">
      <c r="A587" t="inlineStr">
        <is>
          <t>A 2085-2024</t>
        </is>
      </c>
      <c r="B587" s="1" t="n">
        <v>45309</v>
      </c>
      <c r="C587" s="1" t="n">
        <v>46029</v>
      </c>
      <c r="D587" t="inlineStr">
        <is>
          <t>ÖSTERGÖTLANDS LÄN</t>
        </is>
      </c>
      <c r="E587" t="inlineStr">
        <is>
          <t>LINKÖPING</t>
        </is>
      </c>
      <c r="G587" t="n">
        <v>4.5</v>
      </c>
      <c r="H587" t="n">
        <v>0</v>
      </c>
      <c r="I587" t="n">
        <v>0</v>
      </c>
      <c r="J587" t="n">
        <v>0</v>
      </c>
      <c r="K587" t="n">
        <v>0</v>
      </c>
      <c r="L587" t="n">
        <v>0</v>
      </c>
      <c r="M587" t="n">
        <v>0</v>
      </c>
      <c r="N587" t="n">
        <v>0</v>
      </c>
      <c r="O587" t="n">
        <v>0</v>
      </c>
      <c r="P587" t="n">
        <v>0</v>
      </c>
      <c r="Q587" t="n">
        <v>0</v>
      </c>
      <c r="R587" s="2" t="inlineStr"/>
    </row>
    <row r="588" ht="15" customHeight="1">
      <c r="A588" t="inlineStr">
        <is>
          <t>A 48-2024</t>
        </is>
      </c>
      <c r="B588" s="1" t="n">
        <v>45293</v>
      </c>
      <c r="C588" s="1" t="n">
        <v>46029</v>
      </c>
      <c r="D588" t="inlineStr">
        <is>
          <t>ÖSTERGÖTLANDS LÄN</t>
        </is>
      </c>
      <c r="E588" t="inlineStr">
        <is>
          <t>LINKÖPING</t>
        </is>
      </c>
      <c r="G588" t="n">
        <v>4.6</v>
      </c>
      <c r="H588" t="n">
        <v>0</v>
      </c>
      <c r="I588" t="n">
        <v>0</v>
      </c>
      <c r="J588" t="n">
        <v>0</v>
      </c>
      <c r="K588" t="n">
        <v>0</v>
      </c>
      <c r="L588" t="n">
        <v>0</v>
      </c>
      <c r="M588" t="n">
        <v>0</v>
      </c>
      <c r="N588" t="n">
        <v>0</v>
      </c>
      <c r="O588" t="n">
        <v>0</v>
      </c>
      <c r="P588" t="n">
        <v>0</v>
      </c>
      <c r="Q588" t="n">
        <v>0</v>
      </c>
      <c r="R588" s="2" t="inlineStr"/>
    </row>
    <row r="589" ht="15" customHeight="1">
      <c r="A589" t="inlineStr">
        <is>
          <t>A 56560-2023</t>
        </is>
      </c>
      <c r="B589" s="1" t="n">
        <v>45238</v>
      </c>
      <c r="C589" s="1" t="n">
        <v>46029</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19132-2023</t>
        </is>
      </c>
      <c r="B590" s="1" t="n">
        <v>45048.54754629629</v>
      </c>
      <c r="C590" s="1" t="n">
        <v>46029</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52412-2023</t>
        </is>
      </c>
      <c r="B591" s="1" t="n">
        <v>45225.27888888889</v>
      </c>
      <c r="C591" s="1" t="n">
        <v>46029</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62492-2023</t>
        </is>
      </c>
      <c r="B592" s="1" t="n">
        <v>45268.58987268519</v>
      </c>
      <c r="C592" s="1" t="n">
        <v>46029</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38230-2023</t>
        </is>
      </c>
      <c r="B593" s="1" t="n">
        <v>45161.55373842592</v>
      </c>
      <c r="C593" s="1" t="n">
        <v>46029</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56756-2023</t>
        </is>
      </c>
      <c r="B594" s="1" t="n">
        <v>45244</v>
      </c>
      <c r="C594" s="1" t="n">
        <v>46029</v>
      </c>
      <c r="D594" t="inlineStr">
        <is>
          <t>ÖSTERGÖTLANDS LÄN</t>
        </is>
      </c>
      <c r="E594" t="inlineStr">
        <is>
          <t>LINKÖPING</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38886-2024</t>
        </is>
      </c>
      <c r="B595" s="1" t="n">
        <v>45547.66443287037</v>
      </c>
      <c r="C595" s="1" t="n">
        <v>46029</v>
      </c>
      <c r="D595" t="inlineStr">
        <is>
          <t>ÖSTERGÖTLANDS LÄN</t>
        </is>
      </c>
      <c r="E595" t="inlineStr">
        <is>
          <t>LINKÖPING</t>
        </is>
      </c>
      <c r="G595" t="n">
        <v>5.3</v>
      </c>
      <c r="H595" t="n">
        <v>0</v>
      </c>
      <c r="I595" t="n">
        <v>0</v>
      </c>
      <c r="J595" t="n">
        <v>0</v>
      </c>
      <c r="K595" t="n">
        <v>0</v>
      </c>
      <c r="L595" t="n">
        <v>0</v>
      </c>
      <c r="M595" t="n">
        <v>0</v>
      </c>
      <c r="N595" t="n">
        <v>0</v>
      </c>
      <c r="O595" t="n">
        <v>0</v>
      </c>
      <c r="P595" t="n">
        <v>0</v>
      </c>
      <c r="Q595" t="n">
        <v>0</v>
      </c>
      <c r="R595" s="2" t="inlineStr"/>
    </row>
    <row r="596" ht="15" customHeight="1">
      <c r="A596" t="inlineStr">
        <is>
          <t>A 11590-2023</t>
        </is>
      </c>
      <c r="B596" s="1" t="n">
        <v>44994.36689814815</v>
      </c>
      <c r="C596" s="1" t="n">
        <v>46029</v>
      </c>
      <c r="D596" t="inlineStr">
        <is>
          <t>ÖSTERGÖTLANDS LÄN</t>
        </is>
      </c>
      <c r="E596" t="inlineStr">
        <is>
          <t>LINKÖPING</t>
        </is>
      </c>
      <c r="G596" t="n">
        <v>3.1</v>
      </c>
      <c r="H596" t="n">
        <v>0</v>
      </c>
      <c r="I596" t="n">
        <v>0</v>
      </c>
      <c r="J596" t="n">
        <v>0</v>
      </c>
      <c r="K596" t="n">
        <v>0</v>
      </c>
      <c r="L596" t="n">
        <v>0</v>
      </c>
      <c r="M596" t="n">
        <v>0</v>
      </c>
      <c r="N596" t="n">
        <v>0</v>
      </c>
      <c r="O596" t="n">
        <v>0</v>
      </c>
      <c r="P596" t="n">
        <v>0</v>
      </c>
      <c r="Q596" t="n">
        <v>0</v>
      </c>
      <c r="R596" s="2" t="inlineStr"/>
    </row>
    <row r="597" ht="15" customHeight="1">
      <c r="A597" t="inlineStr">
        <is>
          <t>A 10461-2023</t>
        </is>
      </c>
      <c r="B597" s="1" t="n">
        <v>44987.5969212963</v>
      </c>
      <c r="C597" s="1" t="n">
        <v>46029</v>
      </c>
      <c r="D597" t="inlineStr">
        <is>
          <t>ÖSTERGÖTLANDS LÄN</t>
        </is>
      </c>
      <c r="E597" t="inlineStr">
        <is>
          <t>LINKÖPING</t>
        </is>
      </c>
      <c r="G597" t="n">
        <v>7.8</v>
      </c>
      <c r="H597" t="n">
        <v>0</v>
      </c>
      <c r="I597" t="n">
        <v>0</v>
      </c>
      <c r="J597" t="n">
        <v>0</v>
      </c>
      <c r="K597" t="n">
        <v>0</v>
      </c>
      <c r="L597" t="n">
        <v>0</v>
      </c>
      <c r="M597" t="n">
        <v>0</v>
      </c>
      <c r="N597" t="n">
        <v>0</v>
      </c>
      <c r="O597" t="n">
        <v>0</v>
      </c>
      <c r="P597" t="n">
        <v>0</v>
      </c>
      <c r="Q597" t="n">
        <v>0</v>
      </c>
      <c r="R597" s="2" t="inlineStr"/>
    </row>
    <row r="598" ht="15" customHeight="1">
      <c r="A598" t="inlineStr">
        <is>
          <t>A 41345-2021</t>
        </is>
      </c>
      <c r="B598" s="1" t="n">
        <v>44424.61851851852</v>
      </c>
      <c r="C598" s="1" t="n">
        <v>46029</v>
      </c>
      <c r="D598" t="inlineStr">
        <is>
          <t>ÖSTERGÖTLANDS LÄN</t>
        </is>
      </c>
      <c r="E598" t="inlineStr">
        <is>
          <t>LINKÖPING</t>
        </is>
      </c>
      <c r="F598" t="inlineStr">
        <is>
          <t>Sveaskog</t>
        </is>
      </c>
      <c r="G598" t="n">
        <v>6.3</v>
      </c>
      <c r="H598" t="n">
        <v>0</v>
      </c>
      <c r="I598" t="n">
        <v>0</v>
      </c>
      <c r="J598" t="n">
        <v>0</v>
      </c>
      <c r="K598" t="n">
        <v>0</v>
      </c>
      <c r="L598" t="n">
        <v>0</v>
      </c>
      <c r="M598" t="n">
        <v>0</v>
      </c>
      <c r="N598" t="n">
        <v>0</v>
      </c>
      <c r="O598" t="n">
        <v>0</v>
      </c>
      <c r="P598" t="n">
        <v>0</v>
      </c>
      <c r="Q598" t="n">
        <v>0</v>
      </c>
      <c r="R598" s="2" t="inlineStr"/>
    </row>
    <row r="599" ht="15" customHeight="1">
      <c r="A599" t="inlineStr">
        <is>
          <t>A 61307-2021</t>
        </is>
      </c>
      <c r="B599" s="1" t="n">
        <v>44498.63928240741</v>
      </c>
      <c r="C599" s="1" t="n">
        <v>46029</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61325-2021</t>
        </is>
      </c>
      <c r="B600" s="1" t="n">
        <v>44498.66814814815</v>
      </c>
      <c r="C600" s="1" t="n">
        <v>46029</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60010-2022</t>
        </is>
      </c>
      <c r="B601" s="1" t="n">
        <v>44909.4740625</v>
      </c>
      <c r="C601" s="1" t="n">
        <v>46029</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30518-2024</t>
        </is>
      </c>
      <c r="B602" s="1" t="n">
        <v>45492</v>
      </c>
      <c r="C602" s="1" t="n">
        <v>46029</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4908-2023</t>
        </is>
      </c>
      <c r="B603" s="1" t="n">
        <v>44958</v>
      </c>
      <c r="C603" s="1" t="n">
        <v>46029</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37715-2022</t>
        </is>
      </c>
      <c r="B604" s="1" t="n">
        <v>44810</v>
      </c>
      <c r="C604" s="1" t="n">
        <v>46029</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3742-2021</t>
        </is>
      </c>
      <c r="B605" s="1" t="n">
        <v>44221</v>
      </c>
      <c r="C605" s="1" t="n">
        <v>46029</v>
      </c>
      <c r="D605" t="inlineStr">
        <is>
          <t>ÖSTERGÖTLANDS LÄN</t>
        </is>
      </c>
      <c r="E605" t="inlineStr">
        <is>
          <t>LINKÖPING</t>
        </is>
      </c>
      <c r="G605" t="n">
        <v>5.5</v>
      </c>
      <c r="H605" t="n">
        <v>0</v>
      </c>
      <c r="I605" t="n">
        <v>0</v>
      </c>
      <c r="J605" t="n">
        <v>0</v>
      </c>
      <c r="K605" t="n">
        <v>0</v>
      </c>
      <c r="L605" t="n">
        <v>0</v>
      </c>
      <c r="M605" t="n">
        <v>0</v>
      </c>
      <c r="N605" t="n">
        <v>0</v>
      </c>
      <c r="O605" t="n">
        <v>0</v>
      </c>
      <c r="P605" t="n">
        <v>0</v>
      </c>
      <c r="Q605" t="n">
        <v>0</v>
      </c>
      <c r="R605" s="2" t="inlineStr"/>
    </row>
    <row r="606" ht="15" customHeight="1">
      <c r="A606" t="inlineStr">
        <is>
          <t>A 3011-2023</t>
        </is>
      </c>
      <c r="B606" s="1" t="n">
        <v>44945</v>
      </c>
      <c r="C606" s="1" t="n">
        <v>46029</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45442-2024</t>
        </is>
      </c>
      <c r="B607" s="1" t="n">
        <v>45576.64189814815</v>
      </c>
      <c r="C607" s="1" t="n">
        <v>46029</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3432-2023</t>
        </is>
      </c>
      <c r="B608" s="1" t="n">
        <v>44949</v>
      </c>
      <c r="C608" s="1" t="n">
        <v>46029</v>
      </c>
      <c r="D608" t="inlineStr">
        <is>
          <t>ÖSTERGÖTLANDS LÄN</t>
        </is>
      </c>
      <c r="E608" t="inlineStr">
        <is>
          <t>LINKÖPING</t>
        </is>
      </c>
      <c r="G608" t="n">
        <v>1.9</v>
      </c>
      <c r="H608" t="n">
        <v>0</v>
      </c>
      <c r="I608" t="n">
        <v>0</v>
      </c>
      <c r="J608" t="n">
        <v>0</v>
      </c>
      <c r="K608" t="n">
        <v>0</v>
      </c>
      <c r="L608" t="n">
        <v>0</v>
      </c>
      <c r="M608" t="n">
        <v>0</v>
      </c>
      <c r="N608" t="n">
        <v>0</v>
      </c>
      <c r="O608" t="n">
        <v>0</v>
      </c>
      <c r="P608" t="n">
        <v>0</v>
      </c>
      <c r="Q608" t="n">
        <v>0</v>
      </c>
      <c r="R608" s="2" t="inlineStr"/>
    </row>
    <row r="609" ht="15" customHeight="1">
      <c r="A609" t="inlineStr">
        <is>
          <t>A 1440-2021</t>
        </is>
      </c>
      <c r="B609" s="1" t="n">
        <v>44208</v>
      </c>
      <c r="C609" s="1" t="n">
        <v>46029</v>
      </c>
      <c r="D609" t="inlineStr">
        <is>
          <t>ÖSTERGÖTLANDS LÄN</t>
        </is>
      </c>
      <c r="E609" t="inlineStr">
        <is>
          <t>LINKÖPING</t>
        </is>
      </c>
      <c r="G609" t="n">
        <v>8.4</v>
      </c>
      <c r="H609" t="n">
        <v>0</v>
      </c>
      <c r="I609" t="n">
        <v>0</v>
      </c>
      <c r="J609" t="n">
        <v>0</v>
      </c>
      <c r="K609" t="n">
        <v>0</v>
      </c>
      <c r="L609" t="n">
        <v>0</v>
      </c>
      <c r="M609" t="n">
        <v>0</v>
      </c>
      <c r="N609" t="n">
        <v>0</v>
      </c>
      <c r="O609" t="n">
        <v>0</v>
      </c>
      <c r="P609" t="n">
        <v>0</v>
      </c>
      <c r="Q609" t="n">
        <v>0</v>
      </c>
      <c r="R609" s="2" t="inlineStr"/>
    </row>
    <row r="610" ht="15" customHeight="1">
      <c r="A610" t="inlineStr">
        <is>
          <t>A 60472-2022</t>
        </is>
      </c>
      <c r="B610" s="1" t="n">
        <v>44911.41037037037</v>
      </c>
      <c r="C610" s="1" t="n">
        <v>46029</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12720-2022</t>
        </is>
      </c>
      <c r="B611" s="1" t="n">
        <v>44641</v>
      </c>
      <c r="C611" s="1" t="n">
        <v>46029</v>
      </c>
      <c r="D611" t="inlineStr">
        <is>
          <t>ÖSTERGÖTLANDS LÄN</t>
        </is>
      </c>
      <c r="E611" t="inlineStr">
        <is>
          <t>LINKÖPING</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45831-2024</t>
        </is>
      </c>
      <c r="B612" s="1" t="n">
        <v>45579.90508101852</v>
      </c>
      <c r="C612" s="1" t="n">
        <v>46029</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57396-2021</t>
        </is>
      </c>
      <c r="B613" s="1" t="n">
        <v>44483.56151620371</v>
      </c>
      <c r="C613" s="1" t="n">
        <v>46029</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22842-2023</t>
        </is>
      </c>
      <c r="B614" s="1" t="n">
        <v>45071</v>
      </c>
      <c r="C614" s="1" t="n">
        <v>46029</v>
      </c>
      <c r="D614" t="inlineStr">
        <is>
          <t>ÖSTERGÖTLANDS LÄN</t>
        </is>
      </c>
      <c r="E614" t="inlineStr">
        <is>
          <t>LINKÖPING</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50386-2021</t>
        </is>
      </c>
      <c r="B615" s="1" t="n">
        <v>44459</v>
      </c>
      <c r="C615" s="1" t="n">
        <v>46029</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35781-2023</t>
        </is>
      </c>
      <c r="B616" s="1" t="n">
        <v>45147</v>
      </c>
      <c r="C616" s="1" t="n">
        <v>46029</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22770-2024</t>
        </is>
      </c>
      <c r="B617" s="1" t="n">
        <v>45448.4634375</v>
      </c>
      <c r="C617" s="1" t="n">
        <v>46029</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11671-2023</t>
        </is>
      </c>
      <c r="B618" s="1" t="n">
        <v>44994.48125</v>
      </c>
      <c r="C618" s="1" t="n">
        <v>46029</v>
      </c>
      <c r="D618" t="inlineStr">
        <is>
          <t>ÖSTERGÖTLANDS LÄN</t>
        </is>
      </c>
      <c r="E618" t="inlineStr">
        <is>
          <t>LINKÖPING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54425-2022</t>
        </is>
      </c>
      <c r="B619" s="1" t="n">
        <v>44882.57453703704</v>
      </c>
      <c r="C619" s="1" t="n">
        <v>46029</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4927-2021</t>
        </is>
      </c>
      <c r="B620" s="1" t="n">
        <v>44227.57215277778</v>
      </c>
      <c r="C620" s="1" t="n">
        <v>46029</v>
      </c>
      <c r="D620" t="inlineStr">
        <is>
          <t>ÖSTERGÖTLANDS LÄN</t>
        </is>
      </c>
      <c r="E620" t="inlineStr">
        <is>
          <t>LINKÖPING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30547-2023</t>
        </is>
      </c>
      <c r="B621" s="1" t="n">
        <v>45111.75905092592</v>
      </c>
      <c r="C621" s="1" t="n">
        <v>46029</v>
      </c>
      <c r="D621" t="inlineStr">
        <is>
          <t>ÖSTERGÖTLANDS LÄN</t>
        </is>
      </c>
      <c r="E621" t="inlineStr">
        <is>
          <t>LINKÖPING</t>
        </is>
      </c>
      <c r="G621" t="n">
        <v>0.9</v>
      </c>
      <c r="H621" t="n">
        <v>0</v>
      </c>
      <c r="I621" t="n">
        <v>0</v>
      </c>
      <c r="J621" t="n">
        <v>0</v>
      </c>
      <c r="K621" t="n">
        <v>0</v>
      </c>
      <c r="L621" t="n">
        <v>0</v>
      </c>
      <c r="M621" t="n">
        <v>0</v>
      </c>
      <c r="N621" t="n">
        <v>0</v>
      </c>
      <c r="O621" t="n">
        <v>0</v>
      </c>
      <c r="P621" t="n">
        <v>0</v>
      </c>
      <c r="Q621" t="n">
        <v>0</v>
      </c>
      <c r="R621" s="2" t="inlineStr"/>
    </row>
    <row r="622" ht="15" customHeight="1">
      <c r="A622" t="inlineStr">
        <is>
          <t>A 24904-2024</t>
        </is>
      </c>
      <c r="B622" s="1" t="n">
        <v>45461</v>
      </c>
      <c r="C622" s="1" t="n">
        <v>46029</v>
      </c>
      <c r="D622" t="inlineStr">
        <is>
          <t>ÖSTERGÖTLANDS LÄN</t>
        </is>
      </c>
      <c r="E622" t="inlineStr">
        <is>
          <t>LINKÖPING</t>
        </is>
      </c>
      <c r="G622" t="n">
        <v>3.8</v>
      </c>
      <c r="H622" t="n">
        <v>0</v>
      </c>
      <c r="I622" t="n">
        <v>0</v>
      </c>
      <c r="J622" t="n">
        <v>0</v>
      </c>
      <c r="K622" t="n">
        <v>0</v>
      </c>
      <c r="L622" t="n">
        <v>0</v>
      </c>
      <c r="M622" t="n">
        <v>0</v>
      </c>
      <c r="N622" t="n">
        <v>0</v>
      </c>
      <c r="O622" t="n">
        <v>0</v>
      </c>
      <c r="P622" t="n">
        <v>0</v>
      </c>
      <c r="Q622" t="n">
        <v>0</v>
      </c>
      <c r="R622" s="2" t="inlineStr"/>
    </row>
    <row r="623" ht="15" customHeight="1">
      <c r="A623" t="inlineStr">
        <is>
          <t>A 26788-2022</t>
        </is>
      </c>
      <c r="B623" s="1" t="n">
        <v>44740</v>
      </c>
      <c r="C623" s="1" t="n">
        <v>46029</v>
      </c>
      <c r="D623" t="inlineStr">
        <is>
          <t>ÖSTERGÖTLANDS LÄN</t>
        </is>
      </c>
      <c r="E623" t="inlineStr">
        <is>
          <t>LINKÖPING</t>
        </is>
      </c>
      <c r="G623" t="n">
        <v>3.2</v>
      </c>
      <c r="H623" t="n">
        <v>0</v>
      </c>
      <c r="I623" t="n">
        <v>0</v>
      </c>
      <c r="J623" t="n">
        <v>0</v>
      </c>
      <c r="K623" t="n">
        <v>0</v>
      </c>
      <c r="L623" t="n">
        <v>0</v>
      </c>
      <c r="M623" t="n">
        <v>0</v>
      </c>
      <c r="N623" t="n">
        <v>0</v>
      </c>
      <c r="O623" t="n">
        <v>0</v>
      </c>
      <c r="P623" t="n">
        <v>0</v>
      </c>
      <c r="Q623" t="n">
        <v>0</v>
      </c>
      <c r="R623" s="2" t="inlineStr"/>
    </row>
    <row r="624" ht="15" customHeight="1">
      <c r="A624" t="inlineStr">
        <is>
          <t>A 15121-2022</t>
        </is>
      </c>
      <c r="B624" s="1" t="n">
        <v>44658</v>
      </c>
      <c r="C624" s="1" t="n">
        <v>46029</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51919-2024</t>
        </is>
      </c>
      <c r="B625" s="1" t="n">
        <v>45607.60791666667</v>
      </c>
      <c r="C625" s="1" t="n">
        <v>46029</v>
      </c>
      <c r="D625" t="inlineStr">
        <is>
          <t>ÖSTERGÖTLANDS LÄN</t>
        </is>
      </c>
      <c r="E625" t="inlineStr">
        <is>
          <t>LINKÖPING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55009-2023</t>
        </is>
      </c>
      <c r="B626" s="1" t="n">
        <v>45237</v>
      </c>
      <c r="C626" s="1" t="n">
        <v>46029</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20291-2025</t>
        </is>
      </c>
      <c r="B627" s="1" t="n">
        <v>45774.74288194445</v>
      </c>
      <c r="C627" s="1" t="n">
        <v>46029</v>
      </c>
      <c r="D627" t="inlineStr">
        <is>
          <t>ÖSTERGÖTLANDS LÄN</t>
        </is>
      </c>
      <c r="E627" t="inlineStr">
        <is>
          <t>LINKÖPING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20293-2025</t>
        </is>
      </c>
      <c r="B628" s="1" t="n">
        <v>45774.74611111111</v>
      </c>
      <c r="C628" s="1" t="n">
        <v>46029</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660-2023</t>
        </is>
      </c>
      <c r="B629" s="1" t="n">
        <v>44930</v>
      </c>
      <c r="C629" s="1" t="n">
        <v>46029</v>
      </c>
      <c r="D629" t="inlineStr">
        <is>
          <t>ÖSTERGÖTLANDS LÄN</t>
        </is>
      </c>
      <c r="E629" t="inlineStr">
        <is>
          <t>LINKÖPING</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64694-2023</t>
        </is>
      </c>
      <c r="B630" s="1" t="n">
        <v>45281</v>
      </c>
      <c r="C630" s="1" t="n">
        <v>46029</v>
      </c>
      <c r="D630" t="inlineStr">
        <is>
          <t>ÖSTERGÖTLANDS LÄN</t>
        </is>
      </c>
      <c r="E630" t="inlineStr">
        <is>
          <t>LINKÖPING</t>
        </is>
      </c>
      <c r="F630" t="inlineStr">
        <is>
          <t>Övriga statliga verk och myndigheter</t>
        </is>
      </c>
      <c r="G630" t="n">
        <v>4.9</v>
      </c>
      <c r="H630" t="n">
        <v>0</v>
      </c>
      <c r="I630" t="n">
        <v>0</v>
      </c>
      <c r="J630" t="n">
        <v>0</v>
      </c>
      <c r="K630" t="n">
        <v>0</v>
      </c>
      <c r="L630" t="n">
        <v>0</v>
      </c>
      <c r="M630" t="n">
        <v>0</v>
      </c>
      <c r="N630" t="n">
        <v>0</v>
      </c>
      <c r="O630" t="n">
        <v>0</v>
      </c>
      <c r="P630" t="n">
        <v>0</v>
      </c>
      <c r="Q630" t="n">
        <v>0</v>
      </c>
      <c r="R630" s="2" t="inlineStr"/>
    </row>
    <row r="631" ht="15" customHeight="1">
      <c r="A631" t="inlineStr">
        <is>
          <t>A 63487-2023</t>
        </is>
      </c>
      <c r="B631" s="1" t="n">
        <v>45274.66712962963</v>
      </c>
      <c r="C631" s="1" t="n">
        <v>46029</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20455-2024</t>
        </is>
      </c>
      <c r="B632" s="1" t="n">
        <v>45435.65314814815</v>
      </c>
      <c r="C632" s="1" t="n">
        <v>46029</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30471-2023</t>
        </is>
      </c>
      <c r="B633" s="1" t="n">
        <v>45111.58931712963</v>
      </c>
      <c r="C633" s="1" t="n">
        <v>46029</v>
      </c>
      <c r="D633" t="inlineStr">
        <is>
          <t>ÖSTERGÖTLANDS LÄN</t>
        </is>
      </c>
      <c r="E633" t="inlineStr">
        <is>
          <t>LINKÖPING</t>
        </is>
      </c>
      <c r="G633" t="n">
        <v>2.9</v>
      </c>
      <c r="H633" t="n">
        <v>0</v>
      </c>
      <c r="I633" t="n">
        <v>0</v>
      </c>
      <c r="J633" t="n">
        <v>0</v>
      </c>
      <c r="K633" t="n">
        <v>0</v>
      </c>
      <c r="L633" t="n">
        <v>0</v>
      </c>
      <c r="M633" t="n">
        <v>0</v>
      </c>
      <c r="N633" t="n">
        <v>0</v>
      </c>
      <c r="O633" t="n">
        <v>0</v>
      </c>
      <c r="P633" t="n">
        <v>0</v>
      </c>
      <c r="Q633" t="n">
        <v>0</v>
      </c>
      <c r="R633" s="2" t="inlineStr"/>
    </row>
    <row r="634" ht="15" customHeight="1">
      <c r="A634" t="inlineStr">
        <is>
          <t>A 14093-2024</t>
        </is>
      </c>
      <c r="B634" s="1" t="n">
        <v>45392.60278935185</v>
      </c>
      <c r="C634" s="1" t="n">
        <v>46029</v>
      </c>
      <c r="D634" t="inlineStr">
        <is>
          <t>ÖSTERGÖTLANDS LÄN</t>
        </is>
      </c>
      <c r="E634" t="inlineStr">
        <is>
          <t>LINKÖPING</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63304-2021</t>
        </is>
      </c>
      <c r="B635" s="1" t="n">
        <v>44508.4396412037</v>
      </c>
      <c r="C635" s="1" t="n">
        <v>46029</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19362-2023</t>
        </is>
      </c>
      <c r="B636" s="1" t="n">
        <v>45049</v>
      </c>
      <c r="C636" s="1" t="n">
        <v>46029</v>
      </c>
      <c r="D636" t="inlineStr">
        <is>
          <t>ÖSTERGÖTLANDS LÄN</t>
        </is>
      </c>
      <c r="E636" t="inlineStr">
        <is>
          <t>LINKÖPING</t>
        </is>
      </c>
      <c r="G636" t="n">
        <v>0.1</v>
      </c>
      <c r="H636" t="n">
        <v>0</v>
      </c>
      <c r="I636" t="n">
        <v>0</v>
      </c>
      <c r="J636" t="n">
        <v>0</v>
      </c>
      <c r="K636" t="n">
        <v>0</v>
      </c>
      <c r="L636" t="n">
        <v>0</v>
      </c>
      <c r="M636" t="n">
        <v>0</v>
      </c>
      <c r="N636" t="n">
        <v>0</v>
      </c>
      <c r="O636" t="n">
        <v>0</v>
      </c>
      <c r="P636" t="n">
        <v>0</v>
      </c>
      <c r="Q636" t="n">
        <v>0</v>
      </c>
      <c r="R636" s="2" t="inlineStr"/>
    </row>
    <row r="637" ht="15" customHeight="1">
      <c r="A637" t="inlineStr">
        <is>
          <t>A 35463-2023</t>
        </is>
      </c>
      <c r="B637" s="1" t="n">
        <v>45146</v>
      </c>
      <c r="C637" s="1" t="n">
        <v>46029</v>
      </c>
      <c r="D637" t="inlineStr">
        <is>
          <t>ÖSTERGÖTLANDS LÄN</t>
        </is>
      </c>
      <c r="E637" t="inlineStr">
        <is>
          <t>LINKÖPING</t>
        </is>
      </c>
      <c r="F637" t="inlineStr">
        <is>
          <t>Övriga Aktiebolag</t>
        </is>
      </c>
      <c r="G637" t="n">
        <v>1.8</v>
      </c>
      <c r="H637" t="n">
        <v>0</v>
      </c>
      <c r="I637" t="n">
        <v>0</v>
      </c>
      <c r="J637" t="n">
        <v>0</v>
      </c>
      <c r="K637" t="n">
        <v>0</v>
      </c>
      <c r="L637" t="n">
        <v>0</v>
      </c>
      <c r="M637" t="n">
        <v>0</v>
      </c>
      <c r="N637" t="n">
        <v>0</v>
      </c>
      <c r="O637" t="n">
        <v>0</v>
      </c>
      <c r="P637" t="n">
        <v>0</v>
      </c>
      <c r="Q637" t="n">
        <v>0</v>
      </c>
      <c r="R637" s="2" t="inlineStr"/>
    </row>
    <row r="638" ht="15" customHeight="1">
      <c r="A638" t="inlineStr">
        <is>
          <t>A 16111-2022</t>
        </is>
      </c>
      <c r="B638" s="1" t="n">
        <v>44665</v>
      </c>
      <c r="C638" s="1" t="n">
        <v>46029</v>
      </c>
      <c r="D638" t="inlineStr">
        <is>
          <t>ÖSTERGÖTLANDS LÄN</t>
        </is>
      </c>
      <c r="E638" t="inlineStr">
        <is>
          <t>LINKÖPING</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31635-2023</t>
        </is>
      </c>
      <c r="B639" s="1" t="n">
        <v>45105</v>
      </c>
      <c r="C639" s="1" t="n">
        <v>46029</v>
      </c>
      <c r="D639" t="inlineStr">
        <is>
          <t>ÖSTERGÖTLANDS LÄN</t>
        </is>
      </c>
      <c r="E639" t="inlineStr">
        <is>
          <t>LINKÖPING</t>
        </is>
      </c>
      <c r="F639" t="inlineStr">
        <is>
          <t>Övriga statliga verk och myndigheter</t>
        </is>
      </c>
      <c r="G639" t="n">
        <v>4.6</v>
      </c>
      <c r="H639" t="n">
        <v>0</v>
      </c>
      <c r="I639" t="n">
        <v>0</v>
      </c>
      <c r="J639" t="n">
        <v>0</v>
      </c>
      <c r="K639" t="n">
        <v>0</v>
      </c>
      <c r="L639" t="n">
        <v>0</v>
      </c>
      <c r="M639" t="n">
        <v>0</v>
      </c>
      <c r="N639" t="n">
        <v>0</v>
      </c>
      <c r="O639" t="n">
        <v>0</v>
      </c>
      <c r="P639" t="n">
        <v>0</v>
      </c>
      <c r="Q639" t="n">
        <v>0</v>
      </c>
      <c r="R639" s="2" t="inlineStr"/>
    </row>
    <row r="640" ht="15" customHeight="1">
      <c r="A640" t="inlineStr">
        <is>
          <t>A 49928-2024</t>
        </is>
      </c>
      <c r="B640" s="1" t="n">
        <v>45597.57811342592</v>
      </c>
      <c r="C640" s="1" t="n">
        <v>46029</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54845-2023</t>
        </is>
      </c>
      <c r="B641" s="1" t="n">
        <v>45236</v>
      </c>
      <c r="C641" s="1" t="n">
        <v>46029</v>
      </c>
      <c r="D641" t="inlineStr">
        <is>
          <t>ÖSTERGÖTLANDS LÄN</t>
        </is>
      </c>
      <c r="E641" t="inlineStr">
        <is>
          <t>LINKÖPING</t>
        </is>
      </c>
      <c r="F641" t="inlineStr">
        <is>
          <t>Övriga Aktiebolag</t>
        </is>
      </c>
      <c r="G641" t="n">
        <v>5.7</v>
      </c>
      <c r="H641" t="n">
        <v>0</v>
      </c>
      <c r="I641" t="n">
        <v>0</v>
      </c>
      <c r="J641" t="n">
        <v>0</v>
      </c>
      <c r="K641" t="n">
        <v>0</v>
      </c>
      <c r="L641" t="n">
        <v>0</v>
      </c>
      <c r="M641" t="n">
        <v>0</v>
      </c>
      <c r="N641" t="n">
        <v>0</v>
      </c>
      <c r="O641" t="n">
        <v>0</v>
      </c>
      <c r="P641" t="n">
        <v>0</v>
      </c>
      <c r="Q641" t="n">
        <v>0</v>
      </c>
      <c r="R641" s="2" t="inlineStr"/>
    </row>
    <row r="642" ht="15" customHeight="1">
      <c r="A642" t="inlineStr">
        <is>
          <t>A 46687-2021</t>
        </is>
      </c>
      <c r="B642" s="1" t="n">
        <v>44445</v>
      </c>
      <c r="C642" s="1" t="n">
        <v>46029</v>
      </c>
      <c r="D642" t="inlineStr">
        <is>
          <t>ÖSTERGÖTLANDS LÄN</t>
        </is>
      </c>
      <c r="E642" t="inlineStr">
        <is>
          <t>LINKÖPING</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30855-2022</t>
        </is>
      </c>
      <c r="B643" s="1" t="n">
        <v>44767</v>
      </c>
      <c r="C643" s="1" t="n">
        <v>46029</v>
      </c>
      <c r="D643" t="inlineStr">
        <is>
          <t>ÖSTERGÖTLANDS LÄN</t>
        </is>
      </c>
      <c r="E643" t="inlineStr">
        <is>
          <t>LINKÖPING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1355-2023</t>
        </is>
      </c>
      <c r="B644" s="1" t="n">
        <v>44931</v>
      </c>
      <c r="C644" s="1" t="n">
        <v>46029</v>
      </c>
      <c r="D644" t="inlineStr">
        <is>
          <t>ÖSTERGÖTLANDS LÄN</t>
        </is>
      </c>
      <c r="E644" t="inlineStr">
        <is>
          <t>LINKÖPING</t>
        </is>
      </c>
      <c r="G644" t="n">
        <v>4</v>
      </c>
      <c r="H644" t="n">
        <v>0</v>
      </c>
      <c r="I644" t="n">
        <v>0</v>
      </c>
      <c r="J644" t="n">
        <v>0</v>
      </c>
      <c r="K644" t="n">
        <v>0</v>
      </c>
      <c r="L644" t="n">
        <v>0</v>
      </c>
      <c r="M644" t="n">
        <v>0</v>
      </c>
      <c r="N644" t="n">
        <v>0</v>
      </c>
      <c r="O644" t="n">
        <v>0</v>
      </c>
      <c r="P644" t="n">
        <v>0</v>
      </c>
      <c r="Q644" t="n">
        <v>0</v>
      </c>
      <c r="R644" s="2" t="inlineStr"/>
    </row>
    <row r="645" ht="15" customHeight="1">
      <c r="A645" t="inlineStr">
        <is>
          <t>A 27844-2024</t>
        </is>
      </c>
      <c r="B645" s="1" t="n">
        <v>45475.63047453704</v>
      </c>
      <c r="C645" s="1" t="n">
        <v>46029</v>
      </c>
      <c r="D645" t="inlineStr">
        <is>
          <t>ÖSTERGÖTLANDS LÄN</t>
        </is>
      </c>
      <c r="E645" t="inlineStr">
        <is>
          <t>LINKÖPING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46029</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50963-2021</t>
        </is>
      </c>
      <c r="B647" s="1" t="n">
        <v>44460</v>
      </c>
      <c r="C647" s="1" t="n">
        <v>46029</v>
      </c>
      <c r="D647" t="inlineStr">
        <is>
          <t>ÖSTERGÖTLANDS LÄN</t>
        </is>
      </c>
      <c r="E647" t="inlineStr">
        <is>
          <t>LINKÖPING</t>
        </is>
      </c>
      <c r="G647" t="n">
        <v>4.4</v>
      </c>
      <c r="H647" t="n">
        <v>0</v>
      </c>
      <c r="I647" t="n">
        <v>0</v>
      </c>
      <c r="J647" t="n">
        <v>0</v>
      </c>
      <c r="K647" t="n">
        <v>0</v>
      </c>
      <c r="L647" t="n">
        <v>0</v>
      </c>
      <c r="M647" t="n">
        <v>0</v>
      </c>
      <c r="N647" t="n">
        <v>0</v>
      </c>
      <c r="O647" t="n">
        <v>0</v>
      </c>
      <c r="P647" t="n">
        <v>0</v>
      </c>
      <c r="Q647" t="n">
        <v>0</v>
      </c>
      <c r="R647" s="2" t="inlineStr"/>
    </row>
    <row r="648" ht="15" customHeight="1">
      <c r="A648" t="inlineStr">
        <is>
          <t>A 45821-2024</t>
        </is>
      </c>
      <c r="B648" s="1" t="n">
        <v>45579.75803240741</v>
      </c>
      <c r="C648" s="1" t="n">
        <v>46029</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61936-2023</t>
        </is>
      </c>
      <c r="B649" s="1" t="n">
        <v>45266.54534722222</v>
      </c>
      <c r="C649" s="1" t="n">
        <v>46029</v>
      </c>
      <c r="D649" t="inlineStr">
        <is>
          <t>ÖSTERGÖTLANDS LÄN</t>
        </is>
      </c>
      <c r="E649" t="inlineStr">
        <is>
          <t>LINKÖPING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1263-2024</t>
        </is>
      </c>
      <c r="B650" s="1" t="n">
        <v>45302</v>
      </c>
      <c r="C650" s="1" t="n">
        <v>46029</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24464-2023</t>
        </is>
      </c>
      <c r="B651" s="1" t="n">
        <v>45082.58068287037</v>
      </c>
      <c r="C651" s="1" t="n">
        <v>46029</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48389-2024</t>
        </is>
      </c>
      <c r="B652" s="1" t="n">
        <v>45590.59991898148</v>
      </c>
      <c r="C652" s="1" t="n">
        <v>46029</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61281-2021</t>
        </is>
      </c>
      <c r="B653" s="1" t="n">
        <v>44498.60736111111</v>
      </c>
      <c r="C653" s="1" t="n">
        <v>46029</v>
      </c>
      <c r="D653" t="inlineStr">
        <is>
          <t>ÖSTERGÖTLANDS LÄN</t>
        </is>
      </c>
      <c r="E653" t="inlineStr">
        <is>
          <t>LINKÖPING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6369-2023</t>
        </is>
      </c>
      <c r="B654" s="1" t="n">
        <v>44965.61106481482</v>
      </c>
      <c r="C654" s="1" t="n">
        <v>46029</v>
      </c>
      <c r="D654" t="inlineStr">
        <is>
          <t>ÖSTERGÖTLANDS LÄN</t>
        </is>
      </c>
      <c r="E654" t="inlineStr">
        <is>
          <t>LINKÖPING</t>
        </is>
      </c>
      <c r="G654" t="n">
        <v>4</v>
      </c>
      <c r="H654" t="n">
        <v>0</v>
      </c>
      <c r="I654" t="n">
        <v>0</v>
      </c>
      <c r="J654" t="n">
        <v>0</v>
      </c>
      <c r="K654" t="n">
        <v>0</v>
      </c>
      <c r="L654" t="n">
        <v>0</v>
      </c>
      <c r="M654" t="n">
        <v>0</v>
      </c>
      <c r="N654" t="n">
        <v>0</v>
      </c>
      <c r="O654" t="n">
        <v>0</v>
      </c>
      <c r="P654" t="n">
        <v>0</v>
      </c>
      <c r="Q654" t="n">
        <v>0</v>
      </c>
      <c r="R654" s="2" t="inlineStr"/>
    </row>
    <row r="655" ht="15" customHeight="1">
      <c r="A655" t="inlineStr">
        <is>
          <t>A 10094-2024</t>
        </is>
      </c>
      <c r="B655" s="1" t="n">
        <v>45364</v>
      </c>
      <c r="C655" s="1" t="n">
        <v>46029</v>
      </c>
      <c r="D655" t="inlineStr">
        <is>
          <t>ÖSTERGÖTLANDS LÄN</t>
        </is>
      </c>
      <c r="E655" t="inlineStr">
        <is>
          <t>LINKÖPING</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1207-2023</t>
        </is>
      </c>
      <c r="B656" s="1" t="n">
        <v>44930</v>
      </c>
      <c r="C656" s="1" t="n">
        <v>46029</v>
      </c>
      <c r="D656" t="inlineStr">
        <is>
          <t>ÖSTERGÖTLANDS LÄN</t>
        </is>
      </c>
      <c r="E656" t="inlineStr">
        <is>
          <t>LINKÖPING</t>
        </is>
      </c>
      <c r="F656" t="inlineStr">
        <is>
          <t>Övriga statliga verk och myndigheter</t>
        </is>
      </c>
      <c r="G656" t="n">
        <v>32.8</v>
      </c>
      <c r="H656" t="n">
        <v>0</v>
      </c>
      <c r="I656" t="n">
        <v>0</v>
      </c>
      <c r="J656" t="n">
        <v>0</v>
      </c>
      <c r="K656" t="n">
        <v>0</v>
      </c>
      <c r="L656" t="n">
        <v>0</v>
      </c>
      <c r="M656" t="n">
        <v>0</v>
      </c>
      <c r="N656" t="n">
        <v>0</v>
      </c>
      <c r="O656" t="n">
        <v>0</v>
      </c>
      <c r="P656" t="n">
        <v>0</v>
      </c>
      <c r="Q656" t="n">
        <v>0</v>
      </c>
      <c r="R656" s="2" t="inlineStr"/>
    </row>
    <row r="657" ht="15" customHeight="1">
      <c r="A657" t="inlineStr">
        <is>
          <t>A 62015-2024</t>
        </is>
      </c>
      <c r="B657" s="1" t="n">
        <v>45655.80457175926</v>
      </c>
      <c r="C657" s="1" t="n">
        <v>46029</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62020-2024</t>
        </is>
      </c>
      <c r="B658" s="1" t="n">
        <v>45655.83563657408</v>
      </c>
      <c r="C658" s="1" t="n">
        <v>46029</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62021-2024</t>
        </is>
      </c>
      <c r="B659" s="1" t="n">
        <v>45655.84232638889</v>
      </c>
      <c r="C659" s="1" t="n">
        <v>46029</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27891-2021</t>
        </is>
      </c>
      <c r="B660" s="1" t="n">
        <v>44354.65108796296</v>
      </c>
      <c r="C660" s="1" t="n">
        <v>46029</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57391-2023</t>
        </is>
      </c>
      <c r="B661" s="1" t="n">
        <v>45245</v>
      </c>
      <c r="C661" s="1" t="n">
        <v>46029</v>
      </c>
      <c r="D661" t="inlineStr">
        <is>
          <t>ÖSTERGÖTLANDS LÄN</t>
        </is>
      </c>
      <c r="E661" t="inlineStr">
        <is>
          <t>LINKÖPING</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20294-2025</t>
        </is>
      </c>
      <c r="B662" s="1" t="n">
        <v>45774.74667824074</v>
      </c>
      <c r="C662" s="1" t="n">
        <v>46029</v>
      </c>
      <c r="D662" t="inlineStr">
        <is>
          <t>ÖSTERGÖTLANDS LÄN</t>
        </is>
      </c>
      <c r="E662" t="inlineStr">
        <is>
          <t>LINKÖPING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60013-2022</t>
        </is>
      </c>
      <c r="B663" s="1" t="n">
        <v>44909.47482638889</v>
      </c>
      <c r="C663" s="1" t="n">
        <v>46029</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3007-2025</t>
        </is>
      </c>
      <c r="B664" s="1" t="n">
        <v>45678.56328703704</v>
      </c>
      <c r="C664" s="1" t="n">
        <v>46029</v>
      </c>
      <c r="D664" t="inlineStr">
        <is>
          <t>ÖSTERGÖTLANDS LÄN</t>
        </is>
      </c>
      <c r="E664" t="inlineStr">
        <is>
          <t>LINKÖPING</t>
        </is>
      </c>
      <c r="G664" t="n">
        <v>3.1</v>
      </c>
      <c r="H664" t="n">
        <v>0</v>
      </c>
      <c r="I664" t="n">
        <v>0</v>
      </c>
      <c r="J664" t="n">
        <v>0</v>
      </c>
      <c r="K664" t="n">
        <v>0</v>
      </c>
      <c r="L664" t="n">
        <v>0</v>
      </c>
      <c r="M664" t="n">
        <v>0</v>
      </c>
      <c r="N664" t="n">
        <v>0</v>
      </c>
      <c r="O664" t="n">
        <v>0</v>
      </c>
      <c r="P664" t="n">
        <v>0</v>
      </c>
      <c r="Q664" t="n">
        <v>0</v>
      </c>
      <c r="R664" s="2" t="inlineStr"/>
    </row>
    <row r="665" ht="15" customHeight="1">
      <c r="A665" t="inlineStr">
        <is>
          <t>A 34877-2023</t>
        </is>
      </c>
      <c r="B665" s="1" t="n">
        <v>45140</v>
      </c>
      <c r="C665" s="1" t="n">
        <v>46029</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1924-2024</t>
        </is>
      </c>
      <c r="B666" s="1" t="n">
        <v>45308</v>
      </c>
      <c r="C666" s="1" t="n">
        <v>46029</v>
      </c>
      <c r="D666" t="inlineStr">
        <is>
          <t>ÖSTERGÖTLANDS LÄN</t>
        </is>
      </c>
      <c r="E666" t="inlineStr">
        <is>
          <t>LINKÖPING</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34558-2022</t>
        </is>
      </c>
      <c r="B667" s="1" t="n">
        <v>44794.57594907407</v>
      </c>
      <c r="C667" s="1" t="n">
        <v>46029</v>
      </c>
      <c r="D667" t="inlineStr">
        <is>
          <t>ÖSTERGÖTLANDS LÄN</t>
        </is>
      </c>
      <c r="E667" t="inlineStr">
        <is>
          <t>LINKÖPING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168-2024</t>
        </is>
      </c>
      <c r="B668" s="1" t="n">
        <v>45294</v>
      </c>
      <c r="C668" s="1" t="n">
        <v>46029</v>
      </c>
      <c r="D668" t="inlineStr">
        <is>
          <t>ÖSTERGÖTLANDS LÄN</t>
        </is>
      </c>
      <c r="E668" t="inlineStr">
        <is>
          <t>LINKÖPING</t>
        </is>
      </c>
      <c r="F668" t="inlineStr">
        <is>
          <t>Allmännings- och besparingsskogar</t>
        </is>
      </c>
      <c r="G668" t="n">
        <v>8.9</v>
      </c>
      <c r="H668" t="n">
        <v>0</v>
      </c>
      <c r="I668" t="n">
        <v>0</v>
      </c>
      <c r="J668" t="n">
        <v>0</v>
      </c>
      <c r="K668" t="n">
        <v>0</v>
      </c>
      <c r="L668" t="n">
        <v>0</v>
      </c>
      <c r="M668" t="n">
        <v>0</v>
      </c>
      <c r="N668" t="n">
        <v>0</v>
      </c>
      <c r="O668" t="n">
        <v>0</v>
      </c>
      <c r="P668" t="n">
        <v>0</v>
      </c>
      <c r="Q668" t="n">
        <v>0</v>
      </c>
      <c r="R668" s="2" t="inlineStr"/>
    </row>
    <row r="669" ht="15" customHeight="1">
      <c r="A669" t="inlineStr">
        <is>
          <t>A 15658-2023</t>
        </is>
      </c>
      <c r="B669" s="1" t="n">
        <v>45021.41194444444</v>
      </c>
      <c r="C669" s="1" t="n">
        <v>46029</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30433-2024</t>
        </is>
      </c>
      <c r="B670" s="1" t="n">
        <v>45491.69741898148</v>
      </c>
      <c r="C670" s="1" t="n">
        <v>46029</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52220-2023</t>
        </is>
      </c>
      <c r="B671" s="1" t="n">
        <v>45217</v>
      </c>
      <c r="C671" s="1" t="n">
        <v>46029</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52225-2023</t>
        </is>
      </c>
      <c r="B672" s="1" t="n">
        <v>45217</v>
      </c>
      <c r="C672" s="1" t="n">
        <v>46029</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19464-2024</t>
        </is>
      </c>
      <c r="B673" s="1" t="n">
        <v>45429</v>
      </c>
      <c r="C673" s="1" t="n">
        <v>46029</v>
      </c>
      <c r="D673" t="inlineStr">
        <is>
          <t>ÖSTERGÖTLANDS LÄN</t>
        </is>
      </c>
      <c r="E673" t="inlineStr">
        <is>
          <t>LINKÖPING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42044-2023</t>
        </is>
      </c>
      <c r="B674" s="1" t="n">
        <v>45177</v>
      </c>
      <c r="C674" s="1" t="n">
        <v>46029</v>
      </c>
      <c r="D674" t="inlineStr">
        <is>
          <t>ÖSTERGÖTLANDS LÄN</t>
        </is>
      </c>
      <c r="E674" t="inlineStr">
        <is>
          <t>LINKÖPING</t>
        </is>
      </c>
      <c r="G674" t="n">
        <v>3.9</v>
      </c>
      <c r="H674" t="n">
        <v>0</v>
      </c>
      <c r="I674" t="n">
        <v>0</v>
      </c>
      <c r="J674" t="n">
        <v>0</v>
      </c>
      <c r="K674" t="n">
        <v>0</v>
      </c>
      <c r="L674" t="n">
        <v>0</v>
      </c>
      <c r="M674" t="n">
        <v>0</v>
      </c>
      <c r="N674" t="n">
        <v>0</v>
      </c>
      <c r="O674" t="n">
        <v>0</v>
      </c>
      <c r="P674" t="n">
        <v>0</v>
      </c>
      <c r="Q674" t="n">
        <v>0</v>
      </c>
      <c r="R674" s="2" t="inlineStr"/>
    </row>
    <row r="675" ht="15" customHeight="1">
      <c r="A675" t="inlineStr">
        <is>
          <t>A 630-2024</t>
        </is>
      </c>
      <c r="B675" s="1" t="n">
        <v>45299.67736111111</v>
      </c>
      <c r="C675" s="1" t="n">
        <v>46029</v>
      </c>
      <c r="D675" t="inlineStr">
        <is>
          <t>ÖSTERGÖTLANDS LÄN</t>
        </is>
      </c>
      <c r="E675" t="inlineStr">
        <is>
          <t>LINKÖPING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21782-2024</t>
        </is>
      </c>
      <c r="B676" s="1" t="n">
        <v>45442.63368055555</v>
      </c>
      <c r="C676" s="1" t="n">
        <v>46029</v>
      </c>
      <c r="D676" t="inlineStr">
        <is>
          <t>ÖSTERGÖTLANDS LÄN</t>
        </is>
      </c>
      <c r="E676" t="inlineStr">
        <is>
          <t>LINKÖPING</t>
        </is>
      </c>
      <c r="G676" t="n">
        <v>1.4</v>
      </c>
      <c r="H676" t="n">
        <v>0</v>
      </c>
      <c r="I676" t="n">
        <v>0</v>
      </c>
      <c r="J676" t="n">
        <v>0</v>
      </c>
      <c r="K676" t="n">
        <v>0</v>
      </c>
      <c r="L676" t="n">
        <v>0</v>
      </c>
      <c r="M676" t="n">
        <v>0</v>
      </c>
      <c r="N676" t="n">
        <v>0</v>
      </c>
      <c r="O676" t="n">
        <v>0</v>
      </c>
      <c r="P676" t="n">
        <v>0</v>
      </c>
      <c r="Q676" t="n">
        <v>0</v>
      </c>
      <c r="R676" s="2" t="inlineStr"/>
    </row>
    <row r="677" ht="15" customHeight="1">
      <c r="A677" t="inlineStr">
        <is>
          <t>A 57766-2023</t>
        </is>
      </c>
      <c r="B677" s="1" t="n">
        <v>45246</v>
      </c>
      <c r="C677" s="1" t="n">
        <v>46029</v>
      </c>
      <c r="D677" t="inlineStr">
        <is>
          <t>ÖSTERGÖTLANDS LÄN</t>
        </is>
      </c>
      <c r="E677" t="inlineStr">
        <is>
          <t>LINKÖPING</t>
        </is>
      </c>
      <c r="F677" t="inlineStr">
        <is>
          <t>Allmännings- och besparingsskogar</t>
        </is>
      </c>
      <c r="G677" t="n">
        <v>12.8</v>
      </c>
      <c r="H677" t="n">
        <v>0</v>
      </c>
      <c r="I677" t="n">
        <v>0</v>
      </c>
      <c r="J677" t="n">
        <v>0</v>
      </c>
      <c r="K677" t="n">
        <v>0</v>
      </c>
      <c r="L677" t="n">
        <v>0</v>
      </c>
      <c r="M677" t="n">
        <v>0</v>
      </c>
      <c r="N677" t="n">
        <v>0</v>
      </c>
      <c r="O677" t="n">
        <v>0</v>
      </c>
      <c r="P677" t="n">
        <v>0</v>
      </c>
      <c r="Q677" t="n">
        <v>0</v>
      </c>
      <c r="R677" s="2" t="inlineStr"/>
    </row>
    <row r="678" ht="15" customHeight="1">
      <c r="A678" t="inlineStr">
        <is>
          <t>A 27186-2021</t>
        </is>
      </c>
      <c r="B678" s="1" t="n">
        <v>44350.67715277777</v>
      </c>
      <c r="C678" s="1" t="n">
        <v>46029</v>
      </c>
      <c r="D678" t="inlineStr">
        <is>
          <t>ÖSTERGÖTLANDS LÄN</t>
        </is>
      </c>
      <c r="E678" t="inlineStr">
        <is>
          <t>LINKÖPING</t>
        </is>
      </c>
      <c r="F678" t="inlineStr">
        <is>
          <t>Allmännings- och besparingsskogar</t>
        </is>
      </c>
      <c r="G678" t="n">
        <v>1.4</v>
      </c>
      <c r="H678" t="n">
        <v>0</v>
      </c>
      <c r="I678" t="n">
        <v>0</v>
      </c>
      <c r="J678" t="n">
        <v>0</v>
      </c>
      <c r="K678" t="n">
        <v>0</v>
      </c>
      <c r="L678" t="n">
        <v>0</v>
      </c>
      <c r="M678" t="n">
        <v>0</v>
      </c>
      <c r="N678" t="n">
        <v>0</v>
      </c>
      <c r="O678" t="n">
        <v>0</v>
      </c>
      <c r="P678" t="n">
        <v>0</v>
      </c>
      <c r="Q678" t="n">
        <v>0</v>
      </c>
      <c r="R678" s="2" t="inlineStr"/>
    </row>
    <row r="679" ht="15" customHeight="1">
      <c r="A679" t="inlineStr">
        <is>
          <t>A 10194-2023</t>
        </is>
      </c>
      <c r="B679" s="1" t="n">
        <v>44986.52277777778</v>
      </c>
      <c r="C679" s="1" t="n">
        <v>46029</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55944-2024</t>
        </is>
      </c>
      <c r="B680" s="1" t="n">
        <v>45623.61640046296</v>
      </c>
      <c r="C680" s="1" t="n">
        <v>46029</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55947-2024</t>
        </is>
      </c>
      <c r="B681" s="1" t="n">
        <v>45623</v>
      </c>
      <c r="C681" s="1" t="n">
        <v>46029</v>
      </c>
      <c r="D681" t="inlineStr">
        <is>
          <t>ÖSTERGÖTLANDS LÄN</t>
        </is>
      </c>
      <c r="E681" t="inlineStr">
        <is>
          <t>LINKÖPING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47703-2023</t>
        </is>
      </c>
      <c r="B682" s="1" t="n">
        <v>45203</v>
      </c>
      <c r="C682" s="1" t="n">
        <v>46029</v>
      </c>
      <c r="D682" t="inlineStr">
        <is>
          <t>ÖSTERGÖTLANDS LÄN</t>
        </is>
      </c>
      <c r="E682" t="inlineStr">
        <is>
          <t>LINKÖPING</t>
        </is>
      </c>
      <c r="G682" t="n">
        <v>4.1</v>
      </c>
      <c r="H682" t="n">
        <v>0</v>
      </c>
      <c r="I682" t="n">
        <v>0</v>
      </c>
      <c r="J682" t="n">
        <v>0</v>
      </c>
      <c r="K682" t="n">
        <v>0</v>
      </c>
      <c r="L682" t="n">
        <v>0</v>
      </c>
      <c r="M682" t="n">
        <v>0</v>
      </c>
      <c r="N682" t="n">
        <v>0</v>
      </c>
      <c r="O682" t="n">
        <v>0</v>
      </c>
      <c r="P682" t="n">
        <v>0</v>
      </c>
      <c r="Q682" t="n">
        <v>0</v>
      </c>
      <c r="R682" s="2" t="inlineStr"/>
    </row>
    <row r="683" ht="15" customHeight="1">
      <c r="A683" t="inlineStr">
        <is>
          <t>A 51559-2024</t>
        </is>
      </c>
      <c r="B683" s="1" t="n">
        <v>45604.61431712963</v>
      </c>
      <c r="C683" s="1" t="n">
        <v>46029</v>
      </c>
      <c r="D683" t="inlineStr">
        <is>
          <t>ÖSTERGÖTLANDS LÄN</t>
        </is>
      </c>
      <c r="E683" t="inlineStr">
        <is>
          <t>LINKÖPING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62353-2022</t>
        </is>
      </c>
      <c r="B684" s="1" t="n">
        <v>44923</v>
      </c>
      <c r="C684" s="1" t="n">
        <v>46029</v>
      </c>
      <c r="D684" t="inlineStr">
        <is>
          <t>ÖSTERGÖTLANDS LÄN</t>
        </is>
      </c>
      <c r="E684" t="inlineStr">
        <is>
          <t>LINKÖPING</t>
        </is>
      </c>
      <c r="F684" t="inlineStr">
        <is>
          <t>Allmännings- och besparingsskogar</t>
        </is>
      </c>
      <c r="G684" t="n">
        <v>1.7</v>
      </c>
      <c r="H684" t="n">
        <v>0</v>
      </c>
      <c r="I684" t="n">
        <v>0</v>
      </c>
      <c r="J684" t="n">
        <v>0</v>
      </c>
      <c r="K684" t="n">
        <v>0</v>
      </c>
      <c r="L684" t="n">
        <v>0</v>
      </c>
      <c r="M684" t="n">
        <v>0</v>
      </c>
      <c r="N684" t="n">
        <v>0</v>
      </c>
      <c r="O684" t="n">
        <v>0</v>
      </c>
      <c r="P684" t="n">
        <v>0</v>
      </c>
      <c r="Q684" t="n">
        <v>0</v>
      </c>
      <c r="R684" s="2" t="inlineStr"/>
    </row>
    <row r="685" ht="15" customHeight="1">
      <c r="A685" t="inlineStr">
        <is>
          <t>A 15754-2025</t>
        </is>
      </c>
      <c r="B685" s="1" t="n">
        <v>45748.56105324074</v>
      </c>
      <c r="C685" s="1" t="n">
        <v>46029</v>
      </c>
      <c r="D685" t="inlineStr">
        <is>
          <t>ÖSTERGÖTLANDS LÄN</t>
        </is>
      </c>
      <c r="E685" t="inlineStr">
        <is>
          <t>LINKÖPING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4298-2023</t>
        </is>
      </c>
      <c r="B686" s="1" t="n">
        <v>44953</v>
      </c>
      <c r="C686" s="1" t="n">
        <v>46029</v>
      </c>
      <c r="D686" t="inlineStr">
        <is>
          <t>ÖSTERGÖTLANDS LÄN</t>
        </is>
      </c>
      <c r="E686" t="inlineStr">
        <is>
          <t>LINKÖPING</t>
        </is>
      </c>
      <c r="G686" t="n">
        <v>2.8</v>
      </c>
      <c r="H686" t="n">
        <v>0</v>
      </c>
      <c r="I686" t="n">
        <v>0</v>
      </c>
      <c r="J686" t="n">
        <v>0</v>
      </c>
      <c r="K686" t="n">
        <v>0</v>
      </c>
      <c r="L686" t="n">
        <v>0</v>
      </c>
      <c r="M686" t="n">
        <v>0</v>
      </c>
      <c r="N686" t="n">
        <v>0</v>
      </c>
      <c r="O686" t="n">
        <v>0</v>
      </c>
      <c r="P686" t="n">
        <v>0</v>
      </c>
      <c r="Q686" t="n">
        <v>0</v>
      </c>
      <c r="R686" s="2" t="inlineStr"/>
    </row>
    <row r="687" ht="15" customHeight="1">
      <c r="A687" t="inlineStr">
        <is>
          <t>A 18145-2021</t>
        </is>
      </c>
      <c r="B687" s="1" t="n">
        <v>44302</v>
      </c>
      <c r="C687" s="1" t="n">
        <v>46029</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25568-2024</t>
        </is>
      </c>
      <c r="B688" s="1" t="n">
        <v>45463.58699074074</v>
      </c>
      <c r="C688" s="1" t="n">
        <v>46029</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38136-2023</t>
        </is>
      </c>
      <c r="B689" s="1" t="n">
        <v>45161.37310185185</v>
      </c>
      <c r="C689" s="1" t="n">
        <v>46029</v>
      </c>
      <c r="D689" t="inlineStr">
        <is>
          <t>ÖSTERGÖTLANDS LÄN</t>
        </is>
      </c>
      <c r="E689" t="inlineStr">
        <is>
          <t>LINKÖPING</t>
        </is>
      </c>
      <c r="G689" t="n">
        <v>5.6</v>
      </c>
      <c r="H689" t="n">
        <v>0</v>
      </c>
      <c r="I689" t="n">
        <v>0</v>
      </c>
      <c r="J689" t="n">
        <v>0</v>
      </c>
      <c r="K689" t="n">
        <v>0</v>
      </c>
      <c r="L689" t="n">
        <v>0</v>
      </c>
      <c r="M689" t="n">
        <v>0</v>
      </c>
      <c r="N689" t="n">
        <v>0</v>
      </c>
      <c r="O689" t="n">
        <v>0</v>
      </c>
      <c r="P689" t="n">
        <v>0</v>
      </c>
      <c r="Q689" t="n">
        <v>0</v>
      </c>
      <c r="R689" s="2" t="inlineStr"/>
    </row>
    <row r="690" ht="15" customHeight="1">
      <c r="A690" t="inlineStr">
        <is>
          <t>A 12317-2025</t>
        </is>
      </c>
      <c r="B690" s="1" t="n">
        <v>45729.8487037037</v>
      </c>
      <c r="C690" s="1" t="n">
        <v>46029</v>
      </c>
      <c r="D690" t="inlineStr">
        <is>
          <t>ÖSTERGÖTLANDS LÄN</t>
        </is>
      </c>
      <c r="E690" t="inlineStr">
        <is>
          <t>LINKÖPING</t>
        </is>
      </c>
      <c r="G690" t="n">
        <v>8</v>
      </c>
      <c r="H690" t="n">
        <v>0</v>
      </c>
      <c r="I690" t="n">
        <v>0</v>
      </c>
      <c r="J690" t="n">
        <v>0</v>
      </c>
      <c r="K690" t="n">
        <v>0</v>
      </c>
      <c r="L690" t="n">
        <v>0</v>
      </c>
      <c r="M690" t="n">
        <v>0</v>
      </c>
      <c r="N690" t="n">
        <v>0</v>
      </c>
      <c r="O690" t="n">
        <v>0</v>
      </c>
      <c r="P690" t="n">
        <v>0</v>
      </c>
      <c r="Q690" t="n">
        <v>0</v>
      </c>
      <c r="R690" s="2" t="inlineStr"/>
    </row>
    <row r="691" ht="15" customHeight="1">
      <c r="A691" t="inlineStr">
        <is>
          <t>A 14528-2025</t>
        </is>
      </c>
      <c r="B691" s="1" t="n">
        <v>45741</v>
      </c>
      <c r="C691" s="1" t="n">
        <v>46029</v>
      </c>
      <c r="D691" t="inlineStr">
        <is>
          <t>ÖSTERGÖTLANDS LÄN</t>
        </is>
      </c>
      <c r="E691" t="inlineStr">
        <is>
          <t>LINKÖPING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46029</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60985-2023</t>
        </is>
      </c>
      <c r="B693" s="1" t="n">
        <v>45261.48429398148</v>
      </c>
      <c r="C693" s="1" t="n">
        <v>46029</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421-2024</t>
        </is>
      </c>
      <c r="B694" s="1" t="n">
        <v>45296.51877314815</v>
      </c>
      <c r="C694" s="1" t="n">
        <v>46029</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51405-2023</t>
        </is>
      </c>
      <c r="B695" s="1" t="n">
        <v>45219</v>
      </c>
      <c r="C695" s="1" t="n">
        <v>46029</v>
      </c>
      <c r="D695" t="inlineStr">
        <is>
          <t>ÖSTERGÖTLANDS LÄN</t>
        </is>
      </c>
      <c r="E695" t="inlineStr">
        <is>
          <t>LINKÖPING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53639-2023</t>
        </is>
      </c>
      <c r="B696" s="1" t="n">
        <v>45230.59686342593</v>
      </c>
      <c r="C696" s="1" t="n">
        <v>46029</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24467-2023</t>
        </is>
      </c>
      <c r="B697" s="1" t="n">
        <v>45082</v>
      </c>
      <c r="C697" s="1" t="n">
        <v>46029</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62488-2023</t>
        </is>
      </c>
      <c r="B698" s="1" t="n">
        <v>45268.5847337963</v>
      </c>
      <c r="C698" s="1" t="n">
        <v>46029</v>
      </c>
      <c r="D698" t="inlineStr">
        <is>
          <t>ÖSTERGÖTLANDS LÄN</t>
        </is>
      </c>
      <c r="E698" t="inlineStr">
        <is>
          <t>LINKÖPING</t>
        </is>
      </c>
      <c r="G698" t="n">
        <v>4.1</v>
      </c>
      <c r="H698" t="n">
        <v>0</v>
      </c>
      <c r="I698" t="n">
        <v>0</v>
      </c>
      <c r="J698" t="n">
        <v>0</v>
      </c>
      <c r="K698" t="n">
        <v>0</v>
      </c>
      <c r="L698" t="n">
        <v>0</v>
      </c>
      <c r="M698" t="n">
        <v>0</v>
      </c>
      <c r="N698" t="n">
        <v>0</v>
      </c>
      <c r="O698" t="n">
        <v>0</v>
      </c>
      <c r="P698" t="n">
        <v>0</v>
      </c>
      <c r="Q698" t="n">
        <v>0</v>
      </c>
      <c r="R698" s="2" t="inlineStr"/>
    </row>
    <row r="699" ht="15" customHeight="1">
      <c r="A699" t="inlineStr">
        <is>
          <t>A 62495-2023</t>
        </is>
      </c>
      <c r="B699" s="1" t="n">
        <v>45268.59717592593</v>
      </c>
      <c r="C699" s="1" t="n">
        <v>46029</v>
      </c>
      <c r="D699" t="inlineStr">
        <is>
          <t>ÖSTERGÖTLANDS LÄN</t>
        </is>
      </c>
      <c r="E699" t="inlineStr">
        <is>
          <t>LINKÖPING</t>
        </is>
      </c>
      <c r="G699" t="n">
        <v>4.1</v>
      </c>
      <c r="H699" t="n">
        <v>0</v>
      </c>
      <c r="I699" t="n">
        <v>0</v>
      </c>
      <c r="J699" t="n">
        <v>0</v>
      </c>
      <c r="K699" t="n">
        <v>0</v>
      </c>
      <c r="L699" t="n">
        <v>0</v>
      </c>
      <c r="M699" t="n">
        <v>0</v>
      </c>
      <c r="N699" t="n">
        <v>0</v>
      </c>
      <c r="O699" t="n">
        <v>0</v>
      </c>
      <c r="P699" t="n">
        <v>0</v>
      </c>
      <c r="Q699" t="n">
        <v>0</v>
      </c>
      <c r="R699" s="2" t="inlineStr"/>
    </row>
    <row r="700" ht="15" customHeight="1">
      <c r="A700" t="inlineStr">
        <is>
          <t>A 10198-2023</t>
        </is>
      </c>
      <c r="B700" s="1" t="n">
        <v>44986.54665509259</v>
      </c>
      <c r="C700" s="1" t="n">
        <v>46029</v>
      </c>
      <c r="D700" t="inlineStr">
        <is>
          <t>ÖSTERGÖTLANDS LÄN</t>
        </is>
      </c>
      <c r="E700" t="inlineStr">
        <is>
          <t>LINKÖPING</t>
        </is>
      </c>
      <c r="G700" t="n">
        <v>4.6</v>
      </c>
      <c r="H700" t="n">
        <v>0</v>
      </c>
      <c r="I700" t="n">
        <v>0</v>
      </c>
      <c r="J700" t="n">
        <v>0</v>
      </c>
      <c r="K700" t="n">
        <v>0</v>
      </c>
      <c r="L700" t="n">
        <v>0</v>
      </c>
      <c r="M700" t="n">
        <v>0</v>
      </c>
      <c r="N700" t="n">
        <v>0</v>
      </c>
      <c r="O700" t="n">
        <v>0</v>
      </c>
      <c r="P700" t="n">
        <v>0</v>
      </c>
      <c r="Q700" t="n">
        <v>0</v>
      </c>
      <c r="R700" s="2" t="inlineStr"/>
    </row>
    <row r="701" ht="15" customHeight="1">
      <c r="A701" t="inlineStr">
        <is>
          <t>A 22771-2024</t>
        </is>
      </c>
      <c r="B701" s="1" t="n">
        <v>45448.46574074074</v>
      </c>
      <c r="C701" s="1" t="n">
        <v>46029</v>
      </c>
      <c r="D701" t="inlineStr">
        <is>
          <t>ÖSTERGÖTLANDS LÄN</t>
        </is>
      </c>
      <c r="E701" t="inlineStr">
        <is>
          <t>LINKÖPING</t>
        </is>
      </c>
      <c r="F701" t="inlineStr">
        <is>
          <t>Sveaskog</t>
        </is>
      </c>
      <c r="G701" t="n">
        <v>2.7</v>
      </c>
      <c r="H701" t="n">
        <v>0</v>
      </c>
      <c r="I701" t="n">
        <v>0</v>
      </c>
      <c r="J701" t="n">
        <v>0</v>
      </c>
      <c r="K701" t="n">
        <v>0</v>
      </c>
      <c r="L701" t="n">
        <v>0</v>
      </c>
      <c r="M701" t="n">
        <v>0</v>
      </c>
      <c r="N701" t="n">
        <v>0</v>
      </c>
      <c r="O701" t="n">
        <v>0</v>
      </c>
      <c r="P701" t="n">
        <v>0</v>
      </c>
      <c r="Q701" t="n">
        <v>0</v>
      </c>
      <c r="R701" s="2" t="inlineStr"/>
    </row>
    <row r="702" ht="15" customHeight="1">
      <c r="A702" t="inlineStr">
        <is>
          <t>A 17128-2025</t>
        </is>
      </c>
      <c r="B702" s="1" t="n">
        <v>45755.72622685185</v>
      </c>
      <c r="C702" s="1" t="n">
        <v>46029</v>
      </c>
      <c r="D702" t="inlineStr">
        <is>
          <t>ÖSTERGÖTLANDS LÄN</t>
        </is>
      </c>
      <c r="E702" t="inlineStr">
        <is>
          <t>LINKÖPING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62018-2024</t>
        </is>
      </c>
      <c r="B703" s="1" t="n">
        <v>45655.81387731482</v>
      </c>
      <c r="C703" s="1" t="n">
        <v>46029</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62073-2023</t>
        </is>
      </c>
      <c r="B704" s="1" t="n">
        <v>45266.73844907407</v>
      </c>
      <c r="C704" s="1" t="n">
        <v>46029</v>
      </c>
      <c r="D704" t="inlineStr">
        <is>
          <t>ÖSTERGÖTLANDS LÄN</t>
        </is>
      </c>
      <c r="E704" t="inlineStr">
        <is>
          <t>LINKÖPING</t>
        </is>
      </c>
      <c r="F704" t="inlineStr">
        <is>
          <t>Allmännings- och besparingsskogar</t>
        </is>
      </c>
      <c r="G704" t="n">
        <v>1.8</v>
      </c>
      <c r="H704" t="n">
        <v>0</v>
      </c>
      <c r="I704" t="n">
        <v>0</v>
      </c>
      <c r="J704" t="n">
        <v>0</v>
      </c>
      <c r="K704" t="n">
        <v>0</v>
      </c>
      <c r="L704" t="n">
        <v>0</v>
      </c>
      <c r="M704" t="n">
        <v>0</v>
      </c>
      <c r="N704" t="n">
        <v>0</v>
      </c>
      <c r="O704" t="n">
        <v>0</v>
      </c>
      <c r="P704" t="n">
        <v>0</v>
      </c>
      <c r="Q704" t="n">
        <v>0</v>
      </c>
      <c r="R704" s="2" t="inlineStr"/>
    </row>
    <row r="705" ht="15" customHeight="1">
      <c r="A705" t="inlineStr">
        <is>
          <t>A 672-2024</t>
        </is>
      </c>
      <c r="B705" s="1" t="n">
        <v>45300</v>
      </c>
      <c r="C705" s="1" t="n">
        <v>46029</v>
      </c>
      <c r="D705" t="inlineStr">
        <is>
          <t>ÖSTERGÖTLANDS LÄN</t>
        </is>
      </c>
      <c r="E705" t="inlineStr">
        <is>
          <t>LINKÖPING</t>
        </is>
      </c>
      <c r="F705" t="inlineStr">
        <is>
          <t>Sveaskog</t>
        </is>
      </c>
      <c r="G705" t="n">
        <v>4.5</v>
      </c>
      <c r="H705" t="n">
        <v>0</v>
      </c>
      <c r="I705" t="n">
        <v>0</v>
      </c>
      <c r="J705" t="n">
        <v>0</v>
      </c>
      <c r="K705" t="n">
        <v>0</v>
      </c>
      <c r="L705" t="n">
        <v>0</v>
      </c>
      <c r="M705" t="n">
        <v>0</v>
      </c>
      <c r="N705" t="n">
        <v>0</v>
      </c>
      <c r="O705" t="n">
        <v>0</v>
      </c>
      <c r="P705" t="n">
        <v>0</v>
      </c>
      <c r="Q705" t="n">
        <v>0</v>
      </c>
      <c r="R705" s="2" t="inlineStr"/>
    </row>
    <row r="706" ht="15" customHeight="1">
      <c r="A706" t="inlineStr">
        <is>
          <t>A 42832-2023</t>
        </is>
      </c>
      <c r="B706" s="1" t="n">
        <v>45182.38091435185</v>
      </c>
      <c r="C706" s="1" t="n">
        <v>46029</v>
      </c>
      <c r="D706" t="inlineStr">
        <is>
          <t>ÖSTERGÖTLANDS LÄN</t>
        </is>
      </c>
      <c r="E706" t="inlineStr">
        <is>
          <t>LINKÖPING</t>
        </is>
      </c>
      <c r="G706" t="n">
        <v>2.5</v>
      </c>
      <c r="H706" t="n">
        <v>0</v>
      </c>
      <c r="I706" t="n">
        <v>0</v>
      </c>
      <c r="J706" t="n">
        <v>0</v>
      </c>
      <c r="K706" t="n">
        <v>0</v>
      </c>
      <c r="L706" t="n">
        <v>0</v>
      </c>
      <c r="M706" t="n">
        <v>0</v>
      </c>
      <c r="N706" t="n">
        <v>0</v>
      </c>
      <c r="O706" t="n">
        <v>0</v>
      </c>
      <c r="P706" t="n">
        <v>0</v>
      </c>
      <c r="Q706" t="n">
        <v>0</v>
      </c>
      <c r="R706" s="2" t="inlineStr"/>
    </row>
    <row r="707" ht="15" customHeight="1">
      <c r="A707" t="inlineStr">
        <is>
          <t>A 5872-2025</t>
        </is>
      </c>
      <c r="B707" s="1" t="n">
        <v>45695.36659722222</v>
      </c>
      <c r="C707" s="1" t="n">
        <v>46029</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59674-2024</t>
        </is>
      </c>
      <c r="B708" s="1" t="n">
        <v>45639</v>
      </c>
      <c r="C708" s="1" t="n">
        <v>46029</v>
      </c>
      <c r="D708" t="inlineStr">
        <is>
          <t>ÖSTERGÖTLANDS LÄN</t>
        </is>
      </c>
      <c r="E708" t="inlineStr">
        <is>
          <t>LINKÖPING</t>
        </is>
      </c>
      <c r="G708" t="n">
        <v>6.3</v>
      </c>
      <c r="H708" t="n">
        <v>0</v>
      </c>
      <c r="I708" t="n">
        <v>0</v>
      </c>
      <c r="J708" t="n">
        <v>0</v>
      </c>
      <c r="K708" t="n">
        <v>0</v>
      </c>
      <c r="L708" t="n">
        <v>0</v>
      </c>
      <c r="M708" t="n">
        <v>0</v>
      </c>
      <c r="N708" t="n">
        <v>0</v>
      </c>
      <c r="O708" t="n">
        <v>0</v>
      </c>
      <c r="P708" t="n">
        <v>0</v>
      </c>
      <c r="Q708" t="n">
        <v>0</v>
      </c>
      <c r="R708" s="2" t="inlineStr"/>
    </row>
    <row r="709" ht="15" customHeight="1">
      <c r="A709" t="inlineStr">
        <is>
          <t>A 59576-2024</t>
        </is>
      </c>
      <c r="B709" s="1" t="n">
        <v>45638.66378472222</v>
      </c>
      <c r="C709" s="1" t="n">
        <v>46029</v>
      </c>
      <c r="D709" t="inlineStr">
        <is>
          <t>ÖSTERGÖTLANDS LÄN</t>
        </is>
      </c>
      <c r="E709" t="inlineStr">
        <is>
          <t>LINKÖPING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51583-2024</t>
        </is>
      </c>
      <c r="B710" s="1" t="n">
        <v>45604.6397337963</v>
      </c>
      <c r="C710" s="1" t="n">
        <v>46029</v>
      </c>
      <c r="D710" t="inlineStr">
        <is>
          <t>ÖSTERGÖTLANDS LÄN</t>
        </is>
      </c>
      <c r="E710" t="inlineStr">
        <is>
          <t>LINKÖPING</t>
        </is>
      </c>
      <c r="F710" t="inlineStr">
        <is>
          <t>Övriga Aktiebolag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62019-2024</t>
        </is>
      </c>
      <c r="B711" s="1" t="n">
        <v>45655.82</v>
      </c>
      <c r="C711" s="1" t="n">
        <v>46029</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38317-2024</t>
        </is>
      </c>
      <c r="B712" s="1" t="n">
        <v>45545.65766203704</v>
      </c>
      <c r="C712" s="1" t="n">
        <v>46029</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50182-2023</t>
        </is>
      </c>
      <c r="B713" s="1" t="n">
        <v>45208</v>
      </c>
      <c r="C713" s="1" t="n">
        <v>46029</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1844-2025</t>
        </is>
      </c>
      <c r="B714" s="1" t="n">
        <v>45671.57730324074</v>
      </c>
      <c r="C714" s="1" t="n">
        <v>46029</v>
      </c>
      <c r="D714" t="inlineStr">
        <is>
          <t>ÖSTERGÖTLANDS LÄN</t>
        </is>
      </c>
      <c r="E714" t="inlineStr">
        <is>
          <t>LINKÖPING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21155-2025</t>
        </is>
      </c>
      <c r="B715" s="1" t="n">
        <v>45779.37586805555</v>
      </c>
      <c r="C715" s="1" t="n">
        <v>46029</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21165-2025</t>
        </is>
      </c>
      <c r="B716" s="1" t="n">
        <v>45779.39417824074</v>
      </c>
      <c r="C716" s="1" t="n">
        <v>46029</v>
      </c>
      <c r="D716" t="inlineStr">
        <is>
          <t>ÖSTERGÖTLANDS LÄN</t>
        </is>
      </c>
      <c r="E716" t="inlineStr">
        <is>
          <t>LINKÖPING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57752-2023</t>
        </is>
      </c>
      <c r="B717" s="1" t="n">
        <v>45246.78474537037</v>
      </c>
      <c r="C717" s="1" t="n">
        <v>46029</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9473-2024</t>
        </is>
      </c>
      <c r="B718" s="1" t="n">
        <v>45359.55474537037</v>
      </c>
      <c r="C718" s="1" t="n">
        <v>46029</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10797-2024</t>
        </is>
      </c>
      <c r="B719" s="1" t="n">
        <v>45369.6190162037</v>
      </c>
      <c r="C719" s="1" t="n">
        <v>46029</v>
      </c>
      <c r="D719" t="inlineStr">
        <is>
          <t>ÖSTERGÖTLANDS LÄN</t>
        </is>
      </c>
      <c r="E719" t="inlineStr">
        <is>
          <t>LINKÖPING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22264-2025</t>
        </is>
      </c>
      <c r="B720" s="1" t="n">
        <v>45785</v>
      </c>
      <c r="C720" s="1" t="n">
        <v>46029</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6859-2024</t>
        </is>
      </c>
      <c r="B721" s="1" t="n">
        <v>45342</v>
      </c>
      <c r="C721" s="1" t="n">
        <v>46029</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38580-2024</t>
        </is>
      </c>
      <c r="B722" s="1" t="n">
        <v>45546.64825231482</v>
      </c>
      <c r="C722" s="1" t="n">
        <v>46029</v>
      </c>
      <c r="D722" t="inlineStr">
        <is>
          <t>ÖSTERGÖTLANDS LÄN</t>
        </is>
      </c>
      <c r="E722" t="inlineStr">
        <is>
          <t>LINKÖPING</t>
        </is>
      </c>
      <c r="G722" t="n">
        <v>4.8</v>
      </c>
      <c r="H722" t="n">
        <v>0</v>
      </c>
      <c r="I722" t="n">
        <v>0</v>
      </c>
      <c r="J722" t="n">
        <v>0</v>
      </c>
      <c r="K722" t="n">
        <v>0</v>
      </c>
      <c r="L722" t="n">
        <v>0</v>
      </c>
      <c r="M722" t="n">
        <v>0</v>
      </c>
      <c r="N722" t="n">
        <v>0</v>
      </c>
      <c r="O722" t="n">
        <v>0</v>
      </c>
      <c r="P722" t="n">
        <v>0</v>
      </c>
      <c r="Q722" t="n">
        <v>0</v>
      </c>
      <c r="R722" s="2" t="inlineStr"/>
    </row>
    <row r="723" ht="15" customHeight="1">
      <c r="A723" t="inlineStr">
        <is>
          <t>A 572-2025</t>
        </is>
      </c>
      <c r="B723" s="1" t="n">
        <v>45664.56349537037</v>
      </c>
      <c r="C723" s="1" t="n">
        <v>46029</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22364-2025</t>
        </is>
      </c>
      <c r="B724" s="1" t="n">
        <v>45786.46930555555</v>
      </c>
      <c r="C724" s="1" t="n">
        <v>46029</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44287-2024</t>
        </is>
      </c>
      <c r="B725" s="1" t="n">
        <v>45573.50582175926</v>
      </c>
      <c r="C725" s="1" t="n">
        <v>46029</v>
      </c>
      <c r="D725" t="inlineStr">
        <is>
          <t>ÖSTERGÖTLANDS LÄN</t>
        </is>
      </c>
      <c r="E725" t="inlineStr">
        <is>
          <t>LINKÖPING</t>
        </is>
      </c>
      <c r="G725" t="n">
        <v>12.7</v>
      </c>
      <c r="H725" t="n">
        <v>0</v>
      </c>
      <c r="I725" t="n">
        <v>0</v>
      </c>
      <c r="J725" t="n">
        <v>0</v>
      </c>
      <c r="K725" t="n">
        <v>0</v>
      </c>
      <c r="L725" t="n">
        <v>0</v>
      </c>
      <c r="M725" t="n">
        <v>0</v>
      </c>
      <c r="N725" t="n">
        <v>0</v>
      </c>
      <c r="O725" t="n">
        <v>0</v>
      </c>
      <c r="P725" t="n">
        <v>0</v>
      </c>
      <c r="Q725" t="n">
        <v>0</v>
      </c>
      <c r="R725" s="2" t="inlineStr"/>
    </row>
    <row r="726" ht="15" customHeight="1">
      <c r="A726" t="inlineStr">
        <is>
          <t>A 29312-2024</t>
        </is>
      </c>
      <c r="B726" s="1" t="n">
        <v>45483</v>
      </c>
      <c r="C726" s="1" t="n">
        <v>46029</v>
      </c>
      <c r="D726" t="inlineStr">
        <is>
          <t>ÖSTERGÖTLANDS LÄN</t>
        </is>
      </c>
      <c r="E726" t="inlineStr">
        <is>
          <t>LINKÖPING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23120-2025</t>
        </is>
      </c>
      <c r="B727" s="1" t="n">
        <v>45791.37481481482</v>
      </c>
      <c r="C727" s="1" t="n">
        <v>46029</v>
      </c>
      <c r="D727" t="inlineStr">
        <is>
          <t>ÖSTERGÖTLANDS LÄN</t>
        </is>
      </c>
      <c r="E727" t="inlineStr">
        <is>
          <t>LINKÖPING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48699-2024</t>
        </is>
      </c>
      <c r="B728" s="1" t="n">
        <v>45593.52091435185</v>
      </c>
      <c r="C728" s="1" t="n">
        <v>46029</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c r="A729" t="inlineStr">
        <is>
          <t>A 13911-2025</t>
        </is>
      </c>
      <c r="B729" s="1" t="n">
        <v>45737.64784722222</v>
      </c>
      <c r="C729" s="1" t="n">
        <v>46029</v>
      </c>
      <c r="D729" t="inlineStr">
        <is>
          <t>ÖSTERGÖTLANDS LÄN</t>
        </is>
      </c>
      <c r="E729" t="inlineStr">
        <is>
          <t>LINKÖPING</t>
        </is>
      </c>
      <c r="G729" t="n">
        <v>1.5</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2026-01-07T10:43:22Z</dcterms:created>
  <dcterms:modified xmlns:dcterms="http://purl.org/dc/terms/" xmlns:xsi="http://www.w3.org/2001/XMLSchema-instance" xsi:type="dcterms:W3CDTF">2026-01-07T10:43:23Z</dcterms:modified>
</cp:coreProperties>
</file>