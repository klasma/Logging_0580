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46087</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46087</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40970-2021</t>
        </is>
      </c>
      <c r="B10" s="1" t="n">
        <v>44421</v>
      </c>
      <c r="C10" s="1" t="n">
        <v>46087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46087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48329-2025</t>
        </is>
      </c>
      <c r="B12" s="1" t="n">
        <v>45932</v>
      </c>
      <c r="C12" s="1" t="n">
        <v>46087</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17502-2022</t>
        </is>
      </c>
      <c r="B13" s="1" t="n">
        <v>44679</v>
      </c>
      <c r="C13" s="1" t="n">
        <v>46087</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46087</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46087</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55683-2025</t>
        </is>
      </c>
      <c r="B16" s="1" t="n">
        <v>45972.4255324074</v>
      </c>
      <c r="C16" s="1" t="n">
        <v>46087</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40469-2024</t>
        </is>
      </c>
      <c r="B17" s="1" t="n">
        <v>45555.53145833333</v>
      </c>
      <c r="C17" s="1" t="n">
        <v>46087</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49999-2025</t>
        </is>
      </c>
      <c r="B18" s="1" t="n">
        <v>45943.30185185185</v>
      </c>
      <c r="C18" s="1" t="n">
        <v>46087</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577-2025</t>
        </is>
      </c>
      <c r="B19" s="1" t="n">
        <v>45664.56525462963</v>
      </c>
      <c r="C19" s="1" t="n">
        <v>46087</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46087</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46087</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11097-2026</t>
        </is>
      </c>
      <c r="B22" s="1" t="n">
        <v>46079.64511574074</v>
      </c>
      <c r="C22" s="1" t="n">
        <v>46087</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11048-2026</t>
        </is>
      </c>
      <c r="B23" s="1" t="n">
        <v>46079.58841435185</v>
      </c>
      <c r="C23" s="1" t="n">
        <v>46087</v>
      </c>
      <c r="D23" t="inlineStr">
        <is>
          <t>ÖSTERGÖTLANDS LÄN</t>
        </is>
      </c>
      <c r="E23" t="inlineStr">
        <is>
          <t>LINKÖPING</t>
        </is>
      </c>
      <c r="G23" t="n">
        <v>4.1</v>
      </c>
      <c r="H23" t="n">
        <v>0</v>
      </c>
      <c r="I23" t="n">
        <v>3</v>
      </c>
      <c r="J23" t="n">
        <v>0</v>
      </c>
      <c r="K23" t="n">
        <v>0</v>
      </c>
      <c r="L23" t="n">
        <v>0</v>
      </c>
      <c r="M23" t="n">
        <v>0</v>
      </c>
      <c r="N23" t="n">
        <v>0</v>
      </c>
      <c r="O23" t="n">
        <v>0</v>
      </c>
      <c r="P23" t="n">
        <v>0</v>
      </c>
      <c r="Q23" t="n">
        <v>3</v>
      </c>
      <c r="R23" s="2" t="inlineStr">
        <is>
          <t>Svart trolldruva
Sårläka
Tibast</t>
        </is>
      </c>
      <c r="S23">
        <f>HYPERLINK("https://klasma.github.io/Logging_0580/artfynd/A 11048-2026 artfynd.xlsx", "A 11048-2026")</f>
        <v/>
      </c>
      <c r="T23">
        <f>HYPERLINK("https://klasma.github.io/Logging_0580/kartor/A 11048-2026 karta.png", "A 11048-2026")</f>
        <v/>
      </c>
      <c r="V23">
        <f>HYPERLINK("https://klasma.github.io/Logging_0580/klagomål/A 11048-2026 FSC-klagomål.docx", "A 11048-2026")</f>
        <v/>
      </c>
      <c r="W23">
        <f>HYPERLINK("https://klasma.github.io/Logging_0580/klagomålsmail/A 11048-2026 FSC-klagomål mail.docx", "A 11048-2026")</f>
        <v/>
      </c>
      <c r="X23">
        <f>HYPERLINK("https://klasma.github.io/Logging_0580/tillsyn/A 11048-2026 tillsynsbegäran.docx", "A 11048-2026")</f>
        <v/>
      </c>
      <c r="Y23">
        <f>HYPERLINK("https://klasma.github.io/Logging_0580/tillsynsmail/A 11048-2026 tillsynsbegäran mail.docx", "A 11048-2026")</f>
        <v/>
      </c>
    </row>
    <row r="24" ht="15" customHeight="1">
      <c r="A24" t="inlineStr">
        <is>
          <t>A 38913-2023</t>
        </is>
      </c>
      <c r="B24" s="1" t="n">
        <v>45163</v>
      </c>
      <c r="C24" s="1" t="n">
        <v>46087</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46087</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46087</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46087</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46087</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58068-2021</t>
        </is>
      </c>
      <c r="B29" s="1" t="n">
        <v>44487</v>
      </c>
      <c r="C29" s="1" t="n">
        <v>46087</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46087</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49188-2024</t>
        </is>
      </c>
      <c r="B31" s="1" t="n">
        <v>45595</v>
      </c>
      <c r="C31" s="1" t="n">
        <v>46087</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21326-2025</t>
        </is>
      </c>
      <c r="B32" s="1" t="n">
        <v>45782.35407407407</v>
      </c>
      <c r="C32" s="1" t="n">
        <v>46087</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50048-2025</t>
        </is>
      </c>
      <c r="B33" s="1" t="n">
        <v>45941</v>
      </c>
      <c r="C33" s="1" t="n">
        <v>46087</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58068-2021</t>
        </is>
      </c>
      <c r="B34" s="1" t="n">
        <v>44487</v>
      </c>
      <c r="C34" s="1" t="n">
        <v>46087</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27981-2022</t>
        </is>
      </c>
      <c r="B35" s="1" t="n">
        <v>44745</v>
      </c>
      <c r="C35" s="1" t="n">
        <v>46087</v>
      </c>
      <c r="D35" t="inlineStr">
        <is>
          <t>ÖSTERGÖTLANDS LÄN</t>
        </is>
      </c>
      <c r="E35" t="inlineStr">
        <is>
          <t>LINKÖPING</t>
        </is>
      </c>
      <c r="G35" t="n">
        <v>8.4</v>
      </c>
      <c r="H35" t="n">
        <v>0</v>
      </c>
      <c r="I35" t="n">
        <v>0</v>
      </c>
      <c r="J35" t="n">
        <v>2</v>
      </c>
      <c r="K35" t="n">
        <v>0</v>
      </c>
      <c r="L35" t="n">
        <v>0</v>
      </c>
      <c r="M35" t="n">
        <v>0</v>
      </c>
      <c r="N35" t="n">
        <v>0</v>
      </c>
      <c r="O35" t="n">
        <v>2</v>
      </c>
      <c r="P35" t="n">
        <v>0</v>
      </c>
      <c r="Q35" t="n">
        <v>2</v>
      </c>
      <c r="R35" s="2" t="inlineStr">
        <is>
          <t>Solvända
Svinrot</t>
        </is>
      </c>
      <c r="S35">
        <f>HYPERLINK("https://klasma.github.io/Logging_0580/artfynd/A 27981-2022 artfynd.xlsx", "A 27981-2022")</f>
        <v/>
      </c>
      <c r="T35">
        <f>HYPERLINK("https://klasma.github.io/Logging_0580/kartor/A 27981-2022 karta.png", "A 27981-2022")</f>
        <v/>
      </c>
      <c r="V35">
        <f>HYPERLINK("https://klasma.github.io/Logging_0580/klagomål/A 27981-2022 FSC-klagomål.docx", "A 27981-2022")</f>
        <v/>
      </c>
      <c r="W35">
        <f>HYPERLINK("https://klasma.github.io/Logging_0580/klagomålsmail/A 27981-2022 FSC-klagomål mail.docx", "A 27981-2022")</f>
        <v/>
      </c>
      <c r="X35">
        <f>HYPERLINK("https://klasma.github.io/Logging_0580/tillsyn/A 27981-2022 tillsynsbegäran.docx", "A 27981-2022")</f>
        <v/>
      </c>
      <c r="Y35">
        <f>HYPERLINK("https://klasma.github.io/Logging_0580/tillsynsmail/A 27981-2022 tillsynsbegäran mail.docx", "A 27981-2022")</f>
        <v/>
      </c>
    </row>
    <row r="36" ht="15" customHeight="1">
      <c r="A36" t="inlineStr">
        <is>
          <t>A 27795-2025</t>
        </is>
      </c>
      <c r="B36" s="1" t="n">
        <v>45816.7908912037</v>
      </c>
      <c r="C36" s="1" t="n">
        <v>46087</v>
      </c>
      <c r="D36" t="inlineStr">
        <is>
          <t>ÖSTERGÖTLANDS LÄN</t>
        </is>
      </c>
      <c r="E36" t="inlineStr">
        <is>
          <t>LINKÖPING</t>
        </is>
      </c>
      <c r="G36" t="n">
        <v>5</v>
      </c>
      <c r="H36" t="n">
        <v>0</v>
      </c>
      <c r="I36" t="n">
        <v>0</v>
      </c>
      <c r="J36" t="n">
        <v>2</v>
      </c>
      <c r="K36" t="n">
        <v>0</v>
      </c>
      <c r="L36" t="n">
        <v>0</v>
      </c>
      <c r="M36" t="n">
        <v>0</v>
      </c>
      <c r="N36" t="n">
        <v>0</v>
      </c>
      <c r="O36" t="n">
        <v>2</v>
      </c>
      <c r="P36" t="n">
        <v>0</v>
      </c>
      <c r="Q36" t="n">
        <v>2</v>
      </c>
      <c r="R36" s="2" t="inlineStr">
        <is>
          <t>Svinrot
Ängsskära</t>
        </is>
      </c>
      <c r="S36">
        <f>HYPERLINK("https://klasma.github.io/Logging_0580/artfynd/A 27795-2025 artfynd.xlsx", "A 27795-2025")</f>
        <v/>
      </c>
      <c r="T36">
        <f>HYPERLINK("https://klasma.github.io/Logging_0580/kartor/A 27795-2025 karta.png", "A 27795-2025")</f>
        <v/>
      </c>
      <c r="V36">
        <f>HYPERLINK("https://klasma.github.io/Logging_0580/klagomål/A 27795-2025 FSC-klagomål.docx", "A 27795-2025")</f>
        <v/>
      </c>
      <c r="W36">
        <f>HYPERLINK("https://klasma.github.io/Logging_0580/klagomålsmail/A 27795-2025 FSC-klagomål mail.docx", "A 27795-2025")</f>
        <v/>
      </c>
      <c r="X36">
        <f>HYPERLINK("https://klasma.github.io/Logging_0580/tillsyn/A 27795-2025 tillsynsbegäran.docx", "A 27795-2025")</f>
        <v/>
      </c>
      <c r="Y36">
        <f>HYPERLINK("https://klasma.github.io/Logging_0580/tillsynsmail/A 27795-2025 tillsynsbegäran mail.docx", "A 27795-2025")</f>
        <v/>
      </c>
    </row>
    <row r="37" ht="15" customHeight="1">
      <c r="A37" t="inlineStr">
        <is>
          <t>A 3912-2026</t>
        </is>
      </c>
      <c r="B37" s="1" t="n">
        <v>46043.71958333333</v>
      </c>
      <c r="C37" s="1" t="n">
        <v>46087</v>
      </c>
      <c r="D37" t="inlineStr">
        <is>
          <t>ÖSTERGÖTLANDS LÄN</t>
        </is>
      </c>
      <c r="E37" t="inlineStr">
        <is>
          <t>LINKÖPING</t>
        </is>
      </c>
      <c r="F37" t="inlineStr">
        <is>
          <t>Kyrkan</t>
        </is>
      </c>
      <c r="G37" t="n">
        <v>6.8</v>
      </c>
      <c r="H37" t="n">
        <v>1</v>
      </c>
      <c r="I37" t="n">
        <v>1</v>
      </c>
      <c r="J37" t="n">
        <v>0</v>
      </c>
      <c r="K37" t="n">
        <v>1</v>
      </c>
      <c r="L37" t="n">
        <v>0</v>
      </c>
      <c r="M37" t="n">
        <v>0</v>
      </c>
      <c r="N37" t="n">
        <v>0</v>
      </c>
      <c r="O37" t="n">
        <v>1</v>
      </c>
      <c r="P37" t="n">
        <v>1</v>
      </c>
      <c r="Q37" t="n">
        <v>2</v>
      </c>
      <c r="R37" s="2" t="inlineStr">
        <is>
          <t>Knärot
Grönpyrola</t>
        </is>
      </c>
      <c r="S37">
        <f>HYPERLINK("https://klasma.github.io/Logging_0580/artfynd/A 3912-2026 artfynd.xlsx", "A 3912-2026")</f>
        <v/>
      </c>
      <c r="T37">
        <f>HYPERLINK("https://klasma.github.io/Logging_0580/kartor/A 3912-2026 karta.png", "A 3912-2026")</f>
        <v/>
      </c>
      <c r="U37">
        <f>HYPERLINK("https://klasma.github.io/Logging_0580/knärot/A 3912-2026 karta knärot.png", "A 3912-2026")</f>
        <v/>
      </c>
      <c r="V37">
        <f>HYPERLINK("https://klasma.github.io/Logging_0580/klagomål/A 3912-2026 FSC-klagomål.docx", "A 3912-2026")</f>
        <v/>
      </c>
      <c r="W37">
        <f>HYPERLINK("https://klasma.github.io/Logging_0580/klagomålsmail/A 3912-2026 FSC-klagomål mail.docx", "A 3912-2026")</f>
        <v/>
      </c>
      <c r="X37">
        <f>HYPERLINK("https://klasma.github.io/Logging_0580/tillsyn/A 3912-2026 tillsynsbegäran.docx", "A 3912-2026")</f>
        <v/>
      </c>
      <c r="Y37">
        <f>HYPERLINK("https://klasma.github.io/Logging_0580/tillsynsmail/A 3912-2026 tillsynsbegäran mail.docx", "A 3912-2026")</f>
        <v/>
      </c>
    </row>
    <row r="38" ht="15" customHeight="1">
      <c r="A38" t="inlineStr">
        <is>
          <t>A 25985-2025</t>
        </is>
      </c>
      <c r="B38" s="1" t="n">
        <v>45804.64479166667</v>
      </c>
      <c r="C38" s="1" t="n">
        <v>46087</v>
      </c>
      <c r="D38" t="inlineStr">
        <is>
          <t>ÖSTERGÖTLANDS LÄN</t>
        </is>
      </c>
      <c r="E38" t="inlineStr">
        <is>
          <t>LINKÖPING</t>
        </is>
      </c>
      <c r="G38" t="n">
        <v>4.5</v>
      </c>
      <c r="H38" t="n">
        <v>2</v>
      </c>
      <c r="I38" t="n">
        <v>0</v>
      </c>
      <c r="J38" t="n">
        <v>1</v>
      </c>
      <c r="K38" t="n">
        <v>0</v>
      </c>
      <c r="L38" t="n">
        <v>0</v>
      </c>
      <c r="M38" t="n">
        <v>0</v>
      </c>
      <c r="N38" t="n">
        <v>0</v>
      </c>
      <c r="O38" t="n">
        <v>1</v>
      </c>
      <c r="P38" t="n">
        <v>0</v>
      </c>
      <c r="Q38" t="n">
        <v>2</v>
      </c>
      <c r="R38" s="2" t="inlineStr">
        <is>
          <t>Spillkråka
Revlummer</t>
        </is>
      </c>
      <c r="S38">
        <f>HYPERLINK("https://klasma.github.io/Logging_0580/artfynd/A 25985-2025 artfynd.xlsx", "A 25985-2025")</f>
        <v/>
      </c>
      <c r="T38">
        <f>HYPERLINK("https://klasma.github.io/Logging_0580/kartor/A 25985-2025 karta.png", "A 25985-2025")</f>
        <v/>
      </c>
      <c r="V38">
        <f>HYPERLINK("https://klasma.github.io/Logging_0580/klagomål/A 25985-2025 FSC-klagomål.docx", "A 25985-2025")</f>
        <v/>
      </c>
      <c r="W38">
        <f>HYPERLINK("https://klasma.github.io/Logging_0580/klagomålsmail/A 25985-2025 FSC-klagomål mail.docx", "A 25985-2025")</f>
        <v/>
      </c>
      <c r="X38">
        <f>HYPERLINK("https://klasma.github.io/Logging_0580/tillsyn/A 25985-2025 tillsynsbegäran.docx", "A 25985-2025")</f>
        <v/>
      </c>
      <c r="Y38">
        <f>HYPERLINK("https://klasma.github.io/Logging_0580/tillsynsmail/A 25985-2025 tillsynsbegäran mail.docx", "A 25985-2025")</f>
        <v/>
      </c>
      <c r="Z38">
        <f>HYPERLINK("https://klasma.github.io/Logging_0580/fåglar/A 25985-2025 prioriterade fågelarter.docx", "A 25985-2025")</f>
        <v/>
      </c>
    </row>
    <row r="39" ht="15" customHeight="1">
      <c r="A39" t="inlineStr">
        <is>
          <t>A 42858-2023</t>
        </is>
      </c>
      <c r="B39" s="1" t="n">
        <v>45177</v>
      </c>
      <c r="C39" s="1" t="n">
        <v>46087</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11613-2025</t>
        </is>
      </c>
      <c r="B40" s="1" t="n">
        <v>45727.44623842592</v>
      </c>
      <c r="C40" s="1" t="n">
        <v>46087</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41751-2023</t>
        </is>
      </c>
      <c r="B41" s="1" t="n">
        <v>45176</v>
      </c>
      <c r="C41" s="1" t="n">
        <v>46087</v>
      </c>
      <c r="D41" t="inlineStr">
        <is>
          <t>ÖSTERGÖTLANDS LÄN</t>
        </is>
      </c>
      <c r="E41" t="inlineStr">
        <is>
          <t>LINKÖPING</t>
        </is>
      </c>
      <c r="G41" t="n">
        <v>1.5</v>
      </c>
      <c r="H41" t="n">
        <v>1</v>
      </c>
      <c r="I41" t="n">
        <v>0</v>
      </c>
      <c r="J41" t="n">
        <v>1</v>
      </c>
      <c r="K41" t="n">
        <v>0</v>
      </c>
      <c r="L41" t="n">
        <v>0</v>
      </c>
      <c r="M41" t="n">
        <v>0</v>
      </c>
      <c r="N41" t="n">
        <v>0</v>
      </c>
      <c r="O41" t="n">
        <v>1</v>
      </c>
      <c r="P41" t="n">
        <v>0</v>
      </c>
      <c r="Q41" t="n">
        <v>2</v>
      </c>
      <c r="R41" s="2" t="inlineStr">
        <is>
          <t>Svinrot
Grönvit nattviol</t>
        </is>
      </c>
      <c r="S41">
        <f>HYPERLINK("https://klasma.github.io/Logging_0580/artfynd/A 41751-2023 artfynd.xlsx", "A 41751-2023")</f>
        <v/>
      </c>
      <c r="T41">
        <f>HYPERLINK("https://klasma.github.io/Logging_0580/kartor/A 41751-2023 karta.png", "A 41751-2023")</f>
        <v/>
      </c>
      <c r="V41">
        <f>HYPERLINK("https://klasma.github.io/Logging_0580/klagomål/A 41751-2023 FSC-klagomål.docx", "A 41751-2023")</f>
        <v/>
      </c>
      <c r="W41">
        <f>HYPERLINK("https://klasma.github.io/Logging_0580/klagomålsmail/A 41751-2023 FSC-klagomål mail.docx", "A 41751-2023")</f>
        <v/>
      </c>
      <c r="X41">
        <f>HYPERLINK("https://klasma.github.io/Logging_0580/tillsyn/A 41751-2023 tillsynsbegäran.docx", "A 41751-2023")</f>
        <v/>
      </c>
      <c r="Y41">
        <f>HYPERLINK("https://klasma.github.io/Logging_0580/tillsynsmail/A 41751-2023 tillsynsbegäran mail.docx", "A 41751-2023")</f>
        <v/>
      </c>
    </row>
    <row r="42" ht="15" customHeight="1">
      <c r="A42" t="inlineStr">
        <is>
          <t>A 8818-2025</t>
        </is>
      </c>
      <c r="B42" s="1" t="n">
        <v>45712</v>
      </c>
      <c r="C42" s="1" t="n">
        <v>46087</v>
      </c>
      <c r="D42" t="inlineStr">
        <is>
          <t>ÖSTERGÖTLANDS LÄN</t>
        </is>
      </c>
      <c r="E42" t="inlineStr">
        <is>
          <t>LINKÖPING</t>
        </is>
      </c>
      <c r="F42" t="inlineStr">
        <is>
          <t>Kommuner</t>
        </is>
      </c>
      <c r="G42" t="n">
        <v>0.6</v>
      </c>
      <c r="H42" t="n">
        <v>0</v>
      </c>
      <c r="I42" t="n">
        <v>0</v>
      </c>
      <c r="J42" t="n">
        <v>1</v>
      </c>
      <c r="K42" t="n">
        <v>1</v>
      </c>
      <c r="L42" t="n">
        <v>0</v>
      </c>
      <c r="M42" t="n">
        <v>0</v>
      </c>
      <c r="N42" t="n">
        <v>0</v>
      </c>
      <c r="O42" t="n">
        <v>2</v>
      </c>
      <c r="P42" t="n">
        <v>1</v>
      </c>
      <c r="Q42" t="n">
        <v>2</v>
      </c>
      <c r="R42" s="2" t="inlineStr">
        <is>
          <t>Luddvicker
Klubbsprötad bastardsvärmare</t>
        </is>
      </c>
      <c r="S42">
        <f>HYPERLINK("https://klasma.github.io/Logging_0580/artfynd/A 8818-2025 artfynd.xlsx", "A 8818-2025")</f>
        <v/>
      </c>
      <c r="T42">
        <f>HYPERLINK("https://klasma.github.io/Logging_0580/kartor/A 8818-2025 karta.png", "A 8818-2025")</f>
        <v/>
      </c>
      <c r="V42">
        <f>HYPERLINK("https://klasma.github.io/Logging_0580/klagomål/A 8818-2025 FSC-klagomål.docx", "A 8818-2025")</f>
        <v/>
      </c>
      <c r="W42">
        <f>HYPERLINK("https://klasma.github.io/Logging_0580/klagomålsmail/A 8818-2025 FSC-klagomål mail.docx", "A 8818-2025")</f>
        <v/>
      </c>
      <c r="X42">
        <f>HYPERLINK("https://klasma.github.io/Logging_0580/tillsyn/A 8818-2025 tillsynsbegäran.docx", "A 8818-2025")</f>
        <v/>
      </c>
      <c r="Y42">
        <f>HYPERLINK("https://klasma.github.io/Logging_0580/tillsynsmail/A 8818-2025 tillsynsbegäran mail.docx", "A 8818-2025")</f>
        <v/>
      </c>
    </row>
    <row r="43" ht="15" customHeight="1">
      <c r="A43" t="inlineStr">
        <is>
          <t>A 14879-2024</t>
        </is>
      </c>
      <c r="B43" s="1" t="n">
        <v>45398</v>
      </c>
      <c r="C43" s="1" t="n">
        <v>46087</v>
      </c>
      <c r="D43" t="inlineStr">
        <is>
          <t>ÖSTERGÖTLANDS LÄN</t>
        </is>
      </c>
      <c r="E43" t="inlineStr">
        <is>
          <t>LINKÖPING</t>
        </is>
      </c>
      <c r="F43" t="inlineStr">
        <is>
          <t>Övriga Aktiebolag</t>
        </is>
      </c>
      <c r="G43" t="n">
        <v>1.7</v>
      </c>
      <c r="H43" t="n">
        <v>1</v>
      </c>
      <c r="I43" t="n">
        <v>1</v>
      </c>
      <c r="J43" t="n">
        <v>0</v>
      </c>
      <c r="K43" t="n">
        <v>0</v>
      </c>
      <c r="L43" t="n">
        <v>0</v>
      </c>
      <c r="M43" t="n">
        <v>0</v>
      </c>
      <c r="N43" t="n">
        <v>0</v>
      </c>
      <c r="O43" t="n">
        <v>0</v>
      </c>
      <c r="P43" t="n">
        <v>0</v>
      </c>
      <c r="Q43" t="n">
        <v>2</v>
      </c>
      <c r="R43" s="2" t="inlineStr">
        <is>
          <t>Svart trolldruva
Grönvit nattviol</t>
        </is>
      </c>
      <c r="S43">
        <f>HYPERLINK("https://klasma.github.io/Logging_0580/artfynd/A 14879-2024 artfynd.xlsx", "A 14879-2024")</f>
        <v/>
      </c>
      <c r="T43">
        <f>HYPERLINK("https://klasma.github.io/Logging_0580/kartor/A 14879-2024 karta.png", "A 14879-2024")</f>
        <v/>
      </c>
      <c r="V43">
        <f>HYPERLINK("https://klasma.github.io/Logging_0580/klagomål/A 14879-2024 FSC-klagomål.docx", "A 14879-2024")</f>
        <v/>
      </c>
      <c r="W43">
        <f>HYPERLINK("https://klasma.github.io/Logging_0580/klagomålsmail/A 14879-2024 FSC-klagomål mail.docx", "A 14879-2024")</f>
        <v/>
      </c>
      <c r="X43">
        <f>HYPERLINK("https://klasma.github.io/Logging_0580/tillsyn/A 14879-2024 tillsynsbegäran.docx", "A 14879-2024")</f>
        <v/>
      </c>
      <c r="Y43">
        <f>HYPERLINK("https://klasma.github.io/Logging_0580/tillsynsmail/A 14879-2024 tillsynsbegäran mail.docx", "A 14879-2024")</f>
        <v/>
      </c>
    </row>
    <row r="44" ht="15" customHeight="1">
      <c r="A44" t="inlineStr">
        <is>
          <t>A 55344-2024</t>
        </is>
      </c>
      <c r="B44" s="1" t="n">
        <v>45621.7202662037</v>
      </c>
      <c r="C44" s="1" t="n">
        <v>46087</v>
      </c>
      <c r="D44" t="inlineStr">
        <is>
          <t>ÖSTERGÖTLANDS LÄN</t>
        </is>
      </c>
      <c r="E44" t="inlineStr">
        <is>
          <t>LINKÖPING</t>
        </is>
      </c>
      <c r="G44" t="n">
        <v>6.6</v>
      </c>
      <c r="H44" t="n">
        <v>0</v>
      </c>
      <c r="I44" t="n">
        <v>0</v>
      </c>
      <c r="J44" t="n">
        <v>2</v>
      </c>
      <c r="K44" t="n">
        <v>0</v>
      </c>
      <c r="L44" t="n">
        <v>0</v>
      </c>
      <c r="M44" t="n">
        <v>0</v>
      </c>
      <c r="N44" t="n">
        <v>0</v>
      </c>
      <c r="O44" t="n">
        <v>2</v>
      </c>
      <c r="P44" t="n">
        <v>0</v>
      </c>
      <c r="Q44" t="n">
        <v>2</v>
      </c>
      <c r="R44" s="2" t="inlineStr">
        <is>
          <t>Kandelabersvamp
Stjärnnästing</t>
        </is>
      </c>
      <c r="S44">
        <f>HYPERLINK("https://klasma.github.io/Logging_0580/artfynd/A 55344-2024 artfynd.xlsx", "A 55344-2024")</f>
        <v/>
      </c>
      <c r="T44">
        <f>HYPERLINK("https://klasma.github.io/Logging_0580/kartor/A 55344-2024 karta.png", "A 55344-2024")</f>
        <v/>
      </c>
      <c r="V44">
        <f>HYPERLINK("https://klasma.github.io/Logging_0580/klagomål/A 55344-2024 FSC-klagomål.docx", "A 55344-2024")</f>
        <v/>
      </c>
      <c r="W44">
        <f>HYPERLINK("https://klasma.github.io/Logging_0580/klagomålsmail/A 55344-2024 FSC-klagomål mail.docx", "A 55344-2024")</f>
        <v/>
      </c>
      <c r="X44">
        <f>HYPERLINK("https://klasma.github.io/Logging_0580/tillsyn/A 55344-2024 tillsynsbegäran.docx", "A 55344-2024")</f>
        <v/>
      </c>
      <c r="Y44">
        <f>HYPERLINK("https://klasma.github.io/Logging_0580/tillsynsmail/A 55344-2024 tillsynsbegäran mail.docx", "A 55344-2024")</f>
        <v/>
      </c>
    </row>
    <row r="45" ht="15" customHeight="1">
      <c r="A45" t="inlineStr">
        <is>
          <t>A 20292-2025</t>
        </is>
      </c>
      <c r="B45" s="1" t="n">
        <v>45774.7449537037</v>
      </c>
      <c r="C45" s="1" t="n">
        <v>46087</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22040-2023</t>
        </is>
      </c>
      <c r="B46" s="1" t="n">
        <v>45068</v>
      </c>
      <c r="C46" s="1" t="n">
        <v>46087</v>
      </c>
      <c r="D46" t="inlineStr">
        <is>
          <t>ÖSTERGÖTLANDS LÄN</t>
        </is>
      </c>
      <c r="E46" t="inlineStr">
        <is>
          <t>LINKÖPING</t>
        </is>
      </c>
      <c r="F46" t="inlineStr">
        <is>
          <t>Kommuner</t>
        </is>
      </c>
      <c r="G46" t="n">
        <v>1</v>
      </c>
      <c r="H46" t="n">
        <v>1</v>
      </c>
      <c r="I46" t="n">
        <v>1</v>
      </c>
      <c r="J46" t="n">
        <v>0</v>
      </c>
      <c r="K46" t="n">
        <v>1</v>
      </c>
      <c r="L46" t="n">
        <v>0</v>
      </c>
      <c r="M46" t="n">
        <v>0</v>
      </c>
      <c r="N46" t="n">
        <v>0</v>
      </c>
      <c r="O46" t="n">
        <v>1</v>
      </c>
      <c r="P46" t="n">
        <v>1</v>
      </c>
      <c r="Q46" t="n">
        <v>2</v>
      </c>
      <c r="R46" s="2" t="inlineStr">
        <is>
          <t>Bombmurkla
Skarp dropptaggsvamp</t>
        </is>
      </c>
      <c r="S46">
        <f>HYPERLINK("https://klasma.github.io/Logging_0580/artfynd/A 22040-2023 artfynd.xlsx", "A 22040-2023")</f>
        <v/>
      </c>
      <c r="T46">
        <f>HYPERLINK("https://klasma.github.io/Logging_0580/kartor/A 22040-2023 karta.png", "A 22040-2023")</f>
        <v/>
      </c>
      <c r="V46">
        <f>HYPERLINK("https://klasma.github.io/Logging_0580/klagomål/A 22040-2023 FSC-klagomål.docx", "A 22040-2023")</f>
        <v/>
      </c>
      <c r="W46">
        <f>HYPERLINK("https://klasma.github.io/Logging_0580/klagomålsmail/A 22040-2023 FSC-klagomål mail.docx", "A 22040-2023")</f>
        <v/>
      </c>
      <c r="X46">
        <f>HYPERLINK("https://klasma.github.io/Logging_0580/tillsyn/A 22040-2023 tillsynsbegäran.docx", "A 22040-2023")</f>
        <v/>
      </c>
      <c r="Y46">
        <f>HYPERLINK("https://klasma.github.io/Logging_0580/tillsynsmail/A 22040-2023 tillsynsbegäran mail.docx", "A 22040-2023")</f>
        <v/>
      </c>
    </row>
    <row r="47" ht="15" customHeight="1">
      <c r="A47" t="inlineStr">
        <is>
          <t>A 38129-2021</t>
        </is>
      </c>
      <c r="B47" s="1" t="n">
        <v>44405.37199074074</v>
      </c>
      <c r="C47" s="1" t="n">
        <v>46087</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46087</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46087</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46087</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46087</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46087</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46087</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48273-2025</t>
        </is>
      </c>
      <c r="B54" s="1" t="n">
        <v>45932</v>
      </c>
      <c r="C54" s="1" t="n">
        <v>46087</v>
      </c>
      <c r="D54" t="inlineStr">
        <is>
          <t>ÖSTERGÖTLANDS LÄN</t>
        </is>
      </c>
      <c r="E54" t="inlineStr">
        <is>
          <t>LINKÖPING</t>
        </is>
      </c>
      <c r="F54" t="inlineStr">
        <is>
          <t>Övriga Aktiebolag</t>
        </is>
      </c>
      <c r="G54" t="n">
        <v>4.6</v>
      </c>
      <c r="H54" t="n">
        <v>0</v>
      </c>
      <c r="I54" t="n">
        <v>0</v>
      </c>
      <c r="J54" t="n">
        <v>1</v>
      </c>
      <c r="K54" t="n">
        <v>0</v>
      </c>
      <c r="L54" t="n">
        <v>0</v>
      </c>
      <c r="M54" t="n">
        <v>0</v>
      </c>
      <c r="N54" t="n">
        <v>0</v>
      </c>
      <c r="O54" t="n">
        <v>1</v>
      </c>
      <c r="P54" t="n">
        <v>0</v>
      </c>
      <c r="Q54" t="n">
        <v>1</v>
      </c>
      <c r="R54" s="2" t="inlineStr">
        <is>
          <t>Barrviolspindling</t>
        </is>
      </c>
      <c r="S54">
        <f>HYPERLINK("https://klasma.github.io/Logging_0580/artfynd/A 48273-2025 artfynd.xlsx", "A 48273-2025")</f>
        <v/>
      </c>
      <c r="T54">
        <f>HYPERLINK("https://klasma.github.io/Logging_0580/kartor/A 48273-2025 karta.png", "A 48273-2025")</f>
        <v/>
      </c>
      <c r="V54">
        <f>HYPERLINK("https://klasma.github.io/Logging_0580/klagomål/A 48273-2025 FSC-klagomål.docx", "A 48273-2025")</f>
        <v/>
      </c>
      <c r="W54">
        <f>HYPERLINK("https://klasma.github.io/Logging_0580/klagomålsmail/A 48273-2025 FSC-klagomål mail.docx", "A 48273-2025")</f>
        <v/>
      </c>
      <c r="X54">
        <f>HYPERLINK("https://klasma.github.io/Logging_0580/tillsyn/A 48273-2025 tillsynsbegäran.docx", "A 48273-2025")</f>
        <v/>
      </c>
      <c r="Y54">
        <f>HYPERLINK("https://klasma.github.io/Logging_0580/tillsynsmail/A 48273-2025 tillsynsbegäran mail.docx", "A 48273-2025")</f>
        <v/>
      </c>
    </row>
    <row r="55" ht="15" customHeight="1">
      <c r="A55" t="inlineStr">
        <is>
          <t>A 48298-2025</t>
        </is>
      </c>
      <c r="B55" s="1" t="n">
        <v>45932</v>
      </c>
      <c r="C55" s="1" t="n">
        <v>46087</v>
      </c>
      <c r="D55" t="inlineStr">
        <is>
          <t>ÖSTERGÖTLANDS LÄN</t>
        </is>
      </c>
      <c r="E55" t="inlineStr">
        <is>
          <t>LINKÖPING</t>
        </is>
      </c>
      <c r="F55" t="inlineStr">
        <is>
          <t>Övriga Aktiebolag</t>
        </is>
      </c>
      <c r="G55" t="n">
        <v>1.7</v>
      </c>
      <c r="H55" t="n">
        <v>0</v>
      </c>
      <c r="I55" t="n">
        <v>1</v>
      </c>
      <c r="J55" t="n">
        <v>0</v>
      </c>
      <c r="K55" t="n">
        <v>0</v>
      </c>
      <c r="L55" t="n">
        <v>0</v>
      </c>
      <c r="M55" t="n">
        <v>0</v>
      </c>
      <c r="N55" t="n">
        <v>0</v>
      </c>
      <c r="O55" t="n">
        <v>0</v>
      </c>
      <c r="P55" t="n">
        <v>0</v>
      </c>
      <c r="Q55" t="n">
        <v>1</v>
      </c>
      <c r="R55" s="2" t="inlineStr">
        <is>
          <t>Västlig hakmossa</t>
        </is>
      </c>
      <c r="S55">
        <f>HYPERLINK("https://klasma.github.io/Logging_0580/artfynd/A 48298-2025 artfynd.xlsx", "A 48298-2025")</f>
        <v/>
      </c>
      <c r="T55">
        <f>HYPERLINK("https://klasma.github.io/Logging_0580/kartor/A 48298-2025 karta.png", "A 48298-2025")</f>
        <v/>
      </c>
      <c r="V55">
        <f>HYPERLINK("https://klasma.github.io/Logging_0580/klagomål/A 48298-2025 FSC-klagomål.docx", "A 48298-2025")</f>
        <v/>
      </c>
      <c r="W55">
        <f>HYPERLINK("https://klasma.github.io/Logging_0580/klagomålsmail/A 48298-2025 FSC-klagomål mail.docx", "A 48298-2025")</f>
        <v/>
      </c>
      <c r="X55">
        <f>HYPERLINK("https://klasma.github.io/Logging_0580/tillsyn/A 48298-2025 tillsynsbegäran.docx", "A 48298-2025")</f>
        <v/>
      </c>
      <c r="Y55">
        <f>HYPERLINK("https://klasma.github.io/Logging_0580/tillsynsmail/A 48298-2025 tillsynsbegäran mail.docx", "A 48298-2025")</f>
        <v/>
      </c>
    </row>
    <row r="56" ht="15" customHeight="1">
      <c r="A56" t="inlineStr">
        <is>
          <t>A 48353-2025</t>
        </is>
      </c>
      <c r="B56" s="1" t="n">
        <v>45932</v>
      </c>
      <c r="C56" s="1" t="n">
        <v>46087</v>
      </c>
      <c r="D56" t="inlineStr">
        <is>
          <t>ÖSTERGÖTLANDS LÄN</t>
        </is>
      </c>
      <c r="E56" t="inlineStr">
        <is>
          <t>LINKÖPING</t>
        </is>
      </c>
      <c r="F56" t="inlineStr">
        <is>
          <t>Övriga Aktiebolag</t>
        </is>
      </c>
      <c r="G56" t="n">
        <v>4.5</v>
      </c>
      <c r="H56" t="n">
        <v>1</v>
      </c>
      <c r="I56" t="n">
        <v>0</v>
      </c>
      <c r="J56" t="n">
        <v>1</v>
      </c>
      <c r="K56" t="n">
        <v>0</v>
      </c>
      <c r="L56" t="n">
        <v>0</v>
      </c>
      <c r="M56" t="n">
        <v>0</v>
      </c>
      <c r="N56" t="n">
        <v>0</v>
      </c>
      <c r="O56" t="n">
        <v>1</v>
      </c>
      <c r="P56" t="n">
        <v>0</v>
      </c>
      <c r="Q56" t="n">
        <v>1</v>
      </c>
      <c r="R56" s="2" t="inlineStr">
        <is>
          <t>Entita</t>
        </is>
      </c>
      <c r="S56">
        <f>HYPERLINK("https://klasma.github.io/Logging_0580/artfynd/A 48353-2025 artfynd.xlsx", "A 48353-2025")</f>
        <v/>
      </c>
      <c r="T56">
        <f>HYPERLINK("https://klasma.github.io/Logging_0580/kartor/A 48353-2025 karta.png", "A 48353-2025")</f>
        <v/>
      </c>
      <c r="V56">
        <f>HYPERLINK("https://klasma.github.io/Logging_0580/klagomål/A 48353-2025 FSC-klagomål.docx", "A 48353-2025")</f>
        <v/>
      </c>
      <c r="W56">
        <f>HYPERLINK("https://klasma.github.io/Logging_0580/klagomålsmail/A 48353-2025 FSC-klagomål mail.docx", "A 48353-2025")</f>
        <v/>
      </c>
      <c r="X56">
        <f>HYPERLINK("https://klasma.github.io/Logging_0580/tillsyn/A 48353-2025 tillsynsbegäran.docx", "A 48353-2025")</f>
        <v/>
      </c>
      <c r="Y56">
        <f>HYPERLINK("https://klasma.github.io/Logging_0580/tillsynsmail/A 48353-2025 tillsynsbegäran mail.docx", "A 48353-2025")</f>
        <v/>
      </c>
      <c r="Z56">
        <f>HYPERLINK("https://klasma.github.io/Logging_0580/fåglar/A 48353-2025 prioriterade fågelarter.docx", "A 48353-2025")</f>
        <v/>
      </c>
    </row>
    <row r="57" ht="15" customHeight="1">
      <c r="A57" t="inlineStr">
        <is>
          <t>A 17389-2021</t>
        </is>
      </c>
      <c r="B57" s="1" t="n">
        <v>44298.96792824074</v>
      </c>
      <c r="C57" s="1" t="n">
        <v>46087</v>
      </c>
      <c r="D57" t="inlineStr">
        <is>
          <t>ÖSTERGÖTLANDS LÄN</t>
        </is>
      </c>
      <c r="E57" t="inlineStr">
        <is>
          <t>LINKÖPING</t>
        </is>
      </c>
      <c r="G57" t="n">
        <v>5.1</v>
      </c>
      <c r="H57" t="n">
        <v>0</v>
      </c>
      <c r="I57" t="n">
        <v>1</v>
      </c>
      <c r="J57" t="n">
        <v>0</v>
      </c>
      <c r="K57" t="n">
        <v>0</v>
      </c>
      <c r="L57" t="n">
        <v>0</v>
      </c>
      <c r="M57" t="n">
        <v>0</v>
      </c>
      <c r="N57" t="n">
        <v>0</v>
      </c>
      <c r="O57" t="n">
        <v>0</v>
      </c>
      <c r="P57" t="n">
        <v>0</v>
      </c>
      <c r="Q57" t="n">
        <v>1</v>
      </c>
      <c r="R57" s="2" t="inlineStr">
        <is>
          <t>Blomkålssvamp</t>
        </is>
      </c>
      <c r="S57">
        <f>HYPERLINK("https://klasma.github.io/Logging_0580/artfynd/A 17389-2021 artfynd.xlsx", "A 17389-2021")</f>
        <v/>
      </c>
      <c r="T57">
        <f>HYPERLINK("https://klasma.github.io/Logging_0580/kartor/A 17389-2021 karta.png", "A 17389-2021")</f>
        <v/>
      </c>
      <c r="V57">
        <f>HYPERLINK("https://klasma.github.io/Logging_0580/klagomål/A 17389-2021 FSC-klagomål.docx", "A 17389-2021")</f>
        <v/>
      </c>
      <c r="W57">
        <f>HYPERLINK("https://klasma.github.io/Logging_0580/klagomålsmail/A 17389-2021 FSC-klagomål mail.docx", "A 17389-2021")</f>
        <v/>
      </c>
      <c r="X57">
        <f>HYPERLINK("https://klasma.github.io/Logging_0580/tillsyn/A 17389-2021 tillsynsbegäran.docx", "A 17389-2021")</f>
        <v/>
      </c>
      <c r="Y57">
        <f>HYPERLINK("https://klasma.github.io/Logging_0580/tillsynsmail/A 17389-2021 tillsynsbegäran mail.docx", "A 17389-2021")</f>
        <v/>
      </c>
    </row>
    <row r="58" ht="15" customHeight="1">
      <c r="A58" t="inlineStr">
        <is>
          <t>A 48347-2025</t>
        </is>
      </c>
      <c r="B58" s="1" t="n">
        <v>45932</v>
      </c>
      <c r="C58" s="1" t="n">
        <v>46087</v>
      </c>
      <c r="D58" t="inlineStr">
        <is>
          <t>ÖSTERGÖTLANDS LÄN</t>
        </is>
      </c>
      <c r="E58" t="inlineStr">
        <is>
          <t>LINKÖPING</t>
        </is>
      </c>
      <c r="F58" t="inlineStr">
        <is>
          <t>Övriga Aktiebolag</t>
        </is>
      </c>
      <c r="G58" t="n">
        <v>0.9</v>
      </c>
      <c r="H58" t="n">
        <v>0</v>
      </c>
      <c r="I58" t="n">
        <v>0</v>
      </c>
      <c r="J58" t="n">
        <v>1</v>
      </c>
      <c r="K58" t="n">
        <v>0</v>
      </c>
      <c r="L58" t="n">
        <v>0</v>
      </c>
      <c r="M58" t="n">
        <v>0</v>
      </c>
      <c r="N58" t="n">
        <v>0</v>
      </c>
      <c r="O58" t="n">
        <v>1</v>
      </c>
      <c r="P58" t="n">
        <v>0</v>
      </c>
      <c r="Q58" t="n">
        <v>1</v>
      </c>
      <c r="R58" s="2" t="inlineStr">
        <is>
          <t>Igelkott</t>
        </is>
      </c>
      <c r="S58">
        <f>HYPERLINK("https://klasma.github.io/Logging_0580/artfynd/A 48347-2025 artfynd.xlsx", "A 48347-2025")</f>
        <v/>
      </c>
      <c r="T58">
        <f>HYPERLINK("https://klasma.github.io/Logging_0580/kartor/A 48347-2025 karta.png", "A 48347-2025")</f>
        <v/>
      </c>
      <c r="V58">
        <f>HYPERLINK("https://klasma.github.io/Logging_0580/klagomål/A 48347-2025 FSC-klagomål.docx", "A 48347-2025")</f>
        <v/>
      </c>
      <c r="W58">
        <f>HYPERLINK("https://klasma.github.io/Logging_0580/klagomålsmail/A 48347-2025 FSC-klagomål mail.docx", "A 48347-2025")</f>
        <v/>
      </c>
      <c r="X58">
        <f>HYPERLINK("https://klasma.github.io/Logging_0580/tillsyn/A 48347-2025 tillsynsbegäran.docx", "A 48347-2025")</f>
        <v/>
      </c>
      <c r="Y58">
        <f>HYPERLINK("https://klasma.github.io/Logging_0580/tillsynsmail/A 48347-2025 tillsynsbegäran mail.docx", "A 48347-2025")</f>
        <v/>
      </c>
    </row>
    <row r="59" ht="15" customHeight="1">
      <c r="A59" t="inlineStr">
        <is>
          <t>A 40315-2024</t>
        </is>
      </c>
      <c r="B59" s="1" t="n">
        <v>45554.7571875</v>
      </c>
      <c r="C59" s="1" t="n">
        <v>46087</v>
      </c>
      <c r="D59" t="inlineStr">
        <is>
          <t>ÖSTERGÖTLANDS LÄN</t>
        </is>
      </c>
      <c r="E59" t="inlineStr">
        <is>
          <t>LINKÖPING</t>
        </is>
      </c>
      <c r="F59" t="inlineStr">
        <is>
          <t>Allmännings- och besparingsskogar</t>
        </is>
      </c>
      <c r="G59" t="n">
        <v>15.8</v>
      </c>
      <c r="H59" t="n">
        <v>0</v>
      </c>
      <c r="I59" t="n">
        <v>0</v>
      </c>
      <c r="J59" t="n">
        <v>0</v>
      </c>
      <c r="K59" t="n">
        <v>0</v>
      </c>
      <c r="L59" t="n">
        <v>0</v>
      </c>
      <c r="M59" t="n">
        <v>1</v>
      </c>
      <c r="N59" t="n">
        <v>0</v>
      </c>
      <c r="O59" t="n">
        <v>1</v>
      </c>
      <c r="P59" t="n">
        <v>1</v>
      </c>
      <c r="Q59" t="n">
        <v>1</v>
      </c>
      <c r="R59" s="2" t="inlineStr">
        <is>
          <t>Skogsalm</t>
        </is>
      </c>
      <c r="S59">
        <f>HYPERLINK("https://klasma.github.io/Logging_0580/artfynd/A 40315-2024 artfynd.xlsx", "A 40315-2024")</f>
        <v/>
      </c>
      <c r="T59">
        <f>HYPERLINK("https://klasma.github.io/Logging_0580/kartor/A 40315-2024 karta.png", "A 40315-2024")</f>
        <v/>
      </c>
      <c r="V59">
        <f>HYPERLINK("https://klasma.github.io/Logging_0580/klagomål/A 40315-2024 FSC-klagomål.docx", "A 40315-2024")</f>
        <v/>
      </c>
      <c r="W59">
        <f>HYPERLINK("https://klasma.github.io/Logging_0580/klagomålsmail/A 40315-2024 FSC-klagomål mail.docx", "A 40315-2024")</f>
        <v/>
      </c>
      <c r="X59">
        <f>HYPERLINK("https://klasma.github.io/Logging_0580/tillsyn/A 40315-2024 tillsynsbegäran.docx", "A 40315-2024")</f>
        <v/>
      </c>
      <c r="Y59">
        <f>HYPERLINK("https://klasma.github.io/Logging_0580/tillsynsmail/A 40315-2024 tillsynsbegäran mail.docx", "A 40315-2024")</f>
        <v/>
      </c>
    </row>
    <row r="60" ht="15" customHeight="1">
      <c r="A60" t="inlineStr">
        <is>
          <t>A 22526-2025</t>
        </is>
      </c>
      <c r="B60" s="1" t="n">
        <v>45786.78096064815</v>
      </c>
      <c r="C60" s="1" t="n">
        <v>46087</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50034-2025</t>
        </is>
      </c>
      <c r="B61" s="1" t="n">
        <v>45941</v>
      </c>
      <c r="C61" s="1" t="n">
        <v>46087</v>
      </c>
      <c r="D61" t="inlineStr">
        <is>
          <t>ÖSTERGÖTLANDS LÄN</t>
        </is>
      </c>
      <c r="E61" t="inlineStr">
        <is>
          <t>LINKÖPING</t>
        </is>
      </c>
      <c r="G61" t="n">
        <v>6.2</v>
      </c>
      <c r="H61" t="n">
        <v>0</v>
      </c>
      <c r="I61" t="n">
        <v>0</v>
      </c>
      <c r="J61" t="n">
        <v>0</v>
      </c>
      <c r="K61" t="n">
        <v>0</v>
      </c>
      <c r="L61" t="n">
        <v>0</v>
      </c>
      <c r="M61" t="n">
        <v>1</v>
      </c>
      <c r="N61" t="n">
        <v>0</v>
      </c>
      <c r="O61" t="n">
        <v>1</v>
      </c>
      <c r="P61" t="n">
        <v>1</v>
      </c>
      <c r="Q61" t="n">
        <v>1</v>
      </c>
      <c r="R61" s="2" t="inlineStr">
        <is>
          <t>Skogsalm</t>
        </is>
      </c>
      <c r="S61">
        <f>HYPERLINK("https://klasma.github.io/Logging_0580/artfynd/A 50034-2025 artfynd.xlsx", "A 50034-2025")</f>
        <v/>
      </c>
      <c r="T61">
        <f>HYPERLINK("https://klasma.github.io/Logging_0580/kartor/A 50034-2025 karta.png", "A 50034-2025")</f>
        <v/>
      </c>
      <c r="V61">
        <f>HYPERLINK("https://klasma.github.io/Logging_0580/klagomål/A 50034-2025 FSC-klagomål.docx", "A 50034-2025")</f>
        <v/>
      </c>
      <c r="W61">
        <f>HYPERLINK("https://klasma.github.io/Logging_0580/klagomålsmail/A 50034-2025 FSC-klagomål mail.docx", "A 50034-2025")</f>
        <v/>
      </c>
      <c r="X61">
        <f>HYPERLINK("https://klasma.github.io/Logging_0580/tillsyn/A 50034-2025 tillsynsbegäran.docx", "A 50034-2025")</f>
        <v/>
      </c>
      <c r="Y61">
        <f>HYPERLINK("https://klasma.github.io/Logging_0580/tillsynsmail/A 50034-2025 tillsynsbegäran mail.docx", "A 50034-2025")</f>
        <v/>
      </c>
    </row>
    <row r="62" ht="15" customHeight="1">
      <c r="A62" t="inlineStr">
        <is>
          <t>A 41749-2023</t>
        </is>
      </c>
      <c r="B62" s="1" t="n">
        <v>45176</v>
      </c>
      <c r="C62" s="1" t="n">
        <v>46087</v>
      </c>
      <c r="D62" t="inlineStr">
        <is>
          <t>ÖSTERGÖTLANDS LÄN</t>
        </is>
      </c>
      <c r="E62" t="inlineStr">
        <is>
          <t>LINKÖPING</t>
        </is>
      </c>
      <c r="G62" t="n">
        <v>3.6</v>
      </c>
      <c r="H62" t="n">
        <v>0</v>
      </c>
      <c r="I62" t="n">
        <v>0</v>
      </c>
      <c r="J62" t="n">
        <v>1</v>
      </c>
      <c r="K62" t="n">
        <v>0</v>
      </c>
      <c r="L62" t="n">
        <v>0</v>
      </c>
      <c r="M62" t="n">
        <v>0</v>
      </c>
      <c r="N62" t="n">
        <v>0</v>
      </c>
      <c r="O62" t="n">
        <v>1</v>
      </c>
      <c r="P62" t="n">
        <v>0</v>
      </c>
      <c r="Q62" t="n">
        <v>1</v>
      </c>
      <c r="R62" s="2" t="inlineStr">
        <is>
          <t>Svinrot</t>
        </is>
      </c>
      <c r="S62">
        <f>HYPERLINK("https://klasma.github.io/Logging_0580/artfynd/A 41749-2023 artfynd.xlsx", "A 41749-2023")</f>
        <v/>
      </c>
      <c r="T62">
        <f>HYPERLINK("https://klasma.github.io/Logging_0580/kartor/A 41749-2023 karta.png", "A 41749-2023")</f>
        <v/>
      </c>
      <c r="V62">
        <f>HYPERLINK("https://klasma.github.io/Logging_0580/klagomål/A 41749-2023 FSC-klagomål.docx", "A 41749-2023")</f>
        <v/>
      </c>
      <c r="W62">
        <f>HYPERLINK("https://klasma.github.io/Logging_0580/klagomålsmail/A 41749-2023 FSC-klagomål mail.docx", "A 41749-2023")</f>
        <v/>
      </c>
      <c r="X62">
        <f>HYPERLINK("https://klasma.github.io/Logging_0580/tillsyn/A 41749-2023 tillsynsbegäran.docx", "A 41749-2023")</f>
        <v/>
      </c>
      <c r="Y62">
        <f>HYPERLINK("https://klasma.github.io/Logging_0580/tillsynsmail/A 41749-2023 tillsynsbegäran mail.docx", "A 41749-2023")</f>
        <v/>
      </c>
    </row>
    <row r="63" ht="15" customHeight="1">
      <c r="A63" t="inlineStr">
        <is>
          <t>A 56112-2025</t>
        </is>
      </c>
      <c r="B63" s="1" t="n">
        <v>45973.73625</v>
      </c>
      <c r="C63" s="1" t="n">
        <v>46087</v>
      </c>
      <c r="D63" t="inlineStr">
        <is>
          <t>ÖSTERGÖTLANDS LÄN</t>
        </is>
      </c>
      <c r="E63" t="inlineStr">
        <is>
          <t>LINKÖPING</t>
        </is>
      </c>
      <c r="G63" t="n">
        <v>0.6</v>
      </c>
      <c r="H63" t="n">
        <v>0</v>
      </c>
      <c r="I63" t="n">
        <v>0</v>
      </c>
      <c r="J63" t="n">
        <v>1</v>
      </c>
      <c r="K63" t="n">
        <v>0</v>
      </c>
      <c r="L63" t="n">
        <v>0</v>
      </c>
      <c r="M63" t="n">
        <v>0</v>
      </c>
      <c r="N63" t="n">
        <v>0</v>
      </c>
      <c r="O63" t="n">
        <v>1</v>
      </c>
      <c r="P63" t="n">
        <v>0</v>
      </c>
      <c r="Q63" t="n">
        <v>1</v>
      </c>
      <c r="R63" s="2" t="inlineStr">
        <is>
          <t>Solvända</t>
        </is>
      </c>
      <c r="S63">
        <f>HYPERLINK("https://klasma.github.io/Logging_0580/artfynd/A 56112-2025 artfynd.xlsx", "A 56112-2025")</f>
        <v/>
      </c>
      <c r="T63">
        <f>HYPERLINK("https://klasma.github.io/Logging_0580/kartor/A 56112-2025 karta.png", "A 56112-2025")</f>
        <v/>
      </c>
      <c r="V63">
        <f>HYPERLINK("https://klasma.github.io/Logging_0580/klagomål/A 56112-2025 FSC-klagomål.docx", "A 56112-2025")</f>
        <v/>
      </c>
      <c r="W63">
        <f>HYPERLINK("https://klasma.github.io/Logging_0580/klagomålsmail/A 56112-2025 FSC-klagomål mail.docx", "A 56112-2025")</f>
        <v/>
      </c>
      <c r="X63">
        <f>HYPERLINK("https://klasma.github.io/Logging_0580/tillsyn/A 56112-2025 tillsynsbegäran.docx", "A 56112-2025")</f>
        <v/>
      </c>
      <c r="Y63">
        <f>HYPERLINK("https://klasma.github.io/Logging_0580/tillsynsmail/A 56112-2025 tillsynsbegäran mail.docx", "A 56112-2025")</f>
        <v/>
      </c>
    </row>
    <row r="64" ht="15" customHeight="1">
      <c r="A64" t="inlineStr">
        <is>
          <t>A 43989-2025</t>
        </is>
      </c>
      <c r="B64" s="1" t="n">
        <v>45915.44128472222</v>
      </c>
      <c r="C64" s="1" t="n">
        <v>46087</v>
      </c>
      <c r="D64" t="inlineStr">
        <is>
          <t>ÖSTERGÖTLANDS LÄN</t>
        </is>
      </c>
      <c r="E64" t="inlineStr">
        <is>
          <t>LINKÖPING</t>
        </is>
      </c>
      <c r="F64" t="inlineStr">
        <is>
          <t>Allmännings- och besparingsskogar</t>
        </is>
      </c>
      <c r="G64" t="n">
        <v>3.5</v>
      </c>
      <c r="H64" t="n">
        <v>0</v>
      </c>
      <c r="I64" t="n">
        <v>0</v>
      </c>
      <c r="J64" t="n">
        <v>1</v>
      </c>
      <c r="K64" t="n">
        <v>0</v>
      </c>
      <c r="L64" t="n">
        <v>0</v>
      </c>
      <c r="M64" t="n">
        <v>0</v>
      </c>
      <c r="N64" t="n">
        <v>0</v>
      </c>
      <c r="O64" t="n">
        <v>1</v>
      </c>
      <c r="P64" t="n">
        <v>0</v>
      </c>
      <c r="Q64" t="n">
        <v>1</v>
      </c>
      <c r="R64" s="2" t="inlineStr">
        <is>
          <t>Kavelhirs</t>
        </is>
      </c>
      <c r="S64">
        <f>HYPERLINK("https://klasma.github.io/Logging_0580/artfynd/A 43989-2025 artfynd.xlsx", "A 43989-2025")</f>
        <v/>
      </c>
      <c r="T64">
        <f>HYPERLINK("https://klasma.github.io/Logging_0580/kartor/A 43989-2025 karta.png", "A 43989-2025")</f>
        <v/>
      </c>
      <c r="V64">
        <f>HYPERLINK("https://klasma.github.io/Logging_0580/klagomål/A 43989-2025 FSC-klagomål.docx", "A 43989-2025")</f>
        <v/>
      </c>
      <c r="W64">
        <f>HYPERLINK("https://klasma.github.io/Logging_0580/klagomålsmail/A 43989-2025 FSC-klagomål mail.docx", "A 43989-2025")</f>
        <v/>
      </c>
      <c r="X64">
        <f>HYPERLINK("https://klasma.github.io/Logging_0580/tillsyn/A 43989-2025 tillsynsbegäran.docx", "A 43989-2025")</f>
        <v/>
      </c>
      <c r="Y64">
        <f>HYPERLINK("https://klasma.github.io/Logging_0580/tillsynsmail/A 43989-2025 tillsynsbegäran mail.docx", "A 43989-2025")</f>
        <v/>
      </c>
    </row>
    <row r="65" ht="15" customHeight="1">
      <c r="A65" t="inlineStr">
        <is>
          <t>A 1213-2023</t>
        </is>
      </c>
      <c r="B65" s="1" t="n">
        <v>44930</v>
      </c>
      <c r="C65" s="1" t="n">
        <v>46087</v>
      </c>
      <c r="D65" t="inlineStr">
        <is>
          <t>ÖSTERGÖTLANDS LÄN</t>
        </is>
      </c>
      <c r="E65" t="inlineStr">
        <is>
          <t>LINKÖPING</t>
        </is>
      </c>
      <c r="F65" t="inlineStr">
        <is>
          <t>Övriga statliga verk och myndigheter</t>
        </is>
      </c>
      <c r="G65" t="n">
        <v>17.8</v>
      </c>
      <c r="H65" t="n">
        <v>0</v>
      </c>
      <c r="I65" t="n">
        <v>1</v>
      </c>
      <c r="J65" t="n">
        <v>0</v>
      </c>
      <c r="K65" t="n">
        <v>0</v>
      </c>
      <c r="L65" t="n">
        <v>0</v>
      </c>
      <c r="M65" t="n">
        <v>0</v>
      </c>
      <c r="N65" t="n">
        <v>0</v>
      </c>
      <c r="O65" t="n">
        <v>0</v>
      </c>
      <c r="P65" t="n">
        <v>0</v>
      </c>
      <c r="Q65" t="n">
        <v>1</v>
      </c>
      <c r="R65" s="2" t="inlineStr">
        <is>
          <t>Stubbspretmossa</t>
        </is>
      </c>
      <c r="S65">
        <f>HYPERLINK("https://klasma.github.io/Logging_0580/artfynd/A 1213-2023 artfynd.xlsx", "A 1213-2023")</f>
        <v/>
      </c>
      <c r="T65">
        <f>HYPERLINK("https://klasma.github.io/Logging_0580/kartor/A 1213-2023 karta.png", "A 1213-2023")</f>
        <v/>
      </c>
      <c r="V65">
        <f>HYPERLINK("https://klasma.github.io/Logging_0580/klagomål/A 1213-2023 FSC-klagomål.docx", "A 1213-2023")</f>
        <v/>
      </c>
      <c r="W65">
        <f>HYPERLINK("https://klasma.github.io/Logging_0580/klagomålsmail/A 1213-2023 FSC-klagomål mail.docx", "A 1213-2023")</f>
        <v/>
      </c>
      <c r="X65">
        <f>HYPERLINK("https://klasma.github.io/Logging_0580/tillsyn/A 1213-2023 tillsynsbegäran.docx", "A 1213-2023")</f>
        <v/>
      </c>
      <c r="Y65">
        <f>HYPERLINK("https://klasma.github.io/Logging_0580/tillsynsmail/A 1213-2023 tillsynsbegäran mail.docx", "A 1213-2023")</f>
        <v/>
      </c>
    </row>
    <row r="66" ht="15" customHeight="1">
      <c r="A66" t="inlineStr">
        <is>
          <t>A 44760-2025</t>
        </is>
      </c>
      <c r="B66" s="1" t="n">
        <v>45917.71873842592</v>
      </c>
      <c r="C66" s="1" t="n">
        <v>46087</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59474-2025</t>
        </is>
      </c>
      <c r="B67" s="1" t="n">
        <v>45989.58512731481</v>
      </c>
      <c r="C67" s="1" t="n">
        <v>46087</v>
      </c>
      <c r="D67" t="inlineStr">
        <is>
          <t>ÖSTERGÖTLANDS LÄN</t>
        </is>
      </c>
      <c r="E67" t="inlineStr">
        <is>
          <t>LINKÖPING</t>
        </is>
      </c>
      <c r="G67" t="n">
        <v>8</v>
      </c>
      <c r="H67" t="n">
        <v>0</v>
      </c>
      <c r="I67" t="n">
        <v>1</v>
      </c>
      <c r="J67" t="n">
        <v>0</v>
      </c>
      <c r="K67" t="n">
        <v>0</v>
      </c>
      <c r="L67" t="n">
        <v>0</v>
      </c>
      <c r="M67" t="n">
        <v>0</v>
      </c>
      <c r="N67" t="n">
        <v>0</v>
      </c>
      <c r="O67" t="n">
        <v>0</v>
      </c>
      <c r="P67" t="n">
        <v>0</v>
      </c>
      <c r="Q67" t="n">
        <v>1</v>
      </c>
      <c r="R67" s="2" t="inlineStr">
        <is>
          <t>Fällmossa</t>
        </is>
      </c>
      <c r="S67">
        <f>HYPERLINK("https://klasma.github.io/Logging_0580/artfynd/A 59474-2025 artfynd.xlsx", "A 59474-2025")</f>
        <v/>
      </c>
      <c r="T67">
        <f>HYPERLINK("https://klasma.github.io/Logging_0580/kartor/A 59474-2025 karta.png", "A 59474-2025")</f>
        <v/>
      </c>
      <c r="V67">
        <f>HYPERLINK("https://klasma.github.io/Logging_0580/klagomål/A 59474-2025 FSC-klagomål.docx", "A 59474-2025")</f>
        <v/>
      </c>
      <c r="W67">
        <f>HYPERLINK("https://klasma.github.io/Logging_0580/klagomålsmail/A 59474-2025 FSC-klagomål mail.docx", "A 59474-2025")</f>
        <v/>
      </c>
      <c r="X67">
        <f>HYPERLINK("https://klasma.github.io/Logging_0580/tillsyn/A 59474-2025 tillsynsbegäran.docx", "A 59474-2025")</f>
        <v/>
      </c>
      <c r="Y67">
        <f>HYPERLINK("https://klasma.github.io/Logging_0580/tillsynsmail/A 59474-2025 tillsynsbegäran mail.docx", "A 59474-2025")</f>
        <v/>
      </c>
    </row>
    <row r="68" ht="15" customHeight="1">
      <c r="A68" t="inlineStr">
        <is>
          <t>A 60311-2025</t>
        </is>
      </c>
      <c r="B68" s="1" t="n">
        <v>45994</v>
      </c>
      <c r="C68" s="1" t="n">
        <v>46087</v>
      </c>
      <c r="D68" t="inlineStr">
        <is>
          <t>ÖSTERGÖTLANDS LÄN</t>
        </is>
      </c>
      <c r="E68" t="inlineStr">
        <is>
          <t>LINKÖPING</t>
        </is>
      </c>
      <c r="G68" t="n">
        <v>1.9</v>
      </c>
      <c r="H68" t="n">
        <v>0</v>
      </c>
      <c r="I68" t="n">
        <v>0</v>
      </c>
      <c r="J68" t="n">
        <v>1</v>
      </c>
      <c r="K68" t="n">
        <v>0</v>
      </c>
      <c r="L68" t="n">
        <v>0</v>
      </c>
      <c r="M68" t="n">
        <v>0</v>
      </c>
      <c r="N68" t="n">
        <v>0</v>
      </c>
      <c r="O68" t="n">
        <v>1</v>
      </c>
      <c r="P68" t="n">
        <v>0</v>
      </c>
      <c r="Q68" t="n">
        <v>1</v>
      </c>
      <c r="R68" s="2" t="inlineStr">
        <is>
          <t>Gammelekslav</t>
        </is>
      </c>
      <c r="S68">
        <f>HYPERLINK("https://klasma.github.io/Logging_0580/artfynd/A 60311-2025 artfynd.xlsx", "A 60311-2025")</f>
        <v/>
      </c>
      <c r="T68">
        <f>HYPERLINK("https://klasma.github.io/Logging_0580/kartor/A 60311-2025 karta.png", "A 60311-2025")</f>
        <v/>
      </c>
      <c r="V68">
        <f>HYPERLINK("https://klasma.github.io/Logging_0580/klagomål/A 60311-2025 FSC-klagomål.docx", "A 60311-2025")</f>
        <v/>
      </c>
      <c r="W68">
        <f>HYPERLINK("https://klasma.github.io/Logging_0580/klagomålsmail/A 60311-2025 FSC-klagomål mail.docx", "A 60311-2025")</f>
        <v/>
      </c>
      <c r="X68">
        <f>HYPERLINK("https://klasma.github.io/Logging_0580/tillsyn/A 60311-2025 tillsynsbegäran.docx", "A 60311-2025")</f>
        <v/>
      </c>
      <c r="Y68">
        <f>HYPERLINK("https://klasma.github.io/Logging_0580/tillsynsmail/A 60311-2025 tillsynsbegäran mail.docx", "A 60311-2025")</f>
        <v/>
      </c>
    </row>
    <row r="69" ht="15" customHeight="1">
      <c r="A69" t="inlineStr">
        <is>
          <t>A 50471-2024</t>
        </is>
      </c>
      <c r="B69" s="1" t="n">
        <v>45601.47166666666</v>
      </c>
      <c r="C69" s="1" t="n">
        <v>46087</v>
      </c>
      <c r="D69" t="inlineStr">
        <is>
          <t>ÖSTERGÖTLANDS LÄN</t>
        </is>
      </c>
      <c r="E69" t="inlineStr">
        <is>
          <t>LINKÖPING</t>
        </is>
      </c>
      <c r="F69" t="inlineStr">
        <is>
          <t>Övriga Aktiebolag</t>
        </is>
      </c>
      <c r="G69" t="n">
        <v>2</v>
      </c>
      <c r="H69" t="n">
        <v>0</v>
      </c>
      <c r="I69" t="n">
        <v>1</v>
      </c>
      <c r="J69" t="n">
        <v>0</v>
      </c>
      <c r="K69" t="n">
        <v>0</v>
      </c>
      <c r="L69" t="n">
        <v>0</v>
      </c>
      <c r="M69" t="n">
        <v>0</v>
      </c>
      <c r="N69" t="n">
        <v>0</v>
      </c>
      <c r="O69" t="n">
        <v>0</v>
      </c>
      <c r="P69" t="n">
        <v>0</v>
      </c>
      <c r="Q69" t="n">
        <v>1</v>
      </c>
      <c r="R69" s="2" t="inlineStr">
        <is>
          <t>Västlig hakmossa</t>
        </is>
      </c>
      <c r="S69">
        <f>HYPERLINK("https://klasma.github.io/Logging_0580/artfynd/A 50471-2024 artfynd.xlsx", "A 50471-2024")</f>
        <v/>
      </c>
      <c r="T69">
        <f>HYPERLINK("https://klasma.github.io/Logging_0580/kartor/A 50471-2024 karta.png", "A 50471-2024")</f>
        <v/>
      </c>
      <c r="V69">
        <f>HYPERLINK("https://klasma.github.io/Logging_0580/klagomål/A 50471-2024 FSC-klagomål.docx", "A 50471-2024")</f>
        <v/>
      </c>
      <c r="W69">
        <f>HYPERLINK("https://klasma.github.io/Logging_0580/klagomålsmail/A 50471-2024 FSC-klagomål mail.docx", "A 50471-2024")</f>
        <v/>
      </c>
      <c r="X69">
        <f>HYPERLINK("https://klasma.github.io/Logging_0580/tillsyn/A 50471-2024 tillsynsbegäran.docx", "A 50471-2024")</f>
        <v/>
      </c>
      <c r="Y69">
        <f>HYPERLINK("https://klasma.github.io/Logging_0580/tillsynsmail/A 50471-2024 tillsynsbegäran mail.docx", "A 50471-2024")</f>
        <v/>
      </c>
    </row>
    <row r="70" ht="15" customHeight="1">
      <c r="A70" t="inlineStr">
        <is>
          <t>A 50806-2023</t>
        </is>
      </c>
      <c r="B70" s="1" t="n">
        <v>45217</v>
      </c>
      <c r="C70" s="1" t="n">
        <v>46087</v>
      </c>
      <c r="D70" t="inlineStr">
        <is>
          <t>ÖSTERGÖTLANDS LÄN</t>
        </is>
      </c>
      <c r="E70" t="inlineStr">
        <is>
          <t>LINKÖPING</t>
        </is>
      </c>
      <c r="F70" t="inlineStr">
        <is>
          <t>Övriga Aktiebolag</t>
        </is>
      </c>
      <c r="G70" t="n">
        <v>0.7</v>
      </c>
      <c r="H70" t="n">
        <v>1</v>
      </c>
      <c r="I70" t="n">
        <v>0</v>
      </c>
      <c r="J70" t="n">
        <v>0</v>
      </c>
      <c r="K70" t="n">
        <v>0</v>
      </c>
      <c r="L70" t="n">
        <v>0</v>
      </c>
      <c r="M70" t="n">
        <v>0</v>
      </c>
      <c r="N70" t="n">
        <v>0</v>
      </c>
      <c r="O70" t="n">
        <v>0</v>
      </c>
      <c r="P70" t="n">
        <v>0</v>
      </c>
      <c r="Q70" t="n">
        <v>1</v>
      </c>
      <c r="R70" s="2" t="inlineStr">
        <is>
          <t>Gullviva</t>
        </is>
      </c>
      <c r="S70">
        <f>HYPERLINK("https://klasma.github.io/Logging_0580/artfynd/A 50806-2023 artfynd.xlsx", "A 50806-2023")</f>
        <v/>
      </c>
      <c r="T70">
        <f>HYPERLINK("https://klasma.github.io/Logging_0580/kartor/A 50806-2023 karta.png", "A 50806-2023")</f>
        <v/>
      </c>
      <c r="V70">
        <f>HYPERLINK("https://klasma.github.io/Logging_0580/klagomål/A 50806-2023 FSC-klagomål.docx", "A 50806-2023")</f>
        <v/>
      </c>
      <c r="W70">
        <f>HYPERLINK("https://klasma.github.io/Logging_0580/klagomålsmail/A 50806-2023 FSC-klagomål mail.docx", "A 50806-2023")</f>
        <v/>
      </c>
      <c r="X70">
        <f>HYPERLINK("https://klasma.github.io/Logging_0580/tillsyn/A 50806-2023 tillsynsbegäran.docx", "A 50806-2023")</f>
        <v/>
      </c>
      <c r="Y70">
        <f>HYPERLINK("https://klasma.github.io/Logging_0580/tillsynsmail/A 50806-2023 tillsynsbegäran mail.docx", "A 50806-2023")</f>
        <v/>
      </c>
    </row>
    <row r="71" ht="15" customHeight="1">
      <c r="A71" t="inlineStr">
        <is>
          <t>A 27403-2025</t>
        </is>
      </c>
      <c r="B71" s="1" t="n">
        <v>45812.72518518518</v>
      </c>
      <c r="C71" s="1" t="n">
        <v>46087</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60573-2021</t>
        </is>
      </c>
      <c r="B72" s="1" t="n">
        <v>44496</v>
      </c>
      <c r="C72" s="1" t="n">
        <v>46087</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5911-2022</t>
        </is>
      </c>
      <c r="B73" s="1" t="n">
        <v>44597</v>
      </c>
      <c r="C73" s="1" t="n">
        <v>46087</v>
      </c>
      <c r="D73" t="inlineStr">
        <is>
          <t>ÖSTERGÖTLANDS LÄN</t>
        </is>
      </c>
      <c r="E73" t="inlineStr">
        <is>
          <t>LINKÖPING</t>
        </is>
      </c>
      <c r="G73" t="n">
        <v>3.5</v>
      </c>
      <c r="H73" t="n">
        <v>0</v>
      </c>
      <c r="I73" t="n">
        <v>0</v>
      </c>
      <c r="J73" t="n">
        <v>1</v>
      </c>
      <c r="K73" t="n">
        <v>0</v>
      </c>
      <c r="L73" t="n">
        <v>0</v>
      </c>
      <c r="M73" t="n">
        <v>0</v>
      </c>
      <c r="N73" t="n">
        <v>0</v>
      </c>
      <c r="O73" t="n">
        <v>1</v>
      </c>
      <c r="P73" t="n">
        <v>0</v>
      </c>
      <c r="Q73" t="n">
        <v>1</v>
      </c>
      <c r="R73" s="2" t="inlineStr">
        <is>
          <t>Spindelört</t>
        </is>
      </c>
      <c r="S73">
        <f>HYPERLINK("https://klasma.github.io/Logging_0580/artfynd/A 5911-2022 artfynd.xlsx", "A 5911-2022")</f>
        <v/>
      </c>
      <c r="T73">
        <f>HYPERLINK("https://klasma.github.io/Logging_0580/kartor/A 5911-2022 karta.png", "A 5911-2022")</f>
        <v/>
      </c>
      <c r="V73">
        <f>HYPERLINK("https://klasma.github.io/Logging_0580/klagomål/A 5911-2022 FSC-klagomål.docx", "A 5911-2022")</f>
        <v/>
      </c>
      <c r="W73">
        <f>HYPERLINK("https://klasma.github.io/Logging_0580/klagomålsmail/A 5911-2022 FSC-klagomål mail.docx", "A 5911-2022")</f>
        <v/>
      </c>
      <c r="X73">
        <f>HYPERLINK("https://klasma.github.io/Logging_0580/tillsyn/A 5911-2022 tillsynsbegäran.docx", "A 5911-2022")</f>
        <v/>
      </c>
      <c r="Y73">
        <f>HYPERLINK("https://klasma.github.io/Logging_0580/tillsynsmail/A 5911-2022 tillsynsbegäran mail.docx", "A 5911-2022")</f>
        <v/>
      </c>
    </row>
    <row r="74" ht="15" customHeight="1">
      <c r="A74" t="inlineStr">
        <is>
          <t>A 56128-2022</t>
        </is>
      </c>
      <c r="B74" s="1" t="n">
        <v>44889</v>
      </c>
      <c r="C74" s="1" t="n">
        <v>46087</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36723-2023</t>
        </is>
      </c>
      <c r="B75" s="1" t="n">
        <v>45153</v>
      </c>
      <c r="C75" s="1" t="n">
        <v>46087</v>
      </c>
      <c r="D75" t="inlineStr">
        <is>
          <t>ÖSTERGÖTLANDS LÄN</t>
        </is>
      </c>
      <c r="E75" t="inlineStr">
        <is>
          <t>LINKÖPING</t>
        </is>
      </c>
      <c r="F75" t="inlineStr">
        <is>
          <t>Allmännings- och besparingsskogar</t>
        </is>
      </c>
      <c r="G75" t="n">
        <v>9.9</v>
      </c>
      <c r="H75" t="n">
        <v>0</v>
      </c>
      <c r="I75" t="n">
        <v>0</v>
      </c>
      <c r="J75" t="n">
        <v>0</v>
      </c>
      <c r="K75" t="n">
        <v>1</v>
      </c>
      <c r="L75" t="n">
        <v>0</v>
      </c>
      <c r="M75" t="n">
        <v>0</v>
      </c>
      <c r="N75" t="n">
        <v>0</v>
      </c>
      <c r="O75" t="n">
        <v>1</v>
      </c>
      <c r="P75" t="n">
        <v>1</v>
      </c>
      <c r="Q75" t="n">
        <v>1</v>
      </c>
      <c r="R75" s="2" t="inlineStr">
        <is>
          <t>Bitter taggsvamp</t>
        </is>
      </c>
      <c r="S75">
        <f>HYPERLINK("https://klasma.github.io/Logging_0580/artfynd/A 36723-2023 artfynd.xlsx", "A 36723-2023")</f>
        <v/>
      </c>
      <c r="T75">
        <f>HYPERLINK("https://klasma.github.io/Logging_0580/kartor/A 36723-2023 karta.png", "A 36723-2023")</f>
        <v/>
      </c>
      <c r="V75">
        <f>HYPERLINK("https://klasma.github.io/Logging_0580/klagomål/A 36723-2023 FSC-klagomål.docx", "A 36723-2023")</f>
        <v/>
      </c>
      <c r="W75">
        <f>HYPERLINK("https://klasma.github.io/Logging_0580/klagomålsmail/A 36723-2023 FSC-klagomål mail.docx", "A 36723-2023")</f>
        <v/>
      </c>
      <c r="X75">
        <f>HYPERLINK("https://klasma.github.io/Logging_0580/tillsyn/A 36723-2023 tillsynsbegäran.docx", "A 36723-2023")</f>
        <v/>
      </c>
      <c r="Y75">
        <f>HYPERLINK("https://klasma.github.io/Logging_0580/tillsynsmail/A 36723-2023 tillsynsbegäran mail.docx", "A 36723-2023")</f>
        <v/>
      </c>
    </row>
    <row r="76" ht="15" customHeight="1">
      <c r="A76" t="inlineStr">
        <is>
          <t>A 54835-2023</t>
        </is>
      </c>
      <c r="B76" s="1" t="n">
        <v>45236</v>
      </c>
      <c r="C76" s="1" t="n">
        <v>46087</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34881-2023</t>
        </is>
      </c>
      <c r="B77" s="1" t="n">
        <v>45140</v>
      </c>
      <c r="C77" s="1" t="n">
        <v>46087</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Tallticka</t>
        </is>
      </c>
      <c r="S77">
        <f>HYPERLINK("https://klasma.github.io/Logging_0580/artfynd/A 34881-2023 artfynd.xlsx", "A 34881-2023")</f>
        <v/>
      </c>
      <c r="T77">
        <f>HYPERLINK("https://klasma.github.io/Logging_0580/kartor/A 34881-2023 karta.png", "A 34881-2023")</f>
        <v/>
      </c>
      <c r="U77">
        <f>HYPERLINK("https://klasma.github.io/Logging_0580/knärot/A 34881-2023 karta knärot.png", "A 34881-2023")</f>
        <v/>
      </c>
      <c r="V77">
        <f>HYPERLINK("https://klasma.github.io/Logging_0580/klagomål/A 34881-2023 FSC-klagomål.docx", "A 34881-2023")</f>
        <v/>
      </c>
      <c r="W77">
        <f>HYPERLINK("https://klasma.github.io/Logging_0580/klagomålsmail/A 34881-2023 FSC-klagomål mail.docx", "A 34881-2023")</f>
        <v/>
      </c>
      <c r="X77">
        <f>HYPERLINK("https://klasma.github.io/Logging_0580/tillsyn/A 34881-2023 tillsynsbegäran.docx", "A 34881-2023")</f>
        <v/>
      </c>
      <c r="Y77">
        <f>HYPERLINK("https://klasma.github.io/Logging_0580/tillsynsmail/A 34881-2023 tillsynsbegäran mail.docx", "A 34881-2023")</f>
        <v/>
      </c>
    </row>
    <row r="78" ht="15" customHeight="1">
      <c r="A78" t="inlineStr">
        <is>
          <t>A 19103-2021</t>
        </is>
      </c>
      <c r="B78" s="1" t="n">
        <v>44308</v>
      </c>
      <c r="C78" s="1" t="n">
        <v>46087</v>
      </c>
      <c r="D78" t="inlineStr">
        <is>
          <t>ÖSTERGÖTLANDS LÄN</t>
        </is>
      </c>
      <c r="E78" t="inlineStr">
        <is>
          <t>LINKÖPING</t>
        </is>
      </c>
      <c r="G78" t="n">
        <v>4.7</v>
      </c>
      <c r="H78" t="n">
        <v>0</v>
      </c>
      <c r="I78" t="n">
        <v>0</v>
      </c>
      <c r="J78" t="n">
        <v>1</v>
      </c>
      <c r="K78" t="n">
        <v>0</v>
      </c>
      <c r="L78" t="n">
        <v>0</v>
      </c>
      <c r="M78" t="n">
        <v>0</v>
      </c>
      <c r="N78" t="n">
        <v>0</v>
      </c>
      <c r="O78" t="n">
        <v>1</v>
      </c>
      <c r="P78" t="n">
        <v>0</v>
      </c>
      <c r="Q78" t="n">
        <v>1</v>
      </c>
      <c r="R78" s="2" t="inlineStr">
        <is>
          <t>Tallticka</t>
        </is>
      </c>
      <c r="S78">
        <f>HYPERLINK("https://klasma.github.io/Logging_0580/artfynd/A 19103-2021 artfynd.xlsx", "A 19103-2021")</f>
        <v/>
      </c>
      <c r="T78">
        <f>HYPERLINK("https://klasma.github.io/Logging_0580/kartor/A 19103-2021 karta.png", "A 19103-2021")</f>
        <v/>
      </c>
      <c r="V78">
        <f>HYPERLINK("https://klasma.github.io/Logging_0580/klagomål/A 19103-2021 FSC-klagomål.docx", "A 19103-2021")</f>
        <v/>
      </c>
      <c r="W78">
        <f>HYPERLINK("https://klasma.github.io/Logging_0580/klagomålsmail/A 19103-2021 FSC-klagomål mail.docx", "A 19103-2021")</f>
        <v/>
      </c>
      <c r="X78">
        <f>HYPERLINK("https://klasma.github.io/Logging_0580/tillsyn/A 19103-2021 tillsynsbegäran.docx", "A 19103-2021")</f>
        <v/>
      </c>
      <c r="Y78">
        <f>HYPERLINK("https://klasma.github.io/Logging_0580/tillsynsmail/A 19103-2021 tillsynsbegäran mail.docx", "A 19103-2021")</f>
        <v/>
      </c>
    </row>
    <row r="79" ht="15" customHeight="1">
      <c r="A79" t="inlineStr">
        <is>
          <t>A 45317-2023</t>
        </is>
      </c>
      <c r="B79" s="1" t="n">
        <v>45191.74868055555</v>
      </c>
      <c r="C79" s="1" t="n">
        <v>46087</v>
      </c>
      <c r="D79" t="inlineStr">
        <is>
          <t>ÖSTERGÖTLANDS LÄN</t>
        </is>
      </c>
      <c r="E79" t="inlineStr">
        <is>
          <t>LINKÖPING</t>
        </is>
      </c>
      <c r="F79" t="inlineStr">
        <is>
          <t>Allmännings- och besparingsskogar</t>
        </is>
      </c>
      <c r="G79" t="n">
        <v>29.3</v>
      </c>
      <c r="H79" t="n">
        <v>0</v>
      </c>
      <c r="I79" t="n">
        <v>0</v>
      </c>
      <c r="J79" t="n">
        <v>1</v>
      </c>
      <c r="K79" t="n">
        <v>0</v>
      </c>
      <c r="L79" t="n">
        <v>0</v>
      </c>
      <c r="M79" t="n">
        <v>0</v>
      </c>
      <c r="N79" t="n">
        <v>0</v>
      </c>
      <c r="O79" t="n">
        <v>1</v>
      </c>
      <c r="P79" t="n">
        <v>0</v>
      </c>
      <c r="Q79" t="n">
        <v>1</v>
      </c>
      <c r="R79" s="2" t="inlineStr">
        <is>
          <t>Svinrot</t>
        </is>
      </c>
      <c r="S79">
        <f>HYPERLINK("https://klasma.github.io/Logging_0580/artfynd/A 45317-2023 artfynd.xlsx", "A 45317-2023")</f>
        <v/>
      </c>
      <c r="T79">
        <f>HYPERLINK("https://klasma.github.io/Logging_0580/kartor/A 45317-2023 karta.png", "A 45317-2023")</f>
        <v/>
      </c>
      <c r="V79">
        <f>HYPERLINK("https://klasma.github.io/Logging_0580/klagomål/A 45317-2023 FSC-klagomål.docx", "A 45317-2023")</f>
        <v/>
      </c>
      <c r="W79">
        <f>HYPERLINK("https://klasma.github.io/Logging_0580/klagomålsmail/A 45317-2023 FSC-klagomål mail.docx", "A 45317-2023")</f>
        <v/>
      </c>
      <c r="X79">
        <f>HYPERLINK("https://klasma.github.io/Logging_0580/tillsyn/A 45317-2023 tillsynsbegäran.docx", "A 45317-2023")</f>
        <v/>
      </c>
      <c r="Y79">
        <f>HYPERLINK("https://klasma.github.io/Logging_0580/tillsynsmail/A 45317-2023 tillsynsbegäran mail.docx", "A 45317-2023")</f>
        <v/>
      </c>
    </row>
    <row r="80" ht="15" customHeight="1">
      <c r="A80" t="inlineStr">
        <is>
          <t>A 20295-2025</t>
        </is>
      </c>
      <c r="B80" s="1" t="n">
        <v>45774.74846064814</v>
      </c>
      <c r="C80" s="1" t="n">
        <v>46087</v>
      </c>
      <c r="D80" t="inlineStr">
        <is>
          <t>ÖSTERGÖTLANDS LÄN</t>
        </is>
      </c>
      <c r="E80" t="inlineStr">
        <is>
          <t>LINKÖPING</t>
        </is>
      </c>
      <c r="G80" t="n">
        <v>3</v>
      </c>
      <c r="H80" t="n">
        <v>0</v>
      </c>
      <c r="I80" t="n">
        <v>0</v>
      </c>
      <c r="J80" t="n">
        <v>1</v>
      </c>
      <c r="K80" t="n">
        <v>0</v>
      </c>
      <c r="L80" t="n">
        <v>0</v>
      </c>
      <c r="M80" t="n">
        <v>0</v>
      </c>
      <c r="N80" t="n">
        <v>0</v>
      </c>
      <c r="O80" t="n">
        <v>1</v>
      </c>
      <c r="P80" t="n">
        <v>0</v>
      </c>
      <c r="Q80" t="n">
        <v>1</v>
      </c>
      <c r="R80" s="2" t="inlineStr">
        <is>
          <t>Tallticka</t>
        </is>
      </c>
      <c r="S80">
        <f>HYPERLINK("https://klasma.github.io/Logging_0580/artfynd/A 20295-2025 artfynd.xlsx", "A 20295-2025")</f>
        <v/>
      </c>
      <c r="T80">
        <f>HYPERLINK("https://klasma.github.io/Logging_0580/kartor/A 20295-2025 karta.png", "A 20295-2025")</f>
        <v/>
      </c>
      <c r="V80">
        <f>HYPERLINK("https://klasma.github.io/Logging_0580/klagomål/A 20295-2025 FSC-klagomål.docx", "A 20295-2025")</f>
        <v/>
      </c>
      <c r="W80">
        <f>HYPERLINK("https://klasma.github.io/Logging_0580/klagomålsmail/A 20295-2025 FSC-klagomål mail.docx", "A 20295-2025")</f>
        <v/>
      </c>
      <c r="X80">
        <f>HYPERLINK("https://klasma.github.io/Logging_0580/tillsyn/A 20295-2025 tillsynsbegäran.docx", "A 20295-2025")</f>
        <v/>
      </c>
      <c r="Y80">
        <f>HYPERLINK("https://klasma.github.io/Logging_0580/tillsynsmail/A 20295-2025 tillsynsbegäran mail.docx", "A 20295-2025")</f>
        <v/>
      </c>
    </row>
    <row r="81" ht="15" customHeight="1">
      <c r="A81" t="inlineStr">
        <is>
          <t>A 37683-2024</t>
        </is>
      </c>
      <c r="B81" s="1" t="n">
        <v>45541.59120370371</v>
      </c>
      <c r="C81" s="1" t="n">
        <v>46087</v>
      </c>
      <c r="D81" t="inlineStr">
        <is>
          <t>ÖSTERGÖTLANDS LÄN</t>
        </is>
      </c>
      <c r="E81" t="inlineStr">
        <is>
          <t>LINKÖPING</t>
        </is>
      </c>
      <c r="G81" t="n">
        <v>0.6</v>
      </c>
      <c r="H81" t="n">
        <v>0</v>
      </c>
      <c r="I81" t="n">
        <v>1</v>
      </c>
      <c r="J81" t="n">
        <v>0</v>
      </c>
      <c r="K81" t="n">
        <v>0</v>
      </c>
      <c r="L81" t="n">
        <v>0</v>
      </c>
      <c r="M81" t="n">
        <v>0</v>
      </c>
      <c r="N81" t="n">
        <v>0</v>
      </c>
      <c r="O81" t="n">
        <v>0</v>
      </c>
      <c r="P81" t="n">
        <v>0</v>
      </c>
      <c r="Q81" t="n">
        <v>1</v>
      </c>
      <c r="R81" s="2" t="inlineStr">
        <is>
          <t>Tibast</t>
        </is>
      </c>
      <c r="S81">
        <f>HYPERLINK("https://klasma.github.io/Logging_0580/artfynd/A 37683-2024 artfynd.xlsx", "A 37683-2024")</f>
        <v/>
      </c>
      <c r="T81">
        <f>HYPERLINK("https://klasma.github.io/Logging_0580/kartor/A 37683-2024 karta.png", "A 37683-2024")</f>
        <v/>
      </c>
      <c r="V81">
        <f>HYPERLINK("https://klasma.github.io/Logging_0580/klagomål/A 37683-2024 FSC-klagomål.docx", "A 37683-2024")</f>
        <v/>
      </c>
      <c r="W81">
        <f>HYPERLINK("https://klasma.github.io/Logging_0580/klagomålsmail/A 37683-2024 FSC-klagomål mail.docx", "A 37683-2024")</f>
        <v/>
      </c>
      <c r="X81">
        <f>HYPERLINK("https://klasma.github.io/Logging_0580/tillsyn/A 37683-2024 tillsynsbegäran.docx", "A 37683-2024")</f>
        <v/>
      </c>
      <c r="Y81">
        <f>HYPERLINK("https://klasma.github.io/Logging_0580/tillsynsmail/A 37683-2024 tillsynsbegäran mail.docx", "A 37683-2024")</f>
        <v/>
      </c>
    </row>
    <row r="82" ht="15" customHeight="1">
      <c r="A82" t="inlineStr">
        <is>
          <t>A 35948-2023</t>
        </is>
      </c>
      <c r="B82" s="1" t="n">
        <v>45148</v>
      </c>
      <c r="C82" s="1" t="n">
        <v>46087</v>
      </c>
      <c r="D82" t="inlineStr">
        <is>
          <t>ÖSTERGÖTLANDS LÄN</t>
        </is>
      </c>
      <c r="E82" t="inlineStr">
        <is>
          <t>LINKÖPING</t>
        </is>
      </c>
      <c r="G82" t="n">
        <v>1.9</v>
      </c>
      <c r="H82" t="n">
        <v>0</v>
      </c>
      <c r="I82" t="n">
        <v>1</v>
      </c>
      <c r="J82" t="n">
        <v>0</v>
      </c>
      <c r="K82" t="n">
        <v>0</v>
      </c>
      <c r="L82" t="n">
        <v>0</v>
      </c>
      <c r="M82" t="n">
        <v>0</v>
      </c>
      <c r="N82" t="n">
        <v>0</v>
      </c>
      <c r="O82" t="n">
        <v>0</v>
      </c>
      <c r="P82" t="n">
        <v>0</v>
      </c>
      <c r="Q82" t="n">
        <v>1</v>
      </c>
      <c r="R82" s="2" t="inlineStr">
        <is>
          <t>Brun nållav</t>
        </is>
      </c>
      <c r="S82">
        <f>HYPERLINK("https://klasma.github.io/Logging_0580/artfynd/A 35948-2023 artfynd.xlsx", "A 35948-2023")</f>
        <v/>
      </c>
      <c r="T82">
        <f>HYPERLINK("https://klasma.github.io/Logging_0580/kartor/A 35948-2023 karta.png", "A 35948-2023")</f>
        <v/>
      </c>
      <c r="V82">
        <f>HYPERLINK("https://klasma.github.io/Logging_0580/klagomål/A 35948-2023 FSC-klagomål.docx", "A 35948-2023")</f>
        <v/>
      </c>
      <c r="W82">
        <f>HYPERLINK("https://klasma.github.io/Logging_0580/klagomålsmail/A 35948-2023 FSC-klagomål mail.docx", "A 35948-2023")</f>
        <v/>
      </c>
      <c r="X82">
        <f>HYPERLINK("https://klasma.github.io/Logging_0580/tillsyn/A 35948-2023 tillsynsbegäran.docx", "A 35948-2023")</f>
        <v/>
      </c>
      <c r="Y82">
        <f>HYPERLINK("https://klasma.github.io/Logging_0580/tillsynsmail/A 35948-2023 tillsynsbegäran mail.docx", "A 35948-2023")</f>
        <v/>
      </c>
    </row>
    <row r="83" ht="15" customHeight="1">
      <c r="A83" t="inlineStr">
        <is>
          <t>A 56651-2023</t>
        </is>
      </c>
      <c r="B83" s="1" t="n">
        <v>45243</v>
      </c>
      <c r="C83" s="1" t="n">
        <v>46087</v>
      </c>
      <c r="D83" t="inlineStr">
        <is>
          <t>ÖSTERGÖTLANDS LÄN</t>
        </is>
      </c>
      <c r="E83" t="inlineStr">
        <is>
          <t>LINKÖPING</t>
        </is>
      </c>
      <c r="F83" t="inlineStr">
        <is>
          <t>Övriga Aktiebolag</t>
        </is>
      </c>
      <c r="G83" t="n">
        <v>2.3</v>
      </c>
      <c r="H83" t="n">
        <v>0</v>
      </c>
      <c r="I83" t="n">
        <v>0</v>
      </c>
      <c r="J83" t="n">
        <v>1</v>
      </c>
      <c r="K83" t="n">
        <v>0</v>
      </c>
      <c r="L83" t="n">
        <v>0</v>
      </c>
      <c r="M83" t="n">
        <v>0</v>
      </c>
      <c r="N83" t="n">
        <v>0</v>
      </c>
      <c r="O83" t="n">
        <v>1</v>
      </c>
      <c r="P83" t="n">
        <v>0</v>
      </c>
      <c r="Q83" t="n">
        <v>1</v>
      </c>
      <c r="R83" s="2" t="inlineStr">
        <is>
          <t>Gul dropplav</t>
        </is>
      </c>
      <c r="S83">
        <f>HYPERLINK("https://klasma.github.io/Logging_0580/artfynd/A 56651-2023 artfynd.xlsx", "A 56651-2023")</f>
        <v/>
      </c>
      <c r="T83">
        <f>HYPERLINK("https://klasma.github.io/Logging_0580/kartor/A 56651-2023 karta.png", "A 56651-2023")</f>
        <v/>
      </c>
      <c r="V83">
        <f>HYPERLINK("https://klasma.github.io/Logging_0580/klagomål/A 56651-2023 FSC-klagomål.docx", "A 56651-2023")</f>
        <v/>
      </c>
      <c r="W83">
        <f>HYPERLINK("https://klasma.github.io/Logging_0580/klagomålsmail/A 56651-2023 FSC-klagomål mail.docx", "A 56651-2023")</f>
        <v/>
      </c>
      <c r="X83">
        <f>HYPERLINK("https://klasma.github.io/Logging_0580/tillsyn/A 56651-2023 tillsynsbegäran.docx", "A 56651-2023")</f>
        <v/>
      </c>
      <c r="Y83">
        <f>HYPERLINK("https://klasma.github.io/Logging_0580/tillsynsmail/A 56651-2023 tillsynsbegäran mail.docx", "A 56651-2023")</f>
        <v/>
      </c>
    </row>
    <row r="84" ht="15" customHeight="1">
      <c r="A84" t="inlineStr">
        <is>
          <t>A 59948-2022</t>
        </is>
      </c>
      <c r="B84" s="1" t="n">
        <v>44909</v>
      </c>
      <c r="C84" s="1" t="n">
        <v>46087</v>
      </c>
      <c r="D84" t="inlineStr">
        <is>
          <t>ÖSTERGÖTLANDS LÄN</t>
        </is>
      </c>
      <c r="E84" t="inlineStr">
        <is>
          <t>LINKÖPING</t>
        </is>
      </c>
      <c r="G84" t="n">
        <v>6.7</v>
      </c>
      <c r="H84" t="n">
        <v>0</v>
      </c>
      <c r="I84" t="n">
        <v>0</v>
      </c>
      <c r="J84" t="n">
        <v>0</v>
      </c>
      <c r="K84" t="n">
        <v>0</v>
      </c>
      <c r="L84" t="n">
        <v>0</v>
      </c>
      <c r="M84" t="n">
        <v>1</v>
      </c>
      <c r="N84" t="n">
        <v>0</v>
      </c>
      <c r="O84" t="n">
        <v>1</v>
      </c>
      <c r="P84" t="n">
        <v>1</v>
      </c>
      <c r="Q84" t="n">
        <v>1</v>
      </c>
      <c r="R84" s="2" t="inlineStr">
        <is>
          <t>Skogsalm</t>
        </is>
      </c>
      <c r="S84">
        <f>HYPERLINK("https://klasma.github.io/Logging_0580/artfynd/A 59948-2022 artfynd.xlsx", "A 59948-2022")</f>
        <v/>
      </c>
      <c r="T84">
        <f>HYPERLINK("https://klasma.github.io/Logging_0580/kartor/A 59948-2022 karta.png", "A 59948-2022")</f>
        <v/>
      </c>
      <c r="V84">
        <f>HYPERLINK("https://klasma.github.io/Logging_0580/klagomål/A 59948-2022 FSC-klagomål.docx", "A 59948-2022")</f>
        <v/>
      </c>
      <c r="W84">
        <f>HYPERLINK("https://klasma.github.io/Logging_0580/klagomålsmail/A 59948-2022 FSC-klagomål mail.docx", "A 59948-2022")</f>
        <v/>
      </c>
      <c r="X84">
        <f>HYPERLINK("https://klasma.github.io/Logging_0580/tillsyn/A 59948-2022 tillsynsbegäran.docx", "A 59948-2022")</f>
        <v/>
      </c>
      <c r="Y84">
        <f>HYPERLINK("https://klasma.github.io/Logging_0580/tillsynsmail/A 59948-2022 tillsynsbegäran mail.docx", "A 59948-2022")</f>
        <v/>
      </c>
    </row>
    <row r="85" ht="15" customHeight="1">
      <c r="A85" t="inlineStr">
        <is>
          <t>A 39457-2023</t>
        </is>
      </c>
      <c r="B85" s="1" t="n">
        <v>45166</v>
      </c>
      <c r="C85" s="1" t="n">
        <v>46087</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62071-2023</t>
        </is>
      </c>
      <c r="B86" s="1" t="n">
        <v>45266.73542824074</v>
      </c>
      <c r="C86" s="1" t="n">
        <v>46087</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90-2024</t>
        </is>
      </c>
      <c r="B87" s="1" t="n">
        <v>45293</v>
      </c>
      <c r="C87" s="1" t="n">
        <v>46087</v>
      </c>
      <c r="D87" t="inlineStr">
        <is>
          <t>ÖSTERGÖTLANDS LÄN</t>
        </is>
      </c>
      <c r="E87" t="inlineStr">
        <is>
          <t>LINKÖPING</t>
        </is>
      </c>
      <c r="G87" t="n">
        <v>1.8</v>
      </c>
      <c r="H87" t="n">
        <v>0</v>
      </c>
      <c r="I87" t="n">
        <v>1</v>
      </c>
      <c r="J87" t="n">
        <v>0</v>
      </c>
      <c r="K87" t="n">
        <v>0</v>
      </c>
      <c r="L87" t="n">
        <v>0</v>
      </c>
      <c r="M87" t="n">
        <v>0</v>
      </c>
      <c r="N87" t="n">
        <v>0</v>
      </c>
      <c r="O87" t="n">
        <v>0</v>
      </c>
      <c r="P87" t="n">
        <v>0</v>
      </c>
      <c r="Q87" t="n">
        <v>1</v>
      </c>
      <c r="R87" s="2" t="inlineStr">
        <is>
          <t>Grov fjädermossa</t>
        </is>
      </c>
      <c r="S87">
        <f>HYPERLINK("https://klasma.github.io/Logging_0580/artfynd/A 90-2024 artfynd.xlsx", "A 90-2024")</f>
        <v/>
      </c>
      <c r="T87">
        <f>HYPERLINK("https://klasma.github.io/Logging_0580/kartor/A 90-2024 karta.png", "A 90-2024")</f>
        <v/>
      </c>
      <c r="V87">
        <f>HYPERLINK("https://klasma.github.io/Logging_0580/klagomål/A 90-2024 FSC-klagomål.docx", "A 90-2024")</f>
        <v/>
      </c>
      <c r="W87">
        <f>HYPERLINK("https://klasma.github.io/Logging_0580/klagomålsmail/A 90-2024 FSC-klagomål mail.docx", "A 90-2024")</f>
        <v/>
      </c>
      <c r="X87">
        <f>HYPERLINK("https://klasma.github.io/Logging_0580/tillsyn/A 90-2024 tillsynsbegäran.docx", "A 90-2024")</f>
        <v/>
      </c>
      <c r="Y87">
        <f>HYPERLINK("https://klasma.github.io/Logging_0580/tillsynsmail/A 90-2024 tillsynsbegäran mail.docx", "A 90-2024")</f>
        <v/>
      </c>
    </row>
    <row r="88" ht="15" customHeight="1">
      <c r="A88" t="inlineStr">
        <is>
          <t>A 17444-2025</t>
        </is>
      </c>
      <c r="B88" s="1" t="n">
        <v>45757.43452546297</v>
      </c>
      <c r="C88" s="1" t="n">
        <v>46087</v>
      </c>
      <c r="D88" t="inlineStr">
        <is>
          <t>ÖSTERGÖTLANDS LÄN</t>
        </is>
      </c>
      <c r="E88" t="inlineStr">
        <is>
          <t>LINKÖPING</t>
        </is>
      </c>
      <c r="G88" t="n">
        <v>1.3</v>
      </c>
      <c r="H88" t="n">
        <v>1</v>
      </c>
      <c r="I88" t="n">
        <v>0</v>
      </c>
      <c r="J88" t="n">
        <v>1</v>
      </c>
      <c r="K88" t="n">
        <v>0</v>
      </c>
      <c r="L88" t="n">
        <v>0</v>
      </c>
      <c r="M88" t="n">
        <v>0</v>
      </c>
      <c r="N88" t="n">
        <v>0</v>
      </c>
      <c r="O88" t="n">
        <v>1</v>
      </c>
      <c r="P88" t="n">
        <v>0</v>
      </c>
      <c r="Q88" t="n">
        <v>1</v>
      </c>
      <c r="R88" s="2" t="inlineStr">
        <is>
          <t>Dårgräsfjäril</t>
        </is>
      </c>
      <c r="S88">
        <f>HYPERLINK("https://klasma.github.io/Logging_0580/artfynd/A 17444-2025 artfynd.xlsx", "A 17444-2025")</f>
        <v/>
      </c>
      <c r="T88">
        <f>HYPERLINK("https://klasma.github.io/Logging_0580/kartor/A 17444-2025 karta.png", "A 17444-2025")</f>
        <v/>
      </c>
      <c r="V88">
        <f>HYPERLINK("https://klasma.github.io/Logging_0580/klagomål/A 17444-2025 FSC-klagomål.docx", "A 17444-2025")</f>
        <v/>
      </c>
      <c r="W88">
        <f>HYPERLINK("https://klasma.github.io/Logging_0580/klagomålsmail/A 17444-2025 FSC-klagomål mail.docx", "A 17444-2025")</f>
        <v/>
      </c>
      <c r="X88">
        <f>HYPERLINK("https://klasma.github.io/Logging_0580/tillsyn/A 17444-2025 tillsynsbegäran.docx", "A 17444-2025")</f>
        <v/>
      </c>
      <c r="Y88">
        <f>HYPERLINK("https://klasma.github.io/Logging_0580/tillsynsmail/A 17444-2025 tillsynsbegäran mail.docx", "A 17444-2025")</f>
        <v/>
      </c>
    </row>
    <row r="89" ht="15" customHeight="1">
      <c r="A89" t="inlineStr">
        <is>
          <t>A 40309-2024</t>
        </is>
      </c>
      <c r="B89" s="1" t="n">
        <v>45554.724375</v>
      </c>
      <c r="C89" s="1" t="n">
        <v>46087</v>
      </c>
      <c r="D89" t="inlineStr">
        <is>
          <t>ÖSTERGÖTLANDS LÄN</t>
        </is>
      </c>
      <c r="E89" t="inlineStr">
        <is>
          <t>LINKÖPING</t>
        </is>
      </c>
      <c r="F89" t="inlineStr">
        <is>
          <t>Allmännings- och besparingsskogar</t>
        </is>
      </c>
      <c r="G89" t="n">
        <v>6</v>
      </c>
      <c r="H89" t="n">
        <v>0</v>
      </c>
      <c r="I89" t="n">
        <v>0</v>
      </c>
      <c r="J89" t="n">
        <v>1</v>
      </c>
      <c r="K89" t="n">
        <v>0</v>
      </c>
      <c r="L89" t="n">
        <v>0</v>
      </c>
      <c r="M89" t="n">
        <v>0</v>
      </c>
      <c r="N89" t="n">
        <v>0</v>
      </c>
      <c r="O89" t="n">
        <v>1</v>
      </c>
      <c r="P89" t="n">
        <v>0</v>
      </c>
      <c r="Q89" t="n">
        <v>1</v>
      </c>
      <c r="R89" s="2" t="inlineStr">
        <is>
          <t>Garnlav</t>
        </is>
      </c>
      <c r="S89">
        <f>HYPERLINK("https://klasma.github.io/Logging_0580/artfynd/A 40309-2024 artfynd.xlsx", "A 40309-2024")</f>
        <v/>
      </c>
      <c r="T89">
        <f>HYPERLINK("https://klasma.github.io/Logging_0580/kartor/A 40309-2024 karta.png", "A 40309-2024")</f>
        <v/>
      </c>
      <c r="V89">
        <f>HYPERLINK("https://klasma.github.io/Logging_0580/klagomål/A 40309-2024 FSC-klagomål.docx", "A 40309-2024")</f>
        <v/>
      </c>
      <c r="W89">
        <f>HYPERLINK("https://klasma.github.io/Logging_0580/klagomålsmail/A 40309-2024 FSC-klagomål mail.docx", "A 40309-2024")</f>
        <v/>
      </c>
      <c r="X89">
        <f>HYPERLINK("https://klasma.github.io/Logging_0580/tillsyn/A 40309-2024 tillsynsbegäran.docx", "A 40309-2024")</f>
        <v/>
      </c>
      <c r="Y89">
        <f>HYPERLINK("https://klasma.github.io/Logging_0580/tillsynsmail/A 40309-2024 tillsynsbegäran mail.docx", "A 40309-2024")</f>
        <v/>
      </c>
    </row>
    <row r="90" ht="15" customHeight="1">
      <c r="A90" t="inlineStr">
        <is>
          <t>A 15290-2025</t>
        </is>
      </c>
      <c r="B90" s="1" t="n">
        <v>45745.45288194445</v>
      </c>
      <c r="C90" s="1" t="n">
        <v>46087</v>
      </c>
      <c r="D90" t="inlineStr">
        <is>
          <t>ÖSTERGÖTLANDS LÄN</t>
        </is>
      </c>
      <c r="E90" t="inlineStr">
        <is>
          <t>LINKÖPING</t>
        </is>
      </c>
      <c r="G90" t="n">
        <v>18.4</v>
      </c>
      <c r="H90" t="n">
        <v>1</v>
      </c>
      <c r="I90" t="n">
        <v>0</v>
      </c>
      <c r="J90" t="n">
        <v>1</v>
      </c>
      <c r="K90" t="n">
        <v>0</v>
      </c>
      <c r="L90" t="n">
        <v>0</v>
      </c>
      <c r="M90" t="n">
        <v>0</v>
      </c>
      <c r="N90" t="n">
        <v>0</v>
      </c>
      <c r="O90" t="n">
        <v>1</v>
      </c>
      <c r="P90" t="n">
        <v>0</v>
      </c>
      <c r="Q90" t="n">
        <v>1</v>
      </c>
      <c r="R90" s="2" t="inlineStr">
        <is>
          <t>Havsörn</t>
        </is>
      </c>
      <c r="S90">
        <f>HYPERLINK("https://klasma.github.io/Logging_0580/artfynd/A 15290-2025 artfynd.xlsx", "A 15290-2025")</f>
        <v/>
      </c>
      <c r="T90">
        <f>HYPERLINK("https://klasma.github.io/Logging_0580/kartor/A 15290-2025 karta.png", "A 15290-2025")</f>
        <v/>
      </c>
      <c r="V90">
        <f>HYPERLINK("https://klasma.github.io/Logging_0580/klagomål/A 15290-2025 FSC-klagomål.docx", "A 15290-2025")</f>
        <v/>
      </c>
      <c r="W90">
        <f>HYPERLINK("https://klasma.github.io/Logging_0580/klagomålsmail/A 15290-2025 FSC-klagomål mail.docx", "A 15290-2025")</f>
        <v/>
      </c>
      <c r="X90">
        <f>HYPERLINK("https://klasma.github.io/Logging_0580/tillsyn/A 15290-2025 tillsynsbegäran.docx", "A 15290-2025")</f>
        <v/>
      </c>
      <c r="Y90">
        <f>HYPERLINK("https://klasma.github.io/Logging_0580/tillsynsmail/A 15290-2025 tillsynsbegäran mail.docx", "A 15290-2025")</f>
        <v/>
      </c>
      <c r="Z90">
        <f>HYPERLINK("https://klasma.github.io/Logging_0580/fåglar/A 15290-2025 prioriterade fågelarter.docx", "A 15290-2025")</f>
        <v/>
      </c>
    </row>
    <row r="91" ht="15" customHeight="1">
      <c r="A91" t="inlineStr">
        <is>
          <t>A 1716-2023</t>
        </is>
      </c>
      <c r="B91" s="1" t="n">
        <v>44938</v>
      </c>
      <c r="C91" s="1" t="n">
        <v>46087</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931-2025</t>
        </is>
      </c>
      <c r="B92" s="1" t="n">
        <v>45665.88498842593</v>
      </c>
      <c r="C92" s="1" t="n">
        <v>46087</v>
      </c>
      <c r="D92" t="inlineStr">
        <is>
          <t>ÖSTERGÖTLANDS LÄN</t>
        </is>
      </c>
      <c r="E92" t="inlineStr">
        <is>
          <t>LINKÖPING</t>
        </is>
      </c>
      <c r="F92" t="inlineStr">
        <is>
          <t>Övriga Aktiebolag</t>
        </is>
      </c>
      <c r="G92" t="n">
        <v>0.8</v>
      </c>
      <c r="H92" t="n">
        <v>0</v>
      </c>
      <c r="I92" t="n">
        <v>0</v>
      </c>
      <c r="J92" t="n">
        <v>1</v>
      </c>
      <c r="K92" t="n">
        <v>0</v>
      </c>
      <c r="L92" t="n">
        <v>0</v>
      </c>
      <c r="M92" t="n">
        <v>0</v>
      </c>
      <c r="N92" t="n">
        <v>0</v>
      </c>
      <c r="O92" t="n">
        <v>1</v>
      </c>
      <c r="P92" t="n">
        <v>0</v>
      </c>
      <c r="Q92" t="n">
        <v>1</v>
      </c>
      <c r="R92" s="2" t="inlineStr">
        <is>
          <t>Tallticka</t>
        </is>
      </c>
      <c r="S92">
        <f>HYPERLINK("https://klasma.github.io/Logging_0580/artfynd/A 931-2025 artfynd.xlsx", "A 931-2025")</f>
        <v/>
      </c>
      <c r="T92">
        <f>HYPERLINK("https://klasma.github.io/Logging_0580/kartor/A 931-2025 karta.png", "A 931-2025")</f>
        <v/>
      </c>
      <c r="V92">
        <f>HYPERLINK("https://klasma.github.io/Logging_0580/klagomål/A 931-2025 FSC-klagomål.docx", "A 931-2025")</f>
        <v/>
      </c>
      <c r="W92">
        <f>HYPERLINK("https://klasma.github.io/Logging_0580/klagomålsmail/A 931-2025 FSC-klagomål mail.docx", "A 931-2025")</f>
        <v/>
      </c>
      <c r="X92">
        <f>HYPERLINK("https://klasma.github.io/Logging_0580/tillsyn/A 931-2025 tillsynsbegäran.docx", "A 931-2025")</f>
        <v/>
      </c>
      <c r="Y92">
        <f>HYPERLINK("https://klasma.github.io/Logging_0580/tillsynsmail/A 931-2025 tillsynsbegäran mail.docx", "A 931-2025")</f>
        <v/>
      </c>
    </row>
    <row r="93" ht="15" customHeight="1">
      <c r="A93" t="inlineStr">
        <is>
          <t>A 126-2024</t>
        </is>
      </c>
      <c r="B93" s="1" t="n">
        <v>45294</v>
      </c>
      <c r="C93" s="1" t="n">
        <v>46087</v>
      </c>
      <c r="D93" t="inlineStr">
        <is>
          <t>ÖSTERGÖTLANDS LÄN</t>
        </is>
      </c>
      <c r="E93" t="inlineStr">
        <is>
          <t>LINKÖPING</t>
        </is>
      </c>
      <c r="G93" t="n">
        <v>1</v>
      </c>
      <c r="H93" t="n">
        <v>0</v>
      </c>
      <c r="I93" t="n">
        <v>1</v>
      </c>
      <c r="J93" t="n">
        <v>0</v>
      </c>
      <c r="K93" t="n">
        <v>0</v>
      </c>
      <c r="L93" t="n">
        <v>0</v>
      </c>
      <c r="M93" t="n">
        <v>0</v>
      </c>
      <c r="N93" t="n">
        <v>0</v>
      </c>
      <c r="O93" t="n">
        <v>0</v>
      </c>
      <c r="P93" t="n">
        <v>0</v>
      </c>
      <c r="Q93" t="n">
        <v>1</v>
      </c>
      <c r="R93" s="2" t="inlineStr">
        <is>
          <t>Blåmossa</t>
        </is>
      </c>
      <c r="S93">
        <f>HYPERLINK("https://klasma.github.io/Logging_0580/artfynd/A 126-2024 artfynd.xlsx", "A 126-2024")</f>
        <v/>
      </c>
      <c r="T93">
        <f>HYPERLINK("https://klasma.github.io/Logging_0580/kartor/A 126-2024 karta.png", "A 126-2024")</f>
        <v/>
      </c>
      <c r="V93">
        <f>HYPERLINK("https://klasma.github.io/Logging_0580/klagomål/A 126-2024 FSC-klagomål.docx", "A 126-2024")</f>
        <v/>
      </c>
      <c r="W93">
        <f>HYPERLINK("https://klasma.github.io/Logging_0580/klagomålsmail/A 126-2024 FSC-klagomål mail.docx", "A 126-2024")</f>
        <v/>
      </c>
      <c r="X93">
        <f>HYPERLINK("https://klasma.github.io/Logging_0580/tillsyn/A 126-2024 tillsynsbegäran.docx", "A 126-2024")</f>
        <v/>
      </c>
      <c r="Y93">
        <f>HYPERLINK("https://klasma.github.io/Logging_0580/tillsynsmail/A 126-2024 tillsynsbegäran mail.docx", "A 126-2024")</f>
        <v/>
      </c>
    </row>
    <row r="94" ht="15" customHeight="1">
      <c r="A94" t="inlineStr">
        <is>
          <t>A 3395-2023</t>
        </is>
      </c>
      <c r="B94" s="1" t="n">
        <v>44949</v>
      </c>
      <c r="C94" s="1" t="n">
        <v>46087</v>
      </c>
      <c r="D94" t="inlineStr">
        <is>
          <t>ÖSTERGÖTLANDS LÄN</t>
        </is>
      </c>
      <c r="E94" t="inlineStr">
        <is>
          <t>LINKÖPING</t>
        </is>
      </c>
      <c r="G94" t="n">
        <v>2</v>
      </c>
      <c r="H94" t="n">
        <v>0</v>
      </c>
      <c r="I94" t="n">
        <v>0</v>
      </c>
      <c r="J94" t="n">
        <v>1</v>
      </c>
      <c r="K94" t="n">
        <v>0</v>
      </c>
      <c r="L94" t="n">
        <v>0</v>
      </c>
      <c r="M94" t="n">
        <v>0</v>
      </c>
      <c r="N94" t="n">
        <v>0</v>
      </c>
      <c r="O94" t="n">
        <v>1</v>
      </c>
      <c r="P94" t="n">
        <v>0</v>
      </c>
      <c r="Q94" t="n">
        <v>1</v>
      </c>
      <c r="R94" s="2" t="inlineStr">
        <is>
          <t>Sommarfibbla</t>
        </is>
      </c>
      <c r="S94">
        <f>HYPERLINK("https://klasma.github.io/Logging_0580/artfynd/A 3395-2023 artfynd.xlsx", "A 3395-2023")</f>
        <v/>
      </c>
      <c r="T94">
        <f>HYPERLINK("https://klasma.github.io/Logging_0580/kartor/A 3395-2023 karta.png", "A 3395-2023")</f>
        <v/>
      </c>
      <c r="V94">
        <f>HYPERLINK("https://klasma.github.io/Logging_0580/klagomål/A 3395-2023 FSC-klagomål.docx", "A 3395-2023")</f>
        <v/>
      </c>
      <c r="W94">
        <f>HYPERLINK("https://klasma.github.io/Logging_0580/klagomålsmail/A 3395-2023 FSC-klagomål mail.docx", "A 3395-2023")</f>
        <v/>
      </c>
      <c r="X94">
        <f>HYPERLINK("https://klasma.github.io/Logging_0580/tillsyn/A 3395-2023 tillsynsbegäran.docx", "A 3395-2023")</f>
        <v/>
      </c>
      <c r="Y94">
        <f>HYPERLINK("https://klasma.github.io/Logging_0580/tillsynsmail/A 3395-2023 tillsynsbegäran mail.docx", "A 3395-2023")</f>
        <v/>
      </c>
    </row>
    <row r="95" ht="15" customHeight="1">
      <c r="A95" t="inlineStr">
        <is>
          <t>A 3397-2023</t>
        </is>
      </c>
      <c r="B95" s="1" t="n">
        <v>44949</v>
      </c>
      <c r="C95" s="1" t="n">
        <v>46087</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38881-2021</t>
        </is>
      </c>
      <c r="B96" s="1" t="n">
        <v>44411.46893518518</v>
      </c>
      <c r="C96" s="1" t="n">
        <v>46087</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46087</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46087</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46087</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46087</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46087</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46087</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46087</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46087</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46087</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46087</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46087</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46087</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46087</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46087</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46087</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46087</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46087</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46087</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46087</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46087</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46087</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46087</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46087</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46087</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46087</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46087</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46087</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46087</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46087</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46087</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46087</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46087</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46087</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46087</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46087</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46087</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46087</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46087</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46087</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46087</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46087</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46087</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46087</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46087</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46087</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46087</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46087</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46087</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46087</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46087</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46087</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46087</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46087</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46087</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46087</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46087</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46087</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46087</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46087</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46087</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46087</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46087</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46087</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46087</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46087</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46087</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37934-2022</t>
        </is>
      </c>
      <c r="B163" s="1" t="n">
        <v>44809</v>
      </c>
      <c r="C163" s="1" t="n">
        <v>46087</v>
      </c>
      <c r="D163" t="inlineStr">
        <is>
          <t>ÖSTERGÖTLANDS LÄN</t>
        </is>
      </c>
      <c r="E163" t="inlineStr">
        <is>
          <t>LINKÖPING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46087</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46087</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46087</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46087</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46087</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46087</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46087</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46087</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46087</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46087</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46087</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46087</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46087</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46087</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46087</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46087</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46087</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46087</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46087</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46087</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46087</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46087</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46087</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46087</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46087</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46087</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46087</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46087</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46087</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46087</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46087</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46087</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46087</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46087</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12035-2025</t>
        </is>
      </c>
      <c r="B198" s="1" t="n">
        <v>45728.64946759259</v>
      </c>
      <c r="C198" s="1" t="n">
        <v>46087</v>
      </c>
      <c r="D198" t="inlineStr">
        <is>
          <t>ÖSTERGÖTLANDS LÄN</t>
        </is>
      </c>
      <c r="E198" t="inlineStr">
        <is>
          <t>LINKÖPING</t>
        </is>
      </c>
      <c r="G198" t="n">
        <v>3.7</v>
      </c>
      <c r="H198" t="n">
        <v>0</v>
      </c>
      <c r="I198" t="n">
        <v>0</v>
      </c>
      <c r="J198" t="n">
        <v>0</v>
      </c>
      <c r="K198" t="n">
        <v>0</v>
      </c>
      <c r="L198" t="n">
        <v>0</v>
      </c>
      <c r="M198" t="n">
        <v>0</v>
      </c>
      <c r="N198" t="n">
        <v>0</v>
      </c>
      <c r="O198" t="n">
        <v>0</v>
      </c>
      <c r="P198" t="n">
        <v>0</v>
      </c>
      <c r="Q198" t="n">
        <v>0</v>
      </c>
      <c r="R198" s="2" t="inlineStr"/>
    </row>
    <row r="199" ht="15" customHeight="1">
      <c r="A199" t="inlineStr">
        <is>
          <t>A 39021-2021</t>
        </is>
      </c>
      <c r="B199" s="1" t="n">
        <v>44412</v>
      </c>
      <c r="C199" s="1" t="n">
        <v>46087</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10407-2025</t>
        </is>
      </c>
      <c r="B200" s="1" t="n">
        <v>45720.62863425926</v>
      </c>
      <c r="C200" s="1" t="n">
        <v>46087</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51484-2023</t>
        </is>
      </c>
      <c r="B201" s="1" t="n">
        <v>45222</v>
      </c>
      <c r="C201" s="1" t="n">
        <v>46087</v>
      </c>
      <c r="D201" t="inlineStr">
        <is>
          <t>ÖSTERGÖTLANDS LÄN</t>
        </is>
      </c>
      <c r="E201" t="inlineStr">
        <is>
          <t>LINKÖPING</t>
        </is>
      </c>
      <c r="F201" t="inlineStr">
        <is>
          <t>Övriga Aktiebolag</t>
        </is>
      </c>
      <c r="G201" t="n">
        <v>7.7</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46087</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63688-2023</t>
        </is>
      </c>
      <c r="B203" s="1" t="n">
        <v>45275</v>
      </c>
      <c r="C203" s="1" t="n">
        <v>46087</v>
      </c>
      <c r="D203" t="inlineStr">
        <is>
          <t>ÖSTERGÖTLANDS LÄN</t>
        </is>
      </c>
      <c r="E203" t="inlineStr">
        <is>
          <t>LINKÖPING</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63691-2023</t>
        </is>
      </c>
      <c r="B204" s="1" t="n">
        <v>45275</v>
      </c>
      <c r="C204" s="1" t="n">
        <v>46087</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34557-2022</t>
        </is>
      </c>
      <c r="B205" s="1" t="n">
        <v>44794.57074074074</v>
      </c>
      <c r="C205" s="1" t="n">
        <v>46087</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46087</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17157-2024</t>
        </is>
      </c>
      <c r="B207" s="1" t="n">
        <v>45412.70567129629</v>
      </c>
      <c r="C207" s="1" t="n">
        <v>46087</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5872-2025</t>
        </is>
      </c>
      <c r="B208" s="1" t="n">
        <v>45695.36659722222</v>
      </c>
      <c r="C208" s="1" t="n">
        <v>46087</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48343-2025</t>
        </is>
      </c>
      <c r="B209" s="1" t="n">
        <v>45932</v>
      </c>
      <c r="C209" s="1" t="n">
        <v>46087</v>
      </c>
      <c r="D209" t="inlineStr">
        <is>
          <t>ÖSTERGÖTLANDS LÄN</t>
        </is>
      </c>
      <c r="E209" t="inlineStr">
        <is>
          <t>LINKÖPING</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59674-2024</t>
        </is>
      </c>
      <c r="B210" s="1" t="n">
        <v>45639</v>
      </c>
      <c r="C210" s="1" t="n">
        <v>46087</v>
      </c>
      <c r="D210" t="inlineStr">
        <is>
          <t>ÖSTERGÖTLANDS LÄN</t>
        </is>
      </c>
      <c r="E210" t="inlineStr">
        <is>
          <t>LINKÖPING</t>
        </is>
      </c>
      <c r="G210" t="n">
        <v>6.3</v>
      </c>
      <c r="H210" t="n">
        <v>0</v>
      </c>
      <c r="I210" t="n">
        <v>0</v>
      </c>
      <c r="J210" t="n">
        <v>0</v>
      </c>
      <c r="K210" t="n">
        <v>0</v>
      </c>
      <c r="L210" t="n">
        <v>0</v>
      </c>
      <c r="M210" t="n">
        <v>0</v>
      </c>
      <c r="N210" t="n">
        <v>0</v>
      </c>
      <c r="O210" t="n">
        <v>0</v>
      </c>
      <c r="P210" t="n">
        <v>0</v>
      </c>
      <c r="Q210" t="n">
        <v>0</v>
      </c>
      <c r="R210" s="2" t="inlineStr"/>
    </row>
    <row r="211" ht="15" customHeight="1">
      <c r="A211" t="inlineStr">
        <is>
          <t>A 47606-2025</t>
        </is>
      </c>
      <c r="B211" s="1" t="n">
        <v>45931.46402777778</v>
      </c>
      <c r="C211" s="1" t="n">
        <v>46087</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59576-2024</t>
        </is>
      </c>
      <c r="B212" s="1" t="n">
        <v>45638.66378472222</v>
      </c>
      <c r="C212" s="1" t="n">
        <v>46087</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13689-2025</t>
        </is>
      </c>
      <c r="B213" s="1" t="n">
        <v>45737.31590277778</v>
      </c>
      <c r="C213" s="1" t="n">
        <v>46087</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13696-2025</t>
        </is>
      </c>
      <c r="B214" s="1" t="n">
        <v>45737.32273148148</v>
      </c>
      <c r="C214" s="1" t="n">
        <v>46087</v>
      </c>
      <c r="D214" t="inlineStr">
        <is>
          <t>ÖSTERGÖTLANDS LÄN</t>
        </is>
      </c>
      <c r="E214" t="inlineStr">
        <is>
          <t>LINKÖPING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12428-2024</t>
        </is>
      </c>
      <c r="B215" s="1" t="n">
        <v>45379</v>
      </c>
      <c r="C215" s="1" t="n">
        <v>46087</v>
      </c>
      <c r="D215" t="inlineStr">
        <is>
          <t>ÖSTERGÖTLANDS LÄN</t>
        </is>
      </c>
      <c r="E215" t="inlineStr">
        <is>
          <t>LINKÖPING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48254-2025</t>
        </is>
      </c>
      <c r="B216" s="1" t="n">
        <v>45932</v>
      </c>
      <c r="C216" s="1" t="n">
        <v>46087</v>
      </c>
      <c r="D216" t="inlineStr">
        <is>
          <t>ÖSTERGÖTLANDS LÄN</t>
        </is>
      </c>
      <c r="E216" t="inlineStr">
        <is>
          <t>LINKÖPING</t>
        </is>
      </c>
      <c r="F216" t="inlineStr">
        <is>
          <t>Övriga Aktiebolag</t>
        </is>
      </c>
      <c r="G216" t="n">
        <v>0.8</v>
      </c>
      <c r="H216" t="n">
        <v>0</v>
      </c>
      <c r="I216" t="n">
        <v>0</v>
      </c>
      <c r="J216" t="n">
        <v>0</v>
      </c>
      <c r="K216" t="n">
        <v>0</v>
      </c>
      <c r="L216" t="n">
        <v>0</v>
      </c>
      <c r="M216" t="n">
        <v>0</v>
      </c>
      <c r="N216" t="n">
        <v>0</v>
      </c>
      <c r="O216" t="n">
        <v>0</v>
      </c>
      <c r="P216" t="n">
        <v>0</v>
      </c>
      <c r="Q216" t="n">
        <v>0</v>
      </c>
      <c r="R216" s="2" t="inlineStr"/>
    </row>
    <row r="217" ht="15" customHeight="1">
      <c r="A217" t="inlineStr">
        <is>
          <t>A 48266-2025</t>
        </is>
      </c>
      <c r="B217" s="1" t="n">
        <v>45932</v>
      </c>
      <c r="C217" s="1" t="n">
        <v>46087</v>
      </c>
      <c r="D217" t="inlineStr">
        <is>
          <t>ÖSTERGÖTLANDS LÄN</t>
        </is>
      </c>
      <c r="E217" t="inlineStr">
        <is>
          <t>LINKÖPING</t>
        </is>
      </c>
      <c r="F217" t="inlineStr">
        <is>
          <t>Övriga Aktiebolag</t>
        </is>
      </c>
      <c r="G217" t="n">
        <v>0.5</v>
      </c>
      <c r="H217" t="n">
        <v>0</v>
      </c>
      <c r="I217" t="n">
        <v>0</v>
      </c>
      <c r="J217" t="n">
        <v>0</v>
      </c>
      <c r="K217" t="n">
        <v>0</v>
      </c>
      <c r="L217" t="n">
        <v>0</v>
      </c>
      <c r="M217" t="n">
        <v>0</v>
      </c>
      <c r="N217" t="n">
        <v>0</v>
      </c>
      <c r="O217" t="n">
        <v>0</v>
      </c>
      <c r="P217" t="n">
        <v>0</v>
      </c>
      <c r="Q217" t="n">
        <v>0</v>
      </c>
      <c r="R217" s="2" t="inlineStr"/>
    </row>
    <row r="218" ht="15" customHeight="1">
      <c r="A218" t="inlineStr">
        <is>
          <t>A 51583-2024</t>
        </is>
      </c>
      <c r="B218" s="1" t="n">
        <v>45604.6397337963</v>
      </c>
      <c r="C218" s="1" t="n">
        <v>46087</v>
      </c>
      <c r="D218" t="inlineStr">
        <is>
          <t>ÖSTERGÖTLANDS LÄN</t>
        </is>
      </c>
      <c r="E218" t="inlineStr">
        <is>
          <t>LINKÖPING</t>
        </is>
      </c>
      <c r="F218" t="inlineStr">
        <is>
          <t>Övriga Aktiebolag</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3008-2023</t>
        </is>
      </c>
      <c r="B219" s="1" t="n">
        <v>44945.79784722222</v>
      </c>
      <c r="C219" s="1" t="n">
        <v>46087</v>
      </c>
      <c r="D219" t="inlineStr">
        <is>
          <t>ÖSTERGÖTLANDS LÄN</t>
        </is>
      </c>
      <c r="E219" t="inlineStr">
        <is>
          <t>LINKÖPING</t>
        </is>
      </c>
      <c r="G219" t="n">
        <v>19.3</v>
      </c>
      <c r="H219" t="n">
        <v>0</v>
      </c>
      <c r="I219" t="n">
        <v>0</v>
      </c>
      <c r="J219" t="n">
        <v>0</v>
      </c>
      <c r="K219" t="n">
        <v>0</v>
      </c>
      <c r="L219" t="n">
        <v>0</v>
      </c>
      <c r="M219" t="n">
        <v>0</v>
      </c>
      <c r="N219" t="n">
        <v>0</v>
      </c>
      <c r="O219" t="n">
        <v>0</v>
      </c>
      <c r="P219" t="n">
        <v>0</v>
      </c>
      <c r="Q219" t="n">
        <v>0</v>
      </c>
      <c r="R219" s="2" t="inlineStr"/>
    </row>
    <row r="220" ht="15" customHeight="1">
      <c r="A220" t="inlineStr">
        <is>
          <t>A 62019-2024</t>
        </is>
      </c>
      <c r="B220" s="1" t="n">
        <v>45655.82</v>
      </c>
      <c r="C220" s="1" t="n">
        <v>46087</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38317-2024</t>
        </is>
      </c>
      <c r="B221" s="1" t="n">
        <v>45545.65766203704</v>
      </c>
      <c r="C221" s="1" t="n">
        <v>46087</v>
      </c>
      <c r="D221" t="inlineStr">
        <is>
          <t>ÖSTERGÖTLANDS LÄN</t>
        </is>
      </c>
      <c r="E221" t="inlineStr">
        <is>
          <t>LINKÖPING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55345-2021</t>
        </is>
      </c>
      <c r="B222" s="1" t="n">
        <v>44475</v>
      </c>
      <c r="C222" s="1" t="n">
        <v>46087</v>
      </c>
      <c r="D222" t="inlineStr">
        <is>
          <t>ÖSTERGÖTLANDS LÄN</t>
        </is>
      </c>
      <c r="E222" t="inlineStr">
        <is>
          <t>LINKÖPING</t>
        </is>
      </c>
      <c r="G222" t="n">
        <v>5.7</v>
      </c>
      <c r="H222" t="n">
        <v>0</v>
      </c>
      <c r="I222" t="n">
        <v>0</v>
      </c>
      <c r="J222" t="n">
        <v>0</v>
      </c>
      <c r="K222" t="n">
        <v>0</v>
      </c>
      <c r="L222" t="n">
        <v>0</v>
      </c>
      <c r="M222" t="n">
        <v>0</v>
      </c>
      <c r="N222" t="n">
        <v>0</v>
      </c>
      <c r="O222" t="n">
        <v>0</v>
      </c>
      <c r="P222" t="n">
        <v>0</v>
      </c>
      <c r="Q222" t="n">
        <v>0</v>
      </c>
      <c r="R222" s="2" t="inlineStr"/>
    </row>
    <row r="223" ht="15" customHeight="1">
      <c r="A223" t="inlineStr">
        <is>
          <t>A 50182-2023</t>
        </is>
      </c>
      <c r="B223" s="1" t="n">
        <v>45208</v>
      </c>
      <c r="C223" s="1" t="n">
        <v>46087</v>
      </c>
      <c r="D223" t="inlineStr">
        <is>
          <t>ÖSTERGÖTLANDS LÄN</t>
        </is>
      </c>
      <c r="E223" t="inlineStr">
        <is>
          <t>LINKÖPING</t>
        </is>
      </c>
      <c r="G223" t="n">
        <v>2.5</v>
      </c>
      <c r="H223" t="n">
        <v>0</v>
      </c>
      <c r="I223" t="n">
        <v>0</v>
      </c>
      <c r="J223" t="n">
        <v>0</v>
      </c>
      <c r="K223" t="n">
        <v>0</v>
      </c>
      <c r="L223" t="n">
        <v>0</v>
      </c>
      <c r="M223" t="n">
        <v>0</v>
      </c>
      <c r="N223" t="n">
        <v>0</v>
      </c>
      <c r="O223" t="n">
        <v>0</v>
      </c>
      <c r="P223" t="n">
        <v>0</v>
      </c>
      <c r="Q223" t="n">
        <v>0</v>
      </c>
      <c r="R223" s="2" t="inlineStr"/>
    </row>
    <row r="224" ht="15" customHeight="1">
      <c r="A224" t="inlineStr">
        <is>
          <t>A 46225-2021</t>
        </is>
      </c>
      <c r="B224" s="1" t="n">
        <v>44442</v>
      </c>
      <c r="C224" s="1" t="n">
        <v>46087</v>
      </c>
      <c r="D224" t="inlineStr">
        <is>
          <t>ÖSTERGÖTLANDS LÄN</t>
        </is>
      </c>
      <c r="E224" t="inlineStr">
        <is>
          <t>LINKÖPING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54428-2022</t>
        </is>
      </c>
      <c r="B225" s="1" t="n">
        <v>44882.57643518518</v>
      </c>
      <c r="C225" s="1" t="n">
        <v>46087</v>
      </c>
      <c r="D225" t="inlineStr">
        <is>
          <t>ÖSTERGÖTLANDS LÄN</t>
        </is>
      </c>
      <c r="E225" t="inlineStr">
        <is>
          <t>LINKÖPING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1844-2025</t>
        </is>
      </c>
      <c r="B226" s="1" t="n">
        <v>45671.57730324074</v>
      </c>
      <c r="C226" s="1" t="n">
        <v>46087</v>
      </c>
      <c r="D226" t="inlineStr">
        <is>
          <t>ÖSTERGÖTLANDS LÄN</t>
        </is>
      </c>
      <c r="E226" t="inlineStr">
        <is>
          <t>LINKÖPING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11790-2024</t>
        </is>
      </c>
      <c r="B227" s="1" t="n">
        <v>45374</v>
      </c>
      <c r="C227" s="1" t="n">
        <v>46087</v>
      </c>
      <c r="D227" t="inlineStr">
        <is>
          <t>ÖSTERGÖTLANDS LÄN</t>
        </is>
      </c>
      <c r="E227" t="inlineStr">
        <is>
          <t>LINKÖPING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61281-2021</t>
        </is>
      </c>
      <c r="B228" s="1" t="n">
        <v>44498.60736111111</v>
      </c>
      <c r="C228" s="1" t="n">
        <v>46087</v>
      </c>
      <c r="D228" t="inlineStr">
        <is>
          <t>ÖSTERGÖTLANDS LÄN</t>
        </is>
      </c>
      <c r="E228" t="inlineStr">
        <is>
          <t>LINKÖPING</t>
        </is>
      </c>
      <c r="G228" t="n">
        <v>4.5</v>
      </c>
      <c r="H228" t="n">
        <v>0</v>
      </c>
      <c r="I228" t="n">
        <v>0</v>
      </c>
      <c r="J228" t="n">
        <v>0</v>
      </c>
      <c r="K228" t="n">
        <v>0</v>
      </c>
      <c r="L228" t="n">
        <v>0</v>
      </c>
      <c r="M228" t="n">
        <v>0</v>
      </c>
      <c r="N228" t="n">
        <v>0</v>
      </c>
      <c r="O228" t="n">
        <v>0</v>
      </c>
      <c r="P228" t="n">
        <v>0</v>
      </c>
      <c r="Q228" t="n">
        <v>0</v>
      </c>
      <c r="R228" s="2" t="inlineStr"/>
    </row>
    <row r="229" ht="15" customHeight="1">
      <c r="A229" t="inlineStr">
        <is>
          <t>A 48962-2022</t>
        </is>
      </c>
      <c r="B229" s="1" t="n">
        <v>44860.31635416667</v>
      </c>
      <c r="C229" s="1" t="n">
        <v>46087</v>
      </c>
      <c r="D229" t="inlineStr">
        <is>
          <t>ÖSTERGÖTLANDS LÄN</t>
        </is>
      </c>
      <c r="E229" t="inlineStr">
        <is>
          <t>LINKÖPING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63935-2021</t>
        </is>
      </c>
      <c r="B230" s="1" t="n">
        <v>44509</v>
      </c>
      <c r="C230" s="1" t="n">
        <v>46087</v>
      </c>
      <c r="D230" t="inlineStr">
        <is>
          <t>ÖSTERGÖTLANDS LÄN</t>
        </is>
      </c>
      <c r="E230" t="inlineStr">
        <is>
          <t>LINKÖPING</t>
        </is>
      </c>
      <c r="F230" t="inlineStr">
        <is>
          <t>Övriga statliga verk och myndigheter</t>
        </is>
      </c>
      <c r="G230" t="n">
        <v>2.8</v>
      </c>
      <c r="H230" t="n">
        <v>0</v>
      </c>
      <c r="I230" t="n">
        <v>0</v>
      </c>
      <c r="J230" t="n">
        <v>0</v>
      </c>
      <c r="K230" t="n">
        <v>0</v>
      </c>
      <c r="L230" t="n">
        <v>0</v>
      </c>
      <c r="M230" t="n">
        <v>0</v>
      </c>
      <c r="N230" t="n">
        <v>0</v>
      </c>
      <c r="O230" t="n">
        <v>0</v>
      </c>
      <c r="P230" t="n">
        <v>0</v>
      </c>
      <c r="Q230" t="n">
        <v>0</v>
      </c>
      <c r="R230" s="2" t="inlineStr"/>
    </row>
    <row r="231" ht="15" customHeight="1">
      <c r="A231" t="inlineStr">
        <is>
          <t>A 53647-2021</t>
        </is>
      </c>
      <c r="B231" s="1" t="n">
        <v>44469</v>
      </c>
      <c r="C231" s="1" t="n">
        <v>46087</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22772-2024</t>
        </is>
      </c>
      <c r="B232" s="1" t="n">
        <v>45448.46712962963</v>
      </c>
      <c r="C232" s="1" t="n">
        <v>46087</v>
      </c>
      <c r="D232" t="inlineStr">
        <is>
          <t>ÖSTERGÖTLANDS LÄN</t>
        </is>
      </c>
      <c r="E232" t="inlineStr">
        <is>
          <t>LINKÖPING</t>
        </is>
      </c>
      <c r="F232" t="inlineStr">
        <is>
          <t>Sveaskog</t>
        </is>
      </c>
      <c r="G232" t="n">
        <v>3</v>
      </c>
      <c r="H232" t="n">
        <v>0</v>
      </c>
      <c r="I232" t="n">
        <v>0</v>
      </c>
      <c r="J232" t="n">
        <v>0</v>
      </c>
      <c r="K232" t="n">
        <v>0</v>
      </c>
      <c r="L232" t="n">
        <v>0</v>
      </c>
      <c r="M232" t="n">
        <v>0</v>
      </c>
      <c r="N232" t="n">
        <v>0</v>
      </c>
      <c r="O232" t="n">
        <v>0</v>
      </c>
      <c r="P232" t="n">
        <v>0</v>
      </c>
      <c r="Q232" t="n">
        <v>0</v>
      </c>
      <c r="R232" s="2" t="inlineStr"/>
    </row>
    <row r="233" ht="15" customHeight="1">
      <c r="A233" t="inlineStr">
        <is>
          <t>A 18916-2024</t>
        </is>
      </c>
      <c r="B233" s="1" t="n">
        <v>45427.39541666667</v>
      </c>
      <c r="C233" s="1" t="n">
        <v>46087</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25292-2021</t>
        </is>
      </c>
      <c r="B234" s="1" t="n">
        <v>44342</v>
      </c>
      <c r="C234" s="1" t="n">
        <v>46087</v>
      </c>
      <c r="D234" t="inlineStr">
        <is>
          <t>ÖSTERGÖTLANDS LÄN</t>
        </is>
      </c>
      <c r="E234" t="inlineStr">
        <is>
          <t>LINKÖPING</t>
        </is>
      </c>
      <c r="F234" t="inlineStr">
        <is>
          <t>Övriga Aktiebolag</t>
        </is>
      </c>
      <c r="G234" t="n">
        <v>12.8</v>
      </c>
      <c r="H234" t="n">
        <v>0</v>
      </c>
      <c r="I234" t="n">
        <v>0</v>
      </c>
      <c r="J234" t="n">
        <v>0</v>
      </c>
      <c r="K234" t="n">
        <v>0</v>
      </c>
      <c r="L234" t="n">
        <v>0</v>
      </c>
      <c r="M234" t="n">
        <v>0</v>
      </c>
      <c r="N234" t="n">
        <v>0</v>
      </c>
      <c r="O234" t="n">
        <v>0</v>
      </c>
      <c r="P234" t="n">
        <v>0</v>
      </c>
      <c r="Q234" t="n">
        <v>0</v>
      </c>
      <c r="R234" s="2" t="inlineStr"/>
    </row>
    <row r="235" ht="15" customHeight="1">
      <c r="A235" t="inlineStr">
        <is>
          <t>A 49605-2025</t>
        </is>
      </c>
      <c r="B235" s="1" t="n">
        <v>45938</v>
      </c>
      <c r="C235" s="1" t="n">
        <v>46087</v>
      </c>
      <c r="D235" t="inlineStr">
        <is>
          <t>ÖSTERGÖTLANDS LÄN</t>
        </is>
      </c>
      <c r="E235" t="inlineStr">
        <is>
          <t>LINKÖPING</t>
        </is>
      </c>
      <c r="F235" t="inlineStr">
        <is>
          <t>Övriga Aktiebolag</t>
        </is>
      </c>
      <c r="G235" t="n">
        <v>3.3</v>
      </c>
      <c r="H235" t="n">
        <v>0</v>
      </c>
      <c r="I235" t="n">
        <v>0</v>
      </c>
      <c r="J235" t="n">
        <v>0</v>
      </c>
      <c r="K235" t="n">
        <v>0</v>
      </c>
      <c r="L235" t="n">
        <v>0</v>
      </c>
      <c r="M235" t="n">
        <v>0</v>
      </c>
      <c r="N235" t="n">
        <v>0</v>
      </c>
      <c r="O235" t="n">
        <v>0</v>
      </c>
      <c r="P235" t="n">
        <v>0</v>
      </c>
      <c r="Q235" t="n">
        <v>0</v>
      </c>
      <c r="R235" s="2" t="inlineStr"/>
    </row>
    <row r="236" ht="15" customHeight="1">
      <c r="A236" t="inlineStr">
        <is>
          <t>A 21155-2025</t>
        </is>
      </c>
      <c r="B236" s="1" t="n">
        <v>45779.37586805555</v>
      </c>
      <c r="C236" s="1" t="n">
        <v>46087</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49647-2025</t>
        </is>
      </c>
      <c r="B237" s="1" t="n">
        <v>45938</v>
      </c>
      <c r="C237" s="1" t="n">
        <v>46087</v>
      </c>
      <c r="D237" t="inlineStr">
        <is>
          <t>ÖSTERGÖTLANDS LÄN</t>
        </is>
      </c>
      <c r="E237" t="inlineStr">
        <is>
          <t>LINKÖPING</t>
        </is>
      </c>
      <c r="F237" t="inlineStr">
        <is>
          <t>Övriga Aktiebolag</t>
        </is>
      </c>
      <c r="G237" t="n">
        <v>0.6</v>
      </c>
      <c r="H237" t="n">
        <v>0</v>
      </c>
      <c r="I237" t="n">
        <v>0</v>
      </c>
      <c r="J237" t="n">
        <v>0</v>
      </c>
      <c r="K237" t="n">
        <v>0</v>
      </c>
      <c r="L237" t="n">
        <v>0</v>
      </c>
      <c r="M237" t="n">
        <v>0</v>
      </c>
      <c r="N237" t="n">
        <v>0</v>
      </c>
      <c r="O237" t="n">
        <v>0</v>
      </c>
      <c r="P237" t="n">
        <v>0</v>
      </c>
      <c r="Q237" t="n">
        <v>0</v>
      </c>
      <c r="R237" s="2" t="inlineStr"/>
    </row>
    <row r="238" ht="15" customHeight="1">
      <c r="A238" t="inlineStr">
        <is>
          <t>A 21165-2025</t>
        </is>
      </c>
      <c r="B238" s="1" t="n">
        <v>45779.39417824074</v>
      </c>
      <c r="C238" s="1" t="n">
        <v>46087</v>
      </c>
      <c r="D238" t="inlineStr">
        <is>
          <t>ÖSTERGÖTLANDS LÄN</t>
        </is>
      </c>
      <c r="E238" t="inlineStr">
        <is>
          <t>LINKÖPING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49633-2025</t>
        </is>
      </c>
      <c r="B239" s="1" t="n">
        <v>45938</v>
      </c>
      <c r="C239" s="1" t="n">
        <v>46087</v>
      </c>
      <c r="D239" t="inlineStr">
        <is>
          <t>ÖSTERGÖTLANDS LÄN</t>
        </is>
      </c>
      <c r="E239" t="inlineStr">
        <is>
          <t>LINKÖPING</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49663-2025</t>
        </is>
      </c>
      <c r="B240" s="1" t="n">
        <v>45938</v>
      </c>
      <c r="C240" s="1" t="n">
        <v>46087</v>
      </c>
      <c r="D240" t="inlineStr">
        <is>
          <t>ÖSTERGÖTLANDS LÄN</t>
        </is>
      </c>
      <c r="E240" t="inlineStr">
        <is>
          <t>LINKÖPING</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24586-2024</t>
        </is>
      </c>
      <c r="B241" s="1" t="n">
        <v>45460.46664351852</v>
      </c>
      <c r="C241" s="1" t="n">
        <v>46087</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49455-2025</t>
        </is>
      </c>
      <c r="B242" s="1" t="n">
        <v>45938</v>
      </c>
      <c r="C242" s="1" t="n">
        <v>46087</v>
      </c>
      <c r="D242" t="inlineStr">
        <is>
          <t>ÖSTERGÖTLANDS LÄN</t>
        </is>
      </c>
      <c r="E242" t="inlineStr">
        <is>
          <t>LINKÖPING</t>
        </is>
      </c>
      <c r="F242" t="inlineStr">
        <is>
          <t>Övriga Aktiebolag</t>
        </is>
      </c>
      <c r="G242" t="n">
        <v>5.9</v>
      </c>
      <c r="H242" t="n">
        <v>0</v>
      </c>
      <c r="I242" t="n">
        <v>0</v>
      </c>
      <c r="J242" t="n">
        <v>0</v>
      </c>
      <c r="K242" t="n">
        <v>0</v>
      </c>
      <c r="L242" t="n">
        <v>0</v>
      </c>
      <c r="M242" t="n">
        <v>0</v>
      </c>
      <c r="N242" t="n">
        <v>0</v>
      </c>
      <c r="O242" t="n">
        <v>0</v>
      </c>
      <c r="P242" t="n">
        <v>0</v>
      </c>
      <c r="Q242" t="n">
        <v>0</v>
      </c>
      <c r="R242" s="2" t="inlineStr"/>
    </row>
    <row r="243" ht="15" customHeight="1">
      <c r="A243" t="inlineStr">
        <is>
          <t>A 17124-2025</t>
        </is>
      </c>
      <c r="B243" s="1" t="n">
        <v>45755.69678240741</v>
      </c>
      <c r="C243" s="1" t="n">
        <v>46087</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17126-2025</t>
        </is>
      </c>
      <c r="B244" s="1" t="n">
        <v>45755.70814814815</v>
      </c>
      <c r="C244" s="1" t="n">
        <v>46087</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17143-2025</t>
        </is>
      </c>
      <c r="B245" s="1" t="n">
        <v>45755.92731481481</v>
      </c>
      <c r="C245" s="1" t="n">
        <v>46087</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49652-2025</t>
        </is>
      </c>
      <c r="B246" s="1" t="n">
        <v>45938</v>
      </c>
      <c r="C246" s="1" t="n">
        <v>46087</v>
      </c>
      <c r="D246" t="inlineStr">
        <is>
          <t>ÖSTERGÖTLANDS LÄN</t>
        </is>
      </c>
      <c r="E246" t="inlineStr">
        <is>
          <t>LINKÖPING</t>
        </is>
      </c>
      <c r="F246" t="inlineStr">
        <is>
          <t>Övriga Aktiebolag</t>
        </is>
      </c>
      <c r="G246" t="n">
        <v>1.8</v>
      </c>
      <c r="H246" t="n">
        <v>0</v>
      </c>
      <c r="I246" t="n">
        <v>0</v>
      </c>
      <c r="J246" t="n">
        <v>0</v>
      </c>
      <c r="K246" t="n">
        <v>0</v>
      </c>
      <c r="L246" t="n">
        <v>0</v>
      </c>
      <c r="M246" t="n">
        <v>0</v>
      </c>
      <c r="N246" t="n">
        <v>0</v>
      </c>
      <c r="O246" t="n">
        <v>0</v>
      </c>
      <c r="P246" t="n">
        <v>0</v>
      </c>
      <c r="Q246" t="n">
        <v>0</v>
      </c>
      <c r="R246" s="2" t="inlineStr"/>
    </row>
    <row r="247" ht="15" customHeight="1">
      <c r="A247" t="inlineStr">
        <is>
          <t>A 49654-2025</t>
        </is>
      </c>
      <c r="B247" s="1" t="n">
        <v>45938</v>
      </c>
      <c r="C247" s="1" t="n">
        <v>46087</v>
      </c>
      <c r="D247" t="inlineStr">
        <is>
          <t>ÖSTERGÖTLANDS LÄN</t>
        </is>
      </c>
      <c r="E247" t="inlineStr">
        <is>
          <t>LINKÖPING</t>
        </is>
      </c>
      <c r="F247" t="inlineStr">
        <is>
          <t>Övriga Aktiebolag</t>
        </is>
      </c>
      <c r="G247" t="n">
        <v>3.1</v>
      </c>
      <c r="H247" t="n">
        <v>0</v>
      </c>
      <c r="I247" t="n">
        <v>0</v>
      </c>
      <c r="J247" t="n">
        <v>0</v>
      </c>
      <c r="K247" t="n">
        <v>0</v>
      </c>
      <c r="L247" t="n">
        <v>0</v>
      </c>
      <c r="M247" t="n">
        <v>0</v>
      </c>
      <c r="N247" t="n">
        <v>0</v>
      </c>
      <c r="O247" t="n">
        <v>0</v>
      </c>
      <c r="P247" t="n">
        <v>0</v>
      </c>
      <c r="Q247" t="n">
        <v>0</v>
      </c>
      <c r="R247" s="2" t="inlineStr"/>
    </row>
    <row r="248" ht="15" customHeight="1">
      <c r="A248" t="inlineStr">
        <is>
          <t>A 49619-2025</t>
        </is>
      </c>
      <c r="B248" s="1" t="n">
        <v>45938</v>
      </c>
      <c r="C248" s="1" t="n">
        <v>46087</v>
      </c>
      <c r="D248" t="inlineStr">
        <is>
          <t>ÖSTERGÖTLANDS LÄN</t>
        </is>
      </c>
      <c r="E248" t="inlineStr">
        <is>
          <t>LINKÖPING</t>
        </is>
      </c>
      <c r="F248" t="inlineStr">
        <is>
          <t>Övriga Aktiebolag</t>
        </is>
      </c>
      <c r="G248" t="n">
        <v>2.3</v>
      </c>
      <c r="H248" t="n">
        <v>0</v>
      </c>
      <c r="I248" t="n">
        <v>0</v>
      </c>
      <c r="J248" t="n">
        <v>0</v>
      </c>
      <c r="K248" t="n">
        <v>0</v>
      </c>
      <c r="L248" t="n">
        <v>0</v>
      </c>
      <c r="M248" t="n">
        <v>0</v>
      </c>
      <c r="N248" t="n">
        <v>0</v>
      </c>
      <c r="O248" t="n">
        <v>0</v>
      </c>
      <c r="P248" t="n">
        <v>0</v>
      </c>
      <c r="Q248" t="n">
        <v>0</v>
      </c>
      <c r="R248" s="2" t="inlineStr"/>
    </row>
    <row r="249" ht="15" customHeight="1">
      <c r="A249" t="inlineStr">
        <is>
          <t>A 49629-2025</t>
        </is>
      </c>
      <c r="B249" s="1" t="n">
        <v>45938</v>
      </c>
      <c r="C249" s="1" t="n">
        <v>46087</v>
      </c>
      <c r="D249" t="inlineStr">
        <is>
          <t>ÖSTERGÖTLANDS LÄN</t>
        </is>
      </c>
      <c r="E249" t="inlineStr">
        <is>
          <t>LINKÖPING</t>
        </is>
      </c>
      <c r="F249" t="inlineStr">
        <is>
          <t>Övriga Aktiebolag</t>
        </is>
      </c>
      <c r="G249" t="n">
        <v>4.5</v>
      </c>
      <c r="H249" t="n">
        <v>0</v>
      </c>
      <c r="I249" t="n">
        <v>0</v>
      </c>
      <c r="J249" t="n">
        <v>0</v>
      </c>
      <c r="K249" t="n">
        <v>0</v>
      </c>
      <c r="L249" t="n">
        <v>0</v>
      </c>
      <c r="M249" t="n">
        <v>0</v>
      </c>
      <c r="N249" t="n">
        <v>0</v>
      </c>
      <c r="O249" t="n">
        <v>0</v>
      </c>
      <c r="P249" t="n">
        <v>0</v>
      </c>
      <c r="Q249" t="n">
        <v>0</v>
      </c>
      <c r="R249" s="2" t="inlineStr"/>
    </row>
    <row r="250" ht="15" customHeight="1">
      <c r="A250" t="inlineStr">
        <is>
          <t>A 49650-2025</t>
        </is>
      </c>
      <c r="B250" s="1" t="n">
        <v>45938</v>
      </c>
      <c r="C250" s="1" t="n">
        <v>46087</v>
      </c>
      <c r="D250" t="inlineStr">
        <is>
          <t>ÖSTERGÖTLANDS LÄN</t>
        </is>
      </c>
      <c r="E250" t="inlineStr">
        <is>
          <t>LINKÖPING</t>
        </is>
      </c>
      <c r="F250" t="inlineStr">
        <is>
          <t>Övriga Aktiebolag</t>
        </is>
      </c>
      <c r="G250" t="n">
        <v>1.5</v>
      </c>
      <c r="H250" t="n">
        <v>0</v>
      </c>
      <c r="I250" t="n">
        <v>0</v>
      </c>
      <c r="J250" t="n">
        <v>0</v>
      </c>
      <c r="K250" t="n">
        <v>0</v>
      </c>
      <c r="L250" t="n">
        <v>0</v>
      </c>
      <c r="M250" t="n">
        <v>0</v>
      </c>
      <c r="N250" t="n">
        <v>0</v>
      </c>
      <c r="O250" t="n">
        <v>0</v>
      </c>
      <c r="P250" t="n">
        <v>0</v>
      </c>
      <c r="Q250" t="n">
        <v>0</v>
      </c>
      <c r="R250" s="2" t="inlineStr"/>
    </row>
    <row r="251" ht="15" customHeight="1">
      <c r="A251" t="inlineStr">
        <is>
          <t>A 39017-2021</t>
        </is>
      </c>
      <c r="B251" s="1" t="n">
        <v>44412</v>
      </c>
      <c r="C251" s="1" t="n">
        <v>46087</v>
      </c>
      <c r="D251" t="inlineStr">
        <is>
          <t>ÖSTERGÖTLANDS LÄN</t>
        </is>
      </c>
      <c r="E251" t="inlineStr">
        <is>
          <t>LINKÖPING</t>
        </is>
      </c>
      <c r="F251" t="inlineStr">
        <is>
          <t>Övriga statliga verk och myndigheter</t>
        </is>
      </c>
      <c r="G251" t="n">
        <v>0.8</v>
      </c>
      <c r="H251" t="n">
        <v>0</v>
      </c>
      <c r="I251" t="n">
        <v>0</v>
      </c>
      <c r="J251" t="n">
        <v>0</v>
      </c>
      <c r="K251" t="n">
        <v>0</v>
      </c>
      <c r="L251" t="n">
        <v>0</v>
      </c>
      <c r="M251" t="n">
        <v>0</v>
      </c>
      <c r="N251" t="n">
        <v>0</v>
      </c>
      <c r="O251" t="n">
        <v>0</v>
      </c>
      <c r="P251" t="n">
        <v>0</v>
      </c>
      <c r="Q251" t="n">
        <v>0</v>
      </c>
      <c r="R251" s="2" t="inlineStr"/>
    </row>
    <row r="252" ht="15" customHeight="1">
      <c r="A252" t="inlineStr">
        <is>
          <t>A 49632-2025</t>
        </is>
      </c>
      <c r="B252" s="1" t="n">
        <v>45938</v>
      </c>
      <c r="C252" s="1" t="n">
        <v>46087</v>
      </c>
      <c r="D252" t="inlineStr">
        <is>
          <t>ÖSTERGÖTLANDS LÄN</t>
        </is>
      </c>
      <c r="E252" t="inlineStr">
        <is>
          <t>LINKÖPING</t>
        </is>
      </c>
      <c r="F252" t="inlineStr">
        <is>
          <t>Övriga Aktiebolag</t>
        </is>
      </c>
      <c r="G252" t="n">
        <v>1.6</v>
      </c>
      <c r="H252" t="n">
        <v>0</v>
      </c>
      <c r="I252" t="n">
        <v>0</v>
      </c>
      <c r="J252" t="n">
        <v>0</v>
      </c>
      <c r="K252" t="n">
        <v>0</v>
      </c>
      <c r="L252" t="n">
        <v>0</v>
      </c>
      <c r="M252" t="n">
        <v>0</v>
      </c>
      <c r="N252" t="n">
        <v>0</v>
      </c>
      <c r="O252" t="n">
        <v>0</v>
      </c>
      <c r="P252" t="n">
        <v>0</v>
      </c>
      <c r="Q252" t="n">
        <v>0</v>
      </c>
      <c r="R252" s="2" t="inlineStr"/>
    </row>
    <row r="253" ht="15" customHeight="1">
      <c r="A253" t="inlineStr">
        <is>
          <t>A 49615-2025</t>
        </is>
      </c>
      <c r="B253" s="1" t="n">
        <v>45938</v>
      </c>
      <c r="C253" s="1" t="n">
        <v>46087</v>
      </c>
      <c r="D253" t="inlineStr">
        <is>
          <t>ÖSTERGÖTLANDS LÄN</t>
        </is>
      </c>
      <c r="E253" t="inlineStr">
        <is>
          <t>LINKÖPING</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16820-2024</t>
        </is>
      </c>
      <c r="B254" s="1" t="n">
        <v>45411.46809027778</v>
      </c>
      <c r="C254" s="1" t="n">
        <v>46087</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39074-2025</t>
        </is>
      </c>
      <c r="B255" s="1" t="n">
        <v>45888</v>
      </c>
      <c r="C255" s="1" t="n">
        <v>46087</v>
      </c>
      <c r="D255" t="inlineStr">
        <is>
          <t>ÖSTERGÖTLANDS LÄN</t>
        </is>
      </c>
      <c r="E255" t="inlineStr">
        <is>
          <t>LINKÖPING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30980-2022</t>
        </is>
      </c>
      <c r="B256" s="1" t="n">
        <v>44768</v>
      </c>
      <c r="C256" s="1" t="n">
        <v>46087</v>
      </c>
      <c r="D256" t="inlineStr">
        <is>
          <t>ÖSTERGÖTLANDS LÄN</t>
        </is>
      </c>
      <c r="E256" t="inlineStr">
        <is>
          <t>LINKÖPING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24351-2024</t>
        </is>
      </c>
      <c r="B257" s="1" t="n">
        <v>45457.59011574074</v>
      </c>
      <c r="C257" s="1" t="n">
        <v>46087</v>
      </c>
      <c r="D257" t="inlineStr">
        <is>
          <t>ÖSTERGÖTLANDS LÄN</t>
        </is>
      </c>
      <c r="E257" t="inlineStr">
        <is>
          <t>LINKÖPING</t>
        </is>
      </c>
      <c r="G257" t="n">
        <v>11.9</v>
      </c>
      <c r="H257" t="n">
        <v>0</v>
      </c>
      <c r="I257" t="n">
        <v>0</v>
      </c>
      <c r="J257" t="n">
        <v>0</v>
      </c>
      <c r="K257" t="n">
        <v>0</v>
      </c>
      <c r="L257" t="n">
        <v>0</v>
      </c>
      <c r="M257" t="n">
        <v>0</v>
      </c>
      <c r="N257" t="n">
        <v>0</v>
      </c>
      <c r="O257" t="n">
        <v>0</v>
      </c>
      <c r="P257" t="n">
        <v>0</v>
      </c>
      <c r="Q257" t="n">
        <v>0</v>
      </c>
      <c r="R257" s="2" t="inlineStr"/>
    </row>
    <row r="258" ht="15" customHeight="1">
      <c r="A258" t="inlineStr">
        <is>
          <t>A 38971-2025</t>
        </is>
      </c>
      <c r="B258" s="1" t="n">
        <v>45887.71827546296</v>
      </c>
      <c r="C258" s="1" t="n">
        <v>46087</v>
      </c>
      <c r="D258" t="inlineStr">
        <is>
          <t>ÖSTERGÖTLANDS LÄN</t>
        </is>
      </c>
      <c r="E258" t="inlineStr">
        <is>
          <t>LINKÖPING</t>
        </is>
      </c>
      <c r="G258" t="n">
        <v>3.9</v>
      </c>
      <c r="H258" t="n">
        <v>0</v>
      </c>
      <c r="I258" t="n">
        <v>0</v>
      </c>
      <c r="J258" t="n">
        <v>0</v>
      </c>
      <c r="K258" t="n">
        <v>0</v>
      </c>
      <c r="L258" t="n">
        <v>0</v>
      </c>
      <c r="M258" t="n">
        <v>0</v>
      </c>
      <c r="N258" t="n">
        <v>0</v>
      </c>
      <c r="O258" t="n">
        <v>0</v>
      </c>
      <c r="P258" t="n">
        <v>0</v>
      </c>
      <c r="Q258" t="n">
        <v>0</v>
      </c>
      <c r="R258" s="2" t="inlineStr"/>
    </row>
    <row r="259" ht="15" customHeight="1">
      <c r="A259" t="inlineStr">
        <is>
          <t>A 72567-2021</t>
        </is>
      </c>
      <c r="B259" s="1" t="n">
        <v>44546.45023148148</v>
      </c>
      <c r="C259" s="1" t="n">
        <v>46087</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40983-2025</t>
        </is>
      </c>
      <c r="B260" s="1" t="n">
        <v>45898</v>
      </c>
      <c r="C260" s="1" t="n">
        <v>46087</v>
      </c>
      <c r="D260" t="inlineStr">
        <is>
          <t>ÖSTERGÖTLANDS LÄN</t>
        </is>
      </c>
      <c r="E260" t="inlineStr">
        <is>
          <t>LINKÖPING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62501-2023</t>
        </is>
      </c>
      <c r="B261" s="1" t="n">
        <v>45268</v>
      </c>
      <c r="C261" s="1" t="n">
        <v>46087</v>
      </c>
      <c r="D261" t="inlineStr">
        <is>
          <t>ÖSTERGÖTLANDS LÄN</t>
        </is>
      </c>
      <c r="E261" t="inlineStr">
        <is>
          <t>LINKÖPING</t>
        </is>
      </c>
      <c r="G261" t="n">
        <v>7.4</v>
      </c>
      <c r="H261" t="n">
        <v>0</v>
      </c>
      <c r="I261" t="n">
        <v>0</v>
      </c>
      <c r="J261" t="n">
        <v>0</v>
      </c>
      <c r="K261" t="n">
        <v>0</v>
      </c>
      <c r="L261" t="n">
        <v>0</v>
      </c>
      <c r="M261" t="n">
        <v>0</v>
      </c>
      <c r="N261" t="n">
        <v>0</v>
      </c>
      <c r="O261" t="n">
        <v>0</v>
      </c>
      <c r="P261" t="n">
        <v>0</v>
      </c>
      <c r="Q261" t="n">
        <v>0</v>
      </c>
      <c r="R261" s="2" t="inlineStr"/>
    </row>
    <row r="262" ht="15" customHeight="1">
      <c r="A262" t="inlineStr">
        <is>
          <t>A 58947-2022</t>
        </is>
      </c>
      <c r="B262" s="1" t="n">
        <v>44903.64769675926</v>
      </c>
      <c r="C262" s="1" t="n">
        <v>46087</v>
      </c>
      <c r="D262" t="inlineStr">
        <is>
          <t>ÖSTERGÖTLANDS LÄN</t>
        </is>
      </c>
      <c r="E262" t="inlineStr">
        <is>
          <t>LINKÖPING</t>
        </is>
      </c>
      <c r="G262" t="n">
        <v>4</v>
      </c>
      <c r="H262" t="n">
        <v>0</v>
      </c>
      <c r="I262" t="n">
        <v>0</v>
      </c>
      <c r="J262" t="n">
        <v>0</v>
      </c>
      <c r="K262" t="n">
        <v>0</v>
      </c>
      <c r="L262" t="n">
        <v>0</v>
      </c>
      <c r="M262" t="n">
        <v>0</v>
      </c>
      <c r="N262" t="n">
        <v>0</v>
      </c>
      <c r="O262" t="n">
        <v>0</v>
      </c>
      <c r="P262" t="n">
        <v>0</v>
      </c>
      <c r="Q262" t="n">
        <v>0</v>
      </c>
      <c r="R262" s="2" t="inlineStr"/>
    </row>
    <row r="263" ht="15" customHeight="1">
      <c r="A263" t="inlineStr">
        <is>
          <t>A 49979-2022</t>
        </is>
      </c>
      <c r="B263" s="1" t="n">
        <v>44865</v>
      </c>
      <c r="C263" s="1" t="n">
        <v>46087</v>
      </c>
      <c r="D263" t="inlineStr">
        <is>
          <t>ÖSTERGÖTLANDS LÄN</t>
        </is>
      </c>
      <c r="E263" t="inlineStr">
        <is>
          <t>LINKÖPING</t>
        </is>
      </c>
      <c r="F263" t="inlineStr">
        <is>
          <t>Övriga Aktiebolag</t>
        </is>
      </c>
      <c r="G263" t="n">
        <v>11.4</v>
      </c>
      <c r="H263" t="n">
        <v>0</v>
      </c>
      <c r="I263" t="n">
        <v>0</v>
      </c>
      <c r="J263" t="n">
        <v>0</v>
      </c>
      <c r="K263" t="n">
        <v>0</v>
      </c>
      <c r="L263" t="n">
        <v>0</v>
      </c>
      <c r="M263" t="n">
        <v>0</v>
      </c>
      <c r="N263" t="n">
        <v>0</v>
      </c>
      <c r="O263" t="n">
        <v>0</v>
      </c>
      <c r="P263" t="n">
        <v>0</v>
      </c>
      <c r="Q263" t="n">
        <v>0</v>
      </c>
      <c r="R263" s="2" t="inlineStr"/>
    </row>
    <row r="264" ht="15" customHeight="1">
      <c r="A264" t="inlineStr">
        <is>
          <t>A 50056-2025</t>
        </is>
      </c>
      <c r="B264" s="1" t="n">
        <v>45941</v>
      </c>
      <c r="C264" s="1" t="n">
        <v>46087</v>
      </c>
      <c r="D264" t="inlineStr">
        <is>
          <t>ÖSTERGÖTLANDS LÄN</t>
        </is>
      </c>
      <c r="E264" t="inlineStr">
        <is>
          <t>LINKÖPING</t>
        </is>
      </c>
      <c r="G264" t="n">
        <v>0.3</v>
      </c>
      <c r="H264" t="n">
        <v>0</v>
      </c>
      <c r="I264" t="n">
        <v>0</v>
      </c>
      <c r="J264" t="n">
        <v>0</v>
      </c>
      <c r="K264" t="n">
        <v>0</v>
      </c>
      <c r="L264" t="n">
        <v>0</v>
      </c>
      <c r="M264" t="n">
        <v>0</v>
      </c>
      <c r="N264" t="n">
        <v>0</v>
      </c>
      <c r="O264" t="n">
        <v>0</v>
      </c>
      <c r="P264" t="n">
        <v>0</v>
      </c>
      <c r="Q264" t="n">
        <v>0</v>
      </c>
      <c r="R264" s="2" t="inlineStr"/>
    </row>
    <row r="265" ht="15" customHeight="1">
      <c r="A265" t="inlineStr">
        <is>
          <t>A 53827-2023</t>
        </is>
      </c>
      <c r="B265" s="1" t="n">
        <v>45230</v>
      </c>
      <c r="C265" s="1" t="n">
        <v>46087</v>
      </c>
      <c r="D265" t="inlineStr">
        <is>
          <t>ÖSTERGÖTLANDS LÄN</t>
        </is>
      </c>
      <c r="E265" t="inlineStr">
        <is>
          <t>LINKÖPING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27264-2025</t>
        </is>
      </c>
      <c r="B266" s="1" t="n">
        <v>45812.4794212963</v>
      </c>
      <c r="C266" s="1" t="n">
        <v>46087</v>
      </c>
      <c r="D266" t="inlineStr">
        <is>
          <t>ÖSTERGÖTLANDS LÄN</t>
        </is>
      </c>
      <c r="E266" t="inlineStr">
        <is>
          <t>LINKÖPING</t>
        </is>
      </c>
      <c r="G266" t="n">
        <v>2.6</v>
      </c>
      <c r="H266" t="n">
        <v>0</v>
      </c>
      <c r="I266" t="n">
        <v>0</v>
      </c>
      <c r="J266" t="n">
        <v>0</v>
      </c>
      <c r="K266" t="n">
        <v>0</v>
      </c>
      <c r="L266" t="n">
        <v>0</v>
      </c>
      <c r="M266" t="n">
        <v>0</v>
      </c>
      <c r="N266" t="n">
        <v>0</v>
      </c>
      <c r="O266" t="n">
        <v>0</v>
      </c>
      <c r="P266" t="n">
        <v>0</v>
      </c>
      <c r="Q266" t="n">
        <v>0</v>
      </c>
      <c r="R266" s="2" t="inlineStr"/>
    </row>
    <row r="267" ht="15" customHeight="1">
      <c r="A267" t="inlineStr">
        <is>
          <t>A 940-2023</t>
        </is>
      </c>
      <c r="B267" s="1" t="n">
        <v>44933</v>
      </c>
      <c r="C267" s="1" t="n">
        <v>46087</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39438-2025</t>
        </is>
      </c>
      <c r="B268" s="1" t="n">
        <v>45889.68641203704</v>
      </c>
      <c r="C268" s="1" t="n">
        <v>46087</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50667-2025</t>
        </is>
      </c>
      <c r="B269" s="1" t="n">
        <v>45945</v>
      </c>
      <c r="C269" s="1" t="n">
        <v>46087</v>
      </c>
      <c r="D269" t="inlineStr">
        <is>
          <t>ÖSTERGÖTLANDS LÄN</t>
        </is>
      </c>
      <c r="E269" t="inlineStr">
        <is>
          <t>LINKÖPING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7992-2023</t>
        </is>
      </c>
      <c r="B270" s="1" t="n">
        <v>44970</v>
      </c>
      <c r="C270" s="1" t="n">
        <v>46087</v>
      </c>
      <c r="D270" t="inlineStr">
        <is>
          <t>ÖSTERGÖTLANDS LÄN</t>
        </is>
      </c>
      <c r="E270" t="inlineStr">
        <is>
          <t>LINKÖPING</t>
        </is>
      </c>
      <c r="F270" t="inlineStr">
        <is>
          <t>Kommuner</t>
        </is>
      </c>
      <c r="G270" t="n">
        <v>1</v>
      </c>
      <c r="H270" t="n">
        <v>0</v>
      </c>
      <c r="I270" t="n">
        <v>0</v>
      </c>
      <c r="J270" t="n">
        <v>0</v>
      </c>
      <c r="K270" t="n">
        <v>0</v>
      </c>
      <c r="L270" t="n">
        <v>0</v>
      </c>
      <c r="M270" t="n">
        <v>0</v>
      </c>
      <c r="N270" t="n">
        <v>0</v>
      </c>
      <c r="O270" t="n">
        <v>0</v>
      </c>
      <c r="P270" t="n">
        <v>0</v>
      </c>
      <c r="Q270" t="n">
        <v>0</v>
      </c>
      <c r="R270" s="2" t="inlineStr"/>
    </row>
    <row r="271" ht="15" customHeight="1">
      <c r="A271" t="inlineStr">
        <is>
          <t>A 45819-2024</t>
        </is>
      </c>
      <c r="B271" s="1" t="n">
        <v>45579.7454050926</v>
      </c>
      <c r="C271" s="1" t="n">
        <v>46087</v>
      </c>
      <c r="D271" t="inlineStr">
        <is>
          <t>ÖSTERGÖTLANDS LÄN</t>
        </is>
      </c>
      <c r="E271" t="inlineStr">
        <is>
          <t>LINKÖPING</t>
        </is>
      </c>
      <c r="G271" t="n">
        <v>5</v>
      </c>
      <c r="H271" t="n">
        <v>0</v>
      </c>
      <c r="I271" t="n">
        <v>0</v>
      </c>
      <c r="J271" t="n">
        <v>0</v>
      </c>
      <c r="K271" t="n">
        <v>0</v>
      </c>
      <c r="L271" t="n">
        <v>0</v>
      </c>
      <c r="M271" t="n">
        <v>0</v>
      </c>
      <c r="N271" t="n">
        <v>0</v>
      </c>
      <c r="O271" t="n">
        <v>0</v>
      </c>
      <c r="P271" t="n">
        <v>0</v>
      </c>
      <c r="Q271" t="n">
        <v>0</v>
      </c>
      <c r="R271" s="2" t="inlineStr"/>
    </row>
    <row r="272" ht="15" customHeight="1">
      <c r="A272" t="inlineStr">
        <is>
          <t>A 3041-2024</t>
        </is>
      </c>
      <c r="B272" s="1" t="n">
        <v>45316.34875</v>
      </c>
      <c r="C272" s="1" t="n">
        <v>46087</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3530-2024</t>
        </is>
      </c>
      <c r="B273" s="1" t="n">
        <v>45320.54717592592</v>
      </c>
      <c r="C273" s="1" t="n">
        <v>46087</v>
      </c>
      <c r="D273" t="inlineStr">
        <is>
          <t>ÖSTERGÖTLANDS LÄN</t>
        </is>
      </c>
      <c r="E273" t="inlineStr">
        <is>
          <t>LINKÖPING</t>
        </is>
      </c>
      <c r="G273" t="n">
        <v>1.5</v>
      </c>
      <c r="H273" t="n">
        <v>0</v>
      </c>
      <c r="I273" t="n">
        <v>0</v>
      </c>
      <c r="J273" t="n">
        <v>0</v>
      </c>
      <c r="K273" t="n">
        <v>0</v>
      </c>
      <c r="L273" t="n">
        <v>0</v>
      </c>
      <c r="M273" t="n">
        <v>0</v>
      </c>
      <c r="N273" t="n">
        <v>0</v>
      </c>
      <c r="O273" t="n">
        <v>0</v>
      </c>
      <c r="P273" t="n">
        <v>0</v>
      </c>
      <c r="Q273" t="n">
        <v>0</v>
      </c>
      <c r="R273" s="2" t="inlineStr"/>
    </row>
    <row r="274" ht="15" customHeight="1">
      <c r="A274" t="inlineStr">
        <is>
          <t>A 40169-2025</t>
        </is>
      </c>
      <c r="B274" s="1" t="n">
        <v>45894.62824074074</v>
      </c>
      <c r="C274" s="1" t="n">
        <v>46087</v>
      </c>
      <c r="D274" t="inlineStr">
        <is>
          <t>ÖSTERGÖTLANDS LÄN</t>
        </is>
      </c>
      <c r="E274" t="inlineStr">
        <is>
          <t>LINKÖPING</t>
        </is>
      </c>
      <c r="G274" t="n">
        <v>2.8</v>
      </c>
      <c r="H274" t="n">
        <v>0</v>
      </c>
      <c r="I274" t="n">
        <v>0</v>
      </c>
      <c r="J274" t="n">
        <v>0</v>
      </c>
      <c r="K274" t="n">
        <v>0</v>
      </c>
      <c r="L274" t="n">
        <v>0</v>
      </c>
      <c r="M274" t="n">
        <v>0</v>
      </c>
      <c r="N274" t="n">
        <v>0</v>
      </c>
      <c r="O274" t="n">
        <v>0</v>
      </c>
      <c r="P274" t="n">
        <v>0</v>
      </c>
      <c r="Q274" t="n">
        <v>0</v>
      </c>
      <c r="R274" s="2" t="inlineStr"/>
    </row>
    <row r="275" ht="15" customHeight="1">
      <c r="A275" t="inlineStr">
        <is>
          <t>A 51802-2025</t>
        </is>
      </c>
      <c r="B275" s="1" t="n">
        <v>45950</v>
      </c>
      <c r="C275" s="1" t="n">
        <v>46087</v>
      </c>
      <c r="D275" t="inlineStr">
        <is>
          <t>ÖSTERGÖTLANDS LÄN</t>
        </is>
      </c>
      <c r="E275" t="inlineStr">
        <is>
          <t>LINKÖPING</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57752-2023</t>
        </is>
      </c>
      <c r="B276" s="1" t="n">
        <v>45246.78474537037</v>
      </c>
      <c r="C276" s="1" t="n">
        <v>46087</v>
      </c>
      <c r="D276" t="inlineStr">
        <is>
          <t>ÖSTERGÖTLANDS LÄN</t>
        </is>
      </c>
      <c r="E276" t="inlineStr">
        <is>
          <t>LINKÖPING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62686-2023</t>
        </is>
      </c>
      <c r="B277" s="1" t="n">
        <v>45271</v>
      </c>
      <c r="C277" s="1" t="n">
        <v>46087</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55345-2021</t>
        </is>
      </c>
      <c r="B278" s="1" t="n">
        <v>44475</v>
      </c>
      <c r="C278" s="1" t="n">
        <v>46087</v>
      </c>
      <c r="D278" t="inlineStr">
        <is>
          <t>ÖSTERGÖTLANDS LÄN</t>
        </is>
      </c>
      <c r="E278" t="inlineStr">
        <is>
          <t>LINKÖPING</t>
        </is>
      </c>
      <c r="G278" t="n">
        <v>5.7</v>
      </c>
      <c r="H278" t="n">
        <v>0</v>
      </c>
      <c r="I278" t="n">
        <v>0</v>
      </c>
      <c r="J278" t="n">
        <v>0</v>
      </c>
      <c r="K278" t="n">
        <v>0</v>
      </c>
      <c r="L278" t="n">
        <v>0</v>
      </c>
      <c r="M278" t="n">
        <v>0</v>
      </c>
      <c r="N278" t="n">
        <v>0</v>
      </c>
      <c r="O278" t="n">
        <v>0</v>
      </c>
      <c r="P278" t="n">
        <v>0</v>
      </c>
      <c r="Q278" t="n">
        <v>0</v>
      </c>
      <c r="R278" s="2" t="inlineStr"/>
    </row>
    <row r="279" ht="15" customHeight="1">
      <c r="A279" t="inlineStr">
        <is>
          <t>A 63489-2023</t>
        </is>
      </c>
      <c r="B279" s="1" t="n">
        <v>45274.66761574074</v>
      </c>
      <c r="C279" s="1" t="n">
        <v>46087</v>
      </c>
      <c r="D279" t="inlineStr">
        <is>
          <t>ÖSTERGÖTLANDS LÄN</t>
        </is>
      </c>
      <c r="E279" t="inlineStr">
        <is>
          <t>LINKÖPING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70-2024</t>
        </is>
      </c>
      <c r="B280" s="1" t="n">
        <v>45293</v>
      </c>
      <c r="C280" s="1" t="n">
        <v>46087</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52111-2025</t>
        </is>
      </c>
      <c r="B281" s="1" t="n">
        <v>45952.69527777778</v>
      </c>
      <c r="C281" s="1" t="n">
        <v>46087</v>
      </c>
      <c r="D281" t="inlineStr">
        <is>
          <t>ÖSTERGÖTLANDS LÄN</t>
        </is>
      </c>
      <c r="E281" t="inlineStr">
        <is>
          <t>LINKÖPING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6782-2024</t>
        </is>
      </c>
      <c r="B282" s="1" t="n">
        <v>45342</v>
      </c>
      <c r="C282" s="1" t="n">
        <v>46087</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617-2024</t>
        </is>
      </c>
      <c r="B283" s="1" t="n">
        <v>45299.66028935185</v>
      </c>
      <c r="C283" s="1" t="n">
        <v>46087</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670-2024</t>
        </is>
      </c>
      <c r="B284" s="1" t="n">
        <v>45300.3408912037</v>
      </c>
      <c r="C284" s="1" t="n">
        <v>46087</v>
      </c>
      <c r="D284" t="inlineStr">
        <is>
          <t>ÖSTERGÖTLANDS LÄN</t>
        </is>
      </c>
      <c r="E284" t="inlineStr">
        <is>
          <t>LINKÖPING</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52125-2022</t>
        </is>
      </c>
      <c r="B285" s="1" t="n">
        <v>44873</v>
      </c>
      <c r="C285" s="1" t="n">
        <v>46087</v>
      </c>
      <c r="D285" t="inlineStr">
        <is>
          <t>ÖSTERGÖTLANDS LÄN</t>
        </is>
      </c>
      <c r="E285" t="inlineStr">
        <is>
          <t>LINKÖPING</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9473-2024</t>
        </is>
      </c>
      <c r="B286" s="1" t="n">
        <v>45359.55474537037</v>
      </c>
      <c r="C286" s="1" t="n">
        <v>46087</v>
      </c>
      <c r="D286" t="inlineStr">
        <is>
          <t>ÖSTERGÖTLANDS LÄN</t>
        </is>
      </c>
      <c r="E286" t="inlineStr">
        <is>
          <t>LINKÖPING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10797-2024</t>
        </is>
      </c>
      <c r="B287" s="1" t="n">
        <v>45369.6190162037</v>
      </c>
      <c r="C287" s="1" t="n">
        <v>46087</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22264-2025</t>
        </is>
      </c>
      <c r="B288" s="1" t="n">
        <v>45785</v>
      </c>
      <c r="C288" s="1" t="n">
        <v>46087</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1084-2023</t>
        </is>
      </c>
      <c r="B289" s="1" t="n">
        <v>44929</v>
      </c>
      <c r="C289" s="1" t="n">
        <v>46087</v>
      </c>
      <c r="D289" t="inlineStr">
        <is>
          <t>ÖSTERGÖTLANDS LÄN</t>
        </is>
      </c>
      <c r="E289" t="inlineStr">
        <is>
          <t>LINKÖPING</t>
        </is>
      </c>
      <c r="G289" t="n">
        <v>10.4</v>
      </c>
      <c r="H289" t="n">
        <v>0</v>
      </c>
      <c r="I289" t="n">
        <v>0</v>
      </c>
      <c r="J289" t="n">
        <v>0</v>
      </c>
      <c r="K289" t="n">
        <v>0</v>
      </c>
      <c r="L289" t="n">
        <v>0</v>
      </c>
      <c r="M289" t="n">
        <v>0</v>
      </c>
      <c r="N289" t="n">
        <v>0</v>
      </c>
      <c r="O289" t="n">
        <v>0</v>
      </c>
      <c r="P289" t="n">
        <v>0</v>
      </c>
      <c r="Q289" t="n">
        <v>0</v>
      </c>
      <c r="R289" s="2" t="inlineStr"/>
    </row>
    <row r="290" ht="15" customHeight="1">
      <c r="A290" t="inlineStr">
        <is>
          <t>A 41706-2025</t>
        </is>
      </c>
      <c r="B290" s="1" t="n">
        <v>45902.42209490741</v>
      </c>
      <c r="C290" s="1" t="n">
        <v>46087</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29859-2024</t>
        </is>
      </c>
      <c r="B291" s="1" t="n">
        <v>45485.6846412037</v>
      </c>
      <c r="C291" s="1" t="n">
        <v>46087</v>
      </c>
      <c r="D291" t="inlineStr">
        <is>
          <t>ÖSTERGÖTLANDS LÄN</t>
        </is>
      </c>
      <c r="E291" t="inlineStr">
        <is>
          <t>LINKÖPING</t>
        </is>
      </c>
      <c r="G291" t="n">
        <v>0.4</v>
      </c>
      <c r="H291" t="n">
        <v>0</v>
      </c>
      <c r="I291" t="n">
        <v>0</v>
      </c>
      <c r="J291" t="n">
        <v>0</v>
      </c>
      <c r="K291" t="n">
        <v>0</v>
      </c>
      <c r="L291" t="n">
        <v>0</v>
      </c>
      <c r="M291" t="n">
        <v>0</v>
      </c>
      <c r="N291" t="n">
        <v>0</v>
      </c>
      <c r="O291" t="n">
        <v>0</v>
      </c>
      <c r="P291" t="n">
        <v>0</v>
      </c>
      <c r="Q291" t="n">
        <v>0</v>
      </c>
      <c r="R291" s="2" t="inlineStr"/>
    </row>
    <row r="292" ht="15" customHeight="1">
      <c r="A292" t="inlineStr">
        <is>
          <t>A 51571-2024</t>
        </is>
      </c>
      <c r="B292" s="1" t="n">
        <v>45604</v>
      </c>
      <c r="C292" s="1" t="n">
        <v>46087</v>
      </c>
      <c r="D292" t="inlineStr">
        <is>
          <t>ÖSTERGÖTLANDS LÄN</t>
        </is>
      </c>
      <c r="E292" t="inlineStr">
        <is>
          <t>LINKÖPING</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52800-2025</t>
        </is>
      </c>
      <c r="B293" s="1" t="n">
        <v>45957.44152777778</v>
      </c>
      <c r="C293" s="1" t="n">
        <v>46087</v>
      </c>
      <c r="D293" t="inlineStr">
        <is>
          <t>ÖSTERGÖTLANDS LÄN</t>
        </is>
      </c>
      <c r="E293" t="inlineStr">
        <is>
          <t>LINKÖPING</t>
        </is>
      </c>
      <c r="G293" t="n">
        <v>2.5</v>
      </c>
      <c r="H293" t="n">
        <v>0</v>
      </c>
      <c r="I293" t="n">
        <v>0</v>
      </c>
      <c r="J293" t="n">
        <v>0</v>
      </c>
      <c r="K293" t="n">
        <v>0</v>
      </c>
      <c r="L293" t="n">
        <v>0</v>
      </c>
      <c r="M293" t="n">
        <v>0</v>
      </c>
      <c r="N293" t="n">
        <v>0</v>
      </c>
      <c r="O293" t="n">
        <v>0</v>
      </c>
      <c r="P293" t="n">
        <v>0</v>
      </c>
      <c r="Q293" t="n">
        <v>0</v>
      </c>
      <c r="R293" s="2" t="inlineStr"/>
    </row>
    <row r="294" ht="15" customHeight="1">
      <c r="A294" t="inlineStr">
        <is>
          <t>A 52802-2025</t>
        </is>
      </c>
      <c r="B294" s="1" t="n">
        <v>45957.44295138889</v>
      </c>
      <c r="C294" s="1" t="n">
        <v>46087</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223-2024</t>
        </is>
      </c>
      <c r="B295" s="1" t="n">
        <v>45294.72739583333</v>
      </c>
      <c r="C295" s="1" t="n">
        <v>46087</v>
      </c>
      <c r="D295" t="inlineStr">
        <is>
          <t>ÖSTERGÖTLANDS LÄN</t>
        </is>
      </c>
      <c r="E295" t="inlineStr">
        <is>
          <t>LINKÖPING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227-2024</t>
        </is>
      </c>
      <c r="B296" s="1" t="n">
        <v>45294.73603009259</v>
      </c>
      <c r="C296" s="1" t="n">
        <v>46087</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41511-2025</t>
        </is>
      </c>
      <c r="B297" s="1" t="n">
        <v>45901.53839120371</v>
      </c>
      <c r="C297" s="1" t="n">
        <v>46087</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52740-2025</t>
        </is>
      </c>
      <c r="B298" s="1" t="n">
        <v>45957.37747685185</v>
      </c>
      <c r="C298" s="1" t="n">
        <v>46087</v>
      </c>
      <c r="D298" t="inlineStr">
        <is>
          <t>ÖSTERGÖTLANDS LÄN</t>
        </is>
      </c>
      <c r="E298" t="inlineStr">
        <is>
          <t>LINKÖPING</t>
        </is>
      </c>
      <c r="G298" t="n">
        <v>3.7</v>
      </c>
      <c r="H298" t="n">
        <v>0</v>
      </c>
      <c r="I298" t="n">
        <v>0</v>
      </c>
      <c r="J298" t="n">
        <v>0</v>
      </c>
      <c r="K298" t="n">
        <v>0</v>
      </c>
      <c r="L298" t="n">
        <v>0</v>
      </c>
      <c r="M298" t="n">
        <v>0</v>
      </c>
      <c r="N298" t="n">
        <v>0</v>
      </c>
      <c r="O298" t="n">
        <v>0</v>
      </c>
      <c r="P298" t="n">
        <v>0</v>
      </c>
      <c r="Q298" t="n">
        <v>0</v>
      </c>
      <c r="R298" s="2" t="inlineStr"/>
    </row>
    <row r="299" ht="15" customHeight="1">
      <c r="A299" t="inlineStr">
        <is>
          <t>A 52743-2025</t>
        </is>
      </c>
      <c r="B299" s="1" t="n">
        <v>45957.38039351852</v>
      </c>
      <c r="C299" s="1" t="n">
        <v>46087</v>
      </c>
      <c r="D299" t="inlineStr">
        <is>
          <t>ÖSTERGÖTLANDS LÄN</t>
        </is>
      </c>
      <c r="E299" t="inlineStr">
        <is>
          <t>LINKÖPING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52807-2025</t>
        </is>
      </c>
      <c r="B300" s="1" t="n">
        <v>45957.44837962963</v>
      </c>
      <c r="C300" s="1" t="n">
        <v>46087</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56917-2022</t>
        </is>
      </c>
      <c r="B301" s="1" t="n">
        <v>44894</v>
      </c>
      <c r="C301" s="1" t="n">
        <v>46087</v>
      </c>
      <c r="D301" t="inlineStr">
        <is>
          <t>ÖSTERGÖTLANDS LÄN</t>
        </is>
      </c>
      <c r="E301" t="inlineStr">
        <is>
          <t>LINKÖPING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6859-2024</t>
        </is>
      </c>
      <c r="B302" s="1" t="n">
        <v>45342</v>
      </c>
      <c r="C302" s="1" t="n">
        <v>46087</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3042-2024</t>
        </is>
      </c>
      <c r="B303" s="1" t="n">
        <v>45316.35028935185</v>
      </c>
      <c r="C303" s="1" t="n">
        <v>46087</v>
      </c>
      <c r="D303" t="inlineStr">
        <is>
          <t>ÖSTERGÖTLANDS LÄN</t>
        </is>
      </c>
      <c r="E303" t="inlineStr">
        <is>
          <t>LINKÖPING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29293-2025</t>
        </is>
      </c>
      <c r="B304" s="1" t="n">
        <v>45824</v>
      </c>
      <c r="C304" s="1" t="n">
        <v>46087</v>
      </c>
      <c r="D304" t="inlineStr">
        <is>
          <t>ÖSTERGÖTLANDS LÄN</t>
        </is>
      </c>
      <c r="E304" t="inlineStr">
        <is>
          <t>LINKÖPING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38580-2024</t>
        </is>
      </c>
      <c r="B305" s="1" t="n">
        <v>45546.64825231482</v>
      </c>
      <c r="C305" s="1" t="n">
        <v>46087</v>
      </c>
      <c r="D305" t="inlineStr">
        <is>
          <t>ÖSTERGÖTLANDS LÄN</t>
        </is>
      </c>
      <c r="E305" t="inlineStr">
        <is>
          <t>LINKÖPING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1265-2023</t>
        </is>
      </c>
      <c r="B306" s="1" t="n">
        <v>44936</v>
      </c>
      <c r="C306" s="1" t="n">
        <v>46087</v>
      </c>
      <c r="D306" t="inlineStr">
        <is>
          <t>ÖSTERGÖTLANDS LÄN</t>
        </is>
      </c>
      <c r="E306" t="inlineStr">
        <is>
          <t>LINKÖPING</t>
        </is>
      </c>
      <c r="G306" t="n">
        <v>2.3</v>
      </c>
      <c r="H306" t="n">
        <v>0</v>
      </c>
      <c r="I306" t="n">
        <v>0</v>
      </c>
      <c r="J306" t="n">
        <v>0</v>
      </c>
      <c r="K306" t="n">
        <v>0</v>
      </c>
      <c r="L306" t="n">
        <v>0</v>
      </c>
      <c r="M306" t="n">
        <v>0</v>
      </c>
      <c r="N306" t="n">
        <v>0</v>
      </c>
      <c r="O306" t="n">
        <v>0</v>
      </c>
      <c r="P306" t="n">
        <v>0</v>
      </c>
      <c r="Q306" t="n">
        <v>0</v>
      </c>
      <c r="R306" s="2" t="inlineStr"/>
    </row>
    <row r="307" ht="15" customHeight="1">
      <c r="A307" t="inlineStr">
        <is>
          <t>A 1362-2023</t>
        </is>
      </c>
      <c r="B307" s="1" t="n">
        <v>44931</v>
      </c>
      <c r="C307" s="1" t="n">
        <v>46087</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54034-2022</t>
        </is>
      </c>
      <c r="B308" s="1" t="n">
        <v>44881</v>
      </c>
      <c r="C308" s="1" t="n">
        <v>46087</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55493-2021</t>
        </is>
      </c>
      <c r="B309" s="1" t="n">
        <v>44475.61988425926</v>
      </c>
      <c r="C309" s="1" t="n">
        <v>46087</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572-2025</t>
        </is>
      </c>
      <c r="B310" s="1" t="n">
        <v>45664.56349537037</v>
      </c>
      <c r="C310" s="1" t="n">
        <v>46087</v>
      </c>
      <c r="D310" t="inlineStr">
        <is>
          <t>ÖSTERGÖTLANDS LÄN</t>
        </is>
      </c>
      <c r="E310" t="inlineStr">
        <is>
          <t>LINKÖPING</t>
        </is>
      </c>
      <c r="G310" t="n">
        <v>1.3</v>
      </c>
      <c r="H310" t="n">
        <v>0</v>
      </c>
      <c r="I310" t="n">
        <v>0</v>
      </c>
      <c r="J310" t="n">
        <v>0</v>
      </c>
      <c r="K310" t="n">
        <v>0</v>
      </c>
      <c r="L310" t="n">
        <v>0</v>
      </c>
      <c r="M310" t="n">
        <v>0</v>
      </c>
      <c r="N310" t="n">
        <v>0</v>
      </c>
      <c r="O310" t="n">
        <v>0</v>
      </c>
      <c r="P310" t="n">
        <v>0</v>
      </c>
      <c r="Q310" t="n">
        <v>0</v>
      </c>
      <c r="R310" s="2" t="inlineStr"/>
    </row>
    <row r="311" ht="15" customHeight="1">
      <c r="A311" t="inlineStr">
        <is>
          <t>A 22364-2025</t>
        </is>
      </c>
      <c r="B311" s="1" t="n">
        <v>45786.46930555555</v>
      </c>
      <c r="C311" s="1" t="n">
        <v>46087</v>
      </c>
      <c r="D311" t="inlineStr">
        <is>
          <t>ÖSTERGÖTLANDS LÄN</t>
        </is>
      </c>
      <c r="E311" t="inlineStr">
        <is>
          <t>LINKÖPING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44287-2024</t>
        </is>
      </c>
      <c r="B312" s="1" t="n">
        <v>45573.50582175926</v>
      </c>
      <c r="C312" s="1" t="n">
        <v>46087</v>
      </c>
      <c r="D312" t="inlineStr">
        <is>
          <t>ÖSTERGÖTLANDS LÄN</t>
        </is>
      </c>
      <c r="E312" t="inlineStr">
        <is>
          <t>LINKÖPING</t>
        </is>
      </c>
      <c r="G312" t="n">
        <v>12.7</v>
      </c>
      <c r="H312" t="n">
        <v>0</v>
      </c>
      <c r="I312" t="n">
        <v>0</v>
      </c>
      <c r="J312" t="n">
        <v>0</v>
      </c>
      <c r="K312" t="n">
        <v>0</v>
      </c>
      <c r="L312" t="n">
        <v>0</v>
      </c>
      <c r="M312" t="n">
        <v>0</v>
      </c>
      <c r="N312" t="n">
        <v>0</v>
      </c>
      <c r="O312" t="n">
        <v>0</v>
      </c>
      <c r="P312" t="n">
        <v>0</v>
      </c>
      <c r="Q312" t="n">
        <v>0</v>
      </c>
      <c r="R312" s="2" t="inlineStr"/>
    </row>
    <row r="313" ht="15" customHeight="1">
      <c r="A313" t="inlineStr">
        <is>
          <t>A 6054-2022</t>
        </is>
      </c>
      <c r="B313" s="1" t="n">
        <v>44599.53623842593</v>
      </c>
      <c r="C313" s="1" t="n">
        <v>46087</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42623-2025</t>
        </is>
      </c>
      <c r="B314" s="1" t="n">
        <v>45905</v>
      </c>
      <c r="C314" s="1" t="n">
        <v>46087</v>
      </c>
      <c r="D314" t="inlineStr">
        <is>
          <t>ÖSTERGÖTLANDS LÄN</t>
        </is>
      </c>
      <c r="E314" t="inlineStr">
        <is>
          <t>LINKÖPING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25119-2023</t>
        </is>
      </c>
      <c r="B315" s="1" t="n">
        <v>45086.42326388889</v>
      </c>
      <c r="C315" s="1" t="n">
        <v>46087</v>
      </c>
      <c r="D315" t="inlineStr">
        <is>
          <t>ÖSTERGÖTLANDS LÄN</t>
        </is>
      </c>
      <c r="E315" t="inlineStr">
        <is>
          <t>LINKÖPING</t>
        </is>
      </c>
      <c r="G315" t="n">
        <v>3.2</v>
      </c>
      <c r="H315" t="n">
        <v>0</v>
      </c>
      <c r="I315" t="n">
        <v>0</v>
      </c>
      <c r="J315" t="n">
        <v>0</v>
      </c>
      <c r="K315" t="n">
        <v>0</v>
      </c>
      <c r="L315" t="n">
        <v>0</v>
      </c>
      <c r="M315" t="n">
        <v>0</v>
      </c>
      <c r="N315" t="n">
        <v>0</v>
      </c>
      <c r="O315" t="n">
        <v>0</v>
      </c>
      <c r="P315" t="n">
        <v>0</v>
      </c>
      <c r="Q315" t="n">
        <v>0</v>
      </c>
      <c r="R315" s="2" t="inlineStr"/>
    </row>
    <row r="316" ht="15" customHeight="1">
      <c r="A316" t="inlineStr">
        <is>
          <t>A 4456-2024</t>
        </is>
      </c>
      <c r="B316" s="1" t="n">
        <v>45327.52847222222</v>
      </c>
      <c r="C316" s="1" t="n">
        <v>46087</v>
      </c>
      <c r="D316" t="inlineStr">
        <is>
          <t>ÖSTERGÖTLANDS LÄN</t>
        </is>
      </c>
      <c r="E316" t="inlineStr">
        <is>
          <t>LINKÖPING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54333-2025</t>
        </is>
      </c>
      <c r="B317" s="1" t="n">
        <v>45965.35090277778</v>
      </c>
      <c r="C317" s="1" t="n">
        <v>46087</v>
      </c>
      <c r="D317" t="inlineStr">
        <is>
          <t>ÖSTERGÖTLANDS LÄN</t>
        </is>
      </c>
      <c r="E317" t="inlineStr">
        <is>
          <t>LINKÖPING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29312-2024</t>
        </is>
      </c>
      <c r="B318" s="1" t="n">
        <v>45483</v>
      </c>
      <c r="C318" s="1" t="n">
        <v>46087</v>
      </c>
      <c r="D318" t="inlineStr">
        <is>
          <t>ÖSTERGÖTLANDS LÄN</t>
        </is>
      </c>
      <c r="E318" t="inlineStr">
        <is>
          <t>LINKÖPING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58114-2021</t>
        </is>
      </c>
      <c r="B319" s="1" t="n">
        <v>44487</v>
      </c>
      <c r="C319" s="1" t="n">
        <v>46087</v>
      </c>
      <c r="D319" t="inlineStr">
        <is>
          <t>ÖSTERGÖTLANDS LÄN</t>
        </is>
      </c>
      <c r="E319" t="inlineStr">
        <is>
          <t>LINKÖPING</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42624-2025</t>
        </is>
      </c>
      <c r="B320" s="1" t="n">
        <v>45905</v>
      </c>
      <c r="C320" s="1" t="n">
        <v>46087</v>
      </c>
      <c r="D320" t="inlineStr">
        <is>
          <t>ÖSTERGÖTLANDS LÄN</t>
        </is>
      </c>
      <c r="E320" t="inlineStr">
        <is>
          <t>LINKÖPING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42626-2025</t>
        </is>
      </c>
      <c r="B321" s="1" t="n">
        <v>45905</v>
      </c>
      <c r="C321" s="1" t="n">
        <v>46087</v>
      </c>
      <c r="D321" t="inlineStr">
        <is>
          <t>ÖSTERGÖTLANDS LÄN</t>
        </is>
      </c>
      <c r="E321" t="inlineStr">
        <is>
          <t>LINKÖPING</t>
        </is>
      </c>
      <c r="G321" t="n">
        <v>3.6</v>
      </c>
      <c r="H321" t="n">
        <v>0</v>
      </c>
      <c r="I321" t="n">
        <v>0</v>
      </c>
      <c r="J321" t="n">
        <v>0</v>
      </c>
      <c r="K321" t="n">
        <v>0</v>
      </c>
      <c r="L321" t="n">
        <v>0</v>
      </c>
      <c r="M321" t="n">
        <v>0</v>
      </c>
      <c r="N321" t="n">
        <v>0</v>
      </c>
      <c r="O321" t="n">
        <v>0</v>
      </c>
      <c r="P321" t="n">
        <v>0</v>
      </c>
      <c r="Q321" t="n">
        <v>0</v>
      </c>
      <c r="R321" s="2" t="inlineStr"/>
    </row>
    <row r="322" ht="15" customHeight="1">
      <c r="A322" t="inlineStr">
        <is>
          <t>A 54332-2025</t>
        </is>
      </c>
      <c r="B322" s="1" t="n">
        <v>45965.34915509259</v>
      </c>
      <c r="C322" s="1" t="n">
        <v>46087</v>
      </c>
      <c r="D322" t="inlineStr">
        <is>
          <t>ÖSTERGÖTLANDS LÄN</t>
        </is>
      </c>
      <c r="E322" t="inlineStr">
        <is>
          <t>LINKÖPING</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54329-2025</t>
        </is>
      </c>
      <c r="B323" s="1" t="n">
        <v>45965.34706018519</v>
      </c>
      <c r="C323" s="1" t="n">
        <v>46087</v>
      </c>
      <c r="D323" t="inlineStr">
        <is>
          <t>ÖSTERGÖTLANDS LÄN</t>
        </is>
      </c>
      <c r="E323" t="inlineStr">
        <is>
          <t>LINKÖPING</t>
        </is>
      </c>
      <c r="F323" t="inlineStr">
        <is>
          <t>Sveaskog</t>
        </is>
      </c>
      <c r="G323" t="n">
        <v>5.1</v>
      </c>
      <c r="H323" t="n">
        <v>0</v>
      </c>
      <c r="I323" t="n">
        <v>0</v>
      </c>
      <c r="J323" t="n">
        <v>0</v>
      </c>
      <c r="K323" t="n">
        <v>0</v>
      </c>
      <c r="L323" t="n">
        <v>0</v>
      </c>
      <c r="M323" t="n">
        <v>0</v>
      </c>
      <c r="N323" t="n">
        <v>0</v>
      </c>
      <c r="O323" t="n">
        <v>0</v>
      </c>
      <c r="P323" t="n">
        <v>0</v>
      </c>
      <c r="Q323" t="n">
        <v>0</v>
      </c>
      <c r="R323" s="2" t="inlineStr"/>
    </row>
    <row r="324" ht="15" customHeight="1">
      <c r="A324" t="inlineStr">
        <is>
          <t>A 52892-2024</t>
        </is>
      </c>
      <c r="B324" s="1" t="n">
        <v>45610</v>
      </c>
      <c r="C324" s="1" t="n">
        <v>46087</v>
      </c>
      <c r="D324" t="inlineStr">
        <is>
          <t>ÖSTERGÖTLANDS LÄN</t>
        </is>
      </c>
      <c r="E324" t="inlineStr">
        <is>
          <t>LINKÖPING</t>
        </is>
      </c>
      <c r="G324" t="n">
        <v>4.2</v>
      </c>
      <c r="H324" t="n">
        <v>0</v>
      </c>
      <c r="I324" t="n">
        <v>0</v>
      </c>
      <c r="J324" t="n">
        <v>0</v>
      </c>
      <c r="K324" t="n">
        <v>0</v>
      </c>
      <c r="L324" t="n">
        <v>0</v>
      </c>
      <c r="M324" t="n">
        <v>0</v>
      </c>
      <c r="N324" t="n">
        <v>0</v>
      </c>
      <c r="O324" t="n">
        <v>0</v>
      </c>
      <c r="P324" t="n">
        <v>0</v>
      </c>
      <c r="Q324" t="n">
        <v>0</v>
      </c>
      <c r="R324" s="2" t="inlineStr"/>
    </row>
    <row r="325" ht="15" customHeight="1">
      <c r="A325" t="inlineStr">
        <is>
          <t>A 55109-2025</t>
        </is>
      </c>
      <c r="B325" s="1" t="n">
        <v>45968.37731481482</v>
      </c>
      <c r="C325" s="1" t="n">
        <v>46087</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55165-2025</t>
        </is>
      </c>
      <c r="B326" s="1" t="n">
        <v>45968.48194444444</v>
      </c>
      <c r="C326" s="1" t="n">
        <v>46087</v>
      </c>
      <c r="D326" t="inlineStr">
        <is>
          <t>ÖSTERGÖTLANDS LÄN</t>
        </is>
      </c>
      <c r="E326" t="inlineStr">
        <is>
          <t>LINKÖPING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55102-2025</t>
        </is>
      </c>
      <c r="B327" s="1" t="n">
        <v>45968.35410879629</v>
      </c>
      <c r="C327" s="1" t="n">
        <v>46087</v>
      </c>
      <c r="D327" t="inlineStr">
        <is>
          <t>ÖSTERGÖTLANDS LÄN</t>
        </is>
      </c>
      <c r="E327" t="inlineStr">
        <is>
          <t>LINKÖPING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55132-2025</t>
        </is>
      </c>
      <c r="B328" s="1" t="n">
        <v>45968.41912037037</v>
      </c>
      <c r="C328" s="1" t="n">
        <v>46087</v>
      </c>
      <c r="D328" t="inlineStr">
        <is>
          <t>ÖSTERGÖTLANDS LÄN</t>
        </is>
      </c>
      <c r="E328" t="inlineStr">
        <is>
          <t>LINKÖPING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3008-2023</t>
        </is>
      </c>
      <c r="B329" s="1" t="n">
        <v>44945.79784722222</v>
      </c>
      <c r="C329" s="1" t="n">
        <v>46087</v>
      </c>
      <c r="D329" t="inlineStr">
        <is>
          <t>ÖSTERGÖTLANDS LÄN</t>
        </is>
      </c>
      <c r="E329" t="inlineStr">
        <is>
          <t>LINKÖPING</t>
        </is>
      </c>
      <c r="G329" t="n">
        <v>19.3</v>
      </c>
      <c r="H329" t="n">
        <v>0</v>
      </c>
      <c r="I329" t="n">
        <v>0</v>
      </c>
      <c r="J329" t="n">
        <v>0</v>
      </c>
      <c r="K329" t="n">
        <v>0</v>
      </c>
      <c r="L329" t="n">
        <v>0</v>
      </c>
      <c r="M329" t="n">
        <v>0</v>
      </c>
      <c r="N329" t="n">
        <v>0</v>
      </c>
      <c r="O329" t="n">
        <v>0</v>
      </c>
      <c r="P329" t="n">
        <v>0</v>
      </c>
      <c r="Q329" t="n">
        <v>0</v>
      </c>
      <c r="R329" s="2" t="inlineStr"/>
    </row>
    <row r="330" ht="15" customHeight="1">
      <c r="A330" t="inlineStr">
        <is>
          <t>A 23120-2025</t>
        </is>
      </c>
      <c r="B330" s="1" t="n">
        <v>45791.37481481482</v>
      </c>
      <c r="C330" s="1" t="n">
        <v>46087</v>
      </c>
      <c r="D330" t="inlineStr">
        <is>
          <t>ÖSTERGÖTLANDS LÄN</t>
        </is>
      </c>
      <c r="E330" t="inlineStr">
        <is>
          <t>LINKÖPING</t>
        </is>
      </c>
      <c r="G330" t="n">
        <v>2.9</v>
      </c>
      <c r="H330" t="n">
        <v>0</v>
      </c>
      <c r="I330" t="n">
        <v>0</v>
      </c>
      <c r="J330" t="n">
        <v>0</v>
      </c>
      <c r="K330" t="n">
        <v>0</v>
      </c>
      <c r="L330" t="n">
        <v>0</v>
      </c>
      <c r="M330" t="n">
        <v>0</v>
      </c>
      <c r="N330" t="n">
        <v>0</v>
      </c>
      <c r="O330" t="n">
        <v>0</v>
      </c>
      <c r="P330" t="n">
        <v>0</v>
      </c>
      <c r="Q330" t="n">
        <v>0</v>
      </c>
      <c r="R330" s="2" t="inlineStr"/>
    </row>
    <row r="331" ht="15" customHeight="1">
      <c r="A331" t="inlineStr">
        <is>
          <t>A 43755-2025</t>
        </is>
      </c>
      <c r="B331" s="1" t="n">
        <v>45912.47329861111</v>
      </c>
      <c r="C331" s="1" t="n">
        <v>46087</v>
      </c>
      <c r="D331" t="inlineStr">
        <is>
          <t>ÖSTERGÖTLANDS LÄN</t>
        </is>
      </c>
      <c r="E331" t="inlineStr">
        <is>
          <t>LINKÖPING</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55736-2022</t>
        </is>
      </c>
      <c r="B332" s="1" t="n">
        <v>44888</v>
      </c>
      <c r="C332" s="1" t="n">
        <v>46087</v>
      </c>
      <c r="D332" t="inlineStr">
        <is>
          <t>ÖSTERGÖTLANDS LÄN</t>
        </is>
      </c>
      <c r="E332" t="inlineStr">
        <is>
          <t>LINKÖPING</t>
        </is>
      </c>
      <c r="G332" t="n">
        <v>5.5</v>
      </c>
      <c r="H332" t="n">
        <v>0</v>
      </c>
      <c r="I332" t="n">
        <v>0</v>
      </c>
      <c r="J332" t="n">
        <v>0</v>
      </c>
      <c r="K332" t="n">
        <v>0</v>
      </c>
      <c r="L332" t="n">
        <v>0</v>
      </c>
      <c r="M332" t="n">
        <v>0</v>
      </c>
      <c r="N332" t="n">
        <v>0</v>
      </c>
      <c r="O332" t="n">
        <v>0</v>
      </c>
      <c r="P332" t="n">
        <v>0</v>
      </c>
      <c r="Q332" t="n">
        <v>0</v>
      </c>
      <c r="R332" s="2" t="inlineStr"/>
    </row>
    <row r="333" ht="15" customHeight="1">
      <c r="A333" t="inlineStr">
        <is>
          <t>A 43753-2025</t>
        </is>
      </c>
      <c r="B333" s="1" t="n">
        <v>45912.4715625</v>
      </c>
      <c r="C333" s="1" t="n">
        <v>46087</v>
      </c>
      <c r="D333" t="inlineStr">
        <is>
          <t>ÖSTERGÖTLANDS LÄN</t>
        </is>
      </c>
      <c r="E333" t="inlineStr">
        <is>
          <t>LINKÖPING</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43758-2025</t>
        </is>
      </c>
      <c r="B334" s="1" t="n">
        <v>45912.47711805555</v>
      </c>
      <c r="C334" s="1" t="n">
        <v>46087</v>
      </c>
      <c r="D334" t="inlineStr">
        <is>
          <t>ÖSTERGÖTLANDS LÄN</t>
        </is>
      </c>
      <c r="E334" t="inlineStr">
        <is>
          <t>LINKÖPING</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44170-2025</t>
        </is>
      </c>
      <c r="B335" s="1" t="n">
        <v>45915.59864583334</v>
      </c>
      <c r="C335" s="1" t="n">
        <v>46087</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56105-2025</t>
        </is>
      </c>
      <c r="B336" s="1" t="n">
        <v>45973.72855324074</v>
      </c>
      <c r="C336" s="1" t="n">
        <v>46087</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56403-2025</t>
        </is>
      </c>
      <c r="B337" s="1" t="n">
        <v>45974</v>
      </c>
      <c r="C337" s="1" t="n">
        <v>46087</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48699-2024</t>
        </is>
      </c>
      <c r="B338" s="1" t="n">
        <v>45593.52091435185</v>
      </c>
      <c r="C338" s="1" t="n">
        <v>46087</v>
      </c>
      <c r="D338" t="inlineStr">
        <is>
          <t>ÖSTERGÖTLANDS LÄN</t>
        </is>
      </c>
      <c r="E338" t="inlineStr">
        <is>
          <t>LINKÖPING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30434-2024</t>
        </is>
      </c>
      <c r="B339" s="1" t="n">
        <v>45491.69811342593</v>
      </c>
      <c r="C339" s="1" t="n">
        <v>46087</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56113-2025</t>
        </is>
      </c>
      <c r="B340" s="1" t="n">
        <v>45973.73924768518</v>
      </c>
      <c r="C340" s="1" t="n">
        <v>46087</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56704-2025</t>
        </is>
      </c>
      <c r="B341" s="1" t="n">
        <v>45977.50608796296</v>
      </c>
      <c r="C341" s="1" t="n">
        <v>46087</v>
      </c>
      <c r="D341" t="inlineStr">
        <is>
          <t>ÖSTERGÖTLANDS LÄN</t>
        </is>
      </c>
      <c r="E341" t="inlineStr">
        <is>
          <t>LINKÖPING</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44759-2025</t>
        </is>
      </c>
      <c r="B342" s="1" t="n">
        <v>45917.7152662037</v>
      </c>
      <c r="C342" s="1" t="n">
        <v>46087</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44764-2025</t>
        </is>
      </c>
      <c r="B343" s="1" t="n">
        <v>45917.72821759259</v>
      </c>
      <c r="C343" s="1" t="n">
        <v>46087</v>
      </c>
      <c r="D343" t="inlineStr">
        <is>
          <t>ÖSTERGÖTLANDS LÄN</t>
        </is>
      </c>
      <c r="E343" t="inlineStr">
        <is>
          <t>LINKÖPING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13911-2025</t>
        </is>
      </c>
      <c r="B344" s="1" t="n">
        <v>45737.64784722222</v>
      </c>
      <c r="C344" s="1" t="n">
        <v>46087</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11084-2022</t>
        </is>
      </c>
      <c r="B345" s="1" t="n">
        <v>44628</v>
      </c>
      <c r="C345" s="1" t="n">
        <v>46087</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23768-2025</t>
        </is>
      </c>
      <c r="B346" s="1" t="n">
        <v>45793.47493055555</v>
      </c>
      <c r="C346" s="1" t="n">
        <v>46087</v>
      </c>
      <c r="D346" t="inlineStr">
        <is>
          <t>ÖSTERGÖTLANDS LÄN</t>
        </is>
      </c>
      <c r="E346" t="inlineStr">
        <is>
          <t>LINKÖPING</t>
        </is>
      </c>
      <c r="G346" t="n">
        <v>3.4</v>
      </c>
      <c r="H346" t="n">
        <v>0</v>
      </c>
      <c r="I346" t="n">
        <v>0</v>
      </c>
      <c r="J346" t="n">
        <v>0</v>
      </c>
      <c r="K346" t="n">
        <v>0</v>
      </c>
      <c r="L346" t="n">
        <v>0</v>
      </c>
      <c r="M346" t="n">
        <v>0</v>
      </c>
      <c r="N346" t="n">
        <v>0</v>
      </c>
      <c r="O346" t="n">
        <v>0</v>
      </c>
      <c r="P346" t="n">
        <v>0</v>
      </c>
      <c r="Q346" t="n">
        <v>0</v>
      </c>
      <c r="R346" s="2" t="inlineStr"/>
    </row>
    <row r="347" ht="15" customHeight="1">
      <c r="A347" t="inlineStr">
        <is>
          <t>A 57745-2022</t>
        </is>
      </c>
      <c r="B347" s="1" t="n">
        <v>44897.58119212963</v>
      </c>
      <c r="C347" s="1" t="n">
        <v>46087</v>
      </c>
      <c r="D347" t="inlineStr">
        <is>
          <t>ÖSTERGÖTLANDS LÄN</t>
        </is>
      </c>
      <c r="E347" t="inlineStr">
        <is>
          <t>LINKÖPING</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14520-2025</t>
        </is>
      </c>
      <c r="B348" s="1" t="n">
        <v>45741</v>
      </c>
      <c r="C348" s="1" t="n">
        <v>46087</v>
      </c>
      <c r="D348" t="inlineStr">
        <is>
          <t>ÖSTERGÖTLANDS LÄN</t>
        </is>
      </c>
      <c r="E348" t="inlineStr">
        <is>
          <t>LINKÖPING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45112-2025</t>
        </is>
      </c>
      <c r="B349" s="1" t="n">
        <v>45919</v>
      </c>
      <c r="C349" s="1" t="n">
        <v>46087</v>
      </c>
      <c r="D349" t="inlineStr">
        <is>
          <t>ÖSTERGÖTLANDS LÄN</t>
        </is>
      </c>
      <c r="E349" t="inlineStr">
        <is>
          <t>LINKÖPING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56064-2022</t>
        </is>
      </c>
      <c r="B350" s="1" t="n">
        <v>44889.59107638889</v>
      </c>
      <c r="C350" s="1" t="n">
        <v>46087</v>
      </c>
      <c r="D350" t="inlineStr">
        <is>
          <t>ÖSTERGÖTLANDS LÄN</t>
        </is>
      </c>
      <c r="E350" t="inlineStr">
        <is>
          <t>LINKÖPING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40502-2024</t>
        </is>
      </c>
      <c r="B351" s="1" t="n">
        <v>45555.57263888889</v>
      </c>
      <c r="C351" s="1" t="n">
        <v>46087</v>
      </c>
      <c r="D351" t="inlineStr">
        <is>
          <t>ÖSTERGÖTLANDS LÄN</t>
        </is>
      </c>
      <c r="E351" t="inlineStr">
        <is>
          <t>LINKÖPING</t>
        </is>
      </c>
      <c r="F351" t="inlineStr">
        <is>
          <t>Allmännings- och besparingsskogar</t>
        </is>
      </c>
      <c r="G351" t="n">
        <v>17.5</v>
      </c>
      <c r="H351" t="n">
        <v>0</v>
      </c>
      <c r="I351" t="n">
        <v>0</v>
      </c>
      <c r="J351" t="n">
        <v>0</v>
      </c>
      <c r="K351" t="n">
        <v>0</v>
      </c>
      <c r="L351" t="n">
        <v>0</v>
      </c>
      <c r="M351" t="n">
        <v>0</v>
      </c>
      <c r="N351" t="n">
        <v>0</v>
      </c>
      <c r="O351" t="n">
        <v>0</v>
      </c>
      <c r="P351" t="n">
        <v>0</v>
      </c>
      <c r="Q351" t="n">
        <v>0</v>
      </c>
      <c r="R351" s="2" t="inlineStr"/>
    </row>
    <row r="352" ht="15" customHeight="1">
      <c r="A352" t="inlineStr">
        <is>
          <t>A 45634-2025</t>
        </is>
      </c>
      <c r="B352" s="1" t="n">
        <v>45922.85089120371</v>
      </c>
      <c r="C352" s="1" t="n">
        <v>46087</v>
      </c>
      <c r="D352" t="inlineStr">
        <is>
          <t>ÖSTERGÖTLANDS LÄN</t>
        </is>
      </c>
      <c r="E352" t="inlineStr">
        <is>
          <t>LINKÖPING</t>
        </is>
      </c>
      <c r="F352" t="inlineStr">
        <is>
          <t>Övriga Aktiebolag</t>
        </is>
      </c>
      <c r="G352" t="n">
        <v>0.3</v>
      </c>
      <c r="H352" t="n">
        <v>0</v>
      </c>
      <c r="I352" t="n">
        <v>0</v>
      </c>
      <c r="J352" t="n">
        <v>0</v>
      </c>
      <c r="K352" t="n">
        <v>0</v>
      </c>
      <c r="L352" t="n">
        <v>0</v>
      </c>
      <c r="M352" t="n">
        <v>0</v>
      </c>
      <c r="N352" t="n">
        <v>0</v>
      </c>
      <c r="O352" t="n">
        <v>0</v>
      </c>
      <c r="P352" t="n">
        <v>0</v>
      </c>
      <c r="Q352" t="n">
        <v>0</v>
      </c>
      <c r="R352" s="2" t="inlineStr"/>
    </row>
    <row r="353" ht="15" customHeight="1">
      <c r="A353" t="inlineStr">
        <is>
          <t>A 45792-2025</t>
        </is>
      </c>
      <c r="B353" s="1" t="n">
        <v>45923.56998842592</v>
      </c>
      <c r="C353" s="1" t="n">
        <v>46087</v>
      </c>
      <c r="D353" t="inlineStr">
        <is>
          <t>ÖSTERGÖTLANDS LÄN</t>
        </is>
      </c>
      <c r="E353" t="inlineStr">
        <is>
          <t>LINKÖPING</t>
        </is>
      </c>
      <c r="G353" t="n">
        <v>2.6</v>
      </c>
      <c r="H353" t="n">
        <v>0</v>
      </c>
      <c r="I353" t="n">
        <v>0</v>
      </c>
      <c r="J353" t="n">
        <v>0</v>
      </c>
      <c r="K353" t="n">
        <v>0</v>
      </c>
      <c r="L353" t="n">
        <v>0</v>
      </c>
      <c r="M353" t="n">
        <v>0</v>
      </c>
      <c r="N353" t="n">
        <v>0</v>
      </c>
      <c r="O353" t="n">
        <v>0</v>
      </c>
      <c r="P353" t="n">
        <v>0</v>
      </c>
      <c r="Q353" t="n">
        <v>0</v>
      </c>
      <c r="R353" s="2" t="inlineStr"/>
    </row>
    <row r="354" ht="15" customHeight="1">
      <c r="A354" t="inlineStr">
        <is>
          <t>A 45804-2025</t>
        </is>
      </c>
      <c r="B354" s="1" t="n">
        <v>45923.5819675926</v>
      </c>
      <c r="C354" s="1" t="n">
        <v>46087</v>
      </c>
      <c r="D354" t="inlineStr">
        <is>
          <t>ÖSTERGÖTLANDS LÄN</t>
        </is>
      </c>
      <c r="E354" t="inlineStr">
        <is>
          <t>LINKÖPING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44155-2024</t>
        </is>
      </c>
      <c r="B355" s="1" t="n">
        <v>45572.68226851852</v>
      </c>
      <c r="C355" s="1" t="n">
        <v>46087</v>
      </c>
      <c r="D355" t="inlineStr">
        <is>
          <t>ÖSTERGÖTLANDS LÄN</t>
        </is>
      </c>
      <c r="E355" t="inlineStr">
        <is>
          <t>LINKÖPING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46428-2025</t>
        </is>
      </c>
      <c r="B356" s="1" t="n">
        <v>45925.60758101852</v>
      </c>
      <c r="C356" s="1" t="n">
        <v>46087</v>
      </c>
      <c r="D356" t="inlineStr">
        <is>
          <t>ÖSTERGÖTLANDS LÄN</t>
        </is>
      </c>
      <c r="E356" t="inlineStr">
        <is>
          <t>LINKÖPING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46426-2025</t>
        </is>
      </c>
      <c r="B357" s="1" t="n">
        <v>45925.6012962963</v>
      </c>
      <c r="C357" s="1" t="n">
        <v>46087</v>
      </c>
      <c r="D357" t="inlineStr">
        <is>
          <t>ÖSTERGÖTLANDS LÄN</t>
        </is>
      </c>
      <c r="E357" t="inlineStr">
        <is>
          <t>LINKÖPING</t>
        </is>
      </c>
      <c r="G357" t="n">
        <v>4.4</v>
      </c>
      <c r="H357" t="n">
        <v>0</v>
      </c>
      <c r="I357" t="n">
        <v>0</v>
      </c>
      <c r="J357" t="n">
        <v>0</v>
      </c>
      <c r="K357" t="n">
        <v>0</v>
      </c>
      <c r="L357" t="n">
        <v>0</v>
      </c>
      <c r="M357" t="n">
        <v>0</v>
      </c>
      <c r="N357" t="n">
        <v>0</v>
      </c>
      <c r="O357" t="n">
        <v>0</v>
      </c>
      <c r="P357" t="n">
        <v>0</v>
      </c>
      <c r="Q357" t="n">
        <v>0</v>
      </c>
      <c r="R357" s="2" t="inlineStr"/>
    </row>
    <row r="358" ht="15" customHeight="1">
      <c r="A358" t="inlineStr">
        <is>
          <t>A 46377-2025</t>
        </is>
      </c>
      <c r="B358" s="1" t="n">
        <v>45925.51773148148</v>
      </c>
      <c r="C358" s="1" t="n">
        <v>46087</v>
      </c>
      <c r="D358" t="inlineStr">
        <is>
          <t>ÖSTERGÖTLANDS LÄN</t>
        </is>
      </c>
      <c r="E358" t="inlineStr">
        <is>
          <t>LINKÖPING</t>
        </is>
      </c>
      <c r="G358" t="n">
        <v>3.1</v>
      </c>
      <c r="H358" t="n">
        <v>0</v>
      </c>
      <c r="I358" t="n">
        <v>0</v>
      </c>
      <c r="J358" t="n">
        <v>0</v>
      </c>
      <c r="K358" t="n">
        <v>0</v>
      </c>
      <c r="L358" t="n">
        <v>0</v>
      </c>
      <c r="M358" t="n">
        <v>0</v>
      </c>
      <c r="N358" t="n">
        <v>0</v>
      </c>
      <c r="O358" t="n">
        <v>0</v>
      </c>
      <c r="P358" t="n">
        <v>0</v>
      </c>
      <c r="Q358" t="n">
        <v>0</v>
      </c>
      <c r="R358" s="2" t="inlineStr"/>
    </row>
    <row r="359" ht="15" customHeight="1">
      <c r="A359" t="inlineStr">
        <is>
          <t>A 55004-2025</t>
        </is>
      </c>
      <c r="B359" s="1" t="n">
        <v>45967</v>
      </c>
      <c r="C359" s="1" t="n">
        <v>46087</v>
      </c>
      <c r="D359" t="inlineStr">
        <is>
          <t>ÖSTERGÖTLANDS LÄN</t>
        </is>
      </c>
      <c r="E359" t="inlineStr">
        <is>
          <t>LINKÖPING</t>
        </is>
      </c>
      <c r="G359" t="n">
        <v>2.5</v>
      </c>
      <c r="H359" t="n">
        <v>0</v>
      </c>
      <c r="I359" t="n">
        <v>0</v>
      </c>
      <c r="J359" t="n">
        <v>0</v>
      </c>
      <c r="K359" t="n">
        <v>0</v>
      </c>
      <c r="L359" t="n">
        <v>0</v>
      </c>
      <c r="M359" t="n">
        <v>0</v>
      </c>
      <c r="N359" t="n">
        <v>0</v>
      </c>
      <c r="O359" t="n">
        <v>0</v>
      </c>
      <c r="P359" t="n">
        <v>0</v>
      </c>
      <c r="Q359" t="n">
        <v>0</v>
      </c>
      <c r="R359" s="2" t="inlineStr"/>
    </row>
    <row r="360" ht="15" customHeight="1">
      <c r="A360" t="inlineStr">
        <is>
          <t>A 42997-2021</t>
        </is>
      </c>
      <c r="B360" s="1" t="n">
        <v>44431.45556712963</v>
      </c>
      <c r="C360" s="1" t="n">
        <v>46087</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47304-2025</t>
        </is>
      </c>
      <c r="B361" s="1" t="n">
        <v>45930.52037037037</v>
      </c>
      <c r="C361" s="1" t="n">
        <v>46087</v>
      </c>
      <c r="D361" t="inlineStr">
        <is>
          <t>ÖSTERGÖTLANDS LÄN</t>
        </is>
      </c>
      <c r="E361" t="inlineStr">
        <is>
          <t>LINKÖPING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47233-2025</t>
        </is>
      </c>
      <c r="B362" s="1" t="n">
        <v>45930.40612268518</v>
      </c>
      <c r="C362" s="1" t="n">
        <v>46087</v>
      </c>
      <c r="D362" t="inlineStr">
        <is>
          <t>ÖSTERGÖTLANDS LÄN</t>
        </is>
      </c>
      <c r="E362" t="inlineStr">
        <is>
          <t>LINKÖPING</t>
        </is>
      </c>
      <c r="G362" t="n">
        <v>4.3</v>
      </c>
      <c r="H362" t="n">
        <v>0</v>
      </c>
      <c r="I362" t="n">
        <v>0</v>
      </c>
      <c r="J362" t="n">
        <v>0</v>
      </c>
      <c r="K362" t="n">
        <v>0</v>
      </c>
      <c r="L362" t="n">
        <v>0</v>
      </c>
      <c r="M362" t="n">
        <v>0</v>
      </c>
      <c r="N362" t="n">
        <v>0</v>
      </c>
      <c r="O362" t="n">
        <v>0</v>
      </c>
      <c r="P362" t="n">
        <v>0</v>
      </c>
      <c r="Q362" t="n">
        <v>0</v>
      </c>
      <c r="R362" s="2" t="inlineStr"/>
    </row>
    <row r="363" ht="15" customHeight="1">
      <c r="A363" t="inlineStr">
        <is>
          <t>A 44280-2024</t>
        </is>
      </c>
      <c r="B363" s="1" t="n">
        <v>45573.49461805556</v>
      </c>
      <c r="C363" s="1" t="n">
        <v>46087</v>
      </c>
      <c r="D363" t="inlineStr">
        <is>
          <t>ÖSTERGÖTLANDS LÄN</t>
        </is>
      </c>
      <c r="E363" t="inlineStr">
        <is>
          <t>LINKÖPING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59205-2025</t>
        </is>
      </c>
      <c r="B364" s="1" t="n">
        <v>45988.60721064815</v>
      </c>
      <c r="C364" s="1" t="n">
        <v>46087</v>
      </c>
      <c r="D364" t="inlineStr">
        <is>
          <t>ÖSTERGÖTLANDS LÄN</t>
        </is>
      </c>
      <c r="E364" t="inlineStr">
        <is>
          <t>LINKÖPING</t>
        </is>
      </c>
      <c r="F364" t="inlineStr">
        <is>
          <t>Sveaskog</t>
        </is>
      </c>
      <c r="G364" t="n">
        <v>11.3</v>
      </c>
      <c r="H364" t="n">
        <v>0</v>
      </c>
      <c r="I364" t="n">
        <v>0</v>
      </c>
      <c r="J364" t="n">
        <v>0</v>
      </c>
      <c r="K364" t="n">
        <v>0</v>
      </c>
      <c r="L364" t="n">
        <v>0</v>
      </c>
      <c r="M364" t="n">
        <v>0</v>
      </c>
      <c r="N364" t="n">
        <v>0</v>
      </c>
      <c r="O364" t="n">
        <v>0</v>
      </c>
      <c r="P364" t="n">
        <v>0</v>
      </c>
      <c r="Q364" t="n">
        <v>0</v>
      </c>
      <c r="R364" s="2" t="inlineStr"/>
    </row>
    <row r="365" ht="15" customHeight="1">
      <c r="A365" t="inlineStr">
        <is>
          <t>A 58802-2025</t>
        </is>
      </c>
      <c r="B365" s="1" t="n">
        <v>45986.8768287037</v>
      </c>
      <c r="C365" s="1" t="n">
        <v>46087</v>
      </c>
      <c r="D365" t="inlineStr">
        <is>
          <t>ÖSTERGÖTLANDS LÄN</t>
        </is>
      </c>
      <c r="E365" t="inlineStr">
        <is>
          <t>LINKÖPING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46847-2025</t>
        </is>
      </c>
      <c r="B366" s="1" t="n">
        <v>45928.69971064815</v>
      </c>
      <c r="C366" s="1" t="n">
        <v>46087</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59472-2025</t>
        </is>
      </c>
      <c r="B367" s="1" t="n">
        <v>45989.58321759259</v>
      </c>
      <c r="C367" s="1" t="n">
        <v>46087</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14028-2024</t>
        </is>
      </c>
      <c r="B368" s="1" t="n">
        <v>45392</v>
      </c>
      <c r="C368" s="1" t="n">
        <v>46087</v>
      </c>
      <c r="D368" t="inlineStr">
        <is>
          <t>ÖSTERGÖTLANDS LÄN</t>
        </is>
      </c>
      <c r="E368" t="inlineStr">
        <is>
          <t>LINKÖPING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60087-2025</t>
        </is>
      </c>
      <c r="B369" s="1" t="n">
        <v>45993.71726851852</v>
      </c>
      <c r="C369" s="1" t="n">
        <v>46087</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60284-2025</t>
        </is>
      </c>
      <c r="B370" s="1" t="n">
        <v>45994.64373842593</v>
      </c>
      <c r="C370" s="1" t="n">
        <v>46087</v>
      </c>
      <c r="D370" t="inlineStr">
        <is>
          <t>ÖSTERGÖTLANDS LÄN</t>
        </is>
      </c>
      <c r="E370" t="inlineStr">
        <is>
          <t>LINKÖPING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14667-2024</t>
        </is>
      </c>
      <c r="B371" s="1" t="n">
        <v>45397.42005787037</v>
      </c>
      <c r="C371" s="1" t="n">
        <v>46087</v>
      </c>
      <c r="D371" t="inlineStr">
        <is>
          <t>ÖSTERGÖTLANDS LÄN</t>
        </is>
      </c>
      <c r="E371" t="inlineStr">
        <is>
          <t>LINKÖPING</t>
        </is>
      </c>
      <c r="G371" t="n">
        <v>2.3</v>
      </c>
      <c r="H371" t="n">
        <v>0</v>
      </c>
      <c r="I371" t="n">
        <v>0</v>
      </c>
      <c r="J371" t="n">
        <v>0</v>
      </c>
      <c r="K371" t="n">
        <v>0</v>
      </c>
      <c r="L371" t="n">
        <v>0</v>
      </c>
      <c r="M371" t="n">
        <v>0</v>
      </c>
      <c r="N371" t="n">
        <v>0</v>
      </c>
      <c r="O371" t="n">
        <v>0</v>
      </c>
      <c r="P371" t="n">
        <v>0</v>
      </c>
      <c r="Q371" t="n">
        <v>0</v>
      </c>
      <c r="R371" s="2" t="inlineStr"/>
    </row>
    <row r="372" ht="15" customHeight="1">
      <c r="A372" t="inlineStr">
        <is>
          <t>A 2697-2023</t>
        </is>
      </c>
      <c r="B372" s="1" t="n">
        <v>44944</v>
      </c>
      <c r="C372" s="1" t="n">
        <v>46087</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60306-2025</t>
        </is>
      </c>
      <c r="B373" s="1" t="n">
        <v>45994.68326388889</v>
      </c>
      <c r="C373" s="1" t="n">
        <v>46087</v>
      </c>
      <c r="D373" t="inlineStr">
        <is>
          <t>ÖSTERGÖTLANDS LÄN</t>
        </is>
      </c>
      <c r="E373" t="inlineStr">
        <is>
          <t>LINKÖPING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25996-2025</t>
        </is>
      </c>
      <c r="B374" s="1" t="n">
        <v>45804.65851851852</v>
      </c>
      <c r="C374" s="1" t="n">
        <v>46087</v>
      </c>
      <c r="D374" t="inlineStr">
        <is>
          <t>ÖSTERGÖTLANDS LÄN</t>
        </is>
      </c>
      <c r="E374" t="inlineStr">
        <is>
          <t>LINKÖPING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53641-2023</t>
        </is>
      </c>
      <c r="B375" s="1" t="n">
        <v>45230</v>
      </c>
      <c r="C375" s="1" t="n">
        <v>46087</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48707-2023</t>
        </is>
      </c>
      <c r="B376" s="1" t="n">
        <v>45202</v>
      </c>
      <c r="C376" s="1" t="n">
        <v>46087</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53411-2023</t>
        </is>
      </c>
      <c r="B377" s="1" t="n">
        <v>45229.81049768518</v>
      </c>
      <c r="C377" s="1" t="n">
        <v>46087</v>
      </c>
      <c r="D377" t="inlineStr">
        <is>
          <t>ÖSTERGÖTLANDS LÄN</t>
        </is>
      </c>
      <c r="E377" t="inlineStr">
        <is>
          <t>LINKÖPING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56741-2023</t>
        </is>
      </c>
      <c r="B378" s="1" t="n">
        <v>45244</v>
      </c>
      <c r="C378" s="1" t="n">
        <v>46087</v>
      </c>
      <c r="D378" t="inlineStr">
        <is>
          <t>ÖSTERGÖTLANDS LÄN</t>
        </is>
      </c>
      <c r="E378" t="inlineStr">
        <is>
          <t>LINKÖPING</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56792-2023</t>
        </is>
      </c>
      <c r="B379" s="1" t="n">
        <v>45244</v>
      </c>
      <c r="C379" s="1" t="n">
        <v>46087</v>
      </c>
      <c r="D379" t="inlineStr">
        <is>
          <t>ÖSTERGÖTLANDS LÄN</t>
        </is>
      </c>
      <c r="E379" t="inlineStr">
        <is>
          <t>LINKÖPING</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60703-2025</t>
        </is>
      </c>
      <c r="B380" s="1" t="n">
        <v>45996.6052662037</v>
      </c>
      <c r="C380" s="1" t="n">
        <v>46087</v>
      </c>
      <c r="D380" t="inlineStr">
        <is>
          <t>ÖSTERGÖTLANDS LÄN</t>
        </is>
      </c>
      <c r="E380" t="inlineStr">
        <is>
          <t>LINKÖPING</t>
        </is>
      </c>
      <c r="F380" t="inlineStr">
        <is>
          <t>Övriga Aktiebolag</t>
        </is>
      </c>
      <c r="G380" t="n">
        <v>1.3</v>
      </c>
      <c r="H380" t="n">
        <v>0</v>
      </c>
      <c r="I380" t="n">
        <v>0</v>
      </c>
      <c r="J380" t="n">
        <v>0</v>
      </c>
      <c r="K380" t="n">
        <v>0</v>
      </c>
      <c r="L380" t="n">
        <v>0</v>
      </c>
      <c r="M380" t="n">
        <v>0</v>
      </c>
      <c r="N380" t="n">
        <v>0</v>
      </c>
      <c r="O380" t="n">
        <v>0</v>
      </c>
      <c r="P380" t="n">
        <v>0</v>
      </c>
      <c r="Q380" t="n">
        <v>0</v>
      </c>
      <c r="R380" s="2" t="inlineStr"/>
    </row>
    <row r="381" ht="15" customHeight="1">
      <c r="A381" t="inlineStr">
        <is>
          <t>A 3007-2023</t>
        </is>
      </c>
      <c r="B381" s="1" t="n">
        <v>44945</v>
      </c>
      <c r="C381" s="1" t="n">
        <v>46087</v>
      </c>
      <c r="D381" t="inlineStr">
        <is>
          <t>ÖSTERGÖTLANDS LÄN</t>
        </is>
      </c>
      <c r="E381" t="inlineStr">
        <is>
          <t>LINKÖPING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40338-2024</t>
        </is>
      </c>
      <c r="B382" s="1" t="n">
        <v>45555.32940972222</v>
      </c>
      <c r="C382" s="1" t="n">
        <v>46087</v>
      </c>
      <c r="D382" t="inlineStr">
        <is>
          <t>ÖSTERGÖTLANDS LÄN</t>
        </is>
      </c>
      <c r="E382" t="inlineStr">
        <is>
          <t>LINKÖPING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3013-2023</t>
        </is>
      </c>
      <c r="B383" s="1" t="n">
        <v>44945.8092824074</v>
      </c>
      <c r="C383" s="1" t="n">
        <v>46087</v>
      </c>
      <c r="D383" t="inlineStr">
        <is>
          <t>ÖSTERGÖTLANDS LÄN</t>
        </is>
      </c>
      <c r="E383" t="inlineStr">
        <is>
          <t>LINKÖPING</t>
        </is>
      </c>
      <c r="G383" t="n">
        <v>5.2</v>
      </c>
      <c r="H383" t="n">
        <v>0</v>
      </c>
      <c r="I383" t="n">
        <v>0</v>
      </c>
      <c r="J383" t="n">
        <v>0</v>
      </c>
      <c r="K383" t="n">
        <v>0</v>
      </c>
      <c r="L383" t="n">
        <v>0</v>
      </c>
      <c r="M383" t="n">
        <v>0</v>
      </c>
      <c r="N383" t="n">
        <v>0</v>
      </c>
      <c r="O383" t="n">
        <v>0</v>
      </c>
      <c r="P383" t="n">
        <v>0</v>
      </c>
      <c r="Q383" t="n">
        <v>0</v>
      </c>
      <c r="R383" s="2" t="inlineStr"/>
    </row>
    <row r="384" ht="15" customHeight="1">
      <c r="A384" t="inlineStr">
        <is>
          <t>A 55945-2024</t>
        </is>
      </c>
      <c r="B384" s="1" t="n">
        <v>45623.61754629629</v>
      </c>
      <c r="C384" s="1" t="n">
        <v>46087</v>
      </c>
      <c r="D384" t="inlineStr">
        <is>
          <t>ÖSTERGÖTLANDS LÄN</t>
        </is>
      </c>
      <c r="E384" t="inlineStr">
        <is>
          <t>LINKÖPING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26002-2025</t>
        </is>
      </c>
      <c r="B385" s="1" t="n">
        <v>45804.66534722222</v>
      </c>
      <c r="C385" s="1" t="n">
        <v>46087</v>
      </c>
      <c r="D385" t="inlineStr">
        <is>
          <t>ÖSTERGÖTLANDS LÄN</t>
        </is>
      </c>
      <c r="E385" t="inlineStr">
        <is>
          <t>LINKÖPING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1993-2023</t>
        </is>
      </c>
      <c r="B386" s="1" t="n">
        <v>44939</v>
      </c>
      <c r="C386" s="1" t="n">
        <v>46087</v>
      </c>
      <c r="D386" t="inlineStr">
        <is>
          <t>ÖSTERGÖTLANDS LÄN</t>
        </is>
      </c>
      <c r="E386" t="inlineStr">
        <is>
          <t>LINKÖPING</t>
        </is>
      </c>
      <c r="G386" t="n">
        <v>3.7</v>
      </c>
      <c r="H386" t="n">
        <v>0</v>
      </c>
      <c r="I386" t="n">
        <v>0</v>
      </c>
      <c r="J386" t="n">
        <v>0</v>
      </c>
      <c r="K386" t="n">
        <v>0</v>
      </c>
      <c r="L386" t="n">
        <v>0</v>
      </c>
      <c r="M386" t="n">
        <v>0</v>
      </c>
      <c r="N386" t="n">
        <v>0</v>
      </c>
      <c r="O386" t="n">
        <v>0</v>
      </c>
      <c r="P386" t="n">
        <v>0</v>
      </c>
      <c r="Q386" t="n">
        <v>0</v>
      </c>
      <c r="R386" s="2" t="inlineStr"/>
    </row>
    <row r="387" ht="15" customHeight="1">
      <c r="A387" t="inlineStr">
        <is>
          <t>A 2618-2023</t>
        </is>
      </c>
      <c r="B387" s="1" t="n">
        <v>44944.35847222222</v>
      </c>
      <c r="C387" s="1" t="n">
        <v>46087</v>
      </c>
      <c r="D387" t="inlineStr">
        <is>
          <t>ÖSTERGÖTLANDS LÄN</t>
        </is>
      </c>
      <c r="E387" t="inlineStr">
        <is>
          <t>LINKÖPING</t>
        </is>
      </c>
      <c r="G387" t="n">
        <v>4.3</v>
      </c>
      <c r="H387" t="n">
        <v>0</v>
      </c>
      <c r="I387" t="n">
        <v>0</v>
      </c>
      <c r="J387" t="n">
        <v>0</v>
      </c>
      <c r="K387" t="n">
        <v>0</v>
      </c>
      <c r="L387" t="n">
        <v>0</v>
      </c>
      <c r="M387" t="n">
        <v>0</v>
      </c>
      <c r="N387" t="n">
        <v>0</v>
      </c>
      <c r="O387" t="n">
        <v>0</v>
      </c>
      <c r="P387" t="n">
        <v>0</v>
      </c>
      <c r="Q387" t="n">
        <v>0</v>
      </c>
      <c r="R387" s="2" t="inlineStr"/>
    </row>
    <row r="388" ht="15" customHeight="1">
      <c r="A388" t="inlineStr">
        <is>
          <t>A 10203-2023</t>
        </is>
      </c>
      <c r="B388" s="1" t="n">
        <v>44986.55711805556</v>
      </c>
      <c r="C388" s="1" t="n">
        <v>46087</v>
      </c>
      <c r="D388" t="inlineStr">
        <is>
          <t>ÖSTERGÖTLANDS LÄN</t>
        </is>
      </c>
      <c r="E388" t="inlineStr">
        <is>
          <t>LINKÖPING</t>
        </is>
      </c>
      <c r="G388" t="n">
        <v>3.3</v>
      </c>
      <c r="H388" t="n">
        <v>0</v>
      </c>
      <c r="I388" t="n">
        <v>0</v>
      </c>
      <c r="J388" t="n">
        <v>0</v>
      </c>
      <c r="K388" t="n">
        <v>0</v>
      </c>
      <c r="L388" t="n">
        <v>0</v>
      </c>
      <c r="M388" t="n">
        <v>0</v>
      </c>
      <c r="N388" t="n">
        <v>0</v>
      </c>
      <c r="O388" t="n">
        <v>0</v>
      </c>
      <c r="P388" t="n">
        <v>0</v>
      </c>
      <c r="Q388" t="n">
        <v>0</v>
      </c>
      <c r="R388" s="2" t="inlineStr"/>
    </row>
    <row r="389" ht="15" customHeight="1">
      <c r="A389" t="inlineStr">
        <is>
          <t>A 34889-2023</t>
        </is>
      </c>
      <c r="B389" s="1" t="n">
        <v>45140</v>
      </c>
      <c r="C389" s="1" t="n">
        <v>46087</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34928-2023</t>
        </is>
      </c>
      <c r="B390" s="1" t="n">
        <v>45142</v>
      </c>
      <c r="C390" s="1" t="n">
        <v>46087</v>
      </c>
      <c r="D390" t="inlineStr">
        <is>
          <t>ÖSTERGÖTLANDS LÄN</t>
        </is>
      </c>
      <c r="E390" t="inlineStr">
        <is>
          <t>LINKÖPING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61230-2025</t>
        </is>
      </c>
      <c r="B391" s="1" t="n">
        <v>46000.63111111111</v>
      </c>
      <c r="C391" s="1" t="n">
        <v>46087</v>
      </c>
      <c r="D391" t="inlineStr">
        <is>
          <t>ÖSTERGÖTLANDS LÄN</t>
        </is>
      </c>
      <c r="E391" t="inlineStr">
        <is>
          <t>LINKÖPING</t>
        </is>
      </c>
      <c r="F391" t="inlineStr">
        <is>
          <t>Kyrkan</t>
        </is>
      </c>
      <c r="G391" t="n">
        <v>2.1</v>
      </c>
      <c r="H391" t="n">
        <v>0</v>
      </c>
      <c r="I391" t="n">
        <v>0</v>
      </c>
      <c r="J391" t="n">
        <v>0</v>
      </c>
      <c r="K391" t="n">
        <v>0</v>
      </c>
      <c r="L391" t="n">
        <v>0</v>
      </c>
      <c r="M391" t="n">
        <v>0</v>
      </c>
      <c r="N391" t="n">
        <v>0</v>
      </c>
      <c r="O391" t="n">
        <v>0</v>
      </c>
      <c r="P391" t="n">
        <v>0</v>
      </c>
      <c r="Q391" t="n">
        <v>0</v>
      </c>
      <c r="R391" s="2" t="inlineStr"/>
    </row>
    <row r="392" ht="15" customHeight="1">
      <c r="A392" t="inlineStr">
        <is>
          <t>A 60866-2025</t>
        </is>
      </c>
      <c r="B392" s="1" t="n">
        <v>45999</v>
      </c>
      <c r="C392" s="1" t="n">
        <v>46087</v>
      </c>
      <c r="D392" t="inlineStr">
        <is>
          <t>ÖSTERGÖTLANDS LÄN</t>
        </is>
      </c>
      <c r="E392" t="inlineStr">
        <is>
          <t>LINKÖPING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1268-2023</t>
        </is>
      </c>
      <c r="B393" s="1" t="n">
        <v>44936</v>
      </c>
      <c r="C393" s="1" t="n">
        <v>46087</v>
      </c>
      <c r="D393" t="inlineStr">
        <is>
          <t>ÖSTERGÖTLANDS LÄN</t>
        </is>
      </c>
      <c r="E393" t="inlineStr">
        <is>
          <t>LINKÖPING</t>
        </is>
      </c>
      <c r="G393" t="n">
        <v>4.6</v>
      </c>
      <c r="H393" t="n">
        <v>0</v>
      </c>
      <c r="I393" t="n">
        <v>0</v>
      </c>
      <c r="J393" t="n">
        <v>0</v>
      </c>
      <c r="K393" t="n">
        <v>0</v>
      </c>
      <c r="L393" t="n">
        <v>0</v>
      </c>
      <c r="M393" t="n">
        <v>0</v>
      </c>
      <c r="N393" t="n">
        <v>0</v>
      </c>
      <c r="O393" t="n">
        <v>0</v>
      </c>
      <c r="P393" t="n">
        <v>0</v>
      </c>
      <c r="Q393" t="n">
        <v>0</v>
      </c>
      <c r="R393" s="2" t="inlineStr"/>
    </row>
    <row r="394" ht="15" customHeight="1">
      <c r="A394" t="inlineStr">
        <is>
          <t>A 61643-2025</t>
        </is>
      </c>
      <c r="B394" s="1" t="n">
        <v>46002.43575231481</v>
      </c>
      <c r="C394" s="1" t="n">
        <v>46087</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61447-2025</t>
        </is>
      </c>
      <c r="B395" s="1" t="n">
        <v>46001.57554398148</v>
      </c>
      <c r="C395" s="1" t="n">
        <v>46087</v>
      </c>
      <c r="D395" t="inlineStr">
        <is>
          <t>ÖSTERGÖTLANDS LÄN</t>
        </is>
      </c>
      <c r="E395" t="inlineStr">
        <is>
          <t>LINKÖPING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61645-2025</t>
        </is>
      </c>
      <c r="B396" s="1" t="n">
        <v>46002.43697916667</v>
      </c>
      <c r="C396" s="1" t="n">
        <v>46087</v>
      </c>
      <c r="D396" t="inlineStr">
        <is>
          <t>ÖSTERGÖTLANDS LÄN</t>
        </is>
      </c>
      <c r="E396" t="inlineStr">
        <is>
          <t>LINKÖPING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49747-2024</t>
        </is>
      </c>
      <c r="B397" s="1" t="n">
        <v>45596</v>
      </c>
      <c r="C397" s="1" t="n">
        <v>46087</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31725-2022</t>
        </is>
      </c>
      <c r="B398" s="1" t="n">
        <v>44776.48541666667</v>
      </c>
      <c r="C398" s="1" t="n">
        <v>46087</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4469-2026</t>
        </is>
      </c>
      <c r="B399" s="1" t="n">
        <v>46045.65662037037</v>
      </c>
      <c r="C399" s="1" t="n">
        <v>46087</v>
      </c>
      <c r="D399" t="inlineStr">
        <is>
          <t>ÖSTERGÖTLANDS LÄN</t>
        </is>
      </c>
      <c r="E399" t="inlineStr">
        <is>
          <t>LINKÖPING</t>
        </is>
      </c>
      <c r="F399" t="inlineStr">
        <is>
          <t>Övriga Aktiebolag</t>
        </is>
      </c>
      <c r="G399" t="n">
        <v>3.8</v>
      </c>
      <c r="H399" t="n">
        <v>0</v>
      </c>
      <c r="I399" t="n">
        <v>0</v>
      </c>
      <c r="J399" t="n">
        <v>0</v>
      </c>
      <c r="K399" t="n">
        <v>0</v>
      </c>
      <c r="L399" t="n">
        <v>0</v>
      </c>
      <c r="M399" t="n">
        <v>0</v>
      </c>
      <c r="N399" t="n">
        <v>0</v>
      </c>
      <c r="O399" t="n">
        <v>0</v>
      </c>
      <c r="P399" t="n">
        <v>0</v>
      </c>
      <c r="Q399" t="n">
        <v>0</v>
      </c>
      <c r="R399" s="2" t="inlineStr"/>
    </row>
    <row r="400" ht="15" customHeight="1">
      <c r="A400" t="inlineStr">
        <is>
          <t>A 2389-2023</t>
        </is>
      </c>
      <c r="B400" s="1" t="n">
        <v>44942</v>
      </c>
      <c r="C400" s="1" t="n">
        <v>46087</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3627-2023</t>
        </is>
      </c>
      <c r="B401" s="1" t="n">
        <v>44950.64782407408</v>
      </c>
      <c r="C401" s="1" t="n">
        <v>46087</v>
      </c>
      <c r="D401" t="inlineStr">
        <is>
          <t>ÖSTERGÖTLANDS LÄN</t>
        </is>
      </c>
      <c r="E401" t="inlineStr">
        <is>
          <t>LINKÖPING</t>
        </is>
      </c>
      <c r="G401" t="n">
        <v>3.1</v>
      </c>
      <c r="H401" t="n">
        <v>0</v>
      </c>
      <c r="I401" t="n">
        <v>0</v>
      </c>
      <c r="J401" t="n">
        <v>0</v>
      </c>
      <c r="K401" t="n">
        <v>0</v>
      </c>
      <c r="L401" t="n">
        <v>0</v>
      </c>
      <c r="M401" t="n">
        <v>0</v>
      </c>
      <c r="N401" t="n">
        <v>0</v>
      </c>
      <c r="O401" t="n">
        <v>0</v>
      </c>
      <c r="P401" t="n">
        <v>0</v>
      </c>
      <c r="Q401" t="n">
        <v>0</v>
      </c>
      <c r="R401" s="2" t="inlineStr"/>
    </row>
    <row r="402" ht="15" customHeight="1">
      <c r="A402" t="inlineStr">
        <is>
          <t>A 62687-2023</t>
        </is>
      </c>
      <c r="B402" s="1" t="n">
        <v>45271</v>
      </c>
      <c r="C402" s="1" t="n">
        <v>46087</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61899-2025</t>
        </is>
      </c>
      <c r="B403" s="1" t="n">
        <v>46003.46635416667</v>
      </c>
      <c r="C403" s="1" t="n">
        <v>46087</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62791-2025</t>
        </is>
      </c>
      <c r="B404" s="1" t="n">
        <v>46008.63266203704</v>
      </c>
      <c r="C404" s="1" t="n">
        <v>46087</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5099-2026</t>
        </is>
      </c>
      <c r="B405" s="1" t="n">
        <v>46049.56158564815</v>
      </c>
      <c r="C405" s="1" t="n">
        <v>46087</v>
      </c>
      <c r="D405" t="inlineStr">
        <is>
          <t>ÖSTERGÖTLANDS LÄN</t>
        </is>
      </c>
      <c r="E405" t="inlineStr">
        <is>
          <t>LINKÖPING</t>
        </is>
      </c>
      <c r="G405" t="n">
        <v>5</v>
      </c>
      <c r="H405" t="n">
        <v>0</v>
      </c>
      <c r="I405" t="n">
        <v>0</v>
      </c>
      <c r="J405" t="n">
        <v>0</v>
      </c>
      <c r="K405" t="n">
        <v>0</v>
      </c>
      <c r="L405" t="n">
        <v>0</v>
      </c>
      <c r="M405" t="n">
        <v>0</v>
      </c>
      <c r="N405" t="n">
        <v>0</v>
      </c>
      <c r="O405" t="n">
        <v>0</v>
      </c>
      <c r="P405" t="n">
        <v>0</v>
      </c>
      <c r="Q405" t="n">
        <v>0</v>
      </c>
      <c r="R405" s="2" t="inlineStr"/>
    </row>
    <row r="406" ht="15" customHeight="1">
      <c r="A406" t="inlineStr">
        <is>
          <t>A 18891-2022</t>
        </is>
      </c>
      <c r="B406" s="1" t="n">
        <v>44690</v>
      </c>
      <c r="C406" s="1" t="n">
        <v>46087</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62686-2025</t>
        </is>
      </c>
      <c r="B407" s="1" t="n">
        <v>46008.46769675926</v>
      </c>
      <c r="C407" s="1" t="n">
        <v>46087</v>
      </c>
      <c r="D407" t="inlineStr">
        <is>
          <t>ÖSTERGÖTLANDS LÄN</t>
        </is>
      </c>
      <c r="E407" t="inlineStr">
        <is>
          <t>LINKÖPING</t>
        </is>
      </c>
      <c r="G407" t="n">
        <v>7.6</v>
      </c>
      <c r="H407" t="n">
        <v>0</v>
      </c>
      <c r="I407" t="n">
        <v>0</v>
      </c>
      <c r="J407" t="n">
        <v>0</v>
      </c>
      <c r="K407" t="n">
        <v>0</v>
      </c>
      <c r="L407" t="n">
        <v>0</v>
      </c>
      <c r="M407" t="n">
        <v>0</v>
      </c>
      <c r="N407" t="n">
        <v>0</v>
      </c>
      <c r="O407" t="n">
        <v>0</v>
      </c>
      <c r="P407" t="n">
        <v>0</v>
      </c>
      <c r="Q407" t="n">
        <v>0</v>
      </c>
      <c r="R407" s="2" t="inlineStr"/>
    </row>
    <row r="408" ht="15" customHeight="1">
      <c r="A408" t="inlineStr">
        <is>
          <t>A 26620-2023</t>
        </is>
      </c>
      <c r="B408" s="1" t="n">
        <v>45092.70390046296</v>
      </c>
      <c r="C408" s="1" t="n">
        <v>46087</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62515-2025</t>
        </is>
      </c>
      <c r="B409" s="1" t="n">
        <v>46007.60548611111</v>
      </c>
      <c r="C409" s="1" t="n">
        <v>46087</v>
      </c>
      <c r="D409" t="inlineStr">
        <is>
          <t>ÖSTERGÖTLANDS LÄN</t>
        </is>
      </c>
      <c r="E409" t="inlineStr">
        <is>
          <t>LINKÖPING</t>
        </is>
      </c>
      <c r="G409" t="n">
        <v>2.2</v>
      </c>
      <c r="H409" t="n">
        <v>0</v>
      </c>
      <c r="I409" t="n">
        <v>0</v>
      </c>
      <c r="J409" t="n">
        <v>0</v>
      </c>
      <c r="K409" t="n">
        <v>0</v>
      </c>
      <c r="L409" t="n">
        <v>0</v>
      </c>
      <c r="M409" t="n">
        <v>0</v>
      </c>
      <c r="N409" t="n">
        <v>0</v>
      </c>
      <c r="O409" t="n">
        <v>0</v>
      </c>
      <c r="P409" t="n">
        <v>0</v>
      </c>
      <c r="Q409" t="n">
        <v>0</v>
      </c>
      <c r="R409" s="2" t="inlineStr"/>
    </row>
    <row r="410" ht="15" customHeight="1">
      <c r="A410" t="inlineStr">
        <is>
          <t>A 5545-2026</t>
        </is>
      </c>
      <c r="B410" s="1" t="n">
        <v>46050.70089120371</v>
      </c>
      <c r="C410" s="1" t="n">
        <v>46087</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56180-2024</t>
        </is>
      </c>
      <c r="B411" s="1" t="n">
        <v>45624.56611111111</v>
      </c>
      <c r="C411" s="1" t="n">
        <v>46087</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938-2023</t>
        </is>
      </c>
      <c r="B412" s="1" t="n">
        <v>44933</v>
      </c>
      <c r="C412" s="1" t="n">
        <v>46087</v>
      </c>
      <c r="D412" t="inlineStr">
        <is>
          <t>ÖSTERGÖTLANDS LÄN</t>
        </is>
      </c>
      <c r="E412" t="inlineStr">
        <is>
          <t>LINKÖPING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63147-2025</t>
        </is>
      </c>
      <c r="B413" s="1" t="n">
        <v>46010.35003472222</v>
      </c>
      <c r="C413" s="1" t="n">
        <v>46087</v>
      </c>
      <c r="D413" t="inlineStr">
        <is>
          <t>ÖSTERGÖTLANDS LÄN</t>
        </is>
      </c>
      <c r="E413" t="inlineStr">
        <is>
          <t>LINKÖPING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25418-2023</t>
        </is>
      </c>
      <c r="B414" s="1" t="n">
        <v>45089</v>
      </c>
      <c r="C414" s="1" t="n">
        <v>46087</v>
      </c>
      <c r="D414" t="inlineStr">
        <is>
          <t>ÖSTERGÖTLANDS LÄN</t>
        </is>
      </c>
      <c r="E414" t="inlineStr">
        <is>
          <t>LINKÖPING</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60007-2022</t>
        </is>
      </c>
      <c r="B415" s="1" t="n">
        <v>44909.47282407407</v>
      </c>
      <c r="C415" s="1" t="n">
        <v>46087</v>
      </c>
      <c r="D415" t="inlineStr">
        <is>
          <t>ÖSTERGÖTLANDS LÄN</t>
        </is>
      </c>
      <c r="E415" t="inlineStr">
        <is>
          <t>LINKÖPING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63144-2025</t>
        </is>
      </c>
      <c r="B416" s="1" t="n">
        <v>46010.34716435185</v>
      </c>
      <c r="C416" s="1" t="n">
        <v>46087</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11601-2023</t>
        </is>
      </c>
      <c r="B417" s="1" t="n">
        <v>44994</v>
      </c>
      <c r="C417" s="1" t="n">
        <v>46087</v>
      </c>
      <c r="D417" t="inlineStr">
        <is>
          <t>ÖSTERGÖTLANDS LÄN</t>
        </is>
      </c>
      <c r="E417" t="inlineStr">
        <is>
          <t>LINKÖPING</t>
        </is>
      </c>
      <c r="G417" t="n">
        <v>1.7</v>
      </c>
      <c r="H417" t="n">
        <v>0</v>
      </c>
      <c r="I417" t="n">
        <v>0</v>
      </c>
      <c r="J417" t="n">
        <v>0</v>
      </c>
      <c r="K417" t="n">
        <v>0</v>
      </c>
      <c r="L417" t="n">
        <v>0</v>
      </c>
      <c r="M417" t="n">
        <v>0</v>
      </c>
      <c r="N417" t="n">
        <v>0</v>
      </c>
      <c r="O417" t="n">
        <v>0</v>
      </c>
      <c r="P417" t="n">
        <v>0</v>
      </c>
      <c r="Q417" t="n">
        <v>0</v>
      </c>
      <c r="R417" s="2" t="inlineStr"/>
    </row>
    <row r="418" ht="15" customHeight="1">
      <c r="A418" t="inlineStr">
        <is>
          <t>A 1260-2023</t>
        </is>
      </c>
      <c r="B418" s="1" t="n">
        <v>44936</v>
      </c>
      <c r="C418" s="1" t="n">
        <v>46087</v>
      </c>
      <c r="D418" t="inlineStr">
        <is>
          <t>ÖSTERGÖTLANDS LÄN</t>
        </is>
      </c>
      <c r="E418" t="inlineStr">
        <is>
          <t>LINKÖPING</t>
        </is>
      </c>
      <c r="G418" t="n">
        <v>1.2</v>
      </c>
      <c r="H418" t="n">
        <v>0</v>
      </c>
      <c r="I418" t="n">
        <v>0</v>
      </c>
      <c r="J418" t="n">
        <v>0</v>
      </c>
      <c r="K418" t="n">
        <v>0</v>
      </c>
      <c r="L418" t="n">
        <v>0</v>
      </c>
      <c r="M418" t="n">
        <v>0</v>
      </c>
      <c r="N418" t="n">
        <v>0</v>
      </c>
      <c r="O418" t="n">
        <v>0</v>
      </c>
      <c r="P418" t="n">
        <v>0</v>
      </c>
      <c r="Q418" t="n">
        <v>0</v>
      </c>
      <c r="R418" s="2" t="inlineStr"/>
    </row>
    <row r="419" ht="15" customHeight="1">
      <c r="A419" t="inlineStr">
        <is>
          <t>A 7702-2023</t>
        </is>
      </c>
      <c r="B419" s="1" t="n">
        <v>44967</v>
      </c>
      <c r="C419" s="1" t="n">
        <v>46087</v>
      </c>
      <c r="D419" t="inlineStr">
        <is>
          <t>ÖSTERGÖTLANDS LÄN</t>
        </is>
      </c>
      <c r="E419" t="inlineStr">
        <is>
          <t>LINKÖPING</t>
        </is>
      </c>
      <c r="F419" t="inlineStr">
        <is>
          <t>Övriga statliga verk och myndigheter</t>
        </is>
      </c>
      <c r="G419" t="n">
        <v>8</v>
      </c>
      <c r="H419" t="n">
        <v>0</v>
      </c>
      <c r="I419" t="n">
        <v>0</v>
      </c>
      <c r="J419" t="n">
        <v>0</v>
      </c>
      <c r="K419" t="n">
        <v>0</v>
      </c>
      <c r="L419" t="n">
        <v>0</v>
      </c>
      <c r="M419" t="n">
        <v>0</v>
      </c>
      <c r="N419" t="n">
        <v>0</v>
      </c>
      <c r="O419" t="n">
        <v>0</v>
      </c>
      <c r="P419" t="n">
        <v>0</v>
      </c>
      <c r="Q419" t="n">
        <v>0</v>
      </c>
      <c r="R419" s="2" t="inlineStr"/>
    </row>
    <row r="420" ht="15" customHeight="1">
      <c r="A420" t="inlineStr">
        <is>
          <t>A 674-2024</t>
        </is>
      </c>
      <c r="B420" s="1" t="n">
        <v>45300.34408564815</v>
      </c>
      <c r="C420" s="1" t="n">
        <v>46087</v>
      </c>
      <c r="D420" t="inlineStr">
        <is>
          <t>ÖSTERGÖTLANDS LÄN</t>
        </is>
      </c>
      <c r="E420" t="inlineStr">
        <is>
          <t>LINKÖPING</t>
        </is>
      </c>
      <c r="F420" t="inlineStr">
        <is>
          <t>Sveaskog</t>
        </is>
      </c>
      <c r="G420" t="n">
        <v>2.9</v>
      </c>
      <c r="H420" t="n">
        <v>0</v>
      </c>
      <c r="I420" t="n">
        <v>0</v>
      </c>
      <c r="J420" t="n">
        <v>0</v>
      </c>
      <c r="K420" t="n">
        <v>0</v>
      </c>
      <c r="L420" t="n">
        <v>0</v>
      </c>
      <c r="M420" t="n">
        <v>0</v>
      </c>
      <c r="N420" t="n">
        <v>0</v>
      </c>
      <c r="O420" t="n">
        <v>0</v>
      </c>
      <c r="P420" t="n">
        <v>0</v>
      </c>
      <c r="Q420" t="n">
        <v>0</v>
      </c>
      <c r="R420" s="2" t="inlineStr"/>
    </row>
    <row r="421" ht="15" customHeight="1">
      <c r="A421" t="inlineStr">
        <is>
          <t>A 63684-2023</t>
        </is>
      </c>
      <c r="B421" s="1" t="n">
        <v>45275</v>
      </c>
      <c r="C421" s="1" t="n">
        <v>46087</v>
      </c>
      <c r="D421" t="inlineStr">
        <is>
          <t>ÖSTERGÖTLANDS LÄN</t>
        </is>
      </c>
      <c r="E421" t="inlineStr">
        <is>
          <t>LINKÖPING</t>
        </is>
      </c>
      <c r="G421" t="n">
        <v>0.4</v>
      </c>
      <c r="H421" t="n">
        <v>0</v>
      </c>
      <c r="I421" t="n">
        <v>0</v>
      </c>
      <c r="J421" t="n">
        <v>0</v>
      </c>
      <c r="K421" t="n">
        <v>0</v>
      </c>
      <c r="L421" t="n">
        <v>0</v>
      </c>
      <c r="M421" t="n">
        <v>0</v>
      </c>
      <c r="N421" t="n">
        <v>0</v>
      </c>
      <c r="O421" t="n">
        <v>0</v>
      </c>
      <c r="P421" t="n">
        <v>0</v>
      </c>
      <c r="Q421" t="n">
        <v>0</v>
      </c>
      <c r="R421" s="2" t="inlineStr"/>
    </row>
    <row r="422" ht="15" customHeight="1">
      <c r="A422" t="inlineStr">
        <is>
          <t>A 6384-2026</t>
        </is>
      </c>
      <c r="B422" s="1" t="n">
        <v>46055.63732638889</v>
      </c>
      <c r="C422" s="1" t="n">
        <v>46087</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167-2024</t>
        </is>
      </c>
      <c r="B423" s="1" t="n">
        <v>45294</v>
      </c>
      <c r="C423" s="1" t="n">
        <v>46087</v>
      </c>
      <c r="D423" t="inlineStr">
        <is>
          <t>ÖSTERGÖTLANDS LÄN</t>
        </is>
      </c>
      <c r="E423" t="inlineStr">
        <is>
          <t>LINKÖPING</t>
        </is>
      </c>
      <c r="F423" t="inlineStr">
        <is>
          <t>Allmännings- och besparingsskogar</t>
        </is>
      </c>
      <c r="G423" t="n">
        <v>11.6</v>
      </c>
      <c r="H423" t="n">
        <v>0</v>
      </c>
      <c r="I423" t="n">
        <v>0</v>
      </c>
      <c r="J423" t="n">
        <v>0</v>
      </c>
      <c r="K423" t="n">
        <v>0</v>
      </c>
      <c r="L423" t="n">
        <v>0</v>
      </c>
      <c r="M423" t="n">
        <v>0</v>
      </c>
      <c r="N423" t="n">
        <v>0</v>
      </c>
      <c r="O423" t="n">
        <v>0</v>
      </c>
      <c r="P423" t="n">
        <v>0</v>
      </c>
      <c r="Q423" t="n">
        <v>0</v>
      </c>
      <c r="R423" s="2" t="inlineStr"/>
    </row>
    <row r="424" ht="15" customHeight="1">
      <c r="A424" t="inlineStr">
        <is>
          <t>A 36725-2023</t>
        </is>
      </c>
      <c r="B424" s="1" t="n">
        <v>45153.68471064815</v>
      </c>
      <c r="C424" s="1" t="n">
        <v>46087</v>
      </c>
      <c r="D424" t="inlineStr">
        <is>
          <t>ÖSTERGÖTLANDS LÄN</t>
        </is>
      </c>
      <c r="E424" t="inlineStr">
        <is>
          <t>LINKÖPING</t>
        </is>
      </c>
      <c r="F424" t="inlineStr">
        <is>
          <t>Allmännings- och besparingsskogar</t>
        </is>
      </c>
      <c r="G424" t="n">
        <v>2.6</v>
      </c>
      <c r="H424" t="n">
        <v>0</v>
      </c>
      <c r="I424" t="n">
        <v>0</v>
      </c>
      <c r="J424" t="n">
        <v>0</v>
      </c>
      <c r="K424" t="n">
        <v>0</v>
      </c>
      <c r="L424" t="n">
        <v>0</v>
      </c>
      <c r="M424" t="n">
        <v>0</v>
      </c>
      <c r="N424" t="n">
        <v>0</v>
      </c>
      <c r="O424" t="n">
        <v>0</v>
      </c>
      <c r="P424" t="n">
        <v>0</v>
      </c>
      <c r="Q424" t="n">
        <v>0</v>
      </c>
      <c r="R424" s="2" t="inlineStr"/>
    </row>
    <row r="425" ht="15" customHeight="1">
      <c r="A425" t="inlineStr">
        <is>
          <t>A 6164-2026</t>
        </is>
      </c>
      <c r="B425" s="1" t="n">
        <v>46055.32596064815</v>
      </c>
      <c r="C425" s="1" t="n">
        <v>46087</v>
      </c>
      <c r="D425" t="inlineStr">
        <is>
          <t>ÖSTERGÖTLANDS LÄN</t>
        </is>
      </c>
      <c r="E425" t="inlineStr">
        <is>
          <t>LINKÖPING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27343-2023</t>
        </is>
      </c>
      <c r="B426" s="1" t="n">
        <v>45096</v>
      </c>
      <c r="C426" s="1" t="n">
        <v>46087</v>
      </c>
      <c r="D426" t="inlineStr">
        <is>
          <t>ÖSTERGÖTLANDS LÄN</t>
        </is>
      </c>
      <c r="E426" t="inlineStr">
        <is>
          <t>LINKÖPING</t>
        </is>
      </c>
      <c r="F426" t="inlineStr">
        <is>
          <t>Allmännings- och besparingsskogar</t>
        </is>
      </c>
      <c r="G426" t="n">
        <v>6.9</v>
      </c>
      <c r="H426" t="n">
        <v>0</v>
      </c>
      <c r="I426" t="n">
        <v>0</v>
      </c>
      <c r="J426" t="n">
        <v>0</v>
      </c>
      <c r="K426" t="n">
        <v>0</v>
      </c>
      <c r="L426" t="n">
        <v>0</v>
      </c>
      <c r="M426" t="n">
        <v>0</v>
      </c>
      <c r="N426" t="n">
        <v>0</v>
      </c>
      <c r="O426" t="n">
        <v>0</v>
      </c>
      <c r="P426" t="n">
        <v>0</v>
      </c>
      <c r="Q426" t="n">
        <v>0</v>
      </c>
      <c r="R426" s="2" t="inlineStr"/>
    </row>
    <row r="427" ht="15" customHeight="1">
      <c r="A427" t="inlineStr">
        <is>
          <t>A 22774-2024</t>
        </is>
      </c>
      <c r="B427" s="1" t="n">
        <v>45448.46924768519</v>
      </c>
      <c r="C427" s="1" t="n">
        <v>46087</v>
      </c>
      <c r="D427" t="inlineStr">
        <is>
          <t>ÖSTERGÖTLANDS LÄN</t>
        </is>
      </c>
      <c r="E427" t="inlineStr">
        <is>
          <t>LINKÖPING</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22778-2024</t>
        </is>
      </c>
      <c r="B428" s="1" t="n">
        <v>45448.47233796296</v>
      </c>
      <c r="C428" s="1" t="n">
        <v>46087</v>
      </c>
      <c r="D428" t="inlineStr">
        <is>
          <t>ÖSTERGÖTLANDS LÄN</t>
        </is>
      </c>
      <c r="E428" t="inlineStr">
        <is>
          <t>LINKÖPING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34864-2023</t>
        </is>
      </c>
      <c r="B429" s="1" t="n">
        <v>45141</v>
      </c>
      <c r="C429" s="1" t="n">
        <v>46087</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7133-2026</t>
        </is>
      </c>
      <c r="B430" s="1" t="n">
        <v>46057</v>
      </c>
      <c r="C430" s="1" t="n">
        <v>46087</v>
      </c>
      <c r="D430" t="inlineStr">
        <is>
          <t>ÖSTERGÖTLANDS LÄN</t>
        </is>
      </c>
      <c r="E430" t="inlineStr">
        <is>
          <t>LINKÖPING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52531-2023</t>
        </is>
      </c>
      <c r="B431" s="1" t="n">
        <v>45225</v>
      </c>
      <c r="C431" s="1" t="n">
        <v>46087</v>
      </c>
      <c r="D431" t="inlineStr">
        <is>
          <t>ÖSTERGÖTLANDS LÄN</t>
        </is>
      </c>
      <c r="E431" t="inlineStr">
        <is>
          <t>LINKÖPING</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28200-2025</t>
        </is>
      </c>
      <c r="B432" s="1" t="n">
        <v>45818.4428125</v>
      </c>
      <c r="C432" s="1" t="n">
        <v>46087</v>
      </c>
      <c r="D432" t="inlineStr">
        <is>
          <t>ÖSTERGÖTLANDS LÄN</t>
        </is>
      </c>
      <c r="E432" t="inlineStr">
        <is>
          <t>LINKÖPING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34930-2023</t>
        </is>
      </c>
      <c r="B433" s="1" t="n">
        <v>45142</v>
      </c>
      <c r="C433" s="1" t="n">
        <v>46087</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30985-2022</t>
        </is>
      </c>
      <c r="B434" s="1" t="n">
        <v>44768</v>
      </c>
      <c r="C434" s="1" t="n">
        <v>46087</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27950-2025</t>
        </is>
      </c>
      <c r="B435" s="1" t="n">
        <v>45817.52960648148</v>
      </c>
      <c r="C435" s="1" t="n">
        <v>46087</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27797-2025</t>
        </is>
      </c>
      <c r="B436" s="1" t="n">
        <v>45816.80521990741</v>
      </c>
      <c r="C436" s="1" t="n">
        <v>46087</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27798-2025</t>
        </is>
      </c>
      <c r="B437" s="1" t="n">
        <v>45816.81532407407</v>
      </c>
      <c r="C437" s="1" t="n">
        <v>46087</v>
      </c>
      <c r="D437" t="inlineStr">
        <is>
          <t>ÖSTERGÖTLANDS LÄN</t>
        </is>
      </c>
      <c r="E437" t="inlineStr">
        <is>
          <t>LINKÖPING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59642-2024</t>
        </is>
      </c>
      <c r="B438" s="1" t="n">
        <v>45639.31511574074</v>
      </c>
      <c r="C438" s="1" t="n">
        <v>46087</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15748-2025</t>
        </is>
      </c>
      <c r="B439" s="1" t="n">
        <v>45748.55282407408</v>
      </c>
      <c r="C439" s="1" t="n">
        <v>46087</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31792-2021</t>
        </is>
      </c>
      <c r="B440" s="1" t="n">
        <v>44369</v>
      </c>
      <c r="C440" s="1" t="n">
        <v>46087</v>
      </c>
      <c r="D440" t="inlineStr">
        <is>
          <t>ÖSTERGÖTLANDS LÄN</t>
        </is>
      </c>
      <c r="E440" t="inlineStr">
        <is>
          <t>LINKÖPING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25097-2023</t>
        </is>
      </c>
      <c r="B441" s="1" t="n">
        <v>45086</v>
      </c>
      <c r="C441" s="1" t="n">
        <v>46087</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35735-2023</t>
        </is>
      </c>
      <c r="B442" s="1" t="n">
        <v>45147</v>
      </c>
      <c r="C442" s="1" t="n">
        <v>46087</v>
      </c>
      <c r="D442" t="inlineStr">
        <is>
          <t>ÖSTERGÖTLANDS LÄN</t>
        </is>
      </c>
      <c r="E442" t="inlineStr">
        <is>
          <t>LINKÖPING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16462-2021</t>
        </is>
      </c>
      <c r="B443" s="1" t="n">
        <v>44293</v>
      </c>
      <c r="C443" s="1" t="n">
        <v>46087</v>
      </c>
      <c r="D443" t="inlineStr">
        <is>
          <t>ÖSTERGÖTLANDS LÄN</t>
        </is>
      </c>
      <c r="E443" t="inlineStr">
        <is>
          <t>LINKÖPING</t>
        </is>
      </c>
      <c r="F443" t="inlineStr">
        <is>
          <t>Allmännings- och besparingsskogar</t>
        </is>
      </c>
      <c r="G443" t="n">
        <v>24.7</v>
      </c>
      <c r="H443" t="n">
        <v>0</v>
      </c>
      <c r="I443" t="n">
        <v>0</v>
      </c>
      <c r="J443" t="n">
        <v>0</v>
      </c>
      <c r="K443" t="n">
        <v>0</v>
      </c>
      <c r="L443" t="n">
        <v>0</v>
      </c>
      <c r="M443" t="n">
        <v>0</v>
      </c>
      <c r="N443" t="n">
        <v>0</v>
      </c>
      <c r="O443" t="n">
        <v>0</v>
      </c>
      <c r="P443" t="n">
        <v>0</v>
      </c>
      <c r="Q443" t="n">
        <v>0</v>
      </c>
      <c r="R443" s="2" t="inlineStr"/>
    </row>
    <row r="444" ht="15" customHeight="1">
      <c r="A444" t="inlineStr">
        <is>
          <t>A 25776-2021</t>
        </is>
      </c>
      <c r="B444" s="1" t="n">
        <v>44343</v>
      </c>
      <c r="C444" s="1" t="n">
        <v>46087</v>
      </c>
      <c r="D444" t="inlineStr">
        <is>
          <t>ÖSTERGÖTLANDS LÄN</t>
        </is>
      </c>
      <c r="E444" t="inlineStr">
        <is>
          <t>LINKÖPING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30856-2022</t>
        </is>
      </c>
      <c r="B445" s="1" t="n">
        <v>44767</v>
      </c>
      <c r="C445" s="1" t="n">
        <v>46087</v>
      </c>
      <c r="D445" t="inlineStr">
        <is>
          <t>ÖSTERGÖTLANDS LÄN</t>
        </is>
      </c>
      <c r="E445" t="inlineStr">
        <is>
          <t>LINKÖPING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28209-2025</t>
        </is>
      </c>
      <c r="B446" s="1" t="n">
        <v>45818.45112268518</v>
      </c>
      <c r="C446" s="1" t="n">
        <v>46087</v>
      </c>
      <c r="D446" t="inlineStr">
        <is>
          <t>ÖSTERGÖTLANDS LÄN</t>
        </is>
      </c>
      <c r="E446" t="inlineStr">
        <is>
          <t>LINKÖPING</t>
        </is>
      </c>
      <c r="G446" t="n">
        <v>4.2</v>
      </c>
      <c r="H446" t="n">
        <v>0</v>
      </c>
      <c r="I446" t="n">
        <v>0</v>
      </c>
      <c r="J446" t="n">
        <v>0</v>
      </c>
      <c r="K446" t="n">
        <v>0</v>
      </c>
      <c r="L446" t="n">
        <v>0</v>
      </c>
      <c r="M446" t="n">
        <v>0</v>
      </c>
      <c r="N446" t="n">
        <v>0</v>
      </c>
      <c r="O446" t="n">
        <v>0</v>
      </c>
      <c r="P446" t="n">
        <v>0</v>
      </c>
      <c r="Q446" t="n">
        <v>0</v>
      </c>
      <c r="R446" s="2" t="inlineStr"/>
    </row>
    <row r="447" ht="15" customHeight="1">
      <c r="A447" t="inlineStr">
        <is>
          <t>A 19187-2021</t>
        </is>
      </c>
      <c r="B447" s="1" t="n">
        <v>44308</v>
      </c>
      <c r="C447" s="1" t="n">
        <v>46087</v>
      </c>
      <c r="D447" t="inlineStr">
        <is>
          <t>ÖSTERGÖTLANDS LÄN</t>
        </is>
      </c>
      <c r="E447" t="inlineStr">
        <is>
          <t>LINKÖPING</t>
        </is>
      </c>
      <c r="F447" t="inlineStr">
        <is>
          <t>Allmännings- och besparingsskogar</t>
        </is>
      </c>
      <c r="G447" t="n">
        <v>20</v>
      </c>
      <c r="H447" t="n">
        <v>0</v>
      </c>
      <c r="I447" t="n">
        <v>0</v>
      </c>
      <c r="J447" t="n">
        <v>0</v>
      </c>
      <c r="K447" t="n">
        <v>0</v>
      </c>
      <c r="L447" t="n">
        <v>0</v>
      </c>
      <c r="M447" t="n">
        <v>0</v>
      </c>
      <c r="N447" t="n">
        <v>0</v>
      </c>
      <c r="O447" t="n">
        <v>0</v>
      </c>
      <c r="P447" t="n">
        <v>0</v>
      </c>
      <c r="Q447" t="n">
        <v>0</v>
      </c>
      <c r="R447" s="2" t="inlineStr"/>
    </row>
    <row r="448" ht="15" customHeight="1">
      <c r="A448" t="inlineStr">
        <is>
          <t>A 28204-2025</t>
        </is>
      </c>
      <c r="B448" s="1" t="n">
        <v>45818.4477662037</v>
      </c>
      <c r="C448" s="1" t="n">
        <v>46087</v>
      </c>
      <c r="D448" t="inlineStr">
        <is>
          <t>ÖSTERGÖTLANDS LÄN</t>
        </is>
      </c>
      <c r="E448" t="inlineStr">
        <is>
          <t>LINKÖPING</t>
        </is>
      </c>
      <c r="G448" t="n">
        <v>2.9</v>
      </c>
      <c r="H448" t="n">
        <v>0</v>
      </c>
      <c r="I448" t="n">
        <v>0</v>
      </c>
      <c r="J448" t="n">
        <v>0</v>
      </c>
      <c r="K448" t="n">
        <v>0</v>
      </c>
      <c r="L448" t="n">
        <v>0</v>
      </c>
      <c r="M448" t="n">
        <v>0</v>
      </c>
      <c r="N448" t="n">
        <v>0</v>
      </c>
      <c r="O448" t="n">
        <v>0</v>
      </c>
      <c r="P448" t="n">
        <v>0</v>
      </c>
      <c r="Q448" t="n">
        <v>0</v>
      </c>
      <c r="R448" s="2" t="inlineStr"/>
    </row>
    <row r="449" ht="15" customHeight="1">
      <c r="A449" t="inlineStr">
        <is>
          <t>A 39219-2021</t>
        </is>
      </c>
      <c r="B449" s="1" t="n">
        <v>44413</v>
      </c>
      <c r="C449" s="1" t="n">
        <v>46087</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39224-2021</t>
        </is>
      </c>
      <c r="B450" s="1" t="n">
        <v>44413</v>
      </c>
      <c r="C450" s="1" t="n">
        <v>46087</v>
      </c>
      <c r="D450" t="inlineStr">
        <is>
          <t>ÖSTERGÖTLANDS LÄN</t>
        </is>
      </c>
      <c r="E450" t="inlineStr">
        <is>
          <t>LINKÖPING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28398-2025</t>
        </is>
      </c>
      <c r="B451" s="1" t="n">
        <v>45819.34208333334</v>
      </c>
      <c r="C451" s="1" t="n">
        <v>46087</v>
      </c>
      <c r="D451" t="inlineStr">
        <is>
          <t>ÖSTERGÖTLANDS LÄN</t>
        </is>
      </c>
      <c r="E451" t="inlineStr">
        <is>
          <t>LINKÖPING</t>
        </is>
      </c>
      <c r="F451" t="inlineStr">
        <is>
          <t>Sveaskog</t>
        </is>
      </c>
      <c r="G451" t="n">
        <v>7.9</v>
      </c>
      <c r="H451" t="n">
        <v>0</v>
      </c>
      <c r="I451" t="n">
        <v>0</v>
      </c>
      <c r="J451" t="n">
        <v>0</v>
      </c>
      <c r="K451" t="n">
        <v>0</v>
      </c>
      <c r="L451" t="n">
        <v>0</v>
      </c>
      <c r="M451" t="n">
        <v>0</v>
      </c>
      <c r="N451" t="n">
        <v>0</v>
      </c>
      <c r="O451" t="n">
        <v>0</v>
      </c>
      <c r="P451" t="n">
        <v>0</v>
      </c>
      <c r="Q451" t="n">
        <v>0</v>
      </c>
      <c r="R451" s="2" t="inlineStr"/>
    </row>
    <row r="452" ht="15" customHeight="1">
      <c r="A452" t="inlineStr">
        <is>
          <t>A 43934-2023</t>
        </is>
      </c>
      <c r="B452" s="1" t="n">
        <v>45187</v>
      </c>
      <c r="C452" s="1" t="n">
        <v>46087</v>
      </c>
      <c r="D452" t="inlineStr">
        <is>
          <t>ÖSTERGÖTLANDS LÄN</t>
        </is>
      </c>
      <c r="E452" t="inlineStr">
        <is>
          <t>LINKÖPING</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28416-2025</t>
        </is>
      </c>
      <c r="B453" s="1" t="n">
        <v>45819.35346064815</v>
      </c>
      <c r="C453" s="1" t="n">
        <v>46087</v>
      </c>
      <c r="D453" t="inlineStr">
        <is>
          <t>ÖSTERGÖTLANDS LÄN</t>
        </is>
      </c>
      <c r="E453" t="inlineStr">
        <is>
          <t>LINKÖPING</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29027-2025</t>
        </is>
      </c>
      <c r="B454" s="1" t="n">
        <v>45821.4375462963</v>
      </c>
      <c r="C454" s="1" t="n">
        <v>46087</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29393-2025</t>
        </is>
      </c>
      <c r="B455" s="1" t="n">
        <v>45824.6057175926</v>
      </c>
      <c r="C455" s="1" t="n">
        <v>46087</v>
      </c>
      <c r="D455" t="inlineStr">
        <is>
          <t>ÖSTERGÖTLANDS LÄN</t>
        </is>
      </c>
      <c r="E455" t="inlineStr">
        <is>
          <t>LINKÖPING</t>
        </is>
      </c>
      <c r="F455" t="inlineStr">
        <is>
          <t>Sveaskog</t>
        </is>
      </c>
      <c r="G455" t="n">
        <v>24.6</v>
      </c>
      <c r="H455" t="n">
        <v>0</v>
      </c>
      <c r="I455" t="n">
        <v>0</v>
      </c>
      <c r="J455" t="n">
        <v>0</v>
      </c>
      <c r="K455" t="n">
        <v>0</v>
      </c>
      <c r="L455" t="n">
        <v>0</v>
      </c>
      <c r="M455" t="n">
        <v>0</v>
      </c>
      <c r="N455" t="n">
        <v>0</v>
      </c>
      <c r="O455" t="n">
        <v>0</v>
      </c>
      <c r="P455" t="n">
        <v>0</v>
      </c>
      <c r="Q455" t="n">
        <v>0</v>
      </c>
      <c r="R455" s="2" t="inlineStr"/>
    </row>
    <row r="456" ht="15" customHeight="1">
      <c r="A456" t="inlineStr">
        <is>
          <t>A 7354-2025</t>
        </is>
      </c>
      <c r="B456" s="1" t="n">
        <v>45704.41174768518</v>
      </c>
      <c r="C456" s="1" t="n">
        <v>46087</v>
      </c>
      <c r="D456" t="inlineStr">
        <is>
          <t>ÖSTERGÖTLANDS LÄN</t>
        </is>
      </c>
      <c r="E456" t="inlineStr">
        <is>
          <t>LINKÖPING</t>
        </is>
      </c>
      <c r="G456" t="n">
        <v>4.8</v>
      </c>
      <c r="H456" t="n">
        <v>0</v>
      </c>
      <c r="I456" t="n">
        <v>0</v>
      </c>
      <c r="J456" t="n">
        <v>0</v>
      </c>
      <c r="K456" t="n">
        <v>0</v>
      </c>
      <c r="L456" t="n">
        <v>0</v>
      </c>
      <c r="M456" t="n">
        <v>0</v>
      </c>
      <c r="N456" t="n">
        <v>0</v>
      </c>
      <c r="O456" t="n">
        <v>0</v>
      </c>
      <c r="P456" t="n">
        <v>0</v>
      </c>
      <c r="Q456" t="n">
        <v>0</v>
      </c>
      <c r="R456" s="2" t="inlineStr"/>
    </row>
    <row r="457" ht="15" customHeight="1">
      <c r="A457" t="inlineStr">
        <is>
          <t>A 29411-2025</t>
        </is>
      </c>
      <c r="B457" s="1" t="n">
        <v>45824.6219212963</v>
      </c>
      <c r="C457" s="1" t="n">
        <v>46087</v>
      </c>
      <c r="D457" t="inlineStr">
        <is>
          <t>ÖSTERGÖTLANDS LÄN</t>
        </is>
      </c>
      <c r="E457" t="inlineStr">
        <is>
          <t>LINKÖPING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63935-2021</t>
        </is>
      </c>
      <c r="B458" s="1" t="n">
        <v>44509</v>
      </c>
      <c r="C458" s="1" t="n">
        <v>46087</v>
      </c>
      <c r="D458" t="inlineStr">
        <is>
          <t>ÖSTERGÖTLANDS LÄN</t>
        </is>
      </c>
      <c r="E458" t="inlineStr">
        <is>
          <t>LINKÖPING</t>
        </is>
      </c>
      <c r="F458" t="inlineStr">
        <is>
          <t>Övriga statliga verk och myndigheter</t>
        </is>
      </c>
      <c r="G458" t="n">
        <v>2.8</v>
      </c>
      <c r="H458" t="n">
        <v>0</v>
      </c>
      <c r="I458" t="n">
        <v>0</v>
      </c>
      <c r="J458" t="n">
        <v>0</v>
      </c>
      <c r="K458" t="n">
        <v>0</v>
      </c>
      <c r="L458" t="n">
        <v>0</v>
      </c>
      <c r="M458" t="n">
        <v>0</v>
      </c>
      <c r="N458" t="n">
        <v>0</v>
      </c>
      <c r="O458" t="n">
        <v>0</v>
      </c>
      <c r="P458" t="n">
        <v>0</v>
      </c>
      <c r="Q458" t="n">
        <v>0</v>
      </c>
      <c r="R458" s="2" t="inlineStr"/>
    </row>
    <row r="459" ht="15" customHeight="1">
      <c r="A459" t="inlineStr">
        <is>
          <t>A 927-2026</t>
        </is>
      </c>
      <c r="B459" s="1" t="n">
        <v>46030.50560185185</v>
      </c>
      <c r="C459" s="1" t="n">
        <v>46087</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856-2026</t>
        </is>
      </c>
      <c r="B460" s="1" t="n">
        <v>46030.40644675926</v>
      </c>
      <c r="C460" s="1" t="n">
        <v>46087</v>
      </c>
      <c r="D460" t="inlineStr">
        <is>
          <t>ÖSTERGÖTLANDS LÄN</t>
        </is>
      </c>
      <c r="E460" t="inlineStr">
        <is>
          <t>LINKÖPING</t>
        </is>
      </c>
      <c r="G460" t="n">
        <v>6.4</v>
      </c>
      <c r="H460" t="n">
        <v>0</v>
      </c>
      <c r="I460" t="n">
        <v>0</v>
      </c>
      <c r="J460" t="n">
        <v>0</v>
      </c>
      <c r="K460" t="n">
        <v>0</v>
      </c>
      <c r="L460" t="n">
        <v>0</v>
      </c>
      <c r="M460" t="n">
        <v>0</v>
      </c>
      <c r="N460" t="n">
        <v>0</v>
      </c>
      <c r="O460" t="n">
        <v>0</v>
      </c>
      <c r="P460" t="n">
        <v>0</v>
      </c>
      <c r="Q460" t="n">
        <v>0</v>
      </c>
      <c r="R460" s="2" t="inlineStr"/>
    </row>
    <row r="461" ht="15" customHeight="1">
      <c r="A461" t="inlineStr">
        <is>
          <t>A 860-2026</t>
        </is>
      </c>
      <c r="B461" s="1" t="n">
        <v>46030.41974537037</v>
      </c>
      <c r="C461" s="1" t="n">
        <v>46087</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873-2026</t>
        </is>
      </c>
      <c r="B462" s="1" t="n">
        <v>46030.43818287037</v>
      </c>
      <c r="C462" s="1" t="n">
        <v>46087</v>
      </c>
      <c r="D462" t="inlineStr">
        <is>
          <t>ÖSTERGÖTLANDS LÄN</t>
        </is>
      </c>
      <c r="E462" t="inlineStr">
        <is>
          <t>LINKÖPING</t>
        </is>
      </c>
      <c r="G462" t="n">
        <v>4.1</v>
      </c>
      <c r="H462" t="n">
        <v>0</v>
      </c>
      <c r="I462" t="n">
        <v>0</v>
      </c>
      <c r="J462" t="n">
        <v>0</v>
      </c>
      <c r="K462" t="n">
        <v>0</v>
      </c>
      <c r="L462" t="n">
        <v>0</v>
      </c>
      <c r="M462" t="n">
        <v>0</v>
      </c>
      <c r="N462" t="n">
        <v>0</v>
      </c>
      <c r="O462" t="n">
        <v>0</v>
      </c>
      <c r="P462" t="n">
        <v>0</v>
      </c>
      <c r="Q462" t="n">
        <v>0</v>
      </c>
      <c r="R462" s="2" t="inlineStr"/>
    </row>
    <row r="463" ht="15" customHeight="1">
      <c r="A463" t="inlineStr">
        <is>
          <t>A 40810-2022</t>
        </is>
      </c>
      <c r="B463" s="1" t="n">
        <v>44824</v>
      </c>
      <c r="C463" s="1" t="n">
        <v>46087</v>
      </c>
      <c r="D463" t="inlineStr">
        <is>
          <t>ÖSTERGÖTLANDS LÄN</t>
        </is>
      </c>
      <c r="E463" t="inlineStr">
        <is>
          <t>LINKÖPING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858-2026</t>
        </is>
      </c>
      <c r="B464" s="1" t="n">
        <v>46030.41200231481</v>
      </c>
      <c r="C464" s="1" t="n">
        <v>46087</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940-2026</t>
        </is>
      </c>
      <c r="B465" s="1" t="n">
        <v>46030.53052083333</v>
      </c>
      <c r="C465" s="1" t="n">
        <v>46087</v>
      </c>
      <c r="D465" t="inlineStr">
        <is>
          <t>ÖSTERGÖTLANDS LÄN</t>
        </is>
      </c>
      <c r="E465" t="inlineStr">
        <is>
          <t>LINKÖPING</t>
        </is>
      </c>
      <c r="F465" t="inlineStr">
        <is>
          <t>Allmännings- och besparingsskogar</t>
        </is>
      </c>
      <c r="G465" t="n">
        <v>2.9</v>
      </c>
      <c r="H465" t="n">
        <v>0</v>
      </c>
      <c r="I465" t="n">
        <v>0</v>
      </c>
      <c r="J465" t="n">
        <v>0</v>
      </c>
      <c r="K465" t="n">
        <v>0</v>
      </c>
      <c r="L465" t="n">
        <v>0</v>
      </c>
      <c r="M465" t="n">
        <v>0</v>
      </c>
      <c r="N465" t="n">
        <v>0</v>
      </c>
      <c r="O465" t="n">
        <v>0</v>
      </c>
      <c r="P465" t="n">
        <v>0</v>
      </c>
      <c r="Q465" t="n">
        <v>0</v>
      </c>
      <c r="R465" s="2" t="inlineStr"/>
    </row>
    <row r="466" ht="15" customHeight="1">
      <c r="A466" t="inlineStr">
        <is>
          <t>A 944-2026</t>
        </is>
      </c>
      <c r="B466" s="1" t="n">
        <v>46030.53461805556</v>
      </c>
      <c r="C466" s="1" t="n">
        <v>46087</v>
      </c>
      <c r="D466" t="inlineStr">
        <is>
          <t>ÖSTERGÖTLANDS LÄN</t>
        </is>
      </c>
      <c r="E466" t="inlineStr">
        <is>
          <t>LINKÖPING</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29599-2025</t>
        </is>
      </c>
      <c r="B467" s="1" t="n">
        <v>45825.41101851852</v>
      </c>
      <c r="C467" s="1" t="n">
        <v>46087</v>
      </c>
      <c r="D467" t="inlineStr">
        <is>
          <t>ÖSTERGÖTLANDS LÄN</t>
        </is>
      </c>
      <c r="E467" t="inlineStr">
        <is>
          <t>LINKÖPING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20298-2025</t>
        </is>
      </c>
      <c r="B468" s="1" t="n">
        <v>45774.75024305555</v>
      </c>
      <c r="C468" s="1" t="n">
        <v>46087</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859-2026</t>
        </is>
      </c>
      <c r="B469" s="1" t="n">
        <v>46030.41450231482</v>
      </c>
      <c r="C469" s="1" t="n">
        <v>46087</v>
      </c>
      <c r="D469" t="inlineStr">
        <is>
          <t>ÖSTERGÖTLANDS LÄN</t>
        </is>
      </c>
      <c r="E469" t="inlineStr">
        <is>
          <t>LINKÖPING</t>
        </is>
      </c>
      <c r="G469" t="n">
        <v>0.2</v>
      </c>
      <c r="H469" t="n">
        <v>0</v>
      </c>
      <c r="I469" t="n">
        <v>0</v>
      </c>
      <c r="J469" t="n">
        <v>0</v>
      </c>
      <c r="K469" t="n">
        <v>0</v>
      </c>
      <c r="L469" t="n">
        <v>0</v>
      </c>
      <c r="M469" t="n">
        <v>0</v>
      </c>
      <c r="N469" t="n">
        <v>0</v>
      </c>
      <c r="O469" t="n">
        <v>0</v>
      </c>
      <c r="P469" t="n">
        <v>0</v>
      </c>
      <c r="Q469" t="n">
        <v>0</v>
      </c>
      <c r="R469" s="2" t="inlineStr"/>
    </row>
    <row r="470" ht="15" customHeight="1">
      <c r="A470" t="inlineStr">
        <is>
          <t>A 1223-2026</t>
        </is>
      </c>
      <c r="B470" s="1" t="n">
        <v>46031.40233796297</v>
      </c>
      <c r="C470" s="1" t="n">
        <v>46087</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14576-2023</t>
        </is>
      </c>
      <c r="B471" s="1" t="n">
        <v>45013</v>
      </c>
      <c r="C471" s="1" t="n">
        <v>46087</v>
      </c>
      <c r="D471" t="inlineStr">
        <is>
          <t>ÖSTERGÖTLANDS LÄN</t>
        </is>
      </c>
      <c r="E471" t="inlineStr">
        <is>
          <t>LINKÖPING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12089-2025</t>
        </is>
      </c>
      <c r="B472" s="1" t="n">
        <v>45729</v>
      </c>
      <c r="C472" s="1" t="n">
        <v>46087</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62321-2022</t>
        </is>
      </c>
      <c r="B473" s="1" t="n">
        <v>44916</v>
      </c>
      <c r="C473" s="1" t="n">
        <v>46087</v>
      </c>
      <c r="D473" t="inlineStr">
        <is>
          <t>ÖSTERGÖTLANDS LÄN</t>
        </is>
      </c>
      <c r="E473" t="inlineStr">
        <is>
          <t>LINKÖPING</t>
        </is>
      </c>
      <c r="F473" t="inlineStr">
        <is>
          <t>Kommuner</t>
        </is>
      </c>
      <c r="G473" t="n">
        <v>5.3</v>
      </c>
      <c r="H473" t="n">
        <v>0</v>
      </c>
      <c r="I473" t="n">
        <v>0</v>
      </c>
      <c r="J473" t="n">
        <v>0</v>
      </c>
      <c r="K473" t="n">
        <v>0</v>
      </c>
      <c r="L473" t="n">
        <v>0</v>
      </c>
      <c r="M473" t="n">
        <v>0</v>
      </c>
      <c r="N473" t="n">
        <v>0</v>
      </c>
      <c r="O473" t="n">
        <v>0</v>
      </c>
      <c r="P473" t="n">
        <v>0</v>
      </c>
      <c r="Q473" t="n">
        <v>0</v>
      </c>
      <c r="R473" s="2" t="inlineStr"/>
    </row>
    <row r="474" ht="15" customHeight="1">
      <c r="A474" t="inlineStr">
        <is>
          <t>A 30355-2025</t>
        </is>
      </c>
      <c r="B474" s="1" t="n">
        <v>45827</v>
      </c>
      <c r="C474" s="1" t="n">
        <v>46087</v>
      </c>
      <c r="D474" t="inlineStr">
        <is>
          <t>ÖSTERGÖTLANDS LÄN</t>
        </is>
      </c>
      <c r="E474" t="inlineStr">
        <is>
          <t>LINKÖPING</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10756-2026</t>
        </is>
      </c>
      <c r="B475" s="1" t="n">
        <v>46078.55412037037</v>
      </c>
      <c r="C475" s="1" t="n">
        <v>46087</v>
      </c>
      <c r="D475" t="inlineStr">
        <is>
          <t>ÖSTERGÖTLANDS LÄN</t>
        </is>
      </c>
      <c r="E475" t="inlineStr">
        <is>
          <t>LINKÖPING</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43475-2024</t>
        </is>
      </c>
      <c r="B476" s="1" t="n">
        <v>45568</v>
      </c>
      <c r="C476" s="1" t="n">
        <v>46087</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30353-2025</t>
        </is>
      </c>
      <c r="B477" s="1" t="n">
        <v>45827</v>
      </c>
      <c r="C477" s="1" t="n">
        <v>46087</v>
      </c>
      <c r="D477" t="inlineStr">
        <is>
          <t>ÖSTERGÖTLANDS LÄN</t>
        </is>
      </c>
      <c r="E477" t="inlineStr">
        <is>
          <t>LINKÖPING</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2030-2026</t>
        </is>
      </c>
      <c r="B478" s="1" t="n">
        <v>46035.73590277778</v>
      </c>
      <c r="C478" s="1" t="n">
        <v>46087</v>
      </c>
      <c r="D478" t="inlineStr">
        <is>
          <t>ÖSTERGÖTLANDS LÄN</t>
        </is>
      </c>
      <c r="E478" t="inlineStr">
        <is>
          <t>LINKÖPING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17103-2025</t>
        </is>
      </c>
      <c r="B479" s="1" t="n">
        <v>45755.66143518518</v>
      </c>
      <c r="C479" s="1" t="n">
        <v>46087</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30551-2023</t>
        </is>
      </c>
      <c r="B480" s="1" t="n">
        <v>45111</v>
      </c>
      <c r="C480" s="1" t="n">
        <v>46087</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50784-2022</t>
        </is>
      </c>
      <c r="B481" s="1" t="n">
        <v>44862</v>
      </c>
      <c r="C481" s="1" t="n">
        <v>46087</v>
      </c>
      <c r="D481" t="inlineStr">
        <is>
          <t>ÖSTERGÖTLANDS LÄN</t>
        </is>
      </c>
      <c r="E481" t="inlineStr">
        <is>
          <t>LINKÖPING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2031-2026</t>
        </is>
      </c>
      <c r="B482" s="1" t="n">
        <v>46035.74182870371</v>
      </c>
      <c r="C482" s="1" t="n">
        <v>46087</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22043-2023</t>
        </is>
      </c>
      <c r="B483" s="1" t="n">
        <v>45069.39050925926</v>
      </c>
      <c r="C483" s="1" t="n">
        <v>46087</v>
      </c>
      <c r="D483" t="inlineStr">
        <is>
          <t>ÖSTERGÖTLANDS LÄN</t>
        </is>
      </c>
      <c r="E483" t="inlineStr">
        <is>
          <t>LINKÖPING</t>
        </is>
      </c>
      <c r="G483" t="n">
        <v>5.9</v>
      </c>
      <c r="H483" t="n">
        <v>0</v>
      </c>
      <c r="I483" t="n">
        <v>0</v>
      </c>
      <c r="J483" t="n">
        <v>0</v>
      </c>
      <c r="K483" t="n">
        <v>0</v>
      </c>
      <c r="L483" t="n">
        <v>0</v>
      </c>
      <c r="M483" t="n">
        <v>0</v>
      </c>
      <c r="N483" t="n">
        <v>0</v>
      </c>
      <c r="O483" t="n">
        <v>0</v>
      </c>
      <c r="P483" t="n">
        <v>0</v>
      </c>
      <c r="Q483" t="n">
        <v>0</v>
      </c>
      <c r="R483" s="2" t="inlineStr"/>
    </row>
    <row r="484" ht="15" customHeight="1">
      <c r="A484" t="inlineStr">
        <is>
          <t>A 49656-2021</t>
        </is>
      </c>
      <c r="B484" s="1" t="n">
        <v>44454</v>
      </c>
      <c r="C484" s="1" t="n">
        <v>46087</v>
      </c>
      <c r="D484" t="inlineStr">
        <is>
          <t>ÖSTERGÖTLANDS LÄN</t>
        </is>
      </c>
      <c r="E484" t="inlineStr">
        <is>
          <t>LINKÖPING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30465-2023</t>
        </is>
      </c>
      <c r="B485" s="1" t="n">
        <v>45111</v>
      </c>
      <c r="C485" s="1" t="n">
        <v>46087</v>
      </c>
      <c r="D485" t="inlineStr">
        <is>
          <t>ÖSTERGÖTLANDS LÄN</t>
        </is>
      </c>
      <c r="E485" t="inlineStr">
        <is>
          <t>LINKÖPING</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10477-2026</t>
        </is>
      </c>
      <c r="B486" s="1" t="n">
        <v>46077.4871875</v>
      </c>
      <c r="C486" s="1" t="n">
        <v>46087</v>
      </c>
      <c r="D486" t="inlineStr">
        <is>
          <t>ÖSTERGÖTLANDS LÄN</t>
        </is>
      </c>
      <c r="E486" t="inlineStr">
        <is>
          <t>LINKÖPING</t>
        </is>
      </c>
      <c r="G486" t="n">
        <v>9.6</v>
      </c>
      <c r="H486" t="n">
        <v>0</v>
      </c>
      <c r="I486" t="n">
        <v>0</v>
      </c>
      <c r="J486" t="n">
        <v>0</v>
      </c>
      <c r="K486" t="n">
        <v>0</v>
      </c>
      <c r="L486" t="n">
        <v>0</v>
      </c>
      <c r="M486" t="n">
        <v>0</v>
      </c>
      <c r="N486" t="n">
        <v>0</v>
      </c>
      <c r="O486" t="n">
        <v>0</v>
      </c>
      <c r="P486" t="n">
        <v>0</v>
      </c>
      <c r="Q486" t="n">
        <v>0</v>
      </c>
      <c r="R486" s="2" t="inlineStr"/>
    </row>
    <row r="487" ht="15" customHeight="1">
      <c r="A487" t="inlineStr">
        <is>
          <t>A 10479-2026</t>
        </is>
      </c>
      <c r="B487" s="1" t="n">
        <v>46077.49231481482</v>
      </c>
      <c r="C487" s="1" t="n">
        <v>46087</v>
      </c>
      <c r="D487" t="inlineStr">
        <is>
          <t>ÖSTERGÖTLANDS LÄN</t>
        </is>
      </c>
      <c r="E487" t="inlineStr">
        <is>
          <t>LINKÖPING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30521-2024</t>
        </is>
      </c>
      <c r="B488" s="1" t="n">
        <v>45492</v>
      </c>
      <c r="C488" s="1" t="n">
        <v>46087</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40618-2021</t>
        </is>
      </c>
      <c r="B489" s="1" t="n">
        <v>44420.49575231481</v>
      </c>
      <c r="C489" s="1" t="n">
        <v>46087</v>
      </c>
      <c r="D489" t="inlineStr">
        <is>
          <t>ÖSTERGÖTLANDS LÄN</t>
        </is>
      </c>
      <c r="E489" t="inlineStr">
        <is>
          <t>LINKÖPING</t>
        </is>
      </c>
      <c r="G489" t="n">
        <v>2.3</v>
      </c>
      <c r="H489" t="n">
        <v>0</v>
      </c>
      <c r="I489" t="n">
        <v>0</v>
      </c>
      <c r="J489" t="n">
        <v>0</v>
      </c>
      <c r="K489" t="n">
        <v>0</v>
      </c>
      <c r="L489" t="n">
        <v>0</v>
      </c>
      <c r="M489" t="n">
        <v>0</v>
      </c>
      <c r="N489" t="n">
        <v>0</v>
      </c>
      <c r="O489" t="n">
        <v>0</v>
      </c>
      <c r="P489" t="n">
        <v>0</v>
      </c>
      <c r="Q489" t="n">
        <v>0</v>
      </c>
      <c r="R489" s="2" t="inlineStr"/>
    </row>
    <row r="490" ht="15" customHeight="1">
      <c r="A490" t="inlineStr">
        <is>
          <t>A 11033-2026</t>
        </is>
      </c>
      <c r="B490" s="1" t="n">
        <v>46079.57361111111</v>
      </c>
      <c r="C490" s="1" t="n">
        <v>46087</v>
      </c>
      <c r="D490" t="inlineStr">
        <is>
          <t>ÖSTERGÖTLANDS LÄN</t>
        </is>
      </c>
      <c r="E490" t="inlineStr">
        <is>
          <t>LINKÖPING</t>
        </is>
      </c>
      <c r="G490" t="n">
        <v>7.9</v>
      </c>
      <c r="H490" t="n">
        <v>0</v>
      </c>
      <c r="I490" t="n">
        <v>0</v>
      </c>
      <c r="J490" t="n">
        <v>0</v>
      </c>
      <c r="K490" t="n">
        <v>0</v>
      </c>
      <c r="L490" t="n">
        <v>0</v>
      </c>
      <c r="M490" t="n">
        <v>0</v>
      </c>
      <c r="N490" t="n">
        <v>0</v>
      </c>
      <c r="O490" t="n">
        <v>0</v>
      </c>
      <c r="P490" t="n">
        <v>0</v>
      </c>
      <c r="Q490" t="n">
        <v>0</v>
      </c>
      <c r="R490" s="2" t="inlineStr"/>
    </row>
    <row r="491" ht="15" customHeight="1">
      <c r="A491" t="inlineStr">
        <is>
          <t>A 11036-2026</t>
        </is>
      </c>
      <c r="B491" s="1" t="n">
        <v>46079.57836805555</v>
      </c>
      <c r="C491" s="1" t="n">
        <v>46087</v>
      </c>
      <c r="D491" t="inlineStr">
        <is>
          <t>ÖSTERGÖTLANDS LÄN</t>
        </is>
      </c>
      <c r="E491" t="inlineStr">
        <is>
          <t>LINKÖPING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3045-2026</t>
        </is>
      </c>
      <c r="B492" s="1" t="n">
        <v>46038.74047453704</v>
      </c>
      <c r="C492" s="1" t="n">
        <v>46087</v>
      </c>
      <c r="D492" t="inlineStr">
        <is>
          <t>ÖSTERGÖTLANDS LÄN</t>
        </is>
      </c>
      <c r="E492" t="inlineStr">
        <is>
          <t>LINKÖPING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23735-2023</t>
        </is>
      </c>
      <c r="B493" s="1" t="n">
        <v>45077</v>
      </c>
      <c r="C493" s="1" t="n">
        <v>46087</v>
      </c>
      <c r="D493" t="inlineStr">
        <is>
          <t>ÖSTERGÖTLANDS LÄN</t>
        </is>
      </c>
      <c r="E493" t="inlineStr">
        <is>
          <t>LINKÖPING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350-2022</t>
        </is>
      </c>
      <c r="B494" s="1" t="n">
        <v>44565</v>
      </c>
      <c r="C494" s="1" t="n">
        <v>46087</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11057-2026</t>
        </is>
      </c>
      <c r="B495" s="1" t="n">
        <v>46079.59515046296</v>
      </c>
      <c r="C495" s="1" t="n">
        <v>46087</v>
      </c>
      <c r="D495" t="inlineStr">
        <is>
          <t>ÖSTERGÖTLANDS LÄN</t>
        </is>
      </c>
      <c r="E495" t="inlineStr">
        <is>
          <t>LINKÖPING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4256-2022</t>
        </is>
      </c>
      <c r="B496" s="1" t="n">
        <v>44588</v>
      </c>
      <c r="C496" s="1" t="n">
        <v>46087</v>
      </c>
      <c r="D496" t="inlineStr">
        <is>
          <t>ÖSTERGÖTLANDS LÄN</t>
        </is>
      </c>
      <c r="E496" t="inlineStr">
        <is>
          <t>LINKÖPING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25948-2023</t>
        </is>
      </c>
      <c r="B497" s="1" t="n">
        <v>45090</v>
      </c>
      <c r="C497" s="1" t="n">
        <v>46087</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38886-2024</t>
        </is>
      </c>
      <c r="B498" s="1" t="n">
        <v>45547.66443287037</v>
      </c>
      <c r="C498" s="1" t="n">
        <v>46087</v>
      </c>
      <c r="D498" t="inlineStr">
        <is>
          <t>ÖSTERGÖTLANDS LÄN</t>
        </is>
      </c>
      <c r="E498" t="inlineStr">
        <is>
          <t>LINKÖPING</t>
        </is>
      </c>
      <c r="G498" t="n">
        <v>5.3</v>
      </c>
      <c r="H498" t="n">
        <v>0</v>
      </c>
      <c r="I498" t="n">
        <v>0</v>
      </c>
      <c r="J498" t="n">
        <v>0</v>
      </c>
      <c r="K498" t="n">
        <v>0</v>
      </c>
      <c r="L498" t="n">
        <v>0</v>
      </c>
      <c r="M498" t="n">
        <v>0</v>
      </c>
      <c r="N498" t="n">
        <v>0</v>
      </c>
      <c r="O498" t="n">
        <v>0</v>
      </c>
      <c r="P498" t="n">
        <v>0</v>
      </c>
      <c r="Q498" t="n">
        <v>0</v>
      </c>
      <c r="R498" s="2" t="inlineStr"/>
    </row>
    <row r="499" ht="15" customHeight="1">
      <c r="A499" t="inlineStr">
        <is>
          <t>A 3044-2026</t>
        </is>
      </c>
      <c r="B499" s="1" t="n">
        <v>46038.73855324074</v>
      </c>
      <c r="C499" s="1" t="n">
        <v>46087</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33867-2023</t>
        </is>
      </c>
      <c r="B500" s="1" t="n">
        <v>45133.94640046296</v>
      </c>
      <c r="C500" s="1" t="n">
        <v>46087</v>
      </c>
      <c r="D500" t="inlineStr">
        <is>
          <t>ÖSTERGÖTLANDS LÄN</t>
        </is>
      </c>
      <c r="E500" t="inlineStr">
        <is>
          <t>LINKÖPING</t>
        </is>
      </c>
      <c r="G500" t="n">
        <v>2.3</v>
      </c>
      <c r="H500" t="n">
        <v>0</v>
      </c>
      <c r="I500" t="n">
        <v>0</v>
      </c>
      <c r="J500" t="n">
        <v>0</v>
      </c>
      <c r="K500" t="n">
        <v>0</v>
      </c>
      <c r="L500" t="n">
        <v>0</v>
      </c>
      <c r="M500" t="n">
        <v>0</v>
      </c>
      <c r="N500" t="n">
        <v>0</v>
      </c>
      <c r="O500" t="n">
        <v>0</v>
      </c>
      <c r="P500" t="n">
        <v>0</v>
      </c>
      <c r="Q500" t="n">
        <v>0</v>
      </c>
      <c r="R500" s="2" t="inlineStr"/>
    </row>
    <row r="501" ht="15" customHeight="1">
      <c r="A501" t="inlineStr">
        <is>
          <t>A 11169-2026</t>
        </is>
      </c>
      <c r="B501" s="1" t="n">
        <v>46080.37020833333</v>
      </c>
      <c r="C501" s="1" t="n">
        <v>46087</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3043-2026</t>
        </is>
      </c>
      <c r="B502" s="1" t="n">
        <v>46038.73675925926</v>
      </c>
      <c r="C502" s="1" t="n">
        <v>46087</v>
      </c>
      <c r="D502" t="inlineStr">
        <is>
          <t>ÖSTERGÖTLANDS LÄN</t>
        </is>
      </c>
      <c r="E502" t="inlineStr">
        <is>
          <t>LINKÖPING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3046-2026</t>
        </is>
      </c>
      <c r="B503" s="1" t="n">
        <v>46038.74182870371</v>
      </c>
      <c r="C503" s="1" t="n">
        <v>46087</v>
      </c>
      <c r="D503" t="inlineStr">
        <is>
          <t>ÖSTERGÖTLANDS LÄN</t>
        </is>
      </c>
      <c r="E503" t="inlineStr">
        <is>
          <t>LINKÖPING</t>
        </is>
      </c>
      <c r="G503" t="n">
        <v>1.9</v>
      </c>
      <c r="H503" t="n">
        <v>0</v>
      </c>
      <c r="I503" t="n">
        <v>0</v>
      </c>
      <c r="J503" t="n">
        <v>0</v>
      </c>
      <c r="K503" t="n">
        <v>0</v>
      </c>
      <c r="L503" t="n">
        <v>0</v>
      </c>
      <c r="M503" t="n">
        <v>0</v>
      </c>
      <c r="N503" t="n">
        <v>0</v>
      </c>
      <c r="O503" t="n">
        <v>0</v>
      </c>
      <c r="P503" t="n">
        <v>0</v>
      </c>
      <c r="Q503" t="n">
        <v>0</v>
      </c>
      <c r="R503" s="2" t="inlineStr"/>
    </row>
    <row r="504" ht="15" customHeight="1">
      <c r="A504" t="inlineStr">
        <is>
          <t>A 24462-2023</t>
        </is>
      </c>
      <c r="B504" s="1" t="n">
        <v>45082</v>
      </c>
      <c r="C504" s="1" t="n">
        <v>46087</v>
      </c>
      <c r="D504" t="inlineStr">
        <is>
          <t>ÖSTERGÖTLANDS LÄN</t>
        </is>
      </c>
      <c r="E504" t="inlineStr">
        <is>
          <t>LINKÖPING</t>
        </is>
      </c>
      <c r="G504" t="n">
        <v>3.5</v>
      </c>
      <c r="H504" t="n">
        <v>0</v>
      </c>
      <c r="I504" t="n">
        <v>0</v>
      </c>
      <c r="J504" t="n">
        <v>0</v>
      </c>
      <c r="K504" t="n">
        <v>0</v>
      </c>
      <c r="L504" t="n">
        <v>0</v>
      </c>
      <c r="M504" t="n">
        <v>0</v>
      </c>
      <c r="N504" t="n">
        <v>0</v>
      </c>
      <c r="O504" t="n">
        <v>0</v>
      </c>
      <c r="P504" t="n">
        <v>0</v>
      </c>
      <c r="Q504" t="n">
        <v>0</v>
      </c>
      <c r="R504" s="2" t="inlineStr"/>
    </row>
    <row r="505" ht="15" customHeight="1">
      <c r="A505" t="inlineStr">
        <is>
          <t>A 10764-2026</t>
        </is>
      </c>
      <c r="B505" s="1" t="n">
        <v>46078</v>
      </c>
      <c r="C505" s="1" t="n">
        <v>46087</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48829-2023</t>
        </is>
      </c>
      <c r="B506" s="1" t="n">
        <v>45209.38177083333</v>
      </c>
      <c r="C506" s="1" t="n">
        <v>46087</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31581-2025</t>
        </is>
      </c>
      <c r="B507" s="1" t="n">
        <v>45833.6840162037</v>
      </c>
      <c r="C507" s="1" t="n">
        <v>46087</v>
      </c>
      <c r="D507" t="inlineStr">
        <is>
          <t>ÖSTERGÖTLANDS LÄN</t>
        </is>
      </c>
      <c r="E507" t="inlineStr">
        <is>
          <t>LINKÖPING</t>
        </is>
      </c>
      <c r="G507" t="n">
        <v>2.6</v>
      </c>
      <c r="H507" t="n">
        <v>0</v>
      </c>
      <c r="I507" t="n">
        <v>0</v>
      </c>
      <c r="J507" t="n">
        <v>0</v>
      </c>
      <c r="K507" t="n">
        <v>0</v>
      </c>
      <c r="L507" t="n">
        <v>0</v>
      </c>
      <c r="M507" t="n">
        <v>0</v>
      </c>
      <c r="N507" t="n">
        <v>0</v>
      </c>
      <c r="O507" t="n">
        <v>0</v>
      </c>
      <c r="P507" t="n">
        <v>0</v>
      </c>
      <c r="Q507" t="n">
        <v>0</v>
      </c>
      <c r="R507" s="2" t="inlineStr"/>
    </row>
    <row r="508" ht="15" customHeight="1">
      <c r="A508" t="inlineStr">
        <is>
          <t>A 31585-2025</t>
        </is>
      </c>
      <c r="B508" s="1" t="n">
        <v>45833.68815972222</v>
      </c>
      <c r="C508" s="1" t="n">
        <v>46087</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38231-2022</t>
        </is>
      </c>
      <c r="B509" s="1" t="n">
        <v>44812</v>
      </c>
      <c r="C509" s="1" t="n">
        <v>46087</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50799-2022</t>
        </is>
      </c>
      <c r="B510" s="1" t="n">
        <v>44862</v>
      </c>
      <c r="C510" s="1" t="n">
        <v>46087</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40431-2024</t>
        </is>
      </c>
      <c r="B511" s="1" t="n">
        <v>45555.47070601852</v>
      </c>
      <c r="C511" s="1" t="n">
        <v>46087</v>
      </c>
      <c r="D511" t="inlineStr">
        <is>
          <t>ÖSTERGÖTLANDS LÄN</t>
        </is>
      </c>
      <c r="E511" t="inlineStr">
        <is>
          <t>LINKÖPING</t>
        </is>
      </c>
      <c r="F511" t="inlineStr">
        <is>
          <t>Allmännings- och besparingsskogar</t>
        </is>
      </c>
      <c r="G511" t="n">
        <v>2.9</v>
      </c>
      <c r="H511" t="n">
        <v>0</v>
      </c>
      <c r="I511" t="n">
        <v>0</v>
      </c>
      <c r="J511" t="n">
        <v>0</v>
      </c>
      <c r="K511" t="n">
        <v>0</v>
      </c>
      <c r="L511" t="n">
        <v>0</v>
      </c>
      <c r="M511" t="n">
        <v>0</v>
      </c>
      <c r="N511" t="n">
        <v>0</v>
      </c>
      <c r="O511" t="n">
        <v>0</v>
      </c>
      <c r="P511" t="n">
        <v>0</v>
      </c>
      <c r="Q511" t="n">
        <v>0</v>
      </c>
      <c r="R511" s="2" t="inlineStr"/>
    </row>
    <row r="512" ht="15" customHeight="1">
      <c r="A512" t="inlineStr">
        <is>
          <t>A 267-2023</t>
        </is>
      </c>
      <c r="B512" s="1" t="n">
        <v>44928.80907407407</v>
      </c>
      <c r="C512" s="1" t="n">
        <v>46087</v>
      </c>
      <c r="D512" t="inlineStr">
        <is>
          <t>ÖSTERGÖTLANDS LÄN</t>
        </is>
      </c>
      <c r="E512" t="inlineStr">
        <is>
          <t>LINKÖPING</t>
        </is>
      </c>
      <c r="G512" t="n">
        <v>2.7</v>
      </c>
      <c r="H512" t="n">
        <v>0</v>
      </c>
      <c r="I512" t="n">
        <v>0</v>
      </c>
      <c r="J512" t="n">
        <v>0</v>
      </c>
      <c r="K512" t="n">
        <v>0</v>
      </c>
      <c r="L512" t="n">
        <v>0</v>
      </c>
      <c r="M512" t="n">
        <v>0</v>
      </c>
      <c r="N512" t="n">
        <v>0</v>
      </c>
      <c r="O512" t="n">
        <v>0</v>
      </c>
      <c r="P512" t="n">
        <v>0</v>
      </c>
      <c r="Q512" t="n">
        <v>0</v>
      </c>
      <c r="R512" s="2" t="inlineStr"/>
    </row>
    <row r="513" ht="15" customHeight="1">
      <c r="A513" t="inlineStr">
        <is>
          <t>A 26618-2023</t>
        </is>
      </c>
      <c r="B513" s="1" t="n">
        <v>45092.70306712963</v>
      </c>
      <c r="C513" s="1" t="n">
        <v>46087</v>
      </c>
      <c r="D513" t="inlineStr">
        <is>
          <t>ÖSTERGÖTLANDS LÄN</t>
        </is>
      </c>
      <c r="E513" t="inlineStr">
        <is>
          <t>LINKÖPING</t>
        </is>
      </c>
      <c r="G513" t="n">
        <v>6.9</v>
      </c>
      <c r="H513" t="n">
        <v>0</v>
      </c>
      <c r="I513" t="n">
        <v>0</v>
      </c>
      <c r="J513" t="n">
        <v>0</v>
      </c>
      <c r="K513" t="n">
        <v>0</v>
      </c>
      <c r="L513" t="n">
        <v>0</v>
      </c>
      <c r="M513" t="n">
        <v>0</v>
      </c>
      <c r="N513" t="n">
        <v>0</v>
      </c>
      <c r="O513" t="n">
        <v>0</v>
      </c>
      <c r="P513" t="n">
        <v>0</v>
      </c>
      <c r="Q513" t="n">
        <v>0</v>
      </c>
      <c r="R513" s="2" t="inlineStr"/>
    </row>
    <row r="514" ht="15" customHeight="1">
      <c r="A514" t="inlineStr">
        <is>
          <t>A 63665-2023</t>
        </is>
      </c>
      <c r="B514" s="1" t="n">
        <v>45275</v>
      </c>
      <c r="C514" s="1" t="n">
        <v>46087</v>
      </c>
      <c r="D514" t="inlineStr">
        <is>
          <t>ÖSTERGÖTLANDS LÄN</t>
        </is>
      </c>
      <c r="E514" t="inlineStr">
        <is>
          <t>LINKÖPING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30429-2024</t>
        </is>
      </c>
      <c r="B515" s="1" t="n">
        <v>45491.68972222223</v>
      </c>
      <c r="C515" s="1" t="n">
        <v>46087</v>
      </c>
      <c r="D515" t="inlineStr">
        <is>
          <t>ÖSTERGÖTLANDS LÄN</t>
        </is>
      </c>
      <c r="E515" t="inlineStr">
        <is>
          <t>LINKÖPING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32723-2025</t>
        </is>
      </c>
      <c r="B516" s="1" t="n">
        <v>45838</v>
      </c>
      <c r="C516" s="1" t="n">
        <v>46087</v>
      </c>
      <c r="D516" t="inlineStr">
        <is>
          <t>ÖSTERGÖTLANDS LÄN</t>
        </is>
      </c>
      <c r="E516" t="inlineStr">
        <is>
          <t>LINKÖPING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30435-2024</t>
        </is>
      </c>
      <c r="B517" s="1" t="n">
        <v>45491.69962962963</v>
      </c>
      <c r="C517" s="1" t="n">
        <v>46087</v>
      </c>
      <c r="D517" t="inlineStr">
        <is>
          <t>ÖSTERGÖTLANDS LÄN</t>
        </is>
      </c>
      <c r="E517" t="inlineStr">
        <is>
          <t>LINKÖPING</t>
        </is>
      </c>
      <c r="G517" t="n">
        <v>1.9</v>
      </c>
      <c r="H517" t="n">
        <v>0</v>
      </c>
      <c r="I517" t="n">
        <v>0</v>
      </c>
      <c r="J517" t="n">
        <v>0</v>
      </c>
      <c r="K517" t="n">
        <v>0</v>
      </c>
      <c r="L517" t="n">
        <v>0</v>
      </c>
      <c r="M517" t="n">
        <v>0</v>
      </c>
      <c r="N517" t="n">
        <v>0</v>
      </c>
      <c r="O517" t="n">
        <v>0</v>
      </c>
      <c r="P517" t="n">
        <v>0</v>
      </c>
      <c r="Q517" t="n">
        <v>0</v>
      </c>
      <c r="R517" s="2" t="inlineStr"/>
    </row>
    <row r="518" ht="15" customHeight="1">
      <c r="A518" t="inlineStr">
        <is>
          <t>A 53816-2023</t>
        </is>
      </c>
      <c r="B518" s="1" t="n">
        <v>45231.40012731482</v>
      </c>
      <c r="C518" s="1" t="n">
        <v>46087</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36557-2023</t>
        </is>
      </c>
      <c r="B519" s="1" t="n">
        <v>45153</v>
      </c>
      <c r="C519" s="1" t="n">
        <v>46087</v>
      </c>
      <c r="D519" t="inlineStr">
        <is>
          <t>ÖSTERGÖTLANDS LÄN</t>
        </is>
      </c>
      <c r="E519" t="inlineStr">
        <is>
          <t>LINKÖPING</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6599-2023</t>
        </is>
      </c>
      <c r="B520" s="1" t="n">
        <v>44966.52603009259</v>
      </c>
      <c r="C520" s="1" t="n">
        <v>46087</v>
      </c>
      <c r="D520" t="inlineStr">
        <is>
          <t>ÖSTERGÖTLANDS LÄN</t>
        </is>
      </c>
      <c r="E520" t="inlineStr">
        <is>
          <t>LINKÖPING</t>
        </is>
      </c>
      <c r="G520" t="n">
        <v>1.9</v>
      </c>
      <c r="H520" t="n">
        <v>0</v>
      </c>
      <c r="I520" t="n">
        <v>0</v>
      </c>
      <c r="J520" t="n">
        <v>0</v>
      </c>
      <c r="K520" t="n">
        <v>0</v>
      </c>
      <c r="L520" t="n">
        <v>0</v>
      </c>
      <c r="M520" t="n">
        <v>0</v>
      </c>
      <c r="N520" t="n">
        <v>0</v>
      </c>
      <c r="O520" t="n">
        <v>0</v>
      </c>
      <c r="P520" t="n">
        <v>0</v>
      </c>
      <c r="Q520" t="n">
        <v>0</v>
      </c>
      <c r="R520" s="2" t="inlineStr"/>
    </row>
    <row r="521" ht="15" customHeight="1">
      <c r="A521" t="inlineStr">
        <is>
          <t>A 43473-2024</t>
        </is>
      </c>
      <c r="B521" s="1" t="n">
        <v>45568</v>
      </c>
      <c r="C521" s="1" t="n">
        <v>46087</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11891-2026</t>
        </is>
      </c>
      <c r="B522" s="1" t="n">
        <v>46085.5197800926</v>
      </c>
      <c r="C522" s="1" t="n">
        <v>46087</v>
      </c>
      <c r="D522" t="inlineStr">
        <is>
          <t>ÖSTERGÖTLANDS LÄN</t>
        </is>
      </c>
      <c r="E522" t="inlineStr">
        <is>
          <t>LINKÖPING</t>
        </is>
      </c>
      <c r="G522" t="n">
        <v>2.8</v>
      </c>
      <c r="H522" t="n">
        <v>0</v>
      </c>
      <c r="I522" t="n">
        <v>0</v>
      </c>
      <c r="J522" t="n">
        <v>0</v>
      </c>
      <c r="K522" t="n">
        <v>0</v>
      </c>
      <c r="L522" t="n">
        <v>0</v>
      </c>
      <c r="M522" t="n">
        <v>0</v>
      </c>
      <c r="N522" t="n">
        <v>0</v>
      </c>
      <c r="O522" t="n">
        <v>0</v>
      </c>
      <c r="P522" t="n">
        <v>0</v>
      </c>
      <c r="Q522" t="n">
        <v>0</v>
      </c>
      <c r="R522" s="2" t="inlineStr"/>
    </row>
    <row r="523" ht="15" customHeight="1">
      <c r="A523" t="inlineStr">
        <is>
          <t>A 11888-2026</t>
        </is>
      </c>
      <c r="B523" s="1" t="n">
        <v>46085.51813657407</v>
      </c>
      <c r="C523" s="1" t="n">
        <v>46087</v>
      </c>
      <c r="D523" t="inlineStr">
        <is>
          <t>ÖSTERGÖTLANDS LÄN</t>
        </is>
      </c>
      <c r="E523" t="inlineStr">
        <is>
          <t>LINKÖPING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61532-2021</t>
        </is>
      </c>
      <c r="B524" s="1" t="n">
        <v>44501</v>
      </c>
      <c r="C524" s="1" t="n">
        <v>46087</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3374-2023</t>
        </is>
      </c>
      <c r="B525" s="1" t="n">
        <v>44949</v>
      </c>
      <c r="C525" s="1" t="n">
        <v>46087</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224-2024</t>
        </is>
      </c>
      <c r="B526" s="1" t="n">
        <v>45294</v>
      </c>
      <c r="C526" s="1" t="n">
        <v>46087</v>
      </c>
      <c r="D526" t="inlineStr">
        <is>
          <t>ÖSTERGÖTLANDS LÄN</t>
        </is>
      </c>
      <c r="E526" t="inlineStr">
        <is>
          <t>LINKÖPING</t>
        </is>
      </c>
      <c r="G526" t="n">
        <v>2.8</v>
      </c>
      <c r="H526" t="n">
        <v>0</v>
      </c>
      <c r="I526" t="n">
        <v>0</v>
      </c>
      <c r="J526" t="n">
        <v>0</v>
      </c>
      <c r="K526" t="n">
        <v>0</v>
      </c>
      <c r="L526" t="n">
        <v>0</v>
      </c>
      <c r="M526" t="n">
        <v>0</v>
      </c>
      <c r="N526" t="n">
        <v>0</v>
      </c>
      <c r="O526" t="n">
        <v>0</v>
      </c>
      <c r="P526" t="n">
        <v>0</v>
      </c>
      <c r="Q526" t="n">
        <v>0</v>
      </c>
      <c r="R526" s="2" t="inlineStr"/>
    </row>
    <row r="527" ht="15" customHeight="1">
      <c r="A527" t="inlineStr">
        <is>
          <t>A 6726-2024</t>
        </is>
      </c>
      <c r="B527" s="1" t="n">
        <v>45341</v>
      </c>
      <c r="C527" s="1" t="n">
        <v>46087</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53814-2023</t>
        </is>
      </c>
      <c r="B528" s="1" t="n">
        <v>45231</v>
      </c>
      <c r="C528" s="1" t="n">
        <v>46087</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33947-2025</t>
        </is>
      </c>
      <c r="B529" s="1" t="n">
        <v>45842.65444444444</v>
      </c>
      <c r="C529" s="1" t="n">
        <v>46087</v>
      </c>
      <c r="D529" t="inlineStr">
        <is>
          <t>ÖSTERGÖTLANDS LÄN</t>
        </is>
      </c>
      <c r="E529" t="inlineStr">
        <is>
          <t>LINKÖPING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60004-2022</t>
        </is>
      </c>
      <c r="B530" s="1" t="n">
        <v>44909.47206018519</v>
      </c>
      <c r="C530" s="1" t="n">
        <v>46087</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52796-2023</t>
        </is>
      </c>
      <c r="B531" s="1" t="n">
        <v>45219</v>
      </c>
      <c r="C531" s="1" t="n">
        <v>46087</v>
      </c>
      <c r="D531" t="inlineStr">
        <is>
          <t>ÖSTERGÖTLANDS LÄN</t>
        </is>
      </c>
      <c r="E531" t="inlineStr">
        <is>
          <t>LINKÖPING</t>
        </is>
      </c>
      <c r="F531" t="inlineStr">
        <is>
          <t>Övriga statliga verk och myndigheter</t>
        </is>
      </c>
      <c r="G531" t="n">
        <v>3.9</v>
      </c>
      <c r="H531" t="n">
        <v>0</v>
      </c>
      <c r="I531" t="n">
        <v>0</v>
      </c>
      <c r="J531" t="n">
        <v>0</v>
      </c>
      <c r="K531" t="n">
        <v>0</v>
      </c>
      <c r="L531" t="n">
        <v>0</v>
      </c>
      <c r="M531" t="n">
        <v>0</v>
      </c>
      <c r="N531" t="n">
        <v>0</v>
      </c>
      <c r="O531" t="n">
        <v>0</v>
      </c>
      <c r="P531" t="n">
        <v>0</v>
      </c>
      <c r="Q531" t="n">
        <v>0</v>
      </c>
      <c r="R531" s="2" t="inlineStr"/>
    </row>
    <row r="532" ht="15" customHeight="1">
      <c r="A532" t="inlineStr">
        <is>
          <t>A 50743-2023</t>
        </is>
      </c>
      <c r="B532" s="1" t="n">
        <v>45217</v>
      </c>
      <c r="C532" s="1" t="n">
        <v>46087</v>
      </c>
      <c r="D532" t="inlineStr">
        <is>
          <t>ÖSTERGÖTLANDS LÄN</t>
        </is>
      </c>
      <c r="E532" t="inlineStr">
        <is>
          <t>LINKÖPING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45771-2023</t>
        </is>
      </c>
      <c r="B533" s="1" t="n">
        <v>45195.4384375</v>
      </c>
      <c r="C533" s="1" t="n">
        <v>46087</v>
      </c>
      <c r="D533" t="inlineStr">
        <is>
          <t>ÖSTERGÖTLANDS LÄN</t>
        </is>
      </c>
      <c r="E533" t="inlineStr">
        <is>
          <t>LINKÖPING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63554-2023</t>
        </is>
      </c>
      <c r="B534" s="1" t="n">
        <v>45275</v>
      </c>
      <c r="C534" s="1" t="n">
        <v>46087</v>
      </c>
      <c r="D534" t="inlineStr">
        <is>
          <t>ÖSTERGÖTLANDS LÄN</t>
        </is>
      </c>
      <c r="E534" t="inlineStr">
        <is>
          <t>LINKÖPING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30111-2024</t>
        </is>
      </c>
      <c r="B535" s="1" t="n">
        <v>45489.46947916667</v>
      </c>
      <c r="C535" s="1" t="n">
        <v>46087</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30119-2024</t>
        </is>
      </c>
      <c r="B536" s="1" t="n">
        <v>45489</v>
      </c>
      <c r="C536" s="1" t="n">
        <v>46087</v>
      </c>
      <c r="D536" t="inlineStr">
        <is>
          <t>ÖSTERGÖTLANDS LÄN</t>
        </is>
      </c>
      <c r="E536" t="inlineStr">
        <is>
          <t>LINKÖPING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6206-2024</t>
        </is>
      </c>
      <c r="B537" s="1" t="n">
        <v>45337.5977662037</v>
      </c>
      <c r="C537" s="1" t="n">
        <v>46087</v>
      </c>
      <c r="D537" t="inlineStr">
        <is>
          <t>ÖSTERGÖTLANDS LÄN</t>
        </is>
      </c>
      <c r="E537" t="inlineStr">
        <is>
          <t>LINKÖPING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62012-2024</t>
        </is>
      </c>
      <c r="B538" s="1" t="n">
        <v>45655.79679398148</v>
      </c>
      <c r="C538" s="1" t="n">
        <v>46087</v>
      </c>
      <c r="D538" t="inlineStr">
        <is>
          <t>ÖSTERGÖTLANDS LÄN</t>
        </is>
      </c>
      <c r="E538" t="inlineStr">
        <is>
          <t>LINKÖPING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15714-2024</t>
        </is>
      </c>
      <c r="B539" s="1" t="n">
        <v>45404.48288194444</v>
      </c>
      <c r="C539" s="1" t="n">
        <v>46087</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30481-2023</t>
        </is>
      </c>
      <c r="B540" s="1" t="n">
        <v>45111</v>
      </c>
      <c r="C540" s="1" t="n">
        <v>46087</v>
      </c>
      <c r="D540" t="inlineStr">
        <is>
          <t>ÖSTERGÖTLANDS LÄN</t>
        </is>
      </c>
      <c r="E540" t="inlineStr">
        <is>
          <t>LINKÖPING</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74160-2021</t>
        </is>
      </c>
      <c r="B541" s="1" t="n">
        <v>44558</v>
      </c>
      <c r="C541" s="1" t="n">
        <v>46087</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53529-2024</t>
        </is>
      </c>
      <c r="B542" s="1" t="n">
        <v>45614</v>
      </c>
      <c r="C542" s="1" t="n">
        <v>46087</v>
      </c>
      <c r="D542" t="inlineStr">
        <is>
          <t>ÖSTERGÖTLANDS LÄN</t>
        </is>
      </c>
      <c r="E542" t="inlineStr">
        <is>
          <t>LINKÖPING</t>
        </is>
      </c>
      <c r="G542" t="n">
        <v>6.7</v>
      </c>
      <c r="H542" t="n">
        <v>0</v>
      </c>
      <c r="I542" t="n">
        <v>0</v>
      </c>
      <c r="J542" t="n">
        <v>0</v>
      </c>
      <c r="K542" t="n">
        <v>0</v>
      </c>
      <c r="L542" t="n">
        <v>0</v>
      </c>
      <c r="M542" t="n">
        <v>0</v>
      </c>
      <c r="N542" t="n">
        <v>0</v>
      </c>
      <c r="O542" t="n">
        <v>0</v>
      </c>
      <c r="P542" t="n">
        <v>0</v>
      </c>
      <c r="Q542" t="n">
        <v>0</v>
      </c>
      <c r="R542" s="2" t="inlineStr"/>
    </row>
    <row r="543" ht="15" customHeight="1">
      <c r="A543" t="inlineStr">
        <is>
          <t>A 63559-2023</t>
        </is>
      </c>
      <c r="B543" s="1" t="n">
        <v>45275.35924768518</v>
      </c>
      <c r="C543" s="1" t="n">
        <v>46087</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23491-2024</t>
        </is>
      </c>
      <c r="B544" s="1" t="n">
        <v>45453</v>
      </c>
      <c r="C544" s="1" t="n">
        <v>46087</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20469-2025</t>
        </is>
      </c>
      <c r="B545" s="1" t="n">
        <v>45775</v>
      </c>
      <c r="C545" s="1" t="n">
        <v>46087</v>
      </c>
      <c r="D545" t="inlineStr">
        <is>
          <t>ÖSTERGÖTLANDS LÄN</t>
        </is>
      </c>
      <c r="E545" t="inlineStr">
        <is>
          <t>LINKÖPING</t>
        </is>
      </c>
      <c r="F545" t="inlineStr">
        <is>
          <t>Kyrkan</t>
        </is>
      </c>
      <c r="G545" t="n">
        <v>6.1</v>
      </c>
      <c r="H545" t="n">
        <v>0</v>
      </c>
      <c r="I545" t="n">
        <v>0</v>
      </c>
      <c r="J545" t="n">
        <v>0</v>
      </c>
      <c r="K545" t="n">
        <v>0</v>
      </c>
      <c r="L545" t="n">
        <v>0</v>
      </c>
      <c r="M545" t="n">
        <v>0</v>
      </c>
      <c r="N545" t="n">
        <v>0</v>
      </c>
      <c r="O545" t="n">
        <v>0</v>
      </c>
      <c r="P545" t="n">
        <v>0</v>
      </c>
      <c r="Q545" t="n">
        <v>0</v>
      </c>
      <c r="R545" s="2" t="inlineStr"/>
    </row>
    <row r="546" ht="15" customHeight="1">
      <c r="A546" t="inlineStr">
        <is>
          <t>A 29309-2024</t>
        </is>
      </c>
      <c r="B546" s="1" t="n">
        <v>45483</v>
      </c>
      <c r="C546" s="1" t="n">
        <v>46087</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29411-2023</t>
        </is>
      </c>
      <c r="B547" s="1" t="n">
        <v>45106.46225694445</v>
      </c>
      <c r="C547" s="1" t="n">
        <v>46087</v>
      </c>
      <c r="D547" t="inlineStr">
        <is>
          <t>ÖSTERGÖTLANDS LÄN</t>
        </is>
      </c>
      <c r="E547" t="inlineStr">
        <is>
          <t>LINKÖPING</t>
        </is>
      </c>
      <c r="G547" t="n">
        <v>2.5</v>
      </c>
      <c r="H547" t="n">
        <v>0</v>
      </c>
      <c r="I547" t="n">
        <v>0</v>
      </c>
      <c r="J547" t="n">
        <v>0</v>
      </c>
      <c r="K547" t="n">
        <v>0</v>
      </c>
      <c r="L547" t="n">
        <v>0</v>
      </c>
      <c r="M547" t="n">
        <v>0</v>
      </c>
      <c r="N547" t="n">
        <v>0</v>
      </c>
      <c r="O547" t="n">
        <v>0</v>
      </c>
      <c r="P547" t="n">
        <v>0</v>
      </c>
      <c r="Q547" t="n">
        <v>0</v>
      </c>
      <c r="R547" s="2" t="inlineStr"/>
    </row>
    <row r="548" ht="15" customHeight="1">
      <c r="A548" t="inlineStr">
        <is>
          <t>A 29412-2023</t>
        </is>
      </c>
      <c r="B548" s="1" t="n">
        <v>45106.46359953703</v>
      </c>
      <c r="C548" s="1" t="n">
        <v>46087</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29413-2023</t>
        </is>
      </c>
      <c r="B549" s="1" t="n">
        <v>45106.46465277778</v>
      </c>
      <c r="C549" s="1" t="n">
        <v>46087</v>
      </c>
      <c r="D549" t="inlineStr">
        <is>
          <t>ÖSTERGÖTLANDS LÄN</t>
        </is>
      </c>
      <c r="E549" t="inlineStr">
        <is>
          <t>LINKÖPING</t>
        </is>
      </c>
      <c r="G549" t="n">
        <v>8</v>
      </c>
      <c r="H549" t="n">
        <v>0</v>
      </c>
      <c r="I549" t="n">
        <v>0</v>
      </c>
      <c r="J549" t="n">
        <v>0</v>
      </c>
      <c r="K549" t="n">
        <v>0</v>
      </c>
      <c r="L549" t="n">
        <v>0</v>
      </c>
      <c r="M549" t="n">
        <v>0</v>
      </c>
      <c r="N549" t="n">
        <v>0</v>
      </c>
      <c r="O549" t="n">
        <v>0</v>
      </c>
      <c r="P549" t="n">
        <v>0</v>
      </c>
      <c r="Q549" t="n">
        <v>0</v>
      </c>
      <c r="R549" s="2" t="inlineStr"/>
    </row>
    <row r="550" ht="15" customHeight="1">
      <c r="A550" t="inlineStr">
        <is>
          <t>A 24151-2024</t>
        </is>
      </c>
      <c r="B550" s="1" t="n">
        <v>45456.67717592593</v>
      </c>
      <c r="C550" s="1" t="n">
        <v>46087</v>
      </c>
      <c r="D550" t="inlineStr">
        <is>
          <t>ÖSTERGÖTLANDS LÄN</t>
        </is>
      </c>
      <c r="E550" t="inlineStr">
        <is>
          <t>LINKÖPING</t>
        </is>
      </c>
      <c r="G550" t="n">
        <v>2.1</v>
      </c>
      <c r="H550" t="n">
        <v>0</v>
      </c>
      <c r="I550" t="n">
        <v>0</v>
      </c>
      <c r="J550" t="n">
        <v>0</v>
      </c>
      <c r="K550" t="n">
        <v>0</v>
      </c>
      <c r="L550" t="n">
        <v>0</v>
      </c>
      <c r="M550" t="n">
        <v>0</v>
      </c>
      <c r="N550" t="n">
        <v>0</v>
      </c>
      <c r="O550" t="n">
        <v>0</v>
      </c>
      <c r="P550" t="n">
        <v>0</v>
      </c>
      <c r="Q550" t="n">
        <v>0</v>
      </c>
      <c r="R550" s="2" t="inlineStr"/>
    </row>
    <row r="551" ht="15" customHeight="1">
      <c r="A551" t="inlineStr">
        <is>
          <t>A 33800-2023</t>
        </is>
      </c>
      <c r="B551" s="1" t="n">
        <v>45121</v>
      </c>
      <c r="C551" s="1" t="n">
        <v>46087</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47991-2023</t>
        </is>
      </c>
      <c r="B552" s="1" t="n">
        <v>45204.62655092592</v>
      </c>
      <c r="C552" s="1" t="n">
        <v>46087</v>
      </c>
      <c r="D552" t="inlineStr">
        <is>
          <t>ÖSTERGÖTLANDS LÄN</t>
        </is>
      </c>
      <c r="E552" t="inlineStr">
        <is>
          <t>LINKÖPING</t>
        </is>
      </c>
      <c r="F552" t="inlineStr">
        <is>
          <t>Allmännings- och besparingsskogar</t>
        </is>
      </c>
      <c r="G552" t="n">
        <v>7.3</v>
      </c>
      <c r="H552" t="n">
        <v>0</v>
      </c>
      <c r="I552" t="n">
        <v>0</v>
      </c>
      <c r="J552" t="n">
        <v>0</v>
      </c>
      <c r="K552" t="n">
        <v>0</v>
      </c>
      <c r="L552" t="n">
        <v>0</v>
      </c>
      <c r="M552" t="n">
        <v>0</v>
      </c>
      <c r="N552" t="n">
        <v>0</v>
      </c>
      <c r="O552" t="n">
        <v>0</v>
      </c>
      <c r="P552" t="n">
        <v>0</v>
      </c>
      <c r="Q552" t="n">
        <v>0</v>
      </c>
      <c r="R552" s="2" t="inlineStr"/>
    </row>
    <row r="553" ht="15" customHeight="1">
      <c r="A553" t="inlineStr">
        <is>
          <t>A 63845-2021</t>
        </is>
      </c>
      <c r="B553" s="1" t="n">
        <v>44509</v>
      </c>
      <c r="C553" s="1" t="n">
        <v>46087</v>
      </c>
      <c r="D553" t="inlineStr">
        <is>
          <t>ÖSTERGÖTLANDS LÄN</t>
        </is>
      </c>
      <c r="E553" t="inlineStr">
        <is>
          <t>LINKÖPING</t>
        </is>
      </c>
      <c r="G553" t="n">
        <v>5</v>
      </c>
      <c r="H553" t="n">
        <v>0</v>
      </c>
      <c r="I553" t="n">
        <v>0</v>
      </c>
      <c r="J553" t="n">
        <v>0</v>
      </c>
      <c r="K553" t="n">
        <v>0</v>
      </c>
      <c r="L553" t="n">
        <v>0</v>
      </c>
      <c r="M553" t="n">
        <v>0</v>
      </c>
      <c r="N553" t="n">
        <v>0</v>
      </c>
      <c r="O553" t="n">
        <v>0</v>
      </c>
      <c r="P553" t="n">
        <v>0</v>
      </c>
      <c r="Q553" t="n">
        <v>0</v>
      </c>
      <c r="R553" s="2" t="inlineStr"/>
    </row>
    <row r="554" ht="15" customHeight="1">
      <c r="A554" t="inlineStr">
        <is>
          <t>A 35178-2025</t>
        </is>
      </c>
      <c r="B554" s="1" t="n">
        <v>45852.91939814815</v>
      </c>
      <c r="C554" s="1" t="n">
        <v>46087</v>
      </c>
      <c r="D554" t="inlineStr">
        <is>
          <t>ÖSTERGÖTLANDS LÄN</t>
        </is>
      </c>
      <c r="E554" t="inlineStr">
        <is>
          <t>LINKÖPING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35174-2025</t>
        </is>
      </c>
      <c r="B555" s="1" t="n">
        <v>45852.90648148148</v>
      </c>
      <c r="C555" s="1" t="n">
        <v>46087</v>
      </c>
      <c r="D555" t="inlineStr">
        <is>
          <t>ÖSTERGÖTLANDS LÄN</t>
        </is>
      </c>
      <c r="E555" t="inlineStr">
        <is>
          <t>LINKÖPING</t>
        </is>
      </c>
      <c r="G555" t="n">
        <v>1.3</v>
      </c>
      <c r="H555" t="n">
        <v>0</v>
      </c>
      <c r="I555" t="n">
        <v>0</v>
      </c>
      <c r="J555" t="n">
        <v>0</v>
      </c>
      <c r="K555" t="n">
        <v>0</v>
      </c>
      <c r="L555" t="n">
        <v>0</v>
      </c>
      <c r="M555" t="n">
        <v>0</v>
      </c>
      <c r="N555" t="n">
        <v>0</v>
      </c>
      <c r="O555" t="n">
        <v>0</v>
      </c>
      <c r="P555" t="n">
        <v>0</v>
      </c>
      <c r="Q555" t="n">
        <v>0</v>
      </c>
      <c r="R555" s="2" t="inlineStr"/>
    </row>
    <row r="556" ht="15" customHeight="1">
      <c r="A556" t="inlineStr">
        <is>
          <t>A 17785-2023</t>
        </is>
      </c>
      <c r="B556" s="1" t="n">
        <v>45037.55094907407</v>
      </c>
      <c r="C556" s="1" t="n">
        <v>46087</v>
      </c>
      <c r="D556" t="inlineStr">
        <is>
          <t>ÖSTERGÖTLANDS LÄN</t>
        </is>
      </c>
      <c r="E556" t="inlineStr">
        <is>
          <t>LINKÖPING</t>
        </is>
      </c>
      <c r="F556" t="inlineStr">
        <is>
          <t>Allmännings- och besparingsskogar</t>
        </is>
      </c>
      <c r="G556" t="n">
        <v>3.1</v>
      </c>
      <c r="H556" t="n">
        <v>0</v>
      </c>
      <c r="I556" t="n">
        <v>0</v>
      </c>
      <c r="J556" t="n">
        <v>0</v>
      </c>
      <c r="K556" t="n">
        <v>0</v>
      </c>
      <c r="L556" t="n">
        <v>0</v>
      </c>
      <c r="M556" t="n">
        <v>0</v>
      </c>
      <c r="N556" t="n">
        <v>0</v>
      </c>
      <c r="O556" t="n">
        <v>0</v>
      </c>
      <c r="P556" t="n">
        <v>0</v>
      </c>
      <c r="Q556" t="n">
        <v>0</v>
      </c>
      <c r="R556" s="2" t="inlineStr"/>
    </row>
    <row r="557" ht="15" customHeight="1">
      <c r="A557" t="inlineStr">
        <is>
          <t>A 32346-2023</t>
        </is>
      </c>
      <c r="B557" s="1" t="n">
        <v>45120</v>
      </c>
      <c r="C557" s="1" t="n">
        <v>46087</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26007-2025</t>
        </is>
      </c>
      <c r="B558" s="1" t="n">
        <v>45804.67081018518</v>
      </c>
      <c r="C558" s="1" t="n">
        <v>46087</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35179-2025</t>
        </is>
      </c>
      <c r="B559" s="1" t="n">
        <v>45852.93737268518</v>
      </c>
      <c r="C559" s="1" t="n">
        <v>46087</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35180-2025</t>
        </is>
      </c>
      <c r="B560" s="1" t="n">
        <v>45852.9413425926</v>
      </c>
      <c r="C560" s="1" t="n">
        <v>46087</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1627-2023</t>
        </is>
      </c>
      <c r="B561" s="1" t="n">
        <v>44937</v>
      </c>
      <c r="C561" s="1" t="n">
        <v>46087</v>
      </c>
      <c r="D561" t="inlineStr">
        <is>
          <t>ÖSTERGÖTLANDS LÄN</t>
        </is>
      </c>
      <c r="E561" t="inlineStr">
        <is>
          <t>LINKÖPING</t>
        </is>
      </c>
      <c r="G561" t="n">
        <v>10.8</v>
      </c>
      <c r="H561" t="n">
        <v>0</v>
      </c>
      <c r="I561" t="n">
        <v>0</v>
      </c>
      <c r="J561" t="n">
        <v>0</v>
      </c>
      <c r="K561" t="n">
        <v>0</v>
      </c>
      <c r="L561" t="n">
        <v>0</v>
      </c>
      <c r="M561" t="n">
        <v>0</v>
      </c>
      <c r="N561" t="n">
        <v>0</v>
      </c>
      <c r="O561" t="n">
        <v>0</v>
      </c>
      <c r="P561" t="n">
        <v>0</v>
      </c>
      <c r="Q561" t="n">
        <v>0</v>
      </c>
      <c r="R561" s="2" t="inlineStr"/>
    </row>
    <row r="562" ht="15" customHeight="1">
      <c r="A562" t="inlineStr">
        <is>
          <t>A 35747-2025</t>
        </is>
      </c>
      <c r="B562" s="1" t="n">
        <v>45860.56385416666</v>
      </c>
      <c r="C562" s="1" t="n">
        <v>46087</v>
      </c>
      <c r="D562" t="inlineStr">
        <is>
          <t>ÖSTERGÖTLANDS LÄN</t>
        </is>
      </c>
      <c r="E562" t="inlineStr">
        <is>
          <t>LINKÖPING</t>
        </is>
      </c>
      <c r="G562" t="n">
        <v>2.4</v>
      </c>
      <c r="H562" t="n">
        <v>0</v>
      </c>
      <c r="I562" t="n">
        <v>0</v>
      </c>
      <c r="J562" t="n">
        <v>0</v>
      </c>
      <c r="K562" t="n">
        <v>0</v>
      </c>
      <c r="L562" t="n">
        <v>0</v>
      </c>
      <c r="M562" t="n">
        <v>0</v>
      </c>
      <c r="N562" t="n">
        <v>0</v>
      </c>
      <c r="O562" t="n">
        <v>0</v>
      </c>
      <c r="P562" t="n">
        <v>0</v>
      </c>
      <c r="Q562" t="n">
        <v>0</v>
      </c>
      <c r="R562" s="2" t="inlineStr"/>
    </row>
    <row r="563" ht="15" customHeight="1">
      <c r="A563" t="inlineStr">
        <is>
          <t>A 16665-2023</t>
        </is>
      </c>
      <c r="B563" s="1" t="n">
        <v>45030.5583912037</v>
      </c>
      <c r="C563" s="1" t="n">
        <v>46087</v>
      </c>
      <c r="D563" t="inlineStr">
        <is>
          <t>ÖSTERGÖTLANDS LÄN</t>
        </is>
      </c>
      <c r="E563" t="inlineStr">
        <is>
          <t>LINKÖPING</t>
        </is>
      </c>
      <c r="G563" t="n">
        <v>1.2</v>
      </c>
      <c r="H563" t="n">
        <v>0</v>
      </c>
      <c r="I563" t="n">
        <v>0</v>
      </c>
      <c r="J563" t="n">
        <v>0</v>
      </c>
      <c r="K563" t="n">
        <v>0</v>
      </c>
      <c r="L563" t="n">
        <v>0</v>
      </c>
      <c r="M563" t="n">
        <v>0</v>
      </c>
      <c r="N563" t="n">
        <v>0</v>
      </c>
      <c r="O563" t="n">
        <v>0</v>
      </c>
      <c r="P563" t="n">
        <v>0</v>
      </c>
      <c r="Q563" t="n">
        <v>0</v>
      </c>
      <c r="R563" s="2" t="inlineStr"/>
    </row>
    <row r="564" ht="15" customHeight="1">
      <c r="A564" t="inlineStr">
        <is>
          <t>A 60860-2024</t>
        </is>
      </c>
      <c r="B564" s="1" t="n">
        <v>45644.6893287037</v>
      </c>
      <c r="C564" s="1" t="n">
        <v>46087</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35745-2025</t>
        </is>
      </c>
      <c r="B565" s="1" t="n">
        <v>45860.54739583333</v>
      </c>
      <c r="C565" s="1" t="n">
        <v>46087</v>
      </c>
      <c r="D565" t="inlineStr">
        <is>
          <t>ÖSTERGÖTLANDS LÄN</t>
        </is>
      </c>
      <c r="E565" t="inlineStr">
        <is>
          <t>LINKÖPING</t>
        </is>
      </c>
      <c r="G565" t="n">
        <v>4.4</v>
      </c>
      <c r="H565" t="n">
        <v>0</v>
      </c>
      <c r="I565" t="n">
        <v>0</v>
      </c>
      <c r="J565" t="n">
        <v>0</v>
      </c>
      <c r="K565" t="n">
        <v>0</v>
      </c>
      <c r="L565" t="n">
        <v>0</v>
      </c>
      <c r="M565" t="n">
        <v>0</v>
      </c>
      <c r="N565" t="n">
        <v>0</v>
      </c>
      <c r="O565" t="n">
        <v>0</v>
      </c>
      <c r="P565" t="n">
        <v>0</v>
      </c>
      <c r="Q565" t="n">
        <v>0</v>
      </c>
      <c r="R565" s="2" t="inlineStr"/>
    </row>
    <row r="566" ht="15" customHeight="1">
      <c r="A566" t="inlineStr">
        <is>
          <t>A 31640-2023</t>
        </is>
      </c>
      <c r="B566" s="1" t="n">
        <v>45117</v>
      </c>
      <c r="C566" s="1" t="n">
        <v>46087</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35757-2025</t>
        </is>
      </c>
      <c r="B567" s="1" t="n">
        <v>45860.59876157407</v>
      </c>
      <c r="C567" s="1" t="n">
        <v>46087</v>
      </c>
      <c r="D567" t="inlineStr">
        <is>
          <t>ÖSTERGÖTLANDS LÄN</t>
        </is>
      </c>
      <c r="E567" t="inlineStr">
        <is>
          <t>LINKÖPING</t>
        </is>
      </c>
      <c r="G567" t="n">
        <v>5.7</v>
      </c>
      <c r="H567" t="n">
        <v>0</v>
      </c>
      <c r="I567" t="n">
        <v>0</v>
      </c>
      <c r="J567" t="n">
        <v>0</v>
      </c>
      <c r="K567" t="n">
        <v>0</v>
      </c>
      <c r="L567" t="n">
        <v>0</v>
      </c>
      <c r="M567" t="n">
        <v>0</v>
      </c>
      <c r="N567" t="n">
        <v>0</v>
      </c>
      <c r="O567" t="n">
        <v>0</v>
      </c>
      <c r="P567" t="n">
        <v>0</v>
      </c>
      <c r="Q567" t="n">
        <v>0</v>
      </c>
      <c r="R567" s="2" t="inlineStr"/>
    </row>
    <row r="568" ht="15" customHeight="1">
      <c r="A568" t="inlineStr">
        <is>
          <t>A 16213-2025</t>
        </is>
      </c>
      <c r="B568" s="1" t="n">
        <v>45750.62740740741</v>
      </c>
      <c r="C568" s="1" t="n">
        <v>46087</v>
      </c>
      <c r="D568" t="inlineStr">
        <is>
          <t>ÖSTERGÖTLANDS LÄN</t>
        </is>
      </c>
      <c r="E568" t="inlineStr">
        <is>
          <t>LINKÖPING</t>
        </is>
      </c>
      <c r="G568" t="n">
        <v>3.4</v>
      </c>
      <c r="H568" t="n">
        <v>0</v>
      </c>
      <c r="I568" t="n">
        <v>0</v>
      </c>
      <c r="J568" t="n">
        <v>0</v>
      </c>
      <c r="K568" t="n">
        <v>0</v>
      </c>
      <c r="L568" t="n">
        <v>0</v>
      </c>
      <c r="M568" t="n">
        <v>0</v>
      </c>
      <c r="N568" t="n">
        <v>0</v>
      </c>
      <c r="O568" t="n">
        <v>0</v>
      </c>
      <c r="P568" t="n">
        <v>0</v>
      </c>
      <c r="Q568" t="n">
        <v>0</v>
      </c>
      <c r="R568" s="2" t="inlineStr"/>
    </row>
    <row r="569" ht="15" customHeight="1">
      <c r="A569" t="inlineStr">
        <is>
          <t>A 35759-2025</t>
        </is>
      </c>
      <c r="B569" s="1" t="n">
        <v>45860</v>
      </c>
      <c r="C569" s="1" t="n">
        <v>46087</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34872-2023</t>
        </is>
      </c>
      <c r="B570" s="1" t="n">
        <v>45140</v>
      </c>
      <c r="C570" s="1" t="n">
        <v>46087</v>
      </c>
      <c r="D570" t="inlineStr">
        <is>
          <t>ÖSTERGÖTLANDS LÄN</t>
        </is>
      </c>
      <c r="E570" t="inlineStr">
        <is>
          <t>LINKÖPING</t>
        </is>
      </c>
      <c r="G570" t="n">
        <v>4.8</v>
      </c>
      <c r="H570" t="n">
        <v>0</v>
      </c>
      <c r="I570" t="n">
        <v>0</v>
      </c>
      <c r="J570" t="n">
        <v>0</v>
      </c>
      <c r="K570" t="n">
        <v>0</v>
      </c>
      <c r="L570" t="n">
        <v>0</v>
      </c>
      <c r="M570" t="n">
        <v>0</v>
      </c>
      <c r="N570" t="n">
        <v>0</v>
      </c>
      <c r="O570" t="n">
        <v>0</v>
      </c>
      <c r="P570" t="n">
        <v>0</v>
      </c>
      <c r="Q570" t="n">
        <v>0</v>
      </c>
      <c r="R570" s="2" t="inlineStr"/>
    </row>
    <row r="571" ht="15" customHeight="1">
      <c r="A571" t="inlineStr">
        <is>
          <t>A 33000-2023</t>
        </is>
      </c>
      <c r="B571" s="1" t="n">
        <v>45125</v>
      </c>
      <c r="C571" s="1" t="n">
        <v>46087</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2997-2025</t>
        </is>
      </c>
      <c r="B572" s="1" t="n">
        <v>45678.54631944445</v>
      </c>
      <c r="C572" s="1" t="n">
        <v>46087</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31534-2023</t>
        </is>
      </c>
      <c r="B573" s="1" t="n">
        <v>45116</v>
      </c>
      <c r="C573" s="1" t="n">
        <v>46087</v>
      </c>
      <c r="D573" t="inlineStr">
        <is>
          <t>ÖSTERGÖTLANDS LÄN</t>
        </is>
      </c>
      <c r="E573" t="inlineStr">
        <is>
          <t>LINKÖPING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26803-2024</t>
        </is>
      </c>
      <c r="B574" s="1" t="n">
        <v>45470</v>
      </c>
      <c r="C574" s="1" t="n">
        <v>46087</v>
      </c>
      <c r="D574" t="inlineStr">
        <is>
          <t>ÖSTERGÖTLANDS LÄN</t>
        </is>
      </c>
      <c r="E574" t="inlineStr">
        <is>
          <t>LINKÖPING</t>
        </is>
      </c>
      <c r="F574" t="inlineStr">
        <is>
          <t>Allmännings- och besparingsskogar</t>
        </is>
      </c>
      <c r="G574" t="n">
        <v>4.5</v>
      </c>
      <c r="H574" t="n">
        <v>0</v>
      </c>
      <c r="I574" t="n">
        <v>0</v>
      </c>
      <c r="J574" t="n">
        <v>0</v>
      </c>
      <c r="K574" t="n">
        <v>0</v>
      </c>
      <c r="L574" t="n">
        <v>0</v>
      </c>
      <c r="M574" t="n">
        <v>0</v>
      </c>
      <c r="N574" t="n">
        <v>0</v>
      </c>
      <c r="O574" t="n">
        <v>0</v>
      </c>
      <c r="P574" t="n">
        <v>0</v>
      </c>
      <c r="Q574" t="n">
        <v>0</v>
      </c>
      <c r="R574" s="2" t="inlineStr"/>
    </row>
    <row r="575" ht="15" customHeight="1">
      <c r="A575" t="inlineStr">
        <is>
          <t>A 45806-2024</t>
        </is>
      </c>
      <c r="B575" s="1" t="n">
        <v>45579.69619212963</v>
      </c>
      <c r="C575" s="1" t="n">
        <v>46087</v>
      </c>
      <c r="D575" t="inlineStr">
        <is>
          <t>ÖSTERGÖTLANDS LÄN</t>
        </is>
      </c>
      <c r="E575" t="inlineStr">
        <is>
          <t>LINKÖPING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37154-2023</t>
        </is>
      </c>
      <c r="B576" s="1" t="n">
        <v>45155</v>
      </c>
      <c r="C576" s="1" t="n">
        <v>46087</v>
      </c>
      <c r="D576" t="inlineStr">
        <is>
          <t>ÖSTERGÖTLANDS LÄN</t>
        </is>
      </c>
      <c r="E576" t="inlineStr">
        <is>
          <t>LINKÖPING</t>
        </is>
      </c>
      <c r="G576" t="n">
        <v>1.7</v>
      </c>
      <c r="H576" t="n">
        <v>0</v>
      </c>
      <c r="I576" t="n">
        <v>0</v>
      </c>
      <c r="J576" t="n">
        <v>0</v>
      </c>
      <c r="K576" t="n">
        <v>0</v>
      </c>
      <c r="L576" t="n">
        <v>0</v>
      </c>
      <c r="M576" t="n">
        <v>0</v>
      </c>
      <c r="N576" t="n">
        <v>0</v>
      </c>
      <c r="O576" t="n">
        <v>0</v>
      </c>
      <c r="P576" t="n">
        <v>0</v>
      </c>
      <c r="Q576" t="n">
        <v>0</v>
      </c>
      <c r="R576" s="2" t="inlineStr"/>
    </row>
    <row r="577" ht="15" customHeight="1">
      <c r="A577" t="inlineStr">
        <is>
          <t>A 11330-2023</t>
        </is>
      </c>
      <c r="B577" s="1" t="n">
        <v>44993.24648148148</v>
      </c>
      <c r="C577" s="1" t="n">
        <v>46087</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42000-2023</t>
        </is>
      </c>
      <c r="B578" s="1" t="n">
        <v>45177</v>
      </c>
      <c r="C578" s="1" t="n">
        <v>46087</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32602-2022</t>
        </is>
      </c>
      <c r="B579" s="1" t="n">
        <v>44783.43192129629</v>
      </c>
      <c r="C579" s="1" t="n">
        <v>46087</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37057-2025</t>
        </is>
      </c>
      <c r="B580" s="1" t="n">
        <v>45875.37489583333</v>
      </c>
      <c r="C580" s="1" t="n">
        <v>46087</v>
      </c>
      <c r="D580" t="inlineStr">
        <is>
          <t>ÖSTERGÖTLANDS LÄN</t>
        </is>
      </c>
      <c r="E580" t="inlineStr">
        <is>
          <t>LINKÖPING</t>
        </is>
      </c>
      <c r="G580" t="n">
        <v>3.3</v>
      </c>
      <c r="H580" t="n">
        <v>0</v>
      </c>
      <c r="I580" t="n">
        <v>0</v>
      </c>
      <c r="J580" t="n">
        <v>0</v>
      </c>
      <c r="K580" t="n">
        <v>0</v>
      </c>
      <c r="L580" t="n">
        <v>0</v>
      </c>
      <c r="M580" t="n">
        <v>0</v>
      </c>
      <c r="N580" t="n">
        <v>0</v>
      </c>
      <c r="O580" t="n">
        <v>0</v>
      </c>
      <c r="P580" t="n">
        <v>0</v>
      </c>
      <c r="Q580" t="n">
        <v>0</v>
      </c>
      <c r="R580" s="2" t="inlineStr"/>
    </row>
    <row r="581" ht="15" customHeight="1">
      <c r="A581" t="inlineStr">
        <is>
          <t>A 13413-2023</t>
        </is>
      </c>
      <c r="B581" s="1" t="n">
        <v>45005.58341435185</v>
      </c>
      <c r="C581" s="1" t="n">
        <v>46087</v>
      </c>
      <c r="D581" t="inlineStr">
        <is>
          <t>ÖSTERGÖTLANDS LÄN</t>
        </is>
      </c>
      <c r="E581" t="inlineStr">
        <is>
          <t>LINKÖPING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63528-2023</t>
        </is>
      </c>
      <c r="B582" s="1" t="n">
        <v>45274.94810185185</v>
      </c>
      <c r="C582" s="1" t="n">
        <v>46087</v>
      </c>
      <c r="D582" t="inlineStr">
        <is>
          <t>ÖSTERGÖTLANDS LÄN</t>
        </is>
      </c>
      <c r="E582" t="inlineStr">
        <is>
          <t>LINKÖPING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63638-2023</t>
        </is>
      </c>
      <c r="B583" s="1" t="n">
        <v>45275</v>
      </c>
      <c r="C583" s="1" t="n">
        <v>46087</v>
      </c>
      <c r="D583" t="inlineStr">
        <is>
          <t>ÖSTERGÖTLANDS LÄN</t>
        </is>
      </c>
      <c r="E583" t="inlineStr">
        <is>
          <t>LINKÖPING</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63658-2023</t>
        </is>
      </c>
      <c r="B584" s="1" t="n">
        <v>45275</v>
      </c>
      <c r="C584" s="1" t="n">
        <v>46087</v>
      </c>
      <c r="D584" t="inlineStr">
        <is>
          <t>ÖSTERGÖTLANDS LÄN</t>
        </is>
      </c>
      <c r="E584" t="inlineStr">
        <is>
          <t>LINKÖPING</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7808-2022</t>
        </is>
      </c>
      <c r="B585" s="1" t="n">
        <v>44608</v>
      </c>
      <c r="C585" s="1" t="n">
        <v>46087</v>
      </c>
      <c r="D585" t="inlineStr">
        <is>
          <t>ÖSTERGÖTLANDS LÄN</t>
        </is>
      </c>
      <c r="E585" t="inlineStr">
        <is>
          <t>LINKÖPING</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36336-2023</t>
        </is>
      </c>
      <c r="B586" s="1" t="n">
        <v>45152.45078703704</v>
      </c>
      <c r="C586" s="1" t="n">
        <v>46087</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56623-2024</t>
        </is>
      </c>
      <c r="B587" s="1" t="n">
        <v>45625</v>
      </c>
      <c r="C587" s="1" t="n">
        <v>46087</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25829-2025</t>
        </is>
      </c>
      <c r="B588" s="1" t="n">
        <v>45804.44505787037</v>
      </c>
      <c r="C588" s="1" t="n">
        <v>46087</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13011-2022</t>
        </is>
      </c>
      <c r="B589" s="1" t="n">
        <v>44643</v>
      </c>
      <c r="C589" s="1" t="n">
        <v>46087</v>
      </c>
      <c r="D589" t="inlineStr">
        <is>
          <t>ÖSTERGÖTLANDS LÄN</t>
        </is>
      </c>
      <c r="E589" t="inlineStr">
        <is>
          <t>LINKÖPING</t>
        </is>
      </c>
      <c r="G589" t="n">
        <v>3.7</v>
      </c>
      <c r="H589" t="n">
        <v>0</v>
      </c>
      <c r="I589" t="n">
        <v>0</v>
      </c>
      <c r="J589" t="n">
        <v>0</v>
      </c>
      <c r="K589" t="n">
        <v>0</v>
      </c>
      <c r="L589" t="n">
        <v>0</v>
      </c>
      <c r="M589" t="n">
        <v>0</v>
      </c>
      <c r="N589" t="n">
        <v>0</v>
      </c>
      <c r="O589" t="n">
        <v>0</v>
      </c>
      <c r="P589" t="n">
        <v>0</v>
      </c>
      <c r="Q589" t="n">
        <v>0</v>
      </c>
      <c r="R589" s="2" t="inlineStr"/>
    </row>
    <row r="590" ht="15" customHeight="1">
      <c r="A590" t="inlineStr">
        <is>
          <t>A 11595-2025</t>
        </is>
      </c>
      <c r="B590" s="1" t="n">
        <v>45727.41893518518</v>
      </c>
      <c r="C590" s="1" t="n">
        <v>46087</v>
      </c>
      <c r="D590" t="inlineStr">
        <is>
          <t>ÖSTERGÖTLANDS LÄN</t>
        </is>
      </c>
      <c r="E590" t="inlineStr">
        <is>
          <t>LINKÖPING</t>
        </is>
      </c>
      <c r="G590" t="n">
        <v>6.6</v>
      </c>
      <c r="H590" t="n">
        <v>0</v>
      </c>
      <c r="I590" t="n">
        <v>0</v>
      </c>
      <c r="J590" t="n">
        <v>0</v>
      </c>
      <c r="K590" t="n">
        <v>0</v>
      </c>
      <c r="L590" t="n">
        <v>0</v>
      </c>
      <c r="M590" t="n">
        <v>0</v>
      </c>
      <c r="N590" t="n">
        <v>0</v>
      </c>
      <c r="O590" t="n">
        <v>0</v>
      </c>
      <c r="P590" t="n">
        <v>0</v>
      </c>
      <c r="Q590" t="n">
        <v>0</v>
      </c>
      <c r="R590" s="2" t="inlineStr"/>
    </row>
    <row r="591" ht="15" customHeight="1">
      <c r="A591" t="inlineStr">
        <is>
          <t>A 50508-2024</t>
        </is>
      </c>
      <c r="B591" s="1" t="n">
        <v>45601.53907407408</v>
      </c>
      <c r="C591" s="1" t="n">
        <v>46087</v>
      </c>
      <c r="D591" t="inlineStr">
        <is>
          <t>ÖSTERGÖTLANDS LÄN</t>
        </is>
      </c>
      <c r="E591" t="inlineStr">
        <is>
          <t>LINKÖPING</t>
        </is>
      </c>
      <c r="F591" t="inlineStr">
        <is>
          <t>Övriga Aktiebolag</t>
        </is>
      </c>
      <c r="G591" t="n">
        <v>2</v>
      </c>
      <c r="H591" t="n">
        <v>0</v>
      </c>
      <c r="I591" t="n">
        <v>0</v>
      </c>
      <c r="J591" t="n">
        <v>0</v>
      </c>
      <c r="K591" t="n">
        <v>0</v>
      </c>
      <c r="L591" t="n">
        <v>0</v>
      </c>
      <c r="M591" t="n">
        <v>0</v>
      </c>
      <c r="N591" t="n">
        <v>0</v>
      </c>
      <c r="O591" t="n">
        <v>0</v>
      </c>
      <c r="P591" t="n">
        <v>0</v>
      </c>
      <c r="Q591" t="n">
        <v>0</v>
      </c>
      <c r="R591" s="2" t="inlineStr"/>
    </row>
    <row r="592" ht="15" customHeight="1">
      <c r="A592" t="inlineStr">
        <is>
          <t>A 36336-2022</t>
        </is>
      </c>
      <c r="B592" s="1" t="n">
        <v>44803</v>
      </c>
      <c r="C592" s="1" t="n">
        <v>46087</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38046-2025</t>
        </is>
      </c>
      <c r="B593" s="1" t="n">
        <v>45882.39939814815</v>
      </c>
      <c r="C593" s="1" t="n">
        <v>46087</v>
      </c>
      <c r="D593" t="inlineStr">
        <is>
          <t>ÖSTERGÖTLANDS LÄN</t>
        </is>
      </c>
      <c r="E593" t="inlineStr">
        <is>
          <t>LINKÖPING</t>
        </is>
      </c>
      <c r="G593" t="n">
        <v>1.3</v>
      </c>
      <c r="H593" t="n">
        <v>0</v>
      </c>
      <c r="I593" t="n">
        <v>0</v>
      </c>
      <c r="J593" t="n">
        <v>0</v>
      </c>
      <c r="K593" t="n">
        <v>0</v>
      </c>
      <c r="L593" t="n">
        <v>0</v>
      </c>
      <c r="M593" t="n">
        <v>0</v>
      </c>
      <c r="N593" t="n">
        <v>0</v>
      </c>
      <c r="O593" t="n">
        <v>0</v>
      </c>
      <c r="P593" t="n">
        <v>0</v>
      </c>
      <c r="Q593" t="n">
        <v>0</v>
      </c>
      <c r="R593" s="2" t="inlineStr"/>
    </row>
    <row r="594" ht="15" customHeight="1">
      <c r="A594" t="inlineStr">
        <is>
          <t>A 48839-2022</t>
        </is>
      </c>
      <c r="B594" s="1" t="n">
        <v>44859</v>
      </c>
      <c r="C594" s="1" t="n">
        <v>46087</v>
      </c>
      <c r="D594" t="inlineStr">
        <is>
          <t>ÖSTERGÖTLANDS LÄN</t>
        </is>
      </c>
      <c r="E594" t="inlineStr">
        <is>
          <t>LINKÖPING</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6387-2022</t>
        </is>
      </c>
      <c r="B595" s="1" t="n">
        <v>44600</v>
      </c>
      <c r="C595" s="1" t="n">
        <v>46087</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34641-2022</t>
        </is>
      </c>
      <c r="B596" s="1" t="n">
        <v>44795</v>
      </c>
      <c r="C596" s="1" t="n">
        <v>46087</v>
      </c>
      <c r="D596" t="inlineStr">
        <is>
          <t>ÖSTERGÖTLANDS LÄN</t>
        </is>
      </c>
      <c r="E596" t="inlineStr">
        <is>
          <t>LINKÖPING</t>
        </is>
      </c>
      <c r="G596" t="n">
        <v>2.4</v>
      </c>
      <c r="H596" t="n">
        <v>0</v>
      </c>
      <c r="I596" t="n">
        <v>0</v>
      </c>
      <c r="J596" t="n">
        <v>0</v>
      </c>
      <c r="K596" t="n">
        <v>0</v>
      </c>
      <c r="L596" t="n">
        <v>0</v>
      </c>
      <c r="M596" t="n">
        <v>0</v>
      </c>
      <c r="N596" t="n">
        <v>0</v>
      </c>
      <c r="O596" t="n">
        <v>0</v>
      </c>
      <c r="P596" t="n">
        <v>0</v>
      </c>
      <c r="Q596" t="n">
        <v>0</v>
      </c>
      <c r="R596" s="2" t="inlineStr"/>
    </row>
    <row r="597" ht="15" customHeight="1">
      <c r="A597" t="inlineStr">
        <is>
          <t>A 13687-2025</t>
        </is>
      </c>
      <c r="B597" s="1" t="n">
        <v>45737.31425925926</v>
      </c>
      <c r="C597" s="1" t="n">
        <v>46087</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13695-2025</t>
        </is>
      </c>
      <c r="B598" s="1" t="n">
        <v>45737.32219907407</v>
      </c>
      <c r="C598" s="1" t="n">
        <v>46087</v>
      </c>
      <c r="D598" t="inlineStr">
        <is>
          <t>ÖSTERGÖTLANDS LÄN</t>
        </is>
      </c>
      <c r="E598" t="inlineStr">
        <is>
          <t>LINKÖPING</t>
        </is>
      </c>
      <c r="G598" t="n">
        <v>5.3</v>
      </c>
      <c r="H598" t="n">
        <v>0</v>
      </c>
      <c r="I598" t="n">
        <v>0</v>
      </c>
      <c r="J598" t="n">
        <v>0</v>
      </c>
      <c r="K598" t="n">
        <v>0</v>
      </c>
      <c r="L598" t="n">
        <v>0</v>
      </c>
      <c r="M598" t="n">
        <v>0</v>
      </c>
      <c r="N598" t="n">
        <v>0</v>
      </c>
      <c r="O598" t="n">
        <v>0</v>
      </c>
      <c r="P598" t="n">
        <v>0</v>
      </c>
      <c r="Q598" t="n">
        <v>0</v>
      </c>
      <c r="R598" s="2" t="inlineStr"/>
    </row>
    <row r="599" ht="15" customHeight="1">
      <c r="A599" t="inlineStr">
        <is>
          <t>A 52413-2023</t>
        </is>
      </c>
      <c r="B599" s="1" t="n">
        <v>45225.27950231481</v>
      </c>
      <c r="C599" s="1" t="n">
        <v>46087</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42054-2022</t>
        </is>
      </c>
      <c r="B600" s="1" t="n">
        <v>44830</v>
      </c>
      <c r="C600" s="1" t="n">
        <v>46087</v>
      </c>
      <c r="D600" t="inlineStr">
        <is>
          <t>ÖSTERGÖTLANDS LÄN</t>
        </is>
      </c>
      <c r="E600" t="inlineStr">
        <is>
          <t>LINKÖPING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53797-2023</t>
        </is>
      </c>
      <c r="B601" s="1" t="n">
        <v>45230</v>
      </c>
      <c r="C601" s="1" t="n">
        <v>46087</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22833-2023</t>
        </is>
      </c>
      <c r="B602" s="1" t="n">
        <v>45071</v>
      </c>
      <c r="C602" s="1" t="n">
        <v>46087</v>
      </c>
      <c r="D602" t="inlineStr">
        <is>
          <t>ÖSTERGÖTLANDS LÄN</t>
        </is>
      </c>
      <c r="E602" t="inlineStr">
        <is>
          <t>LINKÖPING</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17898-2022</t>
        </is>
      </c>
      <c r="B603" s="1" t="n">
        <v>44683</v>
      </c>
      <c r="C603" s="1" t="n">
        <v>46087</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62017-2024</t>
        </is>
      </c>
      <c r="B604" s="1" t="n">
        <v>45655.81140046296</v>
      </c>
      <c r="C604" s="1" t="n">
        <v>46087</v>
      </c>
      <c r="D604" t="inlineStr">
        <is>
          <t>ÖSTERGÖTLANDS LÄN</t>
        </is>
      </c>
      <c r="E604" t="inlineStr">
        <is>
          <t>LINKÖPING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12411-2022</t>
        </is>
      </c>
      <c r="B605" s="1" t="n">
        <v>44638.21601851852</v>
      </c>
      <c r="C605" s="1" t="n">
        <v>46087</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10492-2022</t>
        </is>
      </c>
      <c r="B606" s="1" t="n">
        <v>44623.6377199074</v>
      </c>
      <c r="C606" s="1" t="n">
        <v>46087</v>
      </c>
      <c r="D606" t="inlineStr">
        <is>
          <t>ÖSTERGÖTLANDS LÄN</t>
        </is>
      </c>
      <c r="E606" t="inlineStr">
        <is>
          <t>LINKÖPING</t>
        </is>
      </c>
      <c r="G606" t="n">
        <v>2.1</v>
      </c>
      <c r="H606" t="n">
        <v>0</v>
      </c>
      <c r="I606" t="n">
        <v>0</v>
      </c>
      <c r="J606" t="n">
        <v>0</v>
      </c>
      <c r="K606" t="n">
        <v>0</v>
      </c>
      <c r="L606" t="n">
        <v>0</v>
      </c>
      <c r="M606" t="n">
        <v>0</v>
      </c>
      <c r="N606" t="n">
        <v>0</v>
      </c>
      <c r="O606" t="n">
        <v>0</v>
      </c>
      <c r="P606" t="n">
        <v>0</v>
      </c>
      <c r="Q606" t="n">
        <v>0</v>
      </c>
      <c r="R606" s="2" t="inlineStr"/>
    </row>
    <row r="607" ht="15" customHeight="1">
      <c r="A607" t="inlineStr">
        <is>
          <t>A 7343-2025</t>
        </is>
      </c>
      <c r="B607" s="1" t="n">
        <v>45703.67853009259</v>
      </c>
      <c r="C607" s="1" t="n">
        <v>46087</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8967-2025</t>
        </is>
      </c>
      <c r="B608" s="1" t="n">
        <v>45712</v>
      </c>
      <c r="C608" s="1" t="n">
        <v>46087</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35427-2023</t>
        </is>
      </c>
      <c r="B609" s="1" t="n">
        <v>45146</v>
      </c>
      <c r="C609" s="1" t="n">
        <v>46087</v>
      </c>
      <c r="D609" t="inlineStr">
        <is>
          <t>ÖSTERGÖTLANDS LÄN</t>
        </is>
      </c>
      <c r="E609" t="inlineStr">
        <is>
          <t>LINKÖPING</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30468-2023</t>
        </is>
      </c>
      <c r="B610" s="1" t="n">
        <v>45111.58732638889</v>
      </c>
      <c r="C610" s="1" t="n">
        <v>46087</v>
      </c>
      <c r="D610" t="inlineStr">
        <is>
          <t>ÖSTERGÖTLANDS LÄN</t>
        </is>
      </c>
      <c r="E610" t="inlineStr">
        <is>
          <t>LINKÖPING</t>
        </is>
      </c>
      <c r="G610" t="n">
        <v>10.1</v>
      </c>
      <c r="H610" t="n">
        <v>0</v>
      </c>
      <c r="I610" t="n">
        <v>0</v>
      </c>
      <c r="J610" t="n">
        <v>0</v>
      </c>
      <c r="K610" t="n">
        <v>0</v>
      </c>
      <c r="L610" t="n">
        <v>0</v>
      </c>
      <c r="M610" t="n">
        <v>0</v>
      </c>
      <c r="N610" t="n">
        <v>0</v>
      </c>
      <c r="O610" t="n">
        <v>0</v>
      </c>
      <c r="P610" t="n">
        <v>0</v>
      </c>
      <c r="Q610" t="n">
        <v>0</v>
      </c>
      <c r="R610" s="2" t="inlineStr"/>
    </row>
    <row r="611" ht="15" customHeight="1">
      <c r="A611" t="inlineStr">
        <is>
          <t>A 20296-2025</t>
        </is>
      </c>
      <c r="B611" s="1" t="n">
        <v>45774.74922453704</v>
      </c>
      <c r="C611" s="1" t="n">
        <v>46087</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56841-2023</t>
        </is>
      </c>
      <c r="B612" s="1" t="n">
        <v>45244</v>
      </c>
      <c r="C612" s="1" t="n">
        <v>46087</v>
      </c>
      <c r="D612" t="inlineStr">
        <is>
          <t>ÖSTERGÖTLANDS LÄN</t>
        </is>
      </c>
      <c r="E612" t="inlineStr">
        <is>
          <t>LINKÖPING</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53812-2023</t>
        </is>
      </c>
      <c r="B613" s="1" t="n">
        <v>45231.39583333334</v>
      </c>
      <c r="C613" s="1" t="n">
        <v>46087</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53830-2023</t>
        </is>
      </c>
      <c r="B614" s="1" t="n">
        <v>45230</v>
      </c>
      <c r="C614" s="1" t="n">
        <v>46087</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38715-2023</t>
        </is>
      </c>
      <c r="B615" s="1" t="n">
        <v>45160</v>
      </c>
      <c r="C615" s="1" t="n">
        <v>46087</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27766-2022</t>
        </is>
      </c>
      <c r="B616" s="1" t="n">
        <v>44743.53112268518</v>
      </c>
      <c r="C616" s="1" t="n">
        <v>46087</v>
      </c>
      <c r="D616" t="inlineStr">
        <is>
          <t>ÖSTERGÖTLANDS LÄN</t>
        </is>
      </c>
      <c r="E616" t="inlineStr">
        <is>
          <t>LINKÖPING</t>
        </is>
      </c>
      <c r="G616" t="n">
        <v>2</v>
      </c>
      <c r="H616" t="n">
        <v>0</v>
      </c>
      <c r="I616" t="n">
        <v>0</v>
      </c>
      <c r="J616" t="n">
        <v>0</v>
      </c>
      <c r="K616" t="n">
        <v>0</v>
      </c>
      <c r="L616" t="n">
        <v>0</v>
      </c>
      <c r="M616" t="n">
        <v>0</v>
      </c>
      <c r="N616" t="n">
        <v>0</v>
      </c>
      <c r="O616" t="n">
        <v>0</v>
      </c>
      <c r="P616" t="n">
        <v>0</v>
      </c>
      <c r="Q616" t="n">
        <v>0</v>
      </c>
      <c r="R616" s="2" t="inlineStr"/>
    </row>
    <row r="617" ht="15" customHeight="1">
      <c r="A617" t="inlineStr">
        <is>
          <t>A 48271-2023</t>
        </is>
      </c>
      <c r="B617" s="1" t="n">
        <v>45205</v>
      </c>
      <c r="C617" s="1" t="n">
        <v>46087</v>
      </c>
      <c r="D617" t="inlineStr">
        <is>
          <t>ÖSTERGÖTLANDS LÄN</t>
        </is>
      </c>
      <c r="E617" t="inlineStr">
        <is>
          <t>LINKÖPING</t>
        </is>
      </c>
      <c r="G617" t="n">
        <v>3</v>
      </c>
      <c r="H617" t="n">
        <v>0</v>
      </c>
      <c r="I617" t="n">
        <v>0</v>
      </c>
      <c r="J617" t="n">
        <v>0</v>
      </c>
      <c r="K617" t="n">
        <v>0</v>
      </c>
      <c r="L617" t="n">
        <v>0</v>
      </c>
      <c r="M617" t="n">
        <v>0</v>
      </c>
      <c r="N617" t="n">
        <v>0</v>
      </c>
      <c r="O617" t="n">
        <v>0</v>
      </c>
      <c r="P617" t="n">
        <v>0</v>
      </c>
      <c r="Q617" t="n">
        <v>0</v>
      </c>
      <c r="R617" s="2" t="inlineStr"/>
    </row>
    <row r="618" ht="15" customHeight="1">
      <c r="A618" t="inlineStr">
        <is>
          <t>A 13266-2025</t>
        </is>
      </c>
      <c r="B618" s="1" t="n">
        <v>45735.53318287037</v>
      </c>
      <c r="C618" s="1" t="n">
        <v>46087</v>
      </c>
      <c r="D618" t="inlineStr">
        <is>
          <t>ÖSTERGÖTLANDS LÄN</t>
        </is>
      </c>
      <c r="E618" t="inlineStr">
        <is>
          <t>LINKÖPING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60001-2022</t>
        </is>
      </c>
      <c r="B619" s="1" t="n">
        <v>44909.47087962963</v>
      </c>
      <c r="C619" s="1" t="n">
        <v>46087</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1657-2024</t>
        </is>
      </c>
      <c r="B620" s="1" t="n">
        <v>45306.82501157407</v>
      </c>
      <c r="C620" s="1" t="n">
        <v>46087</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30976-2022</t>
        </is>
      </c>
      <c r="B621" s="1" t="n">
        <v>44768</v>
      </c>
      <c r="C621" s="1" t="n">
        <v>46087</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30860-2022</t>
        </is>
      </c>
      <c r="B622" s="1" t="n">
        <v>44767</v>
      </c>
      <c r="C622" s="1" t="n">
        <v>46087</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48186-2022</t>
        </is>
      </c>
      <c r="B623" s="1" t="n">
        <v>44858</v>
      </c>
      <c r="C623" s="1" t="n">
        <v>46087</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28266-2024</t>
        </is>
      </c>
      <c r="B624" s="1" t="n">
        <v>45477.43600694444</v>
      </c>
      <c r="C624" s="1" t="n">
        <v>46087</v>
      </c>
      <c r="D624" t="inlineStr">
        <is>
          <t>ÖSTERGÖTLANDS LÄN</t>
        </is>
      </c>
      <c r="E624" t="inlineStr">
        <is>
          <t>LINKÖPING</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31548-2022</t>
        </is>
      </c>
      <c r="B625" s="1" t="n">
        <v>44775.39832175926</v>
      </c>
      <c r="C625" s="1" t="n">
        <v>46087</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1211-2023</t>
        </is>
      </c>
      <c r="B626" s="1" t="n">
        <v>44930</v>
      </c>
      <c r="C626" s="1" t="n">
        <v>46087</v>
      </c>
      <c r="D626" t="inlineStr">
        <is>
          <t>ÖSTERGÖTLANDS LÄN</t>
        </is>
      </c>
      <c r="E626" t="inlineStr">
        <is>
          <t>LINKÖPING</t>
        </is>
      </c>
      <c r="F626" t="inlineStr">
        <is>
          <t>Övriga statliga verk och myndigheter</t>
        </is>
      </c>
      <c r="G626" t="n">
        <v>7.9</v>
      </c>
      <c r="H626" t="n">
        <v>0</v>
      </c>
      <c r="I626" t="n">
        <v>0</v>
      </c>
      <c r="J626" t="n">
        <v>0</v>
      </c>
      <c r="K626" t="n">
        <v>0</v>
      </c>
      <c r="L626" t="n">
        <v>0</v>
      </c>
      <c r="M626" t="n">
        <v>0</v>
      </c>
      <c r="N626" t="n">
        <v>0</v>
      </c>
      <c r="O626" t="n">
        <v>0</v>
      </c>
      <c r="P626" t="n">
        <v>0</v>
      </c>
      <c r="Q626" t="n">
        <v>0</v>
      </c>
      <c r="R626" s="2" t="inlineStr"/>
    </row>
    <row r="627" ht="15" customHeight="1">
      <c r="A627" t="inlineStr">
        <is>
          <t>A 51191-2022</t>
        </is>
      </c>
      <c r="B627" s="1" t="n">
        <v>44865</v>
      </c>
      <c r="C627" s="1" t="n">
        <v>46087</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55632-2022</t>
        </is>
      </c>
      <c r="B628" s="1" t="n">
        <v>44888</v>
      </c>
      <c r="C628" s="1" t="n">
        <v>46087</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63669-2023</t>
        </is>
      </c>
      <c r="B629" s="1" t="n">
        <v>45275</v>
      </c>
      <c r="C629" s="1" t="n">
        <v>46087</v>
      </c>
      <c r="D629" t="inlineStr">
        <is>
          <t>ÖSTERGÖTLANDS LÄN</t>
        </is>
      </c>
      <c r="E629" t="inlineStr">
        <is>
          <t>LINKÖPING</t>
        </is>
      </c>
      <c r="F629" t="inlineStr">
        <is>
          <t>Övriga Aktiebolag</t>
        </is>
      </c>
      <c r="G629" t="n">
        <v>3</v>
      </c>
      <c r="H629" t="n">
        <v>0</v>
      </c>
      <c r="I629" t="n">
        <v>0</v>
      </c>
      <c r="J629" t="n">
        <v>0</v>
      </c>
      <c r="K629" t="n">
        <v>0</v>
      </c>
      <c r="L629" t="n">
        <v>0</v>
      </c>
      <c r="M629" t="n">
        <v>0</v>
      </c>
      <c r="N629" t="n">
        <v>0</v>
      </c>
      <c r="O629" t="n">
        <v>0</v>
      </c>
      <c r="P629" t="n">
        <v>0</v>
      </c>
      <c r="Q629" t="n">
        <v>0</v>
      </c>
      <c r="R629" s="2" t="inlineStr"/>
    </row>
    <row r="630" ht="15" customHeight="1">
      <c r="A630" t="inlineStr">
        <is>
          <t>A 12289-2025</t>
        </is>
      </c>
      <c r="B630" s="1" t="n">
        <v>45729</v>
      </c>
      <c r="C630" s="1" t="n">
        <v>46087</v>
      </c>
      <c r="D630" t="inlineStr">
        <is>
          <t>ÖSTERGÖTLANDS LÄN</t>
        </is>
      </c>
      <c r="E630" t="inlineStr">
        <is>
          <t>LINKÖPING</t>
        </is>
      </c>
      <c r="F630" t="inlineStr">
        <is>
          <t>Övriga statliga verk och myndigheter</t>
        </is>
      </c>
      <c r="G630" t="n">
        <v>6.5</v>
      </c>
      <c r="H630" t="n">
        <v>0</v>
      </c>
      <c r="I630" t="n">
        <v>0</v>
      </c>
      <c r="J630" t="n">
        <v>0</v>
      </c>
      <c r="K630" t="n">
        <v>0</v>
      </c>
      <c r="L630" t="n">
        <v>0</v>
      </c>
      <c r="M630" t="n">
        <v>0</v>
      </c>
      <c r="N630" t="n">
        <v>0</v>
      </c>
      <c r="O630" t="n">
        <v>0</v>
      </c>
      <c r="P630" t="n">
        <v>0</v>
      </c>
      <c r="Q630" t="n">
        <v>0</v>
      </c>
      <c r="R630" s="2" t="inlineStr"/>
    </row>
    <row r="631" ht="15" customHeight="1">
      <c r="A631" t="inlineStr">
        <is>
          <t>A 36657-2023</t>
        </is>
      </c>
      <c r="B631" s="1" t="n">
        <v>45153.5702662037</v>
      </c>
      <c r="C631" s="1" t="n">
        <v>46087</v>
      </c>
      <c r="D631" t="inlineStr">
        <is>
          <t>ÖSTERGÖTLANDS LÄN</t>
        </is>
      </c>
      <c r="E631" t="inlineStr">
        <is>
          <t>LINKÖPING</t>
        </is>
      </c>
      <c r="F631" t="inlineStr">
        <is>
          <t>Allmännings- och besparingsskogar</t>
        </is>
      </c>
      <c r="G631" t="n">
        <v>2</v>
      </c>
      <c r="H631" t="n">
        <v>0</v>
      </c>
      <c r="I631" t="n">
        <v>0</v>
      </c>
      <c r="J631" t="n">
        <v>0</v>
      </c>
      <c r="K631" t="n">
        <v>0</v>
      </c>
      <c r="L631" t="n">
        <v>0</v>
      </c>
      <c r="M631" t="n">
        <v>0</v>
      </c>
      <c r="N631" t="n">
        <v>0</v>
      </c>
      <c r="O631" t="n">
        <v>0</v>
      </c>
      <c r="P631" t="n">
        <v>0</v>
      </c>
      <c r="Q631" t="n">
        <v>0</v>
      </c>
      <c r="R631" s="2" t="inlineStr"/>
    </row>
    <row r="632" ht="15" customHeight="1">
      <c r="A632" t="inlineStr">
        <is>
          <t>A 19169-2023</t>
        </is>
      </c>
      <c r="B632" s="1" t="n">
        <v>45044</v>
      </c>
      <c r="C632" s="1" t="n">
        <v>46087</v>
      </c>
      <c r="D632" t="inlineStr">
        <is>
          <t>ÖSTERGÖTLANDS LÄN</t>
        </is>
      </c>
      <c r="E632" t="inlineStr">
        <is>
          <t>LINKÖPING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1209-2023</t>
        </is>
      </c>
      <c r="B633" s="1" t="n">
        <v>44930</v>
      </c>
      <c r="C633" s="1" t="n">
        <v>46087</v>
      </c>
      <c r="D633" t="inlineStr">
        <is>
          <t>ÖSTERGÖTLANDS LÄN</t>
        </is>
      </c>
      <c r="E633" t="inlineStr">
        <is>
          <t>LINKÖPING</t>
        </is>
      </c>
      <c r="F633" t="inlineStr">
        <is>
          <t>Övriga statliga verk och myndigheter</t>
        </is>
      </c>
      <c r="G633" t="n">
        <v>25.8</v>
      </c>
      <c r="H633" t="n">
        <v>0</v>
      </c>
      <c r="I633" t="n">
        <v>0</v>
      </c>
      <c r="J633" t="n">
        <v>0</v>
      </c>
      <c r="K633" t="n">
        <v>0</v>
      </c>
      <c r="L633" t="n">
        <v>0</v>
      </c>
      <c r="M633" t="n">
        <v>0</v>
      </c>
      <c r="N633" t="n">
        <v>0</v>
      </c>
      <c r="O633" t="n">
        <v>0</v>
      </c>
      <c r="P633" t="n">
        <v>0</v>
      </c>
      <c r="Q633" t="n">
        <v>0</v>
      </c>
      <c r="R633" s="2" t="inlineStr"/>
    </row>
    <row r="634" ht="15" customHeight="1">
      <c r="A634" t="inlineStr">
        <is>
          <t>A 2085-2024</t>
        </is>
      </c>
      <c r="B634" s="1" t="n">
        <v>45309</v>
      </c>
      <c r="C634" s="1" t="n">
        <v>46087</v>
      </c>
      <c r="D634" t="inlineStr">
        <is>
          <t>ÖSTERGÖTLANDS LÄN</t>
        </is>
      </c>
      <c r="E634" t="inlineStr">
        <is>
          <t>LINKÖPING</t>
        </is>
      </c>
      <c r="G634" t="n">
        <v>4.5</v>
      </c>
      <c r="H634" t="n">
        <v>0</v>
      </c>
      <c r="I634" t="n">
        <v>0</v>
      </c>
      <c r="J634" t="n">
        <v>0</v>
      </c>
      <c r="K634" t="n">
        <v>0</v>
      </c>
      <c r="L634" t="n">
        <v>0</v>
      </c>
      <c r="M634" t="n">
        <v>0</v>
      </c>
      <c r="N634" t="n">
        <v>0</v>
      </c>
      <c r="O634" t="n">
        <v>0</v>
      </c>
      <c r="P634" t="n">
        <v>0</v>
      </c>
      <c r="Q634" t="n">
        <v>0</v>
      </c>
      <c r="R634" s="2" t="inlineStr"/>
    </row>
    <row r="635" ht="15" customHeight="1">
      <c r="A635" t="inlineStr">
        <is>
          <t>A 48-2024</t>
        </is>
      </c>
      <c r="B635" s="1" t="n">
        <v>45293</v>
      </c>
      <c r="C635" s="1" t="n">
        <v>46087</v>
      </c>
      <c r="D635" t="inlineStr">
        <is>
          <t>ÖSTERGÖTLANDS LÄN</t>
        </is>
      </c>
      <c r="E635" t="inlineStr">
        <is>
          <t>LINKÖPING</t>
        </is>
      </c>
      <c r="G635" t="n">
        <v>4.6</v>
      </c>
      <c r="H635" t="n">
        <v>0</v>
      </c>
      <c r="I635" t="n">
        <v>0</v>
      </c>
      <c r="J635" t="n">
        <v>0</v>
      </c>
      <c r="K635" t="n">
        <v>0</v>
      </c>
      <c r="L635" t="n">
        <v>0</v>
      </c>
      <c r="M635" t="n">
        <v>0</v>
      </c>
      <c r="N635" t="n">
        <v>0</v>
      </c>
      <c r="O635" t="n">
        <v>0</v>
      </c>
      <c r="P635" t="n">
        <v>0</v>
      </c>
      <c r="Q635" t="n">
        <v>0</v>
      </c>
      <c r="R635" s="2" t="inlineStr"/>
    </row>
    <row r="636" ht="15" customHeight="1">
      <c r="A636" t="inlineStr">
        <is>
          <t>A 56560-2023</t>
        </is>
      </c>
      <c r="B636" s="1" t="n">
        <v>45238</v>
      </c>
      <c r="C636" s="1" t="n">
        <v>46087</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19132-2023</t>
        </is>
      </c>
      <c r="B637" s="1" t="n">
        <v>45048.54754629629</v>
      </c>
      <c r="C637" s="1" t="n">
        <v>46087</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52412-2023</t>
        </is>
      </c>
      <c r="B638" s="1" t="n">
        <v>45225.27888888889</v>
      </c>
      <c r="C638" s="1" t="n">
        <v>46087</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62492-2023</t>
        </is>
      </c>
      <c r="B639" s="1" t="n">
        <v>45268.58987268519</v>
      </c>
      <c r="C639" s="1" t="n">
        <v>46087</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38230-2023</t>
        </is>
      </c>
      <c r="B640" s="1" t="n">
        <v>45161.55373842592</v>
      </c>
      <c r="C640" s="1" t="n">
        <v>46087</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56756-2023</t>
        </is>
      </c>
      <c r="B641" s="1" t="n">
        <v>45244</v>
      </c>
      <c r="C641" s="1" t="n">
        <v>46087</v>
      </c>
      <c r="D641" t="inlineStr">
        <is>
          <t>ÖSTERGÖTLANDS LÄN</t>
        </is>
      </c>
      <c r="E641" t="inlineStr">
        <is>
          <t>LINKÖPING</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46087</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10461-2023</t>
        </is>
      </c>
      <c r="B643" s="1" t="n">
        <v>44987.5969212963</v>
      </c>
      <c r="C643" s="1" t="n">
        <v>46087</v>
      </c>
      <c r="D643" t="inlineStr">
        <is>
          <t>ÖSTERGÖTLANDS LÄN</t>
        </is>
      </c>
      <c r="E643" t="inlineStr">
        <is>
          <t>LINKÖPING</t>
        </is>
      </c>
      <c r="G643" t="n">
        <v>7.8</v>
      </c>
      <c r="H643" t="n">
        <v>0</v>
      </c>
      <c r="I643" t="n">
        <v>0</v>
      </c>
      <c r="J643" t="n">
        <v>0</v>
      </c>
      <c r="K643" t="n">
        <v>0</v>
      </c>
      <c r="L643" t="n">
        <v>0</v>
      </c>
      <c r="M643" t="n">
        <v>0</v>
      </c>
      <c r="N643" t="n">
        <v>0</v>
      </c>
      <c r="O643" t="n">
        <v>0</v>
      </c>
      <c r="P643" t="n">
        <v>0</v>
      </c>
      <c r="Q643" t="n">
        <v>0</v>
      </c>
      <c r="R643" s="2" t="inlineStr"/>
    </row>
    <row r="644" ht="15" customHeight="1">
      <c r="A644" t="inlineStr">
        <is>
          <t>A 41345-2021</t>
        </is>
      </c>
      <c r="B644" s="1" t="n">
        <v>44424.61851851852</v>
      </c>
      <c r="C644" s="1" t="n">
        <v>46087</v>
      </c>
      <c r="D644" t="inlineStr">
        <is>
          <t>ÖSTERGÖTLANDS LÄN</t>
        </is>
      </c>
      <c r="E644" t="inlineStr">
        <is>
          <t>LINKÖPING</t>
        </is>
      </c>
      <c r="F644" t="inlineStr">
        <is>
          <t>Sveaskog</t>
        </is>
      </c>
      <c r="G644" t="n">
        <v>6.3</v>
      </c>
      <c r="H644" t="n">
        <v>0</v>
      </c>
      <c r="I644" t="n">
        <v>0</v>
      </c>
      <c r="J644" t="n">
        <v>0</v>
      </c>
      <c r="K644" t="n">
        <v>0</v>
      </c>
      <c r="L644" t="n">
        <v>0</v>
      </c>
      <c r="M644" t="n">
        <v>0</v>
      </c>
      <c r="N644" t="n">
        <v>0</v>
      </c>
      <c r="O644" t="n">
        <v>0</v>
      </c>
      <c r="P644" t="n">
        <v>0</v>
      </c>
      <c r="Q644" t="n">
        <v>0</v>
      </c>
      <c r="R644" s="2" t="inlineStr"/>
    </row>
    <row r="645" ht="15" customHeight="1">
      <c r="A645" t="inlineStr">
        <is>
          <t>A 61307-2021</t>
        </is>
      </c>
      <c r="B645" s="1" t="n">
        <v>44498.63928240741</v>
      </c>
      <c r="C645" s="1" t="n">
        <v>46087</v>
      </c>
      <c r="D645" t="inlineStr">
        <is>
          <t>ÖSTERGÖTLANDS LÄN</t>
        </is>
      </c>
      <c r="E645" t="inlineStr">
        <is>
          <t>LINKÖPING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61325-2021</t>
        </is>
      </c>
      <c r="B646" s="1" t="n">
        <v>44498.66814814815</v>
      </c>
      <c r="C646" s="1" t="n">
        <v>46087</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60010-2022</t>
        </is>
      </c>
      <c r="B647" s="1" t="n">
        <v>44909.4740625</v>
      </c>
      <c r="C647" s="1" t="n">
        <v>46087</v>
      </c>
      <c r="D647" t="inlineStr">
        <is>
          <t>ÖSTERGÖTLANDS LÄN</t>
        </is>
      </c>
      <c r="E647" t="inlineStr">
        <is>
          <t>LINKÖPING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30518-2024</t>
        </is>
      </c>
      <c r="B648" s="1" t="n">
        <v>45492</v>
      </c>
      <c r="C648" s="1" t="n">
        <v>46087</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4908-2023</t>
        </is>
      </c>
      <c r="B649" s="1" t="n">
        <v>44958</v>
      </c>
      <c r="C649" s="1" t="n">
        <v>46087</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37715-2022</t>
        </is>
      </c>
      <c r="B650" s="1" t="n">
        <v>44810</v>
      </c>
      <c r="C650" s="1" t="n">
        <v>46087</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3011-2023</t>
        </is>
      </c>
      <c r="B651" s="1" t="n">
        <v>44945</v>
      </c>
      <c r="C651" s="1" t="n">
        <v>46087</v>
      </c>
      <c r="D651" t="inlineStr">
        <is>
          <t>ÖSTERGÖTLANDS LÄN</t>
        </is>
      </c>
      <c r="E651" t="inlineStr">
        <is>
          <t>LINKÖPING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45442-2024</t>
        </is>
      </c>
      <c r="B652" s="1" t="n">
        <v>45576.64189814815</v>
      </c>
      <c r="C652" s="1" t="n">
        <v>46087</v>
      </c>
      <c r="D652" t="inlineStr">
        <is>
          <t>ÖSTERGÖTLANDS LÄN</t>
        </is>
      </c>
      <c r="E652" t="inlineStr">
        <is>
          <t>LINKÖPING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3432-2023</t>
        </is>
      </c>
      <c r="B653" s="1" t="n">
        <v>44949</v>
      </c>
      <c r="C653" s="1" t="n">
        <v>46087</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60472-2022</t>
        </is>
      </c>
      <c r="B654" s="1" t="n">
        <v>44911.41037037037</v>
      </c>
      <c r="C654" s="1" t="n">
        <v>46087</v>
      </c>
      <c r="D654" t="inlineStr">
        <is>
          <t>ÖSTERGÖTLANDS LÄN</t>
        </is>
      </c>
      <c r="E654" t="inlineStr">
        <is>
          <t>LINKÖPING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12720-2022</t>
        </is>
      </c>
      <c r="B655" s="1" t="n">
        <v>44641</v>
      </c>
      <c r="C655" s="1" t="n">
        <v>46087</v>
      </c>
      <c r="D655" t="inlineStr">
        <is>
          <t>ÖSTERGÖTLANDS LÄN</t>
        </is>
      </c>
      <c r="E655" t="inlineStr">
        <is>
          <t>LINKÖPING</t>
        </is>
      </c>
      <c r="F655" t="inlineStr">
        <is>
          <t>Övriga Aktiebolag</t>
        </is>
      </c>
      <c r="G655" t="n">
        <v>2</v>
      </c>
      <c r="H655" t="n">
        <v>0</v>
      </c>
      <c r="I655" t="n">
        <v>0</v>
      </c>
      <c r="J655" t="n">
        <v>0</v>
      </c>
      <c r="K655" t="n">
        <v>0</v>
      </c>
      <c r="L655" t="n">
        <v>0</v>
      </c>
      <c r="M655" t="n">
        <v>0</v>
      </c>
      <c r="N655" t="n">
        <v>0</v>
      </c>
      <c r="O655" t="n">
        <v>0</v>
      </c>
      <c r="P655" t="n">
        <v>0</v>
      </c>
      <c r="Q655" t="n">
        <v>0</v>
      </c>
      <c r="R655" s="2" t="inlineStr"/>
    </row>
    <row r="656" ht="15" customHeight="1">
      <c r="A656" t="inlineStr">
        <is>
          <t>A 45831-2024</t>
        </is>
      </c>
      <c r="B656" s="1" t="n">
        <v>45579.90508101852</v>
      </c>
      <c r="C656" s="1" t="n">
        <v>46087</v>
      </c>
      <c r="D656" t="inlineStr">
        <is>
          <t>ÖSTERGÖTLANDS LÄN</t>
        </is>
      </c>
      <c r="E656" t="inlineStr">
        <is>
          <t>LINKÖPING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57396-2021</t>
        </is>
      </c>
      <c r="B657" s="1" t="n">
        <v>44483.56151620371</v>
      </c>
      <c r="C657" s="1" t="n">
        <v>46087</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22842-2023</t>
        </is>
      </c>
      <c r="B658" s="1" t="n">
        <v>45071</v>
      </c>
      <c r="C658" s="1" t="n">
        <v>46087</v>
      </c>
      <c r="D658" t="inlineStr">
        <is>
          <t>ÖSTERGÖTLANDS LÄN</t>
        </is>
      </c>
      <c r="E658" t="inlineStr">
        <is>
          <t>LINKÖPING</t>
        </is>
      </c>
      <c r="F658" t="inlineStr">
        <is>
          <t>Kommuner</t>
        </is>
      </c>
      <c r="G658" t="n">
        <v>1.3</v>
      </c>
      <c r="H658" t="n">
        <v>0</v>
      </c>
      <c r="I658" t="n">
        <v>0</v>
      </c>
      <c r="J658" t="n">
        <v>0</v>
      </c>
      <c r="K658" t="n">
        <v>0</v>
      </c>
      <c r="L658" t="n">
        <v>0</v>
      </c>
      <c r="M658" t="n">
        <v>0</v>
      </c>
      <c r="N658" t="n">
        <v>0</v>
      </c>
      <c r="O658" t="n">
        <v>0</v>
      </c>
      <c r="P658" t="n">
        <v>0</v>
      </c>
      <c r="Q658" t="n">
        <v>0</v>
      </c>
      <c r="R658" s="2" t="inlineStr"/>
    </row>
    <row r="659" ht="15" customHeight="1">
      <c r="A659" t="inlineStr">
        <is>
          <t>A 50386-2021</t>
        </is>
      </c>
      <c r="B659" s="1" t="n">
        <v>44459</v>
      </c>
      <c r="C659" s="1" t="n">
        <v>46087</v>
      </c>
      <c r="D659" t="inlineStr">
        <is>
          <t>ÖSTERGÖTLANDS LÄN</t>
        </is>
      </c>
      <c r="E659" t="inlineStr">
        <is>
          <t>LINKÖPING</t>
        </is>
      </c>
      <c r="G659" t="n">
        <v>2.3</v>
      </c>
      <c r="H659" t="n">
        <v>0</v>
      </c>
      <c r="I659" t="n">
        <v>0</v>
      </c>
      <c r="J659" t="n">
        <v>0</v>
      </c>
      <c r="K659" t="n">
        <v>0</v>
      </c>
      <c r="L659" t="n">
        <v>0</v>
      </c>
      <c r="M659" t="n">
        <v>0</v>
      </c>
      <c r="N659" t="n">
        <v>0</v>
      </c>
      <c r="O659" t="n">
        <v>0</v>
      </c>
      <c r="P659" t="n">
        <v>0</v>
      </c>
      <c r="Q659" t="n">
        <v>0</v>
      </c>
      <c r="R659" s="2" t="inlineStr"/>
    </row>
    <row r="660" ht="15" customHeight="1">
      <c r="A660" t="inlineStr">
        <is>
          <t>A 35781-2023</t>
        </is>
      </c>
      <c r="B660" s="1" t="n">
        <v>45147</v>
      </c>
      <c r="C660" s="1" t="n">
        <v>46087</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22770-2024</t>
        </is>
      </c>
      <c r="B661" s="1" t="n">
        <v>45448.4634375</v>
      </c>
      <c r="C661" s="1" t="n">
        <v>46087</v>
      </c>
      <c r="D661" t="inlineStr">
        <is>
          <t>ÖSTERGÖTLANDS LÄN</t>
        </is>
      </c>
      <c r="E661" t="inlineStr">
        <is>
          <t>LINKÖPING</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11671-2023</t>
        </is>
      </c>
      <c r="B662" s="1" t="n">
        <v>44994.48125</v>
      </c>
      <c r="C662" s="1" t="n">
        <v>46087</v>
      </c>
      <c r="D662" t="inlineStr">
        <is>
          <t>ÖSTERGÖTLANDS LÄN</t>
        </is>
      </c>
      <c r="E662" t="inlineStr">
        <is>
          <t>LINKÖPING</t>
        </is>
      </c>
      <c r="G662" t="n">
        <v>2.6</v>
      </c>
      <c r="H662" t="n">
        <v>0</v>
      </c>
      <c r="I662" t="n">
        <v>0</v>
      </c>
      <c r="J662" t="n">
        <v>0</v>
      </c>
      <c r="K662" t="n">
        <v>0</v>
      </c>
      <c r="L662" t="n">
        <v>0</v>
      </c>
      <c r="M662" t="n">
        <v>0</v>
      </c>
      <c r="N662" t="n">
        <v>0</v>
      </c>
      <c r="O662" t="n">
        <v>0</v>
      </c>
      <c r="P662" t="n">
        <v>0</v>
      </c>
      <c r="Q662" t="n">
        <v>0</v>
      </c>
      <c r="R662" s="2" t="inlineStr"/>
    </row>
    <row r="663" ht="15" customHeight="1">
      <c r="A663" t="inlineStr">
        <is>
          <t>A 54425-2022</t>
        </is>
      </c>
      <c r="B663" s="1" t="n">
        <v>44882.57453703704</v>
      </c>
      <c r="C663" s="1" t="n">
        <v>46087</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30547-2023</t>
        </is>
      </c>
      <c r="B664" s="1" t="n">
        <v>45111.75905092592</v>
      </c>
      <c r="C664" s="1" t="n">
        <v>46087</v>
      </c>
      <c r="D664" t="inlineStr">
        <is>
          <t>ÖSTERGÖTLANDS LÄN</t>
        </is>
      </c>
      <c r="E664" t="inlineStr">
        <is>
          <t>LINKÖPING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24904-2024</t>
        </is>
      </c>
      <c r="B665" s="1" t="n">
        <v>45461</v>
      </c>
      <c r="C665" s="1" t="n">
        <v>46087</v>
      </c>
      <c r="D665" t="inlineStr">
        <is>
          <t>ÖSTERGÖTLANDS LÄN</t>
        </is>
      </c>
      <c r="E665" t="inlineStr">
        <is>
          <t>LINKÖPING</t>
        </is>
      </c>
      <c r="G665" t="n">
        <v>3.8</v>
      </c>
      <c r="H665" t="n">
        <v>0</v>
      </c>
      <c r="I665" t="n">
        <v>0</v>
      </c>
      <c r="J665" t="n">
        <v>0</v>
      </c>
      <c r="K665" t="n">
        <v>0</v>
      </c>
      <c r="L665" t="n">
        <v>0</v>
      </c>
      <c r="M665" t="n">
        <v>0</v>
      </c>
      <c r="N665" t="n">
        <v>0</v>
      </c>
      <c r="O665" t="n">
        <v>0</v>
      </c>
      <c r="P665" t="n">
        <v>0</v>
      </c>
      <c r="Q665" t="n">
        <v>0</v>
      </c>
      <c r="R665" s="2" t="inlineStr"/>
    </row>
    <row r="666" ht="15" customHeight="1">
      <c r="A666" t="inlineStr">
        <is>
          <t>A 26788-2022</t>
        </is>
      </c>
      <c r="B666" s="1" t="n">
        <v>44740</v>
      </c>
      <c r="C666" s="1" t="n">
        <v>46087</v>
      </c>
      <c r="D666" t="inlineStr">
        <is>
          <t>ÖSTERGÖTLANDS LÄN</t>
        </is>
      </c>
      <c r="E666" t="inlineStr">
        <is>
          <t>LINKÖPING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15121-2022</t>
        </is>
      </c>
      <c r="B667" s="1" t="n">
        <v>44658</v>
      </c>
      <c r="C667" s="1" t="n">
        <v>46087</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51919-2024</t>
        </is>
      </c>
      <c r="B668" s="1" t="n">
        <v>45607.60791666667</v>
      </c>
      <c r="C668" s="1" t="n">
        <v>46087</v>
      </c>
      <c r="D668" t="inlineStr">
        <is>
          <t>ÖSTERGÖTLANDS LÄN</t>
        </is>
      </c>
      <c r="E668" t="inlineStr">
        <is>
          <t>LINKÖPING</t>
        </is>
      </c>
      <c r="G668" t="n">
        <v>2.5</v>
      </c>
      <c r="H668" t="n">
        <v>0</v>
      </c>
      <c r="I668" t="n">
        <v>0</v>
      </c>
      <c r="J668" t="n">
        <v>0</v>
      </c>
      <c r="K668" t="n">
        <v>0</v>
      </c>
      <c r="L668" t="n">
        <v>0</v>
      </c>
      <c r="M668" t="n">
        <v>0</v>
      </c>
      <c r="N668" t="n">
        <v>0</v>
      </c>
      <c r="O668" t="n">
        <v>0</v>
      </c>
      <c r="P668" t="n">
        <v>0</v>
      </c>
      <c r="Q668" t="n">
        <v>0</v>
      </c>
      <c r="R668" s="2" t="inlineStr"/>
    </row>
    <row r="669" ht="15" customHeight="1">
      <c r="A669" t="inlineStr">
        <is>
          <t>A 55009-2023</t>
        </is>
      </c>
      <c r="B669" s="1" t="n">
        <v>45237</v>
      </c>
      <c r="C669" s="1" t="n">
        <v>46087</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20291-2025</t>
        </is>
      </c>
      <c r="B670" s="1" t="n">
        <v>45774.74288194445</v>
      </c>
      <c r="C670" s="1" t="n">
        <v>46087</v>
      </c>
      <c r="D670" t="inlineStr">
        <is>
          <t>ÖSTERGÖTLANDS LÄN</t>
        </is>
      </c>
      <c r="E670" t="inlineStr">
        <is>
          <t>LINKÖPING</t>
        </is>
      </c>
      <c r="G670" t="n">
        <v>2.3</v>
      </c>
      <c r="H670" t="n">
        <v>0</v>
      </c>
      <c r="I670" t="n">
        <v>0</v>
      </c>
      <c r="J670" t="n">
        <v>0</v>
      </c>
      <c r="K670" t="n">
        <v>0</v>
      </c>
      <c r="L670" t="n">
        <v>0</v>
      </c>
      <c r="M670" t="n">
        <v>0</v>
      </c>
      <c r="N670" t="n">
        <v>0</v>
      </c>
      <c r="O670" t="n">
        <v>0</v>
      </c>
      <c r="P670" t="n">
        <v>0</v>
      </c>
      <c r="Q670" t="n">
        <v>0</v>
      </c>
      <c r="R670" s="2" t="inlineStr"/>
    </row>
    <row r="671" ht="15" customHeight="1">
      <c r="A671" t="inlineStr">
        <is>
          <t>A 20293-2025</t>
        </is>
      </c>
      <c r="B671" s="1" t="n">
        <v>45774.74611111111</v>
      </c>
      <c r="C671" s="1" t="n">
        <v>46087</v>
      </c>
      <c r="D671" t="inlineStr">
        <is>
          <t>ÖSTERGÖTLANDS LÄN</t>
        </is>
      </c>
      <c r="E671" t="inlineStr">
        <is>
          <t>LINKÖPING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660-2023</t>
        </is>
      </c>
      <c r="B672" s="1" t="n">
        <v>44930</v>
      </c>
      <c r="C672" s="1" t="n">
        <v>46087</v>
      </c>
      <c r="D672" t="inlineStr">
        <is>
          <t>ÖSTERGÖTLANDS LÄN</t>
        </is>
      </c>
      <c r="E672" t="inlineStr">
        <is>
          <t>LINKÖPING</t>
        </is>
      </c>
      <c r="F672" t="inlineStr">
        <is>
          <t>Kyrkan</t>
        </is>
      </c>
      <c r="G672" t="n">
        <v>1.6</v>
      </c>
      <c r="H672" t="n">
        <v>0</v>
      </c>
      <c r="I672" t="n">
        <v>0</v>
      </c>
      <c r="J672" t="n">
        <v>0</v>
      </c>
      <c r="K672" t="n">
        <v>0</v>
      </c>
      <c r="L672" t="n">
        <v>0</v>
      </c>
      <c r="M672" t="n">
        <v>0</v>
      </c>
      <c r="N672" t="n">
        <v>0</v>
      </c>
      <c r="O672" t="n">
        <v>0</v>
      </c>
      <c r="P672" t="n">
        <v>0</v>
      </c>
      <c r="Q672" t="n">
        <v>0</v>
      </c>
      <c r="R672" s="2" t="inlineStr"/>
    </row>
    <row r="673" ht="15" customHeight="1">
      <c r="A673" t="inlineStr">
        <is>
          <t>A 64694-2023</t>
        </is>
      </c>
      <c r="B673" s="1" t="n">
        <v>45281</v>
      </c>
      <c r="C673" s="1" t="n">
        <v>46087</v>
      </c>
      <c r="D673" t="inlineStr">
        <is>
          <t>ÖSTERGÖTLANDS LÄN</t>
        </is>
      </c>
      <c r="E673" t="inlineStr">
        <is>
          <t>LINKÖPING</t>
        </is>
      </c>
      <c r="F673" t="inlineStr">
        <is>
          <t>Övriga statliga verk och myndigheter</t>
        </is>
      </c>
      <c r="G673" t="n">
        <v>4.9</v>
      </c>
      <c r="H673" t="n">
        <v>0</v>
      </c>
      <c r="I673" t="n">
        <v>0</v>
      </c>
      <c r="J673" t="n">
        <v>0</v>
      </c>
      <c r="K673" t="n">
        <v>0</v>
      </c>
      <c r="L673" t="n">
        <v>0</v>
      </c>
      <c r="M673" t="n">
        <v>0</v>
      </c>
      <c r="N673" t="n">
        <v>0</v>
      </c>
      <c r="O673" t="n">
        <v>0</v>
      </c>
      <c r="P673" t="n">
        <v>0</v>
      </c>
      <c r="Q673" t="n">
        <v>0</v>
      </c>
      <c r="R673" s="2" t="inlineStr"/>
    </row>
    <row r="674" ht="15" customHeight="1">
      <c r="A674" t="inlineStr">
        <is>
          <t>A 63487-2023</t>
        </is>
      </c>
      <c r="B674" s="1" t="n">
        <v>45274.66712962963</v>
      </c>
      <c r="C674" s="1" t="n">
        <v>46087</v>
      </c>
      <c r="D674" t="inlineStr">
        <is>
          <t>ÖSTERGÖTLANDS LÄN</t>
        </is>
      </c>
      <c r="E674" t="inlineStr">
        <is>
          <t>LINKÖPING</t>
        </is>
      </c>
      <c r="G674" t="n">
        <v>1.4</v>
      </c>
      <c r="H674" t="n">
        <v>0</v>
      </c>
      <c r="I674" t="n">
        <v>0</v>
      </c>
      <c r="J674" t="n">
        <v>0</v>
      </c>
      <c r="K674" t="n">
        <v>0</v>
      </c>
      <c r="L674" t="n">
        <v>0</v>
      </c>
      <c r="M674" t="n">
        <v>0</v>
      </c>
      <c r="N674" t="n">
        <v>0</v>
      </c>
      <c r="O674" t="n">
        <v>0</v>
      </c>
      <c r="P674" t="n">
        <v>0</v>
      </c>
      <c r="Q674" t="n">
        <v>0</v>
      </c>
      <c r="R674" s="2" t="inlineStr"/>
    </row>
    <row r="675" ht="15" customHeight="1">
      <c r="A675" t="inlineStr">
        <is>
          <t>A 20455-2024</t>
        </is>
      </c>
      <c r="B675" s="1" t="n">
        <v>45435.65314814815</v>
      </c>
      <c r="C675" s="1" t="n">
        <v>46087</v>
      </c>
      <c r="D675" t="inlineStr">
        <is>
          <t>ÖSTERGÖTLANDS LÄN</t>
        </is>
      </c>
      <c r="E675" t="inlineStr">
        <is>
          <t>LINKÖPING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30471-2023</t>
        </is>
      </c>
      <c r="B676" s="1" t="n">
        <v>45111.58931712963</v>
      </c>
      <c r="C676" s="1" t="n">
        <v>46087</v>
      </c>
      <c r="D676" t="inlineStr">
        <is>
          <t>ÖSTERGÖTLANDS LÄN</t>
        </is>
      </c>
      <c r="E676" t="inlineStr">
        <is>
          <t>LINKÖPING</t>
        </is>
      </c>
      <c r="G676" t="n">
        <v>2.9</v>
      </c>
      <c r="H676" t="n">
        <v>0</v>
      </c>
      <c r="I676" t="n">
        <v>0</v>
      </c>
      <c r="J676" t="n">
        <v>0</v>
      </c>
      <c r="K676" t="n">
        <v>0</v>
      </c>
      <c r="L676" t="n">
        <v>0</v>
      </c>
      <c r="M676" t="n">
        <v>0</v>
      </c>
      <c r="N676" t="n">
        <v>0</v>
      </c>
      <c r="O676" t="n">
        <v>0</v>
      </c>
      <c r="P676" t="n">
        <v>0</v>
      </c>
      <c r="Q676" t="n">
        <v>0</v>
      </c>
      <c r="R676" s="2" t="inlineStr"/>
    </row>
    <row r="677" ht="15" customHeight="1">
      <c r="A677" t="inlineStr">
        <is>
          <t>A 14093-2024</t>
        </is>
      </c>
      <c r="B677" s="1" t="n">
        <v>45392.60278935185</v>
      </c>
      <c r="C677" s="1" t="n">
        <v>46087</v>
      </c>
      <c r="D677" t="inlineStr">
        <is>
          <t>ÖSTERGÖTLANDS LÄN</t>
        </is>
      </c>
      <c r="E677" t="inlineStr">
        <is>
          <t>LINKÖPING</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63304-2021</t>
        </is>
      </c>
      <c r="B678" s="1" t="n">
        <v>44508.4396412037</v>
      </c>
      <c r="C678" s="1" t="n">
        <v>46087</v>
      </c>
      <c r="D678" t="inlineStr">
        <is>
          <t>ÖSTERGÖTLANDS LÄN</t>
        </is>
      </c>
      <c r="E678" t="inlineStr">
        <is>
          <t>LINKÖPING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19362-2023</t>
        </is>
      </c>
      <c r="B679" s="1" t="n">
        <v>45049</v>
      </c>
      <c r="C679" s="1" t="n">
        <v>46087</v>
      </c>
      <c r="D679" t="inlineStr">
        <is>
          <t>ÖSTERGÖTLANDS LÄN</t>
        </is>
      </c>
      <c r="E679" t="inlineStr">
        <is>
          <t>LINKÖPING</t>
        </is>
      </c>
      <c r="G679" t="n">
        <v>0.1</v>
      </c>
      <c r="H679" t="n">
        <v>0</v>
      </c>
      <c r="I679" t="n">
        <v>0</v>
      </c>
      <c r="J679" t="n">
        <v>0</v>
      </c>
      <c r="K679" t="n">
        <v>0</v>
      </c>
      <c r="L679" t="n">
        <v>0</v>
      </c>
      <c r="M679" t="n">
        <v>0</v>
      </c>
      <c r="N679" t="n">
        <v>0</v>
      </c>
      <c r="O679" t="n">
        <v>0</v>
      </c>
      <c r="P679" t="n">
        <v>0</v>
      </c>
      <c r="Q679" t="n">
        <v>0</v>
      </c>
      <c r="R679" s="2" t="inlineStr"/>
    </row>
    <row r="680" ht="15" customHeight="1">
      <c r="A680" t="inlineStr">
        <is>
          <t>A 35463-2023</t>
        </is>
      </c>
      <c r="B680" s="1" t="n">
        <v>45146</v>
      </c>
      <c r="C680" s="1" t="n">
        <v>46087</v>
      </c>
      <c r="D680" t="inlineStr">
        <is>
          <t>ÖSTERGÖTLANDS LÄN</t>
        </is>
      </c>
      <c r="E680" t="inlineStr">
        <is>
          <t>LINKÖPING</t>
        </is>
      </c>
      <c r="F680" t="inlineStr">
        <is>
          <t>Övriga Aktiebolag</t>
        </is>
      </c>
      <c r="G680" t="n">
        <v>1.8</v>
      </c>
      <c r="H680" t="n">
        <v>0</v>
      </c>
      <c r="I680" t="n">
        <v>0</v>
      </c>
      <c r="J680" t="n">
        <v>0</v>
      </c>
      <c r="K680" t="n">
        <v>0</v>
      </c>
      <c r="L680" t="n">
        <v>0</v>
      </c>
      <c r="M680" t="n">
        <v>0</v>
      </c>
      <c r="N680" t="n">
        <v>0</v>
      </c>
      <c r="O680" t="n">
        <v>0</v>
      </c>
      <c r="P680" t="n">
        <v>0</v>
      </c>
      <c r="Q680" t="n">
        <v>0</v>
      </c>
      <c r="R680" s="2" t="inlineStr"/>
    </row>
    <row r="681" ht="15" customHeight="1">
      <c r="A681" t="inlineStr">
        <is>
          <t>A 16111-2022</t>
        </is>
      </c>
      <c r="B681" s="1" t="n">
        <v>44665</v>
      </c>
      <c r="C681" s="1" t="n">
        <v>46087</v>
      </c>
      <c r="D681" t="inlineStr">
        <is>
          <t>ÖSTERGÖTLANDS LÄN</t>
        </is>
      </c>
      <c r="E681" t="inlineStr">
        <is>
          <t>LINKÖPING</t>
        </is>
      </c>
      <c r="F681" t="inlineStr">
        <is>
          <t>Övriga Aktiebolag</t>
        </is>
      </c>
      <c r="G681" t="n">
        <v>2.9</v>
      </c>
      <c r="H681" t="n">
        <v>0</v>
      </c>
      <c r="I681" t="n">
        <v>0</v>
      </c>
      <c r="J681" t="n">
        <v>0</v>
      </c>
      <c r="K681" t="n">
        <v>0</v>
      </c>
      <c r="L681" t="n">
        <v>0</v>
      </c>
      <c r="M681" t="n">
        <v>0</v>
      </c>
      <c r="N681" t="n">
        <v>0</v>
      </c>
      <c r="O681" t="n">
        <v>0</v>
      </c>
      <c r="P681" t="n">
        <v>0</v>
      </c>
      <c r="Q681" t="n">
        <v>0</v>
      </c>
      <c r="R681" s="2" t="inlineStr"/>
    </row>
    <row r="682" ht="15" customHeight="1">
      <c r="A682" t="inlineStr">
        <is>
          <t>A 31635-2023</t>
        </is>
      </c>
      <c r="B682" s="1" t="n">
        <v>45105</v>
      </c>
      <c r="C682" s="1" t="n">
        <v>46087</v>
      </c>
      <c r="D682" t="inlineStr">
        <is>
          <t>ÖSTERGÖTLANDS LÄN</t>
        </is>
      </c>
      <c r="E682" t="inlineStr">
        <is>
          <t>LINKÖPING</t>
        </is>
      </c>
      <c r="F682" t="inlineStr">
        <is>
          <t>Övriga statliga verk och myndigheter</t>
        </is>
      </c>
      <c r="G682" t="n">
        <v>4.6</v>
      </c>
      <c r="H682" t="n">
        <v>0</v>
      </c>
      <c r="I682" t="n">
        <v>0</v>
      </c>
      <c r="J682" t="n">
        <v>0</v>
      </c>
      <c r="K682" t="n">
        <v>0</v>
      </c>
      <c r="L682" t="n">
        <v>0</v>
      </c>
      <c r="M682" t="n">
        <v>0</v>
      </c>
      <c r="N682" t="n">
        <v>0</v>
      </c>
      <c r="O682" t="n">
        <v>0</v>
      </c>
      <c r="P682" t="n">
        <v>0</v>
      </c>
      <c r="Q682" t="n">
        <v>0</v>
      </c>
      <c r="R682" s="2" t="inlineStr"/>
    </row>
    <row r="683" ht="15" customHeight="1">
      <c r="A683" t="inlineStr">
        <is>
          <t>A 49928-2024</t>
        </is>
      </c>
      <c r="B683" s="1" t="n">
        <v>45597.57811342592</v>
      </c>
      <c r="C683" s="1" t="n">
        <v>46087</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54845-2023</t>
        </is>
      </c>
      <c r="B684" s="1" t="n">
        <v>45236</v>
      </c>
      <c r="C684" s="1" t="n">
        <v>46087</v>
      </c>
      <c r="D684" t="inlineStr">
        <is>
          <t>ÖSTERGÖTLANDS LÄN</t>
        </is>
      </c>
      <c r="E684" t="inlineStr">
        <is>
          <t>LINKÖPING</t>
        </is>
      </c>
      <c r="F684" t="inlineStr">
        <is>
          <t>Övriga Aktiebolag</t>
        </is>
      </c>
      <c r="G684" t="n">
        <v>5.7</v>
      </c>
      <c r="H684" t="n">
        <v>0</v>
      </c>
      <c r="I684" t="n">
        <v>0</v>
      </c>
      <c r="J684" t="n">
        <v>0</v>
      </c>
      <c r="K684" t="n">
        <v>0</v>
      </c>
      <c r="L684" t="n">
        <v>0</v>
      </c>
      <c r="M684" t="n">
        <v>0</v>
      </c>
      <c r="N684" t="n">
        <v>0</v>
      </c>
      <c r="O684" t="n">
        <v>0</v>
      </c>
      <c r="P684" t="n">
        <v>0</v>
      </c>
      <c r="Q684" t="n">
        <v>0</v>
      </c>
      <c r="R684" s="2" t="inlineStr"/>
    </row>
    <row r="685" ht="15" customHeight="1">
      <c r="A685" t="inlineStr">
        <is>
          <t>A 46687-2021</t>
        </is>
      </c>
      <c r="B685" s="1" t="n">
        <v>44445</v>
      </c>
      <c r="C685" s="1" t="n">
        <v>46087</v>
      </c>
      <c r="D685" t="inlineStr">
        <is>
          <t>ÖSTERGÖTLANDS LÄN</t>
        </is>
      </c>
      <c r="E685" t="inlineStr">
        <is>
          <t>LINKÖPING</t>
        </is>
      </c>
      <c r="F685" t="inlineStr">
        <is>
          <t>Övriga statliga verk och myndigheter</t>
        </is>
      </c>
      <c r="G685" t="n">
        <v>2.3</v>
      </c>
      <c r="H685" t="n">
        <v>0</v>
      </c>
      <c r="I685" t="n">
        <v>0</v>
      </c>
      <c r="J685" t="n">
        <v>0</v>
      </c>
      <c r="K685" t="n">
        <v>0</v>
      </c>
      <c r="L685" t="n">
        <v>0</v>
      </c>
      <c r="M685" t="n">
        <v>0</v>
      </c>
      <c r="N685" t="n">
        <v>0</v>
      </c>
      <c r="O685" t="n">
        <v>0</v>
      </c>
      <c r="P685" t="n">
        <v>0</v>
      </c>
      <c r="Q685" t="n">
        <v>0</v>
      </c>
      <c r="R685" s="2" t="inlineStr"/>
    </row>
    <row r="686" ht="15" customHeight="1">
      <c r="A686" t="inlineStr">
        <is>
          <t>A 30855-2022</t>
        </is>
      </c>
      <c r="B686" s="1" t="n">
        <v>44767</v>
      </c>
      <c r="C686" s="1" t="n">
        <v>46087</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1355-2023</t>
        </is>
      </c>
      <c r="B687" s="1" t="n">
        <v>44931</v>
      </c>
      <c r="C687" s="1" t="n">
        <v>46087</v>
      </c>
      <c r="D687" t="inlineStr">
        <is>
          <t>ÖSTERGÖTLANDS LÄN</t>
        </is>
      </c>
      <c r="E687" t="inlineStr">
        <is>
          <t>LINKÖPING</t>
        </is>
      </c>
      <c r="G687" t="n">
        <v>4</v>
      </c>
      <c r="H687" t="n">
        <v>0</v>
      </c>
      <c r="I687" t="n">
        <v>0</v>
      </c>
      <c r="J687" t="n">
        <v>0</v>
      </c>
      <c r="K687" t="n">
        <v>0</v>
      </c>
      <c r="L687" t="n">
        <v>0</v>
      </c>
      <c r="M687" t="n">
        <v>0</v>
      </c>
      <c r="N687" t="n">
        <v>0</v>
      </c>
      <c r="O687" t="n">
        <v>0</v>
      </c>
      <c r="P687" t="n">
        <v>0</v>
      </c>
      <c r="Q687" t="n">
        <v>0</v>
      </c>
      <c r="R687" s="2" t="inlineStr"/>
    </row>
    <row r="688" ht="15" customHeight="1">
      <c r="A688" t="inlineStr">
        <is>
          <t>A 27844-2024</t>
        </is>
      </c>
      <c r="B688" s="1" t="n">
        <v>45475.63047453704</v>
      </c>
      <c r="C688" s="1" t="n">
        <v>46087</v>
      </c>
      <c r="D688" t="inlineStr">
        <is>
          <t>ÖSTERGÖTLANDS LÄN</t>
        </is>
      </c>
      <c r="E688" t="inlineStr">
        <is>
          <t>LINKÖPING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10741-2023</t>
        </is>
      </c>
      <c r="B689" s="1" t="n">
        <v>44988.70084490741</v>
      </c>
      <c r="C689" s="1" t="n">
        <v>46087</v>
      </c>
      <c r="D689" t="inlineStr">
        <is>
          <t>ÖSTERGÖTLANDS LÄN</t>
        </is>
      </c>
      <c r="E689" t="inlineStr">
        <is>
          <t>LINKÖPING</t>
        </is>
      </c>
      <c r="F689" t="inlineStr">
        <is>
          <t>Allmännings- och besparingsskogar</t>
        </is>
      </c>
      <c r="G689" t="n">
        <v>11.2</v>
      </c>
      <c r="H689" t="n">
        <v>0</v>
      </c>
      <c r="I689" t="n">
        <v>0</v>
      </c>
      <c r="J689" t="n">
        <v>0</v>
      </c>
      <c r="K689" t="n">
        <v>0</v>
      </c>
      <c r="L689" t="n">
        <v>0</v>
      </c>
      <c r="M689" t="n">
        <v>0</v>
      </c>
      <c r="N689" t="n">
        <v>0</v>
      </c>
      <c r="O689" t="n">
        <v>0</v>
      </c>
      <c r="P689" t="n">
        <v>0</v>
      </c>
      <c r="Q689" t="n">
        <v>0</v>
      </c>
      <c r="R689" s="2" t="inlineStr"/>
    </row>
    <row r="690" ht="15" customHeight="1">
      <c r="A690" t="inlineStr">
        <is>
          <t>A 50963-2021</t>
        </is>
      </c>
      <c r="B690" s="1" t="n">
        <v>44460</v>
      </c>
      <c r="C690" s="1" t="n">
        <v>46087</v>
      </c>
      <c r="D690" t="inlineStr">
        <is>
          <t>ÖSTERGÖTLANDS LÄN</t>
        </is>
      </c>
      <c r="E690" t="inlineStr">
        <is>
          <t>LINKÖPING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45821-2024</t>
        </is>
      </c>
      <c r="B691" s="1" t="n">
        <v>45579.75803240741</v>
      </c>
      <c r="C691" s="1" t="n">
        <v>46087</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61936-2023</t>
        </is>
      </c>
      <c r="B692" s="1" t="n">
        <v>45266.54534722222</v>
      </c>
      <c r="C692" s="1" t="n">
        <v>46087</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1263-2024</t>
        </is>
      </c>
      <c r="B693" s="1" t="n">
        <v>45302</v>
      </c>
      <c r="C693" s="1" t="n">
        <v>46087</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24464-2023</t>
        </is>
      </c>
      <c r="B694" s="1" t="n">
        <v>45082.58068287037</v>
      </c>
      <c r="C694" s="1" t="n">
        <v>46087</v>
      </c>
      <c r="D694" t="inlineStr">
        <is>
          <t>ÖSTERGÖTLANDS LÄN</t>
        </is>
      </c>
      <c r="E694" t="inlineStr">
        <is>
          <t>LINKÖPING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48389-2024</t>
        </is>
      </c>
      <c r="B695" s="1" t="n">
        <v>45590.59991898148</v>
      </c>
      <c r="C695" s="1" t="n">
        <v>46087</v>
      </c>
      <c r="D695" t="inlineStr">
        <is>
          <t>ÖSTERGÖTLANDS LÄN</t>
        </is>
      </c>
      <c r="E695" t="inlineStr">
        <is>
          <t>LINKÖPING</t>
        </is>
      </c>
      <c r="G695" t="n">
        <v>2.6</v>
      </c>
      <c r="H695" t="n">
        <v>0</v>
      </c>
      <c r="I695" t="n">
        <v>0</v>
      </c>
      <c r="J695" t="n">
        <v>0</v>
      </c>
      <c r="K695" t="n">
        <v>0</v>
      </c>
      <c r="L695" t="n">
        <v>0</v>
      </c>
      <c r="M695" t="n">
        <v>0</v>
      </c>
      <c r="N695" t="n">
        <v>0</v>
      </c>
      <c r="O695" t="n">
        <v>0</v>
      </c>
      <c r="P695" t="n">
        <v>0</v>
      </c>
      <c r="Q695" t="n">
        <v>0</v>
      </c>
      <c r="R695" s="2" t="inlineStr"/>
    </row>
    <row r="696" ht="15" customHeight="1">
      <c r="A696" t="inlineStr">
        <is>
          <t>A 61281-2021</t>
        </is>
      </c>
      <c r="B696" s="1" t="n">
        <v>44498.60736111111</v>
      </c>
      <c r="C696" s="1" t="n">
        <v>46087</v>
      </c>
      <c r="D696" t="inlineStr">
        <is>
          <t>ÖSTERGÖTLANDS LÄN</t>
        </is>
      </c>
      <c r="E696" t="inlineStr">
        <is>
          <t>LINKÖPING</t>
        </is>
      </c>
      <c r="G696" t="n">
        <v>4.5</v>
      </c>
      <c r="H696" t="n">
        <v>0</v>
      </c>
      <c r="I696" t="n">
        <v>0</v>
      </c>
      <c r="J696" t="n">
        <v>0</v>
      </c>
      <c r="K696" t="n">
        <v>0</v>
      </c>
      <c r="L696" t="n">
        <v>0</v>
      </c>
      <c r="M696" t="n">
        <v>0</v>
      </c>
      <c r="N696" t="n">
        <v>0</v>
      </c>
      <c r="O696" t="n">
        <v>0</v>
      </c>
      <c r="P696" t="n">
        <v>0</v>
      </c>
      <c r="Q696" t="n">
        <v>0</v>
      </c>
      <c r="R696" s="2" t="inlineStr"/>
    </row>
    <row r="697" ht="15" customHeight="1">
      <c r="A697" t="inlineStr">
        <is>
          <t>A 6369-2023</t>
        </is>
      </c>
      <c r="B697" s="1" t="n">
        <v>44965.61106481482</v>
      </c>
      <c r="C697" s="1" t="n">
        <v>46087</v>
      </c>
      <c r="D697" t="inlineStr">
        <is>
          <t>ÖSTERGÖTLANDS LÄN</t>
        </is>
      </c>
      <c r="E697" t="inlineStr">
        <is>
          <t>LINKÖPING</t>
        </is>
      </c>
      <c r="G697" t="n">
        <v>4</v>
      </c>
      <c r="H697" t="n">
        <v>0</v>
      </c>
      <c r="I697" t="n">
        <v>0</v>
      </c>
      <c r="J697" t="n">
        <v>0</v>
      </c>
      <c r="K697" t="n">
        <v>0</v>
      </c>
      <c r="L697" t="n">
        <v>0</v>
      </c>
      <c r="M697" t="n">
        <v>0</v>
      </c>
      <c r="N697" t="n">
        <v>0</v>
      </c>
      <c r="O697" t="n">
        <v>0</v>
      </c>
      <c r="P697" t="n">
        <v>0</v>
      </c>
      <c r="Q697" t="n">
        <v>0</v>
      </c>
      <c r="R697" s="2" t="inlineStr"/>
    </row>
    <row r="698" ht="15" customHeight="1">
      <c r="A698" t="inlineStr">
        <is>
          <t>A 10094-2024</t>
        </is>
      </c>
      <c r="B698" s="1" t="n">
        <v>45364</v>
      </c>
      <c r="C698" s="1" t="n">
        <v>46087</v>
      </c>
      <c r="D698" t="inlineStr">
        <is>
          <t>ÖSTERGÖTLANDS LÄN</t>
        </is>
      </c>
      <c r="E698" t="inlineStr">
        <is>
          <t>LINKÖPING</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1207-2023</t>
        </is>
      </c>
      <c r="B699" s="1" t="n">
        <v>44930</v>
      </c>
      <c r="C699" s="1" t="n">
        <v>46087</v>
      </c>
      <c r="D699" t="inlineStr">
        <is>
          <t>ÖSTERGÖTLANDS LÄN</t>
        </is>
      </c>
      <c r="E699" t="inlineStr">
        <is>
          <t>LINKÖPING</t>
        </is>
      </c>
      <c r="F699" t="inlineStr">
        <is>
          <t>Övriga statliga verk och myndigheter</t>
        </is>
      </c>
      <c r="G699" t="n">
        <v>32.8</v>
      </c>
      <c r="H699" t="n">
        <v>0</v>
      </c>
      <c r="I699" t="n">
        <v>0</v>
      </c>
      <c r="J699" t="n">
        <v>0</v>
      </c>
      <c r="K699" t="n">
        <v>0</v>
      </c>
      <c r="L699" t="n">
        <v>0</v>
      </c>
      <c r="M699" t="n">
        <v>0</v>
      </c>
      <c r="N699" t="n">
        <v>0</v>
      </c>
      <c r="O699" t="n">
        <v>0</v>
      </c>
      <c r="P699" t="n">
        <v>0</v>
      </c>
      <c r="Q699" t="n">
        <v>0</v>
      </c>
      <c r="R699" s="2" t="inlineStr"/>
    </row>
    <row r="700" ht="15" customHeight="1">
      <c r="A700" t="inlineStr">
        <is>
          <t>A 62015-2024</t>
        </is>
      </c>
      <c r="B700" s="1" t="n">
        <v>45655.80457175926</v>
      </c>
      <c r="C700" s="1" t="n">
        <v>46087</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62020-2024</t>
        </is>
      </c>
      <c r="B701" s="1" t="n">
        <v>45655.83563657408</v>
      </c>
      <c r="C701" s="1" t="n">
        <v>46087</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62021-2024</t>
        </is>
      </c>
      <c r="B702" s="1" t="n">
        <v>45655.84232638889</v>
      </c>
      <c r="C702" s="1" t="n">
        <v>46087</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27891-2021</t>
        </is>
      </c>
      <c r="B703" s="1" t="n">
        <v>44354.65108796296</v>
      </c>
      <c r="C703" s="1" t="n">
        <v>46087</v>
      </c>
      <c r="D703" t="inlineStr">
        <is>
          <t>ÖSTERGÖTLANDS LÄN</t>
        </is>
      </c>
      <c r="E703" t="inlineStr">
        <is>
          <t>LINKÖPING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57391-2023</t>
        </is>
      </c>
      <c r="B704" s="1" t="n">
        <v>45245</v>
      </c>
      <c r="C704" s="1" t="n">
        <v>46087</v>
      </c>
      <c r="D704" t="inlineStr">
        <is>
          <t>ÖSTERGÖTLANDS LÄN</t>
        </is>
      </c>
      <c r="E704" t="inlineStr">
        <is>
          <t>LINKÖPING</t>
        </is>
      </c>
      <c r="F704" t="inlineStr">
        <is>
          <t>Övriga Aktiebolag</t>
        </is>
      </c>
      <c r="G704" t="n">
        <v>1.7</v>
      </c>
      <c r="H704" t="n">
        <v>0</v>
      </c>
      <c r="I704" t="n">
        <v>0</v>
      </c>
      <c r="J704" t="n">
        <v>0</v>
      </c>
      <c r="K704" t="n">
        <v>0</v>
      </c>
      <c r="L704" t="n">
        <v>0</v>
      </c>
      <c r="M704" t="n">
        <v>0</v>
      </c>
      <c r="N704" t="n">
        <v>0</v>
      </c>
      <c r="O704" t="n">
        <v>0</v>
      </c>
      <c r="P704" t="n">
        <v>0</v>
      </c>
      <c r="Q704" t="n">
        <v>0</v>
      </c>
      <c r="R704" s="2" t="inlineStr"/>
    </row>
    <row r="705" ht="15" customHeight="1">
      <c r="A705" t="inlineStr">
        <is>
          <t>A 20294-2025</t>
        </is>
      </c>
      <c r="B705" s="1" t="n">
        <v>45774.74667824074</v>
      </c>
      <c r="C705" s="1" t="n">
        <v>46087</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60013-2022</t>
        </is>
      </c>
      <c r="B706" s="1" t="n">
        <v>44909.47482638889</v>
      </c>
      <c r="C706" s="1" t="n">
        <v>46087</v>
      </c>
      <c r="D706" t="inlineStr">
        <is>
          <t>ÖSTERGÖTLANDS LÄN</t>
        </is>
      </c>
      <c r="E706" t="inlineStr">
        <is>
          <t>LINKÖPING</t>
        </is>
      </c>
      <c r="G706" t="n">
        <v>0.9</v>
      </c>
      <c r="H706" t="n">
        <v>0</v>
      </c>
      <c r="I706" t="n">
        <v>0</v>
      </c>
      <c r="J706" t="n">
        <v>0</v>
      </c>
      <c r="K706" t="n">
        <v>0</v>
      </c>
      <c r="L706" t="n">
        <v>0</v>
      </c>
      <c r="M706" t="n">
        <v>0</v>
      </c>
      <c r="N706" t="n">
        <v>0</v>
      </c>
      <c r="O706" t="n">
        <v>0</v>
      </c>
      <c r="P706" t="n">
        <v>0</v>
      </c>
      <c r="Q706" t="n">
        <v>0</v>
      </c>
      <c r="R706" s="2" t="inlineStr"/>
    </row>
    <row r="707" ht="15" customHeight="1">
      <c r="A707" t="inlineStr">
        <is>
          <t>A 3007-2025</t>
        </is>
      </c>
      <c r="B707" s="1" t="n">
        <v>45678.56328703704</v>
      </c>
      <c r="C707" s="1" t="n">
        <v>46087</v>
      </c>
      <c r="D707" t="inlineStr">
        <is>
          <t>ÖSTERGÖTLANDS LÄN</t>
        </is>
      </c>
      <c r="E707" t="inlineStr">
        <is>
          <t>LINKÖPING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34877-2023</t>
        </is>
      </c>
      <c r="B708" s="1" t="n">
        <v>45140</v>
      </c>
      <c r="C708" s="1" t="n">
        <v>46087</v>
      </c>
      <c r="D708" t="inlineStr">
        <is>
          <t>ÖSTERGÖTLANDS LÄN</t>
        </is>
      </c>
      <c r="E708" t="inlineStr">
        <is>
          <t>LINKÖPING</t>
        </is>
      </c>
      <c r="G708" t="n">
        <v>1.9</v>
      </c>
      <c r="H708" t="n">
        <v>0</v>
      </c>
      <c r="I708" t="n">
        <v>0</v>
      </c>
      <c r="J708" t="n">
        <v>0</v>
      </c>
      <c r="K708" t="n">
        <v>0</v>
      </c>
      <c r="L708" t="n">
        <v>0</v>
      </c>
      <c r="M708" t="n">
        <v>0</v>
      </c>
      <c r="N708" t="n">
        <v>0</v>
      </c>
      <c r="O708" t="n">
        <v>0</v>
      </c>
      <c r="P708" t="n">
        <v>0</v>
      </c>
      <c r="Q708" t="n">
        <v>0</v>
      </c>
      <c r="R708" s="2" t="inlineStr"/>
    </row>
    <row r="709" ht="15" customHeight="1">
      <c r="A709" t="inlineStr">
        <is>
          <t>A 1924-2024</t>
        </is>
      </c>
      <c r="B709" s="1" t="n">
        <v>45308</v>
      </c>
      <c r="C709" s="1" t="n">
        <v>46087</v>
      </c>
      <c r="D709" t="inlineStr">
        <is>
          <t>ÖSTERGÖTLANDS LÄN</t>
        </is>
      </c>
      <c r="E709" t="inlineStr">
        <is>
          <t>LINKÖPING</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34558-2022</t>
        </is>
      </c>
      <c r="B710" s="1" t="n">
        <v>44794.57594907407</v>
      </c>
      <c r="C710" s="1" t="n">
        <v>46087</v>
      </c>
      <c r="D710" t="inlineStr">
        <is>
          <t>ÖSTERGÖTLANDS LÄN</t>
        </is>
      </c>
      <c r="E710" t="inlineStr">
        <is>
          <t>LINKÖPING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168-2024</t>
        </is>
      </c>
      <c r="B711" s="1" t="n">
        <v>45294</v>
      </c>
      <c r="C711" s="1" t="n">
        <v>46087</v>
      </c>
      <c r="D711" t="inlineStr">
        <is>
          <t>ÖSTERGÖTLANDS LÄN</t>
        </is>
      </c>
      <c r="E711" t="inlineStr">
        <is>
          <t>LINKÖPING</t>
        </is>
      </c>
      <c r="F711" t="inlineStr">
        <is>
          <t>Allmännings- och besparingsskogar</t>
        </is>
      </c>
      <c r="G711" t="n">
        <v>8.9</v>
      </c>
      <c r="H711" t="n">
        <v>0</v>
      </c>
      <c r="I711" t="n">
        <v>0</v>
      </c>
      <c r="J711" t="n">
        <v>0</v>
      </c>
      <c r="K711" t="n">
        <v>0</v>
      </c>
      <c r="L711" t="n">
        <v>0</v>
      </c>
      <c r="M711" t="n">
        <v>0</v>
      </c>
      <c r="N711" t="n">
        <v>0</v>
      </c>
      <c r="O711" t="n">
        <v>0</v>
      </c>
      <c r="P711" t="n">
        <v>0</v>
      </c>
      <c r="Q711" t="n">
        <v>0</v>
      </c>
      <c r="R711" s="2" t="inlineStr"/>
    </row>
    <row r="712" ht="15" customHeight="1">
      <c r="A712" t="inlineStr">
        <is>
          <t>A 15658-2023</t>
        </is>
      </c>
      <c r="B712" s="1" t="n">
        <v>45021.41194444444</v>
      </c>
      <c r="C712" s="1" t="n">
        <v>46087</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30433-2024</t>
        </is>
      </c>
      <c r="B713" s="1" t="n">
        <v>45491.69741898148</v>
      </c>
      <c r="C713" s="1" t="n">
        <v>46087</v>
      </c>
      <c r="D713" t="inlineStr">
        <is>
          <t>ÖSTERGÖTLANDS LÄN</t>
        </is>
      </c>
      <c r="E713" t="inlineStr">
        <is>
          <t>LINKÖPING</t>
        </is>
      </c>
      <c r="G713" t="n">
        <v>1.7</v>
      </c>
      <c r="H713" t="n">
        <v>0</v>
      </c>
      <c r="I713" t="n">
        <v>0</v>
      </c>
      <c r="J713" t="n">
        <v>0</v>
      </c>
      <c r="K713" t="n">
        <v>0</v>
      </c>
      <c r="L713" t="n">
        <v>0</v>
      </c>
      <c r="M713" t="n">
        <v>0</v>
      </c>
      <c r="N713" t="n">
        <v>0</v>
      </c>
      <c r="O713" t="n">
        <v>0</v>
      </c>
      <c r="P713" t="n">
        <v>0</v>
      </c>
      <c r="Q713" t="n">
        <v>0</v>
      </c>
      <c r="R713" s="2" t="inlineStr"/>
    </row>
    <row r="714" ht="15" customHeight="1">
      <c r="A714" t="inlineStr">
        <is>
          <t>A 52220-2023</t>
        </is>
      </c>
      <c r="B714" s="1" t="n">
        <v>45217</v>
      </c>
      <c r="C714" s="1" t="n">
        <v>46087</v>
      </c>
      <c r="D714" t="inlineStr">
        <is>
          <t>ÖSTERGÖTLANDS LÄN</t>
        </is>
      </c>
      <c r="E714" t="inlineStr">
        <is>
          <t>LINKÖPING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52225-2023</t>
        </is>
      </c>
      <c r="B715" s="1" t="n">
        <v>45217</v>
      </c>
      <c r="C715" s="1" t="n">
        <v>46087</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19464-2024</t>
        </is>
      </c>
      <c r="B716" s="1" t="n">
        <v>45429</v>
      </c>
      <c r="C716" s="1" t="n">
        <v>46087</v>
      </c>
      <c r="D716" t="inlineStr">
        <is>
          <t>ÖSTERGÖTLANDS LÄN</t>
        </is>
      </c>
      <c r="E716" t="inlineStr">
        <is>
          <t>LINKÖPING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42044-2023</t>
        </is>
      </c>
      <c r="B717" s="1" t="n">
        <v>45177</v>
      </c>
      <c r="C717" s="1" t="n">
        <v>46087</v>
      </c>
      <c r="D717" t="inlineStr">
        <is>
          <t>ÖSTERGÖTLANDS LÄN</t>
        </is>
      </c>
      <c r="E717" t="inlineStr">
        <is>
          <t>LINKÖPING</t>
        </is>
      </c>
      <c r="G717" t="n">
        <v>3.9</v>
      </c>
      <c r="H717" t="n">
        <v>0</v>
      </c>
      <c r="I717" t="n">
        <v>0</v>
      </c>
      <c r="J717" t="n">
        <v>0</v>
      </c>
      <c r="K717" t="n">
        <v>0</v>
      </c>
      <c r="L717" t="n">
        <v>0</v>
      </c>
      <c r="M717" t="n">
        <v>0</v>
      </c>
      <c r="N717" t="n">
        <v>0</v>
      </c>
      <c r="O717" t="n">
        <v>0</v>
      </c>
      <c r="P717" t="n">
        <v>0</v>
      </c>
      <c r="Q717" t="n">
        <v>0</v>
      </c>
      <c r="R717" s="2" t="inlineStr"/>
    </row>
    <row r="718" ht="15" customHeight="1">
      <c r="A718" t="inlineStr">
        <is>
          <t>A 630-2024</t>
        </is>
      </c>
      <c r="B718" s="1" t="n">
        <v>45299.67736111111</v>
      </c>
      <c r="C718" s="1" t="n">
        <v>46087</v>
      </c>
      <c r="D718" t="inlineStr">
        <is>
          <t>ÖSTERGÖTLANDS LÄN</t>
        </is>
      </c>
      <c r="E718" t="inlineStr">
        <is>
          <t>LINKÖPING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21782-2024</t>
        </is>
      </c>
      <c r="B719" s="1" t="n">
        <v>45442.63368055555</v>
      </c>
      <c r="C719" s="1" t="n">
        <v>46087</v>
      </c>
      <c r="D719" t="inlineStr">
        <is>
          <t>ÖSTERGÖTLANDS LÄN</t>
        </is>
      </c>
      <c r="E719" t="inlineStr">
        <is>
          <t>LINKÖPING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57766-2023</t>
        </is>
      </c>
      <c r="B720" s="1" t="n">
        <v>45246</v>
      </c>
      <c r="C720" s="1" t="n">
        <v>46087</v>
      </c>
      <c r="D720" t="inlineStr">
        <is>
          <t>ÖSTERGÖTLANDS LÄN</t>
        </is>
      </c>
      <c r="E720" t="inlineStr">
        <is>
          <t>LINKÖPING</t>
        </is>
      </c>
      <c r="F720" t="inlineStr">
        <is>
          <t>Allmännings- och besparingsskogar</t>
        </is>
      </c>
      <c r="G720" t="n">
        <v>12.8</v>
      </c>
      <c r="H720" t="n">
        <v>0</v>
      </c>
      <c r="I720" t="n">
        <v>0</v>
      </c>
      <c r="J720" t="n">
        <v>0</v>
      </c>
      <c r="K720" t="n">
        <v>0</v>
      </c>
      <c r="L720" t="n">
        <v>0</v>
      </c>
      <c r="M720" t="n">
        <v>0</v>
      </c>
      <c r="N720" t="n">
        <v>0</v>
      </c>
      <c r="O720" t="n">
        <v>0</v>
      </c>
      <c r="P720" t="n">
        <v>0</v>
      </c>
      <c r="Q720" t="n">
        <v>0</v>
      </c>
      <c r="R720" s="2" t="inlineStr"/>
    </row>
    <row r="721" ht="15" customHeight="1">
      <c r="A721" t="inlineStr">
        <is>
          <t>A 27186-2021</t>
        </is>
      </c>
      <c r="B721" s="1" t="n">
        <v>44350.67715277777</v>
      </c>
      <c r="C721" s="1" t="n">
        <v>46087</v>
      </c>
      <c r="D721" t="inlineStr">
        <is>
          <t>ÖSTERGÖTLANDS LÄN</t>
        </is>
      </c>
      <c r="E721" t="inlineStr">
        <is>
          <t>LINKÖPING</t>
        </is>
      </c>
      <c r="F721" t="inlineStr">
        <is>
          <t>Allmännings- och besparingsskogar</t>
        </is>
      </c>
      <c r="G721" t="n">
        <v>1.4</v>
      </c>
      <c r="H721" t="n">
        <v>0</v>
      </c>
      <c r="I721" t="n">
        <v>0</v>
      </c>
      <c r="J721" t="n">
        <v>0</v>
      </c>
      <c r="K721" t="n">
        <v>0</v>
      </c>
      <c r="L721" t="n">
        <v>0</v>
      </c>
      <c r="M721" t="n">
        <v>0</v>
      </c>
      <c r="N721" t="n">
        <v>0</v>
      </c>
      <c r="O721" t="n">
        <v>0</v>
      </c>
      <c r="P721" t="n">
        <v>0</v>
      </c>
      <c r="Q721" t="n">
        <v>0</v>
      </c>
      <c r="R721" s="2" t="inlineStr"/>
    </row>
    <row r="722" ht="15" customHeight="1">
      <c r="A722" t="inlineStr">
        <is>
          <t>A 10194-2023</t>
        </is>
      </c>
      <c r="B722" s="1" t="n">
        <v>44986.52277777778</v>
      </c>
      <c r="C722" s="1" t="n">
        <v>46087</v>
      </c>
      <c r="D722" t="inlineStr">
        <is>
          <t>ÖSTERGÖTLANDS LÄN</t>
        </is>
      </c>
      <c r="E722" t="inlineStr">
        <is>
          <t>LINKÖPING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55944-2024</t>
        </is>
      </c>
      <c r="B723" s="1" t="n">
        <v>45623.61640046296</v>
      </c>
      <c r="C723" s="1" t="n">
        <v>46087</v>
      </c>
      <c r="D723" t="inlineStr">
        <is>
          <t>ÖSTERGÖTLANDS LÄN</t>
        </is>
      </c>
      <c r="E723" t="inlineStr">
        <is>
          <t>LINKÖPING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55947-2024</t>
        </is>
      </c>
      <c r="B724" s="1" t="n">
        <v>45623</v>
      </c>
      <c r="C724" s="1" t="n">
        <v>46087</v>
      </c>
      <c r="D724" t="inlineStr">
        <is>
          <t>ÖSTERGÖTLANDS LÄN</t>
        </is>
      </c>
      <c r="E724" t="inlineStr">
        <is>
          <t>LINKÖPING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47703-2023</t>
        </is>
      </c>
      <c r="B725" s="1" t="n">
        <v>45203</v>
      </c>
      <c r="C725" s="1" t="n">
        <v>46087</v>
      </c>
      <c r="D725" t="inlineStr">
        <is>
          <t>ÖSTERGÖTLANDS LÄN</t>
        </is>
      </c>
      <c r="E725" t="inlineStr">
        <is>
          <t>LINKÖPING</t>
        </is>
      </c>
      <c r="G725" t="n">
        <v>4.1</v>
      </c>
      <c r="H725" t="n">
        <v>0</v>
      </c>
      <c r="I725" t="n">
        <v>0</v>
      </c>
      <c r="J725" t="n">
        <v>0</v>
      </c>
      <c r="K725" t="n">
        <v>0</v>
      </c>
      <c r="L725" t="n">
        <v>0</v>
      </c>
      <c r="M725" t="n">
        <v>0</v>
      </c>
      <c r="N725" t="n">
        <v>0</v>
      </c>
      <c r="O725" t="n">
        <v>0</v>
      </c>
      <c r="P725" t="n">
        <v>0</v>
      </c>
      <c r="Q725" t="n">
        <v>0</v>
      </c>
      <c r="R725" s="2" t="inlineStr"/>
    </row>
    <row r="726" ht="15" customHeight="1">
      <c r="A726" t="inlineStr">
        <is>
          <t>A 51559-2024</t>
        </is>
      </c>
      <c r="B726" s="1" t="n">
        <v>45604.61431712963</v>
      </c>
      <c r="C726" s="1" t="n">
        <v>46087</v>
      </c>
      <c r="D726" t="inlineStr">
        <is>
          <t>ÖSTERGÖTLANDS LÄN</t>
        </is>
      </c>
      <c r="E726" t="inlineStr">
        <is>
          <t>LINKÖPING</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62353-2022</t>
        </is>
      </c>
      <c r="B727" s="1" t="n">
        <v>44923</v>
      </c>
      <c r="C727" s="1" t="n">
        <v>46087</v>
      </c>
      <c r="D727" t="inlineStr">
        <is>
          <t>ÖSTERGÖTLANDS LÄN</t>
        </is>
      </c>
      <c r="E727" t="inlineStr">
        <is>
          <t>LINKÖPING</t>
        </is>
      </c>
      <c r="F727" t="inlineStr">
        <is>
          <t>Allmännings- och besparingsskogar</t>
        </is>
      </c>
      <c r="G727" t="n">
        <v>1.7</v>
      </c>
      <c r="H727" t="n">
        <v>0</v>
      </c>
      <c r="I727" t="n">
        <v>0</v>
      </c>
      <c r="J727" t="n">
        <v>0</v>
      </c>
      <c r="K727" t="n">
        <v>0</v>
      </c>
      <c r="L727" t="n">
        <v>0</v>
      </c>
      <c r="M727" t="n">
        <v>0</v>
      </c>
      <c r="N727" t="n">
        <v>0</v>
      </c>
      <c r="O727" t="n">
        <v>0</v>
      </c>
      <c r="P727" t="n">
        <v>0</v>
      </c>
      <c r="Q727" t="n">
        <v>0</v>
      </c>
      <c r="R727" s="2" t="inlineStr"/>
    </row>
    <row r="728" ht="15" customHeight="1">
      <c r="A728" t="inlineStr">
        <is>
          <t>A 15754-2025</t>
        </is>
      </c>
      <c r="B728" s="1" t="n">
        <v>45748.56105324074</v>
      </c>
      <c r="C728" s="1" t="n">
        <v>46087</v>
      </c>
      <c r="D728" t="inlineStr">
        <is>
          <t>ÖSTERGÖTLANDS LÄN</t>
        </is>
      </c>
      <c r="E728" t="inlineStr">
        <is>
          <t>LINKÖPING</t>
        </is>
      </c>
      <c r="G728" t="n">
        <v>1.7</v>
      </c>
      <c r="H728" t="n">
        <v>0</v>
      </c>
      <c r="I728" t="n">
        <v>0</v>
      </c>
      <c r="J728" t="n">
        <v>0</v>
      </c>
      <c r="K728" t="n">
        <v>0</v>
      </c>
      <c r="L728" t="n">
        <v>0</v>
      </c>
      <c r="M728" t="n">
        <v>0</v>
      </c>
      <c r="N728" t="n">
        <v>0</v>
      </c>
      <c r="O728" t="n">
        <v>0</v>
      </c>
      <c r="P728" t="n">
        <v>0</v>
      </c>
      <c r="Q728" t="n">
        <v>0</v>
      </c>
      <c r="R728" s="2" t="inlineStr"/>
    </row>
    <row r="729" ht="15" customHeight="1">
      <c r="A729" t="inlineStr">
        <is>
          <t>A 4298-2023</t>
        </is>
      </c>
      <c r="B729" s="1" t="n">
        <v>44953</v>
      </c>
      <c r="C729" s="1" t="n">
        <v>46087</v>
      </c>
      <c r="D729" t="inlineStr">
        <is>
          <t>ÖSTERGÖTLANDS LÄN</t>
        </is>
      </c>
      <c r="E729" t="inlineStr">
        <is>
          <t>LINKÖPING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18145-2021</t>
        </is>
      </c>
      <c r="B730" s="1" t="n">
        <v>44302</v>
      </c>
      <c r="C730" s="1" t="n">
        <v>46087</v>
      </c>
      <c r="D730" t="inlineStr">
        <is>
          <t>ÖSTERGÖTLANDS LÄN</t>
        </is>
      </c>
      <c r="E730" t="inlineStr">
        <is>
          <t>LINKÖPING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25568-2024</t>
        </is>
      </c>
      <c r="B731" s="1" t="n">
        <v>45463.58699074074</v>
      </c>
      <c r="C731" s="1" t="n">
        <v>46087</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38136-2023</t>
        </is>
      </c>
      <c r="B732" s="1" t="n">
        <v>45161.37310185185</v>
      </c>
      <c r="C732" s="1" t="n">
        <v>46087</v>
      </c>
      <c r="D732" t="inlineStr">
        <is>
          <t>ÖSTERGÖTLANDS LÄN</t>
        </is>
      </c>
      <c r="E732" t="inlineStr">
        <is>
          <t>LINKÖPING</t>
        </is>
      </c>
      <c r="G732" t="n">
        <v>5.6</v>
      </c>
      <c r="H732" t="n">
        <v>0</v>
      </c>
      <c r="I732" t="n">
        <v>0</v>
      </c>
      <c r="J732" t="n">
        <v>0</v>
      </c>
      <c r="K732" t="n">
        <v>0</v>
      </c>
      <c r="L732" t="n">
        <v>0</v>
      </c>
      <c r="M732" t="n">
        <v>0</v>
      </c>
      <c r="N732" t="n">
        <v>0</v>
      </c>
      <c r="O732" t="n">
        <v>0</v>
      </c>
      <c r="P732" t="n">
        <v>0</v>
      </c>
      <c r="Q732" t="n">
        <v>0</v>
      </c>
      <c r="R732" s="2" t="inlineStr"/>
    </row>
    <row r="733" ht="15" customHeight="1">
      <c r="A733" t="inlineStr">
        <is>
          <t>A 12317-2025</t>
        </is>
      </c>
      <c r="B733" s="1" t="n">
        <v>45729.8487037037</v>
      </c>
      <c r="C733" s="1" t="n">
        <v>46087</v>
      </c>
      <c r="D733" t="inlineStr">
        <is>
          <t>ÖSTERGÖTLANDS LÄN</t>
        </is>
      </c>
      <c r="E733" t="inlineStr">
        <is>
          <t>LINKÖPING</t>
        </is>
      </c>
      <c r="G733" t="n">
        <v>8</v>
      </c>
      <c r="H733" t="n">
        <v>0</v>
      </c>
      <c r="I733" t="n">
        <v>0</v>
      </c>
      <c r="J733" t="n">
        <v>0</v>
      </c>
      <c r="K733" t="n">
        <v>0</v>
      </c>
      <c r="L733" t="n">
        <v>0</v>
      </c>
      <c r="M733" t="n">
        <v>0</v>
      </c>
      <c r="N733" t="n">
        <v>0</v>
      </c>
      <c r="O733" t="n">
        <v>0</v>
      </c>
      <c r="P733" t="n">
        <v>0</v>
      </c>
      <c r="Q733" t="n">
        <v>0</v>
      </c>
      <c r="R733" s="2" t="inlineStr"/>
    </row>
    <row r="734" ht="15" customHeight="1">
      <c r="A734" t="inlineStr">
        <is>
          <t>A 14528-2025</t>
        </is>
      </c>
      <c r="B734" s="1" t="n">
        <v>45741</v>
      </c>
      <c r="C734" s="1" t="n">
        <v>46087</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61649-2023</t>
        </is>
      </c>
      <c r="B735" s="1" t="n">
        <v>45265</v>
      </c>
      <c r="C735" s="1" t="n">
        <v>46087</v>
      </c>
      <c r="D735" t="inlineStr">
        <is>
          <t>ÖSTERGÖTLANDS LÄN</t>
        </is>
      </c>
      <c r="E735" t="inlineStr">
        <is>
          <t>LINKÖPING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60985-2023</t>
        </is>
      </c>
      <c r="B736" s="1" t="n">
        <v>45261.48429398148</v>
      </c>
      <c r="C736" s="1" t="n">
        <v>46087</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421-2024</t>
        </is>
      </c>
      <c r="B737" s="1" t="n">
        <v>45296.51877314815</v>
      </c>
      <c r="C737" s="1" t="n">
        <v>46087</v>
      </c>
      <c r="D737" t="inlineStr">
        <is>
          <t>ÖSTERGÖTLANDS LÄN</t>
        </is>
      </c>
      <c r="E737" t="inlineStr">
        <is>
          <t>LINKÖPING</t>
        </is>
      </c>
      <c r="G737" t="n">
        <v>3.7</v>
      </c>
      <c r="H737" t="n">
        <v>0</v>
      </c>
      <c r="I737" t="n">
        <v>0</v>
      </c>
      <c r="J737" t="n">
        <v>0</v>
      </c>
      <c r="K737" t="n">
        <v>0</v>
      </c>
      <c r="L737" t="n">
        <v>0</v>
      </c>
      <c r="M737" t="n">
        <v>0</v>
      </c>
      <c r="N737" t="n">
        <v>0</v>
      </c>
      <c r="O737" t="n">
        <v>0</v>
      </c>
      <c r="P737" t="n">
        <v>0</v>
      </c>
      <c r="Q737" t="n">
        <v>0</v>
      </c>
      <c r="R737" s="2" t="inlineStr"/>
    </row>
    <row r="738" ht="15" customHeight="1">
      <c r="A738" t="inlineStr">
        <is>
          <t>A 51405-2023</t>
        </is>
      </c>
      <c r="B738" s="1" t="n">
        <v>45219</v>
      </c>
      <c r="C738" s="1" t="n">
        <v>46087</v>
      </c>
      <c r="D738" t="inlineStr">
        <is>
          <t>ÖSTERGÖTLANDS LÄN</t>
        </is>
      </c>
      <c r="E738" t="inlineStr">
        <is>
          <t>LINKÖPING</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53639-2023</t>
        </is>
      </c>
      <c r="B739" s="1" t="n">
        <v>45230.59686342593</v>
      </c>
      <c r="C739" s="1" t="n">
        <v>46087</v>
      </c>
      <c r="D739" t="inlineStr">
        <is>
          <t>ÖSTERGÖTLANDS LÄN</t>
        </is>
      </c>
      <c r="E739" t="inlineStr">
        <is>
          <t>LINKÖPING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24467-2023</t>
        </is>
      </c>
      <c r="B740" s="1" t="n">
        <v>45082</v>
      </c>
      <c r="C740" s="1" t="n">
        <v>46087</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62488-2023</t>
        </is>
      </c>
      <c r="B741" s="1" t="n">
        <v>45268.5847337963</v>
      </c>
      <c r="C741" s="1" t="n">
        <v>46087</v>
      </c>
      <c r="D741" t="inlineStr">
        <is>
          <t>ÖSTERGÖTLANDS LÄN</t>
        </is>
      </c>
      <c r="E741" t="inlineStr">
        <is>
          <t>LINKÖPING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62495-2023</t>
        </is>
      </c>
      <c r="B742" s="1" t="n">
        <v>45268.59717592593</v>
      </c>
      <c r="C742" s="1" t="n">
        <v>46087</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10198-2023</t>
        </is>
      </c>
      <c r="B743" s="1" t="n">
        <v>44986.54665509259</v>
      </c>
      <c r="C743" s="1" t="n">
        <v>46087</v>
      </c>
      <c r="D743" t="inlineStr">
        <is>
          <t>ÖSTERGÖTLANDS LÄN</t>
        </is>
      </c>
      <c r="E743" t="inlineStr">
        <is>
          <t>LINKÖPING</t>
        </is>
      </c>
      <c r="G743" t="n">
        <v>4.6</v>
      </c>
      <c r="H743" t="n">
        <v>0</v>
      </c>
      <c r="I743" t="n">
        <v>0</v>
      </c>
      <c r="J743" t="n">
        <v>0</v>
      </c>
      <c r="K743" t="n">
        <v>0</v>
      </c>
      <c r="L743" t="n">
        <v>0</v>
      </c>
      <c r="M743" t="n">
        <v>0</v>
      </c>
      <c r="N743" t="n">
        <v>0</v>
      </c>
      <c r="O743" t="n">
        <v>0</v>
      </c>
      <c r="P743" t="n">
        <v>0</v>
      </c>
      <c r="Q743" t="n">
        <v>0</v>
      </c>
      <c r="R743" s="2" t="inlineStr"/>
    </row>
    <row r="744" ht="15" customHeight="1">
      <c r="A744" t="inlineStr">
        <is>
          <t>A 22771-2024</t>
        </is>
      </c>
      <c r="B744" s="1" t="n">
        <v>45448.46574074074</v>
      </c>
      <c r="C744" s="1" t="n">
        <v>46087</v>
      </c>
      <c r="D744" t="inlineStr">
        <is>
          <t>ÖSTERGÖTLANDS LÄN</t>
        </is>
      </c>
      <c r="E744" t="inlineStr">
        <is>
          <t>LINKÖPING</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17128-2025</t>
        </is>
      </c>
      <c r="B745" s="1" t="n">
        <v>45755.72622685185</v>
      </c>
      <c r="C745" s="1" t="n">
        <v>46087</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62018-2024</t>
        </is>
      </c>
      <c r="B746" s="1" t="n">
        <v>45655.81387731482</v>
      </c>
      <c r="C746" s="1" t="n">
        <v>46087</v>
      </c>
      <c r="D746" t="inlineStr">
        <is>
          <t>ÖSTERGÖTLANDS LÄN</t>
        </is>
      </c>
      <c r="E746" t="inlineStr">
        <is>
          <t>LINKÖPING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62073-2023</t>
        </is>
      </c>
      <c r="B747" s="1" t="n">
        <v>45266.73844907407</v>
      </c>
      <c r="C747" s="1" t="n">
        <v>46087</v>
      </c>
      <c r="D747" t="inlineStr">
        <is>
          <t>ÖSTERGÖTLANDS LÄN</t>
        </is>
      </c>
      <c r="E747" t="inlineStr">
        <is>
          <t>LINKÖPING</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672-2024</t>
        </is>
      </c>
      <c r="B748" s="1" t="n">
        <v>45300</v>
      </c>
      <c r="C748" s="1" t="n">
        <v>46087</v>
      </c>
      <c r="D748" t="inlineStr">
        <is>
          <t>ÖSTERGÖTLANDS LÄN</t>
        </is>
      </c>
      <c r="E748" t="inlineStr">
        <is>
          <t>LINKÖPING</t>
        </is>
      </c>
      <c r="F748" t="inlineStr">
        <is>
          <t>Sveaskog</t>
        </is>
      </c>
      <c r="G748" t="n">
        <v>4.5</v>
      </c>
      <c r="H748" t="n">
        <v>0</v>
      </c>
      <c r="I748" t="n">
        <v>0</v>
      </c>
      <c r="J748" t="n">
        <v>0</v>
      </c>
      <c r="K748" t="n">
        <v>0</v>
      </c>
      <c r="L748" t="n">
        <v>0</v>
      </c>
      <c r="M748" t="n">
        <v>0</v>
      </c>
      <c r="N748" t="n">
        <v>0</v>
      </c>
      <c r="O748" t="n">
        <v>0</v>
      </c>
      <c r="P748" t="n">
        <v>0</v>
      </c>
      <c r="Q748" t="n">
        <v>0</v>
      </c>
      <c r="R748" s="2" t="inlineStr"/>
    </row>
    <row r="749">
      <c r="A749" t="inlineStr">
        <is>
          <t>A 42832-2023</t>
        </is>
      </c>
      <c r="B749" s="1" t="n">
        <v>45182.38091435185</v>
      </c>
      <c r="C749" s="1" t="n">
        <v>46087</v>
      </c>
      <c r="D749" t="inlineStr">
        <is>
          <t>ÖSTERGÖTLANDS LÄN</t>
        </is>
      </c>
      <c r="E749" t="inlineStr">
        <is>
          <t>LINKÖPING</t>
        </is>
      </c>
      <c r="G749" t="n">
        <v>2.5</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2026-03-06T11:17:03Z</dcterms:created>
  <dcterms:modified xmlns:dcterms="http://purl.org/dc/terms/" xmlns:xsi="http://www.w3.org/2001/XMLSchema-instance" xsi:type="dcterms:W3CDTF">2026-03-06T11:17:03Z</dcterms:modified>
</cp:coreProperties>
</file>