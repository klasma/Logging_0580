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46179</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46179</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46179</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46179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46179</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46179</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46179</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6353-2026</t>
        </is>
      </c>
      <c r="B16" s="1" t="n">
        <v>46055.61385416667</v>
      </c>
      <c r="C16" s="1" t="n">
        <v>46179</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46179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11097-2026</t>
        </is>
      </c>
      <c r="B18" s="1" t="n">
        <v>46079.64511574074</v>
      </c>
      <c r="C18" s="1" t="n">
        <v>46179</v>
      </c>
      <c r="D18" t="inlineStr">
        <is>
          <t>ÖSTERGÖTLANDS LÄN</t>
        </is>
      </c>
      <c r="E18" t="inlineStr">
        <is>
          <t>LINKÖPING</t>
        </is>
      </c>
      <c r="G18" t="n">
        <v>3.7</v>
      </c>
      <c r="H18" t="n">
        <v>0</v>
      </c>
      <c r="I18" t="n">
        <v>1</v>
      </c>
      <c r="J18" t="n">
        <v>2</v>
      </c>
      <c r="K18" t="n">
        <v>0</v>
      </c>
      <c r="L18" t="n">
        <v>0</v>
      </c>
      <c r="M18" t="n">
        <v>0</v>
      </c>
      <c r="N18" t="n">
        <v>0</v>
      </c>
      <c r="O18" t="n">
        <v>2</v>
      </c>
      <c r="P18" t="n">
        <v>0</v>
      </c>
      <c r="Q18" t="n">
        <v>3</v>
      </c>
      <c r="R18" s="2" t="inlineStr">
        <is>
          <t>Bäcksidenmossa
Vedtrappmossa
Trubbfjädermossa</t>
        </is>
      </c>
      <c r="S18">
        <f>HYPERLINK("https://klasma.github.io/Logging_0580/artfynd/A 11097-2026 artfynd.xlsx", "A 11097-2026")</f>
        <v/>
      </c>
      <c r="T18">
        <f>HYPERLINK("https://klasma.github.io/Logging_0580/kartor/A 11097-2026 karta.png", "A 11097-2026")</f>
        <v/>
      </c>
      <c r="V18">
        <f>HYPERLINK("https://klasma.github.io/Logging_0580/klagomål/A 11097-2026 FSC-klagomål.docx", "A 11097-2026")</f>
        <v/>
      </c>
      <c r="W18">
        <f>HYPERLINK("https://klasma.github.io/Logging_0580/klagomålsmail/A 11097-2026 FSC-klagomål mail.docx", "A 11097-2026")</f>
        <v/>
      </c>
      <c r="X18">
        <f>HYPERLINK("https://klasma.github.io/Logging_0580/tillsyn/A 11097-2026 tillsynsbegäran.docx", "A 11097-2026")</f>
        <v/>
      </c>
      <c r="Y18">
        <f>HYPERLINK("https://klasma.github.io/Logging_0580/tillsynsmail/A 11097-2026 tillsynsbegäran mail.docx", "A 11097-2026")</f>
        <v/>
      </c>
    </row>
    <row r="19" ht="15" customHeight="1">
      <c r="A19" t="inlineStr">
        <is>
          <t>A 11048-2026</t>
        </is>
      </c>
      <c r="B19" s="1" t="n">
        <v>46079.58841435185</v>
      </c>
      <c r="C19" s="1" t="n">
        <v>46179</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12494-2026</t>
        </is>
      </c>
      <c r="B20" s="1" t="n">
        <v>46090.56896990741</v>
      </c>
      <c r="C20" s="1" t="n">
        <v>46179</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17275-2025</t>
        </is>
      </c>
      <c r="B21" s="1" t="n">
        <v>45756.55734953703</v>
      </c>
      <c r="C21" s="1" t="n">
        <v>46179</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4256-2022</t>
        </is>
      </c>
      <c r="B22" s="1" t="n">
        <v>44588</v>
      </c>
      <c r="C22" s="1" t="n">
        <v>46179</v>
      </c>
      <c r="D22" t="inlineStr">
        <is>
          <t>ÖSTERGÖTLANDS LÄN</t>
        </is>
      </c>
      <c r="E22" t="inlineStr">
        <is>
          <t>LINKÖPING</t>
        </is>
      </c>
      <c r="G22" t="n">
        <v>1.4</v>
      </c>
      <c r="H22" t="n">
        <v>2</v>
      </c>
      <c r="I22" t="n">
        <v>0</v>
      </c>
      <c r="J22" t="n">
        <v>2</v>
      </c>
      <c r="K22" t="n">
        <v>1</v>
      </c>
      <c r="L22" t="n">
        <v>0</v>
      </c>
      <c r="M22" t="n">
        <v>0</v>
      </c>
      <c r="N22" t="n">
        <v>0</v>
      </c>
      <c r="O22" t="n">
        <v>3</v>
      </c>
      <c r="P22" t="n">
        <v>1</v>
      </c>
      <c r="Q22" t="n">
        <v>3</v>
      </c>
      <c r="R22" s="2" t="inlineStr">
        <is>
          <t>Stare
Asksolvecklare
Gulsparv</t>
        </is>
      </c>
      <c r="S22">
        <f>HYPERLINK("https://klasma.github.io/Logging_0580/artfynd/A 4256-2022 artfynd.xlsx", "A 4256-2022")</f>
        <v/>
      </c>
      <c r="T22">
        <f>HYPERLINK("https://klasma.github.io/Logging_0580/kartor/A 4256-2022 karta.png", "A 4256-2022")</f>
        <v/>
      </c>
      <c r="V22">
        <f>HYPERLINK("https://klasma.github.io/Logging_0580/klagomål/A 4256-2022 FSC-klagomål.docx", "A 4256-2022")</f>
        <v/>
      </c>
      <c r="W22">
        <f>HYPERLINK("https://klasma.github.io/Logging_0580/klagomålsmail/A 4256-2022 FSC-klagomål mail.docx", "A 4256-2022")</f>
        <v/>
      </c>
      <c r="X22">
        <f>HYPERLINK("https://klasma.github.io/Logging_0580/tillsyn/A 4256-2022 tillsynsbegäran.docx", "A 4256-2022")</f>
        <v/>
      </c>
      <c r="Y22">
        <f>HYPERLINK("https://klasma.github.io/Logging_0580/tillsynsmail/A 4256-2022 tillsynsbegäran mail.docx", "A 4256-2022")</f>
        <v/>
      </c>
      <c r="Z22">
        <f>HYPERLINK("https://klasma.github.io/Logging_0580/fåglar/A 4256-2022 prioriterade fågelarter.docx", "A 4256-2022")</f>
        <v/>
      </c>
    </row>
    <row r="23" ht="15" customHeight="1">
      <c r="A23" t="inlineStr">
        <is>
          <t>A 38913-2023</t>
        </is>
      </c>
      <c r="B23" s="1" t="n">
        <v>45163</v>
      </c>
      <c r="C23" s="1" t="n">
        <v>46179</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46179</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46179</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46179</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46179</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46179</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46179</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46179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3912-2026</t>
        </is>
      </c>
      <c r="B31" s="1" t="n">
        <v>46043.71958333333</v>
      </c>
      <c r="C31" s="1" t="n">
        <v>46179</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27795-2025</t>
        </is>
      </c>
      <c r="B32" s="1" t="n">
        <v>45816.7908912037</v>
      </c>
      <c r="C32" s="1" t="n">
        <v>46179</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27981-2022</t>
        </is>
      </c>
      <c r="B33" s="1" t="n">
        <v>44745</v>
      </c>
      <c r="C33" s="1" t="n">
        <v>46179</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25985-2025</t>
        </is>
      </c>
      <c r="B34" s="1" t="n">
        <v>45804.64479166667</v>
      </c>
      <c r="C34" s="1" t="n">
        <v>46179</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50048-2025</t>
        </is>
      </c>
      <c r="B35" s="1" t="n">
        <v>45941</v>
      </c>
      <c r="C35" s="1" t="n">
        <v>46179</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58068-2021</t>
        </is>
      </c>
      <c r="B36" s="1" t="n">
        <v>44487</v>
      </c>
      <c r="C36" s="1" t="n">
        <v>46179</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12247-2026</t>
        </is>
      </c>
      <c r="B37" s="1" t="n">
        <v>46087.44436342592</v>
      </c>
      <c r="C37" s="1" t="n">
        <v>46179</v>
      </c>
      <c r="D37" t="inlineStr">
        <is>
          <t>ÖSTERGÖTLANDS LÄN</t>
        </is>
      </c>
      <c r="E37" t="inlineStr">
        <is>
          <t>LINKÖPING</t>
        </is>
      </c>
      <c r="G37" t="n">
        <v>0.9</v>
      </c>
      <c r="H37" t="n">
        <v>1</v>
      </c>
      <c r="I37" t="n">
        <v>0</v>
      </c>
      <c r="J37" t="n">
        <v>2</v>
      </c>
      <c r="K37" t="n">
        <v>0</v>
      </c>
      <c r="L37" t="n">
        <v>0</v>
      </c>
      <c r="M37" t="n">
        <v>0</v>
      </c>
      <c r="N37" t="n">
        <v>0</v>
      </c>
      <c r="O37" t="n">
        <v>2</v>
      </c>
      <c r="P37" t="n">
        <v>0</v>
      </c>
      <c r="Q37" t="n">
        <v>2</v>
      </c>
      <c r="R37" s="2" t="inlineStr">
        <is>
          <t>Spillkråka
Vedtrappmossa</t>
        </is>
      </c>
      <c r="S37">
        <f>HYPERLINK("https://klasma.github.io/Logging_0580/artfynd/A 12247-2026 artfynd.xlsx", "A 12247-2026")</f>
        <v/>
      </c>
      <c r="T37">
        <f>HYPERLINK("https://klasma.github.io/Logging_0580/kartor/A 12247-2026 karta.png", "A 12247-2026")</f>
        <v/>
      </c>
      <c r="V37">
        <f>HYPERLINK("https://klasma.github.io/Logging_0580/klagomål/A 12247-2026 FSC-klagomål.docx", "A 12247-2026")</f>
        <v/>
      </c>
      <c r="W37">
        <f>HYPERLINK("https://klasma.github.io/Logging_0580/klagomålsmail/A 12247-2026 FSC-klagomål mail.docx", "A 12247-2026")</f>
        <v/>
      </c>
      <c r="X37">
        <f>HYPERLINK("https://klasma.github.io/Logging_0580/tillsyn/A 12247-2026 tillsynsbegäran.docx", "A 12247-2026")</f>
        <v/>
      </c>
      <c r="Y37">
        <f>HYPERLINK("https://klasma.github.io/Logging_0580/tillsynsmail/A 12247-2026 tillsynsbegäran mail.docx", "A 12247-2026")</f>
        <v/>
      </c>
      <c r="Z37">
        <f>HYPERLINK("https://klasma.github.io/Logging_0580/fåglar/A 12247-2026 prioriterade fågelarter.docx", "A 12247-2026")</f>
        <v/>
      </c>
    </row>
    <row r="38" ht="15" customHeight="1">
      <c r="A38" t="inlineStr">
        <is>
          <t>A 21228-2026</t>
        </is>
      </c>
      <c r="B38" s="1" t="n">
        <v>46146.7919212963</v>
      </c>
      <c r="C38" s="1" t="n">
        <v>46179</v>
      </c>
      <c r="D38" t="inlineStr">
        <is>
          <t>ÖSTERGÖTLANDS LÄN</t>
        </is>
      </c>
      <c r="E38" t="inlineStr">
        <is>
          <t>LINKÖPING</t>
        </is>
      </c>
      <c r="G38" t="n">
        <v>2.5</v>
      </c>
      <c r="H38" t="n">
        <v>2</v>
      </c>
      <c r="I38" t="n">
        <v>0</v>
      </c>
      <c r="J38" t="n">
        <v>0</v>
      </c>
      <c r="K38" t="n">
        <v>0</v>
      </c>
      <c r="L38" t="n">
        <v>0</v>
      </c>
      <c r="M38" t="n">
        <v>0</v>
      </c>
      <c r="N38" t="n">
        <v>0</v>
      </c>
      <c r="O38" t="n">
        <v>0</v>
      </c>
      <c r="P38" t="n">
        <v>0</v>
      </c>
      <c r="Q38" t="n">
        <v>2</v>
      </c>
      <c r="R38" s="2" t="inlineStr">
        <is>
          <t>Kungsfågel
Vanlig groda</t>
        </is>
      </c>
      <c r="S38">
        <f>HYPERLINK("https://klasma.github.io/Logging_0580/artfynd/A 21228-2026 artfynd.xlsx", "A 21228-2026")</f>
        <v/>
      </c>
      <c r="T38">
        <f>HYPERLINK("https://klasma.github.io/Logging_0580/kartor/A 21228-2026 karta.png", "A 21228-2026")</f>
        <v/>
      </c>
      <c r="V38">
        <f>HYPERLINK("https://klasma.github.io/Logging_0580/klagomål/A 21228-2026 FSC-klagomål.docx", "A 21228-2026")</f>
        <v/>
      </c>
      <c r="W38">
        <f>HYPERLINK("https://klasma.github.io/Logging_0580/klagomålsmail/A 21228-2026 FSC-klagomål mail.docx", "A 21228-2026")</f>
        <v/>
      </c>
      <c r="X38">
        <f>HYPERLINK("https://klasma.github.io/Logging_0580/tillsyn/A 21228-2026 tillsynsbegäran.docx", "A 21228-2026")</f>
        <v/>
      </c>
      <c r="Y38">
        <f>HYPERLINK("https://klasma.github.io/Logging_0580/tillsynsmail/A 21228-2026 tillsynsbegäran mail.docx", "A 21228-2026")</f>
        <v/>
      </c>
      <c r="Z38">
        <f>HYPERLINK("https://klasma.github.io/Logging_0580/fåglar/A 21228-2026 prioriterade fågelarter.docx", "A 21228-2026")</f>
        <v/>
      </c>
    </row>
    <row r="39" ht="15" customHeight="1">
      <c r="A39" t="inlineStr">
        <is>
          <t>A 15856-2026</t>
        </is>
      </c>
      <c r="B39" s="1" t="n">
        <v>46107.57620370371</v>
      </c>
      <c r="C39" s="1" t="n">
        <v>46179</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15844-2026</t>
        </is>
      </c>
      <c r="B40" s="1" t="n">
        <v>46107.56542824074</v>
      </c>
      <c r="C40" s="1" t="n">
        <v>46179</v>
      </c>
      <c r="D40" t="inlineStr">
        <is>
          <t>ÖSTERGÖTLANDS LÄN</t>
        </is>
      </c>
      <c r="E40" t="inlineStr">
        <is>
          <t>LINKÖPING</t>
        </is>
      </c>
      <c r="F40" t="inlineStr">
        <is>
          <t>Sveaskog</t>
        </is>
      </c>
      <c r="G40" t="n">
        <v>10.6</v>
      </c>
      <c r="H40" t="n">
        <v>0</v>
      </c>
      <c r="I40" t="n">
        <v>2</v>
      </c>
      <c r="J40" t="n">
        <v>0</v>
      </c>
      <c r="K40" t="n">
        <v>0</v>
      </c>
      <c r="L40" t="n">
        <v>0</v>
      </c>
      <c r="M40" t="n">
        <v>0</v>
      </c>
      <c r="N40" t="n">
        <v>0</v>
      </c>
      <c r="O40" t="n">
        <v>0</v>
      </c>
      <c r="P40" t="n">
        <v>0</v>
      </c>
      <c r="Q40" t="n">
        <v>2</v>
      </c>
      <c r="R40" s="2" t="inlineStr">
        <is>
          <t>Fällmossa
Toppvaxing</t>
        </is>
      </c>
      <c r="S40">
        <f>HYPERLINK("https://klasma.github.io/Logging_0580/artfynd/A 15844-2026 artfynd.xlsx", "A 15844-2026")</f>
        <v/>
      </c>
      <c r="T40">
        <f>HYPERLINK("https://klasma.github.io/Logging_0580/kartor/A 15844-2026 karta.png", "A 15844-2026")</f>
        <v/>
      </c>
      <c r="V40">
        <f>HYPERLINK("https://klasma.github.io/Logging_0580/klagomål/A 15844-2026 FSC-klagomål.docx", "A 15844-2026")</f>
        <v/>
      </c>
      <c r="W40">
        <f>HYPERLINK("https://klasma.github.io/Logging_0580/klagomålsmail/A 15844-2026 FSC-klagomål mail.docx", "A 15844-2026")</f>
        <v/>
      </c>
      <c r="X40">
        <f>HYPERLINK("https://klasma.github.io/Logging_0580/tillsyn/A 15844-2026 tillsynsbegäran.docx", "A 15844-2026")</f>
        <v/>
      </c>
      <c r="Y40">
        <f>HYPERLINK("https://klasma.github.io/Logging_0580/tillsynsmail/A 15844-2026 tillsynsbegäran mail.docx", "A 15844-2026")</f>
        <v/>
      </c>
    </row>
    <row r="41" ht="15" customHeight="1">
      <c r="A41" t="inlineStr">
        <is>
          <t>A 22074-2026</t>
        </is>
      </c>
      <c r="B41" s="1" t="n">
        <v>46153.50032407408</v>
      </c>
      <c r="C41" s="1" t="n">
        <v>46179</v>
      </c>
      <c r="D41" t="inlineStr">
        <is>
          <t>ÖSTERGÖTLANDS LÄN</t>
        </is>
      </c>
      <c r="E41" t="inlineStr">
        <is>
          <t>LINKÖPING</t>
        </is>
      </c>
      <c r="G41" t="n">
        <v>1.9</v>
      </c>
      <c r="H41" t="n">
        <v>0</v>
      </c>
      <c r="I41" t="n">
        <v>2</v>
      </c>
      <c r="J41" t="n">
        <v>0</v>
      </c>
      <c r="K41" t="n">
        <v>0</v>
      </c>
      <c r="L41" t="n">
        <v>0</v>
      </c>
      <c r="M41" t="n">
        <v>0</v>
      </c>
      <c r="N41" t="n">
        <v>0</v>
      </c>
      <c r="O41" t="n">
        <v>0</v>
      </c>
      <c r="P41" t="n">
        <v>0</v>
      </c>
      <c r="Q41" t="n">
        <v>2</v>
      </c>
      <c r="R41" s="2" t="inlineStr">
        <is>
          <t>Blomkålssvamp
Mandelriska</t>
        </is>
      </c>
      <c r="S41">
        <f>HYPERLINK("https://klasma.github.io/Logging_0580/artfynd/A 22074-2026 artfynd.xlsx", "A 22074-2026")</f>
        <v/>
      </c>
      <c r="T41">
        <f>HYPERLINK("https://klasma.github.io/Logging_0580/kartor/A 22074-2026 karta.png", "A 22074-2026")</f>
        <v/>
      </c>
      <c r="V41">
        <f>HYPERLINK("https://klasma.github.io/Logging_0580/klagomål/A 22074-2026 FSC-klagomål.docx", "A 22074-2026")</f>
        <v/>
      </c>
      <c r="W41">
        <f>HYPERLINK("https://klasma.github.io/Logging_0580/klagomålsmail/A 22074-2026 FSC-klagomål mail.docx", "A 22074-2026")</f>
        <v/>
      </c>
      <c r="X41">
        <f>HYPERLINK("https://klasma.github.io/Logging_0580/tillsyn/A 22074-2026 tillsynsbegäran.docx", "A 22074-2026")</f>
        <v/>
      </c>
      <c r="Y41">
        <f>HYPERLINK("https://klasma.github.io/Logging_0580/tillsynsmail/A 22074-2026 tillsynsbegäran mail.docx", "A 22074-2026")</f>
        <v/>
      </c>
    </row>
    <row r="42" ht="15" customHeight="1">
      <c r="A42" t="inlineStr">
        <is>
          <t>A 42858-2023</t>
        </is>
      </c>
      <c r="B42" s="1" t="n">
        <v>45177</v>
      </c>
      <c r="C42" s="1" t="n">
        <v>46179</v>
      </c>
      <c r="D42" t="inlineStr">
        <is>
          <t>ÖSTERGÖTLANDS LÄN</t>
        </is>
      </c>
      <c r="E42" t="inlineStr">
        <is>
          <t>LINKÖPING</t>
        </is>
      </c>
      <c r="G42" t="n">
        <v>5.3</v>
      </c>
      <c r="H42" t="n">
        <v>1</v>
      </c>
      <c r="I42" t="n">
        <v>0</v>
      </c>
      <c r="J42" t="n">
        <v>1</v>
      </c>
      <c r="K42" t="n">
        <v>0</v>
      </c>
      <c r="L42" t="n">
        <v>0</v>
      </c>
      <c r="M42" t="n">
        <v>0</v>
      </c>
      <c r="N42" t="n">
        <v>0</v>
      </c>
      <c r="O42" t="n">
        <v>1</v>
      </c>
      <c r="P42" t="n">
        <v>0</v>
      </c>
      <c r="Q42" t="n">
        <v>2</v>
      </c>
      <c r="R42" s="2" t="inlineStr">
        <is>
          <t>Svinrot
Skogsödla</t>
        </is>
      </c>
      <c r="S42">
        <f>HYPERLINK("https://klasma.github.io/Logging_0580/artfynd/A 42858-2023 artfynd.xlsx", "A 42858-2023")</f>
        <v/>
      </c>
      <c r="T42">
        <f>HYPERLINK("https://klasma.github.io/Logging_0580/kartor/A 42858-2023 karta.png", "A 42858-2023")</f>
        <v/>
      </c>
      <c r="V42">
        <f>HYPERLINK("https://klasma.github.io/Logging_0580/klagomål/A 42858-2023 FSC-klagomål.docx", "A 42858-2023")</f>
        <v/>
      </c>
      <c r="W42">
        <f>HYPERLINK("https://klasma.github.io/Logging_0580/klagomålsmail/A 42858-2023 FSC-klagomål mail.docx", "A 42858-2023")</f>
        <v/>
      </c>
      <c r="X42">
        <f>HYPERLINK("https://klasma.github.io/Logging_0580/tillsyn/A 42858-2023 tillsynsbegäran.docx", "A 42858-2023")</f>
        <v/>
      </c>
      <c r="Y42">
        <f>HYPERLINK("https://klasma.github.io/Logging_0580/tillsynsmail/A 42858-2023 tillsynsbegäran mail.docx", "A 42858-2023")</f>
        <v/>
      </c>
    </row>
    <row r="43" ht="15" customHeight="1">
      <c r="A43" t="inlineStr">
        <is>
          <t>A 41751-2023</t>
        </is>
      </c>
      <c r="B43" s="1" t="n">
        <v>45176</v>
      </c>
      <c r="C43" s="1" t="n">
        <v>46179</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46179</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55344-2024</t>
        </is>
      </c>
      <c r="B45" s="1" t="n">
        <v>45621.7202662037</v>
      </c>
      <c r="C45" s="1" t="n">
        <v>46179</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22040-2023</t>
        </is>
      </c>
      <c r="B46" s="1" t="n">
        <v>45068</v>
      </c>
      <c r="C46" s="1" t="n">
        <v>46179</v>
      </c>
      <c r="D46" t="inlineStr">
        <is>
          <t>ÖSTERGÖTLANDS LÄN</t>
        </is>
      </c>
      <c r="E46" t="inlineStr">
        <is>
          <t>LINKÖPING</t>
        </is>
      </c>
      <c r="F46" t="inlineStr">
        <is>
          <t>Kommuner</t>
        </is>
      </c>
      <c r="G46" t="n">
        <v>1</v>
      </c>
      <c r="H46" t="n">
        <v>1</v>
      </c>
      <c r="I46" t="n">
        <v>1</v>
      </c>
      <c r="J46" t="n">
        <v>0</v>
      </c>
      <c r="K46" t="n">
        <v>1</v>
      </c>
      <c r="L46" t="n">
        <v>0</v>
      </c>
      <c r="M46" t="n">
        <v>0</v>
      </c>
      <c r="N46" t="n">
        <v>0</v>
      </c>
      <c r="O46" t="n">
        <v>1</v>
      </c>
      <c r="P46" t="n">
        <v>1</v>
      </c>
      <c r="Q46" t="n">
        <v>2</v>
      </c>
      <c r="R46" s="2" t="inlineStr">
        <is>
          <t>Bombmurkla
Skarp dropptaggsvamp</t>
        </is>
      </c>
      <c r="S46">
        <f>HYPERLINK("https://klasma.github.io/Logging_0580/artfynd/A 22040-2023 artfynd.xlsx", "A 22040-2023")</f>
        <v/>
      </c>
      <c r="T46">
        <f>HYPERLINK("https://klasma.github.io/Logging_0580/kartor/A 22040-2023 karta.png", "A 22040-2023")</f>
        <v/>
      </c>
      <c r="V46">
        <f>HYPERLINK("https://klasma.github.io/Logging_0580/klagomål/A 22040-2023 FSC-klagomål.docx", "A 22040-2023")</f>
        <v/>
      </c>
      <c r="W46">
        <f>HYPERLINK("https://klasma.github.io/Logging_0580/klagomålsmail/A 22040-2023 FSC-klagomål mail.docx", "A 22040-2023")</f>
        <v/>
      </c>
      <c r="X46">
        <f>HYPERLINK("https://klasma.github.io/Logging_0580/tillsyn/A 22040-2023 tillsynsbegäran.docx", "A 22040-2023")</f>
        <v/>
      </c>
      <c r="Y46">
        <f>HYPERLINK("https://klasma.github.io/Logging_0580/tillsynsmail/A 22040-2023 tillsynsbegäran mail.docx", "A 22040-2023")</f>
        <v/>
      </c>
    </row>
    <row r="47" ht="15" customHeight="1">
      <c r="A47" t="inlineStr">
        <is>
          <t>A 50404-2023</t>
        </is>
      </c>
      <c r="B47" s="1" t="n">
        <v>45216</v>
      </c>
      <c r="C47" s="1" t="n">
        <v>46179</v>
      </c>
      <c r="D47" t="inlineStr">
        <is>
          <t>ÖSTERGÖTLANDS LÄN</t>
        </is>
      </c>
      <c r="E47" t="inlineStr">
        <is>
          <t>LINKÖPING</t>
        </is>
      </c>
      <c r="G47" t="n">
        <v>1.2</v>
      </c>
      <c r="H47" t="n">
        <v>1</v>
      </c>
      <c r="I47" t="n">
        <v>1</v>
      </c>
      <c r="J47" t="n">
        <v>0</v>
      </c>
      <c r="K47" t="n">
        <v>0</v>
      </c>
      <c r="L47" t="n">
        <v>0</v>
      </c>
      <c r="M47" t="n">
        <v>0</v>
      </c>
      <c r="N47" t="n">
        <v>0</v>
      </c>
      <c r="O47" t="n">
        <v>0</v>
      </c>
      <c r="P47" t="n">
        <v>0</v>
      </c>
      <c r="Q47" t="n">
        <v>2</v>
      </c>
      <c r="R47" s="2" t="inlineStr">
        <is>
          <t>Hasselticka
Gullviva</t>
        </is>
      </c>
      <c r="S47">
        <f>HYPERLINK("https://klasma.github.io/Logging_0580/artfynd/A 50404-2023 artfynd.xlsx", "A 50404-2023")</f>
        <v/>
      </c>
      <c r="T47">
        <f>HYPERLINK("https://klasma.github.io/Logging_0580/kartor/A 50404-2023 karta.png", "A 50404-2023")</f>
        <v/>
      </c>
      <c r="V47">
        <f>HYPERLINK("https://klasma.github.io/Logging_0580/klagomål/A 50404-2023 FSC-klagomål.docx", "A 50404-2023")</f>
        <v/>
      </c>
      <c r="W47">
        <f>HYPERLINK("https://klasma.github.io/Logging_0580/klagomålsmail/A 50404-2023 FSC-klagomål mail.docx", "A 50404-2023")</f>
        <v/>
      </c>
      <c r="X47">
        <f>HYPERLINK("https://klasma.github.io/Logging_0580/tillsyn/A 50404-2023 tillsynsbegäran.docx", "A 50404-2023")</f>
        <v/>
      </c>
      <c r="Y47">
        <f>HYPERLINK("https://klasma.github.io/Logging_0580/tillsynsmail/A 50404-2023 tillsynsbegäran mail.docx", "A 50404-2023")</f>
        <v/>
      </c>
    </row>
    <row r="48" ht="15" customHeight="1">
      <c r="A48" t="inlineStr">
        <is>
          <t>A 21326-2025</t>
        </is>
      </c>
      <c r="B48" s="1" t="n">
        <v>45782.35407407407</v>
      </c>
      <c r="C48" s="1" t="n">
        <v>46179</v>
      </c>
      <c r="D48" t="inlineStr">
        <is>
          <t>ÖSTERGÖTLANDS LÄN</t>
        </is>
      </c>
      <c r="E48" t="inlineStr">
        <is>
          <t>LINKÖPING</t>
        </is>
      </c>
      <c r="G48" t="n">
        <v>4.9</v>
      </c>
      <c r="H48" t="n">
        <v>2</v>
      </c>
      <c r="I48" t="n">
        <v>0</v>
      </c>
      <c r="J48" t="n">
        <v>0</v>
      </c>
      <c r="K48" t="n">
        <v>0</v>
      </c>
      <c r="L48" t="n">
        <v>0</v>
      </c>
      <c r="M48" t="n">
        <v>0</v>
      </c>
      <c r="N48" t="n">
        <v>0</v>
      </c>
      <c r="O48" t="n">
        <v>0</v>
      </c>
      <c r="P48" t="n">
        <v>0</v>
      </c>
      <c r="Q48" t="n">
        <v>2</v>
      </c>
      <c r="R48" s="2" t="inlineStr">
        <is>
          <t>Blåsippa
Revlummer</t>
        </is>
      </c>
      <c r="S48">
        <f>HYPERLINK("https://klasma.github.io/Logging_0580/artfynd/A 21326-2025 artfynd.xlsx", "A 21326-2025")</f>
        <v/>
      </c>
      <c r="T48">
        <f>HYPERLINK("https://klasma.github.io/Logging_0580/kartor/A 21326-2025 karta.png", "A 21326-2025")</f>
        <v/>
      </c>
      <c r="V48">
        <f>HYPERLINK("https://klasma.github.io/Logging_0580/klagomål/A 21326-2025 FSC-klagomål.docx", "A 21326-2025")</f>
        <v/>
      </c>
      <c r="W48">
        <f>HYPERLINK("https://klasma.github.io/Logging_0580/klagomålsmail/A 21326-2025 FSC-klagomål mail.docx", "A 21326-2025")</f>
        <v/>
      </c>
      <c r="X48">
        <f>HYPERLINK("https://klasma.github.io/Logging_0580/tillsyn/A 21326-2025 tillsynsbegäran.docx", "A 21326-2025")</f>
        <v/>
      </c>
      <c r="Y48">
        <f>HYPERLINK("https://klasma.github.io/Logging_0580/tillsynsmail/A 21326-2025 tillsynsbegäran mail.docx", "A 21326-2025")</f>
        <v/>
      </c>
    </row>
    <row r="49" ht="15" customHeight="1">
      <c r="A49" t="inlineStr">
        <is>
          <t>A 20292-2025</t>
        </is>
      </c>
      <c r="B49" s="1" t="n">
        <v>45774.7449537037</v>
      </c>
      <c r="C49" s="1" t="n">
        <v>46179</v>
      </c>
      <c r="D49" t="inlineStr">
        <is>
          <t>ÖSTERGÖTLANDS LÄN</t>
        </is>
      </c>
      <c r="E49" t="inlineStr">
        <is>
          <t>LINKÖPING</t>
        </is>
      </c>
      <c r="G49" t="n">
        <v>8.4</v>
      </c>
      <c r="H49" t="n">
        <v>1</v>
      </c>
      <c r="I49" t="n">
        <v>1</v>
      </c>
      <c r="J49" t="n">
        <v>0</v>
      </c>
      <c r="K49" t="n">
        <v>0</v>
      </c>
      <c r="L49" t="n">
        <v>0</v>
      </c>
      <c r="M49" t="n">
        <v>0</v>
      </c>
      <c r="N49" t="n">
        <v>0</v>
      </c>
      <c r="O49" t="n">
        <v>0</v>
      </c>
      <c r="P49" t="n">
        <v>0</v>
      </c>
      <c r="Q49" t="n">
        <v>2</v>
      </c>
      <c r="R49" s="2" t="inlineStr">
        <is>
          <t>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row>
    <row r="50" ht="15" customHeight="1">
      <c r="A50" t="inlineStr">
        <is>
          <t>A 38129-2021</t>
        </is>
      </c>
      <c r="B50" s="1" t="n">
        <v>44405.37199074074</v>
      </c>
      <c r="C50" s="1" t="n">
        <v>46179</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46179</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46179</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46179</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46179</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71127-2021</t>
        </is>
      </c>
      <c r="B55" s="1" t="n">
        <v>44537</v>
      </c>
      <c r="C55" s="1" t="n">
        <v>46179</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40315-2024</t>
        </is>
      </c>
      <c r="B56" s="1" t="n">
        <v>45554.7571875</v>
      </c>
      <c r="C56" s="1" t="n">
        <v>46179</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22526-2025</t>
        </is>
      </c>
      <c r="B57" s="1" t="n">
        <v>45786.78096064815</v>
      </c>
      <c r="C57" s="1" t="n">
        <v>46179</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1213-2023</t>
        </is>
      </c>
      <c r="B58" s="1" t="n">
        <v>44930</v>
      </c>
      <c r="C58" s="1" t="n">
        <v>46179</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27403-2025</t>
        </is>
      </c>
      <c r="B59" s="1" t="n">
        <v>45812.72518518518</v>
      </c>
      <c r="C59" s="1" t="n">
        <v>46179</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43989-2025</t>
        </is>
      </c>
      <c r="B60" s="1" t="n">
        <v>45915.44128472222</v>
      </c>
      <c r="C60" s="1" t="n">
        <v>46179</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50806-2023</t>
        </is>
      </c>
      <c r="B61" s="1" t="n">
        <v>45217</v>
      </c>
      <c r="C61" s="1" t="n">
        <v>46179</v>
      </c>
      <c r="D61" t="inlineStr">
        <is>
          <t>ÖSTERGÖTLANDS LÄN</t>
        </is>
      </c>
      <c r="E61" t="inlineStr">
        <is>
          <t>LINKÖPING</t>
        </is>
      </c>
      <c r="F61" t="inlineStr">
        <is>
          <t>Övriga Aktiebolag</t>
        </is>
      </c>
      <c r="G61" t="n">
        <v>0.7</v>
      </c>
      <c r="H61" t="n">
        <v>1</v>
      </c>
      <c r="I61" t="n">
        <v>0</v>
      </c>
      <c r="J61" t="n">
        <v>0</v>
      </c>
      <c r="K61" t="n">
        <v>0</v>
      </c>
      <c r="L61" t="n">
        <v>0</v>
      </c>
      <c r="M61" t="n">
        <v>0</v>
      </c>
      <c r="N61" t="n">
        <v>0</v>
      </c>
      <c r="O61" t="n">
        <v>0</v>
      </c>
      <c r="P61" t="n">
        <v>0</v>
      </c>
      <c r="Q61" t="n">
        <v>1</v>
      </c>
      <c r="R61" s="2" t="inlineStr">
        <is>
          <t>Gullviva</t>
        </is>
      </c>
      <c r="S61">
        <f>HYPERLINK("https://klasma.github.io/Logging_0580/artfynd/A 50806-2023 artfynd.xlsx", "A 50806-2023")</f>
        <v/>
      </c>
      <c r="T61">
        <f>HYPERLINK("https://klasma.github.io/Logging_0580/kartor/A 50806-2023 karta.png", "A 50806-2023")</f>
        <v/>
      </c>
      <c r="V61">
        <f>HYPERLINK("https://klasma.github.io/Logging_0580/klagomål/A 50806-2023 FSC-klagomål.docx", "A 50806-2023")</f>
        <v/>
      </c>
      <c r="W61">
        <f>HYPERLINK("https://klasma.github.io/Logging_0580/klagomålsmail/A 50806-2023 FSC-klagomål mail.docx", "A 50806-2023")</f>
        <v/>
      </c>
      <c r="X61">
        <f>HYPERLINK("https://klasma.github.io/Logging_0580/tillsyn/A 50806-2023 tillsynsbegäran.docx", "A 50806-2023")</f>
        <v/>
      </c>
      <c r="Y61">
        <f>HYPERLINK("https://klasma.github.io/Logging_0580/tillsynsmail/A 50806-2023 tillsynsbegäran mail.docx", "A 50806-2023")</f>
        <v/>
      </c>
    </row>
    <row r="62" ht="15" customHeight="1">
      <c r="A62" t="inlineStr">
        <is>
          <t>A 36723-2023</t>
        </is>
      </c>
      <c r="B62" s="1" t="n">
        <v>45153</v>
      </c>
      <c r="C62" s="1" t="n">
        <v>46179</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60573-2021</t>
        </is>
      </c>
      <c r="B63" s="1" t="n">
        <v>44496</v>
      </c>
      <c r="C63" s="1" t="n">
        <v>46179</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50034-2025</t>
        </is>
      </c>
      <c r="B64" s="1" t="n">
        <v>45941</v>
      </c>
      <c r="C64" s="1" t="n">
        <v>46179</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5911-2022</t>
        </is>
      </c>
      <c r="B65" s="1" t="n">
        <v>44597</v>
      </c>
      <c r="C65" s="1" t="n">
        <v>46179</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59474-2025</t>
        </is>
      </c>
      <c r="B66" s="1" t="n">
        <v>45989.58512731481</v>
      </c>
      <c r="C66" s="1" t="n">
        <v>46179</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Fällmossa</t>
        </is>
      </c>
      <c r="S66">
        <f>HYPERLINK("https://klasma.github.io/Logging_0580/artfynd/A 59474-2025 artfynd.xlsx", "A 59474-2025")</f>
        <v/>
      </c>
      <c r="T66">
        <f>HYPERLINK("https://klasma.github.io/Logging_0580/kartor/A 59474-2025 karta.png", "A 59474-2025")</f>
        <v/>
      </c>
      <c r="V66">
        <f>HYPERLINK("https://klasma.github.io/Logging_0580/klagomål/A 59474-2025 FSC-klagomål.docx", "A 59474-2025")</f>
        <v/>
      </c>
      <c r="W66">
        <f>HYPERLINK("https://klasma.github.io/Logging_0580/klagomålsmail/A 59474-2025 FSC-klagomål mail.docx", "A 59474-2025")</f>
        <v/>
      </c>
      <c r="X66">
        <f>HYPERLINK("https://klasma.github.io/Logging_0580/tillsyn/A 59474-2025 tillsynsbegäran.docx", "A 59474-2025")</f>
        <v/>
      </c>
      <c r="Y66">
        <f>HYPERLINK("https://klasma.github.io/Logging_0580/tillsynsmail/A 59474-2025 tillsynsbegäran mail.docx", "A 59474-2025")</f>
        <v/>
      </c>
    </row>
    <row r="67" ht="15" customHeight="1">
      <c r="A67" t="inlineStr">
        <is>
          <t>A 56128-2022</t>
        </is>
      </c>
      <c r="B67" s="1" t="n">
        <v>44889</v>
      </c>
      <c r="C67" s="1" t="n">
        <v>46179</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21227-2026</t>
        </is>
      </c>
      <c r="B68" s="1" t="n">
        <v>46146.78898148148</v>
      </c>
      <c r="C68" s="1" t="n">
        <v>46179</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Rödvingetrast</t>
        </is>
      </c>
      <c r="S68">
        <f>HYPERLINK("https://klasma.github.io/Logging_0580/artfynd/A 21227-2026 artfynd.xlsx", "A 21227-2026")</f>
        <v/>
      </c>
      <c r="T68">
        <f>HYPERLINK("https://klasma.github.io/Logging_0580/kartor/A 21227-2026 karta.png", "A 21227-2026")</f>
        <v/>
      </c>
      <c r="V68">
        <f>HYPERLINK("https://klasma.github.io/Logging_0580/klagomål/A 21227-2026 FSC-klagomål.docx", "A 21227-2026")</f>
        <v/>
      </c>
      <c r="W68">
        <f>HYPERLINK("https://klasma.github.io/Logging_0580/klagomålsmail/A 21227-2026 FSC-klagomål mail.docx", "A 21227-2026")</f>
        <v/>
      </c>
      <c r="X68">
        <f>HYPERLINK("https://klasma.github.io/Logging_0580/tillsyn/A 21227-2026 tillsynsbegäran.docx", "A 21227-2026")</f>
        <v/>
      </c>
      <c r="Y68">
        <f>HYPERLINK("https://klasma.github.io/Logging_0580/tillsynsmail/A 21227-2026 tillsynsbegäran mail.docx", "A 21227-2026")</f>
        <v/>
      </c>
      <c r="Z68">
        <f>HYPERLINK("https://klasma.github.io/Logging_0580/fåglar/A 21227-2026 prioriterade fågelarter.docx", "A 21227-2026")</f>
        <v/>
      </c>
    </row>
    <row r="69" ht="15" customHeight="1">
      <c r="A69" t="inlineStr">
        <is>
          <t>A 54835-2023</t>
        </is>
      </c>
      <c r="B69" s="1" t="n">
        <v>45236</v>
      </c>
      <c r="C69" s="1" t="n">
        <v>46179</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46179</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45317-2023</t>
        </is>
      </c>
      <c r="B71" s="1" t="n">
        <v>45191.74868055555</v>
      </c>
      <c r="C71" s="1" t="n">
        <v>46179</v>
      </c>
      <c r="D71" t="inlineStr">
        <is>
          <t>ÖSTERGÖTLANDS LÄN</t>
        </is>
      </c>
      <c r="E71" t="inlineStr">
        <is>
          <t>LINKÖPING</t>
        </is>
      </c>
      <c r="F71" t="inlineStr">
        <is>
          <t>Allmännings- och besparingsskogar</t>
        </is>
      </c>
      <c r="G71" t="n">
        <v>29.3</v>
      </c>
      <c r="H71" t="n">
        <v>0</v>
      </c>
      <c r="I71" t="n">
        <v>0</v>
      </c>
      <c r="J71" t="n">
        <v>1</v>
      </c>
      <c r="K71" t="n">
        <v>0</v>
      </c>
      <c r="L71" t="n">
        <v>0</v>
      </c>
      <c r="M71" t="n">
        <v>0</v>
      </c>
      <c r="N71" t="n">
        <v>0</v>
      </c>
      <c r="O71" t="n">
        <v>1</v>
      </c>
      <c r="P71" t="n">
        <v>0</v>
      </c>
      <c r="Q71" t="n">
        <v>1</v>
      </c>
      <c r="R71" s="2" t="inlineStr">
        <is>
          <t>Svinrot</t>
        </is>
      </c>
      <c r="S71">
        <f>HYPERLINK("https://klasma.github.io/Logging_0580/artfynd/A 45317-2023 artfynd.xlsx", "A 45317-2023")</f>
        <v/>
      </c>
      <c r="T71">
        <f>HYPERLINK("https://klasma.github.io/Logging_0580/kartor/A 45317-2023 karta.png", "A 45317-2023")</f>
        <v/>
      </c>
      <c r="V71">
        <f>HYPERLINK("https://klasma.github.io/Logging_0580/klagomål/A 45317-2023 FSC-klagomål.docx", "A 45317-2023")</f>
        <v/>
      </c>
      <c r="W71">
        <f>HYPERLINK("https://klasma.github.io/Logging_0580/klagomålsmail/A 45317-2023 FSC-klagomål mail.docx", "A 45317-2023")</f>
        <v/>
      </c>
      <c r="X71">
        <f>HYPERLINK("https://klasma.github.io/Logging_0580/tillsyn/A 45317-2023 tillsynsbegäran.docx", "A 45317-2023")</f>
        <v/>
      </c>
      <c r="Y71">
        <f>HYPERLINK("https://klasma.github.io/Logging_0580/tillsynsmail/A 45317-2023 tillsynsbegäran mail.docx", "A 45317-2023")</f>
        <v/>
      </c>
    </row>
    <row r="72" ht="15" customHeight="1">
      <c r="A72" t="inlineStr">
        <is>
          <t>A 20295-2025</t>
        </is>
      </c>
      <c r="B72" s="1" t="n">
        <v>45774.74846064814</v>
      </c>
      <c r="C72" s="1" t="n">
        <v>46179</v>
      </c>
      <c r="D72" t="inlineStr">
        <is>
          <t>ÖSTERGÖTLANDS LÄN</t>
        </is>
      </c>
      <c r="E72" t="inlineStr">
        <is>
          <t>LINKÖPING</t>
        </is>
      </c>
      <c r="G72" t="n">
        <v>3</v>
      </c>
      <c r="H72" t="n">
        <v>0</v>
      </c>
      <c r="I72" t="n">
        <v>0</v>
      </c>
      <c r="J72" t="n">
        <v>1</v>
      </c>
      <c r="K72" t="n">
        <v>0</v>
      </c>
      <c r="L72" t="n">
        <v>0</v>
      </c>
      <c r="M72" t="n">
        <v>0</v>
      </c>
      <c r="N72" t="n">
        <v>0</v>
      </c>
      <c r="O72" t="n">
        <v>1</v>
      </c>
      <c r="P72" t="n">
        <v>0</v>
      </c>
      <c r="Q72" t="n">
        <v>1</v>
      </c>
      <c r="R72" s="2" t="inlineStr">
        <is>
          <t>Tallticka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row>
    <row r="73" ht="15" customHeight="1">
      <c r="A73" t="inlineStr">
        <is>
          <t>A 37683-2024</t>
        </is>
      </c>
      <c r="B73" s="1" t="n">
        <v>45541.59120370371</v>
      </c>
      <c r="C73" s="1" t="n">
        <v>46179</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35948-2023</t>
        </is>
      </c>
      <c r="B74" s="1" t="n">
        <v>45148</v>
      </c>
      <c r="C74" s="1" t="n">
        <v>46179</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42054-2022</t>
        </is>
      </c>
      <c r="B75" s="1" t="n">
        <v>44830</v>
      </c>
      <c r="C75" s="1" t="n">
        <v>46179</v>
      </c>
      <c r="D75" t="inlineStr">
        <is>
          <t>ÖSTERGÖTLANDS LÄN</t>
        </is>
      </c>
      <c r="E75" t="inlineStr">
        <is>
          <t>LINKÖPING</t>
        </is>
      </c>
      <c r="G75" t="n">
        <v>1.7</v>
      </c>
      <c r="H75" t="n">
        <v>0</v>
      </c>
      <c r="I75" t="n">
        <v>0</v>
      </c>
      <c r="J75" t="n">
        <v>1</v>
      </c>
      <c r="K75" t="n">
        <v>0</v>
      </c>
      <c r="L75" t="n">
        <v>0</v>
      </c>
      <c r="M75" t="n">
        <v>0</v>
      </c>
      <c r="N75" t="n">
        <v>0</v>
      </c>
      <c r="O75" t="n">
        <v>1</v>
      </c>
      <c r="P75" t="n">
        <v>0</v>
      </c>
      <c r="Q75" t="n">
        <v>1</v>
      </c>
      <c r="R75" s="2" t="inlineStr">
        <is>
          <t>Tallticka</t>
        </is>
      </c>
      <c r="S75">
        <f>HYPERLINK("https://klasma.github.io/Logging_0580/artfynd/A 42054-2022 artfynd.xlsx", "A 42054-2022")</f>
        <v/>
      </c>
      <c r="T75">
        <f>HYPERLINK("https://klasma.github.io/Logging_0580/kartor/A 42054-2022 karta.png", "A 42054-2022")</f>
        <v/>
      </c>
      <c r="V75">
        <f>HYPERLINK("https://klasma.github.io/Logging_0580/klagomål/A 42054-2022 FSC-klagomål.docx", "A 42054-2022")</f>
        <v/>
      </c>
      <c r="W75">
        <f>HYPERLINK("https://klasma.github.io/Logging_0580/klagomålsmail/A 42054-2022 FSC-klagomål mail.docx", "A 42054-2022")</f>
        <v/>
      </c>
      <c r="X75">
        <f>HYPERLINK("https://klasma.github.io/Logging_0580/tillsyn/A 42054-2022 tillsynsbegäran.docx", "A 42054-2022")</f>
        <v/>
      </c>
      <c r="Y75">
        <f>HYPERLINK("https://klasma.github.io/Logging_0580/tillsynsmail/A 42054-2022 tillsynsbegäran mail.docx", "A 42054-2022")</f>
        <v/>
      </c>
    </row>
    <row r="76" ht="15" customHeight="1">
      <c r="A76" t="inlineStr">
        <is>
          <t>A 56651-2023</t>
        </is>
      </c>
      <c r="B76" s="1" t="n">
        <v>45243</v>
      </c>
      <c r="C76" s="1" t="n">
        <v>46179</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46179</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46179</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46179</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46179</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46179</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46179</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1716-2023</t>
        </is>
      </c>
      <c r="B83" s="1" t="n">
        <v>44938</v>
      </c>
      <c r="C83" s="1" t="n">
        <v>46179</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46179</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46179</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46179</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46179</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60311-2025</t>
        </is>
      </c>
      <c r="B88" s="1" t="n">
        <v>45994</v>
      </c>
      <c r="C88" s="1" t="n">
        <v>46179</v>
      </c>
      <c r="D88" t="inlineStr">
        <is>
          <t>ÖSTERGÖTLANDS LÄN</t>
        </is>
      </c>
      <c r="E88" t="inlineStr">
        <is>
          <t>LINKÖPING</t>
        </is>
      </c>
      <c r="G88" t="n">
        <v>1.9</v>
      </c>
      <c r="H88" t="n">
        <v>0</v>
      </c>
      <c r="I88" t="n">
        <v>0</v>
      </c>
      <c r="J88" t="n">
        <v>1</v>
      </c>
      <c r="K88" t="n">
        <v>0</v>
      </c>
      <c r="L88" t="n">
        <v>0</v>
      </c>
      <c r="M88" t="n">
        <v>0</v>
      </c>
      <c r="N88" t="n">
        <v>0</v>
      </c>
      <c r="O88" t="n">
        <v>1</v>
      </c>
      <c r="P88" t="n">
        <v>0</v>
      </c>
      <c r="Q88" t="n">
        <v>1</v>
      </c>
      <c r="R88" s="2" t="inlineStr">
        <is>
          <t>Gammelekslav</t>
        </is>
      </c>
      <c r="S88">
        <f>HYPERLINK("https://klasma.github.io/Logging_0580/artfynd/A 60311-2025 artfynd.xlsx", "A 60311-2025")</f>
        <v/>
      </c>
      <c r="T88">
        <f>HYPERLINK("https://klasma.github.io/Logging_0580/kartor/A 60311-2025 karta.png", "A 60311-2025")</f>
        <v/>
      </c>
      <c r="V88">
        <f>HYPERLINK("https://klasma.github.io/Logging_0580/klagomål/A 60311-2025 FSC-klagomål.docx", "A 60311-2025")</f>
        <v/>
      </c>
      <c r="W88">
        <f>HYPERLINK("https://klasma.github.io/Logging_0580/klagomålsmail/A 60311-2025 FSC-klagomål mail.docx", "A 60311-2025")</f>
        <v/>
      </c>
      <c r="X88">
        <f>HYPERLINK("https://klasma.github.io/Logging_0580/tillsyn/A 60311-2025 tillsynsbegäran.docx", "A 60311-2025")</f>
        <v/>
      </c>
      <c r="Y88">
        <f>HYPERLINK("https://klasma.github.io/Logging_0580/tillsynsmail/A 60311-2025 tillsynsbegäran mail.docx", "A 60311-2025")</f>
        <v/>
      </c>
    </row>
    <row r="89" ht="15" customHeight="1">
      <c r="A89" t="inlineStr">
        <is>
          <t>A 25262-2026</t>
        </is>
      </c>
      <c r="B89" s="1" t="n">
        <v>46175</v>
      </c>
      <c r="C89" s="1" t="n">
        <v>46179</v>
      </c>
      <c r="D89" t="inlineStr">
        <is>
          <t>ÖSTERGÖTLANDS LÄN</t>
        </is>
      </c>
      <c r="E89" t="inlineStr">
        <is>
          <t>LINKÖPING</t>
        </is>
      </c>
      <c r="G89" t="n">
        <v>0.9</v>
      </c>
      <c r="H89" t="n">
        <v>0</v>
      </c>
      <c r="I89" t="n">
        <v>0</v>
      </c>
      <c r="J89" t="n">
        <v>1</v>
      </c>
      <c r="K89" t="n">
        <v>0</v>
      </c>
      <c r="L89" t="n">
        <v>0</v>
      </c>
      <c r="M89" t="n">
        <v>0</v>
      </c>
      <c r="N89" t="n">
        <v>0</v>
      </c>
      <c r="O89" t="n">
        <v>1</v>
      </c>
      <c r="P89" t="n">
        <v>0</v>
      </c>
      <c r="Q89" t="n">
        <v>1</v>
      </c>
      <c r="R89" s="2" t="inlineStr">
        <is>
          <t>Gullklöver</t>
        </is>
      </c>
      <c r="S89">
        <f>HYPERLINK("https://klasma.github.io/Logging_0580/artfynd/A 25262-2026 artfynd.xlsx", "A 25262-2026")</f>
        <v/>
      </c>
      <c r="T89">
        <f>HYPERLINK("https://klasma.github.io/Logging_0580/kartor/A 25262-2026 karta.png", "A 25262-2026")</f>
        <v/>
      </c>
      <c r="V89">
        <f>HYPERLINK("https://klasma.github.io/Logging_0580/klagomål/A 25262-2026 FSC-klagomål.docx", "A 25262-2026")</f>
        <v/>
      </c>
      <c r="W89">
        <f>HYPERLINK("https://klasma.github.io/Logging_0580/klagomålsmail/A 25262-2026 FSC-klagomål mail.docx", "A 25262-2026")</f>
        <v/>
      </c>
      <c r="X89">
        <f>HYPERLINK("https://klasma.github.io/Logging_0580/tillsyn/A 25262-2026 tillsynsbegäran.docx", "A 25262-2026")</f>
        <v/>
      </c>
      <c r="Y89">
        <f>HYPERLINK("https://klasma.github.io/Logging_0580/tillsynsmail/A 25262-2026 tillsynsbegäran mail.docx", "A 25262-2026")</f>
        <v/>
      </c>
    </row>
    <row r="90" ht="15" customHeight="1">
      <c r="A90" t="inlineStr">
        <is>
          <t>A 41749-2023</t>
        </is>
      </c>
      <c r="B90" s="1" t="n">
        <v>45176</v>
      </c>
      <c r="C90" s="1" t="n">
        <v>46179</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15290-2025</t>
        </is>
      </c>
      <c r="B91" s="1" t="n">
        <v>45745.45288194445</v>
      </c>
      <c r="C91" s="1" t="n">
        <v>46179</v>
      </c>
      <c r="D91" t="inlineStr">
        <is>
          <t>ÖSTERGÖTLANDS LÄN</t>
        </is>
      </c>
      <c r="E91" t="inlineStr">
        <is>
          <t>LINKÖPING</t>
        </is>
      </c>
      <c r="G91" t="n">
        <v>18.4</v>
      </c>
      <c r="H91" t="n">
        <v>1</v>
      </c>
      <c r="I91" t="n">
        <v>0</v>
      </c>
      <c r="J91" t="n">
        <v>1</v>
      </c>
      <c r="K91" t="n">
        <v>0</v>
      </c>
      <c r="L91" t="n">
        <v>0</v>
      </c>
      <c r="M91" t="n">
        <v>0</v>
      </c>
      <c r="N91" t="n">
        <v>0</v>
      </c>
      <c r="O91" t="n">
        <v>1</v>
      </c>
      <c r="P91" t="n">
        <v>0</v>
      </c>
      <c r="Q91" t="n">
        <v>1</v>
      </c>
      <c r="R91" s="2" t="inlineStr">
        <is>
          <t>Havsörn</t>
        </is>
      </c>
      <c r="S91">
        <f>HYPERLINK("https://klasma.github.io/Logging_0580/artfynd/A 15290-2025 artfynd.xlsx", "A 15290-2025")</f>
        <v/>
      </c>
      <c r="T91">
        <f>HYPERLINK("https://klasma.github.io/Logging_0580/kartor/A 15290-2025 karta.png", "A 15290-2025")</f>
        <v/>
      </c>
      <c r="V91">
        <f>HYPERLINK("https://klasma.github.io/Logging_0580/klagomål/A 15290-2025 FSC-klagomål.docx", "A 15290-2025")</f>
        <v/>
      </c>
      <c r="W91">
        <f>HYPERLINK("https://klasma.github.io/Logging_0580/klagomålsmail/A 15290-2025 FSC-klagomål mail.docx", "A 15290-2025")</f>
        <v/>
      </c>
      <c r="X91">
        <f>HYPERLINK("https://klasma.github.io/Logging_0580/tillsyn/A 15290-2025 tillsynsbegäran.docx", "A 15290-2025")</f>
        <v/>
      </c>
      <c r="Y91">
        <f>HYPERLINK("https://klasma.github.io/Logging_0580/tillsynsmail/A 15290-2025 tillsynsbegäran mail.docx", "A 15290-2025")</f>
        <v/>
      </c>
      <c r="Z91">
        <f>HYPERLINK("https://klasma.github.io/Logging_0580/fåglar/A 15290-2025 prioriterade fågelarter.docx", "A 15290-2025")</f>
        <v/>
      </c>
    </row>
    <row r="92" ht="15" customHeight="1">
      <c r="A92" t="inlineStr">
        <is>
          <t>A 48298-2025</t>
        </is>
      </c>
      <c r="B92" s="1" t="n">
        <v>45932</v>
      </c>
      <c r="C92" s="1" t="n">
        <v>46179</v>
      </c>
      <c r="D92" t="inlineStr">
        <is>
          <t>ÖSTERGÖTLANDS LÄN</t>
        </is>
      </c>
      <c r="E92" t="inlineStr">
        <is>
          <t>LINKÖPING</t>
        </is>
      </c>
      <c r="F92" t="inlineStr">
        <is>
          <t>Övriga Aktiebolag</t>
        </is>
      </c>
      <c r="G92" t="n">
        <v>1.7</v>
      </c>
      <c r="H92" t="n">
        <v>0</v>
      </c>
      <c r="I92" t="n">
        <v>1</v>
      </c>
      <c r="J92" t="n">
        <v>0</v>
      </c>
      <c r="K92" t="n">
        <v>0</v>
      </c>
      <c r="L92" t="n">
        <v>0</v>
      </c>
      <c r="M92" t="n">
        <v>0</v>
      </c>
      <c r="N92" t="n">
        <v>0</v>
      </c>
      <c r="O92" t="n">
        <v>0</v>
      </c>
      <c r="P92" t="n">
        <v>0</v>
      </c>
      <c r="Q92" t="n">
        <v>1</v>
      </c>
      <c r="R92" s="2" t="inlineStr">
        <is>
          <t>Västlig hakmossa</t>
        </is>
      </c>
      <c r="S92">
        <f>HYPERLINK("https://klasma.github.io/Logging_0580/artfynd/A 48298-2025 artfynd.xlsx", "A 48298-2025")</f>
        <v/>
      </c>
      <c r="T92">
        <f>HYPERLINK("https://klasma.github.io/Logging_0580/kartor/A 48298-2025 karta.png", "A 48298-2025")</f>
        <v/>
      </c>
      <c r="V92">
        <f>HYPERLINK("https://klasma.github.io/Logging_0580/klagomål/A 48298-2025 FSC-klagomål.docx", "A 48298-2025")</f>
        <v/>
      </c>
      <c r="W92">
        <f>HYPERLINK("https://klasma.github.io/Logging_0580/klagomålsmail/A 48298-2025 FSC-klagomål mail.docx", "A 48298-2025")</f>
        <v/>
      </c>
      <c r="X92">
        <f>HYPERLINK("https://klasma.github.io/Logging_0580/tillsyn/A 48298-2025 tillsynsbegäran.docx", "A 48298-2025")</f>
        <v/>
      </c>
      <c r="Y92">
        <f>HYPERLINK("https://klasma.github.io/Logging_0580/tillsynsmail/A 48298-2025 tillsynsbegäran mail.docx", "A 48298-2025")</f>
        <v/>
      </c>
    </row>
    <row r="93" ht="15" customHeight="1">
      <c r="A93" t="inlineStr">
        <is>
          <t>A 38881-2021</t>
        </is>
      </c>
      <c r="B93" s="1" t="n">
        <v>44411.46893518518</v>
      </c>
      <c r="C93" s="1" t="n">
        <v>46179</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38887-2021</t>
        </is>
      </c>
      <c r="B94" s="1" t="n">
        <v>44411</v>
      </c>
      <c r="C94" s="1" t="n">
        <v>46179</v>
      </c>
      <c r="D94" t="inlineStr">
        <is>
          <t>ÖSTERGÖTLANDS LÄN</t>
        </is>
      </c>
      <c r="E94" t="inlineStr">
        <is>
          <t>LINKÖPING</t>
        </is>
      </c>
      <c r="G94" t="n">
        <v>1.6</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46179</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46179</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46179</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46179</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46179</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46179</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46179</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46179</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46179</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46179</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46179</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46179</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46179</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46179</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46179</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46179</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46179</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31703-2022</t>
        </is>
      </c>
      <c r="B112" s="1" t="n">
        <v>44776</v>
      </c>
      <c r="C112" s="1" t="n">
        <v>46179</v>
      </c>
      <c r="D112" t="inlineStr">
        <is>
          <t>ÖSTERGÖTLANDS LÄN</t>
        </is>
      </c>
      <c r="E112" t="inlineStr">
        <is>
          <t>LINKÖPING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46179</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53146-2021</t>
        </is>
      </c>
      <c r="B114" s="1" t="n">
        <v>44466</v>
      </c>
      <c r="C114" s="1" t="n">
        <v>46179</v>
      </c>
      <c r="D114" t="inlineStr">
        <is>
          <t>ÖSTERGÖTLANDS LÄN</t>
        </is>
      </c>
      <c r="E114" t="inlineStr">
        <is>
          <t>LINKÖPING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46179</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46179</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46179</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46179</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33876-2021</t>
        </is>
      </c>
      <c r="B119" s="1" t="n">
        <v>44378</v>
      </c>
      <c r="C119" s="1" t="n">
        <v>46179</v>
      </c>
      <c r="D119" t="inlineStr">
        <is>
          <t>ÖSTERGÖTLANDS LÄN</t>
        </is>
      </c>
      <c r="E119" t="inlineStr">
        <is>
          <t>LINKÖPING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37012-2021</t>
        </is>
      </c>
      <c r="B120" s="1" t="n">
        <v>44393</v>
      </c>
      <c r="C120" s="1" t="n">
        <v>46179</v>
      </c>
      <c r="D120" t="inlineStr">
        <is>
          <t>ÖSTERGÖTLANDS LÄN</t>
        </is>
      </c>
      <c r="E120" t="inlineStr">
        <is>
          <t>LINKÖPING</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49791-2021</t>
        </is>
      </c>
      <c r="B121" s="1" t="n">
        <v>44455.59368055555</v>
      </c>
      <c r="C121" s="1" t="n">
        <v>46179</v>
      </c>
      <c r="D121" t="inlineStr">
        <is>
          <t>ÖSTERGÖTLANDS LÄN</t>
        </is>
      </c>
      <c r="E121" t="inlineStr">
        <is>
          <t>LINKÖPING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29470-2022</t>
        </is>
      </c>
      <c r="B122" s="1" t="n">
        <v>44753</v>
      </c>
      <c r="C122" s="1" t="n">
        <v>46179</v>
      </c>
      <c r="D122" t="inlineStr">
        <is>
          <t>ÖSTERGÖTLANDS LÄN</t>
        </is>
      </c>
      <c r="E122" t="inlineStr">
        <is>
          <t>LINKÖPING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46730-2021</t>
        </is>
      </c>
      <c r="B123" s="1" t="n">
        <v>44445</v>
      </c>
      <c r="C123" s="1" t="n">
        <v>46179</v>
      </c>
      <c r="D123" t="inlineStr">
        <is>
          <t>ÖSTERGÖTLANDS LÄN</t>
        </is>
      </c>
      <c r="E123" t="inlineStr">
        <is>
          <t>LINKÖPING</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46179</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64195-2021</t>
        </is>
      </c>
      <c r="B125" s="1" t="n">
        <v>44510</v>
      </c>
      <c r="C125" s="1" t="n">
        <v>46179</v>
      </c>
      <c r="D125" t="inlineStr">
        <is>
          <t>ÖSTERGÖTLANDS LÄN</t>
        </is>
      </c>
      <c r="E125" t="inlineStr">
        <is>
          <t>LINKÖPING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46416-2021</t>
        </is>
      </c>
      <c r="B126" s="1" t="n">
        <v>44442</v>
      </c>
      <c r="C126" s="1" t="n">
        <v>46179</v>
      </c>
      <c r="D126" t="inlineStr">
        <is>
          <t>ÖSTERGÖTLANDS LÄN</t>
        </is>
      </c>
      <c r="E126" t="inlineStr">
        <is>
          <t>LINKÖPING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58258-2021</t>
        </is>
      </c>
      <c r="B127" s="1" t="n">
        <v>44487</v>
      </c>
      <c r="C127" s="1" t="n">
        <v>46179</v>
      </c>
      <c r="D127" t="inlineStr">
        <is>
          <t>ÖSTERGÖTLANDS LÄN</t>
        </is>
      </c>
      <c r="E127" t="inlineStr">
        <is>
          <t>LINKÖPING</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58287-2021</t>
        </is>
      </c>
      <c r="B128" s="1" t="n">
        <v>44487</v>
      </c>
      <c r="C128" s="1" t="n">
        <v>46179</v>
      </c>
      <c r="D128" t="inlineStr">
        <is>
          <t>ÖSTERGÖTLANDS LÄN</t>
        </is>
      </c>
      <c r="E128" t="inlineStr">
        <is>
          <t>LINKÖPING</t>
        </is>
      </c>
      <c r="F128" t="inlineStr">
        <is>
          <t>Övriga Aktiebolag</t>
        </is>
      </c>
      <c r="G128" t="n">
        <v>1.5</v>
      </c>
      <c r="H128" t="n">
        <v>0</v>
      </c>
      <c r="I128" t="n">
        <v>0</v>
      </c>
      <c r="J128" t="n">
        <v>0</v>
      </c>
      <c r="K128" t="n">
        <v>0</v>
      </c>
      <c r="L128" t="n">
        <v>0</v>
      </c>
      <c r="M128" t="n">
        <v>0</v>
      </c>
      <c r="N128" t="n">
        <v>0</v>
      </c>
      <c r="O128" t="n">
        <v>0</v>
      </c>
      <c r="P128" t="n">
        <v>0</v>
      </c>
      <c r="Q128" t="n">
        <v>0</v>
      </c>
      <c r="R128" s="2" t="inlineStr"/>
    </row>
    <row r="129" ht="15" customHeight="1">
      <c r="A129" t="inlineStr">
        <is>
          <t>A 53660-2021</t>
        </is>
      </c>
      <c r="B129" s="1" t="n">
        <v>44469</v>
      </c>
      <c r="C129" s="1" t="n">
        <v>46179</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52966-2021</t>
        </is>
      </c>
      <c r="B130" s="1" t="n">
        <v>44467</v>
      </c>
      <c r="C130" s="1" t="n">
        <v>46179</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38130-2021</t>
        </is>
      </c>
      <c r="B131" s="1" t="n">
        <v>44405</v>
      </c>
      <c r="C131" s="1" t="n">
        <v>46179</v>
      </c>
      <c r="D131" t="inlineStr">
        <is>
          <t>ÖSTERGÖTLANDS LÄN</t>
        </is>
      </c>
      <c r="E131" t="inlineStr">
        <is>
          <t>LINKÖPING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40527-2022</t>
        </is>
      </c>
      <c r="B132" s="1" t="n">
        <v>44823</v>
      </c>
      <c r="C132" s="1" t="n">
        <v>46179</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52968-2021</t>
        </is>
      </c>
      <c r="B133" s="1" t="n">
        <v>44467</v>
      </c>
      <c r="C133" s="1" t="n">
        <v>46179</v>
      </c>
      <c r="D133" t="inlineStr">
        <is>
          <t>ÖSTERGÖTLANDS LÄN</t>
        </is>
      </c>
      <c r="E133" t="inlineStr">
        <is>
          <t>LINKÖPING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65395-2021</t>
        </is>
      </c>
      <c r="B134" s="1" t="n">
        <v>44515</v>
      </c>
      <c r="C134" s="1" t="n">
        <v>46179</v>
      </c>
      <c r="D134" t="inlineStr">
        <is>
          <t>ÖSTERGÖTLANDS LÄN</t>
        </is>
      </c>
      <c r="E134" t="inlineStr">
        <is>
          <t>LINKÖPING</t>
        </is>
      </c>
      <c r="F134" t="inlineStr">
        <is>
          <t>Övriga statliga verk och myndigheter</t>
        </is>
      </c>
      <c r="G134" t="n">
        <v>0.7</v>
      </c>
      <c r="H134" t="n">
        <v>0</v>
      </c>
      <c r="I134" t="n">
        <v>0</v>
      </c>
      <c r="J134" t="n">
        <v>0</v>
      </c>
      <c r="K134" t="n">
        <v>0</v>
      </c>
      <c r="L134" t="n">
        <v>0</v>
      </c>
      <c r="M134" t="n">
        <v>0</v>
      </c>
      <c r="N134" t="n">
        <v>0</v>
      </c>
      <c r="O134" t="n">
        <v>0</v>
      </c>
      <c r="P134" t="n">
        <v>0</v>
      </c>
      <c r="Q134" t="n">
        <v>0</v>
      </c>
      <c r="R134" s="2" t="inlineStr"/>
    </row>
    <row r="135" ht="15" customHeight="1">
      <c r="A135" t="inlineStr">
        <is>
          <t>A 48016-2021</t>
        </is>
      </c>
      <c r="B135" s="1" t="n">
        <v>44449</v>
      </c>
      <c r="C135" s="1" t="n">
        <v>46179</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30858-2022</t>
        </is>
      </c>
      <c r="B136" s="1" t="n">
        <v>44767</v>
      </c>
      <c r="C136" s="1" t="n">
        <v>46179</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23175-2022</t>
        </is>
      </c>
      <c r="B137" s="1" t="n">
        <v>44719</v>
      </c>
      <c r="C137" s="1" t="n">
        <v>46179</v>
      </c>
      <c r="D137" t="inlineStr">
        <is>
          <t>ÖSTERGÖTLANDS LÄN</t>
        </is>
      </c>
      <c r="E137" t="inlineStr">
        <is>
          <t>LINKÖPING</t>
        </is>
      </c>
      <c r="F137" t="inlineStr">
        <is>
          <t>Allmännings- och besparingsskogar</t>
        </is>
      </c>
      <c r="G137" t="n">
        <v>1.4</v>
      </c>
      <c r="H137" t="n">
        <v>0</v>
      </c>
      <c r="I137" t="n">
        <v>0</v>
      </c>
      <c r="J137" t="n">
        <v>0</v>
      </c>
      <c r="K137" t="n">
        <v>0</v>
      </c>
      <c r="L137" t="n">
        <v>0</v>
      </c>
      <c r="M137" t="n">
        <v>0</v>
      </c>
      <c r="N137" t="n">
        <v>0</v>
      </c>
      <c r="O137" t="n">
        <v>0</v>
      </c>
      <c r="P137" t="n">
        <v>0</v>
      </c>
      <c r="Q137" t="n">
        <v>0</v>
      </c>
      <c r="R137" s="2" t="inlineStr"/>
    </row>
    <row r="138" ht="15" customHeight="1">
      <c r="A138" t="inlineStr">
        <is>
          <t>A 58266-2021</t>
        </is>
      </c>
      <c r="B138" s="1" t="n">
        <v>44487</v>
      </c>
      <c r="C138" s="1" t="n">
        <v>46179</v>
      </c>
      <c r="D138" t="inlineStr">
        <is>
          <t>ÖSTERGÖTLANDS LÄN</t>
        </is>
      </c>
      <c r="E138" t="inlineStr">
        <is>
          <t>LINKÖPING</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28447-2021</t>
        </is>
      </c>
      <c r="B139" s="1" t="n">
        <v>44356</v>
      </c>
      <c r="C139" s="1" t="n">
        <v>46179</v>
      </c>
      <c r="D139" t="inlineStr">
        <is>
          <t>ÖSTERGÖTLANDS LÄN</t>
        </is>
      </c>
      <c r="E139" t="inlineStr">
        <is>
          <t>LINKÖPING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31705-2022</t>
        </is>
      </c>
      <c r="B140" s="1" t="n">
        <v>44776.43607638889</v>
      </c>
      <c r="C140" s="1" t="n">
        <v>46179</v>
      </c>
      <c r="D140" t="inlineStr">
        <is>
          <t>ÖSTERGÖTLANDS LÄN</t>
        </is>
      </c>
      <c r="E140" t="inlineStr">
        <is>
          <t>LINKÖPING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19318-2022</t>
        </is>
      </c>
      <c r="B141" s="1" t="n">
        <v>44692.5827662037</v>
      </c>
      <c r="C141" s="1" t="n">
        <v>46179</v>
      </c>
      <c r="D141" t="inlineStr">
        <is>
          <t>ÖSTERGÖTLANDS LÄN</t>
        </is>
      </c>
      <c r="E141" t="inlineStr">
        <is>
          <t>LINKÖPING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54467-2022</t>
        </is>
      </c>
      <c r="B142" s="1" t="n">
        <v>44882</v>
      </c>
      <c r="C142" s="1" t="n">
        <v>46179</v>
      </c>
      <c r="D142" t="inlineStr">
        <is>
          <t>ÖSTERGÖTLANDS LÄN</t>
        </is>
      </c>
      <c r="E142" t="inlineStr">
        <is>
          <t>LINKÖPING</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36341-2022</t>
        </is>
      </c>
      <c r="B143" s="1" t="n">
        <v>44803</v>
      </c>
      <c r="C143" s="1" t="n">
        <v>46179</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4240-2022</t>
        </is>
      </c>
      <c r="B144" s="1" t="n">
        <v>44588</v>
      </c>
      <c r="C144" s="1" t="n">
        <v>46179</v>
      </c>
      <c r="D144" t="inlineStr">
        <is>
          <t>ÖSTERGÖTLANDS LÄN</t>
        </is>
      </c>
      <c r="E144" t="inlineStr">
        <is>
          <t>LINKÖPING</t>
        </is>
      </c>
      <c r="G144" t="n">
        <v>0.8</v>
      </c>
      <c r="H144" t="n">
        <v>0</v>
      </c>
      <c r="I144" t="n">
        <v>0</v>
      </c>
      <c r="J144" t="n">
        <v>0</v>
      </c>
      <c r="K144" t="n">
        <v>0</v>
      </c>
      <c r="L144" t="n">
        <v>0</v>
      </c>
      <c r="M144" t="n">
        <v>0</v>
      </c>
      <c r="N144" t="n">
        <v>0</v>
      </c>
      <c r="O144" t="n">
        <v>0</v>
      </c>
      <c r="P144" t="n">
        <v>0</v>
      </c>
      <c r="Q144" t="n">
        <v>0</v>
      </c>
      <c r="R144" s="2" t="inlineStr"/>
    </row>
    <row r="145" ht="15" customHeight="1">
      <c r="A145" t="inlineStr">
        <is>
          <t>A 46891-2021</t>
        </is>
      </c>
      <c r="B145" s="1" t="n">
        <v>44446.44587962963</v>
      </c>
      <c r="C145" s="1" t="n">
        <v>46179</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27666-2022</t>
        </is>
      </c>
      <c r="B146" s="1" t="n">
        <v>44743.39017361111</v>
      </c>
      <c r="C146" s="1" t="n">
        <v>46179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1787-2022</t>
        </is>
      </c>
      <c r="B147" s="1" t="n">
        <v>44574</v>
      </c>
      <c r="C147" s="1" t="n">
        <v>46179</v>
      </c>
      <c r="D147" t="inlineStr">
        <is>
          <t>ÖSTERGÖTLANDS LÄN</t>
        </is>
      </c>
      <c r="E147" t="inlineStr">
        <is>
          <t>LINKÖPING</t>
        </is>
      </c>
      <c r="G147" t="n">
        <v>1.9</v>
      </c>
      <c r="H147" t="n">
        <v>0</v>
      </c>
      <c r="I147" t="n">
        <v>0</v>
      </c>
      <c r="J147" t="n">
        <v>0</v>
      </c>
      <c r="K147" t="n">
        <v>0</v>
      </c>
      <c r="L147" t="n">
        <v>0</v>
      </c>
      <c r="M147" t="n">
        <v>0</v>
      </c>
      <c r="N147" t="n">
        <v>0</v>
      </c>
      <c r="O147" t="n">
        <v>0</v>
      </c>
      <c r="P147" t="n">
        <v>0</v>
      </c>
      <c r="Q147" t="n">
        <v>0</v>
      </c>
      <c r="R147" s="2" t="inlineStr"/>
    </row>
    <row r="148" ht="15" customHeight="1">
      <c r="A148" t="inlineStr">
        <is>
          <t>A 948-2022</t>
        </is>
      </c>
      <c r="B148" s="1" t="n">
        <v>44571</v>
      </c>
      <c r="C148" s="1" t="n">
        <v>46179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37014-2021</t>
        </is>
      </c>
      <c r="B149" s="1" t="n">
        <v>44393</v>
      </c>
      <c r="C149" s="1" t="n">
        <v>46179</v>
      </c>
      <c r="D149" t="inlineStr">
        <is>
          <t>ÖSTERGÖTLANDS LÄN</t>
        </is>
      </c>
      <c r="E149" t="inlineStr">
        <is>
          <t>LINKÖPING</t>
        </is>
      </c>
      <c r="F149" t="inlineStr">
        <is>
          <t>Allmännings- och besparingsskogar</t>
        </is>
      </c>
      <c r="G149" t="n">
        <v>7.7</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46179</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46179</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46179</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37934-2022</t>
        </is>
      </c>
      <c r="B153" s="1" t="n">
        <v>44809</v>
      </c>
      <c r="C153" s="1" t="n">
        <v>46179</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54854-2022</t>
        </is>
      </c>
      <c r="B154" s="1" t="n">
        <v>44884</v>
      </c>
      <c r="C154" s="1" t="n">
        <v>46179</v>
      </c>
      <c r="D154" t="inlineStr">
        <is>
          <t>ÖSTERGÖTLANDS LÄN</t>
        </is>
      </c>
      <c r="E154" t="inlineStr">
        <is>
          <t>LINKÖPING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54855-2022</t>
        </is>
      </c>
      <c r="B155" s="1" t="n">
        <v>44884.59502314815</v>
      </c>
      <c r="C155" s="1" t="n">
        <v>46179</v>
      </c>
      <c r="D155" t="inlineStr">
        <is>
          <t>ÖSTERGÖTLANDS LÄN</t>
        </is>
      </c>
      <c r="E155" t="inlineStr">
        <is>
          <t>LINKÖPING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11079-2022</t>
        </is>
      </c>
      <c r="B156" s="1" t="n">
        <v>44628</v>
      </c>
      <c r="C156" s="1" t="n">
        <v>46179</v>
      </c>
      <c r="D156" t="inlineStr">
        <is>
          <t>ÖSTERGÖTLANDS LÄN</t>
        </is>
      </c>
      <c r="E156" t="inlineStr">
        <is>
          <t>LINKÖPING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67912-2021</t>
        </is>
      </c>
      <c r="B157" s="1" t="n">
        <v>44525</v>
      </c>
      <c r="C157" s="1" t="n">
        <v>46179</v>
      </c>
      <c r="D157" t="inlineStr">
        <is>
          <t>ÖSTERGÖTLANDS LÄN</t>
        </is>
      </c>
      <c r="E157" t="inlineStr">
        <is>
          <t>LINKÖPING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67940-2021</t>
        </is>
      </c>
      <c r="B158" s="1" t="n">
        <v>44525.62849537037</v>
      </c>
      <c r="C158" s="1" t="n">
        <v>46179</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10951-2022</t>
        </is>
      </c>
      <c r="B159" s="1" t="n">
        <v>44627</v>
      </c>
      <c r="C159" s="1" t="n">
        <v>46179</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33134-2022</t>
        </is>
      </c>
      <c r="B160" s="1" t="n">
        <v>44785</v>
      </c>
      <c r="C160" s="1" t="n">
        <v>46179</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46179</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23416-2022</t>
        </is>
      </c>
      <c r="B162" s="1" t="n">
        <v>44720.78243055556</v>
      </c>
      <c r="C162" s="1" t="n">
        <v>46179</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5605-2022</t>
        </is>
      </c>
      <c r="B163" s="1" t="n">
        <v>44595</v>
      </c>
      <c r="C163" s="1" t="n">
        <v>46179</v>
      </c>
      <c r="D163" t="inlineStr">
        <is>
          <t>ÖSTERGÖTLANDS LÄN</t>
        </is>
      </c>
      <c r="E163" t="inlineStr">
        <is>
          <t>LINKÖPING</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56688-2021</t>
        </is>
      </c>
      <c r="B164" s="1" t="n">
        <v>44481</v>
      </c>
      <c r="C164" s="1" t="n">
        <v>46179</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27769-2022</t>
        </is>
      </c>
      <c r="B165" s="1" t="n">
        <v>44743.53200231482</v>
      </c>
      <c r="C165" s="1" t="n">
        <v>46179</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33891-2021</t>
        </is>
      </c>
      <c r="B166" s="1" t="n">
        <v>44378</v>
      </c>
      <c r="C166" s="1" t="n">
        <v>46179</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61153-2021</t>
        </is>
      </c>
      <c r="B167" s="1" t="n">
        <v>44497</v>
      </c>
      <c r="C167" s="1" t="n">
        <v>46179</v>
      </c>
      <c r="D167" t="inlineStr">
        <is>
          <t>ÖSTERGÖTLANDS LÄN</t>
        </is>
      </c>
      <c r="E167" t="inlineStr">
        <is>
          <t>LINKÖPING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33885-2021</t>
        </is>
      </c>
      <c r="B168" s="1" t="n">
        <v>44378</v>
      </c>
      <c r="C168" s="1" t="n">
        <v>46179</v>
      </c>
      <c r="D168" t="inlineStr">
        <is>
          <t>ÖSTERGÖTLANDS LÄN</t>
        </is>
      </c>
      <c r="E168" t="inlineStr">
        <is>
          <t>LINKÖPING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46490-2022</t>
        </is>
      </c>
      <c r="B169" s="1" t="n">
        <v>44848</v>
      </c>
      <c r="C169" s="1" t="n">
        <v>46179</v>
      </c>
      <c r="D169" t="inlineStr">
        <is>
          <t>ÖSTERGÖTLANDS LÄN</t>
        </is>
      </c>
      <c r="E169" t="inlineStr">
        <is>
          <t>LINKÖPING</t>
        </is>
      </c>
      <c r="G169" t="n">
        <v>3.5</v>
      </c>
      <c r="H169" t="n">
        <v>0</v>
      </c>
      <c r="I169" t="n">
        <v>0</v>
      </c>
      <c r="J169" t="n">
        <v>0</v>
      </c>
      <c r="K169" t="n">
        <v>0</v>
      </c>
      <c r="L169" t="n">
        <v>0</v>
      </c>
      <c r="M169" t="n">
        <v>0</v>
      </c>
      <c r="N169" t="n">
        <v>0</v>
      </c>
      <c r="O169" t="n">
        <v>0</v>
      </c>
      <c r="P169" t="n">
        <v>0</v>
      </c>
      <c r="Q169" t="n">
        <v>0</v>
      </c>
      <c r="R169" s="2" t="inlineStr"/>
    </row>
    <row r="170" ht="15" customHeight="1">
      <c r="A170" t="inlineStr">
        <is>
          <t>A 34486-2021</t>
        </is>
      </c>
      <c r="B170" s="1" t="n">
        <v>44382.29295138889</v>
      </c>
      <c r="C170" s="1" t="n">
        <v>46179</v>
      </c>
      <c r="D170" t="inlineStr">
        <is>
          <t>ÖSTERGÖTLANDS LÄN</t>
        </is>
      </c>
      <c r="E170" t="inlineStr">
        <is>
          <t>LINKÖPING</t>
        </is>
      </c>
      <c r="G170" t="n">
        <v>4.4</v>
      </c>
      <c r="H170" t="n">
        <v>0</v>
      </c>
      <c r="I170" t="n">
        <v>0</v>
      </c>
      <c r="J170" t="n">
        <v>0</v>
      </c>
      <c r="K170" t="n">
        <v>0</v>
      </c>
      <c r="L170" t="n">
        <v>0</v>
      </c>
      <c r="M170" t="n">
        <v>0</v>
      </c>
      <c r="N170" t="n">
        <v>0</v>
      </c>
      <c r="O170" t="n">
        <v>0</v>
      </c>
      <c r="P170" t="n">
        <v>0</v>
      </c>
      <c r="Q170" t="n">
        <v>0</v>
      </c>
      <c r="R170" s="2" t="inlineStr"/>
    </row>
    <row r="171" ht="15" customHeight="1">
      <c r="A171" t="inlineStr">
        <is>
          <t>A 31732-2022</t>
        </is>
      </c>
      <c r="B171" s="1" t="n">
        <v>44776.49267361111</v>
      </c>
      <c r="C171" s="1" t="n">
        <v>46179</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61302-2021</t>
        </is>
      </c>
      <c r="B172" s="1" t="n">
        <v>44498.63189814815</v>
      </c>
      <c r="C172" s="1" t="n">
        <v>46179</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41426-2022</t>
        </is>
      </c>
      <c r="B173" s="1" t="n">
        <v>44826</v>
      </c>
      <c r="C173" s="1" t="n">
        <v>46179</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46179</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61298-2021</t>
        </is>
      </c>
      <c r="B175" s="1" t="n">
        <v>44498.62533564815</v>
      </c>
      <c r="C175" s="1" t="n">
        <v>46179</v>
      </c>
      <c r="D175" t="inlineStr">
        <is>
          <t>ÖSTERGÖTLANDS LÄN</t>
        </is>
      </c>
      <c r="E175" t="inlineStr">
        <is>
          <t>LINKÖPING</t>
        </is>
      </c>
      <c r="G175" t="n">
        <v>4.3</v>
      </c>
      <c r="H175" t="n">
        <v>0</v>
      </c>
      <c r="I175" t="n">
        <v>0</v>
      </c>
      <c r="J175" t="n">
        <v>0</v>
      </c>
      <c r="K175" t="n">
        <v>0</v>
      </c>
      <c r="L175" t="n">
        <v>0</v>
      </c>
      <c r="M175" t="n">
        <v>0</v>
      </c>
      <c r="N175" t="n">
        <v>0</v>
      </c>
      <c r="O175" t="n">
        <v>0</v>
      </c>
      <c r="P175" t="n">
        <v>0</v>
      </c>
      <c r="Q175" t="n">
        <v>0</v>
      </c>
      <c r="R175" s="2" t="inlineStr"/>
    </row>
    <row r="176" ht="15" customHeight="1">
      <c r="A176" t="inlineStr">
        <is>
          <t>A 61333-2021</t>
        </is>
      </c>
      <c r="B176" s="1" t="n">
        <v>44498.6764699074</v>
      </c>
      <c r="C176" s="1" t="n">
        <v>46179</v>
      </c>
      <c r="D176" t="inlineStr">
        <is>
          <t>ÖSTERGÖTLANDS LÄN</t>
        </is>
      </c>
      <c r="E176" t="inlineStr">
        <is>
          <t>LINKÖPING</t>
        </is>
      </c>
      <c r="G176" t="n">
        <v>7.5</v>
      </c>
      <c r="H176" t="n">
        <v>0</v>
      </c>
      <c r="I176" t="n">
        <v>0</v>
      </c>
      <c r="J176" t="n">
        <v>0</v>
      </c>
      <c r="K176" t="n">
        <v>0</v>
      </c>
      <c r="L176" t="n">
        <v>0</v>
      </c>
      <c r="M176" t="n">
        <v>0</v>
      </c>
      <c r="N176" t="n">
        <v>0</v>
      </c>
      <c r="O176" t="n">
        <v>0</v>
      </c>
      <c r="P176" t="n">
        <v>0</v>
      </c>
      <c r="Q176" t="n">
        <v>0</v>
      </c>
      <c r="R176" s="2" t="inlineStr"/>
    </row>
    <row r="177" ht="15" customHeight="1">
      <c r="A177" t="inlineStr">
        <is>
          <t>A 12412-2022</t>
        </is>
      </c>
      <c r="B177" s="1" t="n">
        <v>44638</v>
      </c>
      <c r="C177" s="1" t="n">
        <v>46179</v>
      </c>
      <c r="D177" t="inlineStr">
        <is>
          <t>ÖSTERGÖTLANDS LÄN</t>
        </is>
      </c>
      <c r="E177" t="inlineStr">
        <is>
          <t>LINKÖPING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32255-2021</t>
        </is>
      </c>
      <c r="B178" s="1" t="n">
        <v>44371.45949074074</v>
      </c>
      <c r="C178" s="1" t="n">
        <v>46179</v>
      </c>
      <c r="D178" t="inlineStr">
        <is>
          <t>ÖSTERGÖTLANDS LÄN</t>
        </is>
      </c>
      <c r="E178" t="inlineStr">
        <is>
          <t>LINKÖPING</t>
        </is>
      </c>
      <c r="F178" t="inlineStr">
        <is>
          <t>Övriga Aktiebolag</t>
        </is>
      </c>
      <c r="G178" t="n">
        <v>1.1</v>
      </c>
      <c r="H178" t="n">
        <v>0</v>
      </c>
      <c r="I178" t="n">
        <v>0</v>
      </c>
      <c r="J178" t="n">
        <v>0</v>
      </c>
      <c r="K178" t="n">
        <v>0</v>
      </c>
      <c r="L178" t="n">
        <v>0</v>
      </c>
      <c r="M178" t="n">
        <v>0</v>
      </c>
      <c r="N178" t="n">
        <v>0</v>
      </c>
      <c r="O178" t="n">
        <v>0</v>
      </c>
      <c r="P178" t="n">
        <v>0</v>
      </c>
      <c r="Q178" t="n">
        <v>0</v>
      </c>
      <c r="R178" s="2" t="inlineStr"/>
    </row>
    <row r="179" ht="15" customHeight="1">
      <c r="A179" t="inlineStr">
        <is>
          <t>A 38235-2022</t>
        </is>
      </c>
      <c r="B179" s="1" t="n">
        <v>44812</v>
      </c>
      <c r="C179" s="1" t="n">
        <v>46179</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34880-2022</t>
        </is>
      </c>
      <c r="B180" s="1" t="n">
        <v>44796</v>
      </c>
      <c r="C180" s="1" t="n">
        <v>46179</v>
      </c>
      <c r="D180" t="inlineStr">
        <is>
          <t>ÖSTERGÖTLANDS LÄN</t>
        </is>
      </c>
      <c r="E180" t="inlineStr">
        <is>
          <t>LINKÖPING</t>
        </is>
      </c>
      <c r="F180" t="inlineStr">
        <is>
          <t>Övriga statliga verk och myndigheter</t>
        </is>
      </c>
      <c r="G180" t="n">
        <v>4</v>
      </c>
      <c r="H180" t="n">
        <v>0</v>
      </c>
      <c r="I180" t="n">
        <v>0</v>
      </c>
      <c r="J180" t="n">
        <v>0</v>
      </c>
      <c r="K180" t="n">
        <v>0</v>
      </c>
      <c r="L180" t="n">
        <v>0</v>
      </c>
      <c r="M180" t="n">
        <v>0</v>
      </c>
      <c r="N180" t="n">
        <v>0</v>
      </c>
      <c r="O180" t="n">
        <v>0</v>
      </c>
      <c r="P180" t="n">
        <v>0</v>
      </c>
      <c r="Q180" t="n">
        <v>0</v>
      </c>
      <c r="R180" s="2" t="inlineStr"/>
    </row>
    <row r="181" ht="15" customHeight="1">
      <c r="A181" t="inlineStr">
        <is>
          <t>A 48042-2022</t>
        </is>
      </c>
      <c r="B181" s="1" t="n">
        <v>44855</v>
      </c>
      <c r="C181" s="1" t="n">
        <v>46179</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39021-2021</t>
        </is>
      </c>
      <c r="B182" s="1" t="n">
        <v>44412</v>
      </c>
      <c r="C182" s="1" t="n">
        <v>46179</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12035-2025</t>
        </is>
      </c>
      <c r="B183" s="1" t="n">
        <v>45728.64946759259</v>
      </c>
      <c r="C183" s="1" t="n">
        <v>46179</v>
      </c>
      <c r="D183" t="inlineStr">
        <is>
          <t>ÖSTERGÖTLANDS LÄN</t>
        </is>
      </c>
      <c r="E183" t="inlineStr">
        <is>
          <t>LINKÖPING</t>
        </is>
      </c>
      <c r="G183" t="n">
        <v>3.7</v>
      </c>
      <c r="H183" t="n">
        <v>0</v>
      </c>
      <c r="I183" t="n">
        <v>0</v>
      </c>
      <c r="J183" t="n">
        <v>0</v>
      </c>
      <c r="K183" t="n">
        <v>0</v>
      </c>
      <c r="L183" t="n">
        <v>0</v>
      </c>
      <c r="M183" t="n">
        <v>0</v>
      </c>
      <c r="N183" t="n">
        <v>0</v>
      </c>
      <c r="O183" t="n">
        <v>0</v>
      </c>
      <c r="P183" t="n">
        <v>0</v>
      </c>
      <c r="Q183" t="n">
        <v>0</v>
      </c>
      <c r="R183" s="2" t="inlineStr"/>
    </row>
    <row r="184" ht="15" customHeight="1">
      <c r="A184" t="inlineStr">
        <is>
          <t>A 10407-2025</t>
        </is>
      </c>
      <c r="B184" s="1" t="n">
        <v>45720.62863425926</v>
      </c>
      <c r="C184" s="1" t="n">
        <v>46179</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63678-2023</t>
        </is>
      </c>
      <c r="B185" s="1" t="n">
        <v>45275.64769675926</v>
      </c>
      <c r="C185" s="1" t="n">
        <v>46179</v>
      </c>
      <c r="D185" t="inlineStr">
        <is>
          <t>ÖSTERGÖTLANDS LÄN</t>
        </is>
      </c>
      <c r="E185" t="inlineStr">
        <is>
          <t>LINKÖPING</t>
        </is>
      </c>
      <c r="F185" t="inlineStr">
        <is>
          <t>Övriga Aktiebolag</t>
        </is>
      </c>
      <c r="G185" t="n">
        <v>0.4</v>
      </c>
      <c r="H185" t="n">
        <v>0</v>
      </c>
      <c r="I185" t="n">
        <v>0</v>
      </c>
      <c r="J185" t="n">
        <v>0</v>
      </c>
      <c r="K185" t="n">
        <v>0</v>
      </c>
      <c r="L185" t="n">
        <v>0</v>
      </c>
      <c r="M185" t="n">
        <v>0</v>
      </c>
      <c r="N185" t="n">
        <v>0</v>
      </c>
      <c r="O185" t="n">
        <v>0</v>
      </c>
      <c r="P185" t="n">
        <v>0</v>
      </c>
      <c r="Q185" t="n">
        <v>0</v>
      </c>
      <c r="R185" s="2" t="inlineStr"/>
    </row>
    <row r="186" ht="15" customHeight="1">
      <c r="A186" t="inlineStr">
        <is>
          <t>A 63688-2023</t>
        </is>
      </c>
      <c r="B186" s="1" t="n">
        <v>45275</v>
      </c>
      <c r="C186" s="1" t="n">
        <v>46179</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63691-2023</t>
        </is>
      </c>
      <c r="B187" s="1" t="n">
        <v>45275</v>
      </c>
      <c r="C187" s="1" t="n">
        <v>46179</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34557-2022</t>
        </is>
      </c>
      <c r="B188" s="1" t="n">
        <v>44794.57074074074</v>
      </c>
      <c r="C188" s="1" t="n">
        <v>46179</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17157-2024</t>
        </is>
      </c>
      <c r="B189" s="1" t="n">
        <v>45412.70567129629</v>
      </c>
      <c r="C189" s="1" t="n">
        <v>46179</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51484-2023</t>
        </is>
      </c>
      <c r="B190" s="1" t="n">
        <v>45222</v>
      </c>
      <c r="C190" s="1" t="n">
        <v>46179</v>
      </c>
      <c r="D190" t="inlineStr">
        <is>
          <t>ÖSTERGÖTLANDS LÄN</t>
        </is>
      </c>
      <c r="E190" t="inlineStr">
        <is>
          <t>LINKÖPING</t>
        </is>
      </c>
      <c r="F190" t="inlineStr">
        <is>
          <t>Övriga Aktiebolag</t>
        </is>
      </c>
      <c r="G190" t="n">
        <v>7.7</v>
      </c>
      <c r="H190" t="n">
        <v>0</v>
      </c>
      <c r="I190" t="n">
        <v>0</v>
      </c>
      <c r="J190" t="n">
        <v>0</v>
      </c>
      <c r="K190" t="n">
        <v>0</v>
      </c>
      <c r="L190" t="n">
        <v>0</v>
      </c>
      <c r="M190" t="n">
        <v>0</v>
      </c>
      <c r="N190" t="n">
        <v>0</v>
      </c>
      <c r="O190" t="n">
        <v>0</v>
      </c>
      <c r="P190" t="n">
        <v>0</v>
      </c>
      <c r="Q190" t="n">
        <v>0</v>
      </c>
      <c r="R190" s="2" t="inlineStr"/>
    </row>
    <row r="191" ht="15" customHeight="1">
      <c r="A191" t="inlineStr">
        <is>
          <t>A 12428-2024</t>
        </is>
      </c>
      <c r="B191" s="1" t="n">
        <v>45379</v>
      </c>
      <c r="C191" s="1" t="n">
        <v>46179</v>
      </c>
      <c r="D191" t="inlineStr">
        <is>
          <t>ÖSTERGÖTLANDS LÄN</t>
        </is>
      </c>
      <c r="E191" t="inlineStr">
        <is>
          <t>LINKÖPING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9434-2024</t>
        </is>
      </c>
      <c r="B192" s="1" t="n">
        <v>45359</v>
      </c>
      <c r="C192" s="1" t="n">
        <v>46179</v>
      </c>
      <c r="D192" t="inlineStr">
        <is>
          <t>ÖSTERGÖTLANDS LÄN</t>
        </is>
      </c>
      <c r="E192" t="inlineStr">
        <is>
          <t>LINKÖPING</t>
        </is>
      </c>
      <c r="G192" t="n">
        <v>1.2</v>
      </c>
      <c r="H192" t="n">
        <v>0</v>
      </c>
      <c r="I192" t="n">
        <v>0</v>
      </c>
      <c r="J192" t="n">
        <v>0</v>
      </c>
      <c r="K192" t="n">
        <v>0</v>
      </c>
      <c r="L192" t="n">
        <v>0</v>
      </c>
      <c r="M192" t="n">
        <v>0</v>
      </c>
      <c r="N192" t="n">
        <v>0</v>
      </c>
      <c r="O192" t="n">
        <v>0</v>
      </c>
      <c r="P192" t="n">
        <v>0</v>
      </c>
      <c r="Q192" t="n">
        <v>0</v>
      </c>
      <c r="R192" s="2" t="inlineStr"/>
    </row>
    <row r="193" ht="15" customHeight="1">
      <c r="A193" t="inlineStr">
        <is>
          <t>A 46225-2021</t>
        </is>
      </c>
      <c r="B193" s="1" t="n">
        <v>44442</v>
      </c>
      <c r="C193" s="1" t="n">
        <v>46179</v>
      </c>
      <c r="D193" t="inlineStr">
        <is>
          <t>ÖSTERGÖTLANDS LÄN</t>
        </is>
      </c>
      <c r="E193" t="inlineStr">
        <is>
          <t>LINKÖPING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54428-2022</t>
        </is>
      </c>
      <c r="B194" s="1" t="n">
        <v>44882.57643518518</v>
      </c>
      <c r="C194" s="1" t="n">
        <v>46179</v>
      </c>
      <c r="D194" t="inlineStr">
        <is>
          <t>ÖSTERGÖTLANDS LÄN</t>
        </is>
      </c>
      <c r="E194" t="inlineStr">
        <is>
          <t>LINKÖPING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11790-2024</t>
        </is>
      </c>
      <c r="B195" s="1" t="n">
        <v>45374</v>
      </c>
      <c r="C195" s="1" t="n">
        <v>46179</v>
      </c>
      <c r="D195" t="inlineStr">
        <is>
          <t>ÖSTERGÖTLANDS LÄN</t>
        </is>
      </c>
      <c r="E195" t="inlineStr">
        <is>
          <t>LINKÖPING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48962-2022</t>
        </is>
      </c>
      <c r="B196" s="1" t="n">
        <v>44860.31635416667</v>
      </c>
      <c r="C196" s="1" t="n">
        <v>46179</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53647-2021</t>
        </is>
      </c>
      <c r="B197" s="1" t="n">
        <v>44469</v>
      </c>
      <c r="C197" s="1" t="n">
        <v>46179</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18916-2024</t>
        </is>
      </c>
      <c r="B198" s="1" t="n">
        <v>45427.39541666667</v>
      </c>
      <c r="C198" s="1" t="n">
        <v>46179</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24586-2024</t>
        </is>
      </c>
      <c r="B199" s="1" t="n">
        <v>45460.46664351852</v>
      </c>
      <c r="C199" s="1" t="n">
        <v>46179</v>
      </c>
      <c r="D199" t="inlineStr">
        <is>
          <t>ÖSTERGÖTLANDS LÄN</t>
        </is>
      </c>
      <c r="E199" t="inlineStr">
        <is>
          <t>LINKÖPING</t>
        </is>
      </c>
      <c r="G199" t="n">
        <v>4</v>
      </c>
      <c r="H199" t="n">
        <v>0</v>
      </c>
      <c r="I199" t="n">
        <v>0</v>
      </c>
      <c r="J199" t="n">
        <v>0</v>
      </c>
      <c r="K199" t="n">
        <v>0</v>
      </c>
      <c r="L199" t="n">
        <v>0</v>
      </c>
      <c r="M199" t="n">
        <v>0</v>
      </c>
      <c r="N199" t="n">
        <v>0</v>
      </c>
      <c r="O199" t="n">
        <v>0</v>
      </c>
      <c r="P199" t="n">
        <v>0</v>
      </c>
      <c r="Q199" t="n">
        <v>0</v>
      </c>
      <c r="R199" s="2" t="inlineStr"/>
    </row>
    <row r="200" ht="15" customHeight="1">
      <c r="A200" t="inlineStr">
        <is>
          <t>A 17124-2025</t>
        </is>
      </c>
      <c r="B200" s="1" t="n">
        <v>45755.69678240741</v>
      </c>
      <c r="C200" s="1" t="n">
        <v>46179</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17126-2025</t>
        </is>
      </c>
      <c r="B201" s="1" t="n">
        <v>45755.70814814815</v>
      </c>
      <c r="C201" s="1" t="n">
        <v>46179</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17143-2025</t>
        </is>
      </c>
      <c r="B202" s="1" t="n">
        <v>45755.92731481481</v>
      </c>
      <c r="C202" s="1" t="n">
        <v>46179</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16820-2024</t>
        </is>
      </c>
      <c r="B203" s="1" t="n">
        <v>45411.46809027778</v>
      </c>
      <c r="C203" s="1" t="n">
        <v>46179</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39017-2021</t>
        </is>
      </c>
      <c r="B204" s="1" t="n">
        <v>44412</v>
      </c>
      <c r="C204" s="1" t="n">
        <v>46179</v>
      </c>
      <c r="D204" t="inlineStr">
        <is>
          <t>ÖSTERGÖTLANDS LÄN</t>
        </is>
      </c>
      <c r="E204" t="inlineStr">
        <is>
          <t>LINKÖPING</t>
        </is>
      </c>
      <c r="F204" t="inlineStr">
        <is>
          <t>Övriga statliga verk och myndigheter</t>
        </is>
      </c>
      <c r="G204" t="n">
        <v>0.8</v>
      </c>
      <c r="H204" t="n">
        <v>0</v>
      </c>
      <c r="I204" t="n">
        <v>0</v>
      </c>
      <c r="J204" t="n">
        <v>0</v>
      </c>
      <c r="K204" t="n">
        <v>0</v>
      </c>
      <c r="L204" t="n">
        <v>0</v>
      </c>
      <c r="M204" t="n">
        <v>0</v>
      </c>
      <c r="N204" t="n">
        <v>0</v>
      </c>
      <c r="O204" t="n">
        <v>0</v>
      </c>
      <c r="P204" t="n">
        <v>0</v>
      </c>
      <c r="Q204" t="n">
        <v>0</v>
      </c>
      <c r="R204" s="2" t="inlineStr"/>
    </row>
    <row r="205" ht="15" customHeight="1">
      <c r="A205" t="inlineStr">
        <is>
          <t>A 30980-2022</t>
        </is>
      </c>
      <c r="B205" s="1" t="n">
        <v>44768</v>
      </c>
      <c r="C205" s="1" t="n">
        <v>46179</v>
      </c>
      <c r="D205" t="inlineStr">
        <is>
          <t>ÖSTERGÖTLANDS LÄN</t>
        </is>
      </c>
      <c r="E205" t="inlineStr">
        <is>
          <t>LINKÖPING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49979-2022</t>
        </is>
      </c>
      <c r="B206" s="1" t="n">
        <v>44865</v>
      </c>
      <c r="C206" s="1" t="n">
        <v>46179</v>
      </c>
      <c r="D206" t="inlineStr">
        <is>
          <t>ÖSTERGÖTLANDS LÄN</t>
        </is>
      </c>
      <c r="E206" t="inlineStr">
        <is>
          <t>LINKÖPING</t>
        </is>
      </c>
      <c r="F206" t="inlineStr">
        <is>
          <t>Övriga Aktiebolag</t>
        </is>
      </c>
      <c r="G206" t="n">
        <v>11.4</v>
      </c>
      <c r="H206" t="n">
        <v>0</v>
      </c>
      <c r="I206" t="n">
        <v>0</v>
      </c>
      <c r="J206" t="n">
        <v>0</v>
      </c>
      <c r="K206" t="n">
        <v>0</v>
      </c>
      <c r="L206" t="n">
        <v>0</v>
      </c>
      <c r="M206" t="n">
        <v>0</v>
      </c>
      <c r="N206" t="n">
        <v>0</v>
      </c>
      <c r="O206" t="n">
        <v>0</v>
      </c>
      <c r="P206" t="n">
        <v>0</v>
      </c>
      <c r="Q206" t="n">
        <v>0</v>
      </c>
      <c r="R206" s="2" t="inlineStr"/>
    </row>
    <row r="207" ht="15" customHeight="1">
      <c r="A207" t="inlineStr">
        <is>
          <t>A 24351-2024</t>
        </is>
      </c>
      <c r="B207" s="1" t="n">
        <v>45457.59011574074</v>
      </c>
      <c r="C207" s="1" t="n">
        <v>46179</v>
      </c>
      <c r="D207" t="inlineStr">
        <is>
          <t>ÖSTERGÖTLANDS LÄN</t>
        </is>
      </c>
      <c r="E207" t="inlineStr">
        <is>
          <t>LINKÖPING</t>
        </is>
      </c>
      <c r="G207" t="n">
        <v>11.9</v>
      </c>
      <c r="H207" t="n">
        <v>0</v>
      </c>
      <c r="I207" t="n">
        <v>0</v>
      </c>
      <c r="J207" t="n">
        <v>0</v>
      </c>
      <c r="K207" t="n">
        <v>0</v>
      </c>
      <c r="L207" t="n">
        <v>0</v>
      </c>
      <c r="M207" t="n">
        <v>0</v>
      </c>
      <c r="N207" t="n">
        <v>0</v>
      </c>
      <c r="O207" t="n">
        <v>0</v>
      </c>
      <c r="P207" t="n">
        <v>0</v>
      </c>
      <c r="Q207" t="n">
        <v>0</v>
      </c>
      <c r="R207" s="2" t="inlineStr"/>
    </row>
    <row r="208" ht="15" customHeight="1">
      <c r="A208" t="inlineStr">
        <is>
          <t>A 53827-2023</t>
        </is>
      </c>
      <c r="B208" s="1" t="n">
        <v>45230</v>
      </c>
      <c r="C208" s="1" t="n">
        <v>46179</v>
      </c>
      <c r="D208" t="inlineStr">
        <is>
          <t>ÖSTERGÖTLANDS LÄN</t>
        </is>
      </c>
      <c r="E208" t="inlineStr">
        <is>
          <t>LINKÖPING</t>
        </is>
      </c>
      <c r="G208" t="n">
        <v>1.6</v>
      </c>
      <c r="H208" t="n">
        <v>0</v>
      </c>
      <c r="I208" t="n">
        <v>0</v>
      </c>
      <c r="J208" t="n">
        <v>0</v>
      </c>
      <c r="K208" t="n">
        <v>0</v>
      </c>
      <c r="L208" t="n">
        <v>0</v>
      </c>
      <c r="M208" t="n">
        <v>0</v>
      </c>
      <c r="N208" t="n">
        <v>0</v>
      </c>
      <c r="O208" t="n">
        <v>0</v>
      </c>
      <c r="P208" t="n">
        <v>0</v>
      </c>
      <c r="Q208" t="n">
        <v>0</v>
      </c>
      <c r="R208" s="2" t="inlineStr"/>
    </row>
    <row r="209" ht="15" customHeight="1">
      <c r="A209" t="inlineStr">
        <is>
          <t>A 45819-2024</t>
        </is>
      </c>
      <c r="B209" s="1" t="n">
        <v>45579.7454050926</v>
      </c>
      <c r="C209" s="1" t="n">
        <v>46179</v>
      </c>
      <c r="D209" t="inlineStr">
        <is>
          <t>ÖSTERGÖTLANDS LÄN</t>
        </is>
      </c>
      <c r="E209" t="inlineStr">
        <is>
          <t>LINKÖPING</t>
        </is>
      </c>
      <c r="G209" t="n">
        <v>5</v>
      </c>
      <c r="H209" t="n">
        <v>0</v>
      </c>
      <c r="I209" t="n">
        <v>0</v>
      </c>
      <c r="J209" t="n">
        <v>0</v>
      </c>
      <c r="K209" t="n">
        <v>0</v>
      </c>
      <c r="L209" t="n">
        <v>0</v>
      </c>
      <c r="M209" t="n">
        <v>0</v>
      </c>
      <c r="N209" t="n">
        <v>0</v>
      </c>
      <c r="O209" t="n">
        <v>0</v>
      </c>
      <c r="P209" t="n">
        <v>0</v>
      </c>
      <c r="Q209" t="n">
        <v>0</v>
      </c>
      <c r="R209" s="2" t="inlineStr"/>
    </row>
    <row r="210" ht="15" customHeight="1">
      <c r="A210" t="inlineStr">
        <is>
          <t>A 3041-2024</t>
        </is>
      </c>
      <c r="B210" s="1" t="n">
        <v>45316.34875</v>
      </c>
      <c r="C210" s="1" t="n">
        <v>46179</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62501-2023</t>
        </is>
      </c>
      <c r="B211" s="1" t="n">
        <v>45268</v>
      </c>
      <c r="C211" s="1" t="n">
        <v>46179</v>
      </c>
      <c r="D211" t="inlineStr">
        <is>
          <t>ÖSTERGÖTLANDS LÄN</t>
        </is>
      </c>
      <c r="E211" t="inlineStr">
        <is>
          <t>LINKÖPING</t>
        </is>
      </c>
      <c r="G211" t="n">
        <v>7.4</v>
      </c>
      <c r="H211" t="n">
        <v>0</v>
      </c>
      <c r="I211" t="n">
        <v>0</v>
      </c>
      <c r="J211" t="n">
        <v>0</v>
      </c>
      <c r="K211" t="n">
        <v>0</v>
      </c>
      <c r="L211" t="n">
        <v>0</v>
      </c>
      <c r="M211" t="n">
        <v>0</v>
      </c>
      <c r="N211" t="n">
        <v>0</v>
      </c>
      <c r="O211" t="n">
        <v>0</v>
      </c>
      <c r="P211" t="n">
        <v>0</v>
      </c>
      <c r="Q211" t="n">
        <v>0</v>
      </c>
      <c r="R211" s="2" t="inlineStr"/>
    </row>
    <row r="212" ht="15" customHeight="1">
      <c r="A212" t="inlineStr">
        <is>
          <t>A 58947-2022</t>
        </is>
      </c>
      <c r="B212" s="1" t="n">
        <v>44903.64769675926</v>
      </c>
      <c r="C212" s="1" t="n">
        <v>46179</v>
      </c>
      <c r="D212" t="inlineStr">
        <is>
          <t>ÖSTERGÖTLANDS LÄN</t>
        </is>
      </c>
      <c r="E212" t="inlineStr">
        <is>
          <t>LINKÖPING</t>
        </is>
      </c>
      <c r="G212" t="n">
        <v>4</v>
      </c>
      <c r="H212" t="n">
        <v>0</v>
      </c>
      <c r="I212" t="n">
        <v>0</v>
      </c>
      <c r="J212" t="n">
        <v>0</v>
      </c>
      <c r="K212" t="n">
        <v>0</v>
      </c>
      <c r="L212" t="n">
        <v>0</v>
      </c>
      <c r="M212" t="n">
        <v>0</v>
      </c>
      <c r="N212" t="n">
        <v>0</v>
      </c>
      <c r="O212" t="n">
        <v>0</v>
      </c>
      <c r="P212" t="n">
        <v>0</v>
      </c>
      <c r="Q212" t="n">
        <v>0</v>
      </c>
      <c r="R212" s="2" t="inlineStr"/>
    </row>
    <row r="213" ht="15" customHeight="1">
      <c r="A213" t="inlineStr">
        <is>
          <t>A 940-2023</t>
        </is>
      </c>
      <c r="B213" s="1" t="n">
        <v>44933</v>
      </c>
      <c r="C213" s="1" t="n">
        <v>46179</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3530-2024</t>
        </is>
      </c>
      <c r="B214" s="1" t="n">
        <v>45320.54717592592</v>
      </c>
      <c r="C214" s="1" t="n">
        <v>46179</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7992-2023</t>
        </is>
      </c>
      <c r="B215" s="1" t="n">
        <v>44970</v>
      </c>
      <c r="C215" s="1" t="n">
        <v>46179</v>
      </c>
      <c r="D215" t="inlineStr">
        <is>
          <t>ÖSTERGÖTLANDS LÄN</t>
        </is>
      </c>
      <c r="E215" t="inlineStr">
        <is>
          <t>LINKÖPING</t>
        </is>
      </c>
      <c r="F215" t="inlineStr">
        <is>
          <t>Kommuner</t>
        </is>
      </c>
      <c r="G215" t="n">
        <v>1</v>
      </c>
      <c r="H215" t="n">
        <v>0</v>
      </c>
      <c r="I215" t="n">
        <v>0</v>
      </c>
      <c r="J215" t="n">
        <v>0</v>
      </c>
      <c r="K215" t="n">
        <v>0</v>
      </c>
      <c r="L215" t="n">
        <v>0</v>
      </c>
      <c r="M215" t="n">
        <v>0</v>
      </c>
      <c r="N215" t="n">
        <v>0</v>
      </c>
      <c r="O215" t="n">
        <v>0</v>
      </c>
      <c r="P215" t="n">
        <v>0</v>
      </c>
      <c r="Q215" t="n">
        <v>0</v>
      </c>
      <c r="R215" s="2" t="inlineStr"/>
    </row>
    <row r="216" ht="15" customHeight="1">
      <c r="A216" t="inlineStr">
        <is>
          <t>A 3008-2023</t>
        </is>
      </c>
      <c r="B216" s="1" t="n">
        <v>44945.79784722222</v>
      </c>
      <c r="C216" s="1" t="n">
        <v>46179</v>
      </c>
      <c r="D216" t="inlineStr">
        <is>
          <t>ÖSTERGÖTLANDS LÄN</t>
        </is>
      </c>
      <c r="E216" t="inlineStr">
        <is>
          <t>LINKÖPING</t>
        </is>
      </c>
      <c r="G216" t="n">
        <v>19.3</v>
      </c>
      <c r="H216" t="n">
        <v>0</v>
      </c>
      <c r="I216" t="n">
        <v>0</v>
      </c>
      <c r="J216" t="n">
        <v>0</v>
      </c>
      <c r="K216" t="n">
        <v>0</v>
      </c>
      <c r="L216" t="n">
        <v>0</v>
      </c>
      <c r="M216" t="n">
        <v>0</v>
      </c>
      <c r="N216" t="n">
        <v>0</v>
      </c>
      <c r="O216" t="n">
        <v>0</v>
      </c>
      <c r="P216" t="n">
        <v>0</v>
      </c>
      <c r="Q216" t="n">
        <v>0</v>
      </c>
      <c r="R216" s="2" t="inlineStr"/>
    </row>
    <row r="217" ht="15" customHeight="1">
      <c r="A217" t="inlineStr">
        <is>
          <t>A 62686-2023</t>
        </is>
      </c>
      <c r="B217" s="1" t="n">
        <v>45271</v>
      </c>
      <c r="C217" s="1" t="n">
        <v>46179</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13689-2025</t>
        </is>
      </c>
      <c r="B218" s="1" t="n">
        <v>45737.31590277778</v>
      </c>
      <c r="C218" s="1" t="n">
        <v>46179</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13696-2025</t>
        </is>
      </c>
      <c r="B219" s="1" t="n">
        <v>45737.32273148148</v>
      </c>
      <c r="C219" s="1" t="n">
        <v>46179</v>
      </c>
      <c r="D219" t="inlineStr">
        <is>
          <t>ÖSTERGÖTLANDS LÄN</t>
        </is>
      </c>
      <c r="E219" t="inlineStr">
        <is>
          <t>LINKÖPING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55345-2021</t>
        </is>
      </c>
      <c r="B220" s="1" t="n">
        <v>44475</v>
      </c>
      <c r="C220" s="1" t="n">
        <v>46179</v>
      </c>
      <c r="D220" t="inlineStr">
        <is>
          <t>ÖSTERGÖTLANDS LÄN</t>
        </is>
      </c>
      <c r="E220" t="inlineStr">
        <is>
          <t>LINKÖPING</t>
        </is>
      </c>
      <c r="G220" t="n">
        <v>5.7</v>
      </c>
      <c r="H220" t="n">
        <v>0</v>
      </c>
      <c r="I220" t="n">
        <v>0</v>
      </c>
      <c r="J220" t="n">
        <v>0</v>
      </c>
      <c r="K220" t="n">
        <v>0</v>
      </c>
      <c r="L220" t="n">
        <v>0</v>
      </c>
      <c r="M220" t="n">
        <v>0</v>
      </c>
      <c r="N220" t="n">
        <v>0</v>
      </c>
      <c r="O220" t="n">
        <v>0</v>
      </c>
      <c r="P220" t="n">
        <v>0</v>
      </c>
      <c r="Q220" t="n">
        <v>0</v>
      </c>
      <c r="R220" s="2" t="inlineStr"/>
    </row>
    <row r="221" ht="15" customHeight="1">
      <c r="A221" t="inlineStr">
        <is>
          <t>A 63489-2023</t>
        </is>
      </c>
      <c r="B221" s="1" t="n">
        <v>45274.66761574074</v>
      </c>
      <c r="C221" s="1" t="n">
        <v>46179</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55345-2021</t>
        </is>
      </c>
      <c r="B222" s="1" t="n">
        <v>44475</v>
      </c>
      <c r="C222" s="1" t="n">
        <v>46179</v>
      </c>
      <c r="D222" t="inlineStr">
        <is>
          <t>ÖSTERGÖTLANDS LÄN</t>
        </is>
      </c>
      <c r="E222" t="inlineStr">
        <is>
          <t>LINKÖPING</t>
        </is>
      </c>
      <c r="G222" t="n">
        <v>5.7</v>
      </c>
      <c r="H222" t="n">
        <v>0</v>
      </c>
      <c r="I222" t="n">
        <v>0</v>
      </c>
      <c r="J222" t="n">
        <v>0</v>
      </c>
      <c r="K222" t="n">
        <v>0</v>
      </c>
      <c r="L222" t="n">
        <v>0</v>
      </c>
      <c r="M222" t="n">
        <v>0</v>
      </c>
      <c r="N222" t="n">
        <v>0</v>
      </c>
      <c r="O222" t="n">
        <v>0</v>
      </c>
      <c r="P222" t="n">
        <v>0</v>
      </c>
      <c r="Q222" t="n">
        <v>0</v>
      </c>
      <c r="R222" s="2" t="inlineStr"/>
    </row>
    <row r="223" ht="15" customHeight="1">
      <c r="A223" t="inlineStr">
        <is>
          <t>A 13911-2025</t>
        </is>
      </c>
      <c r="B223" s="1" t="n">
        <v>45737.64784722222</v>
      </c>
      <c r="C223" s="1" t="n">
        <v>46179</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70-2024</t>
        </is>
      </c>
      <c r="B224" s="1" t="n">
        <v>45293</v>
      </c>
      <c r="C224" s="1" t="n">
        <v>46179</v>
      </c>
      <c r="D224" t="inlineStr">
        <is>
          <t>ÖSTERGÖTLANDS LÄN</t>
        </is>
      </c>
      <c r="E224" t="inlineStr">
        <is>
          <t>LINKÖPING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23768-2025</t>
        </is>
      </c>
      <c r="B225" s="1" t="n">
        <v>45793.47493055555</v>
      </c>
      <c r="C225" s="1" t="n">
        <v>46179</v>
      </c>
      <c r="D225" t="inlineStr">
        <is>
          <t>ÖSTERGÖTLANDS LÄN</t>
        </is>
      </c>
      <c r="E225" t="inlineStr">
        <is>
          <t>LINKÖPING</t>
        </is>
      </c>
      <c r="G225" t="n">
        <v>3.4</v>
      </c>
      <c r="H225" t="n">
        <v>0</v>
      </c>
      <c r="I225" t="n">
        <v>0</v>
      </c>
      <c r="J225" t="n">
        <v>0</v>
      </c>
      <c r="K225" t="n">
        <v>0</v>
      </c>
      <c r="L225" t="n">
        <v>0</v>
      </c>
      <c r="M225" t="n">
        <v>0</v>
      </c>
      <c r="N225" t="n">
        <v>0</v>
      </c>
      <c r="O225" t="n">
        <v>0</v>
      </c>
      <c r="P225" t="n">
        <v>0</v>
      </c>
      <c r="Q225" t="n">
        <v>0</v>
      </c>
      <c r="R225" s="2" t="inlineStr"/>
    </row>
    <row r="226" ht="15" customHeight="1">
      <c r="A226" t="inlineStr">
        <is>
          <t>A 6782-2024</t>
        </is>
      </c>
      <c r="B226" s="1" t="n">
        <v>45342</v>
      </c>
      <c r="C226" s="1" t="n">
        <v>46179</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617-2024</t>
        </is>
      </c>
      <c r="B227" s="1" t="n">
        <v>45299.66028935185</v>
      </c>
      <c r="C227" s="1" t="n">
        <v>46179</v>
      </c>
      <c r="D227" t="inlineStr">
        <is>
          <t>ÖSTERGÖTLANDS LÄN</t>
        </is>
      </c>
      <c r="E227" t="inlineStr">
        <is>
          <t>LINKÖPING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670-2024</t>
        </is>
      </c>
      <c r="B228" s="1" t="n">
        <v>45300.3408912037</v>
      </c>
      <c r="C228" s="1" t="n">
        <v>46179</v>
      </c>
      <c r="D228" t="inlineStr">
        <is>
          <t>ÖSTERGÖTLANDS LÄN</t>
        </is>
      </c>
      <c r="E228" t="inlineStr">
        <is>
          <t>LINKÖPING</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52125-2022</t>
        </is>
      </c>
      <c r="B229" s="1" t="n">
        <v>44873</v>
      </c>
      <c r="C229" s="1" t="n">
        <v>46179</v>
      </c>
      <c r="D229" t="inlineStr">
        <is>
          <t>ÖSTERGÖTLANDS LÄN</t>
        </is>
      </c>
      <c r="E229" t="inlineStr">
        <is>
          <t>LINKÖPING</t>
        </is>
      </c>
      <c r="F229" t="inlineStr">
        <is>
          <t>Övriga Aktiebolag</t>
        </is>
      </c>
      <c r="G229" t="n">
        <v>0.7</v>
      </c>
      <c r="H229" t="n">
        <v>0</v>
      </c>
      <c r="I229" t="n">
        <v>0</v>
      </c>
      <c r="J229" t="n">
        <v>0</v>
      </c>
      <c r="K229" t="n">
        <v>0</v>
      </c>
      <c r="L229" t="n">
        <v>0</v>
      </c>
      <c r="M229" t="n">
        <v>0</v>
      </c>
      <c r="N229" t="n">
        <v>0</v>
      </c>
      <c r="O229" t="n">
        <v>0</v>
      </c>
      <c r="P229" t="n">
        <v>0</v>
      </c>
      <c r="Q229" t="n">
        <v>0</v>
      </c>
      <c r="R229" s="2" t="inlineStr"/>
    </row>
    <row r="230" ht="15" customHeight="1">
      <c r="A230" t="inlineStr">
        <is>
          <t>A 927-2026</t>
        </is>
      </c>
      <c r="B230" s="1" t="n">
        <v>46030.50560185185</v>
      </c>
      <c r="C230" s="1" t="n">
        <v>46179</v>
      </c>
      <c r="D230" t="inlineStr">
        <is>
          <t>ÖSTERGÖTLANDS LÄN</t>
        </is>
      </c>
      <c r="E230" t="inlineStr">
        <is>
          <t>LINKÖPING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856-2026</t>
        </is>
      </c>
      <c r="B231" s="1" t="n">
        <v>46030.40644675926</v>
      </c>
      <c r="C231" s="1" t="n">
        <v>46179</v>
      </c>
      <c r="D231" t="inlineStr">
        <is>
          <t>ÖSTERGÖTLANDS LÄN</t>
        </is>
      </c>
      <c r="E231" t="inlineStr">
        <is>
          <t>LINKÖPING</t>
        </is>
      </c>
      <c r="G231" t="n">
        <v>6.4</v>
      </c>
      <c r="H231" t="n">
        <v>0</v>
      </c>
      <c r="I231" t="n">
        <v>0</v>
      </c>
      <c r="J231" t="n">
        <v>0</v>
      </c>
      <c r="K231" t="n">
        <v>0</v>
      </c>
      <c r="L231" t="n">
        <v>0</v>
      </c>
      <c r="M231" t="n">
        <v>0</v>
      </c>
      <c r="N231" t="n">
        <v>0</v>
      </c>
      <c r="O231" t="n">
        <v>0</v>
      </c>
      <c r="P231" t="n">
        <v>0</v>
      </c>
      <c r="Q231" t="n">
        <v>0</v>
      </c>
      <c r="R231" s="2" t="inlineStr"/>
    </row>
    <row r="232" ht="15" customHeight="1">
      <c r="A232" t="inlineStr">
        <is>
          <t>A 860-2026</t>
        </is>
      </c>
      <c r="B232" s="1" t="n">
        <v>46030.41974537037</v>
      </c>
      <c r="C232" s="1" t="n">
        <v>46179</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873-2026</t>
        </is>
      </c>
      <c r="B233" s="1" t="n">
        <v>46030.43818287037</v>
      </c>
      <c r="C233" s="1" t="n">
        <v>46179</v>
      </c>
      <c r="D233" t="inlineStr">
        <is>
          <t>ÖSTERGÖTLANDS LÄN</t>
        </is>
      </c>
      <c r="E233" t="inlineStr">
        <is>
          <t>LINKÖPING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61281-2021</t>
        </is>
      </c>
      <c r="B234" s="1" t="n">
        <v>44498.60736111111</v>
      </c>
      <c r="C234" s="1" t="n">
        <v>46179</v>
      </c>
      <c r="D234" t="inlineStr">
        <is>
          <t>ÖSTERGÖTLANDS LÄN</t>
        </is>
      </c>
      <c r="E234" t="inlineStr">
        <is>
          <t>LINKÖPING</t>
        </is>
      </c>
      <c r="G234" t="n">
        <v>4.5</v>
      </c>
      <c r="H234" t="n">
        <v>0</v>
      </c>
      <c r="I234" t="n">
        <v>0</v>
      </c>
      <c r="J234" t="n">
        <v>0</v>
      </c>
      <c r="K234" t="n">
        <v>0</v>
      </c>
      <c r="L234" t="n">
        <v>0</v>
      </c>
      <c r="M234" t="n">
        <v>0</v>
      </c>
      <c r="N234" t="n">
        <v>0</v>
      </c>
      <c r="O234" t="n">
        <v>0</v>
      </c>
      <c r="P234" t="n">
        <v>0</v>
      </c>
      <c r="Q234" t="n">
        <v>0</v>
      </c>
      <c r="R234" s="2" t="inlineStr"/>
    </row>
    <row r="235" ht="15" customHeight="1">
      <c r="A235" t="inlineStr">
        <is>
          <t>A 858-2026</t>
        </is>
      </c>
      <c r="B235" s="1" t="n">
        <v>46030.41200231481</v>
      </c>
      <c r="C235" s="1" t="n">
        <v>46179</v>
      </c>
      <c r="D235" t="inlineStr">
        <is>
          <t>ÖSTERGÖTLANDS LÄN</t>
        </is>
      </c>
      <c r="E235" t="inlineStr">
        <is>
          <t>LINKÖPING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1084-2023</t>
        </is>
      </c>
      <c r="B236" s="1" t="n">
        <v>44929</v>
      </c>
      <c r="C236" s="1" t="n">
        <v>46179</v>
      </c>
      <c r="D236" t="inlineStr">
        <is>
          <t>ÖSTERGÖTLANDS LÄN</t>
        </is>
      </c>
      <c r="E236" t="inlineStr">
        <is>
          <t>LINKÖPING</t>
        </is>
      </c>
      <c r="G236" t="n">
        <v>10.4</v>
      </c>
      <c r="H236" t="n">
        <v>0</v>
      </c>
      <c r="I236" t="n">
        <v>0</v>
      </c>
      <c r="J236" t="n">
        <v>0</v>
      </c>
      <c r="K236" t="n">
        <v>0</v>
      </c>
      <c r="L236" t="n">
        <v>0</v>
      </c>
      <c r="M236" t="n">
        <v>0</v>
      </c>
      <c r="N236" t="n">
        <v>0</v>
      </c>
      <c r="O236" t="n">
        <v>0</v>
      </c>
      <c r="P236" t="n">
        <v>0</v>
      </c>
      <c r="Q236" t="n">
        <v>0</v>
      </c>
      <c r="R236" s="2" t="inlineStr"/>
    </row>
    <row r="237" ht="15" customHeight="1">
      <c r="A237" t="inlineStr">
        <is>
          <t>A 940-2026</t>
        </is>
      </c>
      <c r="B237" s="1" t="n">
        <v>46030.53052083333</v>
      </c>
      <c r="C237" s="1" t="n">
        <v>46179</v>
      </c>
      <c r="D237" t="inlineStr">
        <is>
          <t>ÖSTERGÖTLANDS LÄN</t>
        </is>
      </c>
      <c r="E237" t="inlineStr">
        <is>
          <t>LINKÖPING</t>
        </is>
      </c>
      <c r="F237" t="inlineStr">
        <is>
          <t>Allmännings- och besparingsskogar</t>
        </is>
      </c>
      <c r="G237" t="n">
        <v>2.9</v>
      </c>
      <c r="H237" t="n">
        <v>0</v>
      </c>
      <c r="I237" t="n">
        <v>0</v>
      </c>
      <c r="J237" t="n">
        <v>0</v>
      </c>
      <c r="K237" t="n">
        <v>0</v>
      </c>
      <c r="L237" t="n">
        <v>0</v>
      </c>
      <c r="M237" t="n">
        <v>0</v>
      </c>
      <c r="N237" t="n">
        <v>0</v>
      </c>
      <c r="O237" t="n">
        <v>0</v>
      </c>
      <c r="P237" t="n">
        <v>0</v>
      </c>
      <c r="Q237" t="n">
        <v>0</v>
      </c>
      <c r="R237" s="2" t="inlineStr"/>
    </row>
    <row r="238" ht="15" customHeight="1">
      <c r="A238" t="inlineStr">
        <is>
          <t>A 944-2026</t>
        </is>
      </c>
      <c r="B238" s="1" t="n">
        <v>46030.53461805556</v>
      </c>
      <c r="C238" s="1" t="n">
        <v>46179</v>
      </c>
      <c r="D238" t="inlineStr">
        <is>
          <t>ÖSTERGÖTLANDS LÄN</t>
        </is>
      </c>
      <c r="E238" t="inlineStr">
        <is>
          <t>LINKÖPING</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63935-2021</t>
        </is>
      </c>
      <c r="B239" s="1" t="n">
        <v>44509</v>
      </c>
      <c r="C239" s="1" t="n">
        <v>46179</v>
      </c>
      <c r="D239" t="inlineStr">
        <is>
          <t>ÖSTERGÖTLANDS LÄN</t>
        </is>
      </c>
      <c r="E239" t="inlineStr">
        <is>
          <t>LINKÖPING</t>
        </is>
      </c>
      <c r="F239" t="inlineStr">
        <is>
          <t>Övriga statliga verk och myndigheter</t>
        </is>
      </c>
      <c r="G239" t="n">
        <v>2.8</v>
      </c>
      <c r="H239" t="n">
        <v>0</v>
      </c>
      <c r="I239" t="n">
        <v>0</v>
      </c>
      <c r="J239" t="n">
        <v>0</v>
      </c>
      <c r="K239" t="n">
        <v>0</v>
      </c>
      <c r="L239" t="n">
        <v>0</v>
      </c>
      <c r="M239" t="n">
        <v>0</v>
      </c>
      <c r="N239" t="n">
        <v>0</v>
      </c>
      <c r="O239" t="n">
        <v>0</v>
      </c>
      <c r="P239" t="n">
        <v>0</v>
      </c>
      <c r="Q239" t="n">
        <v>0</v>
      </c>
      <c r="R239" s="2" t="inlineStr"/>
    </row>
    <row r="240" ht="15" customHeight="1">
      <c r="A240" t="inlineStr">
        <is>
          <t>A 859-2026</t>
        </is>
      </c>
      <c r="B240" s="1" t="n">
        <v>46030.41450231482</v>
      </c>
      <c r="C240" s="1" t="n">
        <v>46179</v>
      </c>
      <c r="D240" t="inlineStr">
        <is>
          <t>ÖSTERGÖTLANDS LÄN</t>
        </is>
      </c>
      <c r="E240" t="inlineStr">
        <is>
          <t>LINKÖPING</t>
        </is>
      </c>
      <c r="G240" t="n">
        <v>0.2</v>
      </c>
      <c r="H240" t="n">
        <v>0</v>
      </c>
      <c r="I240" t="n">
        <v>0</v>
      </c>
      <c r="J240" t="n">
        <v>0</v>
      </c>
      <c r="K240" t="n">
        <v>0</v>
      </c>
      <c r="L240" t="n">
        <v>0</v>
      </c>
      <c r="M240" t="n">
        <v>0</v>
      </c>
      <c r="N240" t="n">
        <v>0</v>
      </c>
      <c r="O240" t="n">
        <v>0</v>
      </c>
      <c r="P240" t="n">
        <v>0</v>
      </c>
      <c r="Q240" t="n">
        <v>0</v>
      </c>
      <c r="R240" s="2" t="inlineStr"/>
    </row>
    <row r="241" ht="15" customHeight="1">
      <c r="A241" t="inlineStr">
        <is>
          <t>A 29859-2024</t>
        </is>
      </c>
      <c r="B241" s="1" t="n">
        <v>45485.6846412037</v>
      </c>
      <c r="C241" s="1" t="n">
        <v>46179</v>
      </c>
      <c r="D241" t="inlineStr">
        <is>
          <t>ÖSTERGÖTLANDS LÄN</t>
        </is>
      </c>
      <c r="E241" t="inlineStr">
        <is>
          <t>LINKÖPING</t>
        </is>
      </c>
      <c r="G241" t="n">
        <v>0.4</v>
      </c>
      <c r="H241" t="n">
        <v>0</v>
      </c>
      <c r="I241" t="n">
        <v>0</v>
      </c>
      <c r="J241" t="n">
        <v>0</v>
      </c>
      <c r="K241" t="n">
        <v>0</v>
      </c>
      <c r="L241" t="n">
        <v>0</v>
      </c>
      <c r="M241" t="n">
        <v>0</v>
      </c>
      <c r="N241" t="n">
        <v>0</v>
      </c>
      <c r="O241" t="n">
        <v>0</v>
      </c>
      <c r="P241" t="n">
        <v>0</v>
      </c>
      <c r="Q241" t="n">
        <v>0</v>
      </c>
      <c r="R241" s="2" t="inlineStr"/>
    </row>
    <row r="242" ht="15" customHeight="1">
      <c r="A242" t="inlineStr">
        <is>
          <t>A 51571-2024</t>
        </is>
      </c>
      <c r="B242" s="1" t="n">
        <v>45604</v>
      </c>
      <c r="C242" s="1" t="n">
        <v>46179</v>
      </c>
      <c r="D242" t="inlineStr">
        <is>
          <t>ÖSTERGÖTLANDS LÄN</t>
        </is>
      </c>
      <c r="E242" t="inlineStr">
        <is>
          <t>LINKÖPING</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223-2024</t>
        </is>
      </c>
      <c r="B243" s="1" t="n">
        <v>45294.72739583333</v>
      </c>
      <c r="C243" s="1" t="n">
        <v>46179</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227-2024</t>
        </is>
      </c>
      <c r="B244" s="1" t="n">
        <v>45294.73603009259</v>
      </c>
      <c r="C244" s="1" t="n">
        <v>46179</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56917-2022</t>
        </is>
      </c>
      <c r="B245" s="1" t="n">
        <v>44894</v>
      </c>
      <c r="C245" s="1" t="n">
        <v>46179</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2030-2026</t>
        </is>
      </c>
      <c r="B246" s="1" t="n">
        <v>46035.73590277778</v>
      </c>
      <c r="C246" s="1" t="n">
        <v>46179</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1265-2023</t>
        </is>
      </c>
      <c r="B247" s="1" t="n">
        <v>44936</v>
      </c>
      <c r="C247" s="1" t="n">
        <v>46179</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2031-2026</t>
        </is>
      </c>
      <c r="B248" s="1" t="n">
        <v>46035.74182870371</v>
      </c>
      <c r="C248" s="1" t="n">
        <v>46179</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54034-2022</t>
        </is>
      </c>
      <c r="B249" s="1" t="n">
        <v>44881</v>
      </c>
      <c r="C249" s="1" t="n">
        <v>46179</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55493-2021</t>
        </is>
      </c>
      <c r="B250" s="1" t="n">
        <v>44475.61988425926</v>
      </c>
      <c r="C250" s="1" t="n">
        <v>46179</v>
      </c>
      <c r="D250" t="inlineStr">
        <is>
          <t>ÖSTERGÖTLANDS LÄN</t>
        </is>
      </c>
      <c r="E250" t="inlineStr">
        <is>
          <t>LINKÖPING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6054-2022</t>
        </is>
      </c>
      <c r="B251" s="1" t="n">
        <v>44599.53623842593</v>
      </c>
      <c r="C251" s="1" t="n">
        <v>46179</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25119-2023</t>
        </is>
      </c>
      <c r="B252" s="1" t="n">
        <v>45086.42326388889</v>
      </c>
      <c r="C252" s="1" t="n">
        <v>46179</v>
      </c>
      <c r="D252" t="inlineStr">
        <is>
          <t>ÖSTERGÖTLANDS LÄN</t>
        </is>
      </c>
      <c r="E252" t="inlineStr">
        <is>
          <t>LINKÖPING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4456-2024</t>
        </is>
      </c>
      <c r="B253" s="1" t="n">
        <v>45327.52847222222</v>
      </c>
      <c r="C253" s="1" t="n">
        <v>46179</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72567-2021</t>
        </is>
      </c>
      <c r="B254" s="1" t="n">
        <v>44546.45023148148</v>
      </c>
      <c r="C254" s="1" t="n">
        <v>46179</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44280-2024</t>
        </is>
      </c>
      <c r="B255" s="1" t="n">
        <v>45573.49461805556</v>
      </c>
      <c r="C255" s="1" t="n">
        <v>46179</v>
      </c>
      <c r="D255" t="inlineStr">
        <is>
          <t>ÖSTERGÖTLANDS LÄN</t>
        </is>
      </c>
      <c r="E255" t="inlineStr">
        <is>
          <t>LINKÖPING</t>
        </is>
      </c>
      <c r="G255" t="n">
        <v>5.3</v>
      </c>
      <c r="H255" t="n">
        <v>0</v>
      </c>
      <c r="I255" t="n">
        <v>0</v>
      </c>
      <c r="J255" t="n">
        <v>0</v>
      </c>
      <c r="K255" t="n">
        <v>0</v>
      </c>
      <c r="L255" t="n">
        <v>0</v>
      </c>
      <c r="M255" t="n">
        <v>0</v>
      </c>
      <c r="N255" t="n">
        <v>0</v>
      </c>
      <c r="O255" t="n">
        <v>0</v>
      </c>
      <c r="P255" t="n">
        <v>0</v>
      </c>
      <c r="Q255" t="n">
        <v>0</v>
      </c>
      <c r="R255" s="2" t="inlineStr"/>
    </row>
    <row r="256" ht="15" customHeight="1">
      <c r="A256" t="inlineStr">
        <is>
          <t>A 58114-2021</t>
        </is>
      </c>
      <c r="B256" s="1" t="n">
        <v>44487</v>
      </c>
      <c r="C256" s="1" t="n">
        <v>46179</v>
      </c>
      <c r="D256" t="inlineStr">
        <is>
          <t>ÖSTERGÖTLANDS LÄN</t>
        </is>
      </c>
      <c r="E256" t="inlineStr">
        <is>
          <t>LINKÖPING</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46179</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46179</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25996-2025</t>
        </is>
      </c>
      <c r="B259" s="1" t="n">
        <v>45804.65851851852</v>
      </c>
      <c r="C259" s="1" t="n">
        <v>46179</v>
      </c>
      <c r="D259" t="inlineStr">
        <is>
          <t>ÖSTERGÖTLANDS LÄN</t>
        </is>
      </c>
      <c r="E259" t="inlineStr">
        <is>
          <t>LINKÖPING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40169-2025</t>
        </is>
      </c>
      <c r="B260" s="1" t="n">
        <v>45894.62824074074</v>
      </c>
      <c r="C260" s="1" t="n">
        <v>46179</v>
      </c>
      <c r="D260" t="inlineStr">
        <is>
          <t>ÖSTERGÖTLANDS LÄN</t>
        </is>
      </c>
      <c r="E260" t="inlineStr">
        <is>
          <t>LINKÖPING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55736-2022</t>
        </is>
      </c>
      <c r="B261" s="1" t="n">
        <v>44888</v>
      </c>
      <c r="C261" s="1" t="n">
        <v>46179</v>
      </c>
      <c r="D261" t="inlineStr">
        <is>
          <t>ÖSTERGÖTLANDS LÄN</t>
        </is>
      </c>
      <c r="E261" t="inlineStr">
        <is>
          <t>LINKÖPING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26002-2025</t>
        </is>
      </c>
      <c r="B262" s="1" t="n">
        <v>45804.66534722222</v>
      </c>
      <c r="C262" s="1" t="n">
        <v>46179</v>
      </c>
      <c r="D262" t="inlineStr">
        <is>
          <t>ÖSTERGÖTLANDS LÄN</t>
        </is>
      </c>
      <c r="E262" t="inlineStr">
        <is>
          <t>LINKÖPING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46179</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11084-2022</t>
        </is>
      </c>
      <c r="B264" s="1" t="n">
        <v>44628</v>
      </c>
      <c r="C264" s="1" t="n">
        <v>46179</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57745-2022</t>
        </is>
      </c>
      <c r="B265" s="1" t="n">
        <v>44897.58119212963</v>
      </c>
      <c r="C265" s="1" t="n">
        <v>46179</v>
      </c>
      <c r="D265" t="inlineStr">
        <is>
          <t>ÖSTERGÖTLANDS LÄN</t>
        </is>
      </c>
      <c r="E265" t="inlineStr">
        <is>
          <t>LINKÖPING</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3044-2026</t>
        </is>
      </c>
      <c r="B266" s="1" t="n">
        <v>46038.73855324074</v>
      </c>
      <c r="C266" s="1" t="n">
        <v>46179</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14520-2025</t>
        </is>
      </c>
      <c r="B267" s="1" t="n">
        <v>45741</v>
      </c>
      <c r="C267" s="1" t="n">
        <v>46179</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56064-2022</t>
        </is>
      </c>
      <c r="B268" s="1" t="n">
        <v>44889.59107638889</v>
      </c>
      <c r="C268" s="1" t="n">
        <v>46179</v>
      </c>
      <c r="D268" t="inlineStr">
        <is>
          <t>ÖSTERGÖTLANDS LÄN</t>
        </is>
      </c>
      <c r="E268" t="inlineStr">
        <is>
          <t>LINKÖPING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40502-2024</t>
        </is>
      </c>
      <c r="B269" s="1" t="n">
        <v>45555.57263888889</v>
      </c>
      <c r="C269" s="1" t="n">
        <v>46179</v>
      </c>
      <c r="D269" t="inlineStr">
        <is>
          <t>ÖSTERGÖTLANDS LÄN</t>
        </is>
      </c>
      <c r="E269" t="inlineStr">
        <is>
          <t>LINKÖPING</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41511-2025</t>
        </is>
      </c>
      <c r="B270" s="1" t="n">
        <v>45901.53839120371</v>
      </c>
      <c r="C270" s="1" t="n">
        <v>46179</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3043-2026</t>
        </is>
      </c>
      <c r="B271" s="1" t="n">
        <v>46038.73675925926</v>
      </c>
      <c r="C271" s="1" t="n">
        <v>46179</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29293-2025</t>
        </is>
      </c>
      <c r="B272" s="1" t="n">
        <v>45824</v>
      </c>
      <c r="C272" s="1" t="n">
        <v>46179</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44155-2024</t>
        </is>
      </c>
      <c r="B273" s="1" t="n">
        <v>45572.68226851852</v>
      </c>
      <c r="C273" s="1" t="n">
        <v>46179</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42997-2021</t>
        </is>
      </c>
      <c r="B274" s="1" t="n">
        <v>44431.45556712963</v>
      </c>
      <c r="C274" s="1" t="n">
        <v>46179</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27797-2025</t>
        </is>
      </c>
      <c r="B275" s="1" t="n">
        <v>45816.80521990741</v>
      </c>
      <c r="C275" s="1" t="n">
        <v>46179</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27798-2025</t>
        </is>
      </c>
      <c r="B276" s="1" t="n">
        <v>45816.81532407407</v>
      </c>
      <c r="C276" s="1" t="n">
        <v>46179</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14028-2024</t>
        </is>
      </c>
      <c r="B277" s="1" t="n">
        <v>45392</v>
      </c>
      <c r="C277" s="1" t="n">
        <v>46179</v>
      </c>
      <c r="D277" t="inlineStr">
        <is>
          <t>ÖSTERGÖTLANDS LÄN</t>
        </is>
      </c>
      <c r="E277" t="inlineStr">
        <is>
          <t>LINKÖPING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29027-2025</t>
        </is>
      </c>
      <c r="B278" s="1" t="n">
        <v>45821.4375462963</v>
      </c>
      <c r="C278" s="1" t="n">
        <v>46179</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29599-2025</t>
        </is>
      </c>
      <c r="B279" s="1" t="n">
        <v>45825.41101851852</v>
      </c>
      <c r="C279" s="1" t="n">
        <v>46179</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38886-2024</t>
        </is>
      </c>
      <c r="B280" s="1" t="n">
        <v>45547.66443287037</v>
      </c>
      <c r="C280" s="1" t="n">
        <v>46179</v>
      </c>
      <c r="D280" t="inlineStr">
        <is>
          <t>ÖSTERGÖTLANDS LÄN</t>
        </is>
      </c>
      <c r="E280" t="inlineStr">
        <is>
          <t>LINKÖPING</t>
        </is>
      </c>
      <c r="G280" t="n">
        <v>5.3</v>
      </c>
      <c r="H280" t="n">
        <v>0</v>
      </c>
      <c r="I280" t="n">
        <v>0</v>
      </c>
      <c r="J280" t="n">
        <v>0</v>
      </c>
      <c r="K280" t="n">
        <v>0</v>
      </c>
      <c r="L280" t="n">
        <v>0</v>
      </c>
      <c r="M280" t="n">
        <v>0</v>
      </c>
      <c r="N280" t="n">
        <v>0</v>
      </c>
      <c r="O280" t="n">
        <v>0</v>
      </c>
      <c r="P280" t="n">
        <v>0</v>
      </c>
      <c r="Q280" t="n">
        <v>0</v>
      </c>
      <c r="R280" s="2" t="inlineStr"/>
    </row>
    <row r="281" ht="15" customHeight="1">
      <c r="A281" t="inlineStr">
        <is>
          <t>A 43755-2025</t>
        </is>
      </c>
      <c r="B281" s="1" t="n">
        <v>45912.47329861111</v>
      </c>
      <c r="C281" s="1" t="n">
        <v>46179</v>
      </c>
      <c r="D281" t="inlineStr">
        <is>
          <t>ÖSTERGÖTLANDS LÄN</t>
        </is>
      </c>
      <c r="E281" t="inlineStr">
        <is>
          <t>LINKÖPING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14667-2024</t>
        </is>
      </c>
      <c r="B282" s="1" t="n">
        <v>45397.42005787037</v>
      </c>
      <c r="C282" s="1" t="n">
        <v>46179</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43753-2025</t>
        </is>
      </c>
      <c r="B283" s="1" t="n">
        <v>45912.4715625</v>
      </c>
      <c r="C283" s="1" t="n">
        <v>46179</v>
      </c>
      <c r="D283" t="inlineStr">
        <is>
          <t>ÖSTERGÖTLANDS LÄN</t>
        </is>
      </c>
      <c r="E283" t="inlineStr">
        <is>
          <t>LINKÖPING</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43758-2025</t>
        </is>
      </c>
      <c r="B284" s="1" t="n">
        <v>45912.47711805555</v>
      </c>
      <c r="C284" s="1" t="n">
        <v>46179</v>
      </c>
      <c r="D284" t="inlineStr">
        <is>
          <t>ÖSTERGÖTLANDS LÄN</t>
        </is>
      </c>
      <c r="E284" t="inlineStr">
        <is>
          <t>LINKÖPING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2697-2023</t>
        </is>
      </c>
      <c r="B285" s="1" t="n">
        <v>44944</v>
      </c>
      <c r="C285" s="1" t="n">
        <v>46179</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44170-2025</t>
        </is>
      </c>
      <c r="B286" s="1" t="n">
        <v>45915.59864583334</v>
      </c>
      <c r="C286" s="1" t="n">
        <v>46179</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53641-2023</t>
        </is>
      </c>
      <c r="B287" s="1" t="n">
        <v>45230</v>
      </c>
      <c r="C287" s="1" t="n">
        <v>46179</v>
      </c>
      <c r="D287" t="inlineStr">
        <is>
          <t>ÖSTERGÖTLANDS LÄN</t>
        </is>
      </c>
      <c r="E287" t="inlineStr">
        <is>
          <t>LINKÖPING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48707-2023</t>
        </is>
      </c>
      <c r="B288" s="1" t="n">
        <v>45202</v>
      </c>
      <c r="C288" s="1" t="n">
        <v>46179</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4469-2026</t>
        </is>
      </c>
      <c r="B289" s="1" t="n">
        <v>46045.65662037037</v>
      </c>
      <c r="C289" s="1" t="n">
        <v>46179</v>
      </c>
      <c r="D289" t="inlineStr">
        <is>
          <t>ÖSTERGÖTLANDS LÄN</t>
        </is>
      </c>
      <c r="E289" t="inlineStr">
        <is>
          <t>LINKÖPING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53411-2023</t>
        </is>
      </c>
      <c r="B290" s="1" t="n">
        <v>45229.81049768518</v>
      </c>
      <c r="C290" s="1" t="n">
        <v>46179</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30355-2025</t>
        </is>
      </c>
      <c r="B291" s="1" t="n">
        <v>45827</v>
      </c>
      <c r="C291" s="1" t="n">
        <v>46179</v>
      </c>
      <c r="D291" t="inlineStr">
        <is>
          <t>ÖSTERGÖTLANDS LÄN</t>
        </is>
      </c>
      <c r="E291" t="inlineStr">
        <is>
          <t>LINKÖPING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56741-2023</t>
        </is>
      </c>
      <c r="B292" s="1" t="n">
        <v>45244</v>
      </c>
      <c r="C292" s="1" t="n">
        <v>46179</v>
      </c>
      <c r="D292" t="inlineStr">
        <is>
          <t>ÖSTERGÖTLANDS LÄN</t>
        </is>
      </c>
      <c r="E292" t="inlineStr">
        <is>
          <t>LINKÖPING</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30353-2025</t>
        </is>
      </c>
      <c r="B293" s="1" t="n">
        <v>45827</v>
      </c>
      <c r="C293" s="1" t="n">
        <v>46179</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56792-2023</t>
        </is>
      </c>
      <c r="B294" s="1" t="n">
        <v>45244</v>
      </c>
      <c r="C294" s="1" t="n">
        <v>46179</v>
      </c>
      <c r="D294" t="inlineStr">
        <is>
          <t>ÖSTERGÖTLANDS LÄN</t>
        </is>
      </c>
      <c r="E294" t="inlineStr">
        <is>
          <t>LINKÖPING</t>
        </is>
      </c>
      <c r="F294" t="inlineStr">
        <is>
          <t>Övriga Aktiebolag</t>
        </is>
      </c>
      <c r="G294" t="n">
        <v>0.9</v>
      </c>
      <c r="H294" t="n">
        <v>0</v>
      </c>
      <c r="I294" t="n">
        <v>0</v>
      </c>
      <c r="J294" t="n">
        <v>0</v>
      </c>
      <c r="K294" t="n">
        <v>0</v>
      </c>
      <c r="L294" t="n">
        <v>0</v>
      </c>
      <c r="M294" t="n">
        <v>0</v>
      </c>
      <c r="N294" t="n">
        <v>0</v>
      </c>
      <c r="O294" t="n">
        <v>0</v>
      </c>
      <c r="P294" t="n">
        <v>0</v>
      </c>
      <c r="Q294" t="n">
        <v>0</v>
      </c>
      <c r="R294" s="2" t="inlineStr"/>
    </row>
    <row r="295" ht="15" customHeight="1">
      <c r="A295" t="inlineStr">
        <is>
          <t>A 5545-2026</t>
        </is>
      </c>
      <c r="B295" s="1" t="n">
        <v>46050.70089120371</v>
      </c>
      <c r="C295" s="1" t="n">
        <v>46179</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3007-2023</t>
        </is>
      </c>
      <c r="B296" s="1" t="n">
        <v>44945</v>
      </c>
      <c r="C296" s="1" t="n">
        <v>46179</v>
      </c>
      <c r="D296" t="inlineStr">
        <is>
          <t>ÖSTERGÖTLANDS LÄN</t>
        </is>
      </c>
      <c r="E296" t="inlineStr">
        <is>
          <t>LINKÖPING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40338-2024</t>
        </is>
      </c>
      <c r="B297" s="1" t="n">
        <v>45555.32940972222</v>
      </c>
      <c r="C297" s="1" t="n">
        <v>46179</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3013-2023</t>
        </is>
      </c>
      <c r="B298" s="1" t="n">
        <v>44945.8092824074</v>
      </c>
      <c r="C298" s="1" t="n">
        <v>46179</v>
      </c>
      <c r="D298" t="inlineStr">
        <is>
          <t>ÖSTERGÖTLANDS LÄN</t>
        </is>
      </c>
      <c r="E298" t="inlineStr">
        <is>
          <t>LINKÖPING</t>
        </is>
      </c>
      <c r="G298" t="n">
        <v>5.2</v>
      </c>
      <c r="H298" t="n">
        <v>0</v>
      </c>
      <c r="I298" t="n">
        <v>0</v>
      </c>
      <c r="J298" t="n">
        <v>0</v>
      </c>
      <c r="K298" t="n">
        <v>0</v>
      </c>
      <c r="L298" t="n">
        <v>0</v>
      </c>
      <c r="M298" t="n">
        <v>0</v>
      </c>
      <c r="N298" t="n">
        <v>0</v>
      </c>
      <c r="O298" t="n">
        <v>0</v>
      </c>
      <c r="P298" t="n">
        <v>0</v>
      </c>
      <c r="Q298" t="n">
        <v>0</v>
      </c>
      <c r="R298" s="2" t="inlineStr"/>
    </row>
    <row r="299" ht="15" customHeight="1">
      <c r="A299" t="inlineStr">
        <is>
          <t>A 55945-2024</t>
        </is>
      </c>
      <c r="B299" s="1" t="n">
        <v>45623.61754629629</v>
      </c>
      <c r="C299" s="1" t="n">
        <v>46179</v>
      </c>
      <c r="D299" t="inlineStr">
        <is>
          <t>ÖSTERGÖTLANDS LÄN</t>
        </is>
      </c>
      <c r="E299" t="inlineStr">
        <is>
          <t>LINKÖPING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1993-2023</t>
        </is>
      </c>
      <c r="B300" s="1" t="n">
        <v>44939</v>
      </c>
      <c r="C300" s="1" t="n">
        <v>46179</v>
      </c>
      <c r="D300" t="inlineStr">
        <is>
          <t>ÖSTERGÖTLANDS LÄN</t>
        </is>
      </c>
      <c r="E300" t="inlineStr">
        <is>
          <t>LINKÖPING</t>
        </is>
      </c>
      <c r="G300" t="n">
        <v>3.7</v>
      </c>
      <c r="H300" t="n">
        <v>0</v>
      </c>
      <c r="I300" t="n">
        <v>0</v>
      </c>
      <c r="J300" t="n">
        <v>0</v>
      </c>
      <c r="K300" t="n">
        <v>0</v>
      </c>
      <c r="L300" t="n">
        <v>0</v>
      </c>
      <c r="M300" t="n">
        <v>0</v>
      </c>
      <c r="N300" t="n">
        <v>0</v>
      </c>
      <c r="O300" t="n">
        <v>0</v>
      </c>
      <c r="P300" t="n">
        <v>0</v>
      </c>
      <c r="Q300" t="n">
        <v>0</v>
      </c>
      <c r="R300" s="2" t="inlineStr"/>
    </row>
    <row r="301" ht="15" customHeight="1">
      <c r="A301" t="inlineStr">
        <is>
          <t>A 2618-2023</t>
        </is>
      </c>
      <c r="B301" s="1" t="n">
        <v>44944.35847222222</v>
      </c>
      <c r="C301" s="1" t="n">
        <v>46179</v>
      </c>
      <c r="D301" t="inlineStr">
        <is>
          <t>ÖSTERGÖTLANDS LÄN</t>
        </is>
      </c>
      <c r="E301" t="inlineStr">
        <is>
          <t>LINKÖPING</t>
        </is>
      </c>
      <c r="G301" t="n">
        <v>4.3</v>
      </c>
      <c r="H301" t="n">
        <v>0</v>
      </c>
      <c r="I301" t="n">
        <v>0</v>
      </c>
      <c r="J301" t="n">
        <v>0</v>
      </c>
      <c r="K301" t="n">
        <v>0</v>
      </c>
      <c r="L301" t="n">
        <v>0</v>
      </c>
      <c r="M301" t="n">
        <v>0</v>
      </c>
      <c r="N301" t="n">
        <v>0</v>
      </c>
      <c r="O301" t="n">
        <v>0</v>
      </c>
      <c r="P301" t="n">
        <v>0</v>
      </c>
      <c r="Q301" t="n">
        <v>0</v>
      </c>
      <c r="R301" s="2" t="inlineStr"/>
    </row>
    <row r="302" ht="15" customHeight="1">
      <c r="A302" t="inlineStr">
        <is>
          <t>A 10203-2023</t>
        </is>
      </c>
      <c r="B302" s="1" t="n">
        <v>44986.55711805556</v>
      </c>
      <c r="C302" s="1" t="n">
        <v>46179</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34928-2023</t>
        </is>
      </c>
      <c r="B303" s="1" t="n">
        <v>45142</v>
      </c>
      <c r="C303" s="1" t="n">
        <v>46179</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45112-2025</t>
        </is>
      </c>
      <c r="B304" s="1" t="n">
        <v>45919</v>
      </c>
      <c r="C304" s="1" t="n">
        <v>46179</v>
      </c>
      <c r="D304" t="inlineStr">
        <is>
          <t>ÖSTERGÖTLANDS LÄN</t>
        </is>
      </c>
      <c r="E304" t="inlineStr">
        <is>
          <t>LINKÖPING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1268-2023</t>
        </is>
      </c>
      <c r="B305" s="1" t="n">
        <v>44936</v>
      </c>
      <c r="C305" s="1" t="n">
        <v>46179</v>
      </c>
      <c r="D305" t="inlineStr">
        <is>
          <t>ÖSTERGÖTLANDS LÄN</t>
        </is>
      </c>
      <c r="E305" t="inlineStr">
        <is>
          <t>LINKÖPING</t>
        </is>
      </c>
      <c r="G305" t="n">
        <v>4.6</v>
      </c>
      <c r="H305" t="n">
        <v>0</v>
      </c>
      <c r="I305" t="n">
        <v>0</v>
      </c>
      <c r="J305" t="n">
        <v>0</v>
      </c>
      <c r="K305" t="n">
        <v>0</v>
      </c>
      <c r="L305" t="n">
        <v>0</v>
      </c>
      <c r="M305" t="n">
        <v>0</v>
      </c>
      <c r="N305" t="n">
        <v>0</v>
      </c>
      <c r="O305" t="n">
        <v>0</v>
      </c>
      <c r="P305" t="n">
        <v>0</v>
      </c>
      <c r="Q305" t="n">
        <v>0</v>
      </c>
      <c r="R305" s="2" t="inlineStr"/>
    </row>
    <row r="306" ht="15" customHeight="1">
      <c r="A306" t="inlineStr">
        <is>
          <t>A 31581-2025</t>
        </is>
      </c>
      <c r="B306" s="1" t="n">
        <v>45833.6840162037</v>
      </c>
      <c r="C306" s="1" t="n">
        <v>46179</v>
      </c>
      <c r="D306" t="inlineStr">
        <is>
          <t>ÖSTERGÖTLANDS LÄN</t>
        </is>
      </c>
      <c r="E306" t="inlineStr">
        <is>
          <t>LINKÖPING</t>
        </is>
      </c>
      <c r="G306" t="n">
        <v>2.6</v>
      </c>
      <c r="H306" t="n">
        <v>0</v>
      </c>
      <c r="I306" t="n">
        <v>0</v>
      </c>
      <c r="J306" t="n">
        <v>0</v>
      </c>
      <c r="K306" t="n">
        <v>0</v>
      </c>
      <c r="L306" t="n">
        <v>0</v>
      </c>
      <c r="M306" t="n">
        <v>0</v>
      </c>
      <c r="N306" t="n">
        <v>0</v>
      </c>
      <c r="O306" t="n">
        <v>0</v>
      </c>
      <c r="P306" t="n">
        <v>0</v>
      </c>
      <c r="Q306" t="n">
        <v>0</v>
      </c>
      <c r="R306" s="2" t="inlineStr"/>
    </row>
    <row r="307" ht="15" customHeight="1">
      <c r="A307" t="inlineStr">
        <is>
          <t>A 31585-2025</t>
        </is>
      </c>
      <c r="B307" s="1" t="n">
        <v>45833.68815972222</v>
      </c>
      <c r="C307" s="1" t="n">
        <v>46179</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45634-2025</t>
        </is>
      </c>
      <c r="B308" s="1" t="n">
        <v>45922.85089120371</v>
      </c>
      <c r="C308" s="1" t="n">
        <v>46179</v>
      </c>
      <c r="D308" t="inlineStr">
        <is>
          <t>ÖSTERGÖTLANDS LÄN</t>
        </is>
      </c>
      <c r="E308" t="inlineStr">
        <is>
          <t>LINKÖPING</t>
        </is>
      </c>
      <c r="F308" t="inlineStr">
        <is>
          <t>Övriga Aktiebolag</t>
        </is>
      </c>
      <c r="G308" t="n">
        <v>0.3</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46179</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31725-2022</t>
        </is>
      </c>
      <c r="B310" s="1" t="n">
        <v>44776.48541666667</v>
      </c>
      <c r="C310" s="1" t="n">
        <v>46179</v>
      </c>
      <c r="D310" t="inlineStr">
        <is>
          <t>ÖSTERGÖTLANDS LÄN</t>
        </is>
      </c>
      <c r="E310" t="inlineStr">
        <is>
          <t>LINKÖPING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46428-2025</t>
        </is>
      </c>
      <c r="B311" s="1" t="n">
        <v>45925.60758101852</v>
      </c>
      <c r="C311" s="1" t="n">
        <v>46179</v>
      </c>
      <c r="D311" t="inlineStr">
        <is>
          <t>ÖSTERGÖTLANDS LÄN</t>
        </is>
      </c>
      <c r="E311" t="inlineStr">
        <is>
          <t>LINKÖPING</t>
        </is>
      </c>
      <c r="G311" t="n">
        <v>3</v>
      </c>
      <c r="H311" t="n">
        <v>0</v>
      </c>
      <c r="I311" t="n">
        <v>0</v>
      </c>
      <c r="J311" t="n">
        <v>0</v>
      </c>
      <c r="K311" t="n">
        <v>0</v>
      </c>
      <c r="L311" t="n">
        <v>0</v>
      </c>
      <c r="M311" t="n">
        <v>0</v>
      </c>
      <c r="N311" t="n">
        <v>0</v>
      </c>
      <c r="O311" t="n">
        <v>0</v>
      </c>
      <c r="P311" t="n">
        <v>0</v>
      </c>
      <c r="Q311" t="n">
        <v>0</v>
      </c>
      <c r="R311" s="2" t="inlineStr"/>
    </row>
    <row r="312" ht="15" customHeight="1">
      <c r="A312" t="inlineStr">
        <is>
          <t>A 46426-2025</t>
        </is>
      </c>
      <c r="B312" s="1" t="n">
        <v>45925.6012962963</v>
      </c>
      <c r="C312" s="1" t="n">
        <v>46179</v>
      </c>
      <c r="D312" t="inlineStr">
        <is>
          <t>ÖSTERGÖTLANDS LÄN</t>
        </is>
      </c>
      <c r="E312" t="inlineStr">
        <is>
          <t>LINKÖPING</t>
        </is>
      </c>
      <c r="G312" t="n">
        <v>4.4</v>
      </c>
      <c r="H312" t="n">
        <v>0</v>
      </c>
      <c r="I312" t="n">
        <v>0</v>
      </c>
      <c r="J312" t="n">
        <v>0</v>
      </c>
      <c r="K312" t="n">
        <v>0</v>
      </c>
      <c r="L312" t="n">
        <v>0</v>
      </c>
      <c r="M312" t="n">
        <v>0</v>
      </c>
      <c r="N312" t="n">
        <v>0</v>
      </c>
      <c r="O312" t="n">
        <v>0</v>
      </c>
      <c r="P312" t="n">
        <v>0</v>
      </c>
      <c r="Q312" t="n">
        <v>0</v>
      </c>
      <c r="R312" s="2" t="inlineStr"/>
    </row>
    <row r="313" ht="15" customHeight="1">
      <c r="A313" t="inlineStr">
        <is>
          <t>A 6384-2026</t>
        </is>
      </c>
      <c r="B313" s="1" t="n">
        <v>46055.63732638889</v>
      </c>
      <c r="C313" s="1" t="n">
        <v>46179</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6164-2026</t>
        </is>
      </c>
      <c r="B314" s="1" t="n">
        <v>46055.32596064815</v>
      </c>
      <c r="C314" s="1" t="n">
        <v>46179</v>
      </c>
      <c r="D314" t="inlineStr">
        <is>
          <t>ÖSTERGÖTLANDS LÄN</t>
        </is>
      </c>
      <c r="E314" t="inlineStr">
        <is>
          <t>LINKÖPING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46377-2025</t>
        </is>
      </c>
      <c r="B315" s="1" t="n">
        <v>45925.51773148148</v>
      </c>
      <c r="C315" s="1" t="n">
        <v>46179</v>
      </c>
      <c r="D315" t="inlineStr">
        <is>
          <t>ÖSTERGÖTLANDS LÄN</t>
        </is>
      </c>
      <c r="E315" t="inlineStr">
        <is>
          <t>LINKÖPING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2389-2023</t>
        </is>
      </c>
      <c r="B316" s="1" t="n">
        <v>44942</v>
      </c>
      <c r="C316" s="1" t="n">
        <v>46179</v>
      </c>
      <c r="D316" t="inlineStr">
        <is>
          <t>ÖSTERGÖTLANDS LÄN</t>
        </is>
      </c>
      <c r="E316" t="inlineStr">
        <is>
          <t>LINKÖPING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3627-2023</t>
        </is>
      </c>
      <c r="B317" s="1" t="n">
        <v>44950.64782407408</v>
      </c>
      <c r="C317" s="1" t="n">
        <v>46179</v>
      </c>
      <c r="D317" t="inlineStr">
        <is>
          <t>ÖSTERGÖTLANDS LÄN</t>
        </is>
      </c>
      <c r="E317" t="inlineStr">
        <is>
          <t>LINKÖPING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47233-2025</t>
        </is>
      </c>
      <c r="B318" s="1" t="n">
        <v>45930.40612268518</v>
      </c>
      <c r="C318" s="1" t="n">
        <v>46179</v>
      </c>
      <c r="D318" t="inlineStr">
        <is>
          <t>ÖSTERGÖTLANDS LÄN</t>
        </is>
      </c>
      <c r="E318" t="inlineStr">
        <is>
          <t>LINKÖPING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18891-2022</t>
        </is>
      </c>
      <c r="B319" s="1" t="n">
        <v>44690</v>
      </c>
      <c r="C319" s="1" t="n">
        <v>46179</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46847-2025</t>
        </is>
      </c>
      <c r="B320" s="1" t="n">
        <v>45928.69971064815</v>
      </c>
      <c r="C320" s="1" t="n">
        <v>46179</v>
      </c>
      <c r="D320" t="inlineStr">
        <is>
          <t>ÖSTERGÖTLANDS LÄN</t>
        </is>
      </c>
      <c r="E320" t="inlineStr">
        <is>
          <t>LINKÖPING</t>
        </is>
      </c>
      <c r="G320" t="n">
        <v>4.6</v>
      </c>
      <c r="H320" t="n">
        <v>0</v>
      </c>
      <c r="I320" t="n">
        <v>0</v>
      </c>
      <c r="J320" t="n">
        <v>0</v>
      </c>
      <c r="K320" t="n">
        <v>0</v>
      </c>
      <c r="L320" t="n">
        <v>0</v>
      </c>
      <c r="M320" t="n">
        <v>0</v>
      </c>
      <c r="N320" t="n">
        <v>0</v>
      </c>
      <c r="O320" t="n">
        <v>0</v>
      </c>
      <c r="P320" t="n">
        <v>0</v>
      </c>
      <c r="Q320" t="n">
        <v>0</v>
      </c>
      <c r="R320" s="2" t="inlineStr"/>
    </row>
    <row r="321" ht="15" customHeight="1">
      <c r="A321" t="inlineStr">
        <is>
          <t>A 26620-2023</t>
        </is>
      </c>
      <c r="B321" s="1" t="n">
        <v>45092.70390046296</v>
      </c>
      <c r="C321" s="1" t="n">
        <v>46179</v>
      </c>
      <c r="D321" t="inlineStr">
        <is>
          <t>ÖSTERGÖTLANDS LÄN</t>
        </is>
      </c>
      <c r="E321" t="inlineStr">
        <is>
          <t>LINKÖPING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48266-2025</t>
        </is>
      </c>
      <c r="B322" s="1" t="n">
        <v>45932</v>
      </c>
      <c r="C322" s="1" t="n">
        <v>46179</v>
      </c>
      <c r="D322" t="inlineStr">
        <is>
          <t>ÖSTERGÖTLANDS LÄN</t>
        </is>
      </c>
      <c r="E322" t="inlineStr">
        <is>
          <t>LINKÖPING</t>
        </is>
      </c>
      <c r="F322" t="inlineStr">
        <is>
          <t>Övriga Aktiebolag</t>
        </is>
      </c>
      <c r="G322" t="n">
        <v>0.5</v>
      </c>
      <c r="H322" t="n">
        <v>0</v>
      </c>
      <c r="I322" t="n">
        <v>0</v>
      </c>
      <c r="J322" t="n">
        <v>0</v>
      </c>
      <c r="K322" t="n">
        <v>0</v>
      </c>
      <c r="L322" t="n">
        <v>0</v>
      </c>
      <c r="M322" t="n">
        <v>0</v>
      </c>
      <c r="N322" t="n">
        <v>0</v>
      </c>
      <c r="O322" t="n">
        <v>0</v>
      </c>
      <c r="P322" t="n">
        <v>0</v>
      </c>
      <c r="Q322" t="n">
        <v>0</v>
      </c>
      <c r="R322" s="2" t="inlineStr"/>
    </row>
    <row r="323" ht="15" customHeight="1">
      <c r="A323" t="inlineStr">
        <is>
          <t>A 56180-2024</t>
        </is>
      </c>
      <c r="B323" s="1" t="n">
        <v>45624.56611111111</v>
      </c>
      <c r="C323" s="1" t="n">
        <v>46179</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938-2023</t>
        </is>
      </c>
      <c r="B324" s="1" t="n">
        <v>44933</v>
      </c>
      <c r="C324" s="1" t="n">
        <v>46179</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25418-2023</t>
        </is>
      </c>
      <c r="B325" s="1" t="n">
        <v>45089</v>
      </c>
      <c r="C325" s="1" t="n">
        <v>46179</v>
      </c>
      <c r="D325" t="inlineStr">
        <is>
          <t>ÖSTERGÖTLANDS LÄN</t>
        </is>
      </c>
      <c r="E325" t="inlineStr">
        <is>
          <t>LINKÖPING</t>
        </is>
      </c>
      <c r="F325" t="inlineStr">
        <is>
          <t>Övriga Aktiebolag</t>
        </is>
      </c>
      <c r="G325" t="n">
        <v>2.4</v>
      </c>
      <c r="H325" t="n">
        <v>0</v>
      </c>
      <c r="I325" t="n">
        <v>0</v>
      </c>
      <c r="J325" t="n">
        <v>0</v>
      </c>
      <c r="K325" t="n">
        <v>0</v>
      </c>
      <c r="L325" t="n">
        <v>0</v>
      </c>
      <c r="M325" t="n">
        <v>0</v>
      </c>
      <c r="N325" t="n">
        <v>0</v>
      </c>
      <c r="O325" t="n">
        <v>0</v>
      </c>
      <c r="P325" t="n">
        <v>0</v>
      </c>
      <c r="Q325" t="n">
        <v>0</v>
      </c>
      <c r="R325" s="2" t="inlineStr"/>
    </row>
    <row r="326" ht="15" customHeight="1">
      <c r="A326" t="inlineStr">
        <is>
          <t>A 60007-2022</t>
        </is>
      </c>
      <c r="B326" s="1" t="n">
        <v>44909.47282407407</v>
      </c>
      <c r="C326" s="1" t="n">
        <v>46179</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62012-2024</t>
        </is>
      </c>
      <c r="B327" s="1" t="n">
        <v>45655.79679398148</v>
      </c>
      <c r="C327" s="1" t="n">
        <v>46179</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53529-2024</t>
        </is>
      </c>
      <c r="B328" s="1" t="n">
        <v>45614</v>
      </c>
      <c r="C328" s="1" t="n">
        <v>46179</v>
      </c>
      <c r="D328" t="inlineStr">
        <is>
          <t>ÖSTERGÖTLANDS LÄN</t>
        </is>
      </c>
      <c r="E328" t="inlineStr">
        <is>
          <t>LINKÖPING</t>
        </is>
      </c>
      <c r="G328" t="n">
        <v>6.7</v>
      </c>
      <c r="H328" t="n">
        <v>0</v>
      </c>
      <c r="I328" t="n">
        <v>0</v>
      </c>
      <c r="J328" t="n">
        <v>0</v>
      </c>
      <c r="K328" t="n">
        <v>0</v>
      </c>
      <c r="L328" t="n">
        <v>0</v>
      </c>
      <c r="M328" t="n">
        <v>0</v>
      </c>
      <c r="N328" t="n">
        <v>0</v>
      </c>
      <c r="O328" t="n">
        <v>0</v>
      </c>
      <c r="P328" t="n">
        <v>0</v>
      </c>
      <c r="Q328" t="n">
        <v>0</v>
      </c>
      <c r="R328" s="2" t="inlineStr"/>
    </row>
    <row r="329" ht="15" customHeight="1">
      <c r="A329" t="inlineStr">
        <is>
          <t>A 11601-2023</t>
        </is>
      </c>
      <c r="B329" s="1" t="n">
        <v>44994</v>
      </c>
      <c r="C329" s="1" t="n">
        <v>46179</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20469-2025</t>
        </is>
      </c>
      <c r="B330" s="1" t="n">
        <v>45775</v>
      </c>
      <c r="C330" s="1" t="n">
        <v>46179</v>
      </c>
      <c r="D330" t="inlineStr">
        <is>
          <t>ÖSTERGÖTLANDS LÄN</t>
        </is>
      </c>
      <c r="E330" t="inlineStr">
        <is>
          <t>LINKÖPING</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49647-2025</t>
        </is>
      </c>
      <c r="B331" s="1" t="n">
        <v>45938</v>
      </c>
      <c r="C331" s="1" t="n">
        <v>46179</v>
      </c>
      <c r="D331" t="inlineStr">
        <is>
          <t>ÖSTERGÖTLANDS LÄN</t>
        </is>
      </c>
      <c r="E331" t="inlineStr">
        <is>
          <t>LINKÖPING</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33800-2023</t>
        </is>
      </c>
      <c r="B332" s="1" t="n">
        <v>45121</v>
      </c>
      <c r="C332" s="1" t="n">
        <v>46179</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47991-2023</t>
        </is>
      </c>
      <c r="B333" s="1" t="n">
        <v>45204.62655092592</v>
      </c>
      <c r="C333" s="1" t="n">
        <v>46179</v>
      </c>
      <c r="D333" t="inlineStr">
        <is>
          <t>ÖSTERGÖTLANDS LÄN</t>
        </is>
      </c>
      <c r="E333" t="inlineStr">
        <is>
          <t>LINKÖPING</t>
        </is>
      </c>
      <c r="F333" t="inlineStr">
        <is>
          <t>Allmännings- och besparingsskogar</t>
        </is>
      </c>
      <c r="G333" t="n">
        <v>7.3</v>
      </c>
      <c r="H333" t="n">
        <v>0</v>
      </c>
      <c r="I333" t="n">
        <v>0</v>
      </c>
      <c r="J333" t="n">
        <v>0</v>
      </c>
      <c r="K333" t="n">
        <v>0</v>
      </c>
      <c r="L333" t="n">
        <v>0</v>
      </c>
      <c r="M333" t="n">
        <v>0</v>
      </c>
      <c r="N333" t="n">
        <v>0</v>
      </c>
      <c r="O333" t="n">
        <v>0</v>
      </c>
      <c r="P333" t="n">
        <v>0</v>
      </c>
      <c r="Q333" t="n">
        <v>0</v>
      </c>
      <c r="R333" s="2" t="inlineStr"/>
    </row>
    <row r="334" ht="15" customHeight="1">
      <c r="A334" t="inlineStr">
        <is>
          <t>A 49633-2025</t>
        </is>
      </c>
      <c r="B334" s="1" t="n">
        <v>45938</v>
      </c>
      <c r="C334" s="1" t="n">
        <v>46179</v>
      </c>
      <c r="D334" t="inlineStr">
        <is>
          <t>ÖSTERGÖTLANDS LÄN</t>
        </is>
      </c>
      <c r="E334" t="inlineStr">
        <is>
          <t>LINKÖPING</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35178-2025</t>
        </is>
      </c>
      <c r="B335" s="1" t="n">
        <v>45852.91939814815</v>
      </c>
      <c r="C335" s="1" t="n">
        <v>46179</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35174-2025</t>
        </is>
      </c>
      <c r="B336" s="1" t="n">
        <v>45852.90648148148</v>
      </c>
      <c r="C336" s="1" t="n">
        <v>46179</v>
      </c>
      <c r="D336" t="inlineStr">
        <is>
          <t>ÖSTERGÖTLANDS LÄN</t>
        </is>
      </c>
      <c r="E336" t="inlineStr">
        <is>
          <t>LINKÖPING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1260-2023</t>
        </is>
      </c>
      <c r="B337" s="1" t="n">
        <v>44936</v>
      </c>
      <c r="C337" s="1" t="n">
        <v>46179</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26007-2025</t>
        </is>
      </c>
      <c r="B338" s="1" t="n">
        <v>45804.67081018518</v>
      </c>
      <c r="C338" s="1" t="n">
        <v>46179</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7702-2023</t>
        </is>
      </c>
      <c r="B339" s="1" t="n">
        <v>44967</v>
      </c>
      <c r="C339" s="1" t="n">
        <v>46179</v>
      </c>
      <c r="D339" t="inlineStr">
        <is>
          <t>ÖSTERGÖTLANDS LÄN</t>
        </is>
      </c>
      <c r="E339" t="inlineStr">
        <is>
          <t>LINKÖPING</t>
        </is>
      </c>
      <c r="F339" t="inlineStr">
        <is>
          <t>Övriga statliga verk och myndigheter</t>
        </is>
      </c>
      <c r="G339" t="n">
        <v>8</v>
      </c>
      <c r="H339" t="n">
        <v>0</v>
      </c>
      <c r="I339" t="n">
        <v>0</v>
      </c>
      <c r="J339" t="n">
        <v>0</v>
      </c>
      <c r="K339" t="n">
        <v>0</v>
      </c>
      <c r="L339" t="n">
        <v>0</v>
      </c>
      <c r="M339" t="n">
        <v>0</v>
      </c>
      <c r="N339" t="n">
        <v>0</v>
      </c>
      <c r="O339" t="n">
        <v>0</v>
      </c>
      <c r="P339" t="n">
        <v>0</v>
      </c>
      <c r="Q339" t="n">
        <v>0</v>
      </c>
      <c r="R339" s="2" t="inlineStr"/>
    </row>
    <row r="340" ht="15" customHeight="1">
      <c r="A340" t="inlineStr">
        <is>
          <t>A 35180-2025</t>
        </is>
      </c>
      <c r="B340" s="1" t="n">
        <v>45852.9413425926</v>
      </c>
      <c r="C340" s="1" t="n">
        <v>46179</v>
      </c>
      <c r="D340" t="inlineStr">
        <is>
          <t>ÖSTERGÖTLANDS LÄN</t>
        </is>
      </c>
      <c r="E340" t="inlineStr">
        <is>
          <t>LINKÖPING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46179</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46179</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46179</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35747-2025</t>
        </is>
      </c>
      <c r="B344" s="1" t="n">
        <v>45860.56385416666</v>
      </c>
      <c r="C344" s="1" t="n">
        <v>46179</v>
      </c>
      <c r="D344" t="inlineStr">
        <is>
          <t>ÖSTERGÖTLANDS LÄN</t>
        </is>
      </c>
      <c r="E344" t="inlineStr">
        <is>
          <t>LINKÖPING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49654-2025</t>
        </is>
      </c>
      <c r="B345" s="1" t="n">
        <v>45938</v>
      </c>
      <c r="C345" s="1" t="n">
        <v>46179</v>
      </c>
      <c r="D345" t="inlineStr">
        <is>
          <t>ÖSTERGÖTLANDS LÄN</t>
        </is>
      </c>
      <c r="E345" t="inlineStr">
        <is>
          <t>LINKÖPING</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46179</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35745-2025</t>
        </is>
      </c>
      <c r="B347" s="1" t="n">
        <v>45860.54739583333</v>
      </c>
      <c r="C347" s="1" t="n">
        <v>46179</v>
      </c>
      <c r="D347" t="inlineStr">
        <is>
          <t>ÖSTERGÖTLANDS LÄN</t>
        </is>
      </c>
      <c r="E347" t="inlineStr">
        <is>
          <t>LINKÖPING</t>
        </is>
      </c>
      <c r="G347" t="n">
        <v>4.4</v>
      </c>
      <c r="H347" t="n">
        <v>0</v>
      </c>
      <c r="I347" t="n">
        <v>0</v>
      </c>
      <c r="J347" t="n">
        <v>0</v>
      </c>
      <c r="K347" t="n">
        <v>0</v>
      </c>
      <c r="L347" t="n">
        <v>0</v>
      </c>
      <c r="M347" t="n">
        <v>0</v>
      </c>
      <c r="N347" t="n">
        <v>0</v>
      </c>
      <c r="O347" t="n">
        <v>0</v>
      </c>
      <c r="P347" t="n">
        <v>0</v>
      </c>
      <c r="Q347" t="n">
        <v>0</v>
      </c>
      <c r="R347" s="2" t="inlineStr"/>
    </row>
    <row r="348" ht="15" customHeight="1">
      <c r="A348" t="inlineStr">
        <is>
          <t>A 35757-2025</t>
        </is>
      </c>
      <c r="B348" s="1" t="n">
        <v>45860.59876157407</v>
      </c>
      <c r="C348" s="1" t="n">
        <v>46179</v>
      </c>
      <c r="D348" t="inlineStr">
        <is>
          <t>ÖSTERGÖTLANDS LÄN</t>
        </is>
      </c>
      <c r="E348" t="inlineStr">
        <is>
          <t>LINKÖPING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49632-2025</t>
        </is>
      </c>
      <c r="B349" s="1" t="n">
        <v>45938</v>
      </c>
      <c r="C349" s="1" t="n">
        <v>46179</v>
      </c>
      <c r="D349" t="inlineStr">
        <is>
          <t>ÖSTERGÖTLANDS LÄN</t>
        </is>
      </c>
      <c r="E349" t="inlineStr">
        <is>
          <t>LINKÖPING</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35759-2025</t>
        </is>
      </c>
      <c r="B350" s="1" t="n">
        <v>45860</v>
      </c>
      <c r="C350" s="1" t="n">
        <v>46179</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49615-2025</t>
        </is>
      </c>
      <c r="B351" s="1" t="n">
        <v>45938</v>
      </c>
      <c r="C351" s="1" t="n">
        <v>46179</v>
      </c>
      <c r="D351" t="inlineStr">
        <is>
          <t>ÖSTERGÖTLANDS LÄN</t>
        </is>
      </c>
      <c r="E351" t="inlineStr">
        <is>
          <t>LINKÖPING</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27343-2023</t>
        </is>
      </c>
      <c r="B352" s="1" t="n">
        <v>45096</v>
      </c>
      <c r="C352" s="1" t="n">
        <v>46179</v>
      </c>
      <c r="D352" t="inlineStr">
        <is>
          <t>ÖSTERGÖTLANDS LÄN</t>
        </is>
      </c>
      <c r="E352" t="inlineStr">
        <is>
          <t>LINKÖPING</t>
        </is>
      </c>
      <c r="F352" t="inlineStr">
        <is>
          <t>Allmännings- och besparingsskogar</t>
        </is>
      </c>
      <c r="G352" t="n">
        <v>6.9</v>
      </c>
      <c r="H352" t="n">
        <v>0</v>
      </c>
      <c r="I352" t="n">
        <v>0</v>
      </c>
      <c r="J352" t="n">
        <v>0</v>
      </c>
      <c r="K352" t="n">
        <v>0</v>
      </c>
      <c r="L352" t="n">
        <v>0</v>
      </c>
      <c r="M352" t="n">
        <v>0</v>
      </c>
      <c r="N352" t="n">
        <v>0</v>
      </c>
      <c r="O352" t="n">
        <v>0</v>
      </c>
      <c r="P352" t="n">
        <v>0</v>
      </c>
      <c r="Q352" t="n">
        <v>0</v>
      </c>
      <c r="R352" s="2" t="inlineStr"/>
    </row>
    <row r="353" ht="15" customHeight="1">
      <c r="A353" t="inlineStr">
        <is>
          <t>A 34864-2023</t>
        </is>
      </c>
      <c r="B353" s="1" t="n">
        <v>45141</v>
      </c>
      <c r="C353" s="1" t="n">
        <v>46179</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50056-2025</t>
        </is>
      </c>
      <c r="B354" s="1" t="n">
        <v>45941</v>
      </c>
      <c r="C354" s="1" t="n">
        <v>46179</v>
      </c>
      <c r="D354" t="inlineStr">
        <is>
          <t>ÖSTERGÖTLANDS LÄN</t>
        </is>
      </c>
      <c r="E354" t="inlineStr">
        <is>
          <t>LINKÖPING</t>
        </is>
      </c>
      <c r="G354" t="n">
        <v>0.3</v>
      </c>
      <c r="H354" t="n">
        <v>0</v>
      </c>
      <c r="I354" t="n">
        <v>0</v>
      </c>
      <c r="J354" t="n">
        <v>0</v>
      </c>
      <c r="K354" t="n">
        <v>0</v>
      </c>
      <c r="L354" t="n">
        <v>0</v>
      </c>
      <c r="M354" t="n">
        <v>0</v>
      </c>
      <c r="N354" t="n">
        <v>0</v>
      </c>
      <c r="O354" t="n">
        <v>0</v>
      </c>
      <c r="P354" t="n">
        <v>0</v>
      </c>
      <c r="Q354" t="n">
        <v>0</v>
      </c>
      <c r="R354" s="2" t="inlineStr"/>
    </row>
    <row r="355" ht="15" customHeight="1">
      <c r="A355" t="inlineStr">
        <is>
          <t>A 52531-2023</t>
        </is>
      </c>
      <c r="B355" s="1" t="n">
        <v>45225</v>
      </c>
      <c r="C355" s="1" t="n">
        <v>46179</v>
      </c>
      <c r="D355" t="inlineStr">
        <is>
          <t>ÖSTERGÖTLANDS LÄN</t>
        </is>
      </c>
      <c r="E355" t="inlineStr">
        <is>
          <t>LINKÖPING</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34930-2023</t>
        </is>
      </c>
      <c r="B356" s="1" t="n">
        <v>45142</v>
      </c>
      <c r="C356" s="1" t="n">
        <v>46179</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30985-2022</t>
        </is>
      </c>
      <c r="B357" s="1" t="n">
        <v>44768</v>
      </c>
      <c r="C357" s="1" t="n">
        <v>46179</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50667-2025</t>
        </is>
      </c>
      <c r="B358" s="1" t="n">
        <v>45945</v>
      </c>
      <c r="C358" s="1" t="n">
        <v>46179</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25829-2025</t>
        </is>
      </c>
      <c r="B359" s="1" t="n">
        <v>45804.44505787037</v>
      </c>
      <c r="C359" s="1" t="n">
        <v>46179</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59642-2024</t>
        </is>
      </c>
      <c r="B360" s="1" t="n">
        <v>45639.31511574074</v>
      </c>
      <c r="C360" s="1" t="n">
        <v>46179</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31792-2021</t>
        </is>
      </c>
      <c r="B361" s="1" t="n">
        <v>44369</v>
      </c>
      <c r="C361" s="1" t="n">
        <v>46179</v>
      </c>
      <c r="D361" t="inlineStr">
        <is>
          <t>ÖSTERGÖTLANDS LÄN</t>
        </is>
      </c>
      <c r="E361" t="inlineStr">
        <is>
          <t>LINKÖPING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25097-2023</t>
        </is>
      </c>
      <c r="B362" s="1" t="n">
        <v>45086</v>
      </c>
      <c r="C362" s="1" t="n">
        <v>46179</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35735-2023</t>
        </is>
      </c>
      <c r="B363" s="1" t="n">
        <v>45147</v>
      </c>
      <c r="C363" s="1" t="n">
        <v>46179</v>
      </c>
      <c r="D363" t="inlineStr">
        <is>
          <t>ÖSTERGÖTLANDS LÄN</t>
        </is>
      </c>
      <c r="E363" t="inlineStr">
        <is>
          <t>LINKÖPING</t>
        </is>
      </c>
      <c r="G363" t="n">
        <v>2.8</v>
      </c>
      <c r="H363" t="n">
        <v>0</v>
      </c>
      <c r="I363" t="n">
        <v>0</v>
      </c>
      <c r="J363" t="n">
        <v>0</v>
      </c>
      <c r="K363" t="n">
        <v>0</v>
      </c>
      <c r="L363" t="n">
        <v>0</v>
      </c>
      <c r="M363" t="n">
        <v>0</v>
      </c>
      <c r="N363" t="n">
        <v>0</v>
      </c>
      <c r="O363" t="n">
        <v>0</v>
      </c>
      <c r="P363" t="n">
        <v>0</v>
      </c>
      <c r="Q363" t="n">
        <v>0</v>
      </c>
      <c r="R363" s="2" t="inlineStr"/>
    </row>
    <row r="364" ht="15" customHeight="1">
      <c r="A364" t="inlineStr">
        <is>
          <t>A 52111-2025</t>
        </is>
      </c>
      <c r="B364" s="1" t="n">
        <v>45952.69527777778</v>
      </c>
      <c r="C364" s="1" t="n">
        <v>46179</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30856-2022</t>
        </is>
      </c>
      <c r="B365" s="1" t="n">
        <v>44767</v>
      </c>
      <c r="C365" s="1" t="n">
        <v>46179</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10479-2026</t>
        </is>
      </c>
      <c r="B366" s="1" t="n">
        <v>46077.49231481482</v>
      </c>
      <c r="C366" s="1" t="n">
        <v>46179</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10477-2026</t>
        </is>
      </c>
      <c r="B367" s="1" t="n">
        <v>46077.4871875</v>
      </c>
      <c r="C367" s="1" t="n">
        <v>46179</v>
      </c>
      <c r="D367" t="inlineStr">
        <is>
          <t>ÖSTERGÖTLANDS LÄN</t>
        </is>
      </c>
      <c r="E367" t="inlineStr">
        <is>
          <t>LINKÖPING</t>
        </is>
      </c>
      <c r="G367" t="n">
        <v>9.6</v>
      </c>
      <c r="H367" t="n">
        <v>0</v>
      </c>
      <c r="I367" t="n">
        <v>0</v>
      </c>
      <c r="J367" t="n">
        <v>0</v>
      </c>
      <c r="K367" t="n">
        <v>0</v>
      </c>
      <c r="L367" t="n">
        <v>0</v>
      </c>
      <c r="M367" t="n">
        <v>0</v>
      </c>
      <c r="N367" t="n">
        <v>0</v>
      </c>
      <c r="O367" t="n">
        <v>0</v>
      </c>
      <c r="P367" t="n">
        <v>0</v>
      </c>
      <c r="Q367" t="n">
        <v>0</v>
      </c>
      <c r="R367" s="2" t="inlineStr"/>
    </row>
    <row r="368" ht="15" customHeight="1">
      <c r="A368" t="inlineStr">
        <is>
          <t>A 39219-2021</t>
        </is>
      </c>
      <c r="B368" s="1" t="n">
        <v>44413</v>
      </c>
      <c r="C368" s="1" t="n">
        <v>46179</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39224-2021</t>
        </is>
      </c>
      <c r="B369" s="1" t="n">
        <v>44413</v>
      </c>
      <c r="C369" s="1" t="n">
        <v>46179</v>
      </c>
      <c r="D369" t="inlineStr">
        <is>
          <t>ÖSTERGÖTLANDS LÄN</t>
        </is>
      </c>
      <c r="E369" t="inlineStr">
        <is>
          <t>LINKÖPING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52802-2025</t>
        </is>
      </c>
      <c r="B370" s="1" t="n">
        <v>45957.44295138889</v>
      </c>
      <c r="C370" s="1" t="n">
        <v>46179</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11057-2026</t>
        </is>
      </c>
      <c r="B371" s="1" t="n">
        <v>46079.59515046296</v>
      </c>
      <c r="C371" s="1" t="n">
        <v>46179</v>
      </c>
      <c r="D371" t="inlineStr">
        <is>
          <t>ÖSTERGÖTLANDS LÄN</t>
        </is>
      </c>
      <c r="E371" t="inlineStr">
        <is>
          <t>LINKÖPING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10756-2026</t>
        </is>
      </c>
      <c r="B372" s="1" t="n">
        <v>46078.55412037037</v>
      </c>
      <c r="C372" s="1" t="n">
        <v>46179</v>
      </c>
      <c r="D372" t="inlineStr">
        <is>
          <t>ÖSTERGÖTLANDS LÄN</t>
        </is>
      </c>
      <c r="E372" t="inlineStr">
        <is>
          <t>LINKÖPING</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11036-2026</t>
        </is>
      </c>
      <c r="B373" s="1" t="n">
        <v>46079.57836805555</v>
      </c>
      <c r="C373" s="1" t="n">
        <v>46179</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10764-2026</t>
        </is>
      </c>
      <c r="B374" s="1" t="n">
        <v>46078</v>
      </c>
      <c r="C374" s="1" t="n">
        <v>46179</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52740-2025</t>
        </is>
      </c>
      <c r="B375" s="1" t="n">
        <v>45957.37747685185</v>
      </c>
      <c r="C375" s="1" t="n">
        <v>46179</v>
      </c>
      <c r="D375" t="inlineStr">
        <is>
          <t>ÖSTERGÖTLANDS LÄN</t>
        </is>
      </c>
      <c r="E375" t="inlineStr">
        <is>
          <t>LINKÖPING</t>
        </is>
      </c>
      <c r="G375" t="n">
        <v>3.7</v>
      </c>
      <c r="H375" t="n">
        <v>0</v>
      </c>
      <c r="I375" t="n">
        <v>0</v>
      </c>
      <c r="J375" t="n">
        <v>0</v>
      </c>
      <c r="K375" t="n">
        <v>0</v>
      </c>
      <c r="L375" t="n">
        <v>0</v>
      </c>
      <c r="M375" t="n">
        <v>0</v>
      </c>
      <c r="N375" t="n">
        <v>0</v>
      </c>
      <c r="O375" t="n">
        <v>0</v>
      </c>
      <c r="P375" t="n">
        <v>0</v>
      </c>
      <c r="Q375" t="n">
        <v>0</v>
      </c>
      <c r="R375" s="2" t="inlineStr"/>
    </row>
    <row r="376" ht="15" customHeight="1">
      <c r="A376" t="inlineStr">
        <is>
          <t>A 52743-2025</t>
        </is>
      </c>
      <c r="B376" s="1" t="n">
        <v>45957.38039351852</v>
      </c>
      <c r="C376" s="1" t="n">
        <v>46179</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43934-2023</t>
        </is>
      </c>
      <c r="B377" s="1" t="n">
        <v>45187</v>
      </c>
      <c r="C377" s="1" t="n">
        <v>46179</v>
      </c>
      <c r="D377" t="inlineStr">
        <is>
          <t>ÖSTERGÖTLANDS LÄN</t>
        </is>
      </c>
      <c r="E377" t="inlineStr">
        <is>
          <t>LINKÖPING</t>
        </is>
      </c>
      <c r="F377" t="inlineStr">
        <is>
          <t>Övriga Aktiebolag</t>
        </is>
      </c>
      <c r="G377" t="n">
        <v>3.8</v>
      </c>
      <c r="H377" t="n">
        <v>0</v>
      </c>
      <c r="I377" t="n">
        <v>0</v>
      </c>
      <c r="J377" t="n">
        <v>0</v>
      </c>
      <c r="K377" t="n">
        <v>0</v>
      </c>
      <c r="L377" t="n">
        <v>0</v>
      </c>
      <c r="M377" t="n">
        <v>0</v>
      </c>
      <c r="N377" t="n">
        <v>0</v>
      </c>
      <c r="O377" t="n">
        <v>0</v>
      </c>
      <c r="P377" t="n">
        <v>0</v>
      </c>
      <c r="Q377" t="n">
        <v>0</v>
      </c>
      <c r="R377" s="2" t="inlineStr"/>
    </row>
    <row r="378" ht="15" customHeight="1">
      <c r="A378" t="inlineStr">
        <is>
          <t>A 11169-2026</t>
        </is>
      </c>
      <c r="B378" s="1" t="n">
        <v>46080.37020833333</v>
      </c>
      <c r="C378" s="1" t="n">
        <v>46179</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11033-2026</t>
        </is>
      </c>
      <c r="B379" s="1" t="n">
        <v>46079.57361111111</v>
      </c>
      <c r="C379" s="1" t="n">
        <v>46179</v>
      </c>
      <c r="D379" t="inlineStr">
        <is>
          <t>ÖSTERGÖTLANDS LÄN</t>
        </is>
      </c>
      <c r="E379" t="inlineStr">
        <is>
          <t>LINKÖPING</t>
        </is>
      </c>
      <c r="G379" t="n">
        <v>7.9</v>
      </c>
      <c r="H379" t="n">
        <v>0</v>
      </c>
      <c r="I379" t="n">
        <v>0</v>
      </c>
      <c r="J379" t="n">
        <v>0</v>
      </c>
      <c r="K379" t="n">
        <v>0</v>
      </c>
      <c r="L379" t="n">
        <v>0</v>
      </c>
      <c r="M379" t="n">
        <v>0</v>
      </c>
      <c r="N379" t="n">
        <v>0</v>
      </c>
      <c r="O379" t="n">
        <v>0</v>
      </c>
      <c r="P379" t="n">
        <v>0</v>
      </c>
      <c r="Q379" t="n">
        <v>0</v>
      </c>
      <c r="R379" s="2" t="inlineStr"/>
    </row>
    <row r="380" ht="15" customHeight="1">
      <c r="A380" t="inlineStr">
        <is>
          <t>A 54333-2025</t>
        </is>
      </c>
      <c r="B380" s="1" t="n">
        <v>45965.35090277778</v>
      </c>
      <c r="C380" s="1" t="n">
        <v>46179</v>
      </c>
      <c r="D380" t="inlineStr">
        <is>
          <t>ÖSTERGÖTLANDS LÄN</t>
        </is>
      </c>
      <c r="E380" t="inlineStr">
        <is>
          <t>LINKÖPING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63935-2021</t>
        </is>
      </c>
      <c r="B381" s="1" t="n">
        <v>44509</v>
      </c>
      <c r="C381" s="1" t="n">
        <v>46179</v>
      </c>
      <c r="D381" t="inlineStr">
        <is>
          <t>ÖSTERGÖTLANDS LÄN</t>
        </is>
      </c>
      <c r="E381" t="inlineStr">
        <is>
          <t>LINKÖPING</t>
        </is>
      </c>
      <c r="F381" t="inlineStr">
        <is>
          <t>Övriga statliga verk och myndigheter</t>
        </is>
      </c>
      <c r="G381" t="n">
        <v>2.8</v>
      </c>
      <c r="H381" t="n">
        <v>0</v>
      </c>
      <c r="I381" t="n">
        <v>0</v>
      </c>
      <c r="J381" t="n">
        <v>0</v>
      </c>
      <c r="K381" t="n">
        <v>0</v>
      </c>
      <c r="L381" t="n">
        <v>0</v>
      </c>
      <c r="M381" t="n">
        <v>0</v>
      </c>
      <c r="N381" t="n">
        <v>0</v>
      </c>
      <c r="O381" t="n">
        <v>0</v>
      </c>
      <c r="P381" t="n">
        <v>0</v>
      </c>
      <c r="Q381" t="n">
        <v>0</v>
      </c>
      <c r="R381" s="2" t="inlineStr"/>
    </row>
    <row r="382" ht="15" customHeight="1">
      <c r="A382" t="inlineStr">
        <is>
          <t>A 54329-2025</t>
        </is>
      </c>
      <c r="B382" s="1" t="n">
        <v>45965.34706018519</v>
      </c>
      <c r="C382" s="1" t="n">
        <v>46179</v>
      </c>
      <c r="D382" t="inlineStr">
        <is>
          <t>ÖSTERGÖTLANDS LÄN</t>
        </is>
      </c>
      <c r="E382" t="inlineStr">
        <is>
          <t>LINKÖPING</t>
        </is>
      </c>
      <c r="F382" t="inlineStr">
        <is>
          <t>Sveaskog</t>
        </is>
      </c>
      <c r="G382" t="n">
        <v>5.1</v>
      </c>
      <c r="H382" t="n">
        <v>0</v>
      </c>
      <c r="I382" t="n">
        <v>0</v>
      </c>
      <c r="J382" t="n">
        <v>0</v>
      </c>
      <c r="K382" t="n">
        <v>0</v>
      </c>
      <c r="L382" t="n">
        <v>0</v>
      </c>
      <c r="M382" t="n">
        <v>0</v>
      </c>
      <c r="N382" t="n">
        <v>0</v>
      </c>
      <c r="O382" t="n">
        <v>0</v>
      </c>
      <c r="P382" t="n">
        <v>0</v>
      </c>
      <c r="Q382" t="n">
        <v>0</v>
      </c>
      <c r="R382" s="2" t="inlineStr"/>
    </row>
    <row r="383" ht="15" customHeight="1">
      <c r="A383" t="inlineStr">
        <is>
          <t>A 40810-2022</t>
        </is>
      </c>
      <c r="B383" s="1" t="n">
        <v>44824</v>
      </c>
      <c r="C383" s="1" t="n">
        <v>46179</v>
      </c>
      <c r="D383" t="inlineStr">
        <is>
          <t>ÖSTERGÖTLANDS LÄN</t>
        </is>
      </c>
      <c r="E383" t="inlineStr">
        <is>
          <t>LINKÖPING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11888-2026</t>
        </is>
      </c>
      <c r="B384" s="1" t="n">
        <v>46085.51813657407</v>
      </c>
      <c r="C384" s="1" t="n">
        <v>46179</v>
      </c>
      <c r="D384" t="inlineStr">
        <is>
          <t>ÖSTERGÖTLANDS LÄN</t>
        </is>
      </c>
      <c r="E384" t="inlineStr">
        <is>
          <t>LINKÖPING</t>
        </is>
      </c>
      <c r="G384" t="n">
        <v>3.6</v>
      </c>
      <c r="H384" t="n">
        <v>0</v>
      </c>
      <c r="I384" t="n">
        <v>0</v>
      </c>
      <c r="J384" t="n">
        <v>0</v>
      </c>
      <c r="K384" t="n">
        <v>0</v>
      </c>
      <c r="L384" t="n">
        <v>0</v>
      </c>
      <c r="M384" t="n">
        <v>0</v>
      </c>
      <c r="N384" t="n">
        <v>0</v>
      </c>
      <c r="O384" t="n">
        <v>0</v>
      </c>
      <c r="P384" t="n">
        <v>0</v>
      </c>
      <c r="Q384" t="n">
        <v>0</v>
      </c>
      <c r="R384" s="2" t="inlineStr"/>
    </row>
    <row r="385" ht="15" customHeight="1">
      <c r="A385" t="inlineStr">
        <is>
          <t>A 55109-2025</t>
        </is>
      </c>
      <c r="B385" s="1" t="n">
        <v>45968.37731481482</v>
      </c>
      <c r="C385" s="1" t="n">
        <v>46179</v>
      </c>
      <c r="D385" t="inlineStr">
        <is>
          <t>ÖSTERGÖTLANDS LÄN</t>
        </is>
      </c>
      <c r="E385" t="inlineStr">
        <is>
          <t>LINKÖPING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11891-2026</t>
        </is>
      </c>
      <c r="B386" s="1" t="n">
        <v>46085.5197800926</v>
      </c>
      <c r="C386" s="1" t="n">
        <v>46179</v>
      </c>
      <c r="D386" t="inlineStr">
        <is>
          <t>ÖSTERGÖTLANDS LÄN</t>
        </is>
      </c>
      <c r="E386" t="inlineStr">
        <is>
          <t>LINKÖPING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55165-2025</t>
        </is>
      </c>
      <c r="B387" s="1" t="n">
        <v>45968.48194444444</v>
      </c>
      <c r="C387" s="1" t="n">
        <v>46179</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55102-2025</t>
        </is>
      </c>
      <c r="B388" s="1" t="n">
        <v>45968.35410879629</v>
      </c>
      <c r="C388" s="1" t="n">
        <v>46179</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55132-2025</t>
        </is>
      </c>
      <c r="B389" s="1" t="n">
        <v>45968.41912037037</v>
      </c>
      <c r="C389" s="1" t="n">
        <v>46179</v>
      </c>
      <c r="D389" t="inlineStr">
        <is>
          <t>ÖSTERGÖTLANDS LÄN</t>
        </is>
      </c>
      <c r="E389" t="inlineStr">
        <is>
          <t>LINKÖPING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14576-2023</t>
        </is>
      </c>
      <c r="B390" s="1" t="n">
        <v>45013</v>
      </c>
      <c r="C390" s="1" t="n">
        <v>46179</v>
      </c>
      <c r="D390" t="inlineStr">
        <is>
          <t>ÖSTERGÖTLANDS LÄN</t>
        </is>
      </c>
      <c r="E390" t="inlineStr">
        <is>
          <t>LINKÖPING</t>
        </is>
      </c>
      <c r="G390" t="n">
        <v>3.2</v>
      </c>
      <c r="H390" t="n">
        <v>0</v>
      </c>
      <c r="I390" t="n">
        <v>0</v>
      </c>
      <c r="J390" t="n">
        <v>0</v>
      </c>
      <c r="K390" t="n">
        <v>0</v>
      </c>
      <c r="L390" t="n">
        <v>0</v>
      </c>
      <c r="M390" t="n">
        <v>0</v>
      </c>
      <c r="N390" t="n">
        <v>0</v>
      </c>
      <c r="O390" t="n">
        <v>0</v>
      </c>
      <c r="P390" t="n">
        <v>0</v>
      </c>
      <c r="Q390" t="n">
        <v>0</v>
      </c>
      <c r="R390" s="2" t="inlineStr"/>
    </row>
    <row r="391" ht="15" customHeight="1">
      <c r="A391" t="inlineStr">
        <is>
          <t>A 12089-2025</t>
        </is>
      </c>
      <c r="B391" s="1" t="n">
        <v>45729</v>
      </c>
      <c r="C391" s="1" t="n">
        <v>46179</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56105-2025</t>
        </is>
      </c>
      <c r="B392" s="1" t="n">
        <v>45973.72855324074</v>
      </c>
      <c r="C392" s="1" t="n">
        <v>46179</v>
      </c>
      <c r="D392" t="inlineStr">
        <is>
          <t>ÖSTERGÖTLANDS LÄN</t>
        </is>
      </c>
      <c r="E392" t="inlineStr">
        <is>
          <t>LINKÖPING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12254-2026</t>
        </is>
      </c>
      <c r="B393" s="1" t="n">
        <v>46087.46196759259</v>
      </c>
      <c r="C393" s="1" t="n">
        <v>46179</v>
      </c>
      <c r="D393" t="inlineStr">
        <is>
          <t>ÖSTERGÖTLANDS LÄN</t>
        </is>
      </c>
      <c r="E393" t="inlineStr">
        <is>
          <t>LINKÖPING</t>
        </is>
      </c>
      <c r="G393" t="n">
        <v>10.4</v>
      </c>
      <c r="H393" t="n">
        <v>0</v>
      </c>
      <c r="I393" t="n">
        <v>0</v>
      </c>
      <c r="J393" t="n">
        <v>0</v>
      </c>
      <c r="K393" t="n">
        <v>0</v>
      </c>
      <c r="L393" t="n">
        <v>0</v>
      </c>
      <c r="M393" t="n">
        <v>0</v>
      </c>
      <c r="N393" t="n">
        <v>0</v>
      </c>
      <c r="O393" t="n">
        <v>0</v>
      </c>
      <c r="P393" t="n">
        <v>0</v>
      </c>
      <c r="Q393" t="n">
        <v>0</v>
      </c>
      <c r="R393" s="2" t="inlineStr"/>
    </row>
    <row r="394" ht="15" customHeight="1">
      <c r="A394" t="inlineStr">
        <is>
          <t>A 12251-2026</t>
        </is>
      </c>
      <c r="B394" s="1" t="n">
        <v>46087.45278935185</v>
      </c>
      <c r="C394" s="1" t="n">
        <v>46179</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56113-2025</t>
        </is>
      </c>
      <c r="B395" s="1" t="n">
        <v>45973.73924768518</v>
      </c>
      <c r="C395" s="1" t="n">
        <v>46179</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56704-2025</t>
        </is>
      </c>
      <c r="B396" s="1" t="n">
        <v>45977.50608796296</v>
      </c>
      <c r="C396" s="1" t="n">
        <v>46179</v>
      </c>
      <c r="D396" t="inlineStr">
        <is>
          <t>ÖSTERGÖTLANDS LÄN</t>
        </is>
      </c>
      <c r="E396" t="inlineStr">
        <is>
          <t>LINKÖPING</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12482-2026</t>
        </is>
      </c>
      <c r="B397" s="1" t="n">
        <v>46090.56292824074</v>
      </c>
      <c r="C397" s="1" t="n">
        <v>46179</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12486-2026</t>
        </is>
      </c>
      <c r="B398" s="1" t="n">
        <v>46090.56501157407</v>
      </c>
      <c r="C398" s="1" t="n">
        <v>46179</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62321-2022</t>
        </is>
      </c>
      <c r="B399" s="1" t="n">
        <v>44916</v>
      </c>
      <c r="C399" s="1" t="n">
        <v>46179</v>
      </c>
      <c r="D399" t="inlineStr">
        <is>
          <t>ÖSTERGÖTLANDS LÄN</t>
        </is>
      </c>
      <c r="E399" t="inlineStr">
        <is>
          <t>LINKÖPING</t>
        </is>
      </c>
      <c r="F399" t="inlineStr">
        <is>
          <t>Kommuner</t>
        </is>
      </c>
      <c r="G399" t="n">
        <v>5.3</v>
      </c>
      <c r="H399" t="n">
        <v>0</v>
      </c>
      <c r="I399" t="n">
        <v>0</v>
      </c>
      <c r="J399" t="n">
        <v>0</v>
      </c>
      <c r="K399" t="n">
        <v>0</v>
      </c>
      <c r="L399" t="n">
        <v>0</v>
      </c>
      <c r="M399" t="n">
        <v>0</v>
      </c>
      <c r="N399" t="n">
        <v>0</v>
      </c>
      <c r="O399" t="n">
        <v>0</v>
      </c>
      <c r="P399" t="n">
        <v>0</v>
      </c>
      <c r="Q399" t="n">
        <v>0</v>
      </c>
      <c r="R399" s="2" t="inlineStr"/>
    </row>
    <row r="400" ht="15" customHeight="1">
      <c r="A400" t="inlineStr">
        <is>
          <t>A 43475-2024</t>
        </is>
      </c>
      <c r="B400" s="1" t="n">
        <v>45568</v>
      </c>
      <c r="C400" s="1" t="n">
        <v>46179</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17103-2025</t>
        </is>
      </c>
      <c r="B401" s="1" t="n">
        <v>45755.66143518518</v>
      </c>
      <c r="C401" s="1" t="n">
        <v>46179</v>
      </c>
      <c r="D401" t="inlineStr">
        <is>
          <t>ÖSTERGÖTLANDS LÄN</t>
        </is>
      </c>
      <c r="E401" t="inlineStr">
        <is>
          <t>LINKÖPING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30551-2023</t>
        </is>
      </c>
      <c r="B402" s="1" t="n">
        <v>45111</v>
      </c>
      <c r="C402" s="1" t="n">
        <v>46179</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50784-2022</t>
        </is>
      </c>
      <c r="B403" s="1" t="n">
        <v>44862</v>
      </c>
      <c r="C403" s="1" t="n">
        <v>46179</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22043-2023</t>
        </is>
      </c>
      <c r="B404" s="1" t="n">
        <v>45069.39050925926</v>
      </c>
      <c r="C404" s="1" t="n">
        <v>46179</v>
      </c>
      <c r="D404" t="inlineStr">
        <is>
          <t>ÖSTERGÖTLANDS LÄN</t>
        </is>
      </c>
      <c r="E404" t="inlineStr">
        <is>
          <t>LINKÖPING</t>
        </is>
      </c>
      <c r="G404" t="n">
        <v>5.9</v>
      </c>
      <c r="H404" t="n">
        <v>0</v>
      </c>
      <c r="I404" t="n">
        <v>0</v>
      </c>
      <c r="J404" t="n">
        <v>0</v>
      </c>
      <c r="K404" t="n">
        <v>0</v>
      </c>
      <c r="L404" t="n">
        <v>0</v>
      </c>
      <c r="M404" t="n">
        <v>0</v>
      </c>
      <c r="N404" t="n">
        <v>0</v>
      </c>
      <c r="O404" t="n">
        <v>0</v>
      </c>
      <c r="P404" t="n">
        <v>0</v>
      </c>
      <c r="Q404" t="n">
        <v>0</v>
      </c>
      <c r="R404" s="2" t="inlineStr"/>
    </row>
    <row r="405" ht="15" customHeight="1">
      <c r="A405" t="inlineStr">
        <is>
          <t>A 49656-2021</t>
        </is>
      </c>
      <c r="B405" s="1" t="n">
        <v>44454</v>
      </c>
      <c r="C405" s="1" t="n">
        <v>46179</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30465-2023</t>
        </is>
      </c>
      <c r="B406" s="1" t="n">
        <v>45111</v>
      </c>
      <c r="C406" s="1" t="n">
        <v>46179</v>
      </c>
      <c r="D406" t="inlineStr">
        <is>
          <t>ÖSTERGÖTLANDS LÄN</t>
        </is>
      </c>
      <c r="E406" t="inlineStr">
        <is>
          <t>LINKÖPING</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13565-2026</t>
        </is>
      </c>
      <c r="B407" s="1" t="n">
        <v>46094.80006944444</v>
      </c>
      <c r="C407" s="1" t="n">
        <v>46179</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40618-2021</t>
        </is>
      </c>
      <c r="B408" s="1" t="n">
        <v>44420.49575231481</v>
      </c>
      <c r="C408" s="1" t="n">
        <v>46179</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23735-2023</t>
        </is>
      </c>
      <c r="B409" s="1" t="n">
        <v>45077</v>
      </c>
      <c r="C409" s="1" t="n">
        <v>46179</v>
      </c>
      <c r="D409" t="inlineStr">
        <is>
          <t>ÖSTERGÖTLANDS LÄN</t>
        </is>
      </c>
      <c r="E409" t="inlineStr">
        <is>
          <t>LINKÖPING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350-2022</t>
        </is>
      </c>
      <c r="B410" s="1" t="n">
        <v>44565</v>
      </c>
      <c r="C410" s="1" t="n">
        <v>46179</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25948-2023</t>
        </is>
      </c>
      <c r="B411" s="1" t="n">
        <v>45090</v>
      </c>
      <c r="C411" s="1" t="n">
        <v>46179</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59205-2025</t>
        </is>
      </c>
      <c r="B412" s="1" t="n">
        <v>45988.60721064815</v>
      </c>
      <c r="C412" s="1" t="n">
        <v>46179</v>
      </c>
      <c r="D412" t="inlineStr">
        <is>
          <t>ÖSTERGÖTLANDS LÄN</t>
        </is>
      </c>
      <c r="E412" t="inlineStr">
        <is>
          <t>LINKÖPING</t>
        </is>
      </c>
      <c r="F412" t="inlineStr">
        <is>
          <t>Sveaskog</t>
        </is>
      </c>
      <c r="G412" t="n">
        <v>11.3</v>
      </c>
      <c r="H412" t="n">
        <v>0</v>
      </c>
      <c r="I412" t="n">
        <v>0</v>
      </c>
      <c r="J412" t="n">
        <v>0</v>
      </c>
      <c r="K412" t="n">
        <v>0</v>
      </c>
      <c r="L412" t="n">
        <v>0</v>
      </c>
      <c r="M412" t="n">
        <v>0</v>
      </c>
      <c r="N412" t="n">
        <v>0</v>
      </c>
      <c r="O412" t="n">
        <v>0</v>
      </c>
      <c r="P412" t="n">
        <v>0</v>
      </c>
      <c r="Q412" t="n">
        <v>0</v>
      </c>
      <c r="R412" s="2" t="inlineStr"/>
    </row>
    <row r="413" ht="15" customHeight="1">
      <c r="A413" t="inlineStr">
        <is>
          <t>A 33867-2023</t>
        </is>
      </c>
      <c r="B413" s="1" t="n">
        <v>45133.94640046296</v>
      </c>
      <c r="C413" s="1" t="n">
        <v>46179</v>
      </c>
      <c r="D413" t="inlineStr">
        <is>
          <t>ÖSTERGÖTLANDS LÄN</t>
        </is>
      </c>
      <c r="E413" t="inlineStr">
        <is>
          <t>LINKÖPING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59472-2025</t>
        </is>
      </c>
      <c r="B414" s="1" t="n">
        <v>45989.58321759259</v>
      </c>
      <c r="C414" s="1" t="n">
        <v>46179</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5099-2026</t>
        </is>
      </c>
      <c r="B415" s="1" t="n">
        <v>46049.56158564815</v>
      </c>
      <c r="C415" s="1" t="n">
        <v>46179</v>
      </c>
      <c r="D415" t="inlineStr">
        <is>
          <t>ÖSTERGÖTLANDS LÄN</t>
        </is>
      </c>
      <c r="E415" t="inlineStr">
        <is>
          <t>LINKÖPING</t>
        </is>
      </c>
      <c r="G415" t="n">
        <v>5</v>
      </c>
      <c r="H415" t="n">
        <v>0</v>
      </c>
      <c r="I415" t="n">
        <v>0</v>
      </c>
      <c r="J415" t="n">
        <v>0</v>
      </c>
      <c r="K415" t="n">
        <v>0</v>
      </c>
      <c r="L415" t="n">
        <v>0</v>
      </c>
      <c r="M415" t="n">
        <v>0</v>
      </c>
      <c r="N415" t="n">
        <v>0</v>
      </c>
      <c r="O415" t="n">
        <v>0</v>
      </c>
      <c r="P415" t="n">
        <v>0</v>
      </c>
      <c r="Q415" t="n">
        <v>0</v>
      </c>
      <c r="R415" s="2" t="inlineStr"/>
    </row>
    <row r="416" ht="15" customHeight="1">
      <c r="A416" t="inlineStr">
        <is>
          <t>A 24462-2023</t>
        </is>
      </c>
      <c r="B416" s="1" t="n">
        <v>45082</v>
      </c>
      <c r="C416" s="1" t="n">
        <v>46179</v>
      </c>
      <c r="D416" t="inlineStr">
        <is>
          <t>ÖSTERGÖTLANDS LÄN</t>
        </is>
      </c>
      <c r="E416" t="inlineStr">
        <is>
          <t>LINKÖPING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48829-2023</t>
        </is>
      </c>
      <c r="B417" s="1" t="n">
        <v>45209.38177083333</v>
      </c>
      <c r="C417" s="1" t="n">
        <v>46179</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60087-2025</t>
        </is>
      </c>
      <c r="B418" s="1" t="n">
        <v>45993.71726851852</v>
      </c>
      <c r="C418" s="1" t="n">
        <v>46179</v>
      </c>
      <c r="D418" t="inlineStr">
        <is>
          <t>ÖSTERGÖTLANDS LÄN</t>
        </is>
      </c>
      <c r="E418" t="inlineStr">
        <is>
          <t>LINKÖPING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38231-2022</t>
        </is>
      </c>
      <c r="B419" s="1" t="n">
        <v>44812</v>
      </c>
      <c r="C419" s="1" t="n">
        <v>46179</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50799-2022</t>
        </is>
      </c>
      <c r="B420" s="1" t="n">
        <v>44862</v>
      </c>
      <c r="C420" s="1" t="n">
        <v>46179</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13927-2026</t>
        </is>
      </c>
      <c r="B421" s="1" t="n">
        <v>46098</v>
      </c>
      <c r="C421" s="1" t="n">
        <v>46179</v>
      </c>
      <c r="D421" t="inlineStr">
        <is>
          <t>ÖSTERGÖTLANDS LÄN</t>
        </is>
      </c>
      <c r="E421" t="inlineStr">
        <is>
          <t>LINKÖPING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40431-2024</t>
        </is>
      </c>
      <c r="B422" s="1" t="n">
        <v>45555.47070601852</v>
      </c>
      <c r="C422" s="1" t="n">
        <v>46179</v>
      </c>
      <c r="D422" t="inlineStr">
        <is>
          <t>ÖSTERGÖTLANDS LÄN</t>
        </is>
      </c>
      <c r="E422" t="inlineStr">
        <is>
          <t>LINKÖPING</t>
        </is>
      </c>
      <c r="F422" t="inlineStr">
        <is>
          <t>Allmännings- och besparingsskogar</t>
        </is>
      </c>
      <c r="G422" t="n">
        <v>2.9</v>
      </c>
      <c r="H422" t="n">
        <v>0</v>
      </c>
      <c r="I422" t="n">
        <v>0</v>
      </c>
      <c r="J422" t="n">
        <v>0</v>
      </c>
      <c r="K422" t="n">
        <v>0</v>
      </c>
      <c r="L422" t="n">
        <v>0</v>
      </c>
      <c r="M422" t="n">
        <v>0</v>
      </c>
      <c r="N422" t="n">
        <v>0</v>
      </c>
      <c r="O422" t="n">
        <v>0</v>
      </c>
      <c r="P422" t="n">
        <v>0</v>
      </c>
      <c r="Q422" t="n">
        <v>0</v>
      </c>
      <c r="R422" s="2" t="inlineStr"/>
    </row>
    <row r="423" ht="15" customHeight="1">
      <c r="A423" t="inlineStr">
        <is>
          <t>A 267-2023</t>
        </is>
      </c>
      <c r="B423" s="1" t="n">
        <v>44928.80907407407</v>
      </c>
      <c r="C423" s="1" t="n">
        <v>46179</v>
      </c>
      <c r="D423" t="inlineStr">
        <is>
          <t>ÖSTERGÖTLANDS LÄN</t>
        </is>
      </c>
      <c r="E423" t="inlineStr">
        <is>
          <t>LINKÖPING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26618-2023</t>
        </is>
      </c>
      <c r="B424" s="1" t="n">
        <v>45092.70306712963</v>
      </c>
      <c r="C424" s="1" t="n">
        <v>46179</v>
      </c>
      <c r="D424" t="inlineStr">
        <is>
          <t>ÖSTERGÖTLANDS LÄN</t>
        </is>
      </c>
      <c r="E424" t="inlineStr">
        <is>
          <t>LINKÖPING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14157-2026</t>
        </is>
      </c>
      <c r="B425" s="1" t="n">
        <v>46099.46829861111</v>
      </c>
      <c r="C425" s="1" t="n">
        <v>46179</v>
      </c>
      <c r="D425" t="inlineStr">
        <is>
          <t>ÖSTERGÖTLANDS LÄN</t>
        </is>
      </c>
      <c r="E425" t="inlineStr">
        <is>
          <t>LINKÖPING</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63665-2023</t>
        </is>
      </c>
      <c r="B426" s="1" t="n">
        <v>45275</v>
      </c>
      <c r="C426" s="1" t="n">
        <v>46179</v>
      </c>
      <c r="D426" t="inlineStr">
        <is>
          <t>ÖSTERGÖTLANDS LÄN</t>
        </is>
      </c>
      <c r="E426" t="inlineStr">
        <is>
          <t>LINKÖPING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60703-2025</t>
        </is>
      </c>
      <c r="B427" s="1" t="n">
        <v>45996.6052662037</v>
      </c>
      <c r="C427" s="1" t="n">
        <v>46179</v>
      </c>
      <c r="D427" t="inlineStr">
        <is>
          <t>ÖSTERGÖTLANDS LÄN</t>
        </is>
      </c>
      <c r="E427" t="inlineStr">
        <is>
          <t>LINKÖPING</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30429-2024</t>
        </is>
      </c>
      <c r="B428" s="1" t="n">
        <v>45491.68972222223</v>
      </c>
      <c r="C428" s="1" t="n">
        <v>46179</v>
      </c>
      <c r="D428" t="inlineStr">
        <is>
          <t>ÖSTERGÖTLANDS LÄN</t>
        </is>
      </c>
      <c r="E428" t="inlineStr">
        <is>
          <t>LINKÖPING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61230-2025</t>
        </is>
      </c>
      <c r="B429" s="1" t="n">
        <v>46000.63111111111</v>
      </c>
      <c r="C429" s="1" t="n">
        <v>46179</v>
      </c>
      <c r="D429" t="inlineStr">
        <is>
          <t>ÖSTERGÖTLANDS LÄN</t>
        </is>
      </c>
      <c r="E429" t="inlineStr">
        <is>
          <t>LINKÖPING</t>
        </is>
      </c>
      <c r="F429" t="inlineStr">
        <is>
          <t>Kyrkan</t>
        </is>
      </c>
      <c r="G429" t="n">
        <v>2.1</v>
      </c>
      <c r="H429" t="n">
        <v>0</v>
      </c>
      <c r="I429" t="n">
        <v>0</v>
      </c>
      <c r="J429" t="n">
        <v>0</v>
      </c>
      <c r="K429" t="n">
        <v>0</v>
      </c>
      <c r="L429" t="n">
        <v>0</v>
      </c>
      <c r="M429" t="n">
        <v>0</v>
      </c>
      <c r="N429" t="n">
        <v>0</v>
      </c>
      <c r="O429" t="n">
        <v>0</v>
      </c>
      <c r="P429" t="n">
        <v>0</v>
      </c>
      <c r="Q429" t="n">
        <v>0</v>
      </c>
      <c r="R429" s="2" t="inlineStr"/>
    </row>
    <row r="430" ht="15" customHeight="1">
      <c r="A430" t="inlineStr">
        <is>
          <t>A 30435-2024</t>
        </is>
      </c>
      <c r="B430" s="1" t="n">
        <v>45491.69962962963</v>
      </c>
      <c r="C430" s="1" t="n">
        <v>46179</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53816-2023</t>
        </is>
      </c>
      <c r="B431" s="1" t="n">
        <v>45231.40012731482</v>
      </c>
      <c r="C431" s="1" t="n">
        <v>46179</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36557-2023</t>
        </is>
      </c>
      <c r="B432" s="1" t="n">
        <v>45153</v>
      </c>
      <c r="C432" s="1" t="n">
        <v>46179</v>
      </c>
      <c r="D432" t="inlineStr">
        <is>
          <t>ÖSTERGÖTLANDS LÄN</t>
        </is>
      </c>
      <c r="E432" t="inlineStr">
        <is>
          <t>LINKÖPING</t>
        </is>
      </c>
      <c r="F432" t="inlineStr">
        <is>
          <t>Övriga Aktiebolag</t>
        </is>
      </c>
      <c r="G432" t="n">
        <v>3.1</v>
      </c>
      <c r="H432" t="n">
        <v>0</v>
      </c>
      <c r="I432" t="n">
        <v>0</v>
      </c>
      <c r="J432" t="n">
        <v>0</v>
      </c>
      <c r="K432" t="n">
        <v>0</v>
      </c>
      <c r="L432" t="n">
        <v>0</v>
      </c>
      <c r="M432" t="n">
        <v>0</v>
      </c>
      <c r="N432" t="n">
        <v>0</v>
      </c>
      <c r="O432" t="n">
        <v>0</v>
      </c>
      <c r="P432" t="n">
        <v>0</v>
      </c>
      <c r="Q432" t="n">
        <v>0</v>
      </c>
      <c r="R432" s="2" t="inlineStr"/>
    </row>
    <row r="433" ht="15" customHeight="1">
      <c r="A433" t="inlineStr">
        <is>
          <t>A 6599-2023</t>
        </is>
      </c>
      <c r="B433" s="1" t="n">
        <v>44966.52603009259</v>
      </c>
      <c r="C433" s="1" t="n">
        <v>46179</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43473-2024</t>
        </is>
      </c>
      <c r="B434" s="1" t="n">
        <v>45568</v>
      </c>
      <c r="C434" s="1" t="n">
        <v>46179</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61447-2025</t>
        </is>
      </c>
      <c r="B435" s="1" t="n">
        <v>46001.57554398148</v>
      </c>
      <c r="C435" s="1" t="n">
        <v>46179</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61645-2025</t>
        </is>
      </c>
      <c r="B436" s="1" t="n">
        <v>46002.43697916667</v>
      </c>
      <c r="C436" s="1" t="n">
        <v>46179</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61532-2021</t>
        </is>
      </c>
      <c r="B437" s="1" t="n">
        <v>44501</v>
      </c>
      <c r="C437" s="1" t="n">
        <v>46179</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3374-2023</t>
        </is>
      </c>
      <c r="B438" s="1" t="n">
        <v>44949</v>
      </c>
      <c r="C438" s="1" t="n">
        <v>46179</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224-2024</t>
        </is>
      </c>
      <c r="B439" s="1" t="n">
        <v>45294</v>
      </c>
      <c r="C439" s="1" t="n">
        <v>46179</v>
      </c>
      <c r="D439" t="inlineStr">
        <is>
          <t>ÖSTERGÖTLANDS LÄN</t>
        </is>
      </c>
      <c r="E439" t="inlineStr">
        <is>
          <t>LINKÖPING</t>
        </is>
      </c>
      <c r="G439" t="n">
        <v>2.8</v>
      </c>
      <c r="H439" t="n">
        <v>0</v>
      </c>
      <c r="I439" t="n">
        <v>0</v>
      </c>
      <c r="J439" t="n">
        <v>0</v>
      </c>
      <c r="K439" t="n">
        <v>0</v>
      </c>
      <c r="L439" t="n">
        <v>0</v>
      </c>
      <c r="M439" t="n">
        <v>0</v>
      </c>
      <c r="N439" t="n">
        <v>0</v>
      </c>
      <c r="O439" t="n">
        <v>0</v>
      </c>
      <c r="P439" t="n">
        <v>0</v>
      </c>
      <c r="Q439" t="n">
        <v>0</v>
      </c>
      <c r="R439" s="2" t="inlineStr"/>
    </row>
    <row r="440" ht="15" customHeight="1">
      <c r="A440" t="inlineStr">
        <is>
          <t>A 6726-2024</t>
        </is>
      </c>
      <c r="B440" s="1" t="n">
        <v>45341</v>
      </c>
      <c r="C440" s="1" t="n">
        <v>46179</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62686-2025</t>
        </is>
      </c>
      <c r="B441" s="1" t="n">
        <v>46008.46769675926</v>
      </c>
      <c r="C441" s="1" t="n">
        <v>46179</v>
      </c>
      <c r="D441" t="inlineStr">
        <is>
          <t>ÖSTERGÖTLANDS LÄN</t>
        </is>
      </c>
      <c r="E441" t="inlineStr">
        <is>
          <t>LINKÖPING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53814-2023</t>
        </is>
      </c>
      <c r="B442" s="1" t="n">
        <v>45231</v>
      </c>
      <c r="C442" s="1" t="n">
        <v>46179</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63147-2025</t>
        </is>
      </c>
      <c r="B443" s="1" t="n">
        <v>46010.35003472222</v>
      </c>
      <c r="C443" s="1" t="n">
        <v>46179</v>
      </c>
      <c r="D443" t="inlineStr">
        <is>
          <t>ÖSTERGÖTLANDS LÄN</t>
        </is>
      </c>
      <c r="E443" t="inlineStr">
        <is>
          <t>LINKÖPING</t>
        </is>
      </c>
      <c r="G443" t="n">
        <v>4</v>
      </c>
      <c r="H443" t="n">
        <v>0</v>
      </c>
      <c r="I443" t="n">
        <v>0</v>
      </c>
      <c r="J443" t="n">
        <v>0</v>
      </c>
      <c r="K443" t="n">
        <v>0</v>
      </c>
      <c r="L443" t="n">
        <v>0</v>
      </c>
      <c r="M443" t="n">
        <v>0</v>
      </c>
      <c r="N443" t="n">
        <v>0</v>
      </c>
      <c r="O443" t="n">
        <v>0</v>
      </c>
      <c r="P443" t="n">
        <v>0</v>
      </c>
      <c r="Q443" t="n">
        <v>0</v>
      </c>
      <c r="R443" s="2" t="inlineStr"/>
    </row>
    <row r="444" ht="15" customHeight="1">
      <c r="A444" t="inlineStr">
        <is>
          <t>A 63144-2025</t>
        </is>
      </c>
      <c r="B444" s="1" t="n">
        <v>46010.34716435185</v>
      </c>
      <c r="C444" s="1" t="n">
        <v>46179</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60004-2022</t>
        </is>
      </c>
      <c r="B445" s="1" t="n">
        <v>44909.47206018519</v>
      </c>
      <c r="C445" s="1" t="n">
        <v>46179</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50743-2023</t>
        </is>
      </c>
      <c r="B446" s="1" t="n">
        <v>45217</v>
      </c>
      <c r="C446" s="1" t="n">
        <v>46179</v>
      </c>
      <c r="D446" t="inlineStr">
        <is>
          <t>ÖSTERGÖTLANDS LÄN</t>
        </is>
      </c>
      <c r="E446" t="inlineStr">
        <is>
          <t>LINKÖPING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46179</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63554-2023</t>
        </is>
      </c>
      <c r="B448" s="1" t="n">
        <v>45275</v>
      </c>
      <c r="C448" s="1" t="n">
        <v>46179</v>
      </c>
      <c r="D448" t="inlineStr">
        <is>
          <t>ÖSTERGÖTLANDS LÄN</t>
        </is>
      </c>
      <c r="E448" t="inlineStr">
        <is>
          <t>LINKÖPING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21374-2026</t>
        </is>
      </c>
      <c r="B449" s="1" t="n">
        <v>46145</v>
      </c>
      <c r="C449" s="1" t="n">
        <v>46179</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21246-2026</t>
        </is>
      </c>
      <c r="B450" s="1" t="n">
        <v>46147.36642361111</v>
      </c>
      <c r="C450" s="1" t="n">
        <v>46179</v>
      </c>
      <c r="D450" t="inlineStr">
        <is>
          <t>ÖSTERGÖTLANDS LÄN</t>
        </is>
      </c>
      <c r="E450" t="inlineStr">
        <is>
          <t>LINKÖPING</t>
        </is>
      </c>
      <c r="F450" t="inlineStr">
        <is>
          <t>Sveaskog</t>
        </is>
      </c>
      <c r="G450" t="n">
        <v>6.5</v>
      </c>
      <c r="H450" t="n">
        <v>0</v>
      </c>
      <c r="I450" t="n">
        <v>0</v>
      </c>
      <c r="J450" t="n">
        <v>0</v>
      </c>
      <c r="K450" t="n">
        <v>0</v>
      </c>
      <c r="L450" t="n">
        <v>0</v>
      </c>
      <c r="M450" t="n">
        <v>0</v>
      </c>
      <c r="N450" t="n">
        <v>0</v>
      </c>
      <c r="O450" t="n">
        <v>0</v>
      </c>
      <c r="P450" t="n">
        <v>0</v>
      </c>
      <c r="Q450" t="n">
        <v>0</v>
      </c>
      <c r="R450" s="2" t="inlineStr"/>
    </row>
    <row r="451" ht="15" customHeight="1">
      <c r="A451" t="inlineStr">
        <is>
          <t>A 21248-2026</t>
        </is>
      </c>
      <c r="B451" s="1" t="n">
        <v>46147.36969907407</v>
      </c>
      <c r="C451" s="1" t="n">
        <v>46179</v>
      </c>
      <c r="D451" t="inlineStr">
        <is>
          <t>ÖSTERGÖTLANDS LÄN</t>
        </is>
      </c>
      <c r="E451" t="inlineStr">
        <is>
          <t>LINKÖPING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30111-2024</t>
        </is>
      </c>
      <c r="B452" s="1" t="n">
        <v>45489.46947916667</v>
      </c>
      <c r="C452" s="1" t="n">
        <v>46179</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30119-2024</t>
        </is>
      </c>
      <c r="B453" s="1" t="n">
        <v>45489</v>
      </c>
      <c r="C453" s="1" t="n">
        <v>46179</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6206-2024</t>
        </is>
      </c>
      <c r="B454" s="1" t="n">
        <v>45337.5977662037</v>
      </c>
      <c r="C454" s="1" t="n">
        <v>46179</v>
      </c>
      <c r="D454" t="inlineStr">
        <is>
          <t>ÖSTERGÖTLANDS LÄN</t>
        </is>
      </c>
      <c r="E454" t="inlineStr">
        <is>
          <t>LINKÖPING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15714-2024</t>
        </is>
      </c>
      <c r="B455" s="1" t="n">
        <v>45404.48288194444</v>
      </c>
      <c r="C455" s="1" t="n">
        <v>46179</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30481-2023</t>
        </is>
      </c>
      <c r="B456" s="1" t="n">
        <v>45111</v>
      </c>
      <c r="C456" s="1" t="n">
        <v>46179</v>
      </c>
      <c r="D456" t="inlineStr">
        <is>
          <t>ÖSTERGÖTLANDS LÄN</t>
        </is>
      </c>
      <c r="E456" t="inlineStr">
        <is>
          <t>LINKÖPING</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74160-2021</t>
        </is>
      </c>
      <c r="B457" s="1" t="n">
        <v>44558</v>
      </c>
      <c r="C457" s="1" t="n">
        <v>46179</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63559-2023</t>
        </is>
      </c>
      <c r="B458" s="1" t="n">
        <v>45275.35924768518</v>
      </c>
      <c r="C458" s="1" t="n">
        <v>46179</v>
      </c>
      <c r="D458" t="inlineStr">
        <is>
          <t>ÖSTERGÖTLANDS LÄN</t>
        </is>
      </c>
      <c r="E458" t="inlineStr">
        <is>
          <t>LINKÖPING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15850-2026</t>
        </is>
      </c>
      <c r="B459" s="1" t="n">
        <v>46107.57224537037</v>
      </c>
      <c r="C459" s="1" t="n">
        <v>46179</v>
      </c>
      <c r="D459" t="inlineStr">
        <is>
          <t>ÖSTERGÖTLANDS LÄN</t>
        </is>
      </c>
      <c r="E459" t="inlineStr">
        <is>
          <t>LINKÖPING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23491-2024</t>
        </is>
      </c>
      <c r="B460" s="1" t="n">
        <v>45453</v>
      </c>
      <c r="C460" s="1" t="n">
        <v>46179</v>
      </c>
      <c r="D460" t="inlineStr">
        <is>
          <t>ÖSTERGÖTLANDS LÄN</t>
        </is>
      </c>
      <c r="E460" t="inlineStr">
        <is>
          <t>LINKÖPING</t>
        </is>
      </c>
      <c r="G460" t="n">
        <v>2.2</v>
      </c>
      <c r="H460" t="n">
        <v>0</v>
      </c>
      <c r="I460" t="n">
        <v>0</v>
      </c>
      <c r="J460" t="n">
        <v>0</v>
      </c>
      <c r="K460" t="n">
        <v>0</v>
      </c>
      <c r="L460" t="n">
        <v>0</v>
      </c>
      <c r="M460" t="n">
        <v>0</v>
      </c>
      <c r="N460" t="n">
        <v>0</v>
      </c>
      <c r="O460" t="n">
        <v>0</v>
      </c>
      <c r="P460" t="n">
        <v>0</v>
      </c>
      <c r="Q460" t="n">
        <v>0</v>
      </c>
      <c r="R460" s="2" t="inlineStr"/>
    </row>
    <row r="461" ht="15" customHeight="1">
      <c r="A461" t="inlineStr">
        <is>
          <t>A 29309-2024</t>
        </is>
      </c>
      <c r="B461" s="1" t="n">
        <v>45483</v>
      </c>
      <c r="C461" s="1" t="n">
        <v>46179</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29411-2023</t>
        </is>
      </c>
      <c r="B462" s="1" t="n">
        <v>45106.46225694445</v>
      </c>
      <c r="C462" s="1" t="n">
        <v>46179</v>
      </c>
      <c r="D462" t="inlineStr">
        <is>
          <t>ÖSTERGÖTLANDS LÄN</t>
        </is>
      </c>
      <c r="E462" t="inlineStr">
        <is>
          <t>LINKÖPING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29412-2023</t>
        </is>
      </c>
      <c r="B463" s="1" t="n">
        <v>45106.46359953703</v>
      </c>
      <c r="C463" s="1" t="n">
        <v>46179</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29413-2023</t>
        </is>
      </c>
      <c r="B464" s="1" t="n">
        <v>45106.46465277778</v>
      </c>
      <c r="C464" s="1" t="n">
        <v>46179</v>
      </c>
      <c r="D464" t="inlineStr">
        <is>
          <t>ÖSTERGÖTLANDS LÄN</t>
        </is>
      </c>
      <c r="E464" t="inlineStr">
        <is>
          <t>LINKÖPING</t>
        </is>
      </c>
      <c r="G464" t="n">
        <v>8</v>
      </c>
      <c r="H464" t="n">
        <v>0</v>
      </c>
      <c r="I464" t="n">
        <v>0</v>
      </c>
      <c r="J464" t="n">
        <v>0</v>
      </c>
      <c r="K464" t="n">
        <v>0</v>
      </c>
      <c r="L464" t="n">
        <v>0</v>
      </c>
      <c r="M464" t="n">
        <v>0</v>
      </c>
      <c r="N464" t="n">
        <v>0</v>
      </c>
      <c r="O464" t="n">
        <v>0</v>
      </c>
      <c r="P464" t="n">
        <v>0</v>
      </c>
      <c r="Q464" t="n">
        <v>0</v>
      </c>
      <c r="R464" s="2" t="inlineStr"/>
    </row>
    <row r="465" ht="15" customHeight="1">
      <c r="A465" t="inlineStr">
        <is>
          <t>A 24151-2024</t>
        </is>
      </c>
      <c r="B465" s="1" t="n">
        <v>45456.67717592593</v>
      </c>
      <c r="C465" s="1" t="n">
        <v>46179</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63845-2021</t>
        </is>
      </c>
      <c r="B466" s="1" t="n">
        <v>44509</v>
      </c>
      <c r="C466" s="1" t="n">
        <v>46179</v>
      </c>
      <c r="D466" t="inlineStr">
        <is>
          <t>ÖSTERGÖTLANDS LÄN</t>
        </is>
      </c>
      <c r="E466" t="inlineStr">
        <is>
          <t>LINKÖPING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17785-2023</t>
        </is>
      </c>
      <c r="B467" s="1" t="n">
        <v>45037.55094907407</v>
      </c>
      <c r="C467" s="1" t="n">
        <v>46179</v>
      </c>
      <c r="D467" t="inlineStr">
        <is>
          <t>ÖSTERGÖTLANDS LÄN</t>
        </is>
      </c>
      <c r="E467" t="inlineStr">
        <is>
          <t>LINKÖPING</t>
        </is>
      </c>
      <c r="F467" t="inlineStr">
        <is>
          <t>Allmännings- och besparingsskogar</t>
        </is>
      </c>
      <c r="G467" t="n">
        <v>3.1</v>
      </c>
      <c r="H467" t="n">
        <v>0</v>
      </c>
      <c r="I467" t="n">
        <v>0</v>
      </c>
      <c r="J467" t="n">
        <v>0</v>
      </c>
      <c r="K467" t="n">
        <v>0</v>
      </c>
      <c r="L467" t="n">
        <v>0</v>
      </c>
      <c r="M467" t="n">
        <v>0</v>
      </c>
      <c r="N467" t="n">
        <v>0</v>
      </c>
      <c r="O467" t="n">
        <v>0</v>
      </c>
      <c r="P467" t="n">
        <v>0</v>
      </c>
      <c r="Q467" t="n">
        <v>0</v>
      </c>
      <c r="R467" s="2" t="inlineStr"/>
    </row>
    <row r="468" ht="15" customHeight="1">
      <c r="A468" t="inlineStr">
        <is>
          <t>A 32346-2023</t>
        </is>
      </c>
      <c r="B468" s="1" t="n">
        <v>45120</v>
      </c>
      <c r="C468" s="1" t="n">
        <v>46179</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1627-2023</t>
        </is>
      </c>
      <c r="B469" s="1" t="n">
        <v>44937</v>
      </c>
      <c r="C469" s="1" t="n">
        <v>46179</v>
      </c>
      <c r="D469" t="inlineStr">
        <is>
          <t>ÖSTERGÖTLANDS LÄN</t>
        </is>
      </c>
      <c r="E469" t="inlineStr">
        <is>
          <t>LINKÖPING</t>
        </is>
      </c>
      <c r="G469" t="n">
        <v>10.8</v>
      </c>
      <c r="H469" t="n">
        <v>0</v>
      </c>
      <c r="I469" t="n">
        <v>0</v>
      </c>
      <c r="J469" t="n">
        <v>0</v>
      </c>
      <c r="K469" t="n">
        <v>0</v>
      </c>
      <c r="L469" t="n">
        <v>0</v>
      </c>
      <c r="M469" t="n">
        <v>0</v>
      </c>
      <c r="N469" t="n">
        <v>0</v>
      </c>
      <c r="O469" t="n">
        <v>0</v>
      </c>
      <c r="P469" t="n">
        <v>0</v>
      </c>
      <c r="Q469" t="n">
        <v>0</v>
      </c>
      <c r="R469" s="2" t="inlineStr"/>
    </row>
    <row r="470" ht="15" customHeight="1">
      <c r="A470" t="inlineStr">
        <is>
          <t>A 16665-2023</t>
        </is>
      </c>
      <c r="B470" s="1" t="n">
        <v>45030.5583912037</v>
      </c>
      <c r="C470" s="1" t="n">
        <v>46179</v>
      </c>
      <c r="D470" t="inlineStr">
        <is>
          <t>ÖSTERGÖTLANDS LÄN</t>
        </is>
      </c>
      <c r="E470" t="inlineStr">
        <is>
          <t>LINKÖPING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60860-2024</t>
        </is>
      </c>
      <c r="B471" s="1" t="n">
        <v>45644.6893287037</v>
      </c>
      <c r="C471" s="1" t="n">
        <v>46179</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31640-2023</t>
        </is>
      </c>
      <c r="B472" s="1" t="n">
        <v>45117</v>
      </c>
      <c r="C472" s="1" t="n">
        <v>46179</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16213-2025</t>
        </is>
      </c>
      <c r="B473" s="1" t="n">
        <v>45750.62740740741</v>
      </c>
      <c r="C473" s="1" t="n">
        <v>46179</v>
      </c>
      <c r="D473" t="inlineStr">
        <is>
          <t>ÖSTERGÖTLANDS LÄN</t>
        </is>
      </c>
      <c r="E473" t="inlineStr">
        <is>
          <t>LINKÖPING</t>
        </is>
      </c>
      <c r="G473" t="n">
        <v>3.4</v>
      </c>
      <c r="H473" t="n">
        <v>0</v>
      </c>
      <c r="I473" t="n">
        <v>0</v>
      </c>
      <c r="J473" t="n">
        <v>0</v>
      </c>
      <c r="K473" t="n">
        <v>0</v>
      </c>
      <c r="L473" t="n">
        <v>0</v>
      </c>
      <c r="M473" t="n">
        <v>0</v>
      </c>
      <c r="N473" t="n">
        <v>0</v>
      </c>
      <c r="O473" t="n">
        <v>0</v>
      </c>
      <c r="P473" t="n">
        <v>0</v>
      </c>
      <c r="Q473" t="n">
        <v>0</v>
      </c>
      <c r="R473" s="2" t="inlineStr"/>
    </row>
    <row r="474" ht="15" customHeight="1">
      <c r="A474" t="inlineStr">
        <is>
          <t>A 34872-2023</t>
        </is>
      </c>
      <c r="B474" s="1" t="n">
        <v>45140</v>
      </c>
      <c r="C474" s="1" t="n">
        <v>46179</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33000-2023</t>
        </is>
      </c>
      <c r="B475" s="1" t="n">
        <v>45125</v>
      </c>
      <c r="C475" s="1" t="n">
        <v>46179</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22070-2026</t>
        </is>
      </c>
      <c r="B476" s="1" t="n">
        <v>46153.49255787037</v>
      </c>
      <c r="C476" s="1" t="n">
        <v>46179</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2997-2025</t>
        </is>
      </c>
      <c r="B477" s="1" t="n">
        <v>45678.54631944445</v>
      </c>
      <c r="C477" s="1" t="n">
        <v>46179</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31534-2023</t>
        </is>
      </c>
      <c r="B478" s="1" t="n">
        <v>45116</v>
      </c>
      <c r="C478" s="1" t="n">
        <v>46179</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22272-2026</t>
        </is>
      </c>
      <c r="B479" s="1" t="n">
        <v>46154.41445601852</v>
      </c>
      <c r="C479" s="1" t="n">
        <v>46179</v>
      </c>
      <c r="D479" t="inlineStr">
        <is>
          <t>ÖSTERGÖTLANDS LÄN</t>
        </is>
      </c>
      <c r="E479" t="inlineStr">
        <is>
          <t>LINKÖPING</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22286-2026</t>
        </is>
      </c>
      <c r="B480" s="1" t="n">
        <v>46154.43436342593</v>
      </c>
      <c r="C480" s="1" t="n">
        <v>46179</v>
      </c>
      <c r="D480" t="inlineStr">
        <is>
          <t>ÖSTERGÖTLANDS LÄN</t>
        </is>
      </c>
      <c r="E480" t="inlineStr">
        <is>
          <t>LINKÖPING</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26803-2024</t>
        </is>
      </c>
      <c r="B481" s="1" t="n">
        <v>45470</v>
      </c>
      <c r="C481" s="1" t="n">
        <v>46179</v>
      </c>
      <c r="D481" t="inlineStr">
        <is>
          <t>ÖSTERGÖTLANDS LÄN</t>
        </is>
      </c>
      <c r="E481" t="inlineStr">
        <is>
          <t>LINKÖPING</t>
        </is>
      </c>
      <c r="F481" t="inlineStr">
        <is>
          <t>Allmännings- och besparingsskogar</t>
        </is>
      </c>
      <c r="G481" t="n">
        <v>4.5</v>
      </c>
      <c r="H481" t="n">
        <v>0</v>
      </c>
      <c r="I481" t="n">
        <v>0</v>
      </c>
      <c r="J481" t="n">
        <v>0</v>
      </c>
      <c r="K481" t="n">
        <v>0</v>
      </c>
      <c r="L481" t="n">
        <v>0</v>
      </c>
      <c r="M481" t="n">
        <v>0</v>
      </c>
      <c r="N481" t="n">
        <v>0</v>
      </c>
      <c r="O481" t="n">
        <v>0</v>
      </c>
      <c r="P481" t="n">
        <v>0</v>
      </c>
      <c r="Q481" t="n">
        <v>0</v>
      </c>
      <c r="R481" s="2" t="inlineStr"/>
    </row>
    <row r="482" ht="15" customHeight="1">
      <c r="A482" t="inlineStr">
        <is>
          <t>A 22289-2026</t>
        </is>
      </c>
      <c r="B482" s="1" t="n">
        <v>46154.43842592592</v>
      </c>
      <c r="C482" s="1" t="n">
        <v>46179</v>
      </c>
      <c r="D482" t="inlineStr">
        <is>
          <t>ÖSTERGÖTLANDS LÄN</t>
        </is>
      </c>
      <c r="E482" t="inlineStr">
        <is>
          <t>LINKÖPING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45806-2024</t>
        </is>
      </c>
      <c r="B483" s="1" t="n">
        <v>45579.69619212963</v>
      </c>
      <c r="C483" s="1" t="n">
        <v>46179</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22271-2026</t>
        </is>
      </c>
      <c r="B484" s="1" t="n">
        <v>46154.41280092593</v>
      </c>
      <c r="C484" s="1" t="n">
        <v>46179</v>
      </c>
      <c r="D484" t="inlineStr">
        <is>
          <t>ÖSTERGÖTLANDS LÄN</t>
        </is>
      </c>
      <c r="E484" t="inlineStr">
        <is>
          <t>LINKÖPING</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37154-2023</t>
        </is>
      </c>
      <c r="B485" s="1" t="n">
        <v>45155</v>
      </c>
      <c r="C485" s="1" t="n">
        <v>46179</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22282-2026</t>
        </is>
      </c>
      <c r="B486" s="1" t="n">
        <v>46154.42961805555</v>
      </c>
      <c r="C486" s="1" t="n">
        <v>46179</v>
      </c>
      <c r="D486" t="inlineStr">
        <is>
          <t>ÖSTERGÖTLANDS LÄN</t>
        </is>
      </c>
      <c r="E486" t="inlineStr">
        <is>
          <t>LINKÖPING</t>
        </is>
      </c>
      <c r="F486" t="inlineStr">
        <is>
          <t>Sveaskog</t>
        </is>
      </c>
      <c r="G486" t="n">
        <v>6.7</v>
      </c>
      <c r="H486" t="n">
        <v>0</v>
      </c>
      <c r="I486" t="n">
        <v>0</v>
      </c>
      <c r="J486" t="n">
        <v>0</v>
      </c>
      <c r="K486" t="n">
        <v>0</v>
      </c>
      <c r="L486" t="n">
        <v>0</v>
      </c>
      <c r="M486" t="n">
        <v>0</v>
      </c>
      <c r="N486" t="n">
        <v>0</v>
      </c>
      <c r="O486" t="n">
        <v>0</v>
      </c>
      <c r="P486" t="n">
        <v>0</v>
      </c>
      <c r="Q486" t="n">
        <v>0</v>
      </c>
      <c r="R486" s="2" t="inlineStr"/>
    </row>
    <row r="487" ht="15" customHeight="1">
      <c r="A487" t="inlineStr">
        <is>
          <t>A 11330-2023</t>
        </is>
      </c>
      <c r="B487" s="1" t="n">
        <v>44993.24648148148</v>
      </c>
      <c r="C487" s="1" t="n">
        <v>46179</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42000-2023</t>
        </is>
      </c>
      <c r="B488" s="1" t="n">
        <v>45177</v>
      </c>
      <c r="C488" s="1" t="n">
        <v>46179</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16967-2026</t>
        </is>
      </c>
      <c r="B489" s="1" t="n">
        <v>46114.36207175926</v>
      </c>
      <c r="C489" s="1" t="n">
        <v>46179</v>
      </c>
      <c r="D489" t="inlineStr">
        <is>
          <t>ÖSTERGÖTLANDS LÄN</t>
        </is>
      </c>
      <c r="E489" t="inlineStr">
        <is>
          <t>LINKÖPING</t>
        </is>
      </c>
      <c r="F489" t="inlineStr">
        <is>
          <t>Sveaskog</t>
        </is>
      </c>
      <c r="G489" t="n">
        <v>3.4</v>
      </c>
      <c r="H489" t="n">
        <v>0</v>
      </c>
      <c r="I489" t="n">
        <v>0</v>
      </c>
      <c r="J489" t="n">
        <v>0</v>
      </c>
      <c r="K489" t="n">
        <v>0</v>
      </c>
      <c r="L489" t="n">
        <v>0</v>
      </c>
      <c r="M489" t="n">
        <v>0</v>
      </c>
      <c r="N489" t="n">
        <v>0</v>
      </c>
      <c r="O489" t="n">
        <v>0</v>
      </c>
      <c r="P489" t="n">
        <v>0</v>
      </c>
      <c r="Q489" t="n">
        <v>0</v>
      </c>
      <c r="R489" s="2" t="inlineStr"/>
    </row>
    <row r="490" ht="15" customHeight="1">
      <c r="A490" t="inlineStr">
        <is>
          <t>A 32602-2022</t>
        </is>
      </c>
      <c r="B490" s="1" t="n">
        <v>44783.43192129629</v>
      </c>
      <c r="C490" s="1" t="n">
        <v>46179</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13413-2023</t>
        </is>
      </c>
      <c r="B491" s="1" t="n">
        <v>45005.58341435185</v>
      </c>
      <c r="C491" s="1" t="n">
        <v>46179</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63528-2023</t>
        </is>
      </c>
      <c r="B492" s="1" t="n">
        <v>45274.94810185185</v>
      </c>
      <c r="C492" s="1" t="n">
        <v>46179</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63638-2023</t>
        </is>
      </c>
      <c r="B493" s="1" t="n">
        <v>45275</v>
      </c>
      <c r="C493" s="1" t="n">
        <v>46179</v>
      </c>
      <c r="D493" t="inlineStr">
        <is>
          <t>ÖSTERGÖTLANDS LÄN</t>
        </is>
      </c>
      <c r="E493" t="inlineStr">
        <is>
          <t>LINKÖPING</t>
        </is>
      </c>
      <c r="F493" t="inlineStr">
        <is>
          <t>Övriga Aktiebolag</t>
        </is>
      </c>
      <c r="G493" t="n">
        <v>2.4</v>
      </c>
      <c r="H493" t="n">
        <v>0</v>
      </c>
      <c r="I493" t="n">
        <v>0</v>
      </c>
      <c r="J493" t="n">
        <v>0</v>
      </c>
      <c r="K493" t="n">
        <v>0</v>
      </c>
      <c r="L493" t="n">
        <v>0</v>
      </c>
      <c r="M493" t="n">
        <v>0</v>
      </c>
      <c r="N493" t="n">
        <v>0</v>
      </c>
      <c r="O493" t="n">
        <v>0</v>
      </c>
      <c r="P493" t="n">
        <v>0</v>
      </c>
      <c r="Q493" t="n">
        <v>0</v>
      </c>
      <c r="R493" s="2" t="inlineStr"/>
    </row>
    <row r="494" ht="15" customHeight="1">
      <c r="A494" t="inlineStr">
        <is>
          <t>A 63658-2023</t>
        </is>
      </c>
      <c r="B494" s="1" t="n">
        <v>45275</v>
      </c>
      <c r="C494" s="1" t="n">
        <v>46179</v>
      </c>
      <c r="D494" t="inlineStr">
        <is>
          <t>ÖSTERGÖTLANDS LÄN</t>
        </is>
      </c>
      <c r="E494" t="inlineStr">
        <is>
          <t>LINKÖPING</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7808-2022</t>
        </is>
      </c>
      <c r="B495" s="1" t="n">
        <v>44608</v>
      </c>
      <c r="C495" s="1" t="n">
        <v>46179</v>
      </c>
      <c r="D495" t="inlineStr">
        <is>
          <t>ÖSTERGÖTLANDS LÄN</t>
        </is>
      </c>
      <c r="E495" t="inlineStr">
        <is>
          <t>LINKÖPING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36336-2023</t>
        </is>
      </c>
      <c r="B496" s="1" t="n">
        <v>45152.45078703704</v>
      </c>
      <c r="C496" s="1" t="n">
        <v>46179</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56623-2024</t>
        </is>
      </c>
      <c r="B497" s="1" t="n">
        <v>45625</v>
      </c>
      <c r="C497" s="1" t="n">
        <v>46179</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13011-2022</t>
        </is>
      </c>
      <c r="B498" s="1" t="n">
        <v>44643</v>
      </c>
      <c r="C498" s="1" t="n">
        <v>46179</v>
      </c>
      <c r="D498" t="inlineStr">
        <is>
          <t>ÖSTERGÖTLANDS LÄN</t>
        </is>
      </c>
      <c r="E498" t="inlineStr">
        <is>
          <t>LINKÖPING</t>
        </is>
      </c>
      <c r="G498" t="n">
        <v>3.7</v>
      </c>
      <c r="H498" t="n">
        <v>0</v>
      </c>
      <c r="I498" t="n">
        <v>0</v>
      </c>
      <c r="J498" t="n">
        <v>0</v>
      </c>
      <c r="K498" t="n">
        <v>0</v>
      </c>
      <c r="L498" t="n">
        <v>0</v>
      </c>
      <c r="M498" t="n">
        <v>0</v>
      </c>
      <c r="N498" t="n">
        <v>0</v>
      </c>
      <c r="O498" t="n">
        <v>0</v>
      </c>
      <c r="P498" t="n">
        <v>0</v>
      </c>
      <c r="Q498" t="n">
        <v>0</v>
      </c>
      <c r="R498" s="2" t="inlineStr"/>
    </row>
    <row r="499" ht="15" customHeight="1">
      <c r="A499" t="inlineStr">
        <is>
          <t>A 36336-2022</t>
        </is>
      </c>
      <c r="B499" s="1" t="n">
        <v>44803</v>
      </c>
      <c r="C499" s="1" t="n">
        <v>46179</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48839-2022</t>
        </is>
      </c>
      <c r="B500" s="1" t="n">
        <v>44859</v>
      </c>
      <c r="C500" s="1" t="n">
        <v>46179</v>
      </c>
      <c r="D500" t="inlineStr">
        <is>
          <t>ÖSTERGÖTLANDS LÄN</t>
        </is>
      </c>
      <c r="E500" t="inlineStr">
        <is>
          <t>LINKÖPING</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6387-2022</t>
        </is>
      </c>
      <c r="B501" s="1" t="n">
        <v>44600</v>
      </c>
      <c r="C501" s="1" t="n">
        <v>46179</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34641-2022</t>
        </is>
      </c>
      <c r="B502" s="1" t="n">
        <v>44795</v>
      </c>
      <c r="C502" s="1" t="n">
        <v>46179</v>
      </c>
      <c r="D502" t="inlineStr">
        <is>
          <t>ÖSTERGÖTLANDS LÄN</t>
        </is>
      </c>
      <c r="E502" t="inlineStr">
        <is>
          <t>LINKÖPING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13687-2025</t>
        </is>
      </c>
      <c r="B503" s="1" t="n">
        <v>45737.31425925926</v>
      </c>
      <c r="C503" s="1" t="n">
        <v>46179</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13695-2025</t>
        </is>
      </c>
      <c r="B504" s="1" t="n">
        <v>45737.32219907407</v>
      </c>
      <c r="C504" s="1" t="n">
        <v>46179</v>
      </c>
      <c r="D504" t="inlineStr">
        <is>
          <t>ÖSTERGÖTLANDS LÄN</t>
        </is>
      </c>
      <c r="E504" t="inlineStr">
        <is>
          <t>LINKÖPING</t>
        </is>
      </c>
      <c r="G504" t="n">
        <v>5.3</v>
      </c>
      <c r="H504" t="n">
        <v>0</v>
      </c>
      <c r="I504" t="n">
        <v>0</v>
      </c>
      <c r="J504" t="n">
        <v>0</v>
      </c>
      <c r="K504" t="n">
        <v>0</v>
      </c>
      <c r="L504" t="n">
        <v>0</v>
      </c>
      <c r="M504" t="n">
        <v>0</v>
      </c>
      <c r="N504" t="n">
        <v>0</v>
      </c>
      <c r="O504" t="n">
        <v>0</v>
      </c>
      <c r="P504" t="n">
        <v>0</v>
      </c>
      <c r="Q504" t="n">
        <v>0</v>
      </c>
      <c r="R504" s="2" t="inlineStr"/>
    </row>
    <row r="505" ht="15" customHeight="1">
      <c r="A505" t="inlineStr">
        <is>
          <t>A 52413-2023</t>
        </is>
      </c>
      <c r="B505" s="1" t="n">
        <v>45225.27950231481</v>
      </c>
      <c r="C505" s="1" t="n">
        <v>46179</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53797-2023</t>
        </is>
      </c>
      <c r="B506" s="1" t="n">
        <v>45230</v>
      </c>
      <c r="C506" s="1" t="n">
        <v>46179</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22833-2023</t>
        </is>
      </c>
      <c r="B507" s="1" t="n">
        <v>45071</v>
      </c>
      <c r="C507" s="1" t="n">
        <v>46179</v>
      </c>
      <c r="D507" t="inlineStr">
        <is>
          <t>ÖSTERGÖTLANDS LÄN</t>
        </is>
      </c>
      <c r="E507" t="inlineStr">
        <is>
          <t>LINKÖPING</t>
        </is>
      </c>
      <c r="F507" t="inlineStr">
        <is>
          <t>Kommuner</t>
        </is>
      </c>
      <c r="G507" t="n">
        <v>1</v>
      </c>
      <c r="H507" t="n">
        <v>0</v>
      </c>
      <c r="I507" t="n">
        <v>0</v>
      </c>
      <c r="J507" t="n">
        <v>0</v>
      </c>
      <c r="K507" t="n">
        <v>0</v>
      </c>
      <c r="L507" t="n">
        <v>0</v>
      </c>
      <c r="M507" t="n">
        <v>0</v>
      </c>
      <c r="N507" t="n">
        <v>0</v>
      </c>
      <c r="O507" t="n">
        <v>0</v>
      </c>
      <c r="P507" t="n">
        <v>0</v>
      </c>
      <c r="Q507" t="n">
        <v>0</v>
      </c>
      <c r="R507" s="2" t="inlineStr"/>
    </row>
    <row r="508" ht="15" customHeight="1">
      <c r="A508" t="inlineStr">
        <is>
          <t>A 17898-2022</t>
        </is>
      </c>
      <c r="B508" s="1" t="n">
        <v>44683</v>
      </c>
      <c r="C508" s="1" t="n">
        <v>46179</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62017-2024</t>
        </is>
      </c>
      <c r="B509" s="1" t="n">
        <v>45655.81140046296</v>
      </c>
      <c r="C509" s="1" t="n">
        <v>46179</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12411-2022</t>
        </is>
      </c>
      <c r="B510" s="1" t="n">
        <v>44638.21601851852</v>
      </c>
      <c r="C510" s="1" t="n">
        <v>46179</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10492-2022</t>
        </is>
      </c>
      <c r="B511" s="1" t="n">
        <v>44623.6377199074</v>
      </c>
      <c r="C511" s="1" t="n">
        <v>46179</v>
      </c>
      <c r="D511" t="inlineStr">
        <is>
          <t>ÖSTERGÖTLANDS LÄN</t>
        </is>
      </c>
      <c r="E511" t="inlineStr">
        <is>
          <t>LINKÖPING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7343-2025</t>
        </is>
      </c>
      <c r="B512" s="1" t="n">
        <v>45703.67853009259</v>
      </c>
      <c r="C512" s="1" t="n">
        <v>46179</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35427-2023</t>
        </is>
      </c>
      <c r="B513" s="1" t="n">
        <v>45146</v>
      </c>
      <c r="C513" s="1" t="n">
        <v>46179</v>
      </c>
      <c r="D513" t="inlineStr">
        <is>
          <t>ÖSTERGÖTLANDS LÄN</t>
        </is>
      </c>
      <c r="E513" t="inlineStr">
        <is>
          <t>LINKÖPING</t>
        </is>
      </c>
      <c r="F513" t="inlineStr">
        <is>
          <t>Övriga Aktiebolag</t>
        </is>
      </c>
      <c r="G513" t="n">
        <v>2.5</v>
      </c>
      <c r="H513" t="n">
        <v>0</v>
      </c>
      <c r="I513" t="n">
        <v>0</v>
      </c>
      <c r="J513" t="n">
        <v>0</v>
      </c>
      <c r="K513" t="n">
        <v>0</v>
      </c>
      <c r="L513" t="n">
        <v>0</v>
      </c>
      <c r="M513" t="n">
        <v>0</v>
      </c>
      <c r="N513" t="n">
        <v>0</v>
      </c>
      <c r="O513" t="n">
        <v>0</v>
      </c>
      <c r="P513" t="n">
        <v>0</v>
      </c>
      <c r="Q513" t="n">
        <v>0</v>
      </c>
      <c r="R513" s="2" t="inlineStr"/>
    </row>
    <row r="514" ht="15" customHeight="1">
      <c r="A514" t="inlineStr">
        <is>
          <t>A 30468-2023</t>
        </is>
      </c>
      <c r="B514" s="1" t="n">
        <v>45111.58732638889</v>
      </c>
      <c r="C514" s="1" t="n">
        <v>46179</v>
      </c>
      <c r="D514" t="inlineStr">
        <is>
          <t>ÖSTERGÖTLANDS LÄN</t>
        </is>
      </c>
      <c r="E514" t="inlineStr">
        <is>
          <t>LINKÖPING</t>
        </is>
      </c>
      <c r="G514" t="n">
        <v>10.1</v>
      </c>
      <c r="H514" t="n">
        <v>0</v>
      </c>
      <c r="I514" t="n">
        <v>0</v>
      </c>
      <c r="J514" t="n">
        <v>0</v>
      </c>
      <c r="K514" t="n">
        <v>0</v>
      </c>
      <c r="L514" t="n">
        <v>0</v>
      </c>
      <c r="M514" t="n">
        <v>0</v>
      </c>
      <c r="N514" t="n">
        <v>0</v>
      </c>
      <c r="O514" t="n">
        <v>0</v>
      </c>
      <c r="P514" t="n">
        <v>0</v>
      </c>
      <c r="Q514" t="n">
        <v>0</v>
      </c>
      <c r="R514" s="2" t="inlineStr"/>
    </row>
    <row r="515" ht="15" customHeight="1">
      <c r="A515" t="inlineStr">
        <is>
          <t>A 20296-2025</t>
        </is>
      </c>
      <c r="B515" s="1" t="n">
        <v>45774.74922453704</v>
      </c>
      <c r="C515" s="1" t="n">
        <v>46179</v>
      </c>
      <c r="D515" t="inlineStr">
        <is>
          <t>ÖSTERGÖTLANDS LÄN</t>
        </is>
      </c>
      <c r="E515" t="inlineStr">
        <is>
          <t>LINKÖPING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56841-2023</t>
        </is>
      </c>
      <c r="B516" s="1" t="n">
        <v>45244</v>
      </c>
      <c r="C516" s="1" t="n">
        <v>46179</v>
      </c>
      <c r="D516" t="inlineStr">
        <is>
          <t>ÖSTERGÖTLANDS LÄN</t>
        </is>
      </c>
      <c r="E516" t="inlineStr">
        <is>
          <t>LINKÖPING</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53812-2023</t>
        </is>
      </c>
      <c r="B517" s="1" t="n">
        <v>45231.39583333334</v>
      </c>
      <c r="C517" s="1" t="n">
        <v>46179</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53830-2023</t>
        </is>
      </c>
      <c r="B518" s="1" t="n">
        <v>45230</v>
      </c>
      <c r="C518" s="1" t="n">
        <v>46179</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38715-2023</t>
        </is>
      </c>
      <c r="B519" s="1" t="n">
        <v>45160</v>
      </c>
      <c r="C519" s="1" t="n">
        <v>46179</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27766-2022</t>
        </is>
      </c>
      <c r="B520" s="1" t="n">
        <v>44743.53112268518</v>
      </c>
      <c r="C520" s="1" t="n">
        <v>46179</v>
      </c>
      <c r="D520" t="inlineStr">
        <is>
          <t>ÖSTERGÖTLANDS LÄN</t>
        </is>
      </c>
      <c r="E520" t="inlineStr">
        <is>
          <t>LINKÖPING</t>
        </is>
      </c>
      <c r="G520" t="n">
        <v>2</v>
      </c>
      <c r="H520" t="n">
        <v>0</v>
      </c>
      <c r="I520" t="n">
        <v>0</v>
      </c>
      <c r="J520" t="n">
        <v>0</v>
      </c>
      <c r="K520" t="n">
        <v>0</v>
      </c>
      <c r="L520" t="n">
        <v>0</v>
      </c>
      <c r="M520" t="n">
        <v>0</v>
      </c>
      <c r="N520" t="n">
        <v>0</v>
      </c>
      <c r="O520" t="n">
        <v>0</v>
      </c>
      <c r="P520" t="n">
        <v>0</v>
      </c>
      <c r="Q520" t="n">
        <v>0</v>
      </c>
      <c r="R520" s="2" t="inlineStr"/>
    </row>
    <row r="521" ht="15" customHeight="1">
      <c r="A521" t="inlineStr">
        <is>
          <t>A 48271-2023</t>
        </is>
      </c>
      <c r="B521" s="1" t="n">
        <v>45205</v>
      </c>
      <c r="C521" s="1" t="n">
        <v>46179</v>
      </c>
      <c r="D521" t="inlineStr">
        <is>
          <t>ÖSTERGÖTLANDS LÄN</t>
        </is>
      </c>
      <c r="E521" t="inlineStr">
        <is>
          <t>LINKÖPING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60001-2022</t>
        </is>
      </c>
      <c r="B522" s="1" t="n">
        <v>44909.47087962963</v>
      </c>
      <c r="C522" s="1" t="n">
        <v>46179</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1657-2024</t>
        </is>
      </c>
      <c r="B523" s="1" t="n">
        <v>45306.82501157407</v>
      </c>
      <c r="C523" s="1" t="n">
        <v>46179</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30976-2022</t>
        </is>
      </c>
      <c r="B524" s="1" t="n">
        <v>44768</v>
      </c>
      <c r="C524" s="1" t="n">
        <v>46179</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30860-2022</t>
        </is>
      </c>
      <c r="B525" s="1" t="n">
        <v>44767</v>
      </c>
      <c r="C525" s="1" t="n">
        <v>46179</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48186-2022</t>
        </is>
      </c>
      <c r="B526" s="1" t="n">
        <v>44858</v>
      </c>
      <c r="C526" s="1" t="n">
        <v>46179</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28266-2024</t>
        </is>
      </c>
      <c r="B527" s="1" t="n">
        <v>45477.43600694444</v>
      </c>
      <c r="C527" s="1" t="n">
        <v>46179</v>
      </c>
      <c r="D527" t="inlineStr">
        <is>
          <t>ÖSTERGÖTLANDS LÄN</t>
        </is>
      </c>
      <c r="E527" t="inlineStr">
        <is>
          <t>LINKÖPING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31548-2022</t>
        </is>
      </c>
      <c r="B528" s="1" t="n">
        <v>44775.39832175926</v>
      </c>
      <c r="C528" s="1" t="n">
        <v>46179</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1211-2023</t>
        </is>
      </c>
      <c r="B529" s="1" t="n">
        <v>44930</v>
      </c>
      <c r="C529" s="1" t="n">
        <v>46179</v>
      </c>
      <c r="D529" t="inlineStr">
        <is>
          <t>ÖSTERGÖTLANDS LÄN</t>
        </is>
      </c>
      <c r="E529" t="inlineStr">
        <is>
          <t>LINKÖPING</t>
        </is>
      </c>
      <c r="F529" t="inlineStr">
        <is>
          <t>Övriga statliga verk och myndigheter</t>
        </is>
      </c>
      <c r="G529" t="n">
        <v>7.9</v>
      </c>
      <c r="H529" t="n">
        <v>0</v>
      </c>
      <c r="I529" t="n">
        <v>0</v>
      </c>
      <c r="J529" t="n">
        <v>0</v>
      </c>
      <c r="K529" t="n">
        <v>0</v>
      </c>
      <c r="L529" t="n">
        <v>0</v>
      </c>
      <c r="M529" t="n">
        <v>0</v>
      </c>
      <c r="N529" t="n">
        <v>0</v>
      </c>
      <c r="O529" t="n">
        <v>0</v>
      </c>
      <c r="P529" t="n">
        <v>0</v>
      </c>
      <c r="Q529" t="n">
        <v>0</v>
      </c>
      <c r="R529" s="2" t="inlineStr"/>
    </row>
    <row r="530" ht="15" customHeight="1">
      <c r="A530" t="inlineStr">
        <is>
          <t>A 51191-2022</t>
        </is>
      </c>
      <c r="B530" s="1" t="n">
        <v>44865</v>
      </c>
      <c r="C530" s="1" t="n">
        <v>46179</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55632-2022</t>
        </is>
      </c>
      <c r="B531" s="1" t="n">
        <v>44888</v>
      </c>
      <c r="C531" s="1" t="n">
        <v>46179</v>
      </c>
      <c r="D531" t="inlineStr">
        <is>
          <t>ÖSTERGÖTLANDS LÄN</t>
        </is>
      </c>
      <c r="E531" t="inlineStr">
        <is>
          <t>LINKÖPING</t>
        </is>
      </c>
      <c r="G531" t="n">
        <v>1.8</v>
      </c>
      <c r="H531" t="n">
        <v>0</v>
      </c>
      <c r="I531" t="n">
        <v>0</v>
      </c>
      <c r="J531" t="n">
        <v>0</v>
      </c>
      <c r="K531" t="n">
        <v>0</v>
      </c>
      <c r="L531" t="n">
        <v>0</v>
      </c>
      <c r="M531" t="n">
        <v>0</v>
      </c>
      <c r="N531" t="n">
        <v>0</v>
      </c>
      <c r="O531" t="n">
        <v>0</v>
      </c>
      <c r="P531" t="n">
        <v>0</v>
      </c>
      <c r="Q531" t="n">
        <v>0</v>
      </c>
      <c r="R531" s="2" t="inlineStr"/>
    </row>
    <row r="532" ht="15" customHeight="1">
      <c r="A532" t="inlineStr">
        <is>
          <t>A 63669-2023</t>
        </is>
      </c>
      <c r="B532" s="1" t="n">
        <v>45275</v>
      </c>
      <c r="C532" s="1" t="n">
        <v>46179</v>
      </c>
      <c r="D532" t="inlineStr">
        <is>
          <t>ÖSTERGÖTLANDS LÄN</t>
        </is>
      </c>
      <c r="E532" t="inlineStr">
        <is>
          <t>LINKÖPING</t>
        </is>
      </c>
      <c r="F532" t="inlineStr">
        <is>
          <t>Övriga Aktiebolag</t>
        </is>
      </c>
      <c r="G532" t="n">
        <v>3</v>
      </c>
      <c r="H532" t="n">
        <v>0</v>
      </c>
      <c r="I532" t="n">
        <v>0</v>
      </c>
      <c r="J532" t="n">
        <v>0</v>
      </c>
      <c r="K532" t="n">
        <v>0</v>
      </c>
      <c r="L532" t="n">
        <v>0</v>
      </c>
      <c r="M532" t="n">
        <v>0</v>
      </c>
      <c r="N532" t="n">
        <v>0</v>
      </c>
      <c r="O532" t="n">
        <v>0</v>
      </c>
      <c r="P532" t="n">
        <v>0</v>
      </c>
      <c r="Q532" t="n">
        <v>0</v>
      </c>
      <c r="R532" s="2" t="inlineStr"/>
    </row>
    <row r="533" ht="15" customHeight="1">
      <c r="A533" t="inlineStr">
        <is>
          <t>A 12289-2025</t>
        </is>
      </c>
      <c r="B533" s="1" t="n">
        <v>45729</v>
      </c>
      <c r="C533" s="1" t="n">
        <v>46179</v>
      </c>
      <c r="D533" t="inlineStr">
        <is>
          <t>ÖSTERGÖTLANDS LÄN</t>
        </is>
      </c>
      <c r="E533" t="inlineStr">
        <is>
          <t>LINKÖPING</t>
        </is>
      </c>
      <c r="F533" t="inlineStr">
        <is>
          <t>Övriga statliga verk och myndigheter</t>
        </is>
      </c>
      <c r="G533" t="n">
        <v>6.5</v>
      </c>
      <c r="H533" t="n">
        <v>0</v>
      </c>
      <c r="I533" t="n">
        <v>0</v>
      </c>
      <c r="J533" t="n">
        <v>0</v>
      </c>
      <c r="K533" t="n">
        <v>0</v>
      </c>
      <c r="L533" t="n">
        <v>0</v>
      </c>
      <c r="M533" t="n">
        <v>0</v>
      </c>
      <c r="N533" t="n">
        <v>0</v>
      </c>
      <c r="O533" t="n">
        <v>0</v>
      </c>
      <c r="P533" t="n">
        <v>0</v>
      </c>
      <c r="Q533" t="n">
        <v>0</v>
      </c>
      <c r="R533" s="2" t="inlineStr"/>
    </row>
    <row r="534" ht="15" customHeight="1">
      <c r="A534" t="inlineStr">
        <is>
          <t>A 36657-2023</t>
        </is>
      </c>
      <c r="B534" s="1" t="n">
        <v>45153.5702662037</v>
      </c>
      <c r="C534" s="1" t="n">
        <v>46179</v>
      </c>
      <c r="D534" t="inlineStr">
        <is>
          <t>ÖSTERGÖTLANDS LÄN</t>
        </is>
      </c>
      <c r="E534" t="inlineStr">
        <is>
          <t>LINKÖPING</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19169-2023</t>
        </is>
      </c>
      <c r="B535" s="1" t="n">
        <v>45044</v>
      </c>
      <c r="C535" s="1" t="n">
        <v>46179</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1209-2023</t>
        </is>
      </c>
      <c r="B536" s="1" t="n">
        <v>44930</v>
      </c>
      <c r="C536" s="1" t="n">
        <v>46179</v>
      </c>
      <c r="D536" t="inlineStr">
        <is>
          <t>ÖSTERGÖTLANDS LÄN</t>
        </is>
      </c>
      <c r="E536" t="inlineStr">
        <is>
          <t>LINKÖPING</t>
        </is>
      </c>
      <c r="F536" t="inlineStr">
        <is>
          <t>Övriga statliga verk och myndigheter</t>
        </is>
      </c>
      <c r="G536" t="n">
        <v>25.8</v>
      </c>
      <c r="H536" t="n">
        <v>0</v>
      </c>
      <c r="I536" t="n">
        <v>0</v>
      </c>
      <c r="J536" t="n">
        <v>0</v>
      </c>
      <c r="K536" t="n">
        <v>0</v>
      </c>
      <c r="L536" t="n">
        <v>0</v>
      </c>
      <c r="M536" t="n">
        <v>0</v>
      </c>
      <c r="N536" t="n">
        <v>0</v>
      </c>
      <c r="O536" t="n">
        <v>0</v>
      </c>
      <c r="P536" t="n">
        <v>0</v>
      </c>
      <c r="Q536" t="n">
        <v>0</v>
      </c>
      <c r="R536" s="2" t="inlineStr"/>
    </row>
    <row r="537" ht="15" customHeight="1">
      <c r="A537" t="inlineStr">
        <is>
          <t>A 2085-2024</t>
        </is>
      </c>
      <c r="B537" s="1" t="n">
        <v>45309</v>
      </c>
      <c r="C537" s="1" t="n">
        <v>46179</v>
      </c>
      <c r="D537" t="inlineStr">
        <is>
          <t>ÖSTERGÖTLANDS LÄN</t>
        </is>
      </c>
      <c r="E537" t="inlineStr">
        <is>
          <t>LINKÖPING</t>
        </is>
      </c>
      <c r="G537" t="n">
        <v>4.5</v>
      </c>
      <c r="H537" t="n">
        <v>0</v>
      </c>
      <c r="I537" t="n">
        <v>0</v>
      </c>
      <c r="J537" t="n">
        <v>0</v>
      </c>
      <c r="K537" t="n">
        <v>0</v>
      </c>
      <c r="L537" t="n">
        <v>0</v>
      </c>
      <c r="M537" t="n">
        <v>0</v>
      </c>
      <c r="N537" t="n">
        <v>0</v>
      </c>
      <c r="O537" t="n">
        <v>0</v>
      </c>
      <c r="P537" t="n">
        <v>0</v>
      </c>
      <c r="Q537" t="n">
        <v>0</v>
      </c>
      <c r="R537" s="2" t="inlineStr"/>
    </row>
    <row r="538" ht="15" customHeight="1">
      <c r="A538" t="inlineStr">
        <is>
          <t>A 48-2024</t>
        </is>
      </c>
      <c r="B538" s="1" t="n">
        <v>45293</v>
      </c>
      <c r="C538" s="1" t="n">
        <v>46179</v>
      </c>
      <c r="D538" t="inlineStr">
        <is>
          <t>ÖSTERGÖTLANDS LÄN</t>
        </is>
      </c>
      <c r="E538" t="inlineStr">
        <is>
          <t>LINKÖPING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56560-2023</t>
        </is>
      </c>
      <c r="B539" s="1" t="n">
        <v>45238</v>
      </c>
      <c r="C539" s="1" t="n">
        <v>46179</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19132-2023</t>
        </is>
      </c>
      <c r="B540" s="1" t="n">
        <v>45048.54754629629</v>
      </c>
      <c r="C540" s="1" t="n">
        <v>46179</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17513-2026</t>
        </is>
      </c>
      <c r="B541" s="1" t="n">
        <v>46120</v>
      </c>
      <c r="C541" s="1" t="n">
        <v>46179</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52412-2023</t>
        </is>
      </c>
      <c r="B542" s="1" t="n">
        <v>45225.27888888889</v>
      </c>
      <c r="C542" s="1" t="n">
        <v>46179</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62492-2023</t>
        </is>
      </c>
      <c r="B543" s="1" t="n">
        <v>45268.58987268519</v>
      </c>
      <c r="C543" s="1" t="n">
        <v>46179</v>
      </c>
      <c r="D543" t="inlineStr">
        <is>
          <t>ÖSTERGÖTLANDS LÄN</t>
        </is>
      </c>
      <c r="E543" t="inlineStr">
        <is>
          <t>LINKÖPING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38230-2023</t>
        </is>
      </c>
      <c r="B544" s="1" t="n">
        <v>45161.55373842592</v>
      </c>
      <c r="C544" s="1" t="n">
        <v>46179</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56756-2023</t>
        </is>
      </c>
      <c r="B545" s="1" t="n">
        <v>45244</v>
      </c>
      <c r="C545" s="1" t="n">
        <v>46179</v>
      </c>
      <c r="D545" t="inlineStr">
        <is>
          <t>ÖSTERGÖTLANDS LÄN</t>
        </is>
      </c>
      <c r="E545" t="inlineStr">
        <is>
          <t>LINKÖPING</t>
        </is>
      </c>
      <c r="F545" t="inlineStr">
        <is>
          <t>Övriga Aktiebolag</t>
        </is>
      </c>
      <c r="G545" t="n">
        <v>0.8</v>
      </c>
      <c r="H545" t="n">
        <v>0</v>
      </c>
      <c r="I545" t="n">
        <v>0</v>
      </c>
      <c r="J545" t="n">
        <v>0</v>
      </c>
      <c r="K545" t="n">
        <v>0</v>
      </c>
      <c r="L545" t="n">
        <v>0</v>
      </c>
      <c r="M545" t="n">
        <v>0</v>
      </c>
      <c r="N545" t="n">
        <v>0</v>
      </c>
      <c r="O545" t="n">
        <v>0</v>
      </c>
      <c r="P545" t="n">
        <v>0</v>
      </c>
      <c r="Q545" t="n">
        <v>0</v>
      </c>
      <c r="R545" s="2" t="inlineStr"/>
    </row>
    <row r="546" ht="15" customHeight="1">
      <c r="A546" t="inlineStr">
        <is>
          <t>A 11590-2023</t>
        </is>
      </c>
      <c r="B546" s="1" t="n">
        <v>44994.36689814815</v>
      </c>
      <c r="C546" s="1" t="n">
        <v>46179</v>
      </c>
      <c r="D546" t="inlineStr">
        <is>
          <t>ÖSTERGÖTLANDS LÄN</t>
        </is>
      </c>
      <c r="E546" t="inlineStr">
        <is>
          <t>LINKÖPING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10461-2023</t>
        </is>
      </c>
      <c r="B547" s="1" t="n">
        <v>44987.5969212963</v>
      </c>
      <c r="C547" s="1" t="n">
        <v>46179</v>
      </c>
      <c r="D547" t="inlineStr">
        <is>
          <t>ÖSTERGÖTLANDS LÄN</t>
        </is>
      </c>
      <c r="E547" t="inlineStr">
        <is>
          <t>LINKÖPING</t>
        </is>
      </c>
      <c r="G547" t="n">
        <v>7.8</v>
      </c>
      <c r="H547" t="n">
        <v>0</v>
      </c>
      <c r="I547" t="n">
        <v>0</v>
      </c>
      <c r="J547" t="n">
        <v>0</v>
      </c>
      <c r="K547" t="n">
        <v>0</v>
      </c>
      <c r="L547" t="n">
        <v>0</v>
      </c>
      <c r="M547" t="n">
        <v>0</v>
      </c>
      <c r="N547" t="n">
        <v>0</v>
      </c>
      <c r="O547" t="n">
        <v>0</v>
      </c>
      <c r="P547" t="n">
        <v>0</v>
      </c>
      <c r="Q547" t="n">
        <v>0</v>
      </c>
      <c r="R547" s="2" t="inlineStr"/>
    </row>
    <row r="548" ht="15" customHeight="1">
      <c r="A548" t="inlineStr">
        <is>
          <t>A 41345-2021</t>
        </is>
      </c>
      <c r="B548" s="1" t="n">
        <v>44424.61851851852</v>
      </c>
      <c r="C548" s="1" t="n">
        <v>46179</v>
      </c>
      <c r="D548" t="inlineStr">
        <is>
          <t>ÖSTERGÖTLANDS LÄN</t>
        </is>
      </c>
      <c r="E548" t="inlineStr">
        <is>
          <t>LINKÖPING</t>
        </is>
      </c>
      <c r="F548" t="inlineStr">
        <is>
          <t>Sveaskog</t>
        </is>
      </c>
      <c r="G548" t="n">
        <v>6.3</v>
      </c>
      <c r="H548" t="n">
        <v>0</v>
      </c>
      <c r="I548" t="n">
        <v>0</v>
      </c>
      <c r="J548" t="n">
        <v>0</v>
      </c>
      <c r="K548" t="n">
        <v>0</v>
      </c>
      <c r="L548" t="n">
        <v>0</v>
      </c>
      <c r="M548" t="n">
        <v>0</v>
      </c>
      <c r="N548" t="n">
        <v>0</v>
      </c>
      <c r="O548" t="n">
        <v>0</v>
      </c>
      <c r="P548" t="n">
        <v>0</v>
      </c>
      <c r="Q548" t="n">
        <v>0</v>
      </c>
      <c r="R548" s="2" t="inlineStr"/>
    </row>
    <row r="549" ht="15" customHeight="1">
      <c r="A549" t="inlineStr">
        <is>
          <t>A 61307-2021</t>
        </is>
      </c>
      <c r="B549" s="1" t="n">
        <v>44498.63928240741</v>
      </c>
      <c r="C549" s="1" t="n">
        <v>46179</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61325-2021</t>
        </is>
      </c>
      <c r="B550" s="1" t="n">
        <v>44498.66814814815</v>
      </c>
      <c r="C550" s="1" t="n">
        <v>46179</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60010-2022</t>
        </is>
      </c>
      <c r="B551" s="1" t="n">
        <v>44909.4740625</v>
      </c>
      <c r="C551" s="1" t="n">
        <v>46179</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30518-2024</t>
        </is>
      </c>
      <c r="B552" s="1" t="n">
        <v>45492</v>
      </c>
      <c r="C552" s="1" t="n">
        <v>46179</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4908-2023</t>
        </is>
      </c>
      <c r="B553" s="1" t="n">
        <v>44958</v>
      </c>
      <c r="C553" s="1" t="n">
        <v>46179</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37715-2022</t>
        </is>
      </c>
      <c r="B554" s="1" t="n">
        <v>44810</v>
      </c>
      <c r="C554" s="1" t="n">
        <v>46179</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3011-2023</t>
        </is>
      </c>
      <c r="B555" s="1" t="n">
        <v>44945</v>
      </c>
      <c r="C555" s="1" t="n">
        <v>46179</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3432-2023</t>
        </is>
      </c>
      <c r="B556" s="1" t="n">
        <v>44949</v>
      </c>
      <c r="C556" s="1" t="n">
        <v>46179</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60472-2022</t>
        </is>
      </c>
      <c r="B557" s="1" t="n">
        <v>44911.41037037037</v>
      </c>
      <c r="C557" s="1" t="n">
        <v>46179</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12720-2022</t>
        </is>
      </c>
      <c r="B558" s="1" t="n">
        <v>44641</v>
      </c>
      <c r="C558" s="1" t="n">
        <v>46179</v>
      </c>
      <c r="D558" t="inlineStr">
        <is>
          <t>ÖSTERGÖTLANDS LÄN</t>
        </is>
      </c>
      <c r="E558" t="inlineStr">
        <is>
          <t>LINKÖPING</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45831-2024</t>
        </is>
      </c>
      <c r="B559" s="1" t="n">
        <v>45579.90508101852</v>
      </c>
      <c r="C559" s="1" t="n">
        <v>46179</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21247-2026</t>
        </is>
      </c>
      <c r="B560" s="1" t="n">
        <v>46147.36827546296</v>
      </c>
      <c r="C560" s="1" t="n">
        <v>46179</v>
      </c>
      <c r="D560" t="inlineStr">
        <is>
          <t>ÖSTERGÖTLANDS LÄN</t>
        </is>
      </c>
      <c r="E560" t="inlineStr">
        <is>
          <t>LINKÖPING</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57396-2021</t>
        </is>
      </c>
      <c r="B561" s="1" t="n">
        <v>44483.56151620371</v>
      </c>
      <c r="C561" s="1" t="n">
        <v>46179</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22842-2023</t>
        </is>
      </c>
      <c r="B562" s="1" t="n">
        <v>45071</v>
      </c>
      <c r="C562" s="1" t="n">
        <v>46179</v>
      </c>
      <c r="D562" t="inlineStr">
        <is>
          <t>ÖSTERGÖTLANDS LÄN</t>
        </is>
      </c>
      <c r="E562" t="inlineStr">
        <is>
          <t>LINKÖPING</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50386-2021</t>
        </is>
      </c>
      <c r="B563" s="1" t="n">
        <v>44459</v>
      </c>
      <c r="C563" s="1" t="n">
        <v>46179</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35781-2023</t>
        </is>
      </c>
      <c r="B564" s="1" t="n">
        <v>45147</v>
      </c>
      <c r="C564" s="1" t="n">
        <v>46179</v>
      </c>
      <c r="D564" t="inlineStr">
        <is>
          <t>ÖSTERGÖTLANDS LÄN</t>
        </is>
      </c>
      <c r="E564" t="inlineStr">
        <is>
          <t>LINKÖPING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22770-2024</t>
        </is>
      </c>
      <c r="B565" s="1" t="n">
        <v>45448.4634375</v>
      </c>
      <c r="C565" s="1" t="n">
        <v>46179</v>
      </c>
      <c r="D565" t="inlineStr">
        <is>
          <t>ÖSTERGÖTLANDS LÄN</t>
        </is>
      </c>
      <c r="E565" t="inlineStr">
        <is>
          <t>LINKÖPING</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11671-2023</t>
        </is>
      </c>
      <c r="B566" s="1" t="n">
        <v>44994.48125</v>
      </c>
      <c r="C566" s="1" t="n">
        <v>46179</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54425-2022</t>
        </is>
      </c>
      <c r="B567" s="1" t="n">
        <v>44882.57453703704</v>
      </c>
      <c r="C567" s="1" t="n">
        <v>46179</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30547-2023</t>
        </is>
      </c>
      <c r="B568" s="1" t="n">
        <v>45111.75905092592</v>
      </c>
      <c r="C568" s="1" t="n">
        <v>46179</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24904-2024</t>
        </is>
      </c>
      <c r="B569" s="1" t="n">
        <v>45461</v>
      </c>
      <c r="C569" s="1" t="n">
        <v>46179</v>
      </c>
      <c r="D569" t="inlineStr">
        <is>
          <t>ÖSTERGÖTLANDS LÄN</t>
        </is>
      </c>
      <c r="E569" t="inlineStr">
        <is>
          <t>LINKÖPING</t>
        </is>
      </c>
      <c r="G569" t="n">
        <v>3.8</v>
      </c>
      <c r="H569" t="n">
        <v>0</v>
      </c>
      <c r="I569" t="n">
        <v>0</v>
      </c>
      <c r="J569" t="n">
        <v>0</v>
      </c>
      <c r="K569" t="n">
        <v>0</v>
      </c>
      <c r="L569" t="n">
        <v>0</v>
      </c>
      <c r="M569" t="n">
        <v>0</v>
      </c>
      <c r="N569" t="n">
        <v>0</v>
      </c>
      <c r="O569" t="n">
        <v>0</v>
      </c>
      <c r="P569" t="n">
        <v>0</v>
      </c>
      <c r="Q569" t="n">
        <v>0</v>
      </c>
      <c r="R569" s="2" t="inlineStr"/>
    </row>
    <row r="570" ht="15" customHeight="1">
      <c r="A570" t="inlineStr">
        <is>
          <t>A 26788-2022</t>
        </is>
      </c>
      <c r="B570" s="1" t="n">
        <v>44740</v>
      </c>
      <c r="C570" s="1" t="n">
        <v>46179</v>
      </c>
      <c r="D570" t="inlineStr">
        <is>
          <t>ÖSTERGÖTLANDS LÄN</t>
        </is>
      </c>
      <c r="E570" t="inlineStr">
        <is>
          <t>LINKÖPING</t>
        </is>
      </c>
      <c r="G570" t="n">
        <v>3.2</v>
      </c>
      <c r="H570" t="n">
        <v>0</v>
      </c>
      <c r="I570" t="n">
        <v>0</v>
      </c>
      <c r="J570" t="n">
        <v>0</v>
      </c>
      <c r="K570" t="n">
        <v>0</v>
      </c>
      <c r="L570" t="n">
        <v>0</v>
      </c>
      <c r="M570" t="n">
        <v>0</v>
      </c>
      <c r="N570" t="n">
        <v>0</v>
      </c>
      <c r="O570" t="n">
        <v>0</v>
      </c>
      <c r="P570" t="n">
        <v>0</v>
      </c>
      <c r="Q570" t="n">
        <v>0</v>
      </c>
      <c r="R570" s="2" t="inlineStr"/>
    </row>
    <row r="571" ht="15" customHeight="1">
      <c r="A571" t="inlineStr">
        <is>
          <t>A 15121-2022</t>
        </is>
      </c>
      <c r="B571" s="1" t="n">
        <v>44658</v>
      </c>
      <c r="C571" s="1" t="n">
        <v>46179</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55009-2023</t>
        </is>
      </c>
      <c r="B572" s="1" t="n">
        <v>45237</v>
      </c>
      <c r="C572" s="1" t="n">
        <v>46179</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20293-2025</t>
        </is>
      </c>
      <c r="B573" s="1" t="n">
        <v>45774.74611111111</v>
      </c>
      <c r="C573" s="1" t="n">
        <v>46179</v>
      </c>
      <c r="D573" t="inlineStr">
        <is>
          <t>ÖSTERGÖTLANDS LÄN</t>
        </is>
      </c>
      <c r="E573" t="inlineStr">
        <is>
          <t>LINKÖPING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660-2023</t>
        </is>
      </c>
      <c r="B574" s="1" t="n">
        <v>44930</v>
      </c>
      <c r="C574" s="1" t="n">
        <v>46179</v>
      </c>
      <c r="D574" t="inlineStr">
        <is>
          <t>ÖSTERGÖTLANDS LÄN</t>
        </is>
      </c>
      <c r="E574" t="inlineStr">
        <is>
          <t>LINKÖPING</t>
        </is>
      </c>
      <c r="F574" t="inlineStr">
        <is>
          <t>Kyrkan</t>
        </is>
      </c>
      <c r="G574" t="n">
        <v>1.6</v>
      </c>
      <c r="H574" t="n">
        <v>0</v>
      </c>
      <c r="I574" t="n">
        <v>0</v>
      </c>
      <c r="J574" t="n">
        <v>0</v>
      </c>
      <c r="K574" t="n">
        <v>0</v>
      </c>
      <c r="L574" t="n">
        <v>0</v>
      </c>
      <c r="M574" t="n">
        <v>0</v>
      </c>
      <c r="N574" t="n">
        <v>0</v>
      </c>
      <c r="O574" t="n">
        <v>0</v>
      </c>
      <c r="P574" t="n">
        <v>0</v>
      </c>
      <c r="Q574" t="n">
        <v>0</v>
      </c>
      <c r="R574" s="2" t="inlineStr"/>
    </row>
    <row r="575" ht="15" customHeight="1">
      <c r="A575" t="inlineStr">
        <is>
          <t>A 64694-2023</t>
        </is>
      </c>
      <c r="B575" s="1" t="n">
        <v>45281</v>
      </c>
      <c r="C575" s="1" t="n">
        <v>46179</v>
      </c>
      <c r="D575" t="inlineStr">
        <is>
          <t>ÖSTERGÖTLANDS LÄN</t>
        </is>
      </c>
      <c r="E575" t="inlineStr">
        <is>
          <t>LINKÖPING</t>
        </is>
      </c>
      <c r="F575" t="inlineStr">
        <is>
          <t>Övriga statliga verk och myndigheter</t>
        </is>
      </c>
      <c r="G575" t="n">
        <v>4.9</v>
      </c>
      <c r="H575" t="n">
        <v>0</v>
      </c>
      <c r="I575" t="n">
        <v>0</v>
      </c>
      <c r="J575" t="n">
        <v>0</v>
      </c>
      <c r="K575" t="n">
        <v>0</v>
      </c>
      <c r="L575" t="n">
        <v>0</v>
      </c>
      <c r="M575" t="n">
        <v>0</v>
      </c>
      <c r="N575" t="n">
        <v>0</v>
      </c>
      <c r="O575" t="n">
        <v>0</v>
      </c>
      <c r="P575" t="n">
        <v>0</v>
      </c>
      <c r="Q575" t="n">
        <v>0</v>
      </c>
      <c r="R575" s="2" t="inlineStr"/>
    </row>
    <row r="576" ht="15" customHeight="1">
      <c r="A576" t="inlineStr">
        <is>
          <t>A 63487-2023</t>
        </is>
      </c>
      <c r="B576" s="1" t="n">
        <v>45274.66712962963</v>
      </c>
      <c r="C576" s="1" t="n">
        <v>46179</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20455-2024</t>
        </is>
      </c>
      <c r="B577" s="1" t="n">
        <v>45435.65314814815</v>
      </c>
      <c r="C577" s="1" t="n">
        <v>46179</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30471-2023</t>
        </is>
      </c>
      <c r="B578" s="1" t="n">
        <v>45111.58931712963</v>
      </c>
      <c r="C578" s="1" t="n">
        <v>46179</v>
      </c>
      <c r="D578" t="inlineStr">
        <is>
          <t>ÖSTERGÖTLANDS LÄN</t>
        </is>
      </c>
      <c r="E578" t="inlineStr">
        <is>
          <t>LINKÖPING</t>
        </is>
      </c>
      <c r="G578" t="n">
        <v>2.9</v>
      </c>
      <c r="H578" t="n">
        <v>0</v>
      </c>
      <c r="I578" t="n">
        <v>0</v>
      </c>
      <c r="J578" t="n">
        <v>0</v>
      </c>
      <c r="K578" t="n">
        <v>0</v>
      </c>
      <c r="L578" t="n">
        <v>0</v>
      </c>
      <c r="M578" t="n">
        <v>0</v>
      </c>
      <c r="N578" t="n">
        <v>0</v>
      </c>
      <c r="O578" t="n">
        <v>0</v>
      </c>
      <c r="P578" t="n">
        <v>0</v>
      </c>
      <c r="Q578" t="n">
        <v>0</v>
      </c>
      <c r="R578" s="2" t="inlineStr"/>
    </row>
    <row r="579" ht="15" customHeight="1">
      <c r="A579" t="inlineStr">
        <is>
          <t>A 14093-2024</t>
        </is>
      </c>
      <c r="B579" s="1" t="n">
        <v>45392.60278935185</v>
      </c>
      <c r="C579" s="1" t="n">
        <v>46179</v>
      </c>
      <c r="D579" t="inlineStr">
        <is>
          <t>ÖSTERGÖTLANDS LÄN</t>
        </is>
      </c>
      <c r="E579" t="inlineStr">
        <is>
          <t>LINKÖPING</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63304-2021</t>
        </is>
      </c>
      <c r="B580" s="1" t="n">
        <v>44508.4396412037</v>
      </c>
      <c r="C580" s="1" t="n">
        <v>46179</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19362-2023</t>
        </is>
      </c>
      <c r="B581" s="1" t="n">
        <v>45049</v>
      </c>
      <c r="C581" s="1" t="n">
        <v>46179</v>
      </c>
      <c r="D581" t="inlineStr">
        <is>
          <t>ÖSTERGÖTLANDS LÄN</t>
        </is>
      </c>
      <c r="E581" t="inlineStr">
        <is>
          <t>LINKÖPING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35463-2023</t>
        </is>
      </c>
      <c r="B582" s="1" t="n">
        <v>45146</v>
      </c>
      <c r="C582" s="1" t="n">
        <v>46179</v>
      </c>
      <c r="D582" t="inlineStr">
        <is>
          <t>ÖSTERGÖTLANDS LÄN</t>
        </is>
      </c>
      <c r="E582" t="inlineStr">
        <is>
          <t>LINKÖPING</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16111-2022</t>
        </is>
      </c>
      <c r="B583" s="1" t="n">
        <v>44665</v>
      </c>
      <c r="C583" s="1" t="n">
        <v>46179</v>
      </c>
      <c r="D583" t="inlineStr">
        <is>
          <t>ÖSTERGÖTLANDS LÄN</t>
        </is>
      </c>
      <c r="E583" t="inlineStr">
        <is>
          <t>LINKÖPING</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31635-2023</t>
        </is>
      </c>
      <c r="B584" s="1" t="n">
        <v>45105</v>
      </c>
      <c r="C584" s="1" t="n">
        <v>46179</v>
      </c>
      <c r="D584" t="inlineStr">
        <is>
          <t>ÖSTERGÖTLANDS LÄN</t>
        </is>
      </c>
      <c r="E584" t="inlineStr">
        <is>
          <t>LINKÖPING</t>
        </is>
      </c>
      <c r="F584" t="inlineStr">
        <is>
          <t>Övriga statliga verk och myndigheter</t>
        </is>
      </c>
      <c r="G584" t="n">
        <v>4.6</v>
      </c>
      <c r="H584" t="n">
        <v>0</v>
      </c>
      <c r="I584" t="n">
        <v>0</v>
      </c>
      <c r="J584" t="n">
        <v>0</v>
      </c>
      <c r="K584" t="n">
        <v>0</v>
      </c>
      <c r="L584" t="n">
        <v>0</v>
      </c>
      <c r="M584" t="n">
        <v>0</v>
      </c>
      <c r="N584" t="n">
        <v>0</v>
      </c>
      <c r="O584" t="n">
        <v>0</v>
      </c>
      <c r="P584" t="n">
        <v>0</v>
      </c>
      <c r="Q584" t="n">
        <v>0</v>
      </c>
      <c r="R584" s="2" t="inlineStr"/>
    </row>
    <row r="585" ht="15" customHeight="1">
      <c r="A585" t="inlineStr">
        <is>
          <t>A 49928-2024</t>
        </is>
      </c>
      <c r="B585" s="1" t="n">
        <v>45597.57811342592</v>
      </c>
      <c r="C585" s="1" t="n">
        <v>46179</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54845-2023</t>
        </is>
      </c>
      <c r="B586" s="1" t="n">
        <v>45236</v>
      </c>
      <c r="C586" s="1" t="n">
        <v>46179</v>
      </c>
      <c r="D586" t="inlineStr">
        <is>
          <t>ÖSTERGÖTLANDS LÄN</t>
        </is>
      </c>
      <c r="E586" t="inlineStr">
        <is>
          <t>LINKÖPING</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46687-2021</t>
        </is>
      </c>
      <c r="B587" s="1" t="n">
        <v>44445</v>
      </c>
      <c r="C587" s="1" t="n">
        <v>46179</v>
      </c>
      <c r="D587" t="inlineStr">
        <is>
          <t>ÖSTERGÖTLANDS LÄN</t>
        </is>
      </c>
      <c r="E587" t="inlineStr">
        <is>
          <t>LINKÖPING</t>
        </is>
      </c>
      <c r="F587" t="inlineStr">
        <is>
          <t>Övriga statliga verk och myndigheter</t>
        </is>
      </c>
      <c r="G587" t="n">
        <v>2.3</v>
      </c>
      <c r="H587" t="n">
        <v>0</v>
      </c>
      <c r="I587" t="n">
        <v>0</v>
      </c>
      <c r="J587" t="n">
        <v>0</v>
      </c>
      <c r="K587" t="n">
        <v>0</v>
      </c>
      <c r="L587" t="n">
        <v>0</v>
      </c>
      <c r="M587" t="n">
        <v>0</v>
      </c>
      <c r="N587" t="n">
        <v>0</v>
      </c>
      <c r="O587" t="n">
        <v>0</v>
      </c>
      <c r="P587" t="n">
        <v>0</v>
      </c>
      <c r="Q587" t="n">
        <v>0</v>
      </c>
      <c r="R587" s="2" t="inlineStr"/>
    </row>
    <row r="588" ht="15" customHeight="1">
      <c r="A588" t="inlineStr">
        <is>
          <t>A 30855-2022</t>
        </is>
      </c>
      <c r="B588" s="1" t="n">
        <v>44767</v>
      </c>
      <c r="C588" s="1" t="n">
        <v>46179</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1355-2023</t>
        </is>
      </c>
      <c r="B589" s="1" t="n">
        <v>44931</v>
      </c>
      <c r="C589" s="1" t="n">
        <v>46179</v>
      </c>
      <c r="D589" t="inlineStr">
        <is>
          <t>ÖSTERGÖTLANDS LÄN</t>
        </is>
      </c>
      <c r="E589" t="inlineStr">
        <is>
          <t>LINKÖPING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27844-2024</t>
        </is>
      </c>
      <c r="B590" s="1" t="n">
        <v>45475.63047453704</v>
      </c>
      <c r="C590" s="1" t="n">
        <v>46179</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10741-2023</t>
        </is>
      </c>
      <c r="B591" s="1" t="n">
        <v>44988.70084490741</v>
      </c>
      <c r="C591" s="1" t="n">
        <v>46179</v>
      </c>
      <c r="D591" t="inlineStr">
        <is>
          <t>ÖSTERGÖTLANDS LÄN</t>
        </is>
      </c>
      <c r="E591" t="inlineStr">
        <is>
          <t>LINKÖPING</t>
        </is>
      </c>
      <c r="F591" t="inlineStr">
        <is>
          <t>Allmännings- och besparingsskogar</t>
        </is>
      </c>
      <c r="G591" t="n">
        <v>11.2</v>
      </c>
      <c r="H591" t="n">
        <v>0</v>
      </c>
      <c r="I591" t="n">
        <v>0</v>
      </c>
      <c r="J591" t="n">
        <v>0</v>
      </c>
      <c r="K591" t="n">
        <v>0</v>
      </c>
      <c r="L591" t="n">
        <v>0</v>
      </c>
      <c r="M591" t="n">
        <v>0</v>
      </c>
      <c r="N591" t="n">
        <v>0</v>
      </c>
      <c r="O591" t="n">
        <v>0</v>
      </c>
      <c r="P591" t="n">
        <v>0</v>
      </c>
      <c r="Q591" t="n">
        <v>0</v>
      </c>
      <c r="R591" s="2" t="inlineStr"/>
    </row>
    <row r="592" ht="15" customHeight="1">
      <c r="A592" t="inlineStr">
        <is>
          <t>A 50963-2021</t>
        </is>
      </c>
      <c r="B592" s="1" t="n">
        <v>44460</v>
      </c>
      <c r="C592" s="1" t="n">
        <v>46179</v>
      </c>
      <c r="D592" t="inlineStr">
        <is>
          <t>ÖSTERGÖTLANDS LÄN</t>
        </is>
      </c>
      <c r="E592" t="inlineStr">
        <is>
          <t>LINKÖPING</t>
        </is>
      </c>
      <c r="G592" t="n">
        <v>4.4</v>
      </c>
      <c r="H592" t="n">
        <v>0</v>
      </c>
      <c r="I592" t="n">
        <v>0</v>
      </c>
      <c r="J592" t="n">
        <v>0</v>
      </c>
      <c r="K592" t="n">
        <v>0</v>
      </c>
      <c r="L592" t="n">
        <v>0</v>
      </c>
      <c r="M592" t="n">
        <v>0</v>
      </c>
      <c r="N592" t="n">
        <v>0</v>
      </c>
      <c r="O592" t="n">
        <v>0</v>
      </c>
      <c r="P592" t="n">
        <v>0</v>
      </c>
      <c r="Q592" t="n">
        <v>0</v>
      </c>
      <c r="R592" s="2" t="inlineStr"/>
    </row>
    <row r="593" ht="15" customHeight="1">
      <c r="A593" t="inlineStr">
        <is>
          <t>A 45821-2024</t>
        </is>
      </c>
      <c r="B593" s="1" t="n">
        <v>45579.75803240741</v>
      </c>
      <c r="C593" s="1" t="n">
        <v>46179</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61936-2023</t>
        </is>
      </c>
      <c r="B594" s="1" t="n">
        <v>45266.54534722222</v>
      </c>
      <c r="C594" s="1" t="n">
        <v>46179</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1263-2024</t>
        </is>
      </c>
      <c r="B595" s="1" t="n">
        <v>45302</v>
      </c>
      <c r="C595" s="1" t="n">
        <v>46179</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24464-2023</t>
        </is>
      </c>
      <c r="B596" s="1" t="n">
        <v>45082.58068287037</v>
      </c>
      <c r="C596" s="1" t="n">
        <v>46179</v>
      </c>
      <c r="D596" t="inlineStr">
        <is>
          <t>ÖSTERGÖTLANDS LÄN</t>
        </is>
      </c>
      <c r="E596" t="inlineStr">
        <is>
          <t>LINKÖPING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48389-2024</t>
        </is>
      </c>
      <c r="B597" s="1" t="n">
        <v>45590.59991898148</v>
      </c>
      <c r="C597" s="1" t="n">
        <v>46179</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61281-2021</t>
        </is>
      </c>
      <c r="B598" s="1" t="n">
        <v>44498.60736111111</v>
      </c>
      <c r="C598" s="1" t="n">
        <v>46179</v>
      </c>
      <c r="D598" t="inlineStr">
        <is>
          <t>ÖSTERGÖTLANDS LÄN</t>
        </is>
      </c>
      <c r="E598" t="inlineStr">
        <is>
          <t>LINKÖPING</t>
        </is>
      </c>
      <c r="G598" t="n">
        <v>4.5</v>
      </c>
      <c r="H598" t="n">
        <v>0</v>
      </c>
      <c r="I598" t="n">
        <v>0</v>
      </c>
      <c r="J598" t="n">
        <v>0</v>
      </c>
      <c r="K598" t="n">
        <v>0</v>
      </c>
      <c r="L598" t="n">
        <v>0</v>
      </c>
      <c r="M598" t="n">
        <v>0</v>
      </c>
      <c r="N598" t="n">
        <v>0</v>
      </c>
      <c r="O598" t="n">
        <v>0</v>
      </c>
      <c r="P598" t="n">
        <v>0</v>
      </c>
      <c r="Q598" t="n">
        <v>0</v>
      </c>
      <c r="R598" s="2" t="inlineStr"/>
    </row>
    <row r="599" ht="15" customHeight="1">
      <c r="A599" t="inlineStr">
        <is>
          <t>A 10094-2024</t>
        </is>
      </c>
      <c r="B599" s="1" t="n">
        <v>45364</v>
      </c>
      <c r="C599" s="1" t="n">
        <v>46179</v>
      </c>
      <c r="D599" t="inlineStr">
        <is>
          <t>ÖSTERGÖTLANDS LÄN</t>
        </is>
      </c>
      <c r="E599" t="inlineStr">
        <is>
          <t>LINKÖPING</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1207-2023</t>
        </is>
      </c>
      <c r="B600" s="1" t="n">
        <v>44930</v>
      </c>
      <c r="C600" s="1" t="n">
        <v>46179</v>
      </c>
      <c r="D600" t="inlineStr">
        <is>
          <t>ÖSTERGÖTLANDS LÄN</t>
        </is>
      </c>
      <c r="E600" t="inlineStr">
        <is>
          <t>LINKÖPING</t>
        </is>
      </c>
      <c r="F600" t="inlineStr">
        <is>
          <t>Övriga statliga verk och myndigheter</t>
        </is>
      </c>
      <c r="G600" t="n">
        <v>32.8</v>
      </c>
      <c r="H600" t="n">
        <v>0</v>
      </c>
      <c r="I600" t="n">
        <v>0</v>
      </c>
      <c r="J600" t="n">
        <v>0</v>
      </c>
      <c r="K600" t="n">
        <v>0</v>
      </c>
      <c r="L600" t="n">
        <v>0</v>
      </c>
      <c r="M600" t="n">
        <v>0</v>
      </c>
      <c r="N600" t="n">
        <v>0</v>
      </c>
      <c r="O600" t="n">
        <v>0</v>
      </c>
      <c r="P600" t="n">
        <v>0</v>
      </c>
      <c r="Q600" t="n">
        <v>0</v>
      </c>
      <c r="R600" s="2" t="inlineStr"/>
    </row>
    <row r="601" ht="15" customHeight="1">
      <c r="A601" t="inlineStr">
        <is>
          <t>A 62015-2024</t>
        </is>
      </c>
      <c r="B601" s="1" t="n">
        <v>45655.80457175926</v>
      </c>
      <c r="C601" s="1" t="n">
        <v>46179</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62020-2024</t>
        </is>
      </c>
      <c r="B602" s="1" t="n">
        <v>45655.83563657408</v>
      </c>
      <c r="C602" s="1" t="n">
        <v>46179</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62021-2024</t>
        </is>
      </c>
      <c r="B603" s="1" t="n">
        <v>45655.84232638889</v>
      </c>
      <c r="C603" s="1" t="n">
        <v>46179</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27891-2021</t>
        </is>
      </c>
      <c r="B604" s="1" t="n">
        <v>44354.65108796296</v>
      </c>
      <c r="C604" s="1" t="n">
        <v>46179</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57391-2023</t>
        </is>
      </c>
      <c r="B605" s="1" t="n">
        <v>45245</v>
      </c>
      <c r="C605" s="1" t="n">
        <v>46179</v>
      </c>
      <c r="D605" t="inlineStr">
        <is>
          <t>ÖSTERGÖTLANDS LÄN</t>
        </is>
      </c>
      <c r="E605" t="inlineStr">
        <is>
          <t>LINKÖPING</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20294-2025</t>
        </is>
      </c>
      <c r="B606" s="1" t="n">
        <v>45774.74667824074</v>
      </c>
      <c r="C606" s="1" t="n">
        <v>46179</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60013-2022</t>
        </is>
      </c>
      <c r="B607" s="1" t="n">
        <v>44909.47482638889</v>
      </c>
      <c r="C607" s="1" t="n">
        <v>46179</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3007-2025</t>
        </is>
      </c>
      <c r="B608" s="1" t="n">
        <v>45678.56328703704</v>
      </c>
      <c r="C608" s="1" t="n">
        <v>46179</v>
      </c>
      <c r="D608" t="inlineStr">
        <is>
          <t>ÖSTERGÖTLANDS LÄN</t>
        </is>
      </c>
      <c r="E608" t="inlineStr">
        <is>
          <t>LINKÖPING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34877-2023</t>
        </is>
      </c>
      <c r="B609" s="1" t="n">
        <v>45140</v>
      </c>
      <c r="C609" s="1" t="n">
        <v>46179</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1924-2024</t>
        </is>
      </c>
      <c r="B610" s="1" t="n">
        <v>45308</v>
      </c>
      <c r="C610" s="1" t="n">
        <v>46179</v>
      </c>
      <c r="D610" t="inlineStr">
        <is>
          <t>ÖSTERGÖTLANDS LÄN</t>
        </is>
      </c>
      <c r="E610" t="inlineStr">
        <is>
          <t>LINKÖPING</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34558-2022</t>
        </is>
      </c>
      <c r="B611" s="1" t="n">
        <v>44794.57594907407</v>
      </c>
      <c r="C611" s="1" t="n">
        <v>46179</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168-2024</t>
        </is>
      </c>
      <c r="B612" s="1" t="n">
        <v>45294</v>
      </c>
      <c r="C612" s="1" t="n">
        <v>46179</v>
      </c>
      <c r="D612" t="inlineStr">
        <is>
          <t>ÖSTERGÖTLANDS LÄN</t>
        </is>
      </c>
      <c r="E612" t="inlineStr">
        <is>
          <t>LINKÖPING</t>
        </is>
      </c>
      <c r="F612" t="inlineStr">
        <is>
          <t>Allmännings- och besparingsskogar</t>
        </is>
      </c>
      <c r="G612" t="n">
        <v>8.9</v>
      </c>
      <c r="H612" t="n">
        <v>0</v>
      </c>
      <c r="I612" t="n">
        <v>0</v>
      </c>
      <c r="J612" t="n">
        <v>0</v>
      </c>
      <c r="K612" t="n">
        <v>0</v>
      </c>
      <c r="L612" t="n">
        <v>0</v>
      </c>
      <c r="M612" t="n">
        <v>0</v>
      </c>
      <c r="N612" t="n">
        <v>0</v>
      </c>
      <c r="O612" t="n">
        <v>0</v>
      </c>
      <c r="P612" t="n">
        <v>0</v>
      </c>
      <c r="Q612" t="n">
        <v>0</v>
      </c>
      <c r="R612" s="2" t="inlineStr"/>
    </row>
    <row r="613" ht="15" customHeight="1">
      <c r="A613" t="inlineStr">
        <is>
          <t>A 15658-2023</t>
        </is>
      </c>
      <c r="B613" s="1" t="n">
        <v>45021.41194444444</v>
      </c>
      <c r="C613" s="1" t="n">
        <v>46179</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30433-2024</t>
        </is>
      </c>
      <c r="B614" s="1" t="n">
        <v>45491.69741898148</v>
      </c>
      <c r="C614" s="1" t="n">
        <v>46179</v>
      </c>
      <c r="D614" t="inlineStr">
        <is>
          <t>ÖSTERGÖTLANDS LÄN</t>
        </is>
      </c>
      <c r="E614" t="inlineStr">
        <is>
          <t>LINKÖPING</t>
        </is>
      </c>
      <c r="G614" t="n">
        <v>1.7</v>
      </c>
      <c r="H614" t="n">
        <v>0</v>
      </c>
      <c r="I614" t="n">
        <v>0</v>
      </c>
      <c r="J614" t="n">
        <v>0</v>
      </c>
      <c r="K614" t="n">
        <v>0</v>
      </c>
      <c r="L614" t="n">
        <v>0</v>
      </c>
      <c r="M614" t="n">
        <v>0</v>
      </c>
      <c r="N614" t="n">
        <v>0</v>
      </c>
      <c r="O614" t="n">
        <v>0</v>
      </c>
      <c r="P614" t="n">
        <v>0</v>
      </c>
      <c r="Q614" t="n">
        <v>0</v>
      </c>
      <c r="R614" s="2" t="inlineStr"/>
    </row>
    <row r="615" ht="15" customHeight="1">
      <c r="A615" t="inlineStr">
        <is>
          <t>A 52220-2023</t>
        </is>
      </c>
      <c r="B615" s="1" t="n">
        <v>45217</v>
      </c>
      <c r="C615" s="1" t="n">
        <v>46179</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52225-2023</t>
        </is>
      </c>
      <c r="B616" s="1" t="n">
        <v>45217</v>
      </c>
      <c r="C616" s="1" t="n">
        <v>46179</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19464-2024</t>
        </is>
      </c>
      <c r="B617" s="1" t="n">
        <v>45429</v>
      </c>
      <c r="C617" s="1" t="n">
        <v>46179</v>
      </c>
      <c r="D617" t="inlineStr">
        <is>
          <t>ÖSTERGÖTLANDS LÄN</t>
        </is>
      </c>
      <c r="E617" t="inlineStr">
        <is>
          <t>LINKÖPING</t>
        </is>
      </c>
      <c r="G617" t="n">
        <v>2.7</v>
      </c>
      <c r="H617" t="n">
        <v>0</v>
      </c>
      <c r="I617" t="n">
        <v>0</v>
      </c>
      <c r="J617" t="n">
        <v>0</v>
      </c>
      <c r="K617" t="n">
        <v>0</v>
      </c>
      <c r="L617" t="n">
        <v>0</v>
      </c>
      <c r="M617" t="n">
        <v>0</v>
      </c>
      <c r="N617" t="n">
        <v>0</v>
      </c>
      <c r="O617" t="n">
        <v>0</v>
      </c>
      <c r="P617" t="n">
        <v>0</v>
      </c>
      <c r="Q617" t="n">
        <v>0</v>
      </c>
      <c r="R617" s="2" t="inlineStr"/>
    </row>
    <row r="618" ht="15" customHeight="1">
      <c r="A618" t="inlineStr">
        <is>
          <t>A 42044-2023</t>
        </is>
      </c>
      <c r="B618" s="1" t="n">
        <v>45177</v>
      </c>
      <c r="C618" s="1" t="n">
        <v>46179</v>
      </c>
      <c r="D618" t="inlineStr">
        <is>
          <t>ÖSTERGÖTLANDS LÄN</t>
        </is>
      </c>
      <c r="E618" t="inlineStr">
        <is>
          <t>LINKÖPING</t>
        </is>
      </c>
      <c r="G618" t="n">
        <v>3.9</v>
      </c>
      <c r="H618" t="n">
        <v>0</v>
      </c>
      <c r="I618" t="n">
        <v>0</v>
      </c>
      <c r="J618" t="n">
        <v>0</v>
      </c>
      <c r="K618" t="n">
        <v>0</v>
      </c>
      <c r="L618" t="n">
        <v>0</v>
      </c>
      <c r="M618" t="n">
        <v>0</v>
      </c>
      <c r="N618" t="n">
        <v>0</v>
      </c>
      <c r="O618" t="n">
        <v>0</v>
      </c>
      <c r="P618" t="n">
        <v>0</v>
      </c>
      <c r="Q618" t="n">
        <v>0</v>
      </c>
      <c r="R618" s="2" t="inlineStr"/>
    </row>
    <row r="619" ht="15" customHeight="1">
      <c r="A619" t="inlineStr">
        <is>
          <t>A 630-2024</t>
        </is>
      </c>
      <c r="B619" s="1" t="n">
        <v>45299.67736111111</v>
      </c>
      <c r="C619" s="1" t="n">
        <v>46179</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21782-2024</t>
        </is>
      </c>
      <c r="B620" s="1" t="n">
        <v>45442.63368055555</v>
      </c>
      <c r="C620" s="1" t="n">
        <v>46179</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24436-2026</t>
        </is>
      </c>
      <c r="B621" s="1" t="n">
        <v>46169</v>
      </c>
      <c r="C621" s="1" t="n">
        <v>46179</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24619-2026</t>
        </is>
      </c>
      <c r="B622" s="1" t="n">
        <v>46169</v>
      </c>
      <c r="C622" s="1" t="n">
        <v>46179</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24618-2026</t>
        </is>
      </c>
      <c r="B623" s="1" t="n">
        <v>46169</v>
      </c>
      <c r="C623" s="1" t="n">
        <v>46179</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24792-2026</t>
        </is>
      </c>
      <c r="B624" s="1" t="n">
        <v>46170</v>
      </c>
      <c r="C624" s="1" t="n">
        <v>46179</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10194-2023</t>
        </is>
      </c>
      <c r="B625" s="1" t="n">
        <v>44986.52277777778</v>
      </c>
      <c r="C625" s="1" t="n">
        <v>46179</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55944-2024</t>
        </is>
      </c>
      <c r="B626" s="1" t="n">
        <v>45623.61640046296</v>
      </c>
      <c r="C626" s="1" t="n">
        <v>46179</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55947-2024</t>
        </is>
      </c>
      <c r="B627" s="1" t="n">
        <v>45623</v>
      </c>
      <c r="C627" s="1" t="n">
        <v>46179</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47703-2023</t>
        </is>
      </c>
      <c r="B628" s="1" t="n">
        <v>45203</v>
      </c>
      <c r="C628" s="1" t="n">
        <v>46179</v>
      </c>
      <c r="D628" t="inlineStr">
        <is>
          <t>ÖSTERGÖTLANDS LÄN</t>
        </is>
      </c>
      <c r="E628" t="inlineStr">
        <is>
          <t>LINKÖPING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51559-2024</t>
        </is>
      </c>
      <c r="B629" s="1" t="n">
        <v>45604.61431712963</v>
      </c>
      <c r="C629" s="1" t="n">
        <v>46179</v>
      </c>
      <c r="D629" t="inlineStr">
        <is>
          <t>ÖSTERGÖTLANDS LÄN</t>
        </is>
      </c>
      <c r="E629" t="inlineStr">
        <is>
          <t>LINKÖPING</t>
        </is>
      </c>
      <c r="F629" t="inlineStr">
        <is>
          <t>Övriga Aktiebolag</t>
        </is>
      </c>
      <c r="G629" t="n">
        <v>2.4</v>
      </c>
      <c r="H629" t="n">
        <v>0</v>
      </c>
      <c r="I629" t="n">
        <v>0</v>
      </c>
      <c r="J629" t="n">
        <v>0</v>
      </c>
      <c r="K629" t="n">
        <v>0</v>
      </c>
      <c r="L629" t="n">
        <v>0</v>
      </c>
      <c r="M629" t="n">
        <v>0</v>
      </c>
      <c r="N629" t="n">
        <v>0</v>
      </c>
      <c r="O629" t="n">
        <v>0</v>
      </c>
      <c r="P629" t="n">
        <v>0</v>
      </c>
      <c r="Q629" t="n">
        <v>0</v>
      </c>
      <c r="R629" s="2" t="inlineStr"/>
    </row>
    <row r="630" ht="15" customHeight="1">
      <c r="A630" t="inlineStr">
        <is>
          <t>A 62353-2022</t>
        </is>
      </c>
      <c r="B630" s="1" t="n">
        <v>44923</v>
      </c>
      <c r="C630" s="1" t="n">
        <v>46179</v>
      </c>
      <c r="D630" t="inlineStr">
        <is>
          <t>ÖSTERGÖTLANDS LÄN</t>
        </is>
      </c>
      <c r="E630" t="inlineStr">
        <is>
          <t>LINKÖPING</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15754-2025</t>
        </is>
      </c>
      <c r="B631" s="1" t="n">
        <v>45748.56105324074</v>
      </c>
      <c r="C631" s="1" t="n">
        <v>46179</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25229-2026</t>
        </is>
      </c>
      <c r="B632" s="1" t="n">
        <v>46175.64745370371</v>
      </c>
      <c r="C632" s="1" t="n">
        <v>46179</v>
      </c>
      <c r="D632" t="inlineStr">
        <is>
          <t>ÖSTERGÖTLANDS LÄN</t>
        </is>
      </c>
      <c r="E632" t="inlineStr">
        <is>
          <t>LINKÖPING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4298-2023</t>
        </is>
      </c>
      <c r="B633" s="1" t="n">
        <v>44953</v>
      </c>
      <c r="C633" s="1" t="n">
        <v>46179</v>
      </c>
      <c r="D633" t="inlineStr">
        <is>
          <t>ÖSTERGÖTLANDS LÄN</t>
        </is>
      </c>
      <c r="E633" t="inlineStr">
        <is>
          <t>LINKÖPING</t>
        </is>
      </c>
      <c r="G633" t="n">
        <v>2.8</v>
      </c>
      <c r="H633" t="n">
        <v>0</v>
      </c>
      <c r="I633" t="n">
        <v>0</v>
      </c>
      <c r="J633" t="n">
        <v>0</v>
      </c>
      <c r="K633" t="n">
        <v>0</v>
      </c>
      <c r="L633" t="n">
        <v>0</v>
      </c>
      <c r="M633" t="n">
        <v>0</v>
      </c>
      <c r="N633" t="n">
        <v>0</v>
      </c>
      <c r="O633" t="n">
        <v>0</v>
      </c>
      <c r="P633" t="n">
        <v>0</v>
      </c>
      <c r="Q633" t="n">
        <v>0</v>
      </c>
      <c r="R633" s="2" t="inlineStr"/>
    </row>
    <row r="634" ht="15" customHeight="1">
      <c r="A634" t="inlineStr">
        <is>
          <t>A 22284-2026</t>
        </is>
      </c>
      <c r="B634" s="1" t="n">
        <v>46154.4333449074</v>
      </c>
      <c r="C634" s="1" t="n">
        <v>46179</v>
      </c>
      <c r="D634" t="inlineStr">
        <is>
          <t>ÖSTERGÖTLANDS LÄN</t>
        </is>
      </c>
      <c r="E634" t="inlineStr">
        <is>
          <t>LINKÖPING</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19523-2026</t>
        </is>
      </c>
      <c r="B635" s="1" t="n">
        <v>46134.35099537037</v>
      </c>
      <c r="C635" s="1" t="n">
        <v>46179</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25568-2024</t>
        </is>
      </c>
      <c r="B636" s="1" t="n">
        <v>45463.58699074074</v>
      </c>
      <c r="C636" s="1" t="n">
        <v>46179</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38136-2023</t>
        </is>
      </c>
      <c r="B637" s="1" t="n">
        <v>45161.37310185185</v>
      </c>
      <c r="C637" s="1" t="n">
        <v>46179</v>
      </c>
      <c r="D637" t="inlineStr">
        <is>
          <t>ÖSTERGÖTLANDS LÄN</t>
        </is>
      </c>
      <c r="E637" t="inlineStr">
        <is>
          <t>LINKÖPING</t>
        </is>
      </c>
      <c r="G637" t="n">
        <v>5.6</v>
      </c>
      <c r="H637" t="n">
        <v>0</v>
      </c>
      <c r="I637" t="n">
        <v>0</v>
      </c>
      <c r="J637" t="n">
        <v>0</v>
      </c>
      <c r="K637" t="n">
        <v>0</v>
      </c>
      <c r="L637" t="n">
        <v>0</v>
      </c>
      <c r="M637" t="n">
        <v>0</v>
      </c>
      <c r="N637" t="n">
        <v>0</v>
      </c>
      <c r="O637" t="n">
        <v>0</v>
      </c>
      <c r="P637" t="n">
        <v>0</v>
      </c>
      <c r="Q637" t="n">
        <v>0</v>
      </c>
      <c r="R637" s="2" t="inlineStr"/>
    </row>
    <row r="638" ht="15" customHeight="1">
      <c r="A638" t="inlineStr">
        <is>
          <t>A 14528-2025</t>
        </is>
      </c>
      <c r="B638" s="1" t="n">
        <v>45741</v>
      </c>
      <c r="C638" s="1" t="n">
        <v>46179</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61649-2023</t>
        </is>
      </c>
      <c r="B639" s="1" t="n">
        <v>45265</v>
      </c>
      <c r="C639" s="1" t="n">
        <v>46179</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60985-2023</t>
        </is>
      </c>
      <c r="B640" s="1" t="n">
        <v>45261.48429398148</v>
      </c>
      <c r="C640" s="1" t="n">
        <v>46179</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421-2024</t>
        </is>
      </c>
      <c r="B641" s="1" t="n">
        <v>45296.51877314815</v>
      </c>
      <c r="C641" s="1" t="n">
        <v>46179</v>
      </c>
      <c r="D641" t="inlineStr">
        <is>
          <t>ÖSTERGÖTLANDS LÄN</t>
        </is>
      </c>
      <c r="E641" t="inlineStr">
        <is>
          <t>LINKÖPING</t>
        </is>
      </c>
      <c r="G641" t="n">
        <v>3.7</v>
      </c>
      <c r="H641" t="n">
        <v>0</v>
      </c>
      <c r="I641" t="n">
        <v>0</v>
      </c>
      <c r="J641" t="n">
        <v>0</v>
      </c>
      <c r="K641" t="n">
        <v>0</v>
      </c>
      <c r="L641" t="n">
        <v>0</v>
      </c>
      <c r="M641" t="n">
        <v>0</v>
      </c>
      <c r="N641" t="n">
        <v>0</v>
      </c>
      <c r="O641" t="n">
        <v>0</v>
      </c>
      <c r="P641" t="n">
        <v>0</v>
      </c>
      <c r="Q641" t="n">
        <v>0</v>
      </c>
      <c r="R641" s="2" t="inlineStr"/>
    </row>
    <row r="642" ht="15" customHeight="1">
      <c r="A642" t="inlineStr">
        <is>
          <t>A 51405-2023</t>
        </is>
      </c>
      <c r="B642" s="1" t="n">
        <v>45219</v>
      </c>
      <c r="C642" s="1" t="n">
        <v>46179</v>
      </c>
      <c r="D642" t="inlineStr">
        <is>
          <t>ÖSTERGÖTLANDS LÄN</t>
        </is>
      </c>
      <c r="E642" t="inlineStr">
        <is>
          <t>LINKÖPING</t>
        </is>
      </c>
      <c r="F642" t="inlineStr">
        <is>
          <t>Övriga Aktiebolag</t>
        </is>
      </c>
      <c r="G642" t="n">
        <v>3</v>
      </c>
      <c r="H642" t="n">
        <v>0</v>
      </c>
      <c r="I642" t="n">
        <v>0</v>
      </c>
      <c r="J642" t="n">
        <v>0</v>
      </c>
      <c r="K642" t="n">
        <v>0</v>
      </c>
      <c r="L642" t="n">
        <v>0</v>
      </c>
      <c r="M642" t="n">
        <v>0</v>
      </c>
      <c r="N642" t="n">
        <v>0</v>
      </c>
      <c r="O642" t="n">
        <v>0</v>
      </c>
      <c r="P642" t="n">
        <v>0</v>
      </c>
      <c r="Q642" t="n">
        <v>0</v>
      </c>
      <c r="R642" s="2" t="inlineStr"/>
    </row>
    <row r="643" ht="15" customHeight="1">
      <c r="A643" t="inlineStr">
        <is>
          <t>A 53639-2023</t>
        </is>
      </c>
      <c r="B643" s="1" t="n">
        <v>45230.59686342593</v>
      </c>
      <c r="C643" s="1" t="n">
        <v>46179</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24467-2023</t>
        </is>
      </c>
      <c r="B644" s="1" t="n">
        <v>45082</v>
      </c>
      <c r="C644" s="1" t="n">
        <v>46179</v>
      </c>
      <c r="D644" t="inlineStr">
        <is>
          <t>ÖSTERGÖTLANDS LÄN</t>
        </is>
      </c>
      <c r="E644" t="inlineStr">
        <is>
          <t>LINKÖPING</t>
        </is>
      </c>
      <c r="G644" t="n">
        <v>2.4</v>
      </c>
      <c r="H644" t="n">
        <v>0</v>
      </c>
      <c r="I644" t="n">
        <v>0</v>
      </c>
      <c r="J644" t="n">
        <v>0</v>
      </c>
      <c r="K644" t="n">
        <v>0</v>
      </c>
      <c r="L644" t="n">
        <v>0</v>
      </c>
      <c r="M644" t="n">
        <v>0</v>
      </c>
      <c r="N644" t="n">
        <v>0</v>
      </c>
      <c r="O644" t="n">
        <v>0</v>
      </c>
      <c r="P644" t="n">
        <v>0</v>
      </c>
      <c r="Q644" t="n">
        <v>0</v>
      </c>
      <c r="R644" s="2" t="inlineStr"/>
    </row>
    <row r="645" ht="15" customHeight="1">
      <c r="A645" t="inlineStr">
        <is>
          <t>A 20298-2025</t>
        </is>
      </c>
      <c r="B645" s="1" t="n">
        <v>45774.75024305555</v>
      </c>
      <c r="C645" s="1" t="n">
        <v>46179</v>
      </c>
      <c r="D645" t="inlineStr">
        <is>
          <t>ÖSTERGÖTLANDS LÄN</t>
        </is>
      </c>
      <c r="E645" t="inlineStr">
        <is>
          <t>LINKÖPING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59674-2024</t>
        </is>
      </c>
      <c r="B646" s="1" t="n">
        <v>45639</v>
      </c>
      <c r="C646" s="1" t="n">
        <v>46179</v>
      </c>
      <c r="D646" t="inlineStr">
        <is>
          <t>ÖSTERGÖTLANDS LÄN</t>
        </is>
      </c>
      <c r="E646" t="inlineStr">
        <is>
          <t>LINKÖPING</t>
        </is>
      </c>
      <c r="G646" t="n">
        <v>6.3</v>
      </c>
      <c r="H646" t="n">
        <v>0</v>
      </c>
      <c r="I646" t="n">
        <v>0</v>
      </c>
      <c r="J646" t="n">
        <v>0</v>
      </c>
      <c r="K646" t="n">
        <v>0</v>
      </c>
      <c r="L646" t="n">
        <v>0</v>
      </c>
      <c r="M646" t="n">
        <v>0</v>
      </c>
      <c r="N646" t="n">
        <v>0</v>
      </c>
      <c r="O646" t="n">
        <v>0</v>
      </c>
      <c r="P646" t="n">
        <v>0</v>
      </c>
      <c r="Q646" t="n">
        <v>0</v>
      </c>
      <c r="R646" s="2" t="inlineStr"/>
    </row>
    <row r="647" ht="15" customHeight="1">
      <c r="A647" t="inlineStr">
        <is>
          <t>A 57766-2023</t>
        </is>
      </c>
      <c r="B647" s="1" t="n">
        <v>45246</v>
      </c>
      <c r="C647" s="1" t="n">
        <v>46179</v>
      </c>
      <c r="D647" t="inlineStr">
        <is>
          <t>ÖSTERGÖTLANDS LÄN</t>
        </is>
      </c>
      <c r="E647" t="inlineStr">
        <is>
          <t>LINKÖPING</t>
        </is>
      </c>
      <c r="F647" t="inlineStr">
        <is>
          <t>Allmännings- och besparingsskogar</t>
        </is>
      </c>
      <c r="G647" t="n">
        <v>12.8</v>
      </c>
      <c r="H647" t="n">
        <v>0</v>
      </c>
      <c r="I647" t="n">
        <v>0</v>
      </c>
      <c r="J647" t="n">
        <v>0</v>
      </c>
      <c r="K647" t="n">
        <v>0</v>
      </c>
      <c r="L647" t="n">
        <v>0</v>
      </c>
      <c r="M647" t="n">
        <v>0</v>
      </c>
      <c r="N647" t="n">
        <v>0</v>
      </c>
      <c r="O647" t="n">
        <v>0</v>
      </c>
      <c r="P647" t="n">
        <v>0</v>
      </c>
      <c r="Q647" t="n">
        <v>0</v>
      </c>
      <c r="R647" s="2" t="inlineStr"/>
    </row>
    <row r="648" ht="15" customHeight="1">
      <c r="A648" t="inlineStr">
        <is>
          <t>A 62488-2023</t>
        </is>
      </c>
      <c r="B648" s="1" t="n">
        <v>45268.5847337963</v>
      </c>
      <c r="C648" s="1" t="n">
        <v>46179</v>
      </c>
      <c r="D648" t="inlineStr">
        <is>
          <t>ÖSTERGÖTLANDS LÄN</t>
        </is>
      </c>
      <c r="E648" t="inlineStr">
        <is>
          <t>LINKÖPING</t>
        </is>
      </c>
      <c r="G648" t="n">
        <v>4.1</v>
      </c>
      <c r="H648" t="n">
        <v>0</v>
      </c>
      <c r="I648" t="n">
        <v>0</v>
      </c>
      <c r="J648" t="n">
        <v>0</v>
      </c>
      <c r="K648" t="n">
        <v>0</v>
      </c>
      <c r="L648" t="n">
        <v>0</v>
      </c>
      <c r="M648" t="n">
        <v>0</v>
      </c>
      <c r="N648" t="n">
        <v>0</v>
      </c>
      <c r="O648" t="n">
        <v>0</v>
      </c>
      <c r="P648" t="n">
        <v>0</v>
      </c>
      <c r="Q648" t="n">
        <v>0</v>
      </c>
      <c r="R648" s="2" t="inlineStr"/>
    </row>
    <row r="649" ht="15" customHeight="1">
      <c r="A649" t="inlineStr">
        <is>
          <t>A 62495-2023</t>
        </is>
      </c>
      <c r="B649" s="1" t="n">
        <v>45268.59717592593</v>
      </c>
      <c r="C649" s="1" t="n">
        <v>46179</v>
      </c>
      <c r="D649" t="inlineStr">
        <is>
          <t>ÖSTERGÖTLANDS LÄN</t>
        </is>
      </c>
      <c r="E649" t="inlineStr">
        <is>
          <t>LINKÖPING</t>
        </is>
      </c>
      <c r="G649" t="n">
        <v>4.1</v>
      </c>
      <c r="H649" t="n">
        <v>0</v>
      </c>
      <c r="I649" t="n">
        <v>0</v>
      </c>
      <c r="J649" t="n">
        <v>0</v>
      </c>
      <c r="K649" t="n">
        <v>0</v>
      </c>
      <c r="L649" t="n">
        <v>0</v>
      </c>
      <c r="M649" t="n">
        <v>0</v>
      </c>
      <c r="N649" t="n">
        <v>0</v>
      </c>
      <c r="O649" t="n">
        <v>0</v>
      </c>
      <c r="P649" t="n">
        <v>0</v>
      </c>
      <c r="Q649" t="n">
        <v>0</v>
      </c>
      <c r="R649" s="2" t="inlineStr"/>
    </row>
    <row r="650" ht="15" customHeight="1">
      <c r="A650" t="inlineStr">
        <is>
          <t>A 10198-2023</t>
        </is>
      </c>
      <c r="B650" s="1" t="n">
        <v>44986.54665509259</v>
      </c>
      <c r="C650" s="1" t="n">
        <v>46179</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55004-2025</t>
        </is>
      </c>
      <c r="B651" s="1" t="n">
        <v>45967</v>
      </c>
      <c r="C651" s="1" t="n">
        <v>46179</v>
      </c>
      <c r="D651" t="inlineStr">
        <is>
          <t>ÖSTERGÖTLANDS LÄN</t>
        </is>
      </c>
      <c r="E651" t="inlineStr">
        <is>
          <t>LINKÖPING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17128-2025</t>
        </is>
      </c>
      <c r="B652" s="1" t="n">
        <v>45755.72622685185</v>
      </c>
      <c r="C652" s="1" t="n">
        <v>46179</v>
      </c>
      <c r="D652" t="inlineStr">
        <is>
          <t>ÖSTERGÖTLANDS LÄN</t>
        </is>
      </c>
      <c r="E652" t="inlineStr">
        <is>
          <t>LINKÖPING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62018-2024</t>
        </is>
      </c>
      <c r="B653" s="1" t="n">
        <v>45655.81387731482</v>
      </c>
      <c r="C653" s="1" t="n">
        <v>46179</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62073-2023</t>
        </is>
      </c>
      <c r="B654" s="1" t="n">
        <v>45266.73844907407</v>
      </c>
      <c r="C654" s="1" t="n">
        <v>46179</v>
      </c>
      <c r="D654" t="inlineStr">
        <is>
          <t>ÖSTERGÖTLANDS LÄN</t>
        </is>
      </c>
      <c r="E654" t="inlineStr">
        <is>
          <t>LINKÖPING</t>
        </is>
      </c>
      <c r="F654" t="inlineStr">
        <is>
          <t>Allmännings- och besparingsskogar</t>
        </is>
      </c>
      <c r="G654" t="n">
        <v>1.8</v>
      </c>
      <c r="H654" t="n">
        <v>0</v>
      </c>
      <c r="I654" t="n">
        <v>0</v>
      </c>
      <c r="J654" t="n">
        <v>0</v>
      </c>
      <c r="K654" t="n">
        <v>0</v>
      </c>
      <c r="L654" t="n">
        <v>0</v>
      </c>
      <c r="M654" t="n">
        <v>0</v>
      </c>
      <c r="N654" t="n">
        <v>0</v>
      </c>
      <c r="O654" t="n">
        <v>0</v>
      </c>
      <c r="P654" t="n">
        <v>0</v>
      </c>
      <c r="Q654" t="n">
        <v>0</v>
      </c>
      <c r="R654" s="2" t="inlineStr"/>
    </row>
    <row r="655" ht="15" customHeight="1">
      <c r="A655" t="inlineStr">
        <is>
          <t>A 13266-2025</t>
        </is>
      </c>
      <c r="B655" s="1" t="n">
        <v>45735.53318287037</v>
      </c>
      <c r="C655" s="1" t="n">
        <v>46179</v>
      </c>
      <c r="D655" t="inlineStr">
        <is>
          <t>ÖSTERGÖTLANDS LÄN</t>
        </is>
      </c>
      <c r="E655" t="inlineStr">
        <is>
          <t>LINKÖPING</t>
        </is>
      </c>
      <c r="G655" t="n">
        <v>3.1</v>
      </c>
      <c r="H655" t="n">
        <v>0</v>
      </c>
      <c r="I655" t="n">
        <v>0</v>
      </c>
      <c r="J655" t="n">
        <v>0</v>
      </c>
      <c r="K655" t="n">
        <v>0</v>
      </c>
      <c r="L655" t="n">
        <v>0</v>
      </c>
      <c r="M655" t="n">
        <v>0</v>
      </c>
      <c r="N655" t="n">
        <v>0</v>
      </c>
      <c r="O655" t="n">
        <v>0</v>
      </c>
      <c r="P655" t="n">
        <v>0</v>
      </c>
      <c r="Q655" t="n">
        <v>0</v>
      </c>
      <c r="R655" s="2" t="inlineStr"/>
    </row>
    <row r="656" ht="15" customHeight="1">
      <c r="A656" t="inlineStr">
        <is>
          <t>A 672-2024</t>
        </is>
      </c>
      <c r="B656" s="1" t="n">
        <v>45300</v>
      </c>
      <c r="C656" s="1" t="n">
        <v>46179</v>
      </c>
      <c r="D656" t="inlineStr">
        <is>
          <t>ÖSTERGÖTLANDS LÄN</t>
        </is>
      </c>
      <c r="E656" t="inlineStr">
        <is>
          <t>LINKÖPING</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42832-2023</t>
        </is>
      </c>
      <c r="B657" s="1" t="n">
        <v>45182.38091435185</v>
      </c>
      <c r="C657" s="1" t="n">
        <v>46179</v>
      </c>
      <c r="D657" t="inlineStr">
        <is>
          <t>ÖSTERGÖTLANDS LÄN</t>
        </is>
      </c>
      <c r="E657" t="inlineStr">
        <is>
          <t>LINKÖPING</t>
        </is>
      </c>
      <c r="G657" t="n">
        <v>2.5</v>
      </c>
      <c r="H657" t="n">
        <v>0</v>
      </c>
      <c r="I657" t="n">
        <v>0</v>
      </c>
      <c r="J657" t="n">
        <v>0</v>
      </c>
      <c r="K657" t="n">
        <v>0</v>
      </c>
      <c r="L657" t="n">
        <v>0</v>
      </c>
      <c r="M657" t="n">
        <v>0</v>
      </c>
      <c r="N657" t="n">
        <v>0</v>
      </c>
      <c r="O657" t="n">
        <v>0</v>
      </c>
      <c r="P657" t="n">
        <v>0</v>
      </c>
      <c r="Q657" t="n">
        <v>0</v>
      </c>
      <c r="R657" s="2" t="inlineStr"/>
    </row>
    <row r="658" ht="15" customHeight="1">
      <c r="A658" t="inlineStr">
        <is>
          <t>A 5872-2025</t>
        </is>
      </c>
      <c r="B658" s="1" t="n">
        <v>45695.36659722222</v>
      </c>
      <c r="C658" s="1" t="n">
        <v>46179</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46179</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51583-2024</t>
        </is>
      </c>
      <c r="B660" s="1" t="n">
        <v>45604.6397337963</v>
      </c>
      <c r="C660" s="1" t="n">
        <v>46179</v>
      </c>
      <c r="D660" t="inlineStr">
        <is>
          <t>ÖSTERGÖTLANDS LÄN</t>
        </is>
      </c>
      <c r="E660" t="inlineStr">
        <is>
          <t>LINKÖPING</t>
        </is>
      </c>
      <c r="F660" t="inlineStr">
        <is>
          <t>Övriga Aktiebolag</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62019-2024</t>
        </is>
      </c>
      <c r="B661" s="1" t="n">
        <v>45655.82</v>
      </c>
      <c r="C661" s="1" t="n">
        <v>46179</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38317-2024</t>
        </is>
      </c>
      <c r="B662" s="1" t="n">
        <v>45545.65766203704</v>
      </c>
      <c r="C662" s="1" t="n">
        <v>46179</v>
      </c>
      <c r="D662" t="inlineStr">
        <is>
          <t>ÖSTERGÖTLANDS LÄN</t>
        </is>
      </c>
      <c r="E662" t="inlineStr">
        <is>
          <t>LINKÖPING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50182-2023</t>
        </is>
      </c>
      <c r="B663" s="1" t="n">
        <v>45208</v>
      </c>
      <c r="C663" s="1" t="n">
        <v>46179</v>
      </c>
      <c r="D663" t="inlineStr">
        <is>
          <t>ÖSTERGÖTLANDS LÄN</t>
        </is>
      </c>
      <c r="E663" t="inlineStr">
        <is>
          <t>LINKÖPING</t>
        </is>
      </c>
      <c r="G663" t="n">
        <v>2.5</v>
      </c>
      <c r="H663" t="n">
        <v>0</v>
      </c>
      <c r="I663" t="n">
        <v>0</v>
      </c>
      <c r="J663" t="n">
        <v>0</v>
      </c>
      <c r="K663" t="n">
        <v>0</v>
      </c>
      <c r="L663" t="n">
        <v>0</v>
      </c>
      <c r="M663" t="n">
        <v>0</v>
      </c>
      <c r="N663" t="n">
        <v>0</v>
      </c>
      <c r="O663" t="n">
        <v>0</v>
      </c>
      <c r="P663" t="n">
        <v>0</v>
      </c>
      <c r="Q663" t="n">
        <v>0</v>
      </c>
      <c r="R663" s="2" t="inlineStr"/>
    </row>
    <row r="664" ht="15" customHeight="1">
      <c r="A664" t="inlineStr">
        <is>
          <t>A 1844-2025</t>
        </is>
      </c>
      <c r="B664" s="1" t="n">
        <v>45671.57730324074</v>
      </c>
      <c r="C664" s="1" t="n">
        <v>46179</v>
      </c>
      <c r="D664" t="inlineStr">
        <is>
          <t>ÖSTERGÖTLANDS LÄN</t>
        </is>
      </c>
      <c r="E664" t="inlineStr">
        <is>
          <t>LINKÖPING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21155-2025</t>
        </is>
      </c>
      <c r="B665" s="1" t="n">
        <v>45779.37586805555</v>
      </c>
      <c r="C665" s="1" t="n">
        <v>46179</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21165-2025</t>
        </is>
      </c>
      <c r="B666" s="1" t="n">
        <v>45779.39417824074</v>
      </c>
      <c r="C666" s="1" t="n">
        <v>46179</v>
      </c>
      <c r="D666" t="inlineStr">
        <is>
          <t>ÖSTERGÖTLANDS LÄN</t>
        </is>
      </c>
      <c r="E666" t="inlineStr">
        <is>
          <t>LINKÖPING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57752-2023</t>
        </is>
      </c>
      <c r="B667" s="1" t="n">
        <v>45246.78474537037</v>
      </c>
      <c r="C667" s="1" t="n">
        <v>46179</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9473-2024</t>
        </is>
      </c>
      <c r="B668" s="1" t="n">
        <v>45359.55474537037</v>
      </c>
      <c r="C668" s="1" t="n">
        <v>46179</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10797-2024</t>
        </is>
      </c>
      <c r="B669" s="1" t="n">
        <v>45369.6190162037</v>
      </c>
      <c r="C669" s="1" t="n">
        <v>46179</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22264-2025</t>
        </is>
      </c>
      <c r="B670" s="1" t="n">
        <v>45785</v>
      </c>
      <c r="C670" s="1" t="n">
        <v>46179</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6859-2024</t>
        </is>
      </c>
      <c r="B671" s="1" t="n">
        <v>45342</v>
      </c>
      <c r="C671" s="1" t="n">
        <v>46179</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38580-2024</t>
        </is>
      </c>
      <c r="B672" s="1" t="n">
        <v>45546.64825231482</v>
      </c>
      <c r="C672" s="1" t="n">
        <v>46179</v>
      </c>
      <c r="D672" t="inlineStr">
        <is>
          <t>ÖSTERGÖTLANDS LÄN</t>
        </is>
      </c>
      <c r="E672" t="inlineStr">
        <is>
          <t>LINKÖPING</t>
        </is>
      </c>
      <c r="G672" t="n">
        <v>4.8</v>
      </c>
      <c r="H672" t="n">
        <v>0</v>
      </c>
      <c r="I672" t="n">
        <v>0</v>
      </c>
      <c r="J672" t="n">
        <v>0</v>
      </c>
      <c r="K672" t="n">
        <v>0</v>
      </c>
      <c r="L672" t="n">
        <v>0</v>
      </c>
      <c r="M672" t="n">
        <v>0</v>
      </c>
      <c r="N672" t="n">
        <v>0</v>
      </c>
      <c r="O672" t="n">
        <v>0</v>
      </c>
      <c r="P672" t="n">
        <v>0</v>
      </c>
      <c r="Q672" t="n">
        <v>0</v>
      </c>
      <c r="R672" s="2" t="inlineStr"/>
    </row>
    <row r="673" ht="15" customHeight="1">
      <c r="A673" t="inlineStr">
        <is>
          <t>A 572-2025</t>
        </is>
      </c>
      <c r="B673" s="1" t="n">
        <v>45664.56349537037</v>
      </c>
      <c r="C673" s="1" t="n">
        <v>46179</v>
      </c>
      <c r="D673" t="inlineStr">
        <is>
          <t>ÖSTERGÖTLANDS LÄN</t>
        </is>
      </c>
      <c r="E673" t="inlineStr">
        <is>
          <t>LINKÖPING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22364-2025</t>
        </is>
      </c>
      <c r="B674" s="1" t="n">
        <v>45786.46930555555</v>
      </c>
      <c r="C674" s="1" t="n">
        <v>46179</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44287-2024</t>
        </is>
      </c>
      <c r="B675" s="1" t="n">
        <v>45573.50582175926</v>
      </c>
      <c r="C675" s="1" t="n">
        <v>46179</v>
      </c>
      <c r="D675" t="inlineStr">
        <is>
          <t>ÖSTERGÖTLANDS LÄN</t>
        </is>
      </c>
      <c r="E675" t="inlineStr">
        <is>
          <t>LINKÖPING</t>
        </is>
      </c>
      <c r="G675" t="n">
        <v>12.7</v>
      </c>
      <c r="H675" t="n">
        <v>0</v>
      </c>
      <c r="I675" t="n">
        <v>0</v>
      </c>
      <c r="J675" t="n">
        <v>0</v>
      </c>
      <c r="K675" t="n">
        <v>0</v>
      </c>
      <c r="L675" t="n">
        <v>0</v>
      </c>
      <c r="M675" t="n">
        <v>0</v>
      </c>
      <c r="N675" t="n">
        <v>0</v>
      </c>
      <c r="O675" t="n">
        <v>0</v>
      </c>
      <c r="P675" t="n">
        <v>0</v>
      </c>
      <c r="Q675" t="n">
        <v>0</v>
      </c>
      <c r="R675" s="2" t="inlineStr"/>
    </row>
    <row r="676" ht="15" customHeight="1">
      <c r="A676" t="inlineStr">
        <is>
          <t>A 54332-2025</t>
        </is>
      </c>
      <c r="B676" s="1" t="n">
        <v>45965.34915509259</v>
      </c>
      <c r="C676" s="1" t="n">
        <v>46179</v>
      </c>
      <c r="D676" t="inlineStr">
        <is>
          <t>ÖSTERGÖTLANDS LÄN</t>
        </is>
      </c>
      <c r="E676" t="inlineStr">
        <is>
          <t>LINKÖPING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29312-2024</t>
        </is>
      </c>
      <c r="B677" s="1" t="n">
        <v>45483</v>
      </c>
      <c r="C677" s="1" t="n">
        <v>46179</v>
      </c>
      <c r="D677" t="inlineStr">
        <is>
          <t>ÖSTERGÖTLANDS LÄN</t>
        </is>
      </c>
      <c r="E677" t="inlineStr">
        <is>
          <t>LINKÖPING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39074-2025</t>
        </is>
      </c>
      <c r="B678" s="1" t="n">
        <v>45888</v>
      </c>
      <c r="C678" s="1" t="n">
        <v>46179</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23120-2025</t>
        </is>
      </c>
      <c r="B679" s="1" t="n">
        <v>45791.37481481482</v>
      </c>
      <c r="C679" s="1" t="n">
        <v>46179</v>
      </c>
      <c r="D679" t="inlineStr">
        <is>
          <t>ÖSTERGÖTLANDS LÄN</t>
        </is>
      </c>
      <c r="E679" t="inlineStr">
        <is>
          <t>LINKÖPING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48699-2024</t>
        </is>
      </c>
      <c r="B680" s="1" t="n">
        <v>45593.52091435185</v>
      </c>
      <c r="C680" s="1" t="n">
        <v>46179</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12174-2026</t>
        </is>
      </c>
      <c r="B681" s="1" t="n">
        <v>46086</v>
      </c>
      <c r="C681" s="1" t="n">
        <v>46179</v>
      </c>
      <c r="D681" t="inlineStr">
        <is>
          <t>ÖSTERGÖTLANDS LÄN</t>
        </is>
      </c>
      <c r="E681" t="inlineStr">
        <is>
          <t>LINKÖPING</t>
        </is>
      </c>
      <c r="G681" t="n">
        <v>7.2</v>
      </c>
      <c r="H681" t="n">
        <v>0</v>
      </c>
      <c r="I681" t="n">
        <v>0</v>
      </c>
      <c r="J681" t="n">
        <v>0</v>
      </c>
      <c r="K681" t="n">
        <v>0</v>
      </c>
      <c r="L681" t="n">
        <v>0</v>
      </c>
      <c r="M681" t="n">
        <v>0</v>
      </c>
      <c r="N681" t="n">
        <v>0</v>
      </c>
      <c r="O681" t="n">
        <v>0</v>
      </c>
      <c r="P681" t="n">
        <v>0</v>
      </c>
      <c r="Q681" t="n">
        <v>0</v>
      </c>
      <c r="R681" s="2" t="inlineStr"/>
    </row>
    <row r="682" ht="15" customHeight="1">
      <c r="A682" t="inlineStr">
        <is>
          <t>A 38971-2025</t>
        </is>
      </c>
      <c r="B682" s="1" t="n">
        <v>45887.71827546296</v>
      </c>
      <c r="C682" s="1" t="n">
        <v>46179</v>
      </c>
      <c r="D682" t="inlineStr">
        <is>
          <t>ÖSTERGÖTLANDS LÄN</t>
        </is>
      </c>
      <c r="E682" t="inlineStr">
        <is>
          <t>LINKÖPING</t>
        </is>
      </c>
      <c r="G682" t="n">
        <v>3.9</v>
      </c>
      <c r="H682" t="n">
        <v>0</v>
      </c>
      <c r="I682" t="n">
        <v>0</v>
      </c>
      <c r="J682" t="n">
        <v>0</v>
      </c>
      <c r="K682" t="n">
        <v>0</v>
      </c>
      <c r="L682" t="n">
        <v>0</v>
      </c>
      <c r="M682" t="n">
        <v>0</v>
      </c>
      <c r="N682" t="n">
        <v>0</v>
      </c>
      <c r="O682" t="n">
        <v>0</v>
      </c>
      <c r="P682" t="n">
        <v>0</v>
      </c>
      <c r="Q682" t="n">
        <v>0</v>
      </c>
      <c r="R682" s="2" t="inlineStr"/>
    </row>
    <row r="683" ht="15" customHeight="1">
      <c r="A683" t="inlineStr">
        <is>
          <t>A 27950-2025</t>
        </is>
      </c>
      <c r="B683" s="1" t="n">
        <v>45817.52960648148</v>
      </c>
      <c r="C683" s="1" t="n">
        <v>46179</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8967-2025</t>
        </is>
      </c>
      <c r="B684" s="1" t="n">
        <v>45712</v>
      </c>
      <c r="C684" s="1" t="n">
        <v>46179</v>
      </c>
      <c r="D684" t="inlineStr">
        <is>
          <t>ÖSTERGÖTLANDS LÄN</t>
        </is>
      </c>
      <c r="E684" t="inlineStr">
        <is>
          <t>LINKÖPING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42623-2025</t>
        </is>
      </c>
      <c r="B685" s="1" t="n">
        <v>45905</v>
      </c>
      <c r="C685" s="1" t="n">
        <v>46179</v>
      </c>
      <c r="D685" t="inlineStr">
        <is>
          <t>ÖSTERGÖTLANDS LÄN</t>
        </is>
      </c>
      <c r="E685" t="inlineStr">
        <is>
          <t>LINKÖPING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49650-2025</t>
        </is>
      </c>
      <c r="B686" s="1" t="n">
        <v>45938</v>
      </c>
      <c r="C686" s="1" t="n">
        <v>46179</v>
      </c>
      <c r="D686" t="inlineStr">
        <is>
          <t>ÖSTERGÖTLANDS LÄN</t>
        </is>
      </c>
      <c r="E686" t="inlineStr">
        <is>
          <t>LINKÖPING</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62791-2025</t>
        </is>
      </c>
      <c r="B687" s="1" t="n">
        <v>46008.63266203704</v>
      </c>
      <c r="C687" s="1" t="n">
        <v>46179</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62687-2023</t>
        </is>
      </c>
      <c r="B688" s="1" t="n">
        <v>45271</v>
      </c>
      <c r="C688" s="1" t="n">
        <v>46179</v>
      </c>
      <c r="D688" t="inlineStr">
        <is>
          <t>ÖSTERGÖTLANDS LÄN</t>
        </is>
      </c>
      <c r="E688" t="inlineStr">
        <is>
          <t>LINKÖPING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7133-2026</t>
        </is>
      </c>
      <c r="B689" s="1" t="n">
        <v>46057</v>
      </c>
      <c r="C689" s="1" t="n">
        <v>46179</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22772-2024</t>
        </is>
      </c>
      <c r="B690" s="1" t="n">
        <v>45448.46712962963</v>
      </c>
      <c r="C690" s="1" t="n">
        <v>46179</v>
      </c>
      <c r="D690" t="inlineStr">
        <is>
          <t>ÖSTERGÖTLANDS LÄN</t>
        </is>
      </c>
      <c r="E690" t="inlineStr">
        <is>
          <t>LINKÖPING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14135-2026</t>
        </is>
      </c>
      <c r="B691" s="1" t="n">
        <v>46099</v>
      </c>
      <c r="C691" s="1" t="n">
        <v>46179</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12175-2026</t>
        </is>
      </c>
      <c r="B692" s="1" t="n">
        <v>46086</v>
      </c>
      <c r="C692" s="1" t="n">
        <v>46179</v>
      </c>
      <c r="D692" t="inlineStr">
        <is>
          <t>ÖSTERGÖTLANDS LÄN</t>
        </is>
      </c>
      <c r="E692" t="inlineStr">
        <is>
          <t>LINKÖPING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12181-2026</t>
        </is>
      </c>
      <c r="B693" s="1" t="n">
        <v>46086</v>
      </c>
      <c r="C693" s="1" t="n">
        <v>46179</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20291-2025</t>
        </is>
      </c>
      <c r="B694" s="1" t="n">
        <v>45774.74288194445</v>
      </c>
      <c r="C694" s="1" t="n">
        <v>46179</v>
      </c>
      <c r="D694" t="inlineStr">
        <is>
          <t>ÖSTERGÖTLANDS LÄN</t>
        </is>
      </c>
      <c r="E694" t="inlineStr">
        <is>
          <t>LINKÖPING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15748-2025</t>
        </is>
      </c>
      <c r="B695" s="1" t="n">
        <v>45748.55282407408</v>
      </c>
      <c r="C695" s="1" t="n">
        <v>46179</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c r="A696" t="inlineStr">
        <is>
          <t>A 28416-2025</t>
        </is>
      </c>
      <c r="B696" s="1" t="n">
        <v>45819.35346064815</v>
      </c>
      <c r="C696" s="1" t="n">
        <v>46179</v>
      </c>
      <c r="D696" t="inlineStr">
        <is>
          <t>ÖSTERGÖTLANDS LÄN</t>
        </is>
      </c>
      <c r="E696" t="inlineStr">
        <is>
          <t>LINKÖPING</t>
        </is>
      </c>
      <c r="F696" t="inlineStr">
        <is>
          <t>Sveaskog</t>
        </is>
      </c>
      <c r="G696" t="n">
        <v>3.7</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2026-06-06T10:37:50Z</dcterms:created>
  <dcterms:modified xmlns:dcterms="http://purl.org/dc/terms/" xmlns:xsi="http://www.w3.org/2001/XMLSchema-instance" xsi:type="dcterms:W3CDTF">2026-06-06T10:37:51Z</dcterms:modified>
</cp:coreProperties>
</file>