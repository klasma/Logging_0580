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46165</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46165</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46165</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46165</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46165</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46165</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46165</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49999-2025</t>
        </is>
      </c>
      <c r="B16" s="1" t="n">
        <v>45943.30185185185</v>
      </c>
      <c r="C16" s="1" t="n">
        <v>46165</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17275-2025</t>
        </is>
      </c>
      <c r="B17" s="1" t="n">
        <v>45756.55734953703</v>
      </c>
      <c r="C17" s="1" t="n">
        <v>46165</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6353-2026</t>
        </is>
      </c>
      <c r="B18" s="1" t="n">
        <v>46055.61385416667</v>
      </c>
      <c r="C18" s="1" t="n">
        <v>46165</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11048-2026</t>
        </is>
      </c>
      <c r="B19" s="1" t="n">
        <v>46079.58841435185</v>
      </c>
      <c r="C19" s="1" t="n">
        <v>46165</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46165</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12494-2026</t>
        </is>
      </c>
      <c r="B21" s="1" t="n">
        <v>46090.56896990741</v>
      </c>
      <c r="C21" s="1" t="n">
        <v>46165</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46165</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46165</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46165</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46165</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46165</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46165</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46165</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46165</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46165</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22074-2026</t>
        </is>
      </c>
      <c r="B31" s="1" t="n">
        <v>46153.50032407408</v>
      </c>
      <c r="C31" s="1" t="n">
        <v>46165</v>
      </c>
      <c r="D31" t="inlineStr">
        <is>
          <t>ÖSTERGÖTLANDS LÄN</t>
        </is>
      </c>
      <c r="E31" t="inlineStr">
        <is>
          <t>LINKÖPING</t>
        </is>
      </c>
      <c r="G31" t="n">
        <v>1.9</v>
      </c>
      <c r="H31" t="n">
        <v>0</v>
      </c>
      <c r="I31" t="n">
        <v>2</v>
      </c>
      <c r="J31" t="n">
        <v>0</v>
      </c>
      <c r="K31" t="n">
        <v>0</v>
      </c>
      <c r="L31" t="n">
        <v>0</v>
      </c>
      <c r="M31" t="n">
        <v>0</v>
      </c>
      <c r="N31" t="n">
        <v>0</v>
      </c>
      <c r="O31" t="n">
        <v>0</v>
      </c>
      <c r="P31" t="n">
        <v>0</v>
      </c>
      <c r="Q31" t="n">
        <v>2</v>
      </c>
      <c r="R31" s="2" t="inlineStr">
        <is>
          <t>Blomkålssvamp
Mandelriska</t>
        </is>
      </c>
      <c r="S31">
        <f>HYPERLINK("https://klasma.github.io/Logging_0580/artfynd/A 22074-2026 artfynd.xlsx", "A 22074-2026")</f>
        <v/>
      </c>
      <c r="T31">
        <f>HYPERLINK("https://klasma.github.io/Logging_0580/kartor/A 22074-2026 karta.png", "A 22074-2026")</f>
        <v/>
      </c>
      <c r="V31">
        <f>HYPERLINK("https://klasma.github.io/Logging_0580/klagomål/A 22074-2026 FSC-klagomål.docx", "A 22074-2026")</f>
        <v/>
      </c>
      <c r="W31">
        <f>HYPERLINK("https://klasma.github.io/Logging_0580/klagomålsmail/A 22074-2026 FSC-klagomål mail.docx", "A 22074-2026")</f>
        <v/>
      </c>
      <c r="X31">
        <f>HYPERLINK("https://klasma.github.io/Logging_0580/tillsyn/A 22074-2026 tillsynsbegäran.docx", "A 22074-2026")</f>
        <v/>
      </c>
      <c r="Y31">
        <f>HYPERLINK("https://klasma.github.io/Logging_0580/tillsynsmail/A 22074-2026 tillsynsbegäran mail.docx", "A 22074-2026")</f>
        <v/>
      </c>
    </row>
    <row r="32" ht="15" customHeight="1">
      <c r="A32" t="inlineStr">
        <is>
          <t>A 25985-2025</t>
        </is>
      </c>
      <c r="B32" s="1" t="n">
        <v>45804.64479166667</v>
      </c>
      <c r="C32" s="1" t="n">
        <v>46165</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58068-2021</t>
        </is>
      </c>
      <c r="B33" s="1" t="n">
        <v>44487</v>
      </c>
      <c r="C33" s="1" t="n">
        <v>46165</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50048-2025</t>
        </is>
      </c>
      <c r="B34" s="1" t="n">
        <v>45941</v>
      </c>
      <c r="C34" s="1" t="n">
        <v>46165</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58068-2021</t>
        </is>
      </c>
      <c r="B35" s="1" t="n">
        <v>44487</v>
      </c>
      <c r="C35" s="1" t="n">
        <v>46165</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22040-2023</t>
        </is>
      </c>
      <c r="B36" s="1" t="n">
        <v>45068</v>
      </c>
      <c r="C36" s="1" t="n">
        <v>46165</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46165</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46165</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20292-2025</t>
        </is>
      </c>
      <c r="B39" s="1" t="n">
        <v>45774.7449537037</v>
      </c>
      <c r="C39" s="1" t="n">
        <v>46165</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46165</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3912-2026</t>
        </is>
      </c>
      <c r="B41" s="1" t="n">
        <v>46043.71958333333</v>
      </c>
      <c r="C41" s="1" t="n">
        <v>46165</v>
      </c>
      <c r="D41" t="inlineStr">
        <is>
          <t>ÖSTERGÖTLANDS LÄN</t>
        </is>
      </c>
      <c r="E41" t="inlineStr">
        <is>
          <t>LINKÖPING</t>
        </is>
      </c>
      <c r="F41" t="inlineStr">
        <is>
          <t>Kyrkan</t>
        </is>
      </c>
      <c r="G41" t="n">
        <v>6.8</v>
      </c>
      <c r="H41" t="n">
        <v>1</v>
      </c>
      <c r="I41" t="n">
        <v>1</v>
      </c>
      <c r="J41" t="n">
        <v>0</v>
      </c>
      <c r="K41" t="n">
        <v>1</v>
      </c>
      <c r="L41" t="n">
        <v>0</v>
      </c>
      <c r="M41" t="n">
        <v>0</v>
      </c>
      <c r="N41" t="n">
        <v>0</v>
      </c>
      <c r="O41" t="n">
        <v>1</v>
      </c>
      <c r="P41" t="n">
        <v>1</v>
      </c>
      <c r="Q41" t="n">
        <v>2</v>
      </c>
      <c r="R41" s="2" t="inlineStr">
        <is>
          <t>Knärot
Grönpyrola</t>
        </is>
      </c>
      <c r="S41">
        <f>HYPERLINK("https://klasma.github.io/Logging_0580/artfynd/A 3912-2026 artfynd.xlsx", "A 3912-2026")</f>
        <v/>
      </c>
      <c r="T41">
        <f>HYPERLINK("https://klasma.github.io/Logging_0580/kartor/A 3912-2026 karta.png", "A 3912-2026")</f>
        <v/>
      </c>
      <c r="U41">
        <f>HYPERLINK("https://klasma.github.io/Logging_0580/knärot/A 3912-2026 karta knärot.png", "A 3912-2026")</f>
        <v/>
      </c>
      <c r="V41">
        <f>HYPERLINK("https://klasma.github.io/Logging_0580/klagomål/A 3912-2026 FSC-klagomål.docx", "A 3912-2026")</f>
        <v/>
      </c>
      <c r="W41">
        <f>HYPERLINK("https://klasma.github.io/Logging_0580/klagomålsmail/A 3912-2026 FSC-klagomål mail.docx", "A 3912-2026")</f>
        <v/>
      </c>
      <c r="X41">
        <f>HYPERLINK("https://klasma.github.io/Logging_0580/tillsyn/A 3912-2026 tillsynsbegäran.docx", "A 3912-2026")</f>
        <v/>
      </c>
      <c r="Y41">
        <f>HYPERLINK("https://klasma.github.io/Logging_0580/tillsynsmail/A 3912-2026 tillsynsbegäran mail.docx", "A 3912-2026")</f>
        <v/>
      </c>
    </row>
    <row r="42" ht="15" customHeight="1">
      <c r="A42" t="inlineStr">
        <is>
          <t>A 12247-2026</t>
        </is>
      </c>
      <c r="B42" s="1" t="n">
        <v>46087.44436342592</v>
      </c>
      <c r="C42" s="1" t="n">
        <v>46165</v>
      </c>
      <c r="D42" t="inlineStr">
        <is>
          <t>ÖSTERGÖTLANDS LÄN</t>
        </is>
      </c>
      <c r="E42" t="inlineStr">
        <is>
          <t>LINKÖPING</t>
        </is>
      </c>
      <c r="G42" t="n">
        <v>0.9</v>
      </c>
      <c r="H42" t="n">
        <v>1</v>
      </c>
      <c r="I42" t="n">
        <v>0</v>
      </c>
      <c r="J42" t="n">
        <v>2</v>
      </c>
      <c r="K42" t="n">
        <v>0</v>
      </c>
      <c r="L42" t="n">
        <v>0</v>
      </c>
      <c r="M42" t="n">
        <v>0</v>
      </c>
      <c r="N42" t="n">
        <v>0</v>
      </c>
      <c r="O42" t="n">
        <v>2</v>
      </c>
      <c r="P42" t="n">
        <v>0</v>
      </c>
      <c r="Q42" t="n">
        <v>2</v>
      </c>
      <c r="R42" s="2" t="inlineStr">
        <is>
          <t>Spillkråka
Vedtrappmossa</t>
        </is>
      </c>
      <c r="S42">
        <f>HYPERLINK("https://klasma.github.io/Logging_0580/artfynd/A 12247-2026 artfynd.xlsx", "A 12247-2026")</f>
        <v/>
      </c>
      <c r="T42">
        <f>HYPERLINK("https://klasma.github.io/Logging_0580/kartor/A 12247-2026 karta.png", "A 12247-2026")</f>
        <v/>
      </c>
      <c r="V42">
        <f>HYPERLINK("https://klasma.github.io/Logging_0580/klagomål/A 12247-2026 FSC-klagomål.docx", "A 12247-2026")</f>
        <v/>
      </c>
      <c r="W42">
        <f>HYPERLINK("https://klasma.github.io/Logging_0580/klagomålsmail/A 12247-2026 FSC-klagomål mail.docx", "A 12247-2026")</f>
        <v/>
      </c>
      <c r="X42">
        <f>HYPERLINK("https://klasma.github.io/Logging_0580/tillsyn/A 12247-2026 tillsynsbegäran.docx", "A 12247-2026")</f>
        <v/>
      </c>
      <c r="Y42">
        <f>HYPERLINK("https://klasma.github.io/Logging_0580/tillsynsmail/A 12247-2026 tillsynsbegäran mail.docx", "A 12247-2026")</f>
        <v/>
      </c>
      <c r="Z42">
        <f>HYPERLINK("https://klasma.github.io/Logging_0580/fåglar/A 12247-2026 prioriterade fågelarter.docx", "A 12247-2026")</f>
        <v/>
      </c>
    </row>
    <row r="43" ht="15" customHeight="1">
      <c r="A43" t="inlineStr">
        <is>
          <t>A 21228-2026</t>
        </is>
      </c>
      <c r="B43" s="1" t="n">
        <v>46146.7919212963</v>
      </c>
      <c r="C43" s="1" t="n">
        <v>46165</v>
      </c>
      <c r="D43" t="inlineStr">
        <is>
          <t>ÖSTERGÖTLANDS LÄN</t>
        </is>
      </c>
      <c r="E43" t="inlineStr">
        <is>
          <t>LINKÖPING</t>
        </is>
      </c>
      <c r="G43" t="n">
        <v>2.5</v>
      </c>
      <c r="H43" t="n">
        <v>2</v>
      </c>
      <c r="I43" t="n">
        <v>0</v>
      </c>
      <c r="J43" t="n">
        <v>0</v>
      </c>
      <c r="K43" t="n">
        <v>0</v>
      </c>
      <c r="L43" t="n">
        <v>0</v>
      </c>
      <c r="M43" t="n">
        <v>0</v>
      </c>
      <c r="N43" t="n">
        <v>0</v>
      </c>
      <c r="O43" t="n">
        <v>0</v>
      </c>
      <c r="P43" t="n">
        <v>0</v>
      </c>
      <c r="Q43" t="n">
        <v>2</v>
      </c>
      <c r="R43" s="2" t="inlineStr">
        <is>
          <t>Kungsfågel
Vanlig groda</t>
        </is>
      </c>
      <c r="S43">
        <f>HYPERLINK("https://klasma.github.io/Logging_0580/artfynd/A 21228-2026 artfynd.xlsx", "A 21228-2026")</f>
        <v/>
      </c>
      <c r="T43">
        <f>HYPERLINK("https://klasma.github.io/Logging_0580/kartor/A 21228-2026 karta.png", "A 21228-2026")</f>
        <v/>
      </c>
      <c r="V43">
        <f>HYPERLINK("https://klasma.github.io/Logging_0580/klagomål/A 21228-2026 FSC-klagomål.docx", "A 21228-2026")</f>
        <v/>
      </c>
      <c r="W43">
        <f>HYPERLINK("https://klasma.github.io/Logging_0580/klagomålsmail/A 21228-2026 FSC-klagomål mail.docx", "A 21228-2026")</f>
        <v/>
      </c>
      <c r="X43">
        <f>HYPERLINK("https://klasma.github.io/Logging_0580/tillsyn/A 21228-2026 tillsynsbegäran.docx", "A 21228-2026")</f>
        <v/>
      </c>
      <c r="Y43">
        <f>HYPERLINK("https://klasma.github.io/Logging_0580/tillsynsmail/A 21228-2026 tillsynsbegäran mail.docx", "A 21228-2026")</f>
        <v/>
      </c>
      <c r="Z43">
        <f>HYPERLINK("https://klasma.github.io/Logging_0580/fåglar/A 21228-2026 prioriterade fågelarter.docx", "A 21228-2026")</f>
        <v/>
      </c>
    </row>
    <row r="44" ht="15" customHeight="1">
      <c r="A44" t="inlineStr">
        <is>
          <t>A 15856-2026</t>
        </is>
      </c>
      <c r="B44" s="1" t="n">
        <v>46107.57620370371</v>
      </c>
      <c r="C44" s="1" t="n">
        <v>46165</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15844-2026</t>
        </is>
      </c>
      <c r="B45" s="1" t="n">
        <v>46107.56542824074</v>
      </c>
      <c r="C45" s="1" t="n">
        <v>46165</v>
      </c>
      <c r="D45" t="inlineStr">
        <is>
          <t>ÖSTERGÖTLANDS LÄN</t>
        </is>
      </c>
      <c r="E45" t="inlineStr">
        <is>
          <t>LINKÖPING</t>
        </is>
      </c>
      <c r="F45" t="inlineStr">
        <is>
          <t>Sveaskog</t>
        </is>
      </c>
      <c r="G45" t="n">
        <v>10.6</v>
      </c>
      <c r="H45" t="n">
        <v>0</v>
      </c>
      <c r="I45" t="n">
        <v>2</v>
      </c>
      <c r="J45" t="n">
        <v>0</v>
      </c>
      <c r="K45" t="n">
        <v>0</v>
      </c>
      <c r="L45" t="n">
        <v>0</v>
      </c>
      <c r="M45" t="n">
        <v>0</v>
      </c>
      <c r="N45" t="n">
        <v>0</v>
      </c>
      <c r="O45" t="n">
        <v>0</v>
      </c>
      <c r="P45" t="n">
        <v>0</v>
      </c>
      <c r="Q45" t="n">
        <v>2</v>
      </c>
      <c r="R45" s="2" t="inlineStr">
        <is>
          <t>Fällmossa
Toppvaxing</t>
        </is>
      </c>
      <c r="S45">
        <f>HYPERLINK("https://klasma.github.io/Logging_0580/artfynd/A 15844-2026 artfynd.xlsx", "A 15844-2026")</f>
        <v/>
      </c>
      <c r="T45">
        <f>HYPERLINK("https://klasma.github.io/Logging_0580/kartor/A 15844-2026 karta.png", "A 15844-2026")</f>
        <v/>
      </c>
      <c r="V45">
        <f>HYPERLINK("https://klasma.github.io/Logging_0580/klagomål/A 15844-2026 FSC-klagomål.docx", "A 15844-2026")</f>
        <v/>
      </c>
      <c r="W45">
        <f>HYPERLINK("https://klasma.github.io/Logging_0580/klagomålsmail/A 15844-2026 FSC-klagomål mail.docx", "A 15844-2026")</f>
        <v/>
      </c>
      <c r="X45">
        <f>HYPERLINK("https://klasma.github.io/Logging_0580/tillsyn/A 15844-2026 tillsynsbegäran.docx", "A 15844-2026")</f>
        <v/>
      </c>
      <c r="Y45">
        <f>HYPERLINK("https://klasma.github.io/Logging_0580/tillsynsmail/A 15844-2026 tillsynsbegäran mail.docx", "A 15844-2026")</f>
        <v/>
      </c>
    </row>
    <row r="46" ht="15" customHeight="1">
      <c r="A46" t="inlineStr">
        <is>
          <t>A 41751-2023</t>
        </is>
      </c>
      <c r="B46" s="1" t="n">
        <v>45176</v>
      </c>
      <c r="C46" s="1" t="n">
        <v>46165</v>
      </c>
      <c r="D46" t="inlineStr">
        <is>
          <t>ÖSTERGÖTLANDS LÄN</t>
        </is>
      </c>
      <c r="E46" t="inlineStr">
        <is>
          <t>LINKÖPING</t>
        </is>
      </c>
      <c r="G46" t="n">
        <v>1.5</v>
      </c>
      <c r="H46" t="n">
        <v>1</v>
      </c>
      <c r="I46" t="n">
        <v>0</v>
      </c>
      <c r="J46" t="n">
        <v>1</v>
      </c>
      <c r="K46" t="n">
        <v>0</v>
      </c>
      <c r="L46" t="n">
        <v>0</v>
      </c>
      <c r="M46" t="n">
        <v>0</v>
      </c>
      <c r="N46" t="n">
        <v>0</v>
      </c>
      <c r="O46" t="n">
        <v>1</v>
      </c>
      <c r="P46" t="n">
        <v>0</v>
      </c>
      <c r="Q46" t="n">
        <v>2</v>
      </c>
      <c r="R46" s="2" t="inlineStr">
        <is>
          <t>Svinrot
Grönvit nattviol</t>
        </is>
      </c>
      <c r="S46">
        <f>HYPERLINK("https://klasma.github.io/Logging_0580/artfynd/A 41751-2023 artfynd.xlsx", "A 41751-2023")</f>
        <v/>
      </c>
      <c r="T46">
        <f>HYPERLINK("https://klasma.github.io/Logging_0580/kartor/A 41751-2023 karta.png", "A 41751-2023")</f>
        <v/>
      </c>
      <c r="V46">
        <f>HYPERLINK("https://klasma.github.io/Logging_0580/klagomål/A 41751-2023 FSC-klagomål.docx", "A 41751-2023")</f>
        <v/>
      </c>
      <c r="W46">
        <f>HYPERLINK("https://klasma.github.io/Logging_0580/klagomålsmail/A 41751-2023 FSC-klagomål mail.docx", "A 41751-2023")</f>
        <v/>
      </c>
      <c r="X46">
        <f>HYPERLINK("https://klasma.github.io/Logging_0580/tillsyn/A 41751-2023 tillsynsbegäran.docx", "A 41751-2023")</f>
        <v/>
      </c>
      <c r="Y46">
        <f>HYPERLINK("https://klasma.github.io/Logging_0580/tillsynsmail/A 41751-2023 tillsynsbegäran mail.docx", "A 41751-2023")</f>
        <v/>
      </c>
    </row>
    <row r="47" ht="15" customHeight="1">
      <c r="A47" t="inlineStr">
        <is>
          <t>A 42858-2023</t>
        </is>
      </c>
      <c r="B47" s="1" t="n">
        <v>45177</v>
      </c>
      <c r="C47" s="1" t="n">
        <v>46165</v>
      </c>
      <c r="D47" t="inlineStr">
        <is>
          <t>ÖSTERGÖTLANDS LÄN</t>
        </is>
      </c>
      <c r="E47" t="inlineStr">
        <is>
          <t>LINKÖPING</t>
        </is>
      </c>
      <c r="G47" t="n">
        <v>5.3</v>
      </c>
      <c r="H47" t="n">
        <v>1</v>
      </c>
      <c r="I47" t="n">
        <v>0</v>
      </c>
      <c r="J47" t="n">
        <v>1</v>
      </c>
      <c r="K47" t="n">
        <v>0</v>
      </c>
      <c r="L47" t="n">
        <v>0</v>
      </c>
      <c r="M47" t="n">
        <v>0</v>
      </c>
      <c r="N47" t="n">
        <v>0</v>
      </c>
      <c r="O47" t="n">
        <v>1</v>
      </c>
      <c r="P47" t="n">
        <v>0</v>
      </c>
      <c r="Q47" t="n">
        <v>2</v>
      </c>
      <c r="R47" s="2" t="inlineStr">
        <is>
          <t>Svinrot
Skogsödla</t>
        </is>
      </c>
      <c r="S47">
        <f>HYPERLINK("https://klasma.github.io/Logging_0580/artfynd/A 42858-2023 artfynd.xlsx", "A 42858-2023")</f>
        <v/>
      </c>
      <c r="T47">
        <f>HYPERLINK("https://klasma.github.io/Logging_0580/kartor/A 42858-2023 karta.png", "A 42858-2023")</f>
        <v/>
      </c>
      <c r="V47">
        <f>HYPERLINK("https://klasma.github.io/Logging_0580/klagomål/A 42858-2023 FSC-klagomål.docx", "A 42858-2023")</f>
        <v/>
      </c>
      <c r="W47">
        <f>HYPERLINK("https://klasma.github.io/Logging_0580/klagomålsmail/A 42858-2023 FSC-klagomål mail.docx", "A 42858-2023")</f>
        <v/>
      </c>
      <c r="X47">
        <f>HYPERLINK("https://klasma.github.io/Logging_0580/tillsyn/A 42858-2023 tillsynsbegäran.docx", "A 42858-2023")</f>
        <v/>
      </c>
      <c r="Y47">
        <f>HYPERLINK("https://klasma.github.io/Logging_0580/tillsynsmail/A 42858-2023 tillsynsbegäran mail.docx", "A 42858-2023")</f>
        <v/>
      </c>
    </row>
    <row r="48" ht="15" customHeight="1">
      <c r="A48" t="inlineStr">
        <is>
          <t>A 55344-2024</t>
        </is>
      </c>
      <c r="B48" s="1" t="n">
        <v>45621.7202662037</v>
      </c>
      <c r="C48" s="1" t="n">
        <v>46165</v>
      </c>
      <c r="D48" t="inlineStr">
        <is>
          <t>ÖSTERGÖTLANDS LÄN</t>
        </is>
      </c>
      <c r="E48" t="inlineStr">
        <is>
          <t>LINKÖPING</t>
        </is>
      </c>
      <c r="G48" t="n">
        <v>6.6</v>
      </c>
      <c r="H48" t="n">
        <v>0</v>
      </c>
      <c r="I48" t="n">
        <v>0</v>
      </c>
      <c r="J48" t="n">
        <v>2</v>
      </c>
      <c r="K48" t="n">
        <v>0</v>
      </c>
      <c r="L48" t="n">
        <v>0</v>
      </c>
      <c r="M48" t="n">
        <v>0</v>
      </c>
      <c r="N48" t="n">
        <v>0</v>
      </c>
      <c r="O48" t="n">
        <v>2</v>
      </c>
      <c r="P48" t="n">
        <v>0</v>
      </c>
      <c r="Q48" t="n">
        <v>2</v>
      </c>
      <c r="R48" s="2" t="inlineStr">
        <is>
          <t>Kandelabersvamp
Stjärnnästing</t>
        </is>
      </c>
      <c r="S48">
        <f>HYPERLINK("https://klasma.github.io/Logging_0580/artfynd/A 55344-2024 artfynd.xlsx", "A 55344-2024")</f>
        <v/>
      </c>
      <c r="T48">
        <f>HYPERLINK("https://klasma.github.io/Logging_0580/kartor/A 55344-2024 karta.png", "A 55344-2024")</f>
        <v/>
      </c>
      <c r="V48">
        <f>HYPERLINK("https://klasma.github.io/Logging_0580/klagomål/A 55344-2024 FSC-klagomål.docx", "A 55344-2024")</f>
        <v/>
      </c>
      <c r="W48">
        <f>HYPERLINK("https://klasma.github.io/Logging_0580/klagomålsmail/A 55344-2024 FSC-klagomål mail.docx", "A 55344-2024")</f>
        <v/>
      </c>
      <c r="X48">
        <f>HYPERLINK("https://klasma.github.io/Logging_0580/tillsyn/A 55344-2024 tillsynsbegäran.docx", "A 55344-2024")</f>
        <v/>
      </c>
      <c r="Y48">
        <f>HYPERLINK("https://klasma.github.io/Logging_0580/tillsynsmail/A 55344-2024 tillsynsbegäran mail.docx", "A 55344-2024")</f>
        <v/>
      </c>
    </row>
    <row r="49" ht="15" customHeight="1">
      <c r="A49" t="inlineStr">
        <is>
          <t>A 21326-2025</t>
        </is>
      </c>
      <c r="B49" s="1" t="n">
        <v>45782.35407407407</v>
      </c>
      <c r="C49" s="1" t="n">
        <v>46165</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27795-2025</t>
        </is>
      </c>
      <c r="B50" s="1" t="n">
        <v>45816.7908912037</v>
      </c>
      <c r="C50" s="1" t="n">
        <v>46165</v>
      </c>
      <c r="D50" t="inlineStr">
        <is>
          <t>ÖSTERGÖTLANDS LÄN</t>
        </is>
      </c>
      <c r="E50" t="inlineStr">
        <is>
          <t>LINKÖPING</t>
        </is>
      </c>
      <c r="G50" t="n">
        <v>5</v>
      </c>
      <c r="H50" t="n">
        <v>0</v>
      </c>
      <c r="I50" t="n">
        <v>0</v>
      </c>
      <c r="J50" t="n">
        <v>2</v>
      </c>
      <c r="K50" t="n">
        <v>0</v>
      </c>
      <c r="L50" t="n">
        <v>0</v>
      </c>
      <c r="M50" t="n">
        <v>0</v>
      </c>
      <c r="N50" t="n">
        <v>0</v>
      </c>
      <c r="O50" t="n">
        <v>2</v>
      </c>
      <c r="P50" t="n">
        <v>0</v>
      </c>
      <c r="Q50" t="n">
        <v>2</v>
      </c>
      <c r="R50" s="2" t="inlineStr">
        <is>
          <t>Svinrot
Ängsskära</t>
        </is>
      </c>
      <c r="S50">
        <f>HYPERLINK("https://klasma.github.io/Logging_0580/artfynd/A 27795-2025 artfynd.xlsx", "A 27795-2025")</f>
        <v/>
      </c>
      <c r="T50">
        <f>HYPERLINK("https://klasma.github.io/Logging_0580/kartor/A 27795-2025 karta.png", "A 27795-2025")</f>
        <v/>
      </c>
      <c r="V50">
        <f>HYPERLINK("https://klasma.github.io/Logging_0580/klagomål/A 27795-2025 FSC-klagomål.docx", "A 27795-2025")</f>
        <v/>
      </c>
      <c r="W50">
        <f>HYPERLINK("https://klasma.github.io/Logging_0580/klagomålsmail/A 27795-2025 FSC-klagomål mail.docx", "A 27795-2025")</f>
        <v/>
      </c>
      <c r="X50">
        <f>HYPERLINK("https://klasma.github.io/Logging_0580/tillsyn/A 27795-2025 tillsynsbegäran.docx", "A 27795-2025")</f>
        <v/>
      </c>
      <c r="Y50">
        <f>HYPERLINK("https://klasma.github.io/Logging_0580/tillsynsmail/A 27795-2025 tillsynsbegäran mail.docx", "A 27795-2025")</f>
        <v/>
      </c>
    </row>
    <row r="51" ht="15" customHeight="1">
      <c r="A51" t="inlineStr">
        <is>
          <t>A 38129-2021</t>
        </is>
      </c>
      <c r="B51" s="1" t="n">
        <v>44405.37199074074</v>
      </c>
      <c r="C51" s="1" t="n">
        <v>46165</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46165</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46165</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46165</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46165</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46165</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931-2025</t>
        </is>
      </c>
      <c r="B57" s="1" t="n">
        <v>45665.88498842593</v>
      </c>
      <c r="C57" s="1" t="n">
        <v>46165</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1716-2023</t>
        </is>
      </c>
      <c r="B58" s="1" t="n">
        <v>44938</v>
      </c>
      <c r="C58" s="1" t="n">
        <v>46165</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1716-2023 artfynd.xlsx", "A 1716-2023")</f>
        <v/>
      </c>
      <c r="T58">
        <f>HYPERLINK("https://klasma.github.io/Logging_0580/kartor/A 1716-2023 karta.png", "A 1716-2023")</f>
        <v/>
      </c>
      <c r="V58">
        <f>HYPERLINK("https://klasma.github.io/Logging_0580/klagomål/A 1716-2023 FSC-klagomål.docx", "A 1716-2023")</f>
        <v/>
      </c>
      <c r="W58">
        <f>HYPERLINK("https://klasma.github.io/Logging_0580/klagomålsmail/A 1716-2023 FSC-klagomål mail.docx", "A 1716-2023")</f>
        <v/>
      </c>
      <c r="X58">
        <f>HYPERLINK("https://klasma.github.io/Logging_0580/tillsyn/A 1716-2023 tillsynsbegäran.docx", "A 1716-2023")</f>
        <v/>
      </c>
      <c r="Y58">
        <f>HYPERLINK("https://klasma.github.io/Logging_0580/tillsynsmail/A 1716-2023 tillsynsbegäran mail.docx", "A 1716-2023")</f>
        <v/>
      </c>
    </row>
    <row r="59" ht="15" customHeight="1">
      <c r="A59" t="inlineStr">
        <is>
          <t>A 1213-2023</t>
        </is>
      </c>
      <c r="B59" s="1" t="n">
        <v>44930</v>
      </c>
      <c r="C59" s="1" t="n">
        <v>46165</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46165</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59948-2022</t>
        </is>
      </c>
      <c r="B61" s="1" t="n">
        <v>44909</v>
      </c>
      <c r="C61" s="1" t="n">
        <v>46165</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37683-2024</t>
        </is>
      </c>
      <c r="B62" s="1" t="n">
        <v>45541.59120370371</v>
      </c>
      <c r="C62" s="1" t="n">
        <v>46165</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36723-2023</t>
        </is>
      </c>
      <c r="B63" s="1" t="n">
        <v>45153</v>
      </c>
      <c r="C63" s="1" t="n">
        <v>46165</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22526-2025</t>
        </is>
      </c>
      <c r="B64" s="1" t="n">
        <v>45786.78096064815</v>
      </c>
      <c r="C64" s="1" t="n">
        <v>46165</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56651-2023</t>
        </is>
      </c>
      <c r="B65" s="1" t="n">
        <v>45243</v>
      </c>
      <c r="C65" s="1" t="n">
        <v>46165</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46165</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42054-2022</t>
        </is>
      </c>
      <c r="B67" s="1" t="n">
        <v>44830</v>
      </c>
      <c r="C67" s="1" t="n">
        <v>46165</v>
      </c>
      <c r="D67" t="inlineStr">
        <is>
          <t>ÖSTERGÖTLANDS LÄN</t>
        </is>
      </c>
      <c r="E67" t="inlineStr">
        <is>
          <t>LINKÖPING</t>
        </is>
      </c>
      <c r="G67" t="n">
        <v>1.7</v>
      </c>
      <c r="H67" t="n">
        <v>0</v>
      </c>
      <c r="I67" t="n">
        <v>0</v>
      </c>
      <c r="J67" t="n">
        <v>1</v>
      </c>
      <c r="K67" t="n">
        <v>0</v>
      </c>
      <c r="L67" t="n">
        <v>0</v>
      </c>
      <c r="M67" t="n">
        <v>0</v>
      </c>
      <c r="N67" t="n">
        <v>0</v>
      </c>
      <c r="O67" t="n">
        <v>1</v>
      </c>
      <c r="P67" t="n">
        <v>0</v>
      </c>
      <c r="Q67" t="n">
        <v>1</v>
      </c>
      <c r="R67" s="2" t="inlineStr">
        <is>
          <t>Tallticka</t>
        </is>
      </c>
      <c r="S67">
        <f>HYPERLINK("https://klasma.github.io/Logging_0580/artfynd/A 42054-2022 artfynd.xlsx", "A 42054-2022")</f>
        <v/>
      </c>
      <c r="T67">
        <f>HYPERLINK("https://klasma.github.io/Logging_0580/kartor/A 42054-2022 karta.png", "A 42054-2022")</f>
        <v/>
      </c>
      <c r="V67">
        <f>HYPERLINK("https://klasma.github.io/Logging_0580/klagomål/A 42054-2022 FSC-klagomål.docx", "A 42054-2022")</f>
        <v/>
      </c>
      <c r="W67">
        <f>HYPERLINK("https://klasma.github.io/Logging_0580/klagomålsmail/A 42054-2022 FSC-klagomål mail.docx", "A 42054-2022")</f>
        <v/>
      </c>
      <c r="X67">
        <f>HYPERLINK("https://klasma.github.io/Logging_0580/tillsyn/A 42054-2022 tillsynsbegäran.docx", "A 42054-2022")</f>
        <v/>
      </c>
      <c r="Y67">
        <f>HYPERLINK("https://klasma.github.io/Logging_0580/tillsynsmail/A 42054-2022 tillsynsbegäran mail.docx", "A 42054-2022")</f>
        <v/>
      </c>
    </row>
    <row r="68" ht="15" customHeight="1">
      <c r="A68" t="inlineStr">
        <is>
          <t>A 43989-2025</t>
        </is>
      </c>
      <c r="B68" s="1" t="n">
        <v>45915.44128472222</v>
      </c>
      <c r="C68" s="1" t="n">
        <v>46165</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44760-2025</t>
        </is>
      </c>
      <c r="B69" s="1" t="n">
        <v>45917.71873842592</v>
      </c>
      <c r="C69" s="1" t="n">
        <v>46165</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5911-2022</t>
        </is>
      </c>
      <c r="B70" s="1" t="n">
        <v>44597</v>
      </c>
      <c r="C70" s="1" t="n">
        <v>46165</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46165</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46165</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48347-2025</t>
        </is>
      </c>
      <c r="B73" s="1" t="n">
        <v>45932</v>
      </c>
      <c r="C73" s="1" t="n">
        <v>46165</v>
      </c>
      <c r="D73" t="inlineStr">
        <is>
          <t>ÖSTERGÖTLANDS LÄN</t>
        </is>
      </c>
      <c r="E73" t="inlineStr">
        <is>
          <t>LINKÖPING</t>
        </is>
      </c>
      <c r="F73" t="inlineStr">
        <is>
          <t>Övriga Aktiebolag</t>
        </is>
      </c>
      <c r="G73" t="n">
        <v>0.9</v>
      </c>
      <c r="H73" t="n">
        <v>0</v>
      </c>
      <c r="I73" t="n">
        <v>0</v>
      </c>
      <c r="J73" t="n">
        <v>1</v>
      </c>
      <c r="K73" t="n">
        <v>0</v>
      </c>
      <c r="L73" t="n">
        <v>0</v>
      </c>
      <c r="M73" t="n">
        <v>0</v>
      </c>
      <c r="N73" t="n">
        <v>0</v>
      </c>
      <c r="O73" t="n">
        <v>1</v>
      </c>
      <c r="P73" t="n">
        <v>0</v>
      </c>
      <c r="Q73" t="n">
        <v>1</v>
      </c>
      <c r="R73" s="2" t="inlineStr">
        <is>
          <t>Igelkott</t>
        </is>
      </c>
      <c r="S73">
        <f>HYPERLINK("https://klasma.github.io/Logging_0580/artfynd/A 48347-2025 artfynd.xlsx", "A 48347-2025")</f>
        <v/>
      </c>
      <c r="T73">
        <f>HYPERLINK("https://klasma.github.io/Logging_0580/kartor/A 48347-2025 karta.png", "A 48347-2025")</f>
        <v/>
      </c>
      <c r="V73">
        <f>HYPERLINK("https://klasma.github.io/Logging_0580/klagomål/A 48347-2025 FSC-klagomål.docx", "A 48347-2025")</f>
        <v/>
      </c>
      <c r="W73">
        <f>HYPERLINK("https://klasma.github.io/Logging_0580/klagomålsmail/A 48347-2025 FSC-klagomål mail.docx", "A 48347-2025")</f>
        <v/>
      </c>
      <c r="X73">
        <f>HYPERLINK("https://klasma.github.io/Logging_0580/tillsyn/A 48347-2025 tillsynsbegäran.docx", "A 48347-2025")</f>
        <v/>
      </c>
      <c r="Y73">
        <f>HYPERLINK("https://klasma.github.io/Logging_0580/tillsynsmail/A 48347-2025 tillsynsbegäran mail.docx", "A 48347-2025")</f>
        <v/>
      </c>
    </row>
    <row r="74" ht="15" customHeight="1">
      <c r="A74" t="inlineStr">
        <is>
          <t>A 48353-2025</t>
        </is>
      </c>
      <c r="B74" s="1" t="n">
        <v>45932</v>
      </c>
      <c r="C74" s="1" t="n">
        <v>46165</v>
      </c>
      <c r="D74" t="inlineStr">
        <is>
          <t>ÖSTERGÖTLANDS LÄN</t>
        </is>
      </c>
      <c r="E74" t="inlineStr">
        <is>
          <t>LINKÖPING</t>
        </is>
      </c>
      <c r="F74" t="inlineStr">
        <is>
          <t>Övriga Aktiebolag</t>
        </is>
      </c>
      <c r="G74" t="n">
        <v>4.5</v>
      </c>
      <c r="H74" t="n">
        <v>1</v>
      </c>
      <c r="I74" t="n">
        <v>0</v>
      </c>
      <c r="J74" t="n">
        <v>1</v>
      </c>
      <c r="K74" t="n">
        <v>0</v>
      </c>
      <c r="L74" t="n">
        <v>0</v>
      </c>
      <c r="M74" t="n">
        <v>0</v>
      </c>
      <c r="N74" t="n">
        <v>0</v>
      </c>
      <c r="O74" t="n">
        <v>1</v>
      </c>
      <c r="P74" t="n">
        <v>0</v>
      </c>
      <c r="Q74" t="n">
        <v>1</v>
      </c>
      <c r="R74" s="2" t="inlineStr">
        <is>
          <t>Entita</t>
        </is>
      </c>
      <c r="S74">
        <f>HYPERLINK("https://klasma.github.io/Logging_0580/artfynd/A 48353-2025 artfynd.xlsx", "A 48353-2025")</f>
        <v/>
      </c>
      <c r="T74">
        <f>HYPERLINK("https://klasma.github.io/Logging_0580/kartor/A 48353-2025 karta.png", "A 48353-2025")</f>
        <v/>
      </c>
      <c r="V74">
        <f>HYPERLINK("https://klasma.github.io/Logging_0580/klagomål/A 48353-2025 FSC-klagomål.docx", "A 48353-2025")</f>
        <v/>
      </c>
      <c r="W74">
        <f>HYPERLINK("https://klasma.github.io/Logging_0580/klagomålsmail/A 48353-2025 FSC-klagomål mail.docx", "A 48353-2025")</f>
        <v/>
      </c>
      <c r="X74">
        <f>HYPERLINK("https://klasma.github.io/Logging_0580/tillsyn/A 48353-2025 tillsynsbegäran.docx", "A 48353-2025")</f>
        <v/>
      </c>
      <c r="Y74">
        <f>HYPERLINK("https://klasma.github.io/Logging_0580/tillsynsmail/A 48353-2025 tillsynsbegäran mail.docx", "A 48353-2025")</f>
        <v/>
      </c>
      <c r="Z74">
        <f>HYPERLINK("https://klasma.github.io/Logging_0580/fåglar/A 48353-2025 prioriterade fågelarter.docx", "A 48353-2025")</f>
        <v/>
      </c>
    </row>
    <row r="75" ht="15" customHeight="1">
      <c r="A75" t="inlineStr">
        <is>
          <t>A 48273-2025</t>
        </is>
      </c>
      <c r="B75" s="1" t="n">
        <v>45932</v>
      </c>
      <c r="C75" s="1" t="n">
        <v>46165</v>
      </c>
      <c r="D75" t="inlineStr">
        <is>
          <t>ÖSTERGÖTLANDS LÄN</t>
        </is>
      </c>
      <c r="E75" t="inlineStr">
        <is>
          <t>LINKÖPING</t>
        </is>
      </c>
      <c r="F75" t="inlineStr">
        <is>
          <t>Övriga Aktiebolag</t>
        </is>
      </c>
      <c r="G75" t="n">
        <v>4.6</v>
      </c>
      <c r="H75" t="n">
        <v>0</v>
      </c>
      <c r="I75" t="n">
        <v>0</v>
      </c>
      <c r="J75" t="n">
        <v>1</v>
      </c>
      <c r="K75" t="n">
        <v>0</v>
      </c>
      <c r="L75" t="n">
        <v>0</v>
      </c>
      <c r="M75" t="n">
        <v>0</v>
      </c>
      <c r="N75" t="n">
        <v>0</v>
      </c>
      <c r="O75" t="n">
        <v>1</v>
      </c>
      <c r="P75" t="n">
        <v>0</v>
      </c>
      <c r="Q75" t="n">
        <v>1</v>
      </c>
      <c r="R75" s="2" t="inlineStr">
        <is>
          <t>Barrviolspindling</t>
        </is>
      </c>
      <c r="S75">
        <f>HYPERLINK("https://klasma.github.io/Logging_0580/artfynd/A 48273-2025 artfynd.xlsx", "A 48273-2025")</f>
        <v/>
      </c>
      <c r="T75">
        <f>HYPERLINK("https://klasma.github.io/Logging_0580/kartor/A 48273-2025 karta.png", "A 48273-2025")</f>
        <v/>
      </c>
      <c r="V75">
        <f>HYPERLINK("https://klasma.github.io/Logging_0580/klagomål/A 48273-2025 FSC-klagomål.docx", "A 48273-2025")</f>
        <v/>
      </c>
      <c r="W75">
        <f>HYPERLINK("https://klasma.github.io/Logging_0580/klagomålsmail/A 48273-2025 FSC-klagomål mail.docx", "A 48273-2025")</f>
        <v/>
      </c>
      <c r="X75">
        <f>HYPERLINK("https://klasma.github.io/Logging_0580/tillsyn/A 48273-2025 tillsynsbegäran.docx", "A 48273-2025")</f>
        <v/>
      </c>
      <c r="Y75">
        <f>HYPERLINK("https://klasma.github.io/Logging_0580/tillsynsmail/A 48273-2025 tillsynsbegäran mail.docx", "A 48273-2025")</f>
        <v/>
      </c>
    </row>
    <row r="76" ht="15" customHeight="1">
      <c r="A76" t="inlineStr">
        <is>
          <t>A 48298-2025</t>
        </is>
      </c>
      <c r="B76" s="1" t="n">
        <v>45932</v>
      </c>
      <c r="C76" s="1" t="n">
        <v>46165</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50034-2025</t>
        </is>
      </c>
      <c r="B77" s="1" t="n">
        <v>45941</v>
      </c>
      <c r="C77" s="1" t="n">
        <v>46165</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15290-2025</t>
        </is>
      </c>
      <c r="B78" s="1" t="n">
        <v>45745.45288194445</v>
      </c>
      <c r="C78" s="1" t="n">
        <v>46165</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34881-2023</t>
        </is>
      </c>
      <c r="B79" s="1" t="n">
        <v>45140</v>
      </c>
      <c r="C79" s="1" t="n">
        <v>46165</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50471-2024</t>
        </is>
      </c>
      <c r="B80" s="1" t="n">
        <v>45601.47166666666</v>
      </c>
      <c r="C80" s="1" t="n">
        <v>46165</v>
      </c>
      <c r="D80" t="inlineStr">
        <is>
          <t>ÖSTERGÖTLANDS LÄN</t>
        </is>
      </c>
      <c r="E80" t="inlineStr">
        <is>
          <t>LINKÖPING</t>
        </is>
      </c>
      <c r="F80" t="inlineStr">
        <is>
          <t>Övriga Aktiebolag</t>
        </is>
      </c>
      <c r="G80" t="n">
        <v>2</v>
      </c>
      <c r="H80" t="n">
        <v>0</v>
      </c>
      <c r="I80" t="n">
        <v>1</v>
      </c>
      <c r="J80" t="n">
        <v>0</v>
      </c>
      <c r="K80" t="n">
        <v>0</v>
      </c>
      <c r="L80" t="n">
        <v>0</v>
      </c>
      <c r="M80" t="n">
        <v>0</v>
      </c>
      <c r="N80" t="n">
        <v>0</v>
      </c>
      <c r="O80" t="n">
        <v>0</v>
      </c>
      <c r="P80" t="n">
        <v>0</v>
      </c>
      <c r="Q80" t="n">
        <v>1</v>
      </c>
      <c r="R80" s="2" t="inlineStr">
        <is>
          <t>Västlig hakmossa</t>
        </is>
      </c>
      <c r="S80">
        <f>HYPERLINK("https://klasma.github.io/Logging_0580/artfynd/A 50471-2024 artfynd.xlsx", "A 50471-2024")</f>
        <v/>
      </c>
      <c r="T80">
        <f>HYPERLINK("https://klasma.github.io/Logging_0580/kartor/A 50471-2024 karta.png", "A 50471-2024")</f>
        <v/>
      </c>
      <c r="V80">
        <f>HYPERLINK("https://klasma.github.io/Logging_0580/klagomål/A 50471-2024 FSC-klagomål.docx", "A 50471-2024")</f>
        <v/>
      </c>
      <c r="W80">
        <f>HYPERLINK("https://klasma.github.io/Logging_0580/klagomålsmail/A 50471-2024 FSC-klagomål mail.docx", "A 50471-2024")</f>
        <v/>
      </c>
      <c r="X80">
        <f>HYPERLINK("https://klasma.github.io/Logging_0580/tillsyn/A 50471-2024 tillsynsbegäran.docx", "A 50471-2024")</f>
        <v/>
      </c>
      <c r="Y80">
        <f>HYPERLINK("https://klasma.github.io/Logging_0580/tillsynsmail/A 50471-2024 tillsynsbegäran mail.docx", "A 50471-2024")</f>
        <v/>
      </c>
    </row>
    <row r="81" ht="15" customHeight="1">
      <c r="A81" t="inlineStr">
        <is>
          <t>A 56128-2022</t>
        </is>
      </c>
      <c r="B81" s="1" t="n">
        <v>44889</v>
      </c>
      <c r="C81" s="1" t="n">
        <v>46165</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56112-2025</t>
        </is>
      </c>
      <c r="B82" s="1" t="n">
        <v>45973.73625</v>
      </c>
      <c r="C82" s="1" t="n">
        <v>46165</v>
      </c>
      <c r="D82" t="inlineStr">
        <is>
          <t>ÖSTERGÖTLANDS LÄN</t>
        </is>
      </c>
      <c r="E82" t="inlineStr">
        <is>
          <t>LINKÖPING</t>
        </is>
      </c>
      <c r="G82" t="n">
        <v>0.6</v>
      </c>
      <c r="H82" t="n">
        <v>0</v>
      </c>
      <c r="I82" t="n">
        <v>0</v>
      </c>
      <c r="J82" t="n">
        <v>1</v>
      </c>
      <c r="K82" t="n">
        <v>0</v>
      </c>
      <c r="L82" t="n">
        <v>0</v>
      </c>
      <c r="M82" t="n">
        <v>0</v>
      </c>
      <c r="N82" t="n">
        <v>0</v>
      </c>
      <c r="O82" t="n">
        <v>1</v>
      </c>
      <c r="P82" t="n">
        <v>0</v>
      </c>
      <c r="Q82" t="n">
        <v>1</v>
      </c>
      <c r="R82" s="2" t="inlineStr">
        <is>
          <t>Solvända</t>
        </is>
      </c>
      <c r="S82">
        <f>HYPERLINK("https://klasma.github.io/Logging_0580/artfynd/A 56112-2025 artfynd.xlsx", "A 56112-2025")</f>
        <v/>
      </c>
      <c r="T82">
        <f>HYPERLINK("https://klasma.github.io/Logging_0580/kartor/A 56112-2025 karta.png", "A 56112-2025")</f>
        <v/>
      </c>
      <c r="V82">
        <f>HYPERLINK("https://klasma.github.io/Logging_0580/klagomål/A 56112-2025 FSC-klagomål.docx", "A 56112-2025")</f>
        <v/>
      </c>
      <c r="W82">
        <f>HYPERLINK("https://klasma.github.io/Logging_0580/klagomålsmail/A 56112-2025 FSC-klagomål mail.docx", "A 56112-2025")</f>
        <v/>
      </c>
      <c r="X82">
        <f>HYPERLINK("https://klasma.github.io/Logging_0580/tillsyn/A 56112-2025 tillsynsbegäran.docx", "A 56112-2025")</f>
        <v/>
      </c>
      <c r="Y82">
        <f>HYPERLINK("https://klasma.github.io/Logging_0580/tillsynsmail/A 56112-2025 tillsynsbegäran mail.docx", "A 56112-2025")</f>
        <v/>
      </c>
    </row>
    <row r="83" ht="15" customHeight="1">
      <c r="A83" t="inlineStr">
        <is>
          <t>A 40309-2024</t>
        </is>
      </c>
      <c r="B83" s="1" t="n">
        <v>45554.724375</v>
      </c>
      <c r="C83" s="1" t="n">
        <v>46165</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54835-2023</t>
        </is>
      </c>
      <c r="B84" s="1" t="n">
        <v>45236</v>
      </c>
      <c r="C84" s="1" t="n">
        <v>46165</v>
      </c>
      <c r="D84" t="inlineStr">
        <is>
          <t>ÖSTERGÖTLANDS LÄN</t>
        </is>
      </c>
      <c r="E84" t="inlineStr">
        <is>
          <t>LINKÖPING</t>
        </is>
      </c>
      <c r="G84" t="n">
        <v>2</v>
      </c>
      <c r="H84" t="n">
        <v>1</v>
      </c>
      <c r="I84" t="n">
        <v>0</v>
      </c>
      <c r="J84" t="n">
        <v>0</v>
      </c>
      <c r="K84" t="n">
        <v>0</v>
      </c>
      <c r="L84" t="n">
        <v>0</v>
      </c>
      <c r="M84" t="n">
        <v>0</v>
      </c>
      <c r="N84" t="n">
        <v>0</v>
      </c>
      <c r="O84" t="n">
        <v>0</v>
      </c>
      <c r="P84" t="n">
        <v>0</v>
      </c>
      <c r="Q84" t="n">
        <v>1</v>
      </c>
      <c r="R84" s="2" t="inlineStr">
        <is>
          <t>Sparvuggla</t>
        </is>
      </c>
      <c r="S84">
        <f>HYPERLINK("https://klasma.github.io/Logging_0580/artfynd/A 54835-2023 artfynd.xlsx", "A 54835-2023")</f>
        <v/>
      </c>
      <c r="T84">
        <f>HYPERLINK("https://klasma.github.io/Logging_0580/kartor/A 54835-2023 karta.png", "A 54835-2023")</f>
        <v/>
      </c>
      <c r="V84">
        <f>HYPERLINK("https://klasma.github.io/Logging_0580/klagomål/A 54835-2023 FSC-klagomål.docx", "A 54835-2023")</f>
        <v/>
      </c>
      <c r="W84">
        <f>HYPERLINK("https://klasma.github.io/Logging_0580/klagomålsmail/A 54835-2023 FSC-klagomål mail.docx", "A 54835-2023")</f>
        <v/>
      </c>
      <c r="X84">
        <f>HYPERLINK("https://klasma.github.io/Logging_0580/tillsyn/A 54835-2023 tillsynsbegäran.docx", "A 54835-2023")</f>
        <v/>
      </c>
      <c r="Y84">
        <f>HYPERLINK("https://klasma.github.io/Logging_0580/tillsynsmail/A 54835-2023 tillsynsbegäran mail.docx", "A 54835-2023")</f>
        <v/>
      </c>
      <c r="Z84">
        <f>HYPERLINK("https://klasma.github.io/Logging_0580/fåglar/A 54835-2023 prioriterade fågelarter.docx", "A 54835-2023")</f>
        <v/>
      </c>
    </row>
    <row r="85" ht="15" customHeight="1">
      <c r="A85" t="inlineStr">
        <is>
          <t>A 59474-2025</t>
        </is>
      </c>
      <c r="B85" s="1" t="n">
        <v>45989.58512731481</v>
      </c>
      <c r="C85" s="1" t="n">
        <v>46165</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46165</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126-2024</t>
        </is>
      </c>
      <c r="B87" s="1" t="n">
        <v>45294</v>
      </c>
      <c r="C87" s="1" t="n">
        <v>46165</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46165</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21227-2026</t>
        </is>
      </c>
      <c r="B89" s="1" t="n">
        <v>46146.78898148148</v>
      </c>
      <c r="C89" s="1" t="n">
        <v>46165</v>
      </c>
      <c r="D89" t="inlineStr">
        <is>
          <t>ÖSTERGÖTLANDS LÄN</t>
        </is>
      </c>
      <c r="E89" t="inlineStr">
        <is>
          <t>LINKÖPING</t>
        </is>
      </c>
      <c r="G89" t="n">
        <v>1.8</v>
      </c>
      <c r="H89" t="n">
        <v>1</v>
      </c>
      <c r="I89" t="n">
        <v>0</v>
      </c>
      <c r="J89" t="n">
        <v>1</v>
      </c>
      <c r="K89" t="n">
        <v>0</v>
      </c>
      <c r="L89" t="n">
        <v>0</v>
      </c>
      <c r="M89" t="n">
        <v>0</v>
      </c>
      <c r="N89" t="n">
        <v>0</v>
      </c>
      <c r="O89" t="n">
        <v>1</v>
      </c>
      <c r="P89" t="n">
        <v>0</v>
      </c>
      <c r="Q89" t="n">
        <v>1</v>
      </c>
      <c r="R89" s="2" t="inlineStr">
        <is>
          <t>Rödvingetrast</t>
        </is>
      </c>
      <c r="S89">
        <f>HYPERLINK("https://klasma.github.io/Logging_0580/artfynd/A 21227-2026 artfynd.xlsx", "A 21227-2026")</f>
        <v/>
      </c>
      <c r="T89">
        <f>HYPERLINK("https://klasma.github.io/Logging_0580/kartor/A 21227-2026 karta.png", "A 21227-2026")</f>
        <v/>
      </c>
      <c r="V89">
        <f>HYPERLINK("https://klasma.github.io/Logging_0580/klagomål/A 21227-2026 FSC-klagomål.docx", "A 21227-2026")</f>
        <v/>
      </c>
      <c r="W89">
        <f>HYPERLINK("https://klasma.github.io/Logging_0580/klagomålsmail/A 21227-2026 FSC-klagomål mail.docx", "A 21227-2026")</f>
        <v/>
      </c>
      <c r="X89">
        <f>HYPERLINK("https://klasma.github.io/Logging_0580/tillsyn/A 21227-2026 tillsynsbegäran.docx", "A 21227-2026")</f>
        <v/>
      </c>
      <c r="Y89">
        <f>HYPERLINK("https://klasma.github.io/Logging_0580/tillsynsmail/A 21227-2026 tillsynsbegäran mail.docx", "A 21227-2026")</f>
        <v/>
      </c>
      <c r="Z89">
        <f>HYPERLINK("https://klasma.github.io/Logging_0580/fåglar/A 21227-2026 prioriterade fågelarter.docx", "A 21227-2026")</f>
        <v/>
      </c>
    </row>
    <row r="90" ht="15" customHeight="1">
      <c r="A90" t="inlineStr">
        <is>
          <t>A 50806-2023</t>
        </is>
      </c>
      <c r="B90" s="1" t="n">
        <v>45217</v>
      </c>
      <c r="C90" s="1" t="n">
        <v>46165</v>
      </c>
      <c r="D90" t="inlineStr">
        <is>
          <t>ÖSTERGÖTLANDS LÄN</t>
        </is>
      </c>
      <c r="E90" t="inlineStr">
        <is>
          <t>LINKÖPING</t>
        </is>
      </c>
      <c r="F90" t="inlineStr">
        <is>
          <t>Övriga Aktiebolag</t>
        </is>
      </c>
      <c r="G90" t="n">
        <v>0.7</v>
      </c>
      <c r="H90" t="n">
        <v>1</v>
      </c>
      <c r="I90" t="n">
        <v>0</v>
      </c>
      <c r="J90" t="n">
        <v>0</v>
      </c>
      <c r="K90" t="n">
        <v>0</v>
      </c>
      <c r="L90" t="n">
        <v>0</v>
      </c>
      <c r="M90" t="n">
        <v>0</v>
      </c>
      <c r="N90" t="n">
        <v>0</v>
      </c>
      <c r="O90" t="n">
        <v>0</v>
      </c>
      <c r="P90" t="n">
        <v>0</v>
      </c>
      <c r="Q90" t="n">
        <v>1</v>
      </c>
      <c r="R90" s="2" t="inlineStr">
        <is>
          <t>Gullviva</t>
        </is>
      </c>
      <c r="S90">
        <f>HYPERLINK("https://klasma.github.io/Logging_0580/artfynd/A 50806-2023 artfynd.xlsx", "A 50806-2023")</f>
        <v/>
      </c>
      <c r="T90">
        <f>HYPERLINK("https://klasma.github.io/Logging_0580/kartor/A 50806-2023 karta.png", "A 50806-2023")</f>
        <v/>
      </c>
      <c r="V90">
        <f>HYPERLINK("https://klasma.github.io/Logging_0580/klagomål/A 50806-2023 FSC-klagomål.docx", "A 50806-2023")</f>
        <v/>
      </c>
      <c r="W90">
        <f>HYPERLINK("https://klasma.github.io/Logging_0580/klagomålsmail/A 50806-2023 FSC-klagomål mail.docx", "A 50806-2023")</f>
        <v/>
      </c>
      <c r="X90">
        <f>HYPERLINK("https://klasma.github.io/Logging_0580/tillsyn/A 50806-2023 tillsynsbegäran.docx", "A 50806-2023")</f>
        <v/>
      </c>
      <c r="Y90">
        <f>HYPERLINK("https://klasma.github.io/Logging_0580/tillsynsmail/A 50806-2023 tillsynsbegäran mail.docx", "A 50806-2023")</f>
        <v/>
      </c>
    </row>
    <row r="91" ht="15" customHeight="1">
      <c r="A91" t="inlineStr">
        <is>
          <t>A 39457-2023</t>
        </is>
      </c>
      <c r="B91" s="1" t="n">
        <v>45166</v>
      </c>
      <c r="C91" s="1" t="n">
        <v>46165</v>
      </c>
      <c r="D91" t="inlineStr">
        <is>
          <t>ÖSTERGÖTLANDS LÄN</t>
        </is>
      </c>
      <c r="E91" t="inlineStr">
        <is>
          <t>LINKÖPING</t>
        </is>
      </c>
      <c r="G91" t="n">
        <v>2.1</v>
      </c>
      <c r="H91" t="n">
        <v>1</v>
      </c>
      <c r="I91" t="n">
        <v>0</v>
      </c>
      <c r="J91" t="n">
        <v>0</v>
      </c>
      <c r="K91" t="n">
        <v>0</v>
      </c>
      <c r="L91" t="n">
        <v>0</v>
      </c>
      <c r="M91" t="n">
        <v>0</v>
      </c>
      <c r="N91" t="n">
        <v>0</v>
      </c>
      <c r="O91" t="n">
        <v>0</v>
      </c>
      <c r="P91" t="n">
        <v>0</v>
      </c>
      <c r="Q91" t="n">
        <v>1</v>
      </c>
      <c r="R91" s="2" t="inlineStr">
        <is>
          <t>Sparvuggla</t>
        </is>
      </c>
      <c r="S91">
        <f>HYPERLINK("https://klasma.github.io/Logging_0580/artfynd/A 39457-2023 artfynd.xlsx", "A 39457-2023")</f>
        <v/>
      </c>
      <c r="T91">
        <f>HYPERLINK("https://klasma.github.io/Logging_0580/kartor/A 39457-2023 karta.png", "A 39457-2023")</f>
        <v/>
      </c>
      <c r="V91">
        <f>HYPERLINK("https://klasma.github.io/Logging_0580/klagomål/A 39457-2023 FSC-klagomål.docx", "A 39457-2023")</f>
        <v/>
      </c>
      <c r="W91">
        <f>HYPERLINK("https://klasma.github.io/Logging_0580/klagomålsmail/A 39457-2023 FSC-klagomål mail.docx", "A 39457-2023")</f>
        <v/>
      </c>
      <c r="X91">
        <f>HYPERLINK("https://klasma.github.io/Logging_0580/tillsyn/A 39457-2023 tillsynsbegäran.docx", "A 39457-2023")</f>
        <v/>
      </c>
      <c r="Y91">
        <f>HYPERLINK("https://klasma.github.io/Logging_0580/tillsynsmail/A 39457-2023 tillsynsbegäran mail.docx", "A 39457-2023")</f>
        <v/>
      </c>
      <c r="Z91">
        <f>HYPERLINK("https://klasma.github.io/Logging_0580/fåglar/A 39457-2023 prioriterade fågelarter.docx", "A 39457-2023")</f>
        <v/>
      </c>
    </row>
    <row r="92" ht="15" customHeight="1">
      <c r="A92" t="inlineStr">
        <is>
          <t>A 35948-2023</t>
        </is>
      </c>
      <c r="B92" s="1" t="n">
        <v>45148</v>
      </c>
      <c r="C92" s="1" t="n">
        <v>46165</v>
      </c>
      <c r="D92" t="inlineStr">
        <is>
          <t>ÖSTERGÖTLANDS LÄN</t>
        </is>
      </c>
      <c r="E92" t="inlineStr">
        <is>
          <t>LINKÖPING</t>
        </is>
      </c>
      <c r="G92" t="n">
        <v>1.9</v>
      </c>
      <c r="H92" t="n">
        <v>0</v>
      </c>
      <c r="I92" t="n">
        <v>1</v>
      </c>
      <c r="J92" t="n">
        <v>0</v>
      </c>
      <c r="K92" t="n">
        <v>0</v>
      </c>
      <c r="L92" t="n">
        <v>0</v>
      </c>
      <c r="M92" t="n">
        <v>0</v>
      </c>
      <c r="N92" t="n">
        <v>0</v>
      </c>
      <c r="O92" t="n">
        <v>0</v>
      </c>
      <c r="P92" t="n">
        <v>0</v>
      </c>
      <c r="Q92" t="n">
        <v>1</v>
      </c>
      <c r="R92" s="2" t="inlineStr">
        <is>
          <t>Brun nållav</t>
        </is>
      </c>
      <c r="S92">
        <f>HYPERLINK("https://klasma.github.io/Logging_0580/artfynd/A 35948-2023 artfynd.xlsx", "A 35948-2023")</f>
        <v/>
      </c>
      <c r="T92">
        <f>HYPERLINK("https://klasma.github.io/Logging_0580/kartor/A 35948-2023 karta.png", "A 35948-2023")</f>
        <v/>
      </c>
      <c r="V92">
        <f>HYPERLINK("https://klasma.github.io/Logging_0580/klagomål/A 35948-2023 FSC-klagomål.docx", "A 35948-2023")</f>
        <v/>
      </c>
      <c r="W92">
        <f>HYPERLINK("https://klasma.github.io/Logging_0580/klagomålsmail/A 35948-2023 FSC-klagomål mail.docx", "A 35948-2023")</f>
        <v/>
      </c>
      <c r="X92">
        <f>HYPERLINK("https://klasma.github.io/Logging_0580/tillsyn/A 35948-2023 tillsynsbegäran.docx", "A 35948-2023")</f>
        <v/>
      </c>
      <c r="Y92">
        <f>HYPERLINK("https://klasma.github.io/Logging_0580/tillsynsmail/A 35948-2023 tillsynsbegäran mail.docx", "A 35948-2023")</f>
        <v/>
      </c>
    </row>
    <row r="93" ht="15" customHeight="1">
      <c r="A93" t="inlineStr">
        <is>
          <t>A 62071-2023</t>
        </is>
      </c>
      <c r="B93" s="1" t="n">
        <v>45266.73542824074</v>
      </c>
      <c r="C93" s="1" t="n">
        <v>46165</v>
      </c>
      <c r="D93" t="inlineStr">
        <is>
          <t>ÖSTERGÖTLANDS LÄN</t>
        </is>
      </c>
      <c r="E93" t="inlineStr">
        <is>
          <t>LINKÖPING</t>
        </is>
      </c>
      <c r="G93" t="n">
        <v>6.5</v>
      </c>
      <c r="H93" t="n">
        <v>0</v>
      </c>
      <c r="I93" t="n">
        <v>0</v>
      </c>
      <c r="J93" t="n">
        <v>1</v>
      </c>
      <c r="K93" t="n">
        <v>0</v>
      </c>
      <c r="L93" t="n">
        <v>0</v>
      </c>
      <c r="M93" t="n">
        <v>0</v>
      </c>
      <c r="N93" t="n">
        <v>0</v>
      </c>
      <c r="O93" t="n">
        <v>1</v>
      </c>
      <c r="P93" t="n">
        <v>0</v>
      </c>
      <c r="Q93" t="n">
        <v>1</v>
      </c>
      <c r="R93" s="2" t="inlineStr">
        <is>
          <t>Svinrot</t>
        </is>
      </c>
      <c r="S93">
        <f>HYPERLINK("https://klasma.github.io/Logging_0580/artfynd/A 62071-2023 artfynd.xlsx", "A 62071-2023")</f>
        <v/>
      </c>
      <c r="T93">
        <f>HYPERLINK("https://klasma.github.io/Logging_0580/kartor/A 62071-2023 karta.png", "A 62071-2023")</f>
        <v/>
      </c>
      <c r="V93">
        <f>HYPERLINK("https://klasma.github.io/Logging_0580/klagomål/A 62071-2023 FSC-klagomål.docx", "A 62071-2023")</f>
        <v/>
      </c>
      <c r="W93">
        <f>HYPERLINK("https://klasma.github.io/Logging_0580/klagomålsmail/A 62071-2023 FSC-klagomål mail.docx", "A 62071-2023")</f>
        <v/>
      </c>
      <c r="X93">
        <f>HYPERLINK("https://klasma.github.io/Logging_0580/tillsyn/A 62071-2023 tillsynsbegäran.docx", "A 62071-2023")</f>
        <v/>
      </c>
      <c r="Y93">
        <f>HYPERLINK("https://klasma.github.io/Logging_0580/tillsynsmail/A 62071-2023 tillsynsbegäran mail.docx", "A 62071-2023")</f>
        <v/>
      </c>
    </row>
    <row r="94" ht="15" customHeight="1">
      <c r="A94" t="inlineStr">
        <is>
          <t>A 3397-2023</t>
        </is>
      </c>
      <c r="B94" s="1" t="n">
        <v>44949</v>
      </c>
      <c r="C94" s="1" t="n">
        <v>46165</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20295-2025</t>
        </is>
      </c>
      <c r="B95" s="1" t="n">
        <v>45774.74846064814</v>
      </c>
      <c r="C95" s="1" t="n">
        <v>46165</v>
      </c>
      <c r="D95" t="inlineStr">
        <is>
          <t>ÖSTERGÖTLANDS LÄN</t>
        </is>
      </c>
      <c r="E95" t="inlineStr">
        <is>
          <t>LINKÖPING</t>
        </is>
      </c>
      <c r="G95" t="n">
        <v>3</v>
      </c>
      <c r="H95" t="n">
        <v>0</v>
      </c>
      <c r="I95" t="n">
        <v>0</v>
      </c>
      <c r="J95" t="n">
        <v>1</v>
      </c>
      <c r="K95" t="n">
        <v>0</v>
      </c>
      <c r="L95" t="n">
        <v>0</v>
      </c>
      <c r="M95" t="n">
        <v>0</v>
      </c>
      <c r="N95" t="n">
        <v>0</v>
      </c>
      <c r="O95" t="n">
        <v>1</v>
      </c>
      <c r="P95" t="n">
        <v>0</v>
      </c>
      <c r="Q95" t="n">
        <v>1</v>
      </c>
      <c r="R95" s="2" t="inlineStr">
        <is>
          <t>Tallticka</t>
        </is>
      </c>
      <c r="S95">
        <f>HYPERLINK("https://klasma.github.io/Logging_0580/artfynd/A 20295-2025 artfynd.xlsx", "A 20295-2025")</f>
        <v/>
      </c>
      <c r="T95">
        <f>HYPERLINK("https://klasma.github.io/Logging_0580/kartor/A 20295-2025 karta.png", "A 20295-2025")</f>
        <v/>
      </c>
      <c r="V95">
        <f>HYPERLINK("https://klasma.github.io/Logging_0580/klagomål/A 20295-2025 FSC-klagomål.docx", "A 20295-2025")</f>
        <v/>
      </c>
      <c r="W95">
        <f>HYPERLINK("https://klasma.github.io/Logging_0580/klagomålsmail/A 20295-2025 FSC-klagomål mail.docx", "A 20295-2025")</f>
        <v/>
      </c>
      <c r="X95">
        <f>HYPERLINK("https://klasma.github.io/Logging_0580/tillsyn/A 20295-2025 tillsynsbegäran.docx", "A 20295-2025")</f>
        <v/>
      </c>
      <c r="Y95">
        <f>HYPERLINK("https://klasma.github.io/Logging_0580/tillsynsmail/A 20295-2025 tillsynsbegäran mail.docx", "A 20295-2025")</f>
        <v/>
      </c>
    </row>
    <row r="96" ht="15" customHeight="1">
      <c r="A96" t="inlineStr">
        <is>
          <t>A 60573-2021</t>
        </is>
      </c>
      <c r="B96" s="1" t="n">
        <v>44496</v>
      </c>
      <c r="C96" s="1" t="n">
        <v>46165</v>
      </c>
      <c r="D96" t="inlineStr">
        <is>
          <t>ÖSTERGÖTLANDS LÄN</t>
        </is>
      </c>
      <c r="E96" t="inlineStr">
        <is>
          <t>LINKÖPING</t>
        </is>
      </c>
      <c r="F96" t="inlineStr">
        <is>
          <t>Övriga Aktiebolag</t>
        </is>
      </c>
      <c r="G96" t="n">
        <v>5.6</v>
      </c>
      <c r="H96" t="n">
        <v>0</v>
      </c>
      <c r="I96" t="n">
        <v>0</v>
      </c>
      <c r="J96" t="n">
        <v>1</v>
      </c>
      <c r="K96" t="n">
        <v>0</v>
      </c>
      <c r="L96" t="n">
        <v>0</v>
      </c>
      <c r="M96" t="n">
        <v>0</v>
      </c>
      <c r="N96" t="n">
        <v>0</v>
      </c>
      <c r="O96" t="n">
        <v>1</v>
      </c>
      <c r="P96" t="n">
        <v>0</v>
      </c>
      <c r="Q96" t="n">
        <v>1</v>
      </c>
      <c r="R96" s="2" t="inlineStr">
        <is>
          <t>Sommarfibbla</t>
        </is>
      </c>
      <c r="S96">
        <f>HYPERLINK("https://klasma.github.io/Logging_0580/artfynd/A 60573-2021 artfynd.xlsx", "A 60573-2021")</f>
        <v/>
      </c>
      <c r="T96">
        <f>HYPERLINK("https://klasma.github.io/Logging_0580/kartor/A 60573-2021 karta.png", "A 60573-2021")</f>
        <v/>
      </c>
      <c r="V96">
        <f>HYPERLINK("https://klasma.github.io/Logging_0580/klagomål/A 60573-2021 FSC-klagomål.docx", "A 60573-2021")</f>
        <v/>
      </c>
      <c r="W96">
        <f>HYPERLINK("https://klasma.github.io/Logging_0580/klagomålsmail/A 60573-2021 FSC-klagomål mail.docx", "A 60573-2021")</f>
        <v/>
      </c>
      <c r="X96">
        <f>HYPERLINK("https://klasma.github.io/Logging_0580/tillsyn/A 60573-2021 tillsynsbegäran.docx", "A 60573-2021")</f>
        <v/>
      </c>
      <c r="Y96">
        <f>HYPERLINK("https://klasma.github.io/Logging_0580/tillsynsmail/A 60573-2021 tillsynsbegäran mail.docx", "A 60573-2021")</f>
        <v/>
      </c>
    </row>
    <row r="97" ht="15" customHeight="1">
      <c r="A97" t="inlineStr">
        <is>
          <t>A 41749-2023</t>
        </is>
      </c>
      <c r="B97" s="1" t="n">
        <v>45176</v>
      </c>
      <c r="C97" s="1" t="n">
        <v>46165</v>
      </c>
      <c r="D97" t="inlineStr">
        <is>
          <t>ÖSTERGÖTLANDS LÄN</t>
        </is>
      </c>
      <c r="E97" t="inlineStr">
        <is>
          <t>LINKÖPING</t>
        </is>
      </c>
      <c r="G97" t="n">
        <v>3.6</v>
      </c>
      <c r="H97" t="n">
        <v>0</v>
      </c>
      <c r="I97" t="n">
        <v>0</v>
      </c>
      <c r="J97" t="n">
        <v>1</v>
      </c>
      <c r="K97" t="n">
        <v>0</v>
      </c>
      <c r="L97" t="n">
        <v>0</v>
      </c>
      <c r="M97" t="n">
        <v>0</v>
      </c>
      <c r="N97" t="n">
        <v>0</v>
      </c>
      <c r="O97" t="n">
        <v>1</v>
      </c>
      <c r="P97" t="n">
        <v>0</v>
      </c>
      <c r="Q97" t="n">
        <v>1</v>
      </c>
      <c r="R97" s="2" t="inlineStr">
        <is>
          <t>Svinrot</t>
        </is>
      </c>
      <c r="S97">
        <f>HYPERLINK("https://klasma.github.io/Logging_0580/artfynd/A 41749-2023 artfynd.xlsx", "A 41749-2023")</f>
        <v/>
      </c>
      <c r="T97">
        <f>HYPERLINK("https://klasma.github.io/Logging_0580/kartor/A 41749-2023 karta.png", "A 41749-2023")</f>
        <v/>
      </c>
      <c r="V97">
        <f>HYPERLINK("https://klasma.github.io/Logging_0580/klagomål/A 41749-2023 FSC-klagomål.docx", "A 41749-2023")</f>
        <v/>
      </c>
      <c r="W97">
        <f>HYPERLINK("https://klasma.github.io/Logging_0580/klagomålsmail/A 41749-2023 FSC-klagomål mail.docx", "A 41749-2023")</f>
        <v/>
      </c>
      <c r="X97">
        <f>HYPERLINK("https://klasma.github.io/Logging_0580/tillsyn/A 41749-2023 tillsynsbegäran.docx", "A 41749-2023")</f>
        <v/>
      </c>
      <c r="Y97">
        <f>HYPERLINK("https://klasma.github.io/Logging_0580/tillsynsmail/A 41749-2023 tillsynsbegäran mail.docx", "A 41749-2023")</f>
        <v/>
      </c>
    </row>
    <row r="98" ht="15" customHeight="1">
      <c r="A98" t="inlineStr">
        <is>
          <t>A 27403-2025</t>
        </is>
      </c>
      <c r="B98" s="1" t="n">
        <v>45812.72518518518</v>
      </c>
      <c r="C98" s="1" t="n">
        <v>46165</v>
      </c>
      <c r="D98" t="inlineStr">
        <is>
          <t>ÖSTERGÖTLANDS LÄN</t>
        </is>
      </c>
      <c r="E98" t="inlineStr">
        <is>
          <t>LINKÖPING</t>
        </is>
      </c>
      <c r="G98" t="n">
        <v>1.4</v>
      </c>
      <c r="H98" t="n">
        <v>0</v>
      </c>
      <c r="I98" t="n">
        <v>0</v>
      </c>
      <c r="J98" t="n">
        <v>1</v>
      </c>
      <c r="K98" t="n">
        <v>0</v>
      </c>
      <c r="L98" t="n">
        <v>0</v>
      </c>
      <c r="M98" t="n">
        <v>0</v>
      </c>
      <c r="N98" t="n">
        <v>0</v>
      </c>
      <c r="O98" t="n">
        <v>1</v>
      </c>
      <c r="P98" t="n">
        <v>0</v>
      </c>
      <c r="Q98" t="n">
        <v>1</v>
      </c>
      <c r="R98" s="2" t="inlineStr">
        <is>
          <t>Tallticka</t>
        </is>
      </c>
      <c r="S98">
        <f>HYPERLINK("https://klasma.github.io/Logging_0580/artfynd/A 27403-2025 artfynd.xlsx", "A 27403-2025")</f>
        <v/>
      </c>
      <c r="T98">
        <f>HYPERLINK("https://klasma.github.io/Logging_0580/kartor/A 27403-2025 karta.png", "A 27403-2025")</f>
        <v/>
      </c>
      <c r="V98">
        <f>HYPERLINK("https://klasma.github.io/Logging_0580/klagomål/A 27403-2025 FSC-klagomål.docx", "A 27403-2025")</f>
        <v/>
      </c>
      <c r="W98">
        <f>HYPERLINK("https://klasma.github.io/Logging_0580/klagomålsmail/A 27403-2025 FSC-klagomål mail.docx", "A 27403-2025")</f>
        <v/>
      </c>
      <c r="X98">
        <f>HYPERLINK("https://klasma.github.io/Logging_0580/tillsyn/A 27403-2025 tillsynsbegäran.docx", "A 27403-2025")</f>
        <v/>
      </c>
      <c r="Y98">
        <f>HYPERLINK("https://klasma.github.io/Logging_0580/tillsynsmail/A 27403-2025 tillsynsbegäran mail.docx", "A 27403-2025")</f>
        <v/>
      </c>
    </row>
    <row r="99" ht="15" customHeight="1">
      <c r="A99" t="inlineStr">
        <is>
          <t>A 29393-2025</t>
        </is>
      </c>
      <c r="B99" s="1" t="n">
        <v>45824.6057175926</v>
      </c>
      <c r="C99" s="1" t="n">
        <v>46165</v>
      </c>
      <c r="D99" t="inlineStr">
        <is>
          <t>ÖSTERGÖTLANDS LÄN</t>
        </is>
      </c>
      <c r="E99" t="inlineStr">
        <is>
          <t>LINKÖPING</t>
        </is>
      </c>
      <c r="F99" t="inlineStr">
        <is>
          <t>Sveaskog</t>
        </is>
      </c>
      <c r="G99" t="n">
        <v>24.6</v>
      </c>
      <c r="H99" t="n">
        <v>1</v>
      </c>
      <c r="I99" t="n">
        <v>0</v>
      </c>
      <c r="J99" t="n">
        <v>0</v>
      </c>
      <c r="K99" t="n">
        <v>1</v>
      </c>
      <c r="L99" t="n">
        <v>0</v>
      </c>
      <c r="M99" t="n">
        <v>0</v>
      </c>
      <c r="N99" t="n">
        <v>0</v>
      </c>
      <c r="O99" t="n">
        <v>1</v>
      </c>
      <c r="P99" t="n">
        <v>1</v>
      </c>
      <c r="Q99" t="n">
        <v>1</v>
      </c>
      <c r="R99" s="2" t="inlineStr">
        <is>
          <t>Skogsgås</t>
        </is>
      </c>
      <c r="S99">
        <f>HYPERLINK("https://klasma.github.io/Logging_0580/artfynd/A 29393-2025 artfynd.xlsx", "A 29393-2025")</f>
        <v/>
      </c>
      <c r="T99">
        <f>HYPERLINK("https://klasma.github.io/Logging_0580/kartor/A 29393-2025 karta.png", "A 29393-2025")</f>
        <v/>
      </c>
      <c r="V99">
        <f>HYPERLINK("https://klasma.github.io/Logging_0580/klagomål/A 29393-2025 FSC-klagomål.docx", "A 29393-2025")</f>
        <v/>
      </c>
      <c r="W99">
        <f>HYPERLINK("https://klasma.github.io/Logging_0580/klagomålsmail/A 29393-2025 FSC-klagomål mail.docx", "A 29393-2025")</f>
        <v/>
      </c>
      <c r="X99">
        <f>HYPERLINK("https://klasma.github.io/Logging_0580/tillsyn/A 29393-2025 tillsynsbegäran.docx", "A 29393-2025")</f>
        <v/>
      </c>
      <c r="Y99">
        <f>HYPERLINK("https://klasma.github.io/Logging_0580/tillsynsmail/A 29393-2025 tillsynsbegäran mail.docx", "A 29393-2025")</f>
        <v/>
      </c>
      <c r="Z99">
        <f>HYPERLINK("https://klasma.github.io/Logging_0580/fåglar/A 29393-2025 prioriterade fågelarter.docx", "A 29393-2025")</f>
        <v/>
      </c>
    </row>
    <row r="100" ht="15" customHeight="1">
      <c r="A100" t="inlineStr">
        <is>
          <t>A 38881-2021</t>
        </is>
      </c>
      <c r="B100" s="1" t="n">
        <v>44411.46893518518</v>
      </c>
      <c r="C100" s="1" t="n">
        <v>46165</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46165</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46165</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46165</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46165</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46165</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46165</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46165</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46165</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46165</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46165</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46165</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46165</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46165</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46165</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46165</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46165</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46165</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46165</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46165</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46165</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46165</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46165</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46165</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46165</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17497-2022</t>
        </is>
      </c>
      <c r="B125" s="1" t="n">
        <v>44679</v>
      </c>
      <c r="C125" s="1" t="n">
        <v>46165</v>
      </c>
      <c r="D125" t="inlineStr">
        <is>
          <t>ÖSTERGÖTLANDS LÄN</t>
        </is>
      </c>
      <c r="E125" t="inlineStr">
        <is>
          <t>LINKÖPING</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17500-2022</t>
        </is>
      </c>
      <c r="B126" s="1" t="n">
        <v>44679</v>
      </c>
      <c r="C126" s="1" t="n">
        <v>46165</v>
      </c>
      <c r="D126" t="inlineStr">
        <is>
          <t>ÖSTERGÖTLANDS LÄN</t>
        </is>
      </c>
      <c r="E126" t="inlineStr">
        <is>
          <t>LINKÖPING</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46165</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46165</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46165</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46165</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46165</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46165</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46165</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46165</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46165</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46165</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46165</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46165</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46165</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46165</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46165</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46165</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46165</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46165</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46165</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46165</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46165</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46165</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46165</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46165</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46165</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46165</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46165</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46165</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46165</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46165</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46165</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46165</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46165</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46165</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46165</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46165</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46165</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46165</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46165</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46165</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46165</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46165</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46165</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46165</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46165</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46165</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46165</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46165</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46165</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46165</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46165</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46165</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46165</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46165</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46165</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46165</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46165</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46165</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46165</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46165</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46165</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46165</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46165</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46165</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46165</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46165</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46165</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54845-2023</t>
        </is>
      </c>
      <c r="B196" s="1" t="n">
        <v>45236</v>
      </c>
      <c r="C196" s="1" t="n">
        <v>46165</v>
      </c>
      <c r="D196" t="inlineStr">
        <is>
          <t>ÖSTERGÖTLANDS LÄN</t>
        </is>
      </c>
      <c r="E196" t="inlineStr">
        <is>
          <t>LINKÖPING</t>
        </is>
      </c>
      <c r="F196" t="inlineStr">
        <is>
          <t>Övriga Aktiebolag</t>
        </is>
      </c>
      <c r="G196" t="n">
        <v>5.7</v>
      </c>
      <c r="H196" t="n">
        <v>0</v>
      </c>
      <c r="I196" t="n">
        <v>0</v>
      </c>
      <c r="J196" t="n">
        <v>0</v>
      </c>
      <c r="K196" t="n">
        <v>0</v>
      </c>
      <c r="L196" t="n">
        <v>0</v>
      </c>
      <c r="M196" t="n">
        <v>0</v>
      </c>
      <c r="N196" t="n">
        <v>0</v>
      </c>
      <c r="O196" t="n">
        <v>0</v>
      </c>
      <c r="P196" t="n">
        <v>0</v>
      </c>
      <c r="Q196" t="n">
        <v>0</v>
      </c>
      <c r="R196" s="2" t="inlineStr"/>
    </row>
    <row r="197" ht="15" customHeight="1">
      <c r="A197" t="inlineStr">
        <is>
          <t>A 34558-2022</t>
        </is>
      </c>
      <c r="B197" s="1" t="n">
        <v>44794.57594907407</v>
      </c>
      <c r="C197" s="1" t="n">
        <v>46165</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63489-2023</t>
        </is>
      </c>
      <c r="B198" s="1" t="n">
        <v>45274.66761574074</v>
      </c>
      <c r="C198" s="1" t="n">
        <v>46165</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62488-2023</t>
        </is>
      </c>
      <c r="B199" s="1" t="n">
        <v>45268.5847337963</v>
      </c>
      <c r="C199" s="1" t="n">
        <v>46165</v>
      </c>
      <c r="D199" t="inlineStr">
        <is>
          <t>ÖSTERGÖTLANDS LÄN</t>
        </is>
      </c>
      <c r="E199" t="inlineStr">
        <is>
          <t>LINKÖPING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46165</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24351-2024</t>
        </is>
      </c>
      <c r="B201" s="1" t="n">
        <v>45457.59011574074</v>
      </c>
      <c r="C201" s="1" t="n">
        <v>46165</v>
      </c>
      <c r="D201" t="inlineStr">
        <is>
          <t>ÖSTERGÖTLANDS LÄN</t>
        </is>
      </c>
      <c r="E201" t="inlineStr">
        <is>
          <t>LINKÖPING</t>
        </is>
      </c>
      <c r="G201" t="n">
        <v>11.9</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46165</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12035-2025</t>
        </is>
      </c>
      <c r="B203" s="1" t="n">
        <v>45728.64946759259</v>
      </c>
      <c r="C203" s="1" t="n">
        <v>46165</v>
      </c>
      <c r="D203" t="inlineStr">
        <is>
          <t>ÖSTERGÖTLANDS LÄN</t>
        </is>
      </c>
      <c r="E203" t="inlineStr">
        <is>
          <t>LINKÖPING</t>
        </is>
      </c>
      <c r="G203" t="n">
        <v>3.7</v>
      </c>
      <c r="H203" t="n">
        <v>0</v>
      </c>
      <c r="I203" t="n">
        <v>0</v>
      </c>
      <c r="J203" t="n">
        <v>0</v>
      </c>
      <c r="K203" t="n">
        <v>0</v>
      </c>
      <c r="L203" t="n">
        <v>0</v>
      </c>
      <c r="M203" t="n">
        <v>0</v>
      </c>
      <c r="N203" t="n">
        <v>0</v>
      </c>
      <c r="O203" t="n">
        <v>0</v>
      </c>
      <c r="P203" t="n">
        <v>0</v>
      </c>
      <c r="Q203" t="n">
        <v>0</v>
      </c>
      <c r="R203" s="2" t="inlineStr"/>
    </row>
    <row r="204" ht="15" customHeight="1">
      <c r="A204" t="inlineStr">
        <is>
          <t>A 22772-2024</t>
        </is>
      </c>
      <c r="B204" s="1" t="n">
        <v>45448.46712962963</v>
      </c>
      <c r="C204" s="1" t="n">
        <v>46165</v>
      </c>
      <c r="D204" t="inlineStr">
        <is>
          <t>ÖSTERGÖTLANDS LÄN</t>
        </is>
      </c>
      <c r="E204" t="inlineStr">
        <is>
          <t>LINKÖPING</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46165</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46165</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52796-2023</t>
        </is>
      </c>
      <c r="B207" s="1" t="n">
        <v>45219</v>
      </c>
      <c r="C207" s="1" t="n">
        <v>46165</v>
      </c>
      <c r="D207" t="inlineStr">
        <is>
          <t>ÖSTERGÖTLANDS LÄN</t>
        </is>
      </c>
      <c r="E207" t="inlineStr">
        <is>
          <t>LINKÖPING</t>
        </is>
      </c>
      <c r="F207" t="inlineStr">
        <is>
          <t>Övriga statliga verk och myndigheter</t>
        </is>
      </c>
      <c r="G207" t="n">
        <v>3.9</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46165</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46165</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57745-2022</t>
        </is>
      </c>
      <c r="B210" s="1" t="n">
        <v>44897.58119212963</v>
      </c>
      <c r="C210" s="1" t="n">
        <v>46165</v>
      </c>
      <c r="D210" t="inlineStr">
        <is>
          <t>ÖSTERGÖTLANDS LÄN</t>
        </is>
      </c>
      <c r="E210" t="inlineStr">
        <is>
          <t>LINKÖPING</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34889-2023</t>
        </is>
      </c>
      <c r="B211" s="1" t="n">
        <v>45140</v>
      </c>
      <c r="C211" s="1" t="n">
        <v>46165</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1993-2023</t>
        </is>
      </c>
      <c r="B212" s="1" t="n">
        <v>44939</v>
      </c>
      <c r="C212" s="1" t="n">
        <v>46165</v>
      </c>
      <c r="D212" t="inlineStr">
        <is>
          <t>ÖSTERGÖTLANDS LÄN</t>
        </is>
      </c>
      <c r="E212" t="inlineStr">
        <is>
          <t>LINKÖPING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52220-2023</t>
        </is>
      </c>
      <c r="B213" s="1" t="n">
        <v>45217</v>
      </c>
      <c r="C213" s="1" t="n">
        <v>46165</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52225-2023</t>
        </is>
      </c>
      <c r="B214" s="1" t="n">
        <v>45217</v>
      </c>
      <c r="C214" s="1" t="n">
        <v>46165</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20455-2024</t>
        </is>
      </c>
      <c r="B215" s="1" t="n">
        <v>45435.65314814815</v>
      </c>
      <c r="C215" s="1" t="n">
        <v>46165</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46165</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22771-2024</t>
        </is>
      </c>
      <c r="B217" s="1" t="n">
        <v>45448.46574074074</v>
      </c>
      <c r="C217" s="1" t="n">
        <v>46165</v>
      </c>
      <c r="D217" t="inlineStr">
        <is>
          <t>ÖSTERGÖTLANDS LÄN</t>
        </is>
      </c>
      <c r="E217" t="inlineStr">
        <is>
          <t>LINKÖPING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46165</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52412-2023</t>
        </is>
      </c>
      <c r="B219" s="1" t="n">
        <v>45225.27888888889</v>
      </c>
      <c r="C219" s="1" t="n">
        <v>46165</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52413-2023</t>
        </is>
      </c>
      <c r="B220" s="1" t="n">
        <v>45225.27950231481</v>
      </c>
      <c r="C220" s="1" t="n">
        <v>46165</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7354-2025</t>
        </is>
      </c>
      <c r="B221" s="1" t="n">
        <v>45704.41174768518</v>
      </c>
      <c r="C221" s="1" t="n">
        <v>46165</v>
      </c>
      <c r="D221" t="inlineStr">
        <is>
          <t>ÖSTERGÖTLANDS LÄN</t>
        </is>
      </c>
      <c r="E221" t="inlineStr">
        <is>
          <t>LINKÖPING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34928-2023</t>
        </is>
      </c>
      <c r="B222" s="1" t="n">
        <v>45142</v>
      </c>
      <c r="C222" s="1" t="n">
        <v>46165</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1263-2024</t>
        </is>
      </c>
      <c r="B223" s="1" t="n">
        <v>45302</v>
      </c>
      <c r="C223" s="1" t="n">
        <v>46165</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46165</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52531-2023</t>
        </is>
      </c>
      <c r="B225" s="1" t="n">
        <v>45225</v>
      </c>
      <c r="C225" s="1" t="n">
        <v>46165</v>
      </c>
      <c r="D225" t="inlineStr">
        <is>
          <t>ÖSTERGÖTLANDS LÄN</t>
        </is>
      </c>
      <c r="E225" t="inlineStr">
        <is>
          <t>LINKÖPING</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46165</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20291-2025</t>
        </is>
      </c>
      <c r="B227" s="1" t="n">
        <v>45774.74288194445</v>
      </c>
      <c r="C227" s="1" t="n">
        <v>46165</v>
      </c>
      <c r="D227" t="inlineStr">
        <is>
          <t>ÖSTERGÖTLANDS LÄN</t>
        </is>
      </c>
      <c r="E227" t="inlineStr">
        <is>
          <t>LINKÖPING</t>
        </is>
      </c>
      <c r="G227" t="n">
        <v>2.3</v>
      </c>
      <c r="H227" t="n">
        <v>0</v>
      </c>
      <c r="I227" t="n">
        <v>0</v>
      </c>
      <c r="J227" t="n">
        <v>0</v>
      </c>
      <c r="K227" t="n">
        <v>0</v>
      </c>
      <c r="L227" t="n">
        <v>0</v>
      </c>
      <c r="M227" t="n">
        <v>0</v>
      </c>
      <c r="N227" t="n">
        <v>0</v>
      </c>
      <c r="O227" t="n">
        <v>0</v>
      </c>
      <c r="P227" t="n">
        <v>0</v>
      </c>
      <c r="Q227" t="n">
        <v>0</v>
      </c>
      <c r="R227" s="2" t="inlineStr"/>
    </row>
    <row r="228" ht="15" customHeight="1">
      <c r="A228" t="inlineStr">
        <is>
          <t>A 20293-2025</t>
        </is>
      </c>
      <c r="B228" s="1" t="n">
        <v>45774.74611111111</v>
      </c>
      <c r="C228" s="1" t="n">
        <v>46165</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63665-2023</t>
        </is>
      </c>
      <c r="B229" s="1" t="n">
        <v>45275</v>
      </c>
      <c r="C229" s="1" t="n">
        <v>46165</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3041-2024</t>
        </is>
      </c>
      <c r="B230" s="1" t="n">
        <v>45316.34875</v>
      </c>
      <c r="C230" s="1" t="n">
        <v>46165</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50963-2021</t>
        </is>
      </c>
      <c r="B231" s="1" t="n">
        <v>44460</v>
      </c>
      <c r="C231" s="1" t="n">
        <v>46165</v>
      </c>
      <c r="D231" t="inlineStr">
        <is>
          <t>ÖSTERGÖTLANDS LÄN</t>
        </is>
      </c>
      <c r="E231" t="inlineStr">
        <is>
          <t>LINKÖPING</t>
        </is>
      </c>
      <c r="G231" t="n">
        <v>4.4</v>
      </c>
      <c r="H231" t="n">
        <v>0</v>
      </c>
      <c r="I231" t="n">
        <v>0</v>
      </c>
      <c r="J231" t="n">
        <v>0</v>
      </c>
      <c r="K231" t="n">
        <v>0</v>
      </c>
      <c r="L231" t="n">
        <v>0</v>
      </c>
      <c r="M231" t="n">
        <v>0</v>
      </c>
      <c r="N231" t="n">
        <v>0</v>
      </c>
      <c r="O231" t="n">
        <v>0</v>
      </c>
      <c r="P231" t="n">
        <v>0</v>
      </c>
      <c r="Q231" t="n">
        <v>0</v>
      </c>
      <c r="R231" s="2" t="inlineStr"/>
    </row>
    <row r="232" ht="15" customHeight="1">
      <c r="A232" t="inlineStr">
        <is>
          <t>A 61307-2021</t>
        </is>
      </c>
      <c r="B232" s="1" t="n">
        <v>44498.63928240741</v>
      </c>
      <c r="C232" s="1" t="n">
        <v>46165</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61325-2021</t>
        </is>
      </c>
      <c r="B233" s="1" t="n">
        <v>44498.66814814815</v>
      </c>
      <c r="C233" s="1" t="n">
        <v>46165</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46165</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46165</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38317-2024</t>
        </is>
      </c>
      <c r="B236" s="1" t="n">
        <v>45545.65766203704</v>
      </c>
      <c r="C236" s="1" t="n">
        <v>46165</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46165</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60001-2022</t>
        </is>
      </c>
      <c r="B238" s="1" t="n">
        <v>44909.47087962963</v>
      </c>
      <c r="C238" s="1" t="n">
        <v>46165</v>
      </c>
      <c r="D238" t="inlineStr">
        <is>
          <t>ÖSTERGÖTLANDS LÄN</t>
        </is>
      </c>
      <c r="E238" t="inlineStr">
        <is>
          <t>LINKÖPING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60013-2022</t>
        </is>
      </c>
      <c r="B239" s="1" t="n">
        <v>44909.47482638889</v>
      </c>
      <c r="C239" s="1" t="n">
        <v>46165</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1211-2023</t>
        </is>
      </c>
      <c r="B240" s="1" t="n">
        <v>44930</v>
      </c>
      <c r="C240" s="1" t="n">
        <v>46165</v>
      </c>
      <c r="D240" t="inlineStr">
        <is>
          <t>ÖSTERGÖTLANDS LÄN</t>
        </is>
      </c>
      <c r="E240" t="inlineStr">
        <is>
          <t>LINKÖPING</t>
        </is>
      </c>
      <c r="F240" t="inlineStr">
        <is>
          <t>Övriga statliga verk och myndigheter</t>
        </is>
      </c>
      <c r="G240" t="n">
        <v>7.9</v>
      </c>
      <c r="H240" t="n">
        <v>0</v>
      </c>
      <c r="I240" t="n">
        <v>0</v>
      </c>
      <c r="J240" t="n">
        <v>0</v>
      </c>
      <c r="K240" t="n">
        <v>0</v>
      </c>
      <c r="L240" t="n">
        <v>0</v>
      </c>
      <c r="M240" t="n">
        <v>0</v>
      </c>
      <c r="N240" t="n">
        <v>0</v>
      </c>
      <c r="O240" t="n">
        <v>0</v>
      </c>
      <c r="P240" t="n">
        <v>0</v>
      </c>
      <c r="Q240" t="n">
        <v>0</v>
      </c>
      <c r="R240" s="2" t="inlineStr"/>
    </row>
    <row r="241" ht="15" customHeight="1">
      <c r="A241" t="inlineStr">
        <is>
          <t>A 38136-2023</t>
        </is>
      </c>
      <c r="B241" s="1" t="n">
        <v>45161.37310185185</v>
      </c>
      <c r="C241" s="1" t="n">
        <v>46165</v>
      </c>
      <c r="D241" t="inlineStr">
        <is>
          <t>ÖSTERGÖTLANDS LÄN</t>
        </is>
      </c>
      <c r="E241" t="inlineStr">
        <is>
          <t>LINKÖPING</t>
        </is>
      </c>
      <c r="G241" t="n">
        <v>5.6</v>
      </c>
      <c r="H241" t="n">
        <v>0</v>
      </c>
      <c r="I241" t="n">
        <v>0</v>
      </c>
      <c r="J241" t="n">
        <v>0</v>
      </c>
      <c r="K241" t="n">
        <v>0</v>
      </c>
      <c r="L241" t="n">
        <v>0</v>
      </c>
      <c r="M241" t="n">
        <v>0</v>
      </c>
      <c r="N241" t="n">
        <v>0</v>
      </c>
      <c r="O241" t="n">
        <v>0</v>
      </c>
      <c r="P241" t="n">
        <v>0</v>
      </c>
      <c r="Q241" t="n">
        <v>0</v>
      </c>
      <c r="R241" s="2" t="inlineStr"/>
    </row>
    <row r="242" ht="15" customHeight="1">
      <c r="A242" t="inlineStr">
        <is>
          <t>A 12317-2025</t>
        </is>
      </c>
      <c r="B242" s="1" t="n">
        <v>45729.8487037037</v>
      </c>
      <c r="C242" s="1" t="n">
        <v>46165</v>
      </c>
      <c r="D242" t="inlineStr">
        <is>
          <t>ÖSTERGÖTLANDS LÄN</t>
        </is>
      </c>
      <c r="E242" t="inlineStr">
        <is>
          <t>LINKÖPING</t>
        </is>
      </c>
      <c r="G242" t="n">
        <v>8</v>
      </c>
      <c r="H242" t="n">
        <v>0</v>
      </c>
      <c r="I242" t="n">
        <v>0</v>
      </c>
      <c r="J242" t="n">
        <v>0</v>
      </c>
      <c r="K242" t="n">
        <v>0</v>
      </c>
      <c r="L242" t="n">
        <v>0</v>
      </c>
      <c r="M242" t="n">
        <v>0</v>
      </c>
      <c r="N242" t="n">
        <v>0</v>
      </c>
      <c r="O242" t="n">
        <v>0</v>
      </c>
      <c r="P242" t="n">
        <v>0</v>
      </c>
      <c r="Q242" t="n">
        <v>0</v>
      </c>
      <c r="R242" s="2" t="inlineStr"/>
    </row>
    <row r="243" ht="15" customHeight="1">
      <c r="A243" t="inlineStr">
        <is>
          <t>A 2085-2024</t>
        </is>
      </c>
      <c r="B243" s="1" t="n">
        <v>45309</v>
      </c>
      <c r="C243" s="1" t="n">
        <v>46165</v>
      </c>
      <c r="D243" t="inlineStr">
        <is>
          <t>ÖSTERGÖTLANDS LÄN</t>
        </is>
      </c>
      <c r="E243" t="inlineStr">
        <is>
          <t>LINKÖPING</t>
        </is>
      </c>
      <c r="G243" t="n">
        <v>4.5</v>
      </c>
      <c r="H243" t="n">
        <v>0</v>
      </c>
      <c r="I243" t="n">
        <v>0</v>
      </c>
      <c r="J243" t="n">
        <v>0</v>
      </c>
      <c r="K243" t="n">
        <v>0</v>
      </c>
      <c r="L243" t="n">
        <v>0</v>
      </c>
      <c r="M243" t="n">
        <v>0</v>
      </c>
      <c r="N243" t="n">
        <v>0</v>
      </c>
      <c r="O243" t="n">
        <v>0</v>
      </c>
      <c r="P243" t="n">
        <v>0</v>
      </c>
      <c r="Q243" t="n">
        <v>0</v>
      </c>
      <c r="R243" s="2" t="inlineStr"/>
    </row>
    <row r="244" ht="15" customHeight="1">
      <c r="A244" t="inlineStr">
        <is>
          <t>A 38715-2023</t>
        </is>
      </c>
      <c r="B244" s="1" t="n">
        <v>45160</v>
      </c>
      <c r="C244" s="1" t="n">
        <v>46165</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36557-2023</t>
        </is>
      </c>
      <c r="B245" s="1" t="n">
        <v>45153</v>
      </c>
      <c r="C245" s="1" t="n">
        <v>46165</v>
      </c>
      <c r="D245" t="inlineStr">
        <is>
          <t>ÖSTERGÖTLANDS LÄN</t>
        </is>
      </c>
      <c r="E245" t="inlineStr">
        <is>
          <t>LINKÖPING</t>
        </is>
      </c>
      <c r="F245" t="inlineStr">
        <is>
          <t>Övriga Aktiebolag</t>
        </is>
      </c>
      <c r="G245" t="n">
        <v>3.1</v>
      </c>
      <c r="H245" t="n">
        <v>0</v>
      </c>
      <c r="I245" t="n">
        <v>0</v>
      </c>
      <c r="J245" t="n">
        <v>0</v>
      </c>
      <c r="K245" t="n">
        <v>0</v>
      </c>
      <c r="L245" t="n">
        <v>0</v>
      </c>
      <c r="M245" t="n">
        <v>0</v>
      </c>
      <c r="N245" t="n">
        <v>0</v>
      </c>
      <c r="O245" t="n">
        <v>0</v>
      </c>
      <c r="P245" t="n">
        <v>0</v>
      </c>
      <c r="Q245" t="n">
        <v>0</v>
      </c>
      <c r="R245" s="2" t="inlineStr"/>
    </row>
    <row r="246" ht="15" customHeight="1">
      <c r="A246" t="inlineStr">
        <is>
          <t>A 34864-2023</t>
        </is>
      </c>
      <c r="B246" s="1" t="n">
        <v>45141</v>
      </c>
      <c r="C246" s="1" t="n">
        <v>46165</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30468-2023</t>
        </is>
      </c>
      <c r="B247" s="1" t="n">
        <v>45111.58732638889</v>
      </c>
      <c r="C247" s="1" t="n">
        <v>46165</v>
      </c>
      <c r="D247" t="inlineStr">
        <is>
          <t>ÖSTERGÖTLANDS LÄN</t>
        </is>
      </c>
      <c r="E247" t="inlineStr">
        <is>
          <t>LINKÖPING</t>
        </is>
      </c>
      <c r="G247" t="n">
        <v>10.1</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46165</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46687-2021</t>
        </is>
      </c>
      <c r="B249" s="1" t="n">
        <v>44445</v>
      </c>
      <c r="C249" s="1" t="n">
        <v>46165</v>
      </c>
      <c r="D249" t="inlineStr">
        <is>
          <t>ÖSTERGÖTLANDS LÄN</t>
        </is>
      </c>
      <c r="E249" t="inlineStr">
        <is>
          <t>LINKÖPING</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40618-2021</t>
        </is>
      </c>
      <c r="B250" s="1" t="n">
        <v>44420.49575231481</v>
      </c>
      <c r="C250" s="1" t="n">
        <v>46165</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227-2024</t>
        </is>
      </c>
      <c r="B251" s="1" t="n">
        <v>45294.73603009259</v>
      </c>
      <c r="C251" s="1" t="n">
        <v>46165</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46165</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46165</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44155-2024</t>
        </is>
      </c>
      <c r="B254" s="1" t="n">
        <v>45572.68226851852</v>
      </c>
      <c r="C254" s="1" t="n">
        <v>46165</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30434-2024</t>
        </is>
      </c>
      <c r="B255" s="1" t="n">
        <v>45491.69811342593</v>
      </c>
      <c r="C255" s="1" t="n">
        <v>46165</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16665-2023</t>
        </is>
      </c>
      <c r="B256" s="1" t="n">
        <v>45030.5583912037</v>
      </c>
      <c r="C256" s="1" t="n">
        <v>46165</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56917-2022</t>
        </is>
      </c>
      <c r="B257" s="1" t="n">
        <v>44894</v>
      </c>
      <c r="C257" s="1" t="n">
        <v>46165</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57766-2023</t>
        </is>
      </c>
      <c r="B258" s="1" t="n">
        <v>45246</v>
      </c>
      <c r="C258" s="1" t="n">
        <v>46165</v>
      </c>
      <c r="D258" t="inlineStr">
        <is>
          <t>ÖSTERGÖTLANDS LÄN</t>
        </is>
      </c>
      <c r="E258" t="inlineStr">
        <is>
          <t>LINKÖPING</t>
        </is>
      </c>
      <c r="F258" t="inlineStr">
        <is>
          <t>Allmännings- och besparingsskogar</t>
        </is>
      </c>
      <c r="G258" t="n">
        <v>12.8</v>
      </c>
      <c r="H258" t="n">
        <v>0</v>
      </c>
      <c r="I258" t="n">
        <v>0</v>
      </c>
      <c r="J258" t="n">
        <v>0</v>
      </c>
      <c r="K258" t="n">
        <v>0</v>
      </c>
      <c r="L258" t="n">
        <v>0</v>
      </c>
      <c r="M258" t="n">
        <v>0</v>
      </c>
      <c r="N258" t="n">
        <v>0</v>
      </c>
      <c r="O258" t="n">
        <v>0</v>
      </c>
      <c r="P258" t="n">
        <v>0</v>
      </c>
      <c r="Q258" t="n">
        <v>0</v>
      </c>
      <c r="R258" s="2" t="inlineStr"/>
    </row>
    <row r="259" ht="15" customHeight="1">
      <c r="A259" t="inlineStr">
        <is>
          <t>A 25568-2024</t>
        </is>
      </c>
      <c r="B259" s="1" t="n">
        <v>45463.58699074074</v>
      </c>
      <c r="C259" s="1" t="n">
        <v>46165</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41345-2021</t>
        </is>
      </c>
      <c r="B260" s="1" t="n">
        <v>44424.61851851852</v>
      </c>
      <c r="C260" s="1" t="n">
        <v>46165</v>
      </c>
      <c r="D260" t="inlineStr">
        <is>
          <t>ÖSTERGÖTLANDS LÄN</t>
        </is>
      </c>
      <c r="E260" t="inlineStr">
        <is>
          <t>LINKÖPING</t>
        </is>
      </c>
      <c r="F260" t="inlineStr">
        <is>
          <t>Sveaskog</t>
        </is>
      </c>
      <c r="G260" t="n">
        <v>6.3</v>
      </c>
      <c r="H260" t="n">
        <v>0</v>
      </c>
      <c r="I260" t="n">
        <v>0</v>
      </c>
      <c r="J260" t="n">
        <v>0</v>
      </c>
      <c r="K260" t="n">
        <v>0</v>
      </c>
      <c r="L260" t="n">
        <v>0</v>
      </c>
      <c r="M260" t="n">
        <v>0</v>
      </c>
      <c r="N260" t="n">
        <v>0</v>
      </c>
      <c r="O260" t="n">
        <v>0</v>
      </c>
      <c r="P260" t="n">
        <v>0</v>
      </c>
      <c r="Q260" t="n">
        <v>0</v>
      </c>
      <c r="R260" s="2" t="inlineStr"/>
    </row>
    <row r="261" ht="15" customHeight="1">
      <c r="A261" t="inlineStr">
        <is>
          <t>A 2997-2025</t>
        </is>
      </c>
      <c r="B261" s="1" t="n">
        <v>45678.54631944445</v>
      </c>
      <c r="C261" s="1" t="n">
        <v>46165</v>
      </c>
      <c r="D261" t="inlineStr">
        <is>
          <t>ÖSTERGÖTLANDS LÄN</t>
        </is>
      </c>
      <c r="E261" t="inlineStr">
        <is>
          <t>LINKÖPING</t>
        </is>
      </c>
      <c r="G261" t="n">
        <v>2.7</v>
      </c>
      <c r="H261" t="n">
        <v>0</v>
      </c>
      <c r="I261" t="n">
        <v>0</v>
      </c>
      <c r="J261" t="n">
        <v>0</v>
      </c>
      <c r="K261" t="n">
        <v>0</v>
      </c>
      <c r="L261" t="n">
        <v>0</v>
      </c>
      <c r="M261" t="n">
        <v>0</v>
      </c>
      <c r="N261" t="n">
        <v>0</v>
      </c>
      <c r="O261" t="n">
        <v>0</v>
      </c>
      <c r="P261" t="n">
        <v>0</v>
      </c>
      <c r="Q261" t="n">
        <v>0</v>
      </c>
      <c r="R261" s="2" t="inlineStr"/>
    </row>
    <row r="262" ht="15" customHeight="1">
      <c r="A262" t="inlineStr">
        <is>
          <t>A 13266-2025</t>
        </is>
      </c>
      <c r="B262" s="1" t="n">
        <v>45735.53318287037</v>
      </c>
      <c r="C262" s="1" t="n">
        <v>46165</v>
      </c>
      <c r="D262" t="inlineStr">
        <is>
          <t>ÖSTERGÖTLANDS LÄN</t>
        </is>
      </c>
      <c r="E262" t="inlineStr">
        <is>
          <t>LINKÖPING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16213-2025</t>
        </is>
      </c>
      <c r="B263" s="1" t="n">
        <v>45750.62740740741</v>
      </c>
      <c r="C263" s="1" t="n">
        <v>46165</v>
      </c>
      <c r="D263" t="inlineStr">
        <is>
          <t>ÖSTERGÖTLANDS LÄN</t>
        </is>
      </c>
      <c r="E263" t="inlineStr">
        <is>
          <t>LINKÖPING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46225-2021</t>
        </is>
      </c>
      <c r="B264" s="1" t="n">
        <v>44442</v>
      </c>
      <c r="C264" s="1" t="n">
        <v>46165</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25776-2021</t>
        </is>
      </c>
      <c r="B265" s="1" t="n">
        <v>44343</v>
      </c>
      <c r="C265" s="1" t="n">
        <v>46165</v>
      </c>
      <c r="D265" t="inlineStr">
        <is>
          <t>ÖSTERGÖTLANDS LÄN</t>
        </is>
      </c>
      <c r="E265" t="inlineStr">
        <is>
          <t>LINKÖPING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17898-2022</t>
        </is>
      </c>
      <c r="B266" s="1" t="n">
        <v>44683</v>
      </c>
      <c r="C266" s="1" t="n">
        <v>46165</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51484-2023</t>
        </is>
      </c>
      <c r="B267" s="1" t="n">
        <v>45222</v>
      </c>
      <c r="C267" s="1" t="n">
        <v>46165</v>
      </c>
      <c r="D267" t="inlineStr">
        <is>
          <t>ÖSTERGÖTLANDS LÄN</t>
        </is>
      </c>
      <c r="E267" t="inlineStr">
        <is>
          <t>LINKÖPING</t>
        </is>
      </c>
      <c r="F267" t="inlineStr">
        <is>
          <t>Övriga Aktiebolag</t>
        </is>
      </c>
      <c r="G267" t="n">
        <v>7.7</v>
      </c>
      <c r="H267" t="n">
        <v>0</v>
      </c>
      <c r="I267" t="n">
        <v>0</v>
      </c>
      <c r="J267" t="n">
        <v>0</v>
      </c>
      <c r="K267" t="n">
        <v>0</v>
      </c>
      <c r="L267" t="n">
        <v>0</v>
      </c>
      <c r="M267" t="n">
        <v>0</v>
      </c>
      <c r="N267" t="n">
        <v>0</v>
      </c>
      <c r="O267" t="n">
        <v>0</v>
      </c>
      <c r="P267" t="n">
        <v>0</v>
      </c>
      <c r="Q267" t="n">
        <v>0</v>
      </c>
      <c r="R267" s="2" t="inlineStr"/>
    </row>
    <row r="268" ht="15" customHeight="1">
      <c r="A268" t="inlineStr">
        <is>
          <t>A 22833-2023</t>
        </is>
      </c>
      <c r="B268" s="1" t="n">
        <v>45071</v>
      </c>
      <c r="C268" s="1" t="n">
        <v>46165</v>
      </c>
      <c r="D268" t="inlineStr">
        <is>
          <t>ÖSTERGÖTLANDS LÄN</t>
        </is>
      </c>
      <c r="E268" t="inlineStr">
        <is>
          <t>LINKÖPING</t>
        </is>
      </c>
      <c r="F268" t="inlineStr">
        <is>
          <t>Kommuner</t>
        </is>
      </c>
      <c r="G268" t="n">
        <v>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46165</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63487-2023</t>
        </is>
      </c>
      <c r="B270" s="1" t="n">
        <v>45274.66712962963</v>
      </c>
      <c r="C270" s="1" t="n">
        <v>46165</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35463-2023</t>
        </is>
      </c>
      <c r="B271" s="1" t="n">
        <v>45146</v>
      </c>
      <c r="C271" s="1" t="n">
        <v>46165</v>
      </c>
      <c r="D271" t="inlineStr">
        <is>
          <t>ÖSTERGÖTLANDS LÄN</t>
        </is>
      </c>
      <c r="E271" t="inlineStr">
        <is>
          <t>LINKÖPING</t>
        </is>
      </c>
      <c r="F271" t="inlineStr">
        <is>
          <t>Övriga Aktiebolag</t>
        </is>
      </c>
      <c r="G271" t="n">
        <v>1.8</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46165</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55632-2022</t>
        </is>
      </c>
      <c r="B273" s="1" t="n">
        <v>44888</v>
      </c>
      <c r="C273" s="1" t="n">
        <v>46165</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24151-2024</t>
        </is>
      </c>
      <c r="B274" s="1" t="n">
        <v>45456.67717592593</v>
      </c>
      <c r="C274" s="1" t="n">
        <v>46165</v>
      </c>
      <c r="D274" t="inlineStr">
        <is>
          <t>ÖSTERGÖTLANDS LÄN</t>
        </is>
      </c>
      <c r="E274" t="inlineStr">
        <is>
          <t>LINKÖPING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55944-2024</t>
        </is>
      </c>
      <c r="B275" s="1" t="n">
        <v>45623.61640046296</v>
      </c>
      <c r="C275" s="1" t="n">
        <v>46165</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55947-2024</t>
        </is>
      </c>
      <c r="B276" s="1" t="n">
        <v>45623</v>
      </c>
      <c r="C276" s="1" t="n">
        <v>46165</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3374-2023</t>
        </is>
      </c>
      <c r="B277" s="1" t="n">
        <v>44949</v>
      </c>
      <c r="C277" s="1" t="n">
        <v>46165</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33800-2023</t>
        </is>
      </c>
      <c r="B278" s="1" t="n">
        <v>45121</v>
      </c>
      <c r="C278" s="1" t="n">
        <v>46165</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26007-2025</t>
        </is>
      </c>
      <c r="B279" s="1" t="n">
        <v>45804.67081018518</v>
      </c>
      <c r="C279" s="1" t="n">
        <v>46165</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35174-2025</t>
        </is>
      </c>
      <c r="B280" s="1" t="n">
        <v>45852.90648148148</v>
      </c>
      <c r="C280" s="1" t="n">
        <v>46165</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22289-2026</t>
        </is>
      </c>
      <c r="B281" s="1" t="n">
        <v>46154.43842592592</v>
      </c>
      <c r="C281" s="1" t="n">
        <v>46165</v>
      </c>
      <c r="D281" t="inlineStr">
        <is>
          <t>ÖSTERGÖTLANDS LÄN</t>
        </is>
      </c>
      <c r="E281" t="inlineStr">
        <is>
          <t>LINKÖPING</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47991-2023</t>
        </is>
      </c>
      <c r="B282" s="1" t="n">
        <v>45204.62655092592</v>
      </c>
      <c r="C282" s="1" t="n">
        <v>46165</v>
      </c>
      <c r="D282" t="inlineStr">
        <is>
          <t>ÖSTERGÖTLANDS LÄN</t>
        </is>
      </c>
      <c r="E282" t="inlineStr">
        <is>
          <t>LINKÖPING</t>
        </is>
      </c>
      <c r="F282" t="inlineStr">
        <is>
          <t>Allmännings- och besparingsskogar</t>
        </is>
      </c>
      <c r="G282" t="n">
        <v>7.3</v>
      </c>
      <c r="H282" t="n">
        <v>0</v>
      </c>
      <c r="I282" t="n">
        <v>0</v>
      </c>
      <c r="J282" t="n">
        <v>0</v>
      </c>
      <c r="K282" t="n">
        <v>0</v>
      </c>
      <c r="L282" t="n">
        <v>0</v>
      </c>
      <c r="M282" t="n">
        <v>0</v>
      </c>
      <c r="N282" t="n">
        <v>0</v>
      </c>
      <c r="O282" t="n">
        <v>0</v>
      </c>
      <c r="P282" t="n">
        <v>0</v>
      </c>
      <c r="Q282" t="n">
        <v>0</v>
      </c>
      <c r="R282" s="2" t="inlineStr"/>
    </row>
    <row r="283" ht="15" customHeight="1">
      <c r="A283" t="inlineStr">
        <is>
          <t>A 35179-2025</t>
        </is>
      </c>
      <c r="B283" s="1" t="n">
        <v>45852.93737268518</v>
      </c>
      <c r="C283" s="1" t="n">
        <v>46165</v>
      </c>
      <c r="D283" t="inlineStr">
        <is>
          <t>ÖSTERGÖTLANDS LÄN</t>
        </is>
      </c>
      <c r="E283" t="inlineStr">
        <is>
          <t>LINKÖPING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35180-2025</t>
        </is>
      </c>
      <c r="B284" s="1" t="n">
        <v>45852.9413425926</v>
      </c>
      <c r="C284" s="1" t="n">
        <v>46165</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22271-2026</t>
        </is>
      </c>
      <c r="B285" s="1" t="n">
        <v>46154.41280092593</v>
      </c>
      <c r="C285" s="1" t="n">
        <v>46165</v>
      </c>
      <c r="D285" t="inlineStr">
        <is>
          <t>ÖSTERGÖTLANDS LÄN</t>
        </is>
      </c>
      <c r="E285" t="inlineStr">
        <is>
          <t>LINKÖPING</t>
        </is>
      </c>
      <c r="F285" t="inlineStr">
        <is>
          <t>Sveaskog</t>
        </is>
      </c>
      <c r="G285" t="n">
        <v>6.5</v>
      </c>
      <c r="H285" t="n">
        <v>0</v>
      </c>
      <c r="I285" t="n">
        <v>0</v>
      </c>
      <c r="J285" t="n">
        <v>0</v>
      </c>
      <c r="K285" t="n">
        <v>0</v>
      </c>
      <c r="L285" t="n">
        <v>0</v>
      </c>
      <c r="M285" t="n">
        <v>0</v>
      </c>
      <c r="N285" t="n">
        <v>0</v>
      </c>
      <c r="O285" t="n">
        <v>0</v>
      </c>
      <c r="P285" t="n">
        <v>0</v>
      </c>
      <c r="Q285" t="n">
        <v>0</v>
      </c>
      <c r="R285" s="2" t="inlineStr"/>
    </row>
    <row r="286" ht="15" customHeight="1">
      <c r="A286" t="inlineStr">
        <is>
          <t>A 14576-2023</t>
        </is>
      </c>
      <c r="B286" s="1" t="n">
        <v>45013</v>
      </c>
      <c r="C286" s="1" t="n">
        <v>46165</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35178-2025</t>
        </is>
      </c>
      <c r="B287" s="1" t="n">
        <v>45852.91939814815</v>
      </c>
      <c r="C287" s="1" t="n">
        <v>46165</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3008-2023</t>
        </is>
      </c>
      <c r="B288" s="1" t="n">
        <v>44945.79784722222</v>
      </c>
      <c r="C288" s="1" t="n">
        <v>46165</v>
      </c>
      <c r="D288" t="inlineStr">
        <is>
          <t>ÖSTERGÖTLANDS LÄN</t>
        </is>
      </c>
      <c r="E288" t="inlineStr">
        <is>
          <t>LINKÖPING</t>
        </is>
      </c>
      <c r="G288" t="n">
        <v>19.3</v>
      </c>
      <c r="H288" t="n">
        <v>0</v>
      </c>
      <c r="I288" t="n">
        <v>0</v>
      </c>
      <c r="J288" t="n">
        <v>0</v>
      </c>
      <c r="K288" t="n">
        <v>0</v>
      </c>
      <c r="L288" t="n">
        <v>0</v>
      </c>
      <c r="M288" t="n">
        <v>0</v>
      </c>
      <c r="N288" t="n">
        <v>0</v>
      </c>
      <c r="O288" t="n">
        <v>0</v>
      </c>
      <c r="P288" t="n">
        <v>0</v>
      </c>
      <c r="Q288" t="n">
        <v>0</v>
      </c>
      <c r="R288" s="2" t="inlineStr"/>
    </row>
    <row r="289" ht="15" customHeight="1">
      <c r="A289" t="inlineStr">
        <is>
          <t>A 22272-2026</t>
        </is>
      </c>
      <c r="B289" s="1" t="n">
        <v>46154.41445601852</v>
      </c>
      <c r="C289" s="1" t="n">
        <v>46165</v>
      </c>
      <c r="D289" t="inlineStr">
        <is>
          <t>ÖSTERGÖTLANDS LÄN</t>
        </is>
      </c>
      <c r="E289" t="inlineStr">
        <is>
          <t>LINKÖPING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22286-2026</t>
        </is>
      </c>
      <c r="B290" s="1" t="n">
        <v>46154.43436342593</v>
      </c>
      <c r="C290" s="1" t="n">
        <v>46165</v>
      </c>
      <c r="D290" t="inlineStr">
        <is>
          <t>ÖSTERGÖTLANDS LÄN</t>
        </is>
      </c>
      <c r="E290" t="inlineStr">
        <is>
          <t>LINKÖPING</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22070-2026</t>
        </is>
      </c>
      <c r="B291" s="1" t="n">
        <v>46153.49255787037</v>
      </c>
      <c r="C291" s="1" t="n">
        <v>46165</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22284-2026</t>
        </is>
      </c>
      <c r="B292" s="1" t="n">
        <v>46154.4333449074</v>
      </c>
      <c r="C292" s="1" t="n">
        <v>46165</v>
      </c>
      <c r="D292" t="inlineStr">
        <is>
          <t>ÖSTERGÖTLANDS LÄN</t>
        </is>
      </c>
      <c r="E292" t="inlineStr">
        <is>
          <t>LINKÖPING</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22282-2026</t>
        </is>
      </c>
      <c r="B293" s="1" t="n">
        <v>46154.42961805555</v>
      </c>
      <c r="C293" s="1" t="n">
        <v>46165</v>
      </c>
      <c r="D293" t="inlineStr">
        <is>
          <t>ÖSTERGÖTLANDS LÄN</t>
        </is>
      </c>
      <c r="E293" t="inlineStr">
        <is>
          <t>LINKÖPING</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39438-2025</t>
        </is>
      </c>
      <c r="B294" s="1" t="n">
        <v>45889.68641203704</v>
      </c>
      <c r="C294" s="1" t="n">
        <v>46165</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27264-2025</t>
        </is>
      </c>
      <c r="B295" s="1" t="n">
        <v>45812.4794212963</v>
      </c>
      <c r="C295" s="1" t="n">
        <v>46165</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35757-2025</t>
        </is>
      </c>
      <c r="B296" s="1" t="n">
        <v>45860.59876157407</v>
      </c>
      <c r="C296" s="1" t="n">
        <v>46165</v>
      </c>
      <c r="D296" t="inlineStr">
        <is>
          <t>ÖSTERGÖTLANDS LÄN</t>
        </is>
      </c>
      <c r="E296" t="inlineStr">
        <is>
          <t>LINKÖPING</t>
        </is>
      </c>
      <c r="G296" t="n">
        <v>5.7</v>
      </c>
      <c r="H296" t="n">
        <v>0</v>
      </c>
      <c r="I296" t="n">
        <v>0</v>
      </c>
      <c r="J296" t="n">
        <v>0</v>
      </c>
      <c r="K296" t="n">
        <v>0</v>
      </c>
      <c r="L296" t="n">
        <v>0</v>
      </c>
      <c r="M296" t="n">
        <v>0</v>
      </c>
      <c r="N296" t="n">
        <v>0</v>
      </c>
      <c r="O296" t="n">
        <v>0</v>
      </c>
      <c r="P296" t="n">
        <v>0</v>
      </c>
      <c r="Q296" t="n">
        <v>0</v>
      </c>
      <c r="R296" s="2" t="inlineStr"/>
    </row>
    <row r="297" ht="15" customHeight="1">
      <c r="A297" t="inlineStr">
        <is>
          <t>A 35745-2025</t>
        </is>
      </c>
      <c r="B297" s="1" t="n">
        <v>45860.54739583333</v>
      </c>
      <c r="C297" s="1" t="n">
        <v>46165</v>
      </c>
      <c r="D297" t="inlineStr">
        <is>
          <t>ÖSTERGÖTLANDS LÄN</t>
        </is>
      </c>
      <c r="E297" t="inlineStr">
        <is>
          <t>LINKÖPING</t>
        </is>
      </c>
      <c r="G297" t="n">
        <v>4.4</v>
      </c>
      <c r="H297" t="n">
        <v>0</v>
      </c>
      <c r="I297" t="n">
        <v>0</v>
      </c>
      <c r="J297" t="n">
        <v>0</v>
      </c>
      <c r="K297" t="n">
        <v>0</v>
      </c>
      <c r="L297" t="n">
        <v>0</v>
      </c>
      <c r="M297" t="n">
        <v>0</v>
      </c>
      <c r="N297" t="n">
        <v>0</v>
      </c>
      <c r="O297" t="n">
        <v>0</v>
      </c>
      <c r="P297" t="n">
        <v>0</v>
      </c>
      <c r="Q297" t="n">
        <v>0</v>
      </c>
      <c r="R297" s="2" t="inlineStr"/>
    </row>
    <row r="298" ht="15" customHeight="1">
      <c r="A298" t="inlineStr">
        <is>
          <t>A 39074-2025</t>
        </is>
      </c>
      <c r="B298" s="1" t="n">
        <v>45888</v>
      </c>
      <c r="C298" s="1" t="n">
        <v>46165</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72567-2021</t>
        </is>
      </c>
      <c r="B299" s="1" t="n">
        <v>44546.45023148148</v>
      </c>
      <c r="C299" s="1" t="n">
        <v>46165</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35747-2025</t>
        </is>
      </c>
      <c r="B300" s="1" t="n">
        <v>45860.56385416666</v>
      </c>
      <c r="C300" s="1" t="n">
        <v>46165</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74160-2021</t>
        </is>
      </c>
      <c r="B301" s="1" t="n">
        <v>44558</v>
      </c>
      <c r="C301" s="1" t="n">
        <v>46165</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35759-2025</t>
        </is>
      </c>
      <c r="B302" s="1" t="n">
        <v>45860</v>
      </c>
      <c r="C302" s="1" t="n">
        <v>46165</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16967-2026</t>
        </is>
      </c>
      <c r="B303" s="1" t="n">
        <v>46114.36207175926</v>
      </c>
      <c r="C303" s="1" t="n">
        <v>46165</v>
      </c>
      <c r="D303" t="inlineStr">
        <is>
          <t>ÖSTERGÖTLANDS LÄN</t>
        </is>
      </c>
      <c r="E303" t="inlineStr">
        <is>
          <t>LINKÖPING</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40169-2025</t>
        </is>
      </c>
      <c r="B304" s="1" t="n">
        <v>45894.62824074074</v>
      </c>
      <c r="C304" s="1" t="n">
        <v>46165</v>
      </c>
      <c r="D304" t="inlineStr">
        <is>
          <t>ÖSTERGÖTLANDS LÄN</t>
        </is>
      </c>
      <c r="E304" t="inlineStr">
        <is>
          <t>LINKÖPING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27766-2022</t>
        </is>
      </c>
      <c r="B305" s="1" t="n">
        <v>44743.53112268518</v>
      </c>
      <c r="C305" s="1" t="n">
        <v>46165</v>
      </c>
      <c r="D305" t="inlineStr">
        <is>
          <t>ÖSTERGÖTLANDS LÄN</t>
        </is>
      </c>
      <c r="E305" t="inlineStr">
        <is>
          <t>LINKÖPING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37057-2025</t>
        </is>
      </c>
      <c r="B306" s="1" t="n">
        <v>45875.37489583333</v>
      </c>
      <c r="C306" s="1" t="n">
        <v>46165</v>
      </c>
      <c r="D306" t="inlineStr">
        <is>
          <t>ÖSTERGÖTLANDS LÄN</t>
        </is>
      </c>
      <c r="E306" t="inlineStr">
        <is>
          <t>LINKÖPING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53641-2023</t>
        </is>
      </c>
      <c r="B307" s="1" t="n">
        <v>45230</v>
      </c>
      <c r="C307" s="1" t="n">
        <v>46165</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33000-2023</t>
        </is>
      </c>
      <c r="B308" s="1" t="n">
        <v>45125</v>
      </c>
      <c r="C308" s="1" t="n">
        <v>46165</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17513-2026</t>
        </is>
      </c>
      <c r="B309" s="1" t="n">
        <v>46120</v>
      </c>
      <c r="C309" s="1" t="n">
        <v>46165</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52892-2024</t>
        </is>
      </c>
      <c r="B310" s="1" t="n">
        <v>45610</v>
      </c>
      <c r="C310" s="1" t="n">
        <v>46165</v>
      </c>
      <c r="D310" t="inlineStr">
        <is>
          <t>ÖSTERGÖTLANDS LÄN</t>
        </is>
      </c>
      <c r="E310" t="inlineStr">
        <is>
          <t>LINKÖPING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41511-2025</t>
        </is>
      </c>
      <c r="B311" s="1" t="n">
        <v>45901.53839120371</v>
      </c>
      <c r="C311" s="1" t="n">
        <v>46165</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41706-2025</t>
        </is>
      </c>
      <c r="B312" s="1" t="n">
        <v>45902.42209490741</v>
      </c>
      <c r="C312" s="1" t="n">
        <v>46165</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46165</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30521-2024</t>
        </is>
      </c>
      <c r="B314" s="1" t="n">
        <v>45492</v>
      </c>
      <c r="C314" s="1" t="n">
        <v>46165</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51191-2022</t>
        </is>
      </c>
      <c r="B315" s="1" t="n">
        <v>44865</v>
      </c>
      <c r="C315" s="1" t="n">
        <v>46165</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29293-2025</t>
        </is>
      </c>
      <c r="B316" s="1" t="n">
        <v>45824</v>
      </c>
      <c r="C316" s="1" t="n">
        <v>46165</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42624-2025</t>
        </is>
      </c>
      <c r="B317" s="1" t="n">
        <v>45905</v>
      </c>
      <c r="C317" s="1" t="n">
        <v>46165</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42626-2025</t>
        </is>
      </c>
      <c r="B318" s="1" t="n">
        <v>45905</v>
      </c>
      <c r="C318" s="1" t="n">
        <v>46165</v>
      </c>
      <c r="D318" t="inlineStr">
        <is>
          <t>ÖSTERGÖTLANDS LÄN</t>
        </is>
      </c>
      <c r="E318" t="inlineStr">
        <is>
          <t>LINKÖPING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21247-2026</t>
        </is>
      </c>
      <c r="B319" s="1" t="n">
        <v>46147.36827546296</v>
      </c>
      <c r="C319" s="1" t="n">
        <v>46165</v>
      </c>
      <c r="D319" t="inlineStr">
        <is>
          <t>ÖSTERGÖTLANDS LÄN</t>
        </is>
      </c>
      <c r="E319" t="inlineStr">
        <is>
          <t>LINKÖPING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42623-2025</t>
        </is>
      </c>
      <c r="B320" s="1" t="n">
        <v>45905</v>
      </c>
      <c r="C320" s="1" t="n">
        <v>46165</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25829-2025</t>
        </is>
      </c>
      <c r="B321" s="1" t="n">
        <v>45804.44505787037</v>
      </c>
      <c r="C321" s="1" t="n">
        <v>46165</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38046-2025</t>
        </is>
      </c>
      <c r="B322" s="1" t="n">
        <v>45882.39939814815</v>
      </c>
      <c r="C322" s="1" t="n">
        <v>46165</v>
      </c>
      <c r="D322" t="inlineStr">
        <is>
          <t>ÖSTERGÖTLANDS LÄN</t>
        </is>
      </c>
      <c r="E322" t="inlineStr">
        <is>
          <t>LINKÖPING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12289-2025</t>
        </is>
      </c>
      <c r="B323" s="1" t="n">
        <v>45729</v>
      </c>
      <c r="C323" s="1" t="n">
        <v>46165</v>
      </c>
      <c r="D323" t="inlineStr">
        <is>
          <t>ÖSTERGÖTLANDS LÄN</t>
        </is>
      </c>
      <c r="E323" t="inlineStr">
        <is>
          <t>LINKÖPING</t>
        </is>
      </c>
      <c r="F323" t="inlineStr">
        <is>
          <t>Övriga statliga verk och myndigheter</t>
        </is>
      </c>
      <c r="G323" t="n">
        <v>6.5</v>
      </c>
      <c r="H323" t="n">
        <v>0</v>
      </c>
      <c r="I323" t="n">
        <v>0</v>
      </c>
      <c r="J323" t="n">
        <v>0</v>
      </c>
      <c r="K323" t="n">
        <v>0</v>
      </c>
      <c r="L323" t="n">
        <v>0</v>
      </c>
      <c r="M323" t="n">
        <v>0</v>
      </c>
      <c r="N323" t="n">
        <v>0</v>
      </c>
      <c r="O323" t="n">
        <v>0</v>
      </c>
      <c r="P323" t="n">
        <v>0</v>
      </c>
      <c r="Q323" t="n">
        <v>0</v>
      </c>
      <c r="R323" s="2" t="inlineStr"/>
    </row>
    <row r="324" ht="15" customHeight="1">
      <c r="A324" t="inlineStr">
        <is>
          <t>A 9434-2024</t>
        </is>
      </c>
      <c r="B324" s="1" t="n">
        <v>45359</v>
      </c>
      <c r="C324" s="1" t="n">
        <v>46165</v>
      </c>
      <c r="D324" t="inlineStr">
        <is>
          <t>ÖSTERGÖTLANDS LÄN</t>
        </is>
      </c>
      <c r="E324" t="inlineStr">
        <is>
          <t>LINKÖPING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50182-2023</t>
        </is>
      </c>
      <c r="B325" s="1" t="n">
        <v>45208</v>
      </c>
      <c r="C325" s="1" t="n">
        <v>46165</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35781-2023</t>
        </is>
      </c>
      <c r="B326" s="1" t="n">
        <v>45147</v>
      </c>
      <c r="C326" s="1" t="n">
        <v>46165</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44170-2025</t>
        </is>
      </c>
      <c r="B327" s="1" t="n">
        <v>45915.59864583334</v>
      </c>
      <c r="C327" s="1" t="n">
        <v>46165</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61281-2021</t>
        </is>
      </c>
      <c r="B328" s="1" t="n">
        <v>44498.60736111111</v>
      </c>
      <c r="C328" s="1" t="n">
        <v>46165</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25292-2021</t>
        </is>
      </c>
      <c r="B329" s="1" t="n">
        <v>44342</v>
      </c>
      <c r="C329" s="1" t="n">
        <v>46165</v>
      </c>
      <c r="D329" t="inlineStr">
        <is>
          <t>ÖSTERGÖTLANDS LÄN</t>
        </is>
      </c>
      <c r="E329" t="inlineStr">
        <is>
          <t>LINKÖPING</t>
        </is>
      </c>
      <c r="F329" t="inlineStr">
        <is>
          <t>Övriga Aktiebolag</t>
        </is>
      </c>
      <c r="G329" t="n">
        <v>12.8</v>
      </c>
      <c r="H329" t="n">
        <v>0</v>
      </c>
      <c r="I329" t="n">
        <v>0</v>
      </c>
      <c r="J329" t="n">
        <v>0</v>
      </c>
      <c r="K329" t="n">
        <v>0</v>
      </c>
      <c r="L329" t="n">
        <v>0</v>
      </c>
      <c r="M329" t="n">
        <v>0</v>
      </c>
      <c r="N329" t="n">
        <v>0</v>
      </c>
      <c r="O329" t="n">
        <v>0</v>
      </c>
      <c r="P329" t="n">
        <v>0</v>
      </c>
      <c r="Q329" t="n">
        <v>0</v>
      </c>
      <c r="R329" s="2" t="inlineStr"/>
    </row>
    <row r="330" ht="15" customHeight="1">
      <c r="A330" t="inlineStr">
        <is>
          <t>A 63935-2021</t>
        </is>
      </c>
      <c r="B330" s="1" t="n">
        <v>44509</v>
      </c>
      <c r="C330" s="1" t="n">
        <v>46165</v>
      </c>
      <c r="D330" t="inlineStr">
        <is>
          <t>ÖSTERGÖTLANDS LÄN</t>
        </is>
      </c>
      <c r="E330" t="inlineStr">
        <is>
          <t>LINKÖPING</t>
        </is>
      </c>
      <c r="F330" t="inlineStr">
        <is>
          <t>Övriga statliga verk och myndigheter</t>
        </is>
      </c>
      <c r="G330" t="n">
        <v>2.8</v>
      </c>
      <c r="H330" t="n">
        <v>0</v>
      </c>
      <c r="I330" t="n">
        <v>0</v>
      </c>
      <c r="J330" t="n">
        <v>0</v>
      </c>
      <c r="K330" t="n">
        <v>0</v>
      </c>
      <c r="L330" t="n">
        <v>0</v>
      </c>
      <c r="M330" t="n">
        <v>0</v>
      </c>
      <c r="N330" t="n">
        <v>0</v>
      </c>
      <c r="O330" t="n">
        <v>0</v>
      </c>
      <c r="P330" t="n">
        <v>0</v>
      </c>
      <c r="Q330" t="n">
        <v>0</v>
      </c>
      <c r="R330" s="2" t="inlineStr"/>
    </row>
    <row r="331" ht="15" customHeight="1">
      <c r="A331" t="inlineStr">
        <is>
          <t>A 6387-2022</t>
        </is>
      </c>
      <c r="B331" s="1" t="n">
        <v>44600</v>
      </c>
      <c r="C331" s="1" t="n">
        <v>46165</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48707-2023</t>
        </is>
      </c>
      <c r="B332" s="1" t="n">
        <v>45202</v>
      </c>
      <c r="C332" s="1" t="n">
        <v>46165</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38971-2025</t>
        </is>
      </c>
      <c r="B333" s="1" t="n">
        <v>45887.71827546296</v>
      </c>
      <c r="C333" s="1" t="n">
        <v>46165</v>
      </c>
      <c r="D333" t="inlineStr">
        <is>
          <t>ÖSTERGÖTLANDS LÄN</t>
        </is>
      </c>
      <c r="E333" t="inlineStr">
        <is>
          <t>LINKÖPING</t>
        </is>
      </c>
      <c r="G333" t="n">
        <v>3.9</v>
      </c>
      <c r="H333" t="n">
        <v>0</v>
      </c>
      <c r="I333" t="n">
        <v>0</v>
      </c>
      <c r="J333" t="n">
        <v>0</v>
      </c>
      <c r="K333" t="n">
        <v>0</v>
      </c>
      <c r="L333" t="n">
        <v>0</v>
      </c>
      <c r="M333" t="n">
        <v>0</v>
      </c>
      <c r="N333" t="n">
        <v>0</v>
      </c>
      <c r="O333" t="n">
        <v>0</v>
      </c>
      <c r="P333" t="n">
        <v>0</v>
      </c>
      <c r="Q333" t="n">
        <v>0</v>
      </c>
      <c r="R333" s="2" t="inlineStr"/>
    </row>
    <row r="334" ht="15" customHeight="1">
      <c r="A334" t="inlineStr">
        <is>
          <t>A 43755-2025</t>
        </is>
      </c>
      <c r="B334" s="1" t="n">
        <v>45912.47329861111</v>
      </c>
      <c r="C334" s="1" t="n">
        <v>46165</v>
      </c>
      <c r="D334" t="inlineStr">
        <is>
          <t>ÖSTERGÖTLANDS LÄN</t>
        </is>
      </c>
      <c r="E334" t="inlineStr">
        <is>
          <t>LINKÖPING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55345-2021</t>
        </is>
      </c>
      <c r="B335" s="1" t="n">
        <v>44475</v>
      </c>
      <c r="C335" s="1" t="n">
        <v>46165</v>
      </c>
      <c r="D335" t="inlineStr">
        <is>
          <t>ÖSTERGÖTLANDS LÄN</t>
        </is>
      </c>
      <c r="E335" t="inlineStr">
        <is>
          <t>LINKÖPING</t>
        </is>
      </c>
      <c r="G335" t="n">
        <v>5.7</v>
      </c>
      <c r="H335" t="n">
        <v>0</v>
      </c>
      <c r="I335" t="n">
        <v>0</v>
      </c>
      <c r="J335" t="n">
        <v>0</v>
      </c>
      <c r="K335" t="n">
        <v>0</v>
      </c>
      <c r="L335" t="n">
        <v>0</v>
      </c>
      <c r="M335" t="n">
        <v>0</v>
      </c>
      <c r="N335" t="n">
        <v>0</v>
      </c>
      <c r="O335" t="n">
        <v>0</v>
      </c>
      <c r="P335" t="n">
        <v>0</v>
      </c>
      <c r="Q335" t="n">
        <v>0</v>
      </c>
      <c r="R335" s="2" t="inlineStr"/>
    </row>
    <row r="336" ht="15" customHeight="1">
      <c r="A336" t="inlineStr">
        <is>
          <t>A 43758-2025</t>
        </is>
      </c>
      <c r="B336" s="1" t="n">
        <v>45912.47711805555</v>
      </c>
      <c r="C336" s="1" t="n">
        <v>46165</v>
      </c>
      <c r="D336" t="inlineStr">
        <is>
          <t>ÖSTERGÖTLANDS LÄN</t>
        </is>
      </c>
      <c r="E336" t="inlineStr">
        <is>
          <t>LINKÖPING</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43753-2025</t>
        </is>
      </c>
      <c r="B337" s="1" t="n">
        <v>45912.4715625</v>
      </c>
      <c r="C337" s="1" t="n">
        <v>46165</v>
      </c>
      <c r="D337" t="inlineStr">
        <is>
          <t>ÖSTERGÖTLANDS LÄN</t>
        </is>
      </c>
      <c r="E337" t="inlineStr">
        <is>
          <t>LINKÖPING</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44759-2025</t>
        </is>
      </c>
      <c r="B338" s="1" t="n">
        <v>45917.7152662037</v>
      </c>
      <c r="C338" s="1" t="n">
        <v>46165</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44764-2025</t>
        </is>
      </c>
      <c r="B339" s="1" t="n">
        <v>45917.72821759259</v>
      </c>
      <c r="C339" s="1" t="n">
        <v>46165</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45112-2025</t>
        </is>
      </c>
      <c r="B340" s="1" t="n">
        <v>45919</v>
      </c>
      <c r="C340" s="1" t="n">
        <v>46165</v>
      </c>
      <c r="D340" t="inlineStr">
        <is>
          <t>ÖSTERGÖTLANDS LÄN</t>
        </is>
      </c>
      <c r="E340" t="inlineStr">
        <is>
          <t>LINKÖPING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12089-2025</t>
        </is>
      </c>
      <c r="B341" s="1" t="n">
        <v>45729</v>
      </c>
      <c r="C341" s="1" t="n">
        <v>46165</v>
      </c>
      <c r="D341" t="inlineStr">
        <is>
          <t>ÖSTERGÖTLANDS LÄN</t>
        </is>
      </c>
      <c r="E341" t="inlineStr">
        <is>
          <t>LINKÖPING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15658-2023</t>
        </is>
      </c>
      <c r="B342" s="1" t="n">
        <v>45021.41194444444</v>
      </c>
      <c r="C342" s="1" t="n">
        <v>46165</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45634-2025</t>
        </is>
      </c>
      <c r="B343" s="1" t="n">
        <v>45922.85089120371</v>
      </c>
      <c r="C343" s="1" t="n">
        <v>46165</v>
      </c>
      <c r="D343" t="inlineStr">
        <is>
          <t>ÖSTERGÖTLANDS LÄN</t>
        </is>
      </c>
      <c r="E343" t="inlineStr">
        <is>
          <t>LINKÖPING</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51583-2024</t>
        </is>
      </c>
      <c r="B344" s="1" t="n">
        <v>45604.6397337963</v>
      </c>
      <c r="C344" s="1" t="n">
        <v>46165</v>
      </c>
      <c r="D344" t="inlineStr">
        <is>
          <t>ÖSTERGÖTLANDS LÄN</t>
        </is>
      </c>
      <c r="E344" t="inlineStr">
        <is>
          <t>LINKÖPING</t>
        </is>
      </c>
      <c r="F344" t="inlineStr">
        <is>
          <t>Övriga Aktiebolag</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46165</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46165</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64694-2023</t>
        </is>
      </c>
      <c r="B347" s="1" t="n">
        <v>45281</v>
      </c>
      <c r="C347" s="1" t="n">
        <v>46165</v>
      </c>
      <c r="D347" t="inlineStr">
        <is>
          <t>ÖSTERGÖTLANDS LÄN</t>
        </is>
      </c>
      <c r="E347" t="inlineStr">
        <is>
          <t>LINKÖPING</t>
        </is>
      </c>
      <c r="F347" t="inlineStr">
        <is>
          <t>Övriga statliga verk och myndigheter</t>
        </is>
      </c>
      <c r="G347" t="n">
        <v>4.9</v>
      </c>
      <c r="H347" t="n">
        <v>0</v>
      </c>
      <c r="I347" t="n">
        <v>0</v>
      </c>
      <c r="J347" t="n">
        <v>0</v>
      </c>
      <c r="K347" t="n">
        <v>0</v>
      </c>
      <c r="L347" t="n">
        <v>0</v>
      </c>
      <c r="M347" t="n">
        <v>0</v>
      </c>
      <c r="N347" t="n">
        <v>0</v>
      </c>
      <c r="O347" t="n">
        <v>0</v>
      </c>
      <c r="P347" t="n">
        <v>0</v>
      </c>
      <c r="Q347" t="n">
        <v>0</v>
      </c>
      <c r="R347" s="2" t="inlineStr"/>
    </row>
    <row r="348" ht="15" customHeight="1">
      <c r="A348" t="inlineStr">
        <is>
          <t>A 32602-2022</t>
        </is>
      </c>
      <c r="B348" s="1" t="n">
        <v>44783.43192129629</v>
      </c>
      <c r="C348" s="1" t="n">
        <v>46165</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46426-2025</t>
        </is>
      </c>
      <c r="B349" s="1" t="n">
        <v>45925.6012962963</v>
      </c>
      <c r="C349" s="1" t="n">
        <v>46165</v>
      </c>
      <c r="D349" t="inlineStr">
        <is>
          <t>ÖSTERGÖTLANDS LÄN</t>
        </is>
      </c>
      <c r="E349" t="inlineStr">
        <is>
          <t>LINKÖPING</t>
        </is>
      </c>
      <c r="G349" t="n">
        <v>4.4</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46165</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62321-2022</t>
        </is>
      </c>
      <c r="B351" s="1" t="n">
        <v>44916</v>
      </c>
      <c r="C351" s="1" t="n">
        <v>46165</v>
      </c>
      <c r="D351" t="inlineStr">
        <is>
          <t>ÖSTERGÖTLANDS LÄN</t>
        </is>
      </c>
      <c r="E351" t="inlineStr">
        <is>
          <t>LINKÖPING</t>
        </is>
      </c>
      <c r="F351" t="inlineStr">
        <is>
          <t>Kommuner</t>
        </is>
      </c>
      <c r="G351" t="n">
        <v>5.3</v>
      </c>
      <c r="H351" t="n">
        <v>0</v>
      </c>
      <c r="I351" t="n">
        <v>0</v>
      </c>
      <c r="J351" t="n">
        <v>0</v>
      </c>
      <c r="K351" t="n">
        <v>0</v>
      </c>
      <c r="L351" t="n">
        <v>0</v>
      </c>
      <c r="M351" t="n">
        <v>0</v>
      </c>
      <c r="N351" t="n">
        <v>0</v>
      </c>
      <c r="O351" t="n">
        <v>0</v>
      </c>
      <c r="P351" t="n">
        <v>0</v>
      </c>
      <c r="Q351" t="n">
        <v>0</v>
      </c>
      <c r="R351" s="2" t="inlineStr"/>
    </row>
    <row r="352" ht="15" customHeight="1">
      <c r="A352" t="inlineStr">
        <is>
          <t>A 46377-2025</t>
        </is>
      </c>
      <c r="B352" s="1" t="n">
        <v>45925.51773148148</v>
      </c>
      <c r="C352" s="1" t="n">
        <v>46165</v>
      </c>
      <c r="D352" t="inlineStr">
        <is>
          <t>ÖSTERGÖTLANDS LÄN</t>
        </is>
      </c>
      <c r="E352" t="inlineStr">
        <is>
          <t>LINKÖPING</t>
        </is>
      </c>
      <c r="G352" t="n">
        <v>3.1</v>
      </c>
      <c r="H352" t="n">
        <v>0</v>
      </c>
      <c r="I352" t="n">
        <v>0</v>
      </c>
      <c r="J352" t="n">
        <v>0</v>
      </c>
      <c r="K352" t="n">
        <v>0</v>
      </c>
      <c r="L352" t="n">
        <v>0</v>
      </c>
      <c r="M352" t="n">
        <v>0</v>
      </c>
      <c r="N352" t="n">
        <v>0</v>
      </c>
      <c r="O352" t="n">
        <v>0</v>
      </c>
      <c r="P352" t="n">
        <v>0</v>
      </c>
      <c r="Q352" t="n">
        <v>0</v>
      </c>
      <c r="R352" s="2" t="inlineStr"/>
    </row>
    <row r="353" ht="15" customHeight="1">
      <c r="A353" t="inlineStr">
        <is>
          <t>A 1084-2023</t>
        </is>
      </c>
      <c r="B353" s="1" t="n">
        <v>44929</v>
      </c>
      <c r="C353" s="1" t="n">
        <v>46165</v>
      </c>
      <c r="D353" t="inlineStr">
        <is>
          <t>ÖSTERGÖTLANDS LÄN</t>
        </is>
      </c>
      <c r="E353" t="inlineStr">
        <is>
          <t>LINKÖPING</t>
        </is>
      </c>
      <c r="G353" t="n">
        <v>10.4</v>
      </c>
      <c r="H353" t="n">
        <v>0</v>
      </c>
      <c r="I353" t="n">
        <v>0</v>
      </c>
      <c r="J353" t="n">
        <v>0</v>
      </c>
      <c r="K353" t="n">
        <v>0</v>
      </c>
      <c r="L353" t="n">
        <v>0</v>
      </c>
      <c r="M353" t="n">
        <v>0</v>
      </c>
      <c r="N353" t="n">
        <v>0</v>
      </c>
      <c r="O353" t="n">
        <v>0</v>
      </c>
      <c r="P353" t="n">
        <v>0</v>
      </c>
      <c r="Q353" t="n">
        <v>0</v>
      </c>
      <c r="R353" s="2" t="inlineStr"/>
    </row>
    <row r="354" ht="15" customHeight="1">
      <c r="A354" t="inlineStr">
        <is>
          <t>A 267-2023</t>
        </is>
      </c>
      <c r="B354" s="1" t="n">
        <v>44928.80907407407</v>
      </c>
      <c r="C354" s="1" t="n">
        <v>46165</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940-2023</t>
        </is>
      </c>
      <c r="B355" s="1" t="n">
        <v>44933</v>
      </c>
      <c r="C355" s="1" t="n">
        <v>46165</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6369-2023</t>
        </is>
      </c>
      <c r="B356" s="1" t="n">
        <v>44965.61106481482</v>
      </c>
      <c r="C356" s="1" t="n">
        <v>46165</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30980-2022</t>
        </is>
      </c>
      <c r="B357" s="1" t="n">
        <v>44768</v>
      </c>
      <c r="C357" s="1" t="n">
        <v>46165</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60007-2022</t>
        </is>
      </c>
      <c r="B358" s="1" t="n">
        <v>44909.47282407407</v>
      </c>
      <c r="C358" s="1" t="n">
        <v>46165</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46847-2025</t>
        </is>
      </c>
      <c r="B359" s="1" t="n">
        <v>45928.69971064815</v>
      </c>
      <c r="C359" s="1" t="n">
        <v>46165</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50799-2022</t>
        </is>
      </c>
      <c r="B360" s="1" t="n">
        <v>44862</v>
      </c>
      <c r="C360" s="1" t="n">
        <v>46165</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56064-2022</t>
        </is>
      </c>
      <c r="B361" s="1" t="n">
        <v>44889.59107638889</v>
      </c>
      <c r="C361" s="1" t="n">
        <v>46165</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47703-2023</t>
        </is>
      </c>
      <c r="B362" s="1" t="n">
        <v>45203</v>
      </c>
      <c r="C362" s="1" t="n">
        <v>46165</v>
      </c>
      <c r="D362" t="inlineStr">
        <is>
          <t>ÖSTERGÖTLANDS LÄN</t>
        </is>
      </c>
      <c r="E362" t="inlineStr">
        <is>
          <t>LINKÖPING</t>
        </is>
      </c>
      <c r="G362" t="n">
        <v>4.1</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46165</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47606-2025</t>
        </is>
      </c>
      <c r="B364" s="1" t="n">
        <v>45931.46402777778</v>
      </c>
      <c r="C364" s="1" t="n">
        <v>46165</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47304-2025</t>
        </is>
      </c>
      <c r="B365" s="1" t="n">
        <v>45930.52037037037</v>
      </c>
      <c r="C365" s="1" t="n">
        <v>46165</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16111-2022</t>
        </is>
      </c>
      <c r="B366" s="1" t="n">
        <v>44665</v>
      </c>
      <c r="C366" s="1" t="n">
        <v>46165</v>
      </c>
      <c r="D366" t="inlineStr">
        <is>
          <t>ÖSTERGÖTLANDS LÄN</t>
        </is>
      </c>
      <c r="E366" t="inlineStr">
        <is>
          <t>LINKÖPING</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46165</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46165</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48343-2025</t>
        </is>
      </c>
      <c r="B369" s="1" t="n">
        <v>45932</v>
      </c>
      <c r="C369" s="1" t="n">
        <v>46165</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48266-2025</t>
        </is>
      </c>
      <c r="B370" s="1" t="n">
        <v>45932</v>
      </c>
      <c r="C370" s="1" t="n">
        <v>46165</v>
      </c>
      <c r="D370" t="inlineStr">
        <is>
          <t>ÖSTERGÖTLANDS LÄN</t>
        </is>
      </c>
      <c r="E370" t="inlineStr">
        <is>
          <t>LINKÖPING</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1268-2023</t>
        </is>
      </c>
      <c r="B371" s="1" t="n">
        <v>44936</v>
      </c>
      <c r="C371" s="1" t="n">
        <v>46165</v>
      </c>
      <c r="D371" t="inlineStr">
        <is>
          <t>ÖSTERGÖTLANDS LÄN</t>
        </is>
      </c>
      <c r="E371" t="inlineStr">
        <is>
          <t>LINKÖPING</t>
        </is>
      </c>
      <c r="G371" t="n">
        <v>4.6</v>
      </c>
      <c r="H371" t="n">
        <v>0</v>
      </c>
      <c r="I371" t="n">
        <v>0</v>
      </c>
      <c r="J371" t="n">
        <v>0</v>
      </c>
      <c r="K371" t="n">
        <v>0</v>
      </c>
      <c r="L371" t="n">
        <v>0</v>
      </c>
      <c r="M371" t="n">
        <v>0</v>
      </c>
      <c r="N371" t="n">
        <v>0</v>
      </c>
      <c r="O371" t="n">
        <v>0</v>
      </c>
      <c r="P371" t="n">
        <v>0</v>
      </c>
      <c r="Q371" t="n">
        <v>0</v>
      </c>
      <c r="R371" s="2" t="inlineStr"/>
    </row>
    <row r="372" ht="15" customHeight="1">
      <c r="A372" t="inlineStr">
        <is>
          <t>A 48254-2025</t>
        </is>
      </c>
      <c r="B372" s="1" t="n">
        <v>45932</v>
      </c>
      <c r="C372" s="1" t="n">
        <v>46165</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62687-2023</t>
        </is>
      </c>
      <c r="B373" s="1" t="n">
        <v>45271</v>
      </c>
      <c r="C373" s="1" t="n">
        <v>46165</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46165</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938-2023</t>
        </is>
      </c>
      <c r="B375" s="1" t="n">
        <v>44933</v>
      </c>
      <c r="C375" s="1" t="n">
        <v>46165</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2389-2023</t>
        </is>
      </c>
      <c r="B376" s="1" t="n">
        <v>44942</v>
      </c>
      <c r="C376" s="1" t="n">
        <v>46165</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48-2024</t>
        </is>
      </c>
      <c r="B377" s="1" t="n">
        <v>45293</v>
      </c>
      <c r="C377" s="1" t="n">
        <v>46165</v>
      </c>
      <c r="D377" t="inlineStr">
        <is>
          <t>ÖSTERGÖTLANDS LÄN</t>
        </is>
      </c>
      <c r="E377" t="inlineStr">
        <is>
          <t>LINKÖPING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45771-2023</t>
        </is>
      </c>
      <c r="B378" s="1" t="n">
        <v>45195.4384375</v>
      </c>
      <c r="C378" s="1" t="n">
        <v>46165</v>
      </c>
      <c r="D378" t="inlineStr">
        <is>
          <t>ÖSTERGÖTLANDS LÄN</t>
        </is>
      </c>
      <c r="E378" t="inlineStr">
        <is>
          <t>LINKÖPING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30547-2023</t>
        </is>
      </c>
      <c r="B379" s="1" t="n">
        <v>45111.75905092592</v>
      </c>
      <c r="C379" s="1" t="n">
        <v>46165</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40502-2024</t>
        </is>
      </c>
      <c r="B380" s="1" t="n">
        <v>45555.57263888889</v>
      </c>
      <c r="C380" s="1" t="n">
        <v>46165</v>
      </c>
      <c r="D380" t="inlineStr">
        <is>
          <t>ÖSTERGÖTLANDS LÄN</t>
        </is>
      </c>
      <c r="E380" t="inlineStr">
        <is>
          <t>LINKÖPING</t>
        </is>
      </c>
      <c r="F380" t="inlineStr">
        <is>
          <t>Allmännings- och besparingsskogar</t>
        </is>
      </c>
      <c r="G380" t="n">
        <v>17.5</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46165</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49605-2025</t>
        </is>
      </c>
      <c r="B382" s="1" t="n">
        <v>45938</v>
      </c>
      <c r="C382" s="1" t="n">
        <v>46165</v>
      </c>
      <c r="D382" t="inlineStr">
        <is>
          <t>ÖSTERGÖTLANDS LÄN</t>
        </is>
      </c>
      <c r="E382" t="inlineStr">
        <is>
          <t>LINKÖPING</t>
        </is>
      </c>
      <c r="F382" t="inlineStr">
        <is>
          <t>Övriga Aktiebolag</t>
        </is>
      </c>
      <c r="G382" t="n">
        <v>3.3</v>
      </c>
      <c r="H382" t="n">
        <v>0</v>
      </c>
      <c r="I382" t="n">
        <v>0</v>
      </c>
      <c r="J382" t="n">
        <v>0</v>
      </c>
      <c r="K382" t="n">
        <v>0</v>
      </c>
      <c r="L382" t="n">
        <v>0</v>
      </c>
      <c r="M382" t="n">
        <v>0</v>
      </c>
      <c r="N382" t="n">
        <v>0</v>
      </c>
      <c r="O382" t="n">
        <v>0</v>
      </c>
      <c r="P382" t="n">
        <v>0</v>
      </c>
      <c r="Q382" t="n">
        <v>0</v>
      </c>
      <c r="R382" s="2" t="inlineStr"/>
    </row>
    <row r="383" ht="15" customHeight="1">
      <c r="A383" t="inlineStr">
        <is>
          <t>A 49663-2025</t>
        </is>
      </c>
      <c r="B383" s="1" t="n">
        <v>45938</v>
      </c>
      <c r="C383" s="1" t="n">
        <v>46165</v>
      </c>
      <c r="D383" t="inlineStr">
        <is>
          <t>ÖSTERGÖTLANDS LÄN</t>
        </is>
      </c>
      <c r="E383" t="inlineStr">
        <is>
          <t>LINKÖPING</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24464-2023</t>
        </is>
      </c>
      <c r="B384" s="1" t="n">
        <v>45082.58068287037</v>
      </c>
      <c r="C384" s="1" t="n">
        <v>46165</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24467-2023</t>
        </is>
      </c>
      <c r="B385" s="1" t="n">
        <v>45082</v>
      </c>
      <c r="C385" s="1" t="n">
        <v>46165</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49632-2025</t>
        </is>
      </c>
      <c r="B386" s="1" t="n">
        <v>45938</v>
      </c>
      <c r="C386" s="1" t="n">
        <v>46165</v>
      </c>
      <c r="D386" t="inlineStr">
        <is>
          <t>ÖSTERGÖTLANDS LÄN</t>
        </is>
      </c>
      <c r="E386" t="inlineStr">
        <is>
          <t>LINKÖPING</t>
        </is>
      </c>
      <c r="F386" t="inlineStr">
        <is>
          <t>Övriga Aktiebolag</t>
        </is>
      </c>
      <c r="G386" t="n">
        <v>1.6</v>
      </c>
      <c r="H386" t="n">
        <v>0</v>
      </c>
      <c r="I386" t="n">
        <v>0</v>
      </c>
      <c r="J386" t="n">
        <v>0</v>
      </c>
      <c r="K386" t="n">
        <v>0</v>
      </c>
      <c r="L386" t="n">
        <v>0</v>
      </c>
      <c r="M386" t="n">
        <v>0</v>
      </c>
      <c r="N386" t="n">
        <v>0</v>
      </c>
      <c r="O386" t="n">
        <v>0</v>
      </c>
      <c r="P386" t="n">
        <v>0</v>
      </c>
      <c r="Q386" t="n">
        <v>0</v>
      </c>
      <c r="R386" s="2" t="inlineStr"/>
    </row>
    <row r="387" ht="15" customHeight="1">
      <c r="A387" t="inlineStr">
        <is>
          <t>A 49647-2025</t>
        </is>
      </c>
      <c r="B387" s="1" t="n">
        <v>45938</v>
      </c>
      <c r="C387" s="1" t="n">
        <v>46165</v>
      </c>
      <c r="D387" t="inlineStr">
        <is>
          <t>ÖSTERGÖTLANDS LÄN</t>
        </is>
      </c>
      <c r="E387" t="inlineStr">
        <is>
          <t>LINKÖPING</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49652-2025</t>
        </is>
      </c>
      <c r="B388" s="1" t="n">
        <v>45938</v>
      </c>
      <c r="C388" s="1" t="n">
        <v>46165</v>
      </c>
      <c r="D388" t="inlineStr">
        <is>
          <t>ÖSTERGÖTLANDS LÄN</t>
        </is>
      </c>
      <c r="E388" t="inlineStr">
        <is>
          <t>LINKÖPING</t>
        </is>
      </c>
      <c r="F388" t="inlineStr">
        <is>
          <t>Övriga Aktiebolag</t>
        </is>
      </c>
      <c r="G388" t="n">
        <v>1.8</v>
      </c>
      <c r="H388" t="n">
        <v>0</v>
      </c>
      <c r="I388" t="n">
        <v>0</v>
      </c>
      <c r="J388" t="n">
        <v>0</v>
      </c>
      <c r="K388" t="n">
        <v>0</v>
      </c>
      <c r="L388" t="n">
        <v>0</v>
      </c>
      <c r="M388" t="n">
        <v>0</v>
      </c>
      <c r="N388" t="n">
        <v>0</v>
      </c>
      <c r="O388" t="n">
        <v>0</v>
      </c>
      <c r="P388" t="n">
        <v>0</v>
      </c>
      <c r="Q388" t="n">
        <v>0</v>
      </c>
      <c r="R388" s="2" t="inlineStr"/>
    </row>
    <row r="389" ht="15" customHeight="1">
      <c r="A389" t="inlineStr">
        <is>
          <t>A 49654-2025</t>
        </is>
      </c>
      <c r="B389" s="1" t="n">
        <v>45938</v>
      </c>
      <c r="C389" s="1" t="n">
        <v>46165</v>
      </c>
      <c r="D389" t="inlineStr">
        <is>
          <t>ÖSTERGÖTLANDS LÄN</t>
        </is>
      </c>
      <c r="E389" t="inlineStr">
        <is>
          <t>LINKÖPING</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48389-2024</t>
        </is>
      </c>
      <c r="B390" s="1" t="n">
        <v>45590.59991898148</v>
      </c>
      <c r="C390" s="1" t="n">
        <v>46165</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49615-2025</t>
        </is>
      </c>
      <c r="B391" s="1" t="n">
        <v>45938</v>
      </c>
      <c r="C391" s="1" t="n">
        <v>46165</v>
      </c>
      <c r="D391" t="inlineStr">
        <is>
          <t>ÖSTERGÖTLANDS LÄN</t>
        </is>
      </c>
      <c r="E391" t="inlineStr">
        <is>
          <t>LINKÖPING</t>
        </is>
      </c>
      <c r="F391" t="inlineStr">
        <is>
          <t>Övriga Aktiebolag</t>
        </is>
      </c>
      <c r="G391" t="n">
        <v>1.6</v>
      </c>
      <c r="H391" t="n">
        <v>0</v>
      </c>
      <c r="I391" t="n">
        <v>0</v>
      </c>
      <c r="J391" t="n">
        <v>0</v>
      </c>
      <c r="K391" t="n">
        <v>0</v>
      </c>
      <c r="L391" t="n">
        <v>0</v>
      </c>
      <c r="M391" t="n">
        <v>0</v>
      </c>
      <c r="N391" t="n">
        <v>0</v>
      </c>
      <c r="O391" t="n">
        <v>0</v>
      </c>
      <c r="P391" t="n">
        <v>0</v>
      </c>
      <c r="Q391" t="n">
        <v>0</v>
      </c>
      <c r="R391" s="2" t="inlineStr"/>
    </row>
    <row r="392" ht="15" customHeight="1">
      <c r="A392" t="inlineStr">
        <is>
          <t>A 49619-2025</t>
        </is>
      </c>
      <c r="B392" s="1" t="n">
        <v>45938</v>
      </c>
      <c r="C392" s="1" t="n">
        <v>46165</v>
      </c>
      <c r="D392" t="inlineStr">
        <is>
          <t>ÖSTERGÖTLANDS LÄN</t>
        </is>
      </c>
      <c r="E392" t="inlineStr">
        <is>
          <t>LINKÖPING</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49629-2025</t>
        </is>
      </c>
      <c r="B393" s="1" t="n">
        <v>45938</v>
      </c>
      <c r="C393" s="1" t="n">
        <v>46165</v>
      </c>
      <c r="D393" t="inlineStr">
        <is>
          <t>ÖSTERGÖTLANDS LÄN</t>
        </is>
      </c>
      <c r="E393" t="inlineStr">
        <is>
          <t>LINKÖPING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49650-2025</t>
        </is>
      </c>
      <c r="B394" s="1" t="n">
        <v>45938</v>
      </c>
      <c r="C394" s="1" t="n">
        <v>46165</v>
      </c>
      <c r="D394" t="inlineStr">
        <is>
          <t>ÖSTERGÖTLANDS LÄN</t>
        </is>
      </c>
      <c r="E394" t="inlineStr">
        <is>
          <t>LINKÖPING</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56792-2023</t>
        </is>
      </c>
      <c r="B395" s="1" t="n">
        <v>45244</v>
      </c>
      <c r="C395" s="1" t="n">
        <v>46165</v>
      </c>
      <c r="D395" t="inlineStr">
        <is>
          <t>ÖSTERGÖTLANDS LÄN</t>
        </is>
      </c>
      <c r="E395" t="inlineStr">
        <is>
          <t>LINKÖPING</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49633-2025</t>
        </is>
      </c>
      <c r="B396" s="1" t="n">
        <v>45938</v>
      </c>
      <c r="C396" s="1" t="n">
        <v>46165</v>
      </c>
      <c r="D396" t="inlineStr">
        <is>
          <t>ÖSTERGÖTLANDS LÄN</t>
        </is>
      </c>
      <c r="E396" t="inlineStr">
        <is>
          <t>LINKÖPING</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40983-2025</t>
        </is>
      </c>
      <c r="B397" s="1" t="n">
        <v>45898</v>
      </c>
      <c r="C397" s="1" t="n">
        <v>46165</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39017-2021</t>
        </is>
      </c>
      <c r="B398" s="1" t="n">
        <v>44412</v>
      </c>
      <c r="C398" s="1" t="n">
        <v>46165</v>
      </c>
      <c r="D398" t="inlineStr">
        <is>
          <t>ÖSTERGÖTLANDS LÄN</t>
        </is>
      </c>
      <c r="E398" t="inlineStr">
        <is>
          <t>LINKÖPING</t>
        </is>
      </c>
      <c r="F398" t="inlineStr">
        <is>
          <t>Övriga statliga verk och myndigheter</t>
        </is>
      </c>
      <c r="G398" t="n">
        <v>0.8</v>
      </c>
      <c r="H398" t="n">
        <v>0</v>
      </c>
      <c r="I398" t="n">
        <v>0</v>
      </c>
      <c r="J398" t="n">
        <v>0</v>
      </c>
      <c r="K398" t="n">
        <v>0</v>
      </c>
      <c r="L398" t="n">
        <v>0</v>
      </c>
      <c r="M398" t="n">
        <v>0</v>
      </c>
      <c r="N398" t="n">
        <v>0</v>
      </c>
      <c r="O398" t="n">
        <v>0</v>
      </c>
      <c r="P398" t="n">
        <v>0</v>
      </c>
      <c r="Q398" t="n">
        <v>0</v>
      </c>
      <c r="R398" s="2" t="inlineStr"/>
    </row>
    <row r="399" ht="15" customHeight="1">
      <c r="A399" t="inlineStr">
        <is>
          <t>A 50056-2025</t>
        </is>
      </c>
      <c r="B399" s="1" t="n">
        <v>45941</v>
      </c>
      <c r="C399" s="1" t="n">
        <v>46165</v>
      </c>
      <c r="D399" t="inlineStr">
        <is>
          <t>ÖSTERGÖTLANDS LÄN</t>
        </is>
      </c>
      <c r="E399" t="inlineStr">
        <is>
          <t>LINKÖPING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50667-2025</t>
        </is>
      </c>
      <c r="B400" s="1" t="n">
        <v>45945</v>
      </c>
      <c r="C400" s="1" t="n">
        <v>46165</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1260-2023</t>
        </is>
      </c>
      <c r="B401" s="1" t="n">
        <v>44936</v>
      </c>
      <c r="C401" s="1" t="n">
        <v>46165</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1355-2023</t>
        </is>
      </c>
      <c r="B402" s="1" t="n">
        <v>44931</v>
      </c>
      <c r="C402" s="1" t="n">
        <v>46165</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3007-2025</t>
        </is>
      </c>
      <c r="B403" s="1" t="n">
        <v>45678.56328703704</v>
      </c>
      <c r="C403" s="1" t="n">
        <v>46165</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46165</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30465-2023</t>
        </is>
      </c>
      <c r="B405" s="1" t="n">
        <v>45111</v>
      </c>
      <c r="C405" s="1" t="n">
        <v>46165</v>
      </c>
      <c r="D405" t="inlineStr">
        <is>
          <t>ÖSTERGÖTLANDS LÄN</t>
        </is>
      </c>
      <c r="E405" t="inlineStr">
        <is>
          <t>LINKÖPING</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39021-2021</t>
        </is>
      </c>
      <c r="B406" s="1" t="n">
        <v>44412</v>
      </c>
      <c r="C406" s="1" t="n">
        <v>46165</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62353-2022</t>
        </is>
      </c>
      <c r="B407" s="1" t="n">
        <v>44923</v>
      </c>
      <c r="C407" s="1" t="n">
        <v>46165</v>
      </c>
      <c r="D407" t="inlineStr">
        <is>
          <t>ÖSTERGÖTLANDS LÄN</t>
        </is>
      </c>
      <c r="E407" t="inlineStr">
        <is>
          <t>LINKÖPING</t>
        </is>
      </c>
      <c r="F407" t="inlineStr">
        <is>
          <t>Allmännings- och besparingsskogar</t>
        </is>
      </c>
      <c r="G407" t="n">
        <v>1.7</v>
      </c>
      <c r="H407" t="n">
        <v>0</v>
      </c>
      <c r="I407" t="n">
        <v>0</v>
      </c>
      <c r="J407" t="n">
        <v>0</v>
      </c>
      <c r="K407" t="n">
        <v>0</v>
      </c>
      <c r="L407" t="n">
        <v>0</v>
      </c>
      <c r="M407" t="n">
        <v>0</v>
      </c>
      <c r="N407" t="n">
        <v>0</v>
      </c>
      <c r="O407" t="n">
        <v>0</v>
      </c>
      <c r="P407" t="n">
        <v>0</v>
      </c>
      <c r="Q407" t="n">
        <v>0</v>
      </c>
      <c r="R407" s="2" t="inlineStr"/>
    </row>
    <row r="408" ht="15" customHeight="1">
      <c r="A408" t="inlineStr">
        <is>
          <t>A 30111-2024</t>
        </is>
      </c>
      <c r="B408" s="1" t="n">
        <v>45489.46947916667</v>
      </c>
      <c r="C408" s="1" t="n">
        <v>46165</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30119-2024</t>
        </is>
      </c>
      <c r="B409" s="1" t="n">
        <v>45489</v>
      </c>
      <c r="C409" s="1" t="n">
        <v>46165</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29411-2023</t>
        </is>
      </c>
      <c r="B410" s="1" t="n">
        <v>45106.46225694445</v>
      </c>
      <c r="C410" s="1" t="n">
        <v>46165</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29412-2023</t>
        </is>
      </c>
      <c r="B411" s="1" t="n">
        <v>45106.46359953703</v>
      </c>
      <c r="C411" s="1" t="n">
        <v>46165</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31792-2021</t>
        </is>
      </c>
      <c r="B412" s="1" t="n">
        <v>44369</v>
      </c>
      <c r="C412" s="1" t="n">
        <v>46165</v>
      </c>
      <c r="D412" t="inlineStr">
        <is>
          <t>ÖSTERGÖTLANDS LÄN</t>
        </is>
      </c>
      <c r="E412" t="inlineStr">
        <is>
          <t>LINKÖPING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421-2024</t>
        </is>
      </c>
      <c r="B413" s="1" t="n">
        <v>45296.51877314815</v>
      </c>
      <c r="C413" s="1" t="n">
        <v>46165</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22043-2023</t>
        </is>
      </c>
      <c r="B414" s="1" t="n">
        <v>45069.39050925926</v>
      </c>
      <c r="C414" s="1" t="n">
        <v>46165</v>
      </c>
      <c r="D414" t="inlineStr">
        <is>
          <t>ÖSTERGÖTLANDS LÄN</t>
        </is>
      </c>
      <c r="E414" t="inlineStr">
        <is>
          <t>LINKÖPING</t>
        </is>
      </c>
      <c r="G414" t="n">
        <v>5.9</v>
      </c>
      <c r="H414" t="n">
        <v>0</v>
      </c>
      <c r="I414" t="n">
        <v>0</v>
      </c>
      <c r="J414" t="n">
        <v>0</v>
      </c>
      <c r="K414" t="n">
        <v>0</v>
      </c>
      <c r="L414" t="n">
        <v>0</v>
      </c>
      <c r="M414" t="n">
        <v>0</v>
      </c>
      <c r="N414" t="n">
        <v>0</v>
      </c>
      <c r="O414" t="n">
        <v>0</v>
      </c>
      <c r="P414" t="n">
        <v>0</v>
      </c>
      <c r="Q414" t="n">
        <v>0</v>
      </c>
      <c r="R414" s="2" t="inlineStr"/>
    </row>
    <row r="415" ht="15" customHeight="1">
      <c r="A415" t="inlineStr">
        <is>
          <t>A 61532-2021</t>
        </is>
      </c>
      <c r="B415" s="1" t="n">
        <v>44501</v>
      </c>
      <c r="C415" s="1" t="n">
        <v>46165</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14028-2024</t>
        </is>
      </c>
      <c r="B416" s="1" t="n">
        <v>45392</v>
      </c>
      <c r="C416" s="1" t="n">
        <v>46165</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40431-2024</t>
        </is>
      </c>
      <c r="B417" s="1" t="n">
        <v>45555.47070601852</v>
      </c>
      <c r="C417" s="1" t="n">
        <v>46165</v>
      </c>
      <c r="D417" t="inlineStr">
        <is>
          <t>ÖSTERGÖTLANDS LÄN</t>
        </is>
      </c>
      <c r="E417" t="inlineStr">
        <is>
          <t>LINKÖPING</t>
        </is>
      </c>
      <c r="F417" t="inlineStr">
        <is>
          <t>Allmännings- och besparingsskogar</t>
        </is>
      </c>
      <c r="G417" t="n">
        <v>2.9</v>
      </c>
      <c r="H417" t="n">
        <v>0</v>
      </c>
      <c r="I417" t="n">
        <v>0</v>
      </c>
      <c r="J417" t="n">
        <v>0</v>
      </c>
      <c r="K417" t="n">
        <v>0</v>
      </c>
      <c r="L417" t="n">
        <v>0</v>
      </c>
      <c r="M417" t="n">
        <v>0</v>
      </c>
      <c r="N417" t="n">
        <v>0</v>
      </c>
      <c r="O417" t="n">
        <v>0</v>
      </c>
      <c r="P417" t="n">
        <v>0</v>
      </c>
      <c r="Q417" t="n">
        <v>0</v>
      </c>
      <c r="R417" s="2" t="inlineStr"/>
    </row>
    <row r="418" ht="15" customHeight="1">
      <c r="A418" t="inlineStr">
        <is>
          <t>A 51802-2025</t>
        </is>
      </c>
      <c r="B418" s="1" t="n">
        <v>45950</v>
      </c>
      <c r="C418" s="1" t="n">
        <v>46165</v>
      </c>
      <c r="D418" t="inlineStr">
        <is>
          <t>ÖSTERGÖTLANDS LÄN</t>
        </is>
      </c>
      <c r="E418" t="inlineStr">
        <is>
          <t>LINKÖPING</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60860-2024</t>
        </is>
      </c>
      <c r="B419" s="1" t="n">
        <v>45644.6893287037</v>
      </c>
      <c r="C419" s="1" t="n">
        <v>46165</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2697-2023</t>
        </is>
      </c>
      <c r="B420" s="1" t="n">
        <v>44944</v>
      </c>
      <c r="C420" s="1" t="n">
        <v>46165</v>
      </c>
      <c r="D420" t="inlineStr">
        <is>
          <t>ÖSTERGÖTLANDS LÄN</t>
        </is>
      </c>
      <c r="E420" t="inlineStr">
        <is>
          <t>LINKÖPING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46165</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45806-2024</t>
        </is>
      </c>
      <c r="B422" s="1" t="n">
        <v>45579.69619212963</v>
      </c>
      <c r="C422" s="1" t="n">
        <v>46165</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56756-2023</t>
        </is>
      </c>
      <c r="B423" s="1" t="n">
        <v>45244</v>
      </c>
      <c r="C423" s="1" t="n">
        <v>46165</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52740-2025</t>
        </is>
      </c>
      <c r="B424" s="1" t="n">
        <v>45957.37747685185</v>
      </c>
      <c r="C424" s="1" t="n">
        <v>46165</v>
      </c>
      <c r="D424" t="inlineStr">
        <is>
          <t>ÖSTERGÖTLANDS LÄN</t>
        </is>
      </c>
      <c r="E424" t="inlineStr">
        <is>
          <t>LINKÖPING</t>
        </is>
      </c>
      <c r="G424" t="n">
        <v>3.7</v>
      </c>
      <c r="H424" t="n">
        <v>0</v>
      </c>
      <c r="I424" t="n">
        <v>0</v>
      </c>
      <c r="J424" t="n">
        <v>0</v>
      </c>
      <c r="K424" t="n">
        <v>0</v>
      </c>
      <c r="L424" t="n">
        <v>0</v>
      </c>
      <c r="M424" t="n">
        <v>0</v>
      </c>
      <c r="N424" t="n">
        <v>0</v>
      </c>
      <c r="O424" t="n">
        <v>0</v>
      </c>
      <c r="P424" t="n">
        <v>0</v>
      </c>
      <c r="Q424" t="n">
        <v>0</v>
      </c>
      <c r="R424" s="2" t="inlineStr"/>
    </row>
    <row r="425" ht="15" customHeight="1">
      <c r="A425" t="inlineStr">
        <is>
          <t>A 60985-2023</t>
        </is>
      </c>
      <c r="B425" s="1" t="n">
        <v>45261.48429398148</v>
      </c>
      <c r="C425" s="1" t="n">
        <v>46165</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52800-2025</t>
        </is>
      </c>
      <c r="B426" s="1" t="n">
        <v>45957.44152777778</v>
      </c>
      <c r="C426" s="1" t="n">
        <v>46165</v>
      </c>
      <c r="D426" t="inlineStr">
        <is>
          <t>ÖSTERGÖTLANDS LÄN</t>
        </is>
      </c>
      <c r="E426" t="inlineStr">
        <is>
          <t>LINKÖPING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52802-2025</t>
        </is>
      </c>
      <c r="B427" s="1" t="n">
        <v>45957.44295138889</v>
      </c>
      <c r="C427" s="1" t="n">
        <v>46165</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24904-2024</t>
        </is>
      </c>
      <c r="B428" s="1" t="n">
        <v>45461</v>
      </c>
      <c r="C428" s="1" t="n">
        <v>46165</v>
      </c>
      <c r="D428" t="inlineStr">
        <is>
          <t>ÖSTERGÖTLANDS LÄN</t>
        </is>
      </c>
      <c r="E428" t="inlineStr">
        <is>
          <t>LINKÖPING</t>
        </is>
      </c>
      <c r="G428" t="n">
        <v>3.8</v>
      </c>
      <c r="H428" t="n">
        <v>0</v>
      </c>
      <c r="I428" t="n">
        <v>0</v>
      </c>
      <c r="J428" t="n">
        <v>0</v>
      </c>
      <c r="K428" t="n">
        <v>0</v>
      </c>
      <c r="L428" t="n">
        <v>0</v>
      </c>
      <c r="M428" t="n">
        <v>0</v>
      </c>
      <c r="N428" t="n">
        <v>0</v>
      </c>
      <c r="O428" t="n">
        <v>0</v>
      </c>
      <c r="P428" t="n">
        <v>0</v>
      </c>
      <c r="Q428" t="n">
        <v>0</v>
      </c>
      <c r="R428" s="2" t="inlineStr"/>
    </row>
    <row r="429" ht="15" customHeight="1">
      <c r="A429" t="inlineStr">
        <is>
          <t>A 55009-2023</t>
        </is>
      </c>
      <c r="B429" s="1" t="n">
        <v>45237</v>
      </c>
      <c r="C429" s="1" t="n">
        <v>46165</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34872-2023</t>
        </is>
      </c>
      <c r="B430" s="1" t="n">
        <v>45140</v>
      </c>
      <c r="C430" s="1" t="n">
        <v>46165</v>
      </c>
      <c r="D430" t="inlineStr">
        <is>
          <t>ÖSTERGÖTLANDS LÄN</t>
        </is>
      </c>
      <c r="E430" t="inlineStr">
        <is>
          <t>LINKÖPING</t>
        </is>
      </c>
      <c r="G430" t="n">
        <v>4.8</v>
      </c>
      <c r="H430" t="n">
        <v>0</v>
      </c>
      <c r="I430" t="n">
        <v>0</v>
      </c>
      <c r="J430" t="n">
        <v>0</v>
      </c>
      <c r="K430" t="n">
        <v>0</v>
      </c>
      <c r="L430" t="n">
        <v>0</v>
      </c>
      <c r="M430" t="n">
        <v>0</v>
      </c>
      <c r="N430" t="n">
        <v>0</v>
      </c>
      <c r="O430" t="n">
        <v>0</v>
      </c>
      <c r="P430" t="n">
        <v>0</v>
      </c>
      <c r="Q430" t="n">
        <v>0</v>
      </c>
      <c r="R430" s="2" t="inlineStr"/>
    </row>
    <row r="431" ht="15" customHeight="1">
      <c r="A431" t="inlineStr">
        <is>
          <t>A 52743-2025</t>
        </is>
      </c>
      <c r="B431" s="1" t="n">
        <v>45957.38039351852</v>
      </c>
      <c r="C431" s="1" t="n">
        <v>46165</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52807-2025</t>
        </is>
      </c>
      <c r="B432" s="1" t="n">
        <v>45957.44837962963</v>
      </c>
      <c r="C432" s="1" t="n">
        <v>46165</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36336-2022</t>
        </is>
      </c>
      <c r="B433" s="1" t="n">
        <v>44803</v>
      </c>
      <c r="C433" s="1" t="n">
        <v>46165</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25097-2023</t>
        </is>
      </c>
      <c r="B434" s="1" t="n">
        <v>45086</v>
      </c>
      <c r="C434" s="1" t="n">
        <v>46165</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10461-2023</t>
        </is>
      </c>
      <c r="B435" s="1" t="n">
        <v>44987.5969212963</v>
      </c>
      <c r="C435" s="1" t="n">
        <v>46165</v>
      </c>
      <c r="D435" t="inlineStr">
        <is>
          <t>ÖSTERGÖTLANDS LÄN</t>
        </is>
      </c>
      <c r="E435" t="inlineStr">
        <is>
          <t>LINKÖPING</t>
        </is>
      </c>
      <c r="G435" t="n">
        <v>7.8</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46165</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54329-2025</t>
        </is>
      </c>
      <c r="B437" s="1" t="n">
        <v>45965.34706018519</v>
      </c>
      <c r="C437" s="1" t="n">
        <v>46165</v>
      </c>
      <c r="D437" t="inlineStr">
        <is>
          <t>ÖSTERGÖTLANDS LÄN</t>
        </is>
      </c>
      <c r="E437" t="inlineStr">
        <is>
          <t>LINKÖPING</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50386-2021</t>
        </is>
      </c>
      <c r="B438" s="1" t="n">
        <v>44459</v>
      </c>
      <c r="C438" s="1" t="n">
        <v>46165</v>
      </c>
      <c r="D438" t="inlineStr">
        <is>
          <t>ÖSTERGÖTLANDS LÄN</t>
        </is>
      </c>
      <c r="E438" t="inlineStr">
        <is>
          <t>LINKÖPING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350-2022</t>
        </is>
      </c>
      <c r="B439" s="1" t="n">
        <v>44565</v>
      </c>
      <c r="C439" s="1" t="n">
        <v>46165</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54333-2025</t>
        </is>
      </c>
      <c r="B440" s="1" t="n">
        <v>45965.35090277778</v>
      </c>
      <c r="C440" s="1" t="n">
        <v>46165</v>
      </c>
      <c r="D440" t="inlineStr">
        <is>
          <t>ÖSTERGÖTLANDS LÄN</t>
        </is>
      </c>
      <c r="E440" t="inlineStr">
        <is>
          <t>LINKÖPING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18891-2022</t>
        </is>
      </c>
      <c r="B441" s="1" t="n">
        <v>44690</v>
      </c>
      <c r="C441" s="1" t="n">
        <v>46165</v>
      </c>
      <c r="D441" t="inlineStr">
        <is>
          <t>ÖSTERGÖTLANDS LÄN</t>
        </is>
      </c>
      <c r="E441" t="inlineStr">
        <is>
          <t>LINKÖPING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30976-2022</t>
        </is>
      </c>
      <c r="B442" s="1" t="n">
        <v>44768</v>
      </c>
      <c r="C442" s="1" t="n">
        <v>46165</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55736-2022</t>
        </is>
      </c>
      <c r="B443" s="1" t="n">
        <v>44888</v>
      </c>
      <c r="C443" s="1" t="n">
        <v>46165</v>
      </c>
      <c r="D443" t="inlineStr">
        <is>
          <t>ÖSTERGÖTLANDS LÄN</t>
        </is>
      </c>
      <c r="E443" t="inlineStr">
        <is>
          <t>LINKÖPING</t>
        </is>
      </c>
      <c r="G443" t="n">
        <v>5.5</v>
      </c>
      <c r="H443" t="n">
        <v>0</v>
      </c>
      <c r="I443" t="n">
        <v>0</v>
      </c>
      <c r="J443" t="n">
        <v>0</v>
      </c>
      <c r="K443" t="n">
        <v>0</v>
      </c>
      <c r="L443" t="n">
        <v>0</v>
      </c>
      <c r="M443" t="n">
        <v>0</v>
      </c>
      <c r="N443" t="n">
        <v>0</v>
      </c>
      <c r="O443" t="n">
        <v>0</v>
      </c>
      <c r="P443" t="n">
        <v>0</v>
      </c>
      <c r="Q443" t="n">
        <v>0</v>
      </c>
      <c r="R443" s="2" t="inlineStr"/>
    </row>
    <row r="444" ht="15" customHeight="1">
      <c r="A444" t="inlineStr">
        <is>
          <t>A 55102-2025</t>
        </is>
      </c>
      <c r="B444" s="1" t="n">
        <v>45968.35410879629</v>
      </c>
      <c r="C444" s="1" t="n">
        <v>46165</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55132-2025</t>
        </is>
      </c>
      <c r="B445" s="1" t="n">
        <v>45968.41912037037</v>
      </c>
      <c r="C445" s="1" t="n">
        <v>46165</v>
      </c>
      <c r="D445" t="inlineStr">
        <is>
          <t>ÖSTERGÖTLANDS LÄN</t>
        </is>
      </c>
      <c r="E445" t="inlineStr">
        <is>
          <t>LINKÖPING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55109-2025</t>
        </is>
      </c>
      <c r="B446" s="1" t="n">
        <v>45968.37731481482</v>
      </c>
      <c r="C446" s="1" t="n">
        <v>46165</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10194-2023</t>
        </is>
      </c>
      <c r="B447" s="1" t="n">
        <v>44986.52277777778</v>
      </c>
      <c r="C447" s="1" t="n">
        <v>46165</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55165-2025</t>
        </is>
      </c>
      <c r="B448" s="1" t="n">
        <v>45968.48194444444</v>
      </c>
      <c r="C448" s="1" t="n">
        <v>46165</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56113-2025</t>
        </is>
      </c>
      <c r="B449" s="1" t="n">
        <v>45973.73924768518</v>
      </c>
      <c r="C449" s="1" t="n">
        <v>46165</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56105-2025</t>
        </is>
      </c>
      <c r="B450" s="1" t="n">
        <v>45973.72855324074</v>
      </c>
      <c r="C450" s="1" t="n">
        <v>46165</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56403-2025</t>
        </is>
      </c>
      <c r="B451" s="1" t="n">
        <v>45974</v>
      </c>
      <c r="C451" s="1" t="n">
        <v>46165</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7702-2023</t>
        </is>
      </c>
      <c r="B452" s="1" t="n">
        <v>44967</v>
      </c>
      <c r="C452" s="1" t="n">
        <v>46165</v>
      </c>
      <c r="D452" t="inlineStr">
        <is>
          <t>ÖSTERGÖTLANDS LÄN</t>
        </is>
      </c>
      <c r="E452" t="inlineStr">
        <is>
          <t>LINKÖPING</t>
        </is>
      </c>
      <c r="F452" t="inlineStr">
        <is>
          <t>Övriga statliga verk och myndigheter</t>
        </is>
      </c>
      <c r="G452" t="n">
        <v>8</v>
      </c>
      <c r="H452" t="n">
        <v>0</v>
      </c>
      <c r="I452" t="n">
        <v>0</v>
      </c>
      <c r="J452" t="n">
        <v>0</v>
      </c>
      <c r="K452" t="n">
        <v>0</v>
      </c>
      <c r="L452" t="n">
        <v>0</v>
      </c>
      <c r="M452" t="n">
        <v>0</v>
      </c>
      <c r="N452" t="n">
        <v>0</v>
      </c>
      <c r="O452" t="n">
        <v>0</v>
      </c>
      <c r="P452" t="n">
        <v>0</v>
      </c>
      <c r="Q452" t="n">
        <v>0</v>
      </c>
      <c r="R452" s="2" t="inlineStr"/>
    </row>
    <row r="453" ht="15" customHeight="1">
      <c r="A453" t="inlineStr">
        <is>
          <t>A 42000-2023</t>
        </is>
      </c>
      <c r="B453" s="1" t="n">
        <v>45177</v>
      </c>
      <c r="C453" s="1" t="n">
        <v>46165</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56704-2025</t>
        </is>
      </c>
      <c r="B454" s="1" t="n">
        <v>45977.50608796296</v>
      </c>
      <c r="C454" s="1" t="n">
        <v>46165</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31534-2023</t>
        </is>
      </c>
      <c r="B455" s="1" t="n">
        <v>45116</v>
      </c>
      <c r="C455" s="1" t="n">
        <v>46165</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35427-2023</t>
        </is>
      </c>
      <c r="B456" s="1" t="n">
        <v>45146</v>
      </c>
      <c r="C456" s="1" t="n">
        <v>46165</v>
      </c>
      <c r="D456" t="inlineStr">
        <is>
          <t>ÖSTERGÖTLANDS LÄN</t>
        </is>
      </c>
      <c r="E456" t="inlineStr">
        <is>
          <t>LINKÖPING</t>
        </is>
      </c>
      <c r="F456" t="inlineStr">
        <is>
          <t>Övriga Aktiebolag</t>
        </is>
      </c>
      <c r="G456" t="n">
        <v>2.5</v>
      </c>
      <c r="H456" t="n">
        <v>0</v>
      </c>
      <c r="I456" t="n">
        <v>0</v>
      </c>
      <c r="J456" t="n">
        <v>0</v>
      </c>
      <c r="K456" t="n">
        <v>0</v>
      </c>
      <c r="L456" t="n">
        <v>0</v>
      </c>
      <c r="M456" t="n">
        <v>0</v>
      </c>
      <c r="N456" t="n">
        <v>0</v>
      </c>
      <c r="O456" t="n">
        <v>0</v>
      </c>
      <c r="P456" t="n">
        <v>0</v>
      </c>
      <c r="Q456" t="n">
        <v>0</v>
      </c>
      <c r="R456" s="2" t="inlineStr"/>
    </row>
    <row r="457" ht="15" customHeight="1">
      <c r="A457" t="inlineStr">
        <is>
          <t>A 36725-2023</t>
        </is>
      </c>
      <c r="B457" s="1" t="n">
        <v>45153.68471064815</v>
      </c>
      <c r="C457" s="1" t="n">
        <v>46165</v>
      </c>
      <c r="D457" t="inlineStr">
        <is>
          <t>ÖSTERGÖTLANDS LÄN</t>
        </is>
      </c>
      <c r="E457" t="inlineStr">
        <is>
          <t>LINKÖPING</t>
        </is>
      </c>
      <c r="F457" t="inlineStr">
        <is>
          <t>Allmännings- och besparingsskogar</t>
        </is>
      </c>
      <c r="G457" t="n">
        <v>2.6</v>
      </c>
      <c r="H457" t="n">
        <v>0</v>
      </c>
      <c r="I457" t="n">
        <v>0</v>
      </c>
      <c r="J457" t="n">
        <v>0</v>
      </c>
      <c r="K457" t="n">
        <v>0</v>
      </c>
      <c r="L457" t="n">
        <v>0</v>
      </c>
      <c r="M457" t="n">
        <v>0</v>
      </c>
      <c r="N457" t="n">
        <v>0</v>
      </c>
      <c r="O457" t="n">
        <v>0</v>
      </c>
      <c r="P457" t="n">
        <v>0</v>
      </c>
      <c r="Q457" t="n">
        <v>0</v>
      </c>
      <c r="R457" s="2" t="inlineStr"/>
    </row>
    <row r="458" ht="15" customHeight="1">
      <c r="A458" t="inlineStr">
        <is>
          <t>A 53639-2023</t>
        </is>
      </c>
      <c r="B458" s="1" t="n">
        <v>45230.59686342593</v>
      </c>
      <c r="C458" s="1" t="n">
        <v>46165</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1657-2024</t>
        </is>
      </c>
      <c r="B459" s="1" t="n">
        <v>45306.82501157407</v>
      </c>
      <c r="C459" s="1" t="n">
        <v>46165</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50784-2022</t>
        </is>
      </c>
      <c r="B460" s="1" t="n">
        <v>44862</v>
      </c>
      <c r="C460" s="1" t="n">
        <v>46165</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26803-2024</t>
        </is>
      </c>
      <c r="B461" s="1" t="n">
        <v>45470</v>
      </c>
      <c r="C461" s="1" t="n">
        <v>46165</v>
      </c>
      <c r="D461" t="inlineStr">
        <is>
          <t>ÖSTERGÖTLANDS LÄN</t>
        </is>
      </c>
      <c r="E461" t="inlineStr">
        <is>
          <t>LINKÖPING</t>
        </is>
      </c>
      <c r="F461" t="inlineStr">
        <is>
          <t>Allmännings- och besparingsskogar</t>
        </is>
      </c>
      <c r="G461" t="n">
        <v>4.5</v>
      </c>
      <c r="H461" t="n">
        <v>0</v>
      </c>
      <c r="I461" t="n">
        <v>0</v>
      </c>
      <c r="J461" t="n">
        <v>0</v>
      </c>
      <c r="K461" t="n">
        <v>0</v>
      </c>
      <c r="L461" t="n">
        <v>0</v>
      </c>
      <c r="M461" t="n">
        <v>0</v>
      </c>
      <c r="N461" t="n">
        <v>0</v>
      </c>
      <c r="O461" t="n">
        <v>0</v>
      </c>
      <c r="P461" t="n">
        <v>0</v>
      </c>
      <c r="Q461" t="n">
        <v>0</v>
      </c>
      <c r="R461" s="2" t="inlineStr"/>
    </row>
    <row r="462" ht="15" customHeight="1">
      <c r="A462" t="inlineStr">
        <is>
          <t>A 60472-2022</t>
        </is>
      </c>
      <c r="B462" s="1" t="n">
        <v>44911.41037037037</v>
      </c>
      <c r="C462" s="1" t="n">
        <v>46165</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43934-2023</t>
        </is>
      </c>
      <c r="B463" s="1" t="n">
        <v>45187</v>
      </c>
      <c r="C463" s="1" t="n">
        <v>46165</v>
      </c>
      <c r="D463" t="inlineStr">
        <is>
          <t>ÖSTERGÖTLANDS LÄN</t>
        </is>
      </c>
      <c r="E463" t="inlineStr">
        <is>
          <t>LINKÖPING</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22774-2024</t>
        </is>
      </c>
      <c r="B464" s="1" t="n">
        <v>45448.46924768519</v>
      </c>
      <c r="C464" s="1" t="n">
        <v>46165</v>
      </c>
      <c r="D464" t="inlineStr">
        <is>
          <t>ÖSTERGÖTLANDS LÄN</t>
        </is>
      </c>
      <c r="E464" t="inlineStr">
        <is>
          <t>LINKÖPING</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22778-2024</t>
        </is>
      </c>
      <c r="B465" s="1" t="n">
        <v>45448.47233796296</v>
      </c>
      <c r="C465" s="1" t="n">
        <v>46165</v>
      </c>
      <c r="D465" t="inlineStr">
        <is>
          <t>ÖSTERGÖTLANDS LÄN</t>
        </is>
      </c>
      <c r="E465" t="inlineStr">
        <is>
          <t>LINKÖPING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58802-2025</t>
        </is>
      </c>
      <c r="B466" s="1" t="n">
        <v>45986.8768287037</v>
      </c>
      <c r="C466" s="1" t="n">
        <v>46165</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1209-2023</t>
        </is>
      </c>
      <c r="B467" s="1" t="n">
        <v>44930</v>
      </c>
      <c r="C467" s="1" t="n">
        <v>46165</v>
      </c>
      <c r="D467" t="inlineStr">
        <is>
          <t>ÖSTERGÖTLANDS LÄN</t>
        </is>
      </c>
      <c r="E467" t="inlineStr">
        <is>
          <t>LINKÖPING</t>
        </is>
      </c>
      <c r="F467" t="inlineStr">
        <is>
          <t>Övriga statliga verk och myndigheter</t>
        </is>
      </c>
      <c r="G467" t="n">
        <v>25.8</v>
      </c>
      <c r="H467" t="n">
        <v>0</v>
      </c>
      <c r="I467" t="n">
        <v>0</v>
      </c>
      <c r="J467" t="n">
        <v>0</v>
      </c>
      <c r="K467" t="n">
        <v>0</v>
      </c>
      <c r="L467" t="n">
        <v>0</v>
      </c>
      <c r="M467" t="n">
        <v>0</v>
      </c>
      <c r="N467" t="n">
        <v>0</v>
      </c>
      <c r="O467" t="n">
        <v>0</v>
      </c>
      <c r="P467" t="n">
        <v>0</v>
      </c>
      <c r="Q467" t="n">
        <v>0</v>
      </c>
      <c r="R467" s="2" t="inlineStr"/>
    </row>
    <row r="468" ht="15" customHeight="1">
      <c r="A468" t="inlineStr">
        <is>
          <t>A 55004-2025</t>
        </is>
      </c>
      <c r="B468" s="1" t="n">
        <v>45967</v>
      </c>
      <c r="C468" s="1" t="n">
        <v>46165</v>
      </c>
      <c r="D468" t="inlineStr">
        <is>
          <t>ÖSTERGÖTLANDS LÄN</t>
        </is>
      </c>
      <c r="E468" t="inlineStr">
        <is>
          <t>LINKÖPING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10407-2025</t>
        </is>
      </c>
      <c r="B469" s="1" t="n">
        <v>45720.62863425926</v>
      </c>
      <c r="C469" s="1" t="n">
        <v>46165</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11590-2023</t>
        </is>
      </c>
      <c r="B470" s="1" t="n">
        <v>44994.36689814815</v>
      </c>
      <c r="C470" s="1" t="n">
        <v>46165</v>
      </c>
      <c r="D470" t="inlineStr">
        <is>
          <t>ÖSTERGÖTLANDS LÄN</t>
        </is>
      </c>
      <c r="E470" t="inlineStr">
        <is>
          <t>LINKÖPING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19169-2023</t>
        </is>
      </c>
      <c r="B471" s="1" t="n">
        <v>45044</v>
      </c>
      <c r="C471" s="1" t="n">
        <v>46165</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59205-2025</t>
        </is>
      </c>
      <c r="B472" s="1" t="n">
        <v>45988.60721064815</v>
      </c>
      <c r="C472" s="1" t="n">
        <v>46165</v>
      </c>
      <c r="D472" t="inlineStr">
        <is>
          <t>ÖSTERGÖTLANDS LÄN</t>
        </is>
      </c>
      <c r="E472" t="inlineStr">
        <is>
          <t>LINKÖPING</t>
        </is>
      </c>
      <c r="F472" t="inlineStr">
        <is>
          <t>Sveaskog</t>
        </is>
      </c>
      <c r="G472" t="n">
        <v>11.3</v>
      </c>
      <c r="H472" t="n">
        <v>0</v>
      </c>
      <c r="I472" t="n">
        <v>0</v>
      </c>
      <c r="J472" t="n">
        <v>0</v>
      </c>
      <c r="K472" t="n">
        <v>0</v>
      </c>
      <c r="L472" t="n">
        <v>0</v>
      </c>
      <c r="M472" t="n">
        <v>0</v>
      </c>
      <c r="N472" t="n">
        <v>0</v>
      </c>
      <c r="O472" t="n">
        <v>0</v>
      </c>
      <c r="P472" t="n">
        <v>0</v>
      </c>
      <c r="Q472" t="n">
        <v>0</v>
      </c>
      <c r="R472" s="2" t="inlineStr"/>
    </row>
    <row r="473" ht="15" customHeight="1">
      <c r="A473" t="inlineStr">
        <is>
          <t>A 59472-2025</t>
        </is>
      </c>
      <c r="B473" s="1" t="n">
        <v>45989.58321759259</v>
      </c>
      <c r="C473" s="1" t="n">
        <v>46165</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672-2024</t>
        </is>
      </c>
      <c r="B474" s="1" t="n">
        <v>45300</v>
      </c>
      <c r="C474" s="1" t="n">
        <v>46165</v>
      </c>
      <c r="D474" t="inlineStr">
        <is>
          <t>ÖSTERGÖTLANDS LÄN</t>
        </is>
      </c>
      <c r="E474" t="inlineStr">
        <is>
          <t>LINKÖPING</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55493-2021</t>
        </is>
      </c>
      <c r="B475" s="1" t="n">
        <v>44475.61988425926</v>
      </c>
      <c r="C475" s="1" t="n">
        <v>46165</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14093-2024</t>
        </is>
      </c>
      <c r="B476" s="1" t="n">
        <v>45392.60278935185</v>
      </c>
      <c r="C476" s="1" t="n">
        <v>46165</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62019-2024</t>
        </is>
      </c>
      <c r="B477" s="1" t="n">
        <v>45655.82</v>
      </c>
      <c r="C477" s="1" t="n">
        <v>46165</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25119-2023</t>
        </is>
      </c>
      <c r="B478" s="1" t="n">
        <v>45086.42326388889</v>
      </c>
      <c r="C478" s="1" t="n">
        <v>46165</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60087-2025</t>
        </is>
      </c>
      <c r="B479" s="1" t="n">
        <v>45993.71726851852</v>
      </c>
      <c r="C479" s="1" t="n">
        <v>46165</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57396-2021</t>
        </is>
      </c>
      <c r="B480" s="1" t="n">
        <v>44483.56151620371</v>
      </c>
      <c r="C480" s="1" t="n">
        <v>46165</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51571-2024</t>
        </is>
      </c>
      <c r="B481" s="1" t="n">
        <v>45604</v>
      </c>
      <c r="C481" s="1" t="n">
        <v>46165</v>
      </c>
      <c r="D481" t="inlineStr">
        <is>
          <t>ÖSTERGÖTLANDS LÄN</t>
        </is>
      </c>
      <c r="E481" t="inlineStr">
        <is>
          <t>LINKÖPING</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17143-2025</t>
        </is>
      </c>
      <c r="B482" s="1" t="n">
        <v>45755.92731481481</v>
      </c>
      <c r="C482" s="1" t="n">
        <v>46165</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60306-2025</t>
        </is>
      </c>
      <c r="B483" s="1" t="n">
        <v>45994.68326388889</v>
      </c>
      <c r="C483" s="1" t="n">
        <v>46165</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60284-2025</t>
        </is>
      </c>
      <c r="B484" s="1" t="n">
        <v>45994.64373842593</v>
      </c>
      <c r="C484" s="1" t="n">
        <v>46165</v>
      </c>
      <c r="D484" t="inlineStr">
        <is>
          <t>ÖSTERGÖTLANDS LÄN</t>
        </is>
      </c>
      <c r="E484" t="inlineStr">
        <is>
          <t>LINKÖPING</t>
        </is>
      </c>
      <c r="G484" t="n">
        <v>3.5</v>
      </c>
      <c r="H484" t="n">
        <v>0</v>
      </c>
      <c r="I484" t="n">
        <v>0</v>
      </c>
      <c r="J484" t="n">
        <v>0</v>
      </c>
      <c r="K484" t="n">
        <v>0</v>
      </c>
      <c r="L484" t="n">
        <v>0</v>
      </c>
      <c r="M484" t="n">
        <v>0</v>
      </c>
      <c r="N484" t="n">
        <v>0</v>
      </c>
      <c r="O484" t="n">
        <v>0</v>
      </c>
      <c r="P484" t="n">
        <v>0</v>
      </c>
      <c r="Q484" t="n">
        <v>0</v>
      </c>
      <c r="R484" s="2" t="inlineStr"/>
    </row>
    <row r="485" ht="15" customHeight="1">
      <c r="A485" t="inlineStr">
        <is>
          <t>A 17124-2025</t>
        </is>
      </c>
      <c r="B485" s="1" t="n">
        <v>45755.69678240741</v>
      </c>
      <c r="C485" s="1" t="n">
        <v>46165</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17126-2025</t>
        </is>
      </c>
      <c r="B486" s="1" t="n">
        <v>45755.70814814815</v>
      </c>
      <c r="C486" s="1" t="n">
        <v>46165</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31640-2023</t>
        </is>
      </c>
      <c r="B487" s="1" t="n">
        <v>45117</v>
      </c>
      <c r="C487" s="1" t="n">
        <v>46165</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60703-2025</t>
        </is>
      </c>
      <c r="B488" s="1" t="n">
        <v>45996.6052662037</v>
      </c>
      <c r="C488" s="1" t="n">
        <v>46165</v>
      </c>
      <c r="D488" t="inlineStr">
        <is>
          <t>ÖSTERGÖTLANDS LÄN</t>
        </is>
      </c>
      <c r="E488" t="inlineStr">
        <is>
          <t>LINKÖPING</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60866-2025</t>
        </is>
      </c>
      <c r="B489" s="1" t="n">
        <v>45999</v>
      </c>
      <c r="C489" s="1" t="n">
        <v>46165</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61230-2025</t>
        </is>
      </c>
      <c r="B490" s="1" t="n">
        <v>46000.63111111111</v>
      </c>
      <c r="C490" s="1" t="n">
        <v>46165</v>
      </c>
      <c r="D490" t="inlineStr">
        <is>
          <t>ÖSTERGÖTLANDS LÄN</t>
        </is>
      </c>
      <c r="E490" t="inlineStr">
        <is>
          <t>LINKÖPING</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11790-2024</t>
        </is>
      </c>
      <c r="B491" s="1" t="n">
        <v>45374</v>
      </c>
      <c r="C491" s="1" t="n">
        <v>46165</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61281-2021</t>
        </is>
      </c>
      <c r="B492" s="1" t="n">
        <v>44498.60736111111</v>
      </c>
      <c r="C492" s="1" t="n">
        <v>46165</v>
      </c>
      <c r="D492" t="inlineStr">
        <is>
          <t>ÖSTERGÖTLANDS LÄN</t>
        </is>
      </c>
      <c r="E492" t="inlineStr">
        <is>
          <t>LINKÖPING</t>
        </is>
      </c>
      <c r="G492" t="n">
        <v>4.5</v>
      </c>
      <c r="H492" t="n">
        <v>0</v>
      </c>
      <c r="I492" t="n">
        <v>0</v>
      </c>
      <c r="J492" t="n">
        <v>0</v>
      </c>
      <c r="K492" t="n">
        <v>0</v>
      </c>
      <c r="L492" t="n">
        <v>0</v>
      </c>
      <c r="M492" t="n">
        <v>0</v>
      </c>
      <c r="N492" t="n">
        <v>0</v>
      </c>
      <c r="O492" t="n">
        <v>0</v>
      </c>
      <c r="P492" t="n">
        <v>0</v>
      </c>
      <c r="Q492" t="n">
        <v>0</v>
      </c>
      <c r="R492" s="2" t="inlineStr"/>
    </row>
    <row r="493" ht="15" customHeight="1">
      <c r="A493" t="inlineStr">
        <is>
          <t>A 61447-2025</t>
        </is>
      </c>
      <c r="B493" s="1" t="n">
        <v>46001.57554398148</v>
      </c>
      <c r="C493" s="1" t="n">
        <v>46165</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61899-2025</t>
        </is>
      </c>
      <c r="B494" s="1" t="n">
        <v>46003.46635416667</v>
      </c>
      <c r="C494" s="1" t="n">
        <v>46165</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6206-2024</t>
        </is>
      </c>
      <c r="B495" s="1" t="n">
        <v>45337.5977662037</v>
      </c>
      <c r="C495" s="1" t="n">
        <v>46165</v>
      </c>
      <c r="D495" t="inlineStr">
        <is>
          <t>ÖSTERGÖTLANDS LÄN</t>
        </is>
      </c>
      <c r="E495" t="inlineStr">
        <is>
          <t>LINKÖPING</t>
        </is>
      </c>
      <c r="G495" t="n">
        <v>2</v>
      </c>
      <c r="H495" t="n">
        <v>0</v>
      </c>
      <c r="I495" t="n">
        <v>0</v>
      </c>
      <c r="J495" t="n">
        <v>0</v>
      </c>
      <c r="K495" t="n">
        <v>0</v>
      </c>
      <c r="L495" t="n">
        <v>0</v>
      </c>
      <c r="M495" t="n">
        <v>0</v>
      </c>
      <c r="N495" t="n">
        <v>0</v>
      </c>
      <c r="O495" t="n">
        <v>0</v>
      </c>
      <c r="P495" t="n">
        <v>0</v>
      </c>
      <c r="Q495" t="n">
        <v>0</v>
      </c>
      <c r="R495" s="2" t="inlineStr"/>
    </row>
    <row r="496" ht="15" customHeight="1">
      <c r="A496" t="inlineStr">
        <is>
          <t>A 168-2024</t>
        </is>
      </c>
      <c r="B496" s="1" t="n">
        <v>45294</v>
      </c>
      <c r="C496" s="1" t="n">
        <v>46165</v>
      </c>
      <c r="D496" t="inlineStr">
        <is>
          <t>ÖSTERGÖTLANDS LÄN</t>
        </is>
      </c>
      <c r="E496" t="inlineStr">
        <is>
          <t>LINKÖPING</t>
        </is>
      </c>
      <c r="F496" t="inlineStr">
        <is>
          <t>Allmännings- och besparingsskogar</t>
        </is>
      </c>
      <c r="G496" t="n">
        <v>8.9</v>
      </c>
      <c r="H496" t="n">
        <v>0</v>
      </c>
      <c r="I496" t="n">
        <v>0</v>
      </c>
      <c r="J496" t="n">
        <v>0</v>
      </c>
      <c r="K496" t="n">
        <v>0</v>
      </c>
      <c r="L496" t="n">
        <v>0</v>
      </c>
      <c r="M496" t="n">
        <v>0</v>
      </c>
      <c r="N496" t="n">
        <v>0</v>
      </c>
      <c r="O496" t="n">
        <v>0</v>
      </c>
      <c r="P496" t="n">
        <v>0</v>
      </c>
      <c r="Q496" t="n">
        <v>0</v>
      </c>
      <c r="R496" s="2" t="inlineStr"/>
    </row>
    <row r="497" ht="15" customHeight="1">
      <c r="A497" t="inlineStr">
        <is>
          <t>A 61643-2025</t>
        </is>
      </c>
      <c r="B497" s="1" t="n">
        <v>46002.43575231481</v>
      </c>
      <c r="C497" s="1" t="n">
        <v>46165</v>
      </c>
      <c r="D497" t="inlineStr">
        <is>
          <t>ÖSTERGÖTLANDS LÄN</t>
        </is>
      </c>
      <c r="E497" t="inlineStr">
        <is>
          <t>LINKÖPING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61645-2025</t>
        </is>
      </c>
      <c r="B498" s="1" t="n">
        <v>46002.43697916667</v>
      </c>
      <c r="C498" s="1" t="n">
        <v>46165</v>
      </c>
      <c r="D498" t="inlineStr">
        <is>
          <t>ÖSTERGÖTLANDS LÄN</t>
        </is>
      </c>
      <c r="E498" t="inlineStr">
        <is>
          <t>LINKÖPING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51919-2024</t>
        </is>
      </c>
      <c r="B499" s="1" t="n">
        <v>45607.60791666667</v>
      </c>
      <c r="C499" s="1" t="n">
        <v>46165</v>
      </c>
      <c r="D499" t="inlineStr">
        <is>
          <t>ÖSTERGÖTLANDS LÄN</t>
        </is>
      </c>
      <c r="E499" t="inlineStr">
        <is>
          <t>LINKÖPING</t>
        </is>
      </c>
      <c r="G499" t="n">
        <v>2.5</v>
      </c>
      <c r="H499" t="n">
        <v>0</v>
      </c>
      <c r="I499" t="n">
        <v>0</v>
      </c>
      <c r="J499" t="n">
        <v>0</v>
      </c>
      <c r="K499" t="n">
        <v>0</v>
      </c>
      <c r="L499" t="n">
        <v>0</v>
      </c>
      <c r="M499" t="n">
        <v>0</v>
      </c>
      <c r="N499" t="n">
        <v>0</v>
      </c>
      <c r="O499" t="n">
        <v>0</v>
      </c>
      <c r="P499" t="n">
        <v>0</v>
      </c>
      <c r="Q499" t="n">
        <v>0</v>
      </c>
      <c r="R499" s="2" t="inlineStr"/>
    </row>
    <row r="500" ht="15" customHeight="1">
      <c r="A500" t="inlineStr">
        <is>
          <t>A 56623-2024</t>
        </is>
      </c>
      <c r="B500" s="1" t="n">
        <v>45625</v>
      </c>
      <c r="C500" s="1" t="n">
        <v>46165</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11330-2023</t>
        </is>
      </c>
      <c r="B501" s="1" t="n">
        <v>44993.24648148148</v>
      </c>
      <c r="C501" s="1" t="n">
        <v>46165</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63304-2021</t>
        </is>
      </c>
      <c r="B502" s="1" t="n">
        <v>44508.4396412037</v>
      </c>
      <c r="C502" s="1" t="n">
        <v>46165</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14528-2025</t>
        </is>
      </c>
      <c r="B503" s="1" t="n">
        <v>45741</v>
      </c>
      <c r="C503" s="1" t="n">
        <v>46165</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62515-2025</t>
        </is>
      </c>
      <c r="B504" s="1" t="n">
        <v>46007.60548611111</v>
      </c>
      <c r="C504" s="1" t="n">
        <v>46165</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3530-2024</t>
        </is>
      </c>
      <c r="B505" s="1" t="n">
        <v>45320.54717592592</v>
      </c>
      <c r="C505" s="1" t="n">
        <v>46165</v>
      </c>
      <c r="D505" t="inlineStr">
        <is>
          <t>ÖSTERGÖTLANDS LÄN</t>
        </is>
      </c>
      <c r="E505" t="inlineStr">
        <is>
          <t>LINKÖPING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62073-2023</t>
        </is>
      </c>
      <c r="B506" s="1" t="n">
        <v>45266.73844907407</v>
      </c>
      <c r="C506" s="1" t="n">
        <v>46165</v>
      </c>
      <c r="D506" t="inlineStr">
        <is>
          <t>ÖSTERGÖTLANDS LÄN</t>
        </is>
      </c>
      <c r="E506" t="inlineStr">
        <is>
          <t>LINKÖPING</t>
        </is>
      </c>
      <c r="F506" t="inlineStr">
        <is>
          <t>Allmännings- och besparingsskogar</t>
        </is>
      </c>
      <c r="G506" t="n">
        <v>1.8</v>
      </c>
      <c r="H506" t="n">
        <v>0</v>
      </c>
      <c r="I506" t="n">
        <v>0</v>
      </c>
      <c r="J506" t="n">
        <v>0</v>
      </c>
      <c r="K506" t="n">
        <v>0</v>
      </c>
      <c r="L506" t="n">
        <v>0</v>
      </c>
      <c r="M506" t="n">
        <v>0</v>
      </c>
      <c r="N506" t="n">
        <v>0</v>
      </c>
      <c r="O506" t="n">
        <v>0</v>
      </c>
      <c r="P506" t="n">
        <v>0</v>
      </c>
      <c r="Q506" t="n">
        <v>0</v>
      </c>
      <c r="R506" s="2" t="inlineStr"/>
    </row>
    <row r="507" ht="15" customHeight="1">
      <c r="A507" t="inlineStr">
        <is>
          <t>A 5872-2025</t>
        </is>
      </c>
      <c r="B507" s="1" t="n">
        <v>45695.36659722222</v>
      </c>
      <c r="C507" s="1" t="n">
        <v>46165</v>
      </c>
      <c r="D507" t="inlineStr">
        <is>
          <t>ÖSTERGÖTLANDS LÄN</t>
        </is>
      </c>
      <c r="E507" t="inlineStr">
        <is>
          <t>LINKÖPING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62791-2025</t>
        </is>
      </c>
      <c r="B508" s="1" t="n">
        <v>46008.63266203704</v>
      </c>
      <c r="C508" s="1" t="n">
        <v>46165</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53814-2023</t>
        </is>
      </c>
      <c r="B509" s="1" t="n">
        <v>45231</v>
      </c>
      <c r="C509" s="1" t="n">
        <v>46165</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62686-2025</t>
        </is>
      </c>
      <c r="B510" s="1" t="n">
        <v>46008.46769675926</v>
      </c>
      <c r="C510" s="1" t="n">
        <v>46165</v>
      </c>
      <c r="D510" t="inlineStr">
        <is>
          <t>ÖSTERGÖTLANDS LÄN</t>
        </is>
      </c>
      <c r="E510" t="inlineStr">
        <is>
          <t>LINKÖPING</t>
        </is>
      </c>
      <c r="G510" t="n">
        <v>7.6</v>
      </c>
      <c r="H510" t="n">
        <v>0</v>
      </c>
      <c r="I510" t="n">
        <v>0</v>
      </c>
      <c r="J510" t="n">
        <v>0</v>
      </c>
      <c r="K510" t="n">
        <v>0</v>
      </c>
      <c r="L510" t="n">
        <v>0</v>
      </c>
      <c r="M510" t="n">
        <v>0</v>
      </c>
      <c r="N510" t="n">
        <v>0</v>
      </c>
      <c r="O510" t="n">
        <v>0</v>
      </c>
      <c r="P510" t="n">
        <v>0</v>
      </c>
      <c r="Q510" t="n">
        <v>0</v>
      </c>
      <c r="R510" s="2" t="inlineStr"/>
    </row>
    <row r="511" ht="15" customHeight="1">
      <c r="A511" t="inlineStr">
        <is>
          <t>A 3432-2023</t>
        </is>
      </c>
      <c r="B511" s="1" t="n">
        <v>44949</v>
      </c>
      <c r="C511" s="1" t="n">
        <v>46165</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63147-2025</t>
        </is>
      </c>
      <c r="B512" s="1" t="n">
        <v>46010.35003472222</v>
      </c>
      <c r="C512" s="1" t="n">
        <v>46165</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54425-2022</t>
        </is>
      </c>
      <c r="B513" s="1" t="n">
        <v>44882.57453703704</v>
      </c>
      <c r="C513" s="1" t="n">
        <v>46165</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54428-2022</t>
        </is>
      </c>
      <c r="B514" s="1" t="n">
        <v>44882.57643518518</v>
      </c>
      <c r="C514" s="1" t="n">
        <v>46165</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63144-2025</t>
        </is>
      </c>
      <c r="B515" s="1" t="n">
        <v>46010.34716435185</v>
      </c>
      <c r="C515" s="1" t="n">
        <v>46165</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660-2023</t>
        </is>
      </c>
      <c r="B516" s="1" t="n">
        <v>44930</v>
      </c>
      <c r="C516" s="1" t="n">
        <v>46165</v>
      </c>
      <c r="D516" t="inlineStr">
        <is>
          <t>ÖSTERGÖTLANDS LÄN</t>
        </is>
      </c>
      <c r="E516" t="inlineStr">
        <is>
          <t>LINKÖPING</t>
        </is>
      </c>
      <c r="F516" t="inlineStr">
        <is>
          <t>Kyrkan</t>
        </is>
      </c>
      <c r="G516" t="n">
        <v>1.6</v>
      </c>
      <c r="H516" t="n">
        <v>0</v>
      </c>
      <c r="I516" t="n">
        <v>0</v>
      </c>
      <c r="J516" t="n">
        <v>0</v>
      </c>
      <c r="K516" t="n">
        <v>0</v>
      </c>
      <c r="L516" t="n">
        <v>0</v>
      </c>
      <c r="M516" t="n">
        <v>0</v>
      </c>
      <c r="N516" t="n">
        <v>0</v>
      </c>
      <c r="O516" t="n">
        <v>0</v>
      </c>
      <c r="P516" t="n">
        <v>0</v>
      </c>
      <c r="Q516" t="n">
        <v>0</v>
      </c>
      <c r="R516" s="2" t="inlineStr"/>
    </row>
    <row r="517" ht="15" customHeight="1">
      <c r="A517" t="inlineStr">
        <is>
          <t>A 62501-2023</t>
        </is>
      </c>
      <c r="B517" s="1" t="n">
        <v>45268</v>
      </c>
      <c r="C517" s="1" t="n">
        <v>46165</v>
      </c>
      <c r="D517" t="inlineStr">
        <is>
          <t>ÖSTERGÖTLANDS LÄN</t>
        </is>
      </c>
      <c r="E517" t="inlineStr">
        <is>
          <t>LINKÖPING</t>
        </is>
      </c>
      <c r="G517" t="n">
        <v>7.4</v>
      </c>
      <c r="H517" t="n">
        <v>0</v>
      </c>
      <c r="I517" t="n">
        <v>0</v>
      </c>
      <c r="J517" t="n">
        <v>0</v>
      </c>
      <c r="K517" t="n">
        <v>0</v>
      </c>
      <c r="L517" t="n">
        <v>0</v>
      </c>
      <c r="M517" t="n">
        <v>0</v>
      </c>
      <c r="N517" t="n">
        <v>0</v>
      </c>
      <c r="O517" t="n">
        <v>0</v>
      </c>
      <c r="P517" t="n">
        <v>0</v>
      </c>
      <c r="Q517" t="n">
        <v>0</v>
      </c>
      <c r="R517" s="2" t="inlineStr"/>
    </row>
    <row r="518" ht="15" customHeight="1">
      <c r="A518" t="inlineStr">
        <is>
          <t>A 13413-2023</t>
        </is>
      </c>
      <c r="B518" s="1" t="n">
        <v>45005.58341435185</v>
      </c>
      <c r="C518" s="1" t="n">
        <v>46165</v>
      </c>
      <c r="D518" t="inlineStr">
        <is>
          <t>ÖSTERGÖTLANDS LÄN</t>
        </is>
      </c>
      <c r="E518" t="inlineStr">
        <is>
          <t>LINKÖPING</t>
        </is>
      </c>
      <c r="G518" t="n">
        <v>2.4</v>
      </c>
      <c r="H518" t="n">
        <v>0</v>
      </c>
      <c r="I518" t="n">
        <v>0</v>
      </c>
      <c r="J518" t="n">
        <v>0</v>
      </c>
      <c r="K518" t="n">
        <v>0</v>
      </c>
      <c r="L518" t="n">
        <v>0</v>
      </c>
      <c r="M518" t="n">
        <v>0</v>
      </c>
      <c r="N518" t="n">
        <v>0</v>
      </c>
      <c r="O518" t="n">
        <v>0</v>
      </c>
      <c r="P518" t="n">
        <v>0</v>
      </c>
      <c r="Q518" t="n">
        <v>0</v>
      </c>
      <c r="R518" s="2" t="inlineStr"/>
    </row>
    <row r="519" ht="15" customHeight="1">
      <c r="A519" t="inlineStr">
        <is>
          <t>A 26620-2023</t>
        </is>
      </c>
      <c r="B519" s="1" t="n">
        <v>45092.70390046296</v>
      </c>
      <c r="C519" s="1" t="n">
        <v>46165</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1223-2026</t>
        </is>
      </c>
      <c r="B520" s="1" t="n">
        <v>46031.40233796297</v>
      </c>
      <c r="C520" s="1" t="n">
        <v>46165</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858-2026</t>
        </is>
      </c>
      <c r="B521" s="1" t="n">
        <v>46030.41200231481</v>
      </c>
      <c r="C521" s="1" t="n">
        <v>46165</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873-2026</t>
        </is>
      </c>
      <c r="B522" s="1" t="n">
        <v>46030.43818287037</v>
      </c>
      <c r="C522" s="1" t="n">
        <v>46165</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856-2026</t>
        </is>
      </c>
      <c r="B523" s="1" t="n">
        <v>46030.40644675926</v>
      </c>
      <c r="C523" s="1" t="n">
        <v>46165</v>
      </c>
      <c r="D523" t="inlineStr">
        <is>
          <t>ÖSTERGÖTLANDS LÄN</t>
        </is>
      </c>
      <c r="E523" t="inlineStr">
        <is>
          <t>LINKÖPING</t>
        </is>
      </c>
      <c r="G523" t="n">
        <v>6.4</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46165</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860-2026</t>
        </is>
      </c>
      <c r="B525" s="1" t="n">
        <v>46030.41974537037</v>
      </c>
      <c r="C525" s="1" t="n">
        <v>46165</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940-2026</t>
        </is>
      </c>
      <c r="B526" s="1" t="n">
        <v>46030.53052083333</v>
      </c>
      <c r="C526" s="1" t="n">
        <v>46165</v>
      </c>
      <c r="D526" t="inlineStr">
        <is>
          <t>ÖSTERGÖTLANDS LÄN</t>
        </is>
      </c>
      <c r="E526" t="inlineStr">
        <is>
          <t>LINKÖPING</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944-2026</t>
        </is>
      </c>
      <c r="B527" s="1" t="n">
        <v>46030.53461805556</v>
      </c>
      <c r="C527" s="1" t="n">
        <v>46165</v>
      </c>
      <c r="D527" t="inlineStr">
        <is>
          <t>ÖSTERGÖTLANDS LÄN</t>
        </is>
      </c>
      <c r="E527" t="inlineStr">
        <is>
          <t>LINKÖPING</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63638-2023</t>
        </is>
      </c>
      <c r="B528" s="1" t="n">
        <v>45275</v>
      </c>
      <c r="C528" s="1" t="n">
        <v>46165</v>
      </c>
      <c r="D528" t="inlineStr">
        <is>
          <t>ÖSTERGÖTLANDS LÄN</t>
        </is>
      </c>
      <c r="E528" t="inlineStr">
        <is>
          <t>LINKÖPING</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63658-2023</t>
        </is>
      </c>
      <c r="B529" s="1" t="n">
        <v>45275</v>
      </c>
      <c r="C529" s="1" t="n">
        <v>46165</v>
      </c>
      <c r="D529" t="inlineStr">
        <is>
          <t>ÖSTERGÖTLANDS LÄN</t>
        </is>
      </c>
      <c r="E529" t="inlineStr">
        <is>
          <t>LINKÖPING</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927-2026</t>
        </is>
      </c>
      <c r="B530" s="1" t="n">
        <v>46030.50560185185</v>
      </c>
      <c r="C530" s="1" t="n">
        <v>46165</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859-2026</t>
        </is>
      </c>
      <c r="B531" s="1" t="n">
        <v>46030.41450231482</v>
      </c>
      <c r="C531" s="1" t="n">
        <v>46165</v>
      </c>
      <c r="D531" t="inlineStr">
        <is>
          <t>ÖSTERGÖTLANDS LÄN</t>
        </is>
      </c>
      <c r="E531" t="inlineStr">
        <is>
          <t>LINKÖPING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2030-2026</t>
        </is>
      </c>
      <c r="B532" s="1" t="n">
        <v>46035.73590277778</v>
      </c>
      <c r="C532" s="1" t="n">
        <v>46165</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16820-2024</t>
        </is>
      </c>
      <c r="B533" s="1" t="n">
        <v>45411.46809027778</v>
      </c>
      <c r="C533" s="1" t="n">
        <v>46165</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4456-2024</t>
        </is>
      </c>
      <c r="B534" s="1" t="n">
        <v>45327.52847222222</v>
      </c>
      <c r="C534" s="1" t="n">
        <v>46165</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2031-2026</t>
        </is>
      </c>
      <c r="B535" s="1" t="n">
        <v>46035.74182870371</v>
      </c>
      <c r="C535" s="1" t="n">
        <v>46165</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20298-2025</t>
        </is>
      </c>
      <c r="B536" s="1" t="n">
        <v>45774.75024305555</v>
      </c>
      <c r="C536" s="1" t="n">
        <v>46165</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15121-2022</t>
        </is>
      </c>
      <c r="B537" s="1" t="n">
        <v>44658</v>
      </c>
      <c r="C537" s="1" t="n">
        <v>46165</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50743-2023</t>
        </is>
      </c>
      <c r="B538" s="1" t="n">
        <v>45217</v>
      </c>
      <c r="C538" s="1" t="n">
        <v>46165</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13687-2025</t>
        </is>
      </c>
      <c r="B539" s="1" t="n">
        <v>45737.31425925926</v>
      </c>
      <c r="C539" s="1" t="n">
        <v>46165</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13695-2025</t>
        </is>
      </c>
      <c r="B540" s="1" t="n">
        <v>45737.32219907407</v>
      </c>
      <c r="C540" s="1" t="n">
        <v>46165</v>
      </c>
      <c r="D540" t="inlineStr">
        <is>
          <t>ÖSTERGÖTLANDS LÄN</t>
        </is>
      </c>
      <c r="E540" t="inlineStr">
        <is>
          <t>LINKÖPING</t>
        </is>
      </c>
      <c r="G540" t="n">
        <v>5.3</v>
      </c>
      <c r="H540" t="n">
        <v>0</v>
      </c>
      <c r="I540" t="n">
        <v>0</v>
      </c>
      <c r="J540" t="n">
        <v>0</v>
      </c>
      <c r="K540" t="n">
        <v>0</v>
      </c>
      <c r="L540" t="n">
        <v>0</v>
      </c>
      <c r="M540" t="n">
        <v>0</v>
      </c>
      <c r="N540" t="n">
        <v>0</v>
      </c>
      <c r="O540" t="n">
        <v>0</v>
      </c>
      <c r="P540" t="n">
        <v>0</v>
      </c>
      <c r="Q540" t="n">
        <v>0</v>
      </c>
      <c r="R540" s="2" t="inlineStr"/>
    </row>
    <row r="541" ht="15" customHeight="1">
      <c r="A541" t="inlineStr">
        <is>
          <t>A 20294-2025</t>
        </is>
      </c>
      <c r="B541" s="1" t="n">
        <v>45774.74667824074</v>
      </c>
      <c r="C541" s="1" t="n">
        <v>46165</v>
      </c>
      <c r="D541" t="inlineStr">
        <is>
          <t>ÖSTERGÖTLANDS LÄN</t>
        </is>
      </c>
      <c r="E541" t="inlineStr">
        <is>
          <t>LINKÖPING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3045-2026</t>
        </is>
      </c>
      <c r="B542" s="1" t="n">
        <v>46038.74047453704</v>
      </c>
      <c r="C542" s="1" t="n">
        <v>46165</v>
      </c>
      <c r="D542" t="inlineStr">
        <is>
          <t>ÖSTERGÖTLANDS LÄN</t>
        </is>
      </c>
      <c r="E542" t="inlineStr">
        <is>
          <t>LINKÖPING</t>
        </is>
      </c>
      <c r="G542" t="n">
        <v>2</v>
      </c>
      <c r="H542" t="n">
        <v>0</v>
      </c>
      <c r="I542" t="n">
        <v>0</v>
      </c>
      <c r="J542" t="n">
        <v>0</v>
      </c>
      <c r="K542" t="n">
        <v>0</v>
      </c>
      <c r="L542" t="n">
        <v>0</v>
      </c>
      <c r="M542" t="n">
        <v>0</v>
      </c>
      <c r="N542" t="n">
        <v>0</v>
      </c>
      <c r="O542" t="n">
        <v>0</v>
      </c>
      <c r="P542" t="n">
        <v>0</v>
      </c>
      <c r="Q542" t="n">
        <v>0</v>
      </c>
      <c r="R542" s="2" t="inlineStr"/>
    </row>
    <row r="543" ht="15" customHeight="1">
      <c r="A543" t="inlineStr">
        <is>
          <t>A 3043-2026</t>
        </is>
      </c>
      <c r="B543" s="1" t="n">
        <v>46038.73675925926</v>
      </c>
      <c r="C543" s="1" t="n">
        <v>46165</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3044-2026</t>
        </is>
      </c>
      <c r="B544" s="1" t="n">
        <v>46038.73855324074</v>
      </c>
      <c r="C544" s="1" t="n">
        <v>46165</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17128-2025</t>
        </is>
      </c>
      <c r="B545" s="1" t="n">
        <v>45755.72622685185</v>
      </c>
      <c r="C545" s="1" t="n">
        <v>46165</v>
      </c>
      <c r="D545" t="inlineStr">
        <is>
          <t>ÖSTERGÖTLANDS LÄN</t>
        </is>
      </c>
      <c r="E545" t="inlineStr">
        <is>
          <t>LINKÖPING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52125-2022</t>
        </is>
      </c>
      <c r="B546" s="1" t="n">
        <v>44873</v>
      </c>
      <c r="C546" s="1" t="n">
        <v>46165</v>
      </c>
      <c r="D546" t="inlineStr">
        <is>
          <t>ÖSTERGÖTLANDS LÄN</t>
        </is>
      </c>
      <c r="E546" t="inlineStr">
        <is>
          <t>LINKÖPING</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3046-2026</t>
        </is>
      </c>
      <c r="B547" s="1" t="n">
        <v>46038.74182870371</v>
      </c>
      <c r="C547" s="1" t="n">
        <v>46165</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27343-2023</t>
        </is>
      </c>
      <c r="B548" s="1" t="n">
        <v>45096</v>
      </c>
      <c r="C548" s="1" t="n">
        <v>46165</v>
      </c>
      <c r="D548" t="inlineStr">
        <is>
          <t>ÖSTERGÖTLANDS LÄN</t>
        </is>
      </c>
      <c r="E548" t="inlineStr">
        <is>
          <t>LINKÖPING</t>
        </is>
      </c>
      <c r="F548" t="inlineStr">
        <is>
          <t>Allmännings- och besparingsskogar</t>
        </is>
      </c>
      <c r="G548" t="n">
        <v>6.9</v>
      </c>
      <c r="H548" t="n">
        <v>0</v>
      </c>
      <c r="I548" t="n">
        <v>0</v>
      </c>
      <c r="J548" t="n">
        <v>0</v>
      </c>
      <c r="K548" t="n">
        <v>0</v>
      </c>
      <c r="L548" t="n">
        <v>0</v>
      </c>
      <c r="M548" t="n">
        <v>0</v>
      </c>
      <c r="N548" t="n">
        <v>0</v>
      </c>
      <c r="O548" t="n">
        <v>0</v>
      </c>
      <c r="P548" t="n">
        <v>0</v>
      </c>
      <c r="Q548" t="n">
        <v>0</v>
      </c>
      <c r="R548" s="2" t="inlineStr"/>
    </row>
    <row r="549" ht="15" customHeight="1">
      <c r="A549" t="inlineStr">
        <is>
          <t>A 22842-2023</t>
        </is>
      </c>
      <c r="B549" s="1" t="n">
        <v>45071</v>
      </c>
      <c r="C549" s="1" t="n">
        <v>46165</v>
      </c>
      <c r="D549" t="inlineStr">
        <is>
          <t>ÖSTERGÖTLANDS LÄN</t>
        </is>
      </c>
      <c r="E549" t="inlineStr">
        <is>
          <t>LINKÖPING</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4469-2026</t>
        </is>
      </c>
      <c r="B550" s="1" t="n">
        <v>46045.65662037037</v>
      </c>
      <c r="C550" s="1" t="n">
        <v>46165</v>
      </c>
      <c r="D550" t="inlineStr">
        <is>
          <t>ÖSTERGÖTLANDS LÄN</t>
        </is>
      </c>
      <c r="E550" t="inlineStr">
        <is>
          <t>LINKÖPING</t>
        </is>
      </c>
      <c r="F550" t="inlineStr">
        <is>
          <t>Övriga Aktiebolag</t>
        </is>
      </c>
      <c r="G550" t="n">
        <v>3.8</v>
      </c>
      <c r="H550" t="n">
        <v>0</v>
      </c>
      <c r="I550" t="n">
        <v>0</v>
      </c>
      <c r="J550" t="n">
        <v>0</v>
      </c>
      <c r="K550" t="n">
        <v>0</v>
      </c>
      <c r="L550" t="n">
        <v>0</v>
      </c>
      <c r="M550" t="n">
        <v>0</v>
      </c>
      <c r="N550" t="n">
        <v>0</v>
      </c>
      <c r="O550" t="n">
        <v>0</v>
      </c>
      <c r="P550" t="n">
        <v>0</v>
      </c>
      <c r="Q550" t="n">
        <v>0</v>
      </c>
      <c r="R550" s="2" t="inlineStr"/>
    </row>
    <row r="551" ht="15" customHeight="1">
      <c r="A551" t="inlineStr">
        <is>
          <t>A 14520-2025</t>
        </is>
      </c>
      <c r="B551" s="1" t="n">
        <v>45741</v>
      </c>
      <c r="C551" s="1" t="n">
        <v>46165</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31548-2022</t>
        </is>
      </c>
      <c r="B552" s="1" t="n">
        <v>44775.39832175926</v>
      </c>
      <c r="C552" s="1" t="n">
        <v>46165</v>
      </c>
      <c r="D552" t="inlineStr">
        <is>
          <t>ÖSTERGÖTLANDS LÄN</t>
        </is>
      </c>
      <c r="E552" t="inlineStr">
        <is>
          <t>LINKÖPING</t>
        </is>
      </c>
      <c r="G552" t="n">
        <v>0.9</v>
      </c>
      <c r="H552" t="n">
        <v>0</v>
      </c>
      <c r="I552" t="n">
        <v>0</v>
      </c>
      <c r="J552" t="n">
        <v>0</v>
      </c>
      <c r="K552" t="n">
        <v>0</v>
      </c>
      <c r="L552" t="n">
        <v>0</v>
      </c>
      <c r="M552" t="n">
        <v>0</v>
      </c>
      <c r="N552" t="n">
        <v>0</v>
      </c>
      <c r="O552" t="n">
        <v>0</v>
      </c>
      <c r="P552" t="n">
        <v>0</v>
      </c>
      <c r="Q552" t="n">
        <v>0</v>
      </c>
      <c r="R552" s="2" t="inlineStr"/>
    </row>
    <row r="553" ht="15" customHeight="1">
      <c r="A553" t="inlineStr">
        <is>
          <t>A 38886-2024</t>
        </is>
      </c>
      <c r="B553" s="1" t="n">
        <v>45547.66443287037</v>
      </c>
      <c r="C553" s="1" t="n">
        <v>46165</v>
      </c>
      <c r="D553" t="inlineStr">
        <is>
          <t>ÖSTERGÖTLANDS LÄN</t>
        </is>
      </c>
      <c r="E553" t="inlineStr">
        <is>
          <t>LINKÖPING</t>
        </is>
      </c>
      <c r="G553" t="n">
        <v>5.3</v>
      </c>
      <c r="H553" t="n">
        <v>0</v>
      </c>
      <c r="I553" t="n">
        <v>0</v>
      </c>
      <c r="J553" t="n">
        <v>0</v>
      </c>
      <c r="K553" t="n">
        <v>0</v>
      </c>
      <c r="L553" t="n">
        <v>0</v>
      </c>
      <c r="M553" t="n">
        <v>0</v>
      </c>
      <c r="N553" t="n">
        <v>0</v>
      </c>
      <c r="O553" t="n">
        <v>0</v>
      </c>
      <c r="P553" t="n">
        <v>0</v>
      </c>
      <c r="Q553" t="n">
        <v>0</v>
      </c>
      <c r="R553" s="2" t="inlineStr"/>
    </row>
    <row r="554" ht="15" customHeight="1">
      <c r="A554" t="inlineStr">
        <is>
          <t>A 62017-2024</t>
        </is>
      </c>
      <c r="B554" s="1" t="n">
        <v>45655.81140046296</v>
      </c>
      <c r="C554" s="1" t="n">
        <v>46165</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17785-2023</t>
        </is>
      </c>
      <c r="B555" s="1" t="n">
        <v>45037.55094907407</v>
      </c>
      <c r="C555" s="1" t="n">
        <v>46165</v>
      </c>
      <c r="D555" t="inlineStr">
        <is>
          <t>ÖSTERGÖTLANDS LÄN</t>
        </is>
      </c>
      <c r="E555" t="inlineStr">
        <is>
          <t>LINKÖPING</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62686-2023</t>
        </is>
      </c>
      <c r="B556" s="1" t="n">
        <v>45271</v>
      </c>
      <c r="C556" s="1" t="n">
        <v>46165</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42044-2023</t>
        </is>
      </c>
      <c r="B557" s="1" t="n">
        <v>45177</v>
      </c>
      <c r="C557" s="1" t="n">
        <v>46165</v>
      </c>
      <c r="D557" t="inlineStr">
        <is>
          <t>ÖSTERGÖTLANDS LÄN</t>
        </is>
      </c>
      <c r="E557" t="inlineStr">
        <is>
          <t>LINKÖPING</t>
        </is>
      </c>
      <c r="G557" t="n">
        <v>3.9</v>
      </c>
      <c r="H557" t="n">
        <v>0</v>
      </c>
      <c r="I557" t="n">
        <v>0</v>
      </c>
      <c r="J557" t="n">
        <v>0</v>
      </c>
      <c r="K557" t="n">
        <v>0</v>
      </c>
      <c r="L557" t="n">
        <v>0</v>
      </c>
      <c r="M557" t="n">
        <v>0</v>
      </c>
      <c r="N557" t="n">
        <v>0</v>
      </c>
      <c r="O557" t="n">
        <v>0</v>
      </c>
      <c r="P557" t="n">
        <v>0</v>
      </c>
      <c r="Q557" t="n">
        <v>0</v>
      </c>
      <c r="R557" s="2" t="inlineStr"/>
    </row>
    <row r="558" ht="15" customHeight="1">
      <c r="A558" t="inlineStr">
        <is>
          <t>A 5545-2026</t>
        </is>
      </c>
      <c r="B558" s="1" t="n">
        <v>46050.70089120371</v>
      </c>
      <c r="C558" s="1" t="n">
        <v>46165</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49656-2021</t>
        </is>
      </c>
      <c r="B559" s="1" t="n">
        <v>44454</v>
      </c>
      <c r="C559" s="1" t="n">
        <v>46165</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38230-2023</t>
        </is>
      </c>
      <c r="B560" s="1" t="n">
        <v>45161.55373842592</v>
      </c>
      <c r="C560" s="1" t="n">
        <v>46165</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45442-2024</t>
        </is>
      </c>
      <c r="B561" s="1" t="n">
        <v>45576.64189814815</v>
      </c>
      <c r="C561" s="1" t="n">
        <v>46165</v>
      </c>
      <c r="D561" t="inlineStr">
        <is>
          <t>ÖSTERGÖTLANDS LÄN</t>
        </is>
      </c>
      <c r="E561" t="inlineStr">
        <is>
          <t>LINKÖPING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4908-2023</t>
        </is>
      </c>
      <c r="B562" s="1" t="n">
        <v>44958</v>
      </c>
      <c r="C562" s="1" t="n">
        <v>46165</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1265-2023</t>
        </is>
      </c>
      <c r="B563" s="1" t="n">
        <v>44936</v>
      </c>
      <c r="C563" s="1" t="n">
        <v>46165</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6384-2026</t>
        </is>
      </c>
      <c r="B564" s="1" t="n">
        <v>46055.63732638889</v>
      </c>
      <c r="C564" s="1" t="n">
        <v>46165</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12411-2022</t>
        </is>
      </c>
      <c r="B565" s="1" t="n">
        <v>44638.21601851852</v>
      </c>
      <c r="C565" s="1" t="n">
        <v>46165</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46165</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7133-2026</t>
        </is>
      </c>
      <c r="B567" s="1" t="n">
        <v>46057</v>
      </c>
      <c r="C567" s="1" t="n">
        <v>46165</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23491-2024</t>
        </is>
      </c>
      <c r="B568" s="1" t="n">
        <v>45453</v>
      </c>
      <c r="C568" s="1" t="n">
        <v>46165</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70-2024</t>
        </is>
      </c>
      <c r="B569" s="1" t="n">
        <v>45293</v>
      </c>
      <c r="C569" s="1" t="n">
        <v>46165</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6054-2022</t>
        </is>
      </c>
      <c r="B570" s="1" t="n">
        <v>44599.53623842593</v>
      </c>
      <c r="C570" s="1" t="n">
        <v>46165</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31725-2022</t>
        </is>
      </c>
      <c r="B571" s="1" t="n">
        <v>44776.48541666667</v>
      </c>
      <c r="C571" s="1" t="n">
        <v>46165</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57391-2023</t>
        </is>
      </c>
      <c r="B572" s="1" t="n">
        <v>45245</v>
      </c>
      <c r="C572" s="1" t="n">
        <v>46165</v>
      </c>
      <c r="D572" t="inlineStr">
        <is>
          <t>ÖSTERGÖTLANDS LÄN</t>
        </is>
      </c>
      <c r="E572" t="inlineStr">
        <is>
          <t>LINKÖPING</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7992-2023</t>
        </is>
      </c>
      <c r="B573" s="1" t="n">
        <v>44970</v>
      </c>
      <c r="C573" s="1" t="n">
        <v>46165</v>
      </c>
      <c r="D573" t="inlineStr">
        <is>
          <t>ÖSTERGÖTLANDS LÄN</t>
        </is>
      </c>
      <c r="E573" t="inlineStr">
        <is>
          <t>LINKÖPING</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13689-2025</t>
        </is>
      </c>
      <c r="B574" s="1" t="n">
        <v>45737.31590277778</v>
      </c>
      <c r="C574" s="1" t="n">
        <v>46165</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13696-2025</t>
        </is>
      </c>
      <c r="B575" s="1" t="n">
        <v>45737.32273148148</v>
      </c>
      <c r="C575" s="1" t="n">
        <v>46165</v>
      </c>
      <c r="D575" t="inlineStr">
        <is>
          <t>ÖSTERGÖTLANDS LÄN</t>
        </is>
      </c>
      <c r="E575" t="inlineStr">
        <is>
          <t>LINKÖPING</t>
        </is>
      </c>
      <c r="G575" t="n">
        <v>3.5</v>
      </c>
      <c r="H575" t="n">
        <v>0</v>
      </c>
      <c r="I575" t="n">
        <v>0</v>
      </c>
      <c r="J575" t="n">
        <v>0</v>
      </c>
      <c r="K575" t="n">
        <v>0</v>
      </c>
      <c r="L575" t="n">
        <v>0</v>
      </c>
      <c r="M575" t="n">
        <v>0</v>
      </c>
      <c r="N575" t="n">
        <v>0</v>
      </c>
      <c r="O575" t="n">
        <v>0</v>
      </c>
      <c r="P575" t="n">
        <v>0</v>
      </c>
      <c r="Q575" t="n">
        <v>0</v>
      </c>
      <c r="R575" s="2" t="inlineStr"/>
    </row>
    <row r="576" ht="15" customHeight="1">
      <c r="A576" t="inlineStr">
        <is>
          <t>A 1924-2024</t>
        </is>
      </c>
      <c r="B576" s="1" t="n">
        <v>45308</v>
      </c>
      <c r="C576" s="1" t="n">
        <v>46165</v>
      </c>
      <c r="D576" t="inlineStr">
        <is>
          <t>ÖSTERGÖTLANDS LÄN</t>
        </is>
      </c>
      <c r="E576" t="inlineStr">
        <is>
          <t>LINKÖPING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32346-2023</t>
        </is>
      </c>
      <c r="B577" s="1" t="n">
        <v>45120</v>
      </c>
      <c r="C577" s="1" t="n">
        <v>46165</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46165</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7808-2022</t>
        </is>
      </c>
      <c r="B579" s="1" t="n">
        <v>44608</v>
      </c>
      <c r="C579" s="1" t="n">
        <v>46165</v>
      </c>
      <c r="D579" t="inlineStr">
        <is>
          <t>ÖSTERGÖTLANDS LÄN</t>
        </is>
      </c>
      <c r="E579" t="inlineStr">
        <is>
          <t>LINKÖPING</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27844-2024</t>
        </is>
      </c>
      <c r="B580" s="1" t="n">
        <v>45475.63047453704</v>
      </c>
      <c r="C580" s="1" t="n">
        <v>46165</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40810-2022</t>
        </is>
      </c>
      <c r="B581" s="1" t="n">
        <v>44824</v>
      </c>
      <c r="C581" s="1" t="n">
        <v>46165</v>
      </c>
      <c r="D581" t="inlineStr">
        <is>
          <t>ÖSTERGÖTLANDS LÄN</t>
        </is>
      </c>
      <c r="E581" t="inlineStr">
        <is>
          <t>LINKÖPING</t>
        </is>
      </c>
      <c r="G581" t="n">
        <v>2.8</v>
      </c>
      <c r="H581" t="n">
        <v>0</v>
      </c>
      <c r="I581" t="n">
        <v>0</v>
      </c>
      <c r="J581" t="n">
        <v>0</v>
      </c>
      <c r="K581" t="n">
        <v>0</v>
      </c>
      <c r="L581" t="n">
        <v>0</v>
      </c>
      <c r="M581" t="n">
        <v>0</v>
      </c>
      <c r="N581" t="n">
        <v>0</v>
      </c>
      <c r="O581" t="n">
        <v>0</v>
      </c>
      <c r="P581" t="n">
        <v>0</v>
      </c>
      <c r="Q581" t="n">
        <v>0</v>
      </c>
      <c r="R581" s="2" t="inlineStr"/>
    </row>
    <row r="582" ht="15" customHeight="1">
      <c r="A582" t="inlineStr">
        <is>
          <t>A 51559-2024</t>
        </is>
      </c>
      <c r="B582" s="1" t="n">
        <v>45604.61431712963</v>
      </c>
      <c r="C582" s="1" t="n">
        <v>46165</v>
      </c>
      <c r="D582" t="inlineStr">
        <is>
          <t>ÖSTERGÖTLANDS LÄN</t>
        </is>
      </c>
      <c r="E582" t="inlineStr">
        <is>
          <t>LINKÖPING</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49979-2022</t>
        </is>
      </c>
      <c r="B583" s="1" t="n">
        <v>44865</v>
      </c>
      <c r="C583" s="1" t="n">
        <v>46165</v>
      </c>
      <c r="D583" t="inlineStr">
        <is>
          <t>ÖSTERGÖTLANDS LÄN</t>
        </is>
      </c>
      <c r="E583" t="inlineStr">
        <is>
          <t>LINKÖPING</t>
        </is>
      </c>
      <c r="F583" t="inlineStr">
        <is>
          <t>Övriga Aktiebolag</t>
        </is>
      </c>
      <c r="G583" t="n">
        <v>11.4</v>
      </c>
      <c r="H583" t="n">
        <v>0</v>
      </c>
      <c r="I583" t="n">
        <v>0</v>
      </c>
      <c r="J583" t="n">
        <v>0</v>
      </c>
      <c r="K583" t="n">
        <v>0</v>
      </c>
      <c r="L583" t="n">
        <v>0</v>
      </c>
      <c r="M583" t="n">
        <v>0</v>
      </c>
      <c r="N583" t="n">
        <v>0</v>
      </c>
      <c r="O583" t="n">
        <v>0</v>
      </c>
      <c r="P583" t="n">
        <v>0</v>
      </c>
      <c r="Q583" t="n">
        <v>0</v>
      </c>
      <c r="R583" s="2" t="inlineStr"/>
    </row>
    <row r="584" ht="15" customHeight="1">
      <c r="A584" t="inlineStr">
        <is>
          <t>A 39219-2021</t>
        </is>
      </c>
      <c r="B584" s="1" t="n">
        <v>44413</v>
      </c>
      <c r="C584" s="1" t="n">
        <v>46165</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39224-2021</t>
        </is>
      </c>
      <c r="B585" s="1" t="n">
        <v>44413</v>
      </c>
      <c r="C585" s="1" t="n">
        <v>46165</v>
      </c>
      <c r="D585" t="inlineStr">
        <is>
          <t>ÖSTERGÖTLANDS LÄN</t>
        </is>
      </c>
      <c r="E585" t="inlineStr">
        <is>
          <t>LINKÖPING</t>
        </is>
      </c>
      <c r="G585" t="n">
        <v>2.1</v>
      </c>
      <c r="H585" t="n">
        <v>0</v>
      </c>
      <c r="I585" t="n">
        <v>0</v>
      </c>
      <c r="J585" t="n">
        <v>0</v>
      </c>
      <c r="K585" t="n">
        <v>0</v>
      </c>
      <c r="L585" t="n">
        <v>0</v>
      </c>
      <c r="M585" t="n">
        <v>0</v>
      </c>
      <c r="N585" t="n">
        <v>0</v>
      </c>
      <c r="O585" t="n">
        <v>0</v>
      </c>
      <c r="P585" t="n">
        <v>0</v>
      </c>
      <c r="Q585" t="n">
        <v>0</v>
      </c>
      <c r="R585" s="2" t="inlineStr"/>
    </row>
    <row r="586" ht="15" customHeight="1">
      <c r="A586" t="inlineStr">
        <is>
          <t>A 62495-2023</t>
        </is>
      </c>
      <c r="B586" s="1" t="n">
        <v>45268.59717592593</v>
      </c>
      <c r="C586" s="1" t="n">
        <v>46165</v>
      </c>
      <c r="D586" t="inlineStr">
        <is>
          <t>ÖSTERGÖTLANDS LÄN</t>
        </is>
      </c>
      <c r="E586" t="inlineStr">
        <is>
          <t>LINKÖPING</t>
        </is>
      </c>
      <c r="G586" t="n">
        <v>4.1</v>
      </c>
      <c r="H586" t="n">
        <v>0</v>
      </c>
      <c r="I586" t="n">
        <v>0</v>
      </c>
      <c r="J586" t="n">
        <v>0</v>
      </c>
      <c r="K586" t="n">
        <v>0</v>
      </c>
      <c r="L586" t="n">
        <v>0</v>
      </c>
      <c r="M586" t="n">
        <v>0</v>
      </c>
      <c r="N586" t="n">
        <v>0</v>
      </c>
      <c r="O586" t="n">
        <v>0</v>
      </c>
      <c r="P586" t="n">
        <v>0</v>
      </c>
      <c r="Q586" t="n">
        <v>0</v>
      </c>
      <c r="R586" s="2" t="inlineStr"/>
    </row>
    <row r="587" ht="15" customHeight="1">
      <c r="A587" t="inlineStr">
        <is>
          <t>A 10479-2026</t>
        </is>
      </c>
      <c r="B587" s="1" t="n">
        <v>46077.49231481482</v>
      </c>
      <c r="C587" s="1" t="n">
        <v>46165</v>
      </c>
      <c r="D587" t="inlineStr">
        <is>
          <t>ÖSTERGÖTLANDS LÄN</t>
        </is>
      </c>
      <c r="E587" t="inlineStr">
        <is>
          <t>LINKÖPING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29413-2023</t>
        </is>
      </c>
      <c r="B588" s="1" t="n">
        <v>45106.46465277778</v>
      </c>
      <c r="C588" s="1" t="n">
        <v>46165</v>
      </c>
      <c r="D588" t="inlineStr">
        <is>
          <t>ÖSTERGÖTLANDS LÄN</t>
        </is>
      </c>
      <c r="E588" t="inlineStr">
        <is>
          <t>LINKÖPING</t>
        </is>
      </c>
      <c r="G588" t="n">
        <v>8</v>
      </c>
      <c r="H588" t="n">
        <v>0</v>
      </c>
      <c r="I588" t="n">
        <v>0</v>
      </c>
      <c r="J588" t="n">
        <v>0</v>
      </c>
      <c r="K588" t="n">
        <v>0</v>
      </c>
      <c r="L588" t="n">
        <v>0</v>
      </c>
      <c r="M588" t="n">
        <v>0</v>
      </c>
      <c r="N588" t="n">
        <v>0</v>
      </c>
      <c r="O588" t="n">
        <v>0</v>
      </c>
      <c r="P588" t="n">
        <v>0</v>
      </c>
      <c r="Q588" t="n">
        <v>0</v>
      </c>
      <c r="R588" s="2" t="inlineStr"/>
    </row>
    <row r="589" ht="15" customHeight="1">
      <c r="A589" t="inlineStr">
        <is>
          <t>A 10756-2026</t>
        </is>
      </c>
      <c r="B589" s="1" t="n">
        <v>46078.55412037037</v>
      </c>
      <c r="C589" s="1" t="n">
        <v>46165</v>
      </c>
      <c r="D589" t="inlineStr">
        <is>
          <t>ÖSTERGÖTLANDS LÄN</t>
        </is>
      </c>
      <c r="E589" t="inlineStr">
        <is>
          <t>LINKÖPING</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10764-2026</t>
        </is>
      </c>
      <c r="B590" s="1" t="n">
        <v>46078</v>
      </c>
      <c r="C590" s="1" t="n">
        <v>46165</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10477-2026</t>
        </is>
      </c>
      <c r="B591" s="1" t="n">
        <v>46077.4871875</v>
      </c>
      <c r="C591" s="1" t="n">
        <v>46165</v>
      </c>
      <c r="D591" t="inlineStr">
        <is>
          <t>ÖSTERGÖTLANDS LÄN</t>
        </is>
      </c>
      <c r="E591" t="inlineStr">
        <is>
          <t>LINKÖPING</t>
        </is>
      </c>
      <c r="G591" t="n">
        <v>9.6</v>
      </c>
      <c r="H591" t="n">
        <v>0</v>
      </c>
      <c r="I591" t="n">
        <v>0</v>
      </c>
      <c r="J591" t="n">
        <v>0</v>
      </c>
      <c r="K591" t="n">
        <v>0</v>
      </c>
      <c r="L591" t="n">
        <v>0</v>
      </c>
      <c r="M591" t="n">
        <v>0</v>
      </c>
      <c r="N591" t="n">
        <v>0</v>
      </c>
      <c r="O591" t="n">
        <v>0</v>
      </c>
      <c r="P591" t="n">
        <v>0</v>
      </c>
      <c r="Q591" t="n">
        <v>0</v>
      </c>
      <c r="R591" s="2" t="inlineStr"/>
    </row>
    <row r="592" ht="15" customHeight="1">
      <c r="A592" t="inlineStr">
        <is>
          <t>A 25948-2023</t>
        </is>
      </c>
      <c r="B592" s="1" t="n">
        <v>45090</v>
      </c>
      <c r="C592" s="1" t="n">
        <v>46165</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1627-2023</t>
        </is>
      </c>
      <c r="B593" s="1" t="n">
        <v>44937</v>
      </c>
      <c r="C593" s="1" t="n">
        <v>46165</v>
      </c>
      <c r="D593" t="inlineStr">
        <is>
          <t>ÖSTERGÖTLANDS LÄN</t>
        </is>
      </c>
      <c r="E593" t="inlineStr">
        <is>
          <t>LINKÖPING</t>
        </is>
      </c>
      <c r="G593" t="n">
        <v>10.8</v>
      </c>
      <c r="H593" t="n">
        <v>0</v>
      </c>
      <c r="I593" t="n">
        <v>0</v>
      </c>
      <c r="J593" t="n">
        <v>0</v>
      </c>
      <c r="K593" t="n">
        <v>0</v>
      </c>
      <c r="L593" t="n">
        <v>0</v>
      </c>
      <c r="M593" t="n">
        <v>0</v>
      </c>
      <c r="N593" t="n">
        <v>0</v>
      </c>
      <c r="O593" t="n">
        <v>0</v>
      </c>
      <c r="P593" t="n">
        <v>0</v>
      </c>
      <c r="Q593" t="n">
        <v>0</v>
      </c>
      <c r="R593" s="2" t="inlineStr"/>
    </row>
    <row r="594" ht="15" customHeight="1">
      <c r="A594" t="inlineStr">
        <is>
          <t>A 30481-2023</t>
        </is>
      </c>
      <c r="B594" s="1" t="n">
        <v>45111</v>
      </c>
      <c r="C594" s="1" t="n">
        <v>46165</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21782-2024</t>
        </is>
      </c>
      <c r="B595" s="1" t="n">
        <v>45442.63368055555</v>
      </c>
      <c r="C595" s="1" t="n">
        <v>46165</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11169-2026</t>
        </is>
      </c>
      <c r="B596" s="1" t="n">
        <v>46080.37020833333</v>
      </c>
      <c r="C596" s="1" t="n">
        <v>46165</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11033-2026</t>
        </is>
      </c>
      <c r="B597" s="1" t="n">
        <v>46079.57361111111</v>
      </c>
      <c r="C597" s="1" t="n">
        <v>46165</v>
      </c>
      <c r="D597" t="inlineStr">
        <is>
          <t>ÖSTERGÖTLANDS LÄN</t>
        </is>
      </c>
      <c r="E597" t="inlineStr">
        <is>
          <t>LINKÖPING</t>
        </is>
      </c>
      <c r="G597" t="n">
        <v>7.9</v>
      </c>
      <c r="H597" t="n">
        <v>0</v>
      </c>
      <c r="I597" t="n">
        <v>0</v>
      </c>
      <c r="J597" t="n">
        <v>0</v>
      </c>
      <c r="K597" t="n">
        <v>0</v>
      </c>
      <c r="L597" t="n">
        <v>0</v>
      </c>
      <c r="M597" t="n">
        <v>0</v>
      </c>
      <c r="N597" t="n">
        <v>0</v>
      </c>
      <c r="O597" t="n">
        <v>0</v>
      </c>
      <c r="P597" t="n">
        <v>0</v>
      </c>
      <c r="Q597" t="n">
        <v>0</v>
      </c>
      <c r="R597" s="2" t="inlineStr"/>
    </row>
    <row r="598" ht="15" customHeight="1">
      <c r="A598" t="inlineStr">
        <is>
          <t>A 11036-2026</t>
        </is>
      </c>
      <c r="B598" s="1" t="n">
        <v>46079.57836805555</v>
      </c>
      <c r="C598" s="1" t="n">
        <v>46165</v>
      </c>
      <c r="D598" t="inlineStr">
        <is>
          <t>ÖSTERGÖTLANDS LÄN</t>
        </is>
      </c>
      <c r="E598" t="inlineStr">
        <is>
          <t>LINKÖPING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11671-2023</t>
        </is>
      </c>
      <c r="B599" s="1" t="n">
        <v>44994.48125</v>
      </c>
      <c r="C599" s="1" t="n">
        <v>46165</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11057-2026</t>
        </is>
      </c>
      <c r="B600" s="1" t="n">
        <v>46079.59515046296</v>
      </c>
      <c r="C600" s="1" t="n">
        <v>46165</v>
      </c>
      <c r="D600" t="inlineStr">
        <is>
          <t>ÖSTERGÖTLANDS LÄN</t>
        </is>
      </c>
      <c r="E600" t="inlineStr">
        <is>
          <t>LINKÖPING</t>
        </is>
      </c>
      <c r="G600" t="n">
        <v>2.9</v>
      </c>
      <c r="H600" t="n">
        <v>0</v>
      </c>
      <c r="I600" t="n">
        <v>0</v>
      </c>
      <c r="J600" t="n">
        <v>0</v>
      </c>
      <c r="K600" t="n">
        <v>0</v>
      </c>
      <c r="L600" t="n">
        <v>0</v>
      </c>
      <c r="M600" t="n">
        <v>0</v>
      </c>
      <c r="N600" t="n">
        <v>0</v>
      </c>
      <c r="O600" t="n">
        <v>0</v>
      </c>
      <c r="P600" t="n">
        <v>0</v>
      </c>
      <c r="Q600" t="n">
        <v>0</v>
      </c>
      <c r="R600" s="2" t="inlineStr"/>
    </row>
    <row r="601" ht="15" customHeight="1">
      <c r="A601" t="inlineStr">
        <is>
          <t>A 3013-2023</t>
        </is>
      </c>
      <c r="B601" s="1" t="n">
        <v>44945.8092824074</v>
      </c>
      <c r="C601" s="1" t="n">
        <v>46165</v>
      </c>
      <c r="D601" t="inlineStr">
        <is>
          <t>ÖSTERGÖTLANDS LÄN</t>
        </is>
      </c>
      <c r="E601" t="inlineStr">
        <is>
          <t>LINKÖPING</t>
        </is>
      </c>
      <c r="G601" t="n">
        <v>5.2</v>
      </c>
      <c r="H601" t="n">
        <v>0</v>
      </c>
      <c r="I601" t="n">
        <v>0</v>
      </c>
      <c r="J601" t="n">
        <v>0</v>
      </c>
      <c r="K601" t="n">
        <v>0</v>
      </c>
      <c r="L601" t="n">
        <v>0</v>
      </c>
      <c r="M601" t="n">
        <v>0</v>
      </c>
      <c r="N601" t="n">
        <v>0</v>
      </c>
      <c r="O601" t="n">
        <v>0</v>
      </c>
      <c r="P601" t="n">
        <v>0</v>
      </c>
      <c r="Q601" t="n">
        <v>0</v>
      </c>
      <c r="R601" s="2" t="inlineStr"/>
    </row>
    <row r="602" ht="15" customHeight="1">
      <c r="A602" t="inlineStr">
        <is>
          <t>A 49747-2024</t>
        </is>
      </c>
      <c r="B602" s="1" t="n">
        <v>45596</v>
      </c>
      <c r="C602" s="1" t="n">
        <v>46165</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42997-2021</t>
        </is>
      </c>
      <c r="B603" s="1" t="n">
        <v>44431.45556712963</v>
      </c>
      <c r="C603" s="1" t="n">
        <v>46165</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18183-2026</t>
        </is>
      </c>
      <c r="B604" s="1" t="n">
        <v>46125</v>
      </c>
      <c r="C604" s="1" t="n">
        <v>46165</v>
      </c>
      <c r="D604" t="inlineStr">
        <is>
          <t>ÖSTERGÖTLANDS LÄN</t>
        </is>
      </c>
      <c r="E604" t="inlineStr">
        <is>
          <t>LINKÖPING</t>
        </is>
      </c>
      <c r="G604" t="n">
        <v>3.6</v>
      </c>
      <c r="H604" t="n">
        <v>0</v>
      </c>
      <c r="I604" t="n">
        <v>0</v>
      </c>
      <c r="J604" t="n">
        <v>0</v>
      </c>
      <c r="K604" t="n">
        <v>0</v>
      </c>
      <c r="L604" t="n">
        <v>0</v>
      </c>
      <c r="M604" t="n">
        <v>0</v>
      </c>
      <c r="N604" t="n">
        <v>0</v>
      </c>
      <c r="O604" t="n">
        <v>0</v>
      </c>
      <c r="P604" t="n">
        <v>0</v>
      </c>
      <c r="Q604" t="n">
        <v>0</v>
      </c>
      <c r="R604" s="2" t="inlineStr"/>
    </row>
    <row r="605" ht="15" customHeight="1">
      <c r="A605" t="inlineStr">
        <is>
          <t>A 3011-2023</t>
        </is>
      </c>
      <c r="B605" s="1" t="n">
        <v>44945</v>
      </c>
      <c r="C605" s="1" t="n">
        <v>46165</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23735-2023</t>
        </is>
      </c>
      <c r="B606" s="1" t="n">
        <v>45077</v>
      </c>
      <c r="C606" s="1" t="n">
        <v>46165</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45821-2024</t>
        </is>
      </c>
      <c r="B607" s="1" t="n">
        <v>45579.75803240741</v>
      </c>
      <c r="C607" s="1" t="n">
        <v>46165</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11891-2026</t>
        </is>
      </c>
      <c r="B608" s="1" t="n">
        <v>46085.5197800926</v>
      </c>
      <c r="C608" s="1" t="n">
        <v>46165</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11888-2026</t>
        </is>
      </c>
      <c r="B609" s="1" t="n">
        <v>46085.51813657407</v>
      </c>
      <c r="C609" s="1" t="n">
        <v>46165</v>
      </c>
      <c r="D609" t="inlineStr">
        <is>
          <t>ÖSTERGÖTLANDS LÄN</t>
        </is>
      </c>
      <c r="E609" t="inlineStr">
        <is>
          <t>LINKÖPING</t>
        </is>
      </c>
      <c r="G609" t="n">
        <v>3.6</v>
      </c>
      <c r="H609" t="n">
        <v>0</v>
      </c>
      <c r="I609" t="n">
        <v>0</v>
      </c>
      <c r="J609" t="n">
        <v>0</v>
      </c>
      <c r="K609" t="n">
        <v>0</v>
      </c>
      <c r="L609" t="n">
        <v>0</v>
      </c>
      <c r="M609" t="n">
        <v>0</v>
      </c>
      <c r="N609" t="n">
        <v>0</v>
      </c>
      <c r="O609" t="n">
        <v>0</v>
      </c>
      <c r="P609" t="n">
        <v>0</v>
      </c>
      <c r="Q609" t="n">
        <v>0</v>
      </c>
      <c r="R609" s="2" t="inlineStr"/>
    </row>
    <row r="610" ht="15" customHeight="1">
      <c r="A610" t="inlineStr">
        <is>
          <t>A 12251-2026</t>
        </is>
      </c>
      <c r="B610" s="1" t="n">
        <v>46087.45278935185</v>
      </c>
      <c r="C610" s="1" t="n">
        <v>46165</v>
      </c>
      <c r="D610" t="inlineStr">
        <is>
          <t>ÖSTERGÖTLANDS LÄN</t>
        </is>
      </c>
      <c r="E610" t="inlineStr">
        <is>
          <t>LINKÖPING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53647-2021</t>
        </is>
      </c>
      <c r="B611" s="1" t="n">
        <v>44469</v>
      </c>
      <c r="C611" s="1" t="n">
        <v>46165</v>
      </c>
      <c r="D611" t="inlineStr">
        <is>
          <t>ÖSTERGÖTLANDS LÄN</t>
        </is>
      </c>
      <c r="E611" t="inlineStr">
        <is>
          <t>LINKÖPING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6599-2023</t>
        </is>
      </c>
      <c r="B612" s="1" t="n">
        <v>44966.52603009259</v>
      </c>
      <c r="C612" s="1" t="n">
        <v>46165</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12254-2026</t>
        </is>
      </c>
      <c r="B613" s="1" t="n">
        <v>46087.46196759259</v>
      </c>
      <c r="C613" s="1" t="n">
        <v>46165</v>
      </c>
      <c r="D613" t="inlineStr">
        <is>
          <t>ÖSTERGÖTLANDS LÄN</t>
        </is>
      </c>
      <c r="E613" t="inlineStr">
        <is>
          <t>LINKÖPING</t>
        </is>
      </c>
      <c r="G613" t="n">
        <v>10.4</v>
      </c>
      <c r="H613" t="n">
        <v>0</v>
      </c>
      <c r="I613" t="n">
        <v>0</v>
      </c>
      <c r="J613" t="n">
        <v>0</v>
      </c>
      <c r="K613" t="n">
        <v>0</v>
      </c>
      <c r="L613" t="n">
        <v>0</v>
      </c>
      <c r="M613" t="n">
        <v>0</v>
      </c>
      <c r="N613" t="n">
        <v>0</v>
      </c>
      <c r="O613" t="n">
        <v>0</v>
      </c>
      <c r="P613" t="n">
        <v>0</v>
      </c>
      <c r="Q613" t="n">
        <v>0</v>
      </c>
      <c r="R613" s="2" t="inlineStr"/>
    </row>
    <row r="614" ht="15" customHeight="1">
      <c r="A614" t="inlineStr">
        <is>
          <t>A 12482-2026</t>
        </is>
      </c>
      <c r="B614" s="1" t="n">
        <v>46090.56292824074</v>
      </c>
      <c r="C614" s="1" t="n">
        <v>46165</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12486-2026</t>
        </is>
      </c>
      <c r="B615" s="1" t="n">
        <v>46090.56501157407</v>
      </c>
      <c r="C615" s="1" t="n">
        <v>46165</v>
      </c>
      <c r="D615" t="inlineStr">
        <is>
          <t>ÖSTERGÖTLANDS LÄN</t>
        </is>
      </c>
      <c r="E615" t="inlineStr">
        <is>
          <t>LINKÖPING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19523-2026</t>
        </is>
      </c>
      <c r="B616" s="1" t="n">
        <v>46134.35099537037</v>
      </c>
      <c r="C616" s="1" t="n">
        <v>46165</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35735-2023</t>
        </is>
      </c>
      <c r="B617" s="1" t="n">
        <v>45147</v>
      </c>
      <c r="C617" s="1" t="n">
        <v>46165</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45831-2024</t>
        </is>
      </c>
      <c r="B618" s="1" t="n">
        <v>45579.90508101852</v>
      </c>
      <c r="C618" s="1" t="n">
        <v>46165</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17157-2024</t>
        </is>
      </c>
      <c r="B619" s="1" t="n">
        <v>45412.70567129629</v>
      </c>
      <c r="C619" s="1" t="n">
        <v>46165</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37154-2023</t>
        </is>
      </c>
      <c r="B620" s="1" t="n">
        <v>45155</v>
      </c>
      <c r="C620" s="1" t="n">
        <v>46165</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53812-2023</t>
        </is>
      </c>
      <c r="B621" s="1" t="n">
        <v>45231.39583333334</v>
      </c>
      <c r="C621" s="1" t="n">
        <v>46165</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53830-2023</t>
        </is>
      </c>
      <c r="B622" s="1" t="n">
        <v>45230</v>
      </c>
      <c r="C622" s="1" t="n">
        <v>46165</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56841-2023</t>
        </is>
      </c>
      <c r="B623" s="1" t="n">
        <v>45244</v>
      </c>
      <c r="C623" s="1" t="n">
        <v>46165</v>
      </c>
      <c r="D623" t="inlineStr">
        <is>
          <t>ÖSTERGÖTLANDS LÄN</t>
        </is>
      </c>
      <c r="E623" t="inlineStr">
        <is>
          <t>LINKÖPING</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56741-2023</t>
        </is>
      </c>
      <c r="B624" s="1" t="n">
        <v>45244</v>
      </c>
      <c r="C624" s="1" t="n">
        <v>46165</v>
      </c>
      <c r="D624" t="inlineStr">
        <is>
          <t>ÖSTERGÖTLANDS LÄN</t>
        </is>
      </c>
      <c r="E624" t="inlineStr">
        <is>
          <t>LINKÖPING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53816-2023</t>
        </is>
      </c>
      <c r="B625" s="1" t="n">
        <v>45231.40012731482</v>
      </c>
      <c r="C625" s="1" t="n">
        <v>46165</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63935-2021</t>
        </is>
      </c>
      <c r="B626" s="1" t="n">
        <v>44509</v>
      </c>
      <c r="C626" s="1" t="n">
        <v>46165</v>
      </c>
      <c r="D626" t="inlineStr">
        <is>
          <t>ÖSTERGÖTLANDS LÄN</t>
        </is>
      </c>
      <c r="E626" t="inlineStr">
        <is>
          <t>LINKÖPING</t>
        </is>
      </c>
      <c r="F626" t="inlineStr">
        <is>
          <t>Övriga statliga verk och myndigheter</t>
        </is>
      </c>
      <c r="G626" t="n">
        <v>2.8</v>
      </c>
      <c r="H626" t="n">
        <v>0</v>
      </c>
      <c r="I626" t="n">
        <v>0</v>
      </c>
      <c r="J626" t="n">
        <v>0</v>
      </c>
      <c r="K626" t="n">
        <v>0</v>
      </c>
      <c r="L626" t="n">
        <v>0</v>
      </c>
      <c r="M626" t="n">
        <v>0</v>
      </c>
      <c r="N626" t="n">
        <v>0</v>
      </c>
      <c r="O626" t="n">
        <v>0</v>
      </c>
      <c r="P626" t="n">
        <v>0</v>
      </c>
      <c r="Q626" t="n">
        <v>0</v>
      </c>
      <c r="R626" s="2" t="inlineStr"/>
    </row>
    <row r="627" ht="15" customHeight="1">
      <c r="A627" t="inlineStr">
        <is>
          <t>A 13927-2026</t>
        </is>
      </c>
      <c r="B627" s="1" t="n">
        <v>46098</v>
      </c>
      <c r="C627" s="1" t="n">
        <v>46165</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5099-2026</t>
        </is>
      </c>
      <c r="B628" s="1" t="n">
        <v>46049.56158564815</v>
      </c>
      <c r="C628" s="1" t="n">
        <v>46165</v>
      </c>
      <c r="D628" t="inlineStr">
        <is>
          <t>ÖSTERGÖTLANDS LÄN</t>
        </is>
      </c>
      <c r="E628" t="inlineStr">
        <is>
          <t>LINKÖPING</t>
        </is>
      </c>
      <c r="G628" t="n">
        <v>5</v>
      </c>
      <c r="H628" t="n">
        <v>0</v>
      </c>
      <c r="I628" t="n">
        <v>0</v>
      </c>
      <c r="J628" t="n">
        <v>0</v>
      </c>
      <c r="K628" t="n">
        <v>0</v>
      </c>
      <c r="L628" t="n">
        <v>0</v>
      </c>
      <c r="M628" t="n">
        <v>0</v>
      </c>
      <c r="N628" t="n">
        <v>0</v>
      </c>
      <c r="O628" t="n">
        <v>0</v>
      </c>
      <c r="P628" t="n">
        <v>0</v>
      </c>
      <c r="Q628" t="n">
        <v>0</v>
      </c>
      <c r="R628" s="2" t="inlineStr"/>
    </row>
    <row r="629" ht="15" customHeight="1">
      <c r="A629" t="inlineStr">
        <is>
          <t>A 14135-2026</t>
        </is>
      </c>
      <c r="B629" s="1" t="n">
        <v>46099</v>
      </c>
      <c r="C629" s="1" t="n">
        <v>46165</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6726-2024</t>
        </is>
      </c>
      <c r="B630" s="1" t="n">
        <v>45341</v>
      </c>
      <c r="C630" s="1" t="n">
        <v>46165</v>
      </c>
      <c r="D630" t="inlineStr">
        <is>
          <t>ÖSTERGÖTLANDS LÄN</t>
        </is>
      </c>
      <c r="E630" t="inlineStr">
        <is>
          <t>LINKÖPING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13565-2026</t>
        </is>
      </c>
      <c r="B631" s="1" t="n">
        <v>46094.80006944444</v>
      </c>
      <c r="C631" s="1" t="n">
        <v>46165</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3007-2023</t>
        </is>
      </c>
      <c r="B632" s="1" t="n">
        <v>44945</v>
      </c>
      <c r="C632" s="1" t="n">
        <v>46165</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12174-2026</t>
        </is>
      </c>
      <c r="B633" s="1" t="n">
        <v>46086</v>
      </c>
      <c r="C633" s="1" t="n">
        <v>46165</v>
      </c>
      <c r="D633" t="inlineStr">
        <is>
          <t>ÖSTERGÖTLANDS LÄN</t>
        </is>
      </c>
      <c r="E633" t="inlineStr">
        <is>
          <t>LINKÖPING</t>
        </is>
      </c>
      <c r="G633" t="n">
        <v>7.2</v>
      </c>
      <c r="H633" t="n">
        <v>0</v>
      </c>
      <c r="I633" t="n">
        <v>0</v>
      </c>
      <c r="J633" t="n">
        <v>0</v>
      </c>
      <c r="K633" t="n">
        <v>0</v>
      </c>
      <c r="L633" t="n">
        <v>0</v>
      </c>
      <c r="M633" t="n">
        <v>0</v>
      </c>
      <c r="N633" t="n">
        <v>0</v>
      </c>
      <c r="O633" t="n">
        <v>0</v>
      </c>
      <c r="P633" t="n">
        <v>0</v>
      </c>
      <c r="Q633" t="n">
        <v>0</v>
      </c>
      <c r="R633" s="2" t="inlineStr"/>
    </row>
    <row r="634" ht="15" customHeight="1">
      <c r="A634" t="inlineStr">
        <is>
          <t>A 12175-2026</t>
        </is>
      </c>
      <c r="B634" s="1" t="n">
        <v>46086</v>
      </c>
      <c r="C634" s="1" t="n">
        <v>46165</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12181-2026</t>
        </is>
      </c>
      <c r="B635" s="1" t="n">
        <v>46086</v>
      </c>
      <c r="C635" s="1" t="n">
        <v>46165</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46165</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14157-2026</t>
        </is>
      </c>
      <c r="B637" s="1" t="n">
        <v>46099.46829861111</v>
      </c>
      <c r="C637" s="1" t="n">
        <v>46165</v>
      </c>
      <c r="D637" t="inlineStr">
        <is>
          <t>ÖSTERGÖTLANDS LÄN</t>
        </is>
      </c>
      <c r="E637" t="inlineStr">
        <is>
          <t>LINKÖPING</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53411-2023</t>
        </is>
      </c>
      <c r="B638" s="1" t="n">
        <v>45229.81049768518</v>
      </c>
      <c r="C638" s="1" t="n">
        <v>46165</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46165</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24462-2023</t>
        </is>
      </c>
      <c r="B640" s="1" t="n">
        <v>45082</v>
      </c>
      <c r="C640" s="1" t="n">
        <v>46165</v>
      </c>
      <c r="D640" t="inlineStr">
        <is>
          <t>ÖSTERGÖTLANDS LÄN</t>
        </is>
      </c>
      <c r="E640" t="inlineStr">
        <is>
          <t>LINKÖPING</t>
        </is>
      </c>
      <c r="G640" t="n">
        <v>3.5</v>
      </c>
      <c r="H640" t="n">
        <v>0</v>
      </c>
      <c r="I640" t="n">
        <v>0</v>
      </c>
      <c r="J640" t="n">
        <v>0</v>
      </c>
      <c r="K640" t="n">
        <v>0</v>
      </c>
      <c r="L640" t="n">
        <v>0</v>
      </c>
      <c r="M640" t="n">
        <v>0</v>
      </c>
      <c r="N640" t="n">
        <v>0</v>
      </c>
      <c r="O640" t="n">
        <v>0</v>
      </c>
      <c r="P640" t="n">
        <v>0</v>
      </c>
      <c r="Q640" t="n">
        <v>0</v>
      </c>
      <c r="R640" s="2" t="inlineStr"/>
    </row>
    <row r="641" ht="15" customHeight="1">
      <c r="A641" t="inlineStr">
        <is>
          <t>A 62015-2024</t>
        </is>
      </c>
      <c r="B641" s="1" t="n">
        <v>45655.80457175926</v>
      </c>
      <c r="C641" s="1" t="n">
        <v>46165</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10741-2023</t>
        </is>
      </c>
      <c r="B642" s="1" t="n">
        <v>44988.70084490741</v>
      </c>
      <c r="C642" s="1" t="n">
        <v>46165</v>
      </c>
      <c r="D642" t="inlineStr">
        <is>
          <t>ÖSTERGÖTLANDS LÄN</t>
        </is>
      </c>
      <c r="E642" t="inlineStr">
        <is>
          <t>LINKÖPING</t>
        </is>
      </c>
      <c r="F642" t="inlineStr">
        <is>
          <t>Allmännings- och besparingsskogar</t>
        </is>
      </c>
      <c r="G642" t="n">
        <v>11.2</v>
      </c>
      <c r="H642" t="n">
        <v>0</v>
      </c>
      <c r="I642" t="n">
        <v>0</v>
      </c>
      <c r="J642" t="n">
        <v>0</v>
      </c>
      <c r="K642" t="n">
        <v>0</v>
      </c>
      <c r="L642" t="n">
        <v>0</v>
      </c>
      <c r="M642" t="n">
        <v>0</v>
      </c>
      <c r="N642" t="n">
        <v>0</v>
      </c>
      <c r="O642" t="n">
        <v>0</v>
      </c>
      <c r="P642" t="n">
        <v>0</v>
      </c>
      <c r="Q642" t="n">
        <v>0</v>
      </c>
      <c r="R642" s="2" t="inlineStr"/>
    </row>
    <row r="643" ht="15" customHeight="1">
      <c r="A643" t="inlineStr">
        <is>
          <t>A 43473-2024</t>
        </is>
      </c>
      <c r="B643" s="1" t="n">
        <v>45568</v>
      </c>
      <c r="C643" s="1" t="n">
        <v>46165</v>
      </c>
      <c r="D643" t="inlineStr">
        <is>
          <t>ÖSTERGÖTLANDS LÄN</t>
        </is>
      </c>
      <c r="E643" t="inlineStr">
        <is>
          <t>LINKÖPING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43475-2024</t>
        </is>
      </c>
      <c r="B644" s="1" t="n">
        <v>45568</v>
      </c>
      <c r="C644" s="1" t="n">
        <v>46165</v>
      </c>
      <c r="D644" t="inlineStr">
        <is>
          <t>ÖSTERGÖTLANDS LÄN</t>
        </is>
      </c>
      <c r="E644" t="inlineStr">
        <is>
          <t>LINKÖPING</t>
        </is>
      </c>
      <c r="G644" t="n">
        <v>3.2</v>
      </c>
      <c r="H644" t="n">
        <v>0</v>
      </c>
      <c r="I644" t="n">
        <v>0</v>
      </c>
      <c r="J644" t="n">
        <v>0</v>
      </c>
      <c r="K644" t="n">
        <v>0</v>
      </c>
      <c r="L644" t="n">
        <v>0</v>
      </c>
      <c r="M644" t="n">
        <v>0</v>
      </c>
      <c r="N644" t="n">
        <v>0</v>
      </c>
      <c r="O644" t="n">
        <v>0</v>
      </c>
      <c r="P644" t="n">
        <v>0</v>
      </c>
      <c r="Q644" t="n">
        <v>0</v>
      </c>
      <c r="R644" s="2" t="inlineStr"/>
    </row>
    <row r="645" ht="15" customHeight="1">
      <c r="A645" t="inlineStr">
        <is>
          <t>A 1207-2023</t>
        </is>
      </c>
      <c r="B645" s="1" t="n">
        <v>44930</v>
      </c>
      <c r="C645" s="1" t="n">
        <v>46165</v>
      </c>
      <c r="D645" t="inlineStr">
        <is>
          <t>ÖSTERGÖTLANDS LÄN</t>
        </is>
      </c>
      <c r="E645" t="inlineStr">
        <is>
          <t>LINKÖPING</t>
        </is>
      </c>
      <c r="F645" t="inlineStr">
        <is>
          <t>Övriga statliga verk och myndigheter</t>
        </is>
      </c>
      <c r="G645" t="n">
        <v>32.8</v>
      </c>
      <c r="H645" t="n">
        <v>0</v>
      </c>
      <c r="I645" t="n">
        <v>0</v>
      </c>
      <c r="J645" t="n">
        <v>0</v>
      </c>
      <c r="K645" t="n">
        <v>0</v>
      </c>
      <c r="L645" t="n">
        <v>0</v>
      </c>
      <c r="M645" t="n">
        <v>0</v>
      </c>
      <c r="N645" t="n">
        <v>0</v>
      </c>
      <c r="O645" t="n">
        <v>0</v>
      </c>
      <c r="P645" t="n">
        <v>0</v>
      </c>
      <c r="Q645" t="n">
        <v>0</v>
      </c>
      <c r="R645" s="2" t="inlineStr"/>
    </row>
    <row r="646" ht="15" customHeight="1">
      <c r="A646" t="inlineStr">
        <is>
          <t>A 29859-2024</t>
        </is>
      </c>
      <c r="B646" s="1" t="n">
        <v>45485.6846412037</v>
      </c>
      <c r="C646" s="1" t="n">
        <v>46165</v>
      </c>
      <c r="D646" t="inlineStr">
        <is>
          <t>ÖSTERGÖTLANDS LÄN</t>
        </is>
      </c>
      <c r="E646" t="inlineStr">
        <is>
          <t>LINKÖPING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45819-2024</t>
        </is>
      </c>
      <c r="B647" s="1" t="n">
        <v>45579.7454050926</v>
      </c>
      <c r="C647" s="1" t="n">
        <v>46165</v>
      </c>
      <c r="D647" t="inlineStr">
        <is>
          <t>ÖSTERGÖTLANDS LÄN</t>
        </is>
      </c>
      <c r="E647" t="inlineStr">
        <is>
          <t>LINKÖPING</t>
        </is>
      </c>
      <c r="G647" t="n">
        <v>5</v>
      </c>
      <c r="H647" t="n">
        <v>0</v>
      </c>
      <c r="I647" t="n">
        <v>0</v>
      </c>
      <c r="J647" t="n">
        <v>0</v>
      </c>
      <c r="K647" t="n">
        <v>0</v>
      </c>
      <c r="L647" t="n">
        <v>0</v>
      </c>
      <c r="M647" t="n">
        <v>0</v>
      </c>
      <c r="N647" t="n">
        <v>0</v>
      </c>
      <c r="O647" t="n">
        <v>0</v>
      </c>
      <c r="P647" t="n">
        <v>0</v>
      </c>
      <c r="Q647" t="n">
        <v>0</v>
      </c>
      <c r="R647" s="2" t="inlineStr"/>
    </row>
    <row r="648" ht="15" customHeight="1">
      <c r="A648" t="inlineStr">
        <is>
          <t>A 15748-2025</t>
        </is>
      </c>
      <c r="B648" s="1" t="n">
        <v>45748.55282407408</v>
      </c>
      <c r="C648" s="1" t="n">
        <v>46165</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15754-2025</t>
        </is>
      </c>
      <c r="B649" s="1" t="n">
        <v>45748.56105324074</v>
      </c>
      <c r="C649" s="1" t="n">
        <v>46165</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30518-2024</t>
        </is>
      </c>
      <c r="B650" s="1" t="n">
        <v>45492</v>
      </c>
      <c r="C650" s="1" t="n">
        <v>46165</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53797-2023</t>
        </is>
      </c>
      <c r="B651" s="1" t="n">
        <v>45230</v>
      </c>
      <c r="C651" s="1" t="n">
        <v>46165</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55345-2021</t>
        </is>
      </c>
      <c r="B652" s="1" t="n">
        <v>44475</v>
      </c>
      <c r="C652" s="1" t="n">
        <v>46165</v>
      </c>
      <c r="D652" t="inlineStr">
        <is>
          <t>ÖSTERGÖTLANDS LÄN</t>
        </is>
      </c>
      <c r="E652" t="inlineStr">
        <is>
          <t>LINKÖPING</t>
        </is>
      </c>
      <c r="G652" t="n">
        <v>5.7</v>
      </c>
      <c r="H652" t="n">
        <v>0</v>
      </c>
      <c r="I652" t="n">
        <v>0</v>
      </c>
      <c r="J652" t="n">
        <v>0</v>
      </c>
      <c r="K652" t="n">
        <v>0</v>
      </c>
      <c r="L652" t="n">
        <v>0</v>
      </c>
      <c r="M652" t="n">
        <v>0</v>
      </c>
      <c r="N652" t="n">
        <v>0</v>
      </c>
      <c r="O652" t="n">
        <v>0</v>
      </c>
      <c r="P652" t="n">
        <v>0</v>
      </c>
      <c r="Q652" t="n">
        <v>0</v>
      </c>
      <c r="R652" s="2" t="inlineStr"/>
    </row>
    <row r="653" ht="15" customHeight="1">
      <c r="A653" t="inlineStr">
        <is>
          <t>A 10198-2023</t>
        </is>
      </c>
      <c r="B653" s="1" t="n">
        <v>44986.54665509259</v>
      </c>
      <c r="C653" s="1" t="n">
        <v>46165</v>
      </c>
      <c r="D653" t="inlineStr">
        <is>
          <t>ÖSTERGÖTLANDS LÄN</t>
        </is>
      </c>
      <c r="E653" t="inlineStr">
        <is>
          <t>LINKÖPING</t>
        </is>
      </c>
      <c r="G653" t="n">
        <v>4.6</v>
      </c>
      <c r="H653" t="n">
        <v>0</v>
      </c>
      <c r="I653" t="n">
        <v>0</v>
      </c>
      <c r="J653" t="n">
        <v>0</v>
      </c>
      <c r="K653" t="n">
        <v>0</v>
      </c>
      <c r="L653" t="n">
        <v>0</v>
      </c>
      <c r="M653" t="n">
        <v>0</v>
      </c>
      <c r="N653" t="n">
        <v>0</v>
      </c>
      <c r="O653" t="n">
        <v>0</v>
      </c>
      <c r="P653" t="n">
        <v>0</v>
      </c>
      <c r="Q653" t="n">
        <v>0</v>
      </c>
      <c r="R653" s="2" t="inlineStr"/>
    </row>
    <row r="654" ht="15" customHeight="1">
      <c r="A654" t="inlineStr">
        <is>
          <t>A 4298-2023</t>
        </is>
      </c>
      <c r="B654" s="1" t="n">
        <v>44953</v>
      </c>
      <c r="C654" s="1" t="n">
        <v>46165</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12428-2024</t>
        </is>
      </c>
      <c r="B655" s="1" t="n">
        <v>45379</v>
      </c>
      <c r="C655" s="1" t="n">
        <v>46165</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26618-2023</t>
        </is>
      </c>
      <c r="B656" s="1" t="n">
        <v>45092.70306712963</v>
      </c>
      <c r="C656" s="1" t="n">
        <v>46165</v>
      </c>
      <c r="D656" t="inlineStr">
        <is>
          <t>ÖSTERGÖTLANDS LÄN</t>
        </is>
      </c>
      <c r="E656" t="inlineStr">
        <is>
          <t>LINKÖPING</t>
        </is>
      </c>
      <c r="G656" t="n">
        <v>6.9</v>
      </c>
      <c r="H656" t="n">
        <v>0</v>
      </c>
      <c r="I656" t="n">
        <v>0</v>
      </c>
      <c r="J656" t="n">
        <v>0</v>
      </c>
      <c r="K656" t="n">
        <v>0</v>
      </c>
      <c r="L656" t="n">
        <v>0</v>
      </c>
      <c r="M656" t="n">
        <v>0</v>
      </c>
      <c r="N656" t="n">
        <v>0</v>
      </c>
      <c r="O656" t="n">
        <v>0</v>
      </c>
      <c r="P656" t="n">
        <v>0</v>
      </c>
      <c r="Q656" t="n">
        <v>0</v>
      </c>
      <c r="R656" s="2" t="inlineStr"/>
    </row>
    <row r="657" ht="15" customHeight="1">
      <c r="A657" t="inlineStr">
        <is>
          <t>A 21246-2026</t>
        </is>
      </c>
      <c r="B657" s="1" t="n">
        <v>46147.36642361111</v>
      </c>
      <c r="C657" s="1" t="n">
        <v>46165</v>
      </c>
      <c r="D657" t="inlineStr">
        <is>
          <t>ÖSTERGÖTLANDS LÄN</t>
        </is>
      </c>
      <c r="E657" t="inlineStr">
        <is>
          <t>LINKÖPING</t>
        </is>
      </c>
      <c r="F657" t="inlineStr">
        <is>
          <t>Sveaskog</t>
        </is>
      </c>
      <c r="G657" t="n">
        <v>6.5</v>
      </c>
      <c r="H657" t="n">
        <v>0</v>
      </c>
      <c r="I657" t="n">
        <v>0</v>
      </c>
      <c r="J657" t="n">
        <v>0</v>
      </c>
      <c r="K657" t="n">
        <v>0</v>
      </c>
      <c r="L657" t="n">
        <v>0</v>
      </c>
      <c r="M657" t="n">
        <v>0</v>
      </c>
      <c r="N657" t="n">
        <v>0</v>
      </c>
      <c r="O657" t="n">
        <v>0</v>
      </c>
      <c r="P657" t="n">
        <v>0</v>
      </c>
      <c r="Q657" t="n">
        <v>0</v>
      </c>
      <c r="R657" s="2" t="inlineStr"/>
    </row>
    <row r="658" ht="15" customHeight="1">
      <c r="A658" t="inlineStr">
        <is>
          <t>A 21248-2026</t>
        </is>
      </c>
      <c r="B658" s="1" t="n">
        <v>46147.36969907407</v>
      </c>
      <c r="C658" s="1" t="n">
        <v>46165</v>
      </c>
      <c r="D658" t="inlineStr">
        <is>
          <t>ÖSTERGÖTLANDS LÄN</t>
        </is>
      </c>
      <c r="E658" t="inlineStr">
        <is>
          <t>LINKÖPING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34930-2023</t>
        </is>
      </c>
      <c r="B659" s="1" t="n">
        <v>45142</v>
      </c>
      <c r="C659" s="1" t="n">
        <v>46165</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670-2024</t>
        </is>
      </c>
      <c r="B660" s="1" t="n">
        <v>45300.3408912037</v>
      </c>
      <c r="C660" s="1" t="n">
        <v>46165</v>
      </c>
      <c r="D660" t="inlineStr">
        <is>
          <t>ÖSTERGÖTLANDS LÄN</t>
        </is>
      </c>
      <c r="E660" t="inlineStr">
        <is>
          <t>LINKÖPING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63845-2021</t>
        </is>
      </c>
      <c r="B661" s="1" t="n">
        <v>44509</v>
      </c>
      <c r="C661" s="1" t="n">
        <v>46165</v>
      </c>
      <c r="D661" t="inlineStr">
        <is>
          <t>ÖSTERGÖTLANDS LÄN</t>
        </is>
      </c>
      <c r="E661" t="inlineStr">
        <is>
          <t>LINKÖPING</t>
        </is>
      </c>
      <c r="G661" t="n">
        <v>5</v>
      </c>
      <c r="H661" t="n">
        <v>0</v>
      </c>
      <c r="I661" t="n">
        <v>0</v>
      </c>
      <c r="J661" t="n">
        <v>0</v>
      </c>
      <c r="K661" t="n">
        <v>0</v>
      </c>
      <c r="L661" t="n">
        <v>0</v>
      </c>
      <c r="M661" t="n">
        <v>0</v>
      </c>
      <c r="N661" t="n">
        <v>0</v>
      </c>
      <c r="O661" t="n">
        <v>0</v>
      </c>
      <c r="P661" t="n">
        <v>0</v>
      </c>
      <c r="Q661" t="n">
        <v>0</v>
      </c>
      <c r="R661" s="2" t="inlineStr"/>
    </row>
    <row r="662" ht="15" customHeight="1">
      <c r="A662" t="inlineStr">
        <is>
          <t>A 54034-2022</t>
        </is>
      </c>
      <c r="B662" s="1" t="n">
        <v>44881</v>
      </c>
      <c r="C662" s="1" t="n">
        <v>46165</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36336-2023</t>
        </is>
      </c>
      <c r="B663" s="1" t="n">
        <v>45152.45078703704</v>
      </c>
      <c r="C663" s="1" t="n">
        <v>46165</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48829-2023</t>
        </is>
      </c>
      <c r="B664" s="1" t="n">
        <v>45209.38177083333</v>
      </c>
      <c r="C664" s="1" t="n">
        <v>46165</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21374-2026</t>
        </is>
      </c>
      <c r="B665" s="1" t="n">
        <v>46145</v>
      </c>
      <c r="C665" s="1" t="n">
        <v>46165</v>
      </c>
      <c r="D665" t="inlineStr">
        <is>
          <t>ÖSTERGÖTLANDS LÄN</t>
        </is>
      </c>
      <c r="E665" t="inlineStr">
        <is>
          <t>LINKÖPING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48186-2022</t>
        </is>
      </c>
      <c r="B666" s="1" t="n">
        <v>44858</v>
      </c>
      <c r="C666" s="1" t="n">
        <v>46165</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63669-2023</t>
        </is>
      </c>
      <c r="B667" s="1" t="n">
        <v>45275</v>
      </c>
      <c r="C667" s="1" t="n">
        <v>46165</v>
      </c>
      <c r="D667" t="inlineStr">
        <is>
          <t>ÖSTERGÖTLANDS LÄN</t>
        </is>
      </c>
      <c r="E667" t="inlineStr">
        <is>
          <t>LINKÖPING</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46165</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24586-2024</t>
        </is>
      </c>
      <c r="B669" s="1" t="n">
        <v>45460.46664351852</v>
      </c>
      <c r="C669" s="1" t="n">
        <v>46165</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59576-2024</t>
        </is>
      </c>
      <c r="B670" s="1" t="n">
        <v>45638.66378472222</v>
      </c>
      <c r="C670" s="1" t="n">
        <v>46165</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59642-2024</t>
        </is>
      </c>
      <c r="B671" s="1" t="n">
        <v>45639.31511574074</v>
      </c>
      <c r="C671" s="1" t="n">
        <v>46165</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59674-2024</t>
        </is>
      </c>
      <c r="B672" s="1" t="n">
        <v>45639</v>
      </c>
      <c r="C672" s="1" t="n">
        <v>46165</v>
      </c>
      <c r="D672" t="inlineStr">
        <is>
          <t>ÖSTERGÖTLANDS LÄN</t>
        </is>
      </c>
      <c r="E672" t="inlineStr">
        <is>
          <t>LINKÖPING</t>
        </is>
      </c>
      <c r="G672" t="n">
        <v>6.3</v>
      </c>
      <c r="H672" t="n">
        <v>0</v>
      </c>
      <c r="I672" t="n">
        <v>0</v>
      </c>
      <c r="J672" t="n">
        <v>0</v>
      </c>
      <c r="K672" t="n">
        <v>0</v>
      </c>
      <c r="L672" t="n">
        <v>0</v>
      </c>
      <c r="M672" t="n">
        <v>0</v>
      </c>
      <c r="N672" t="n">
        <v>0</v>
      </c>
      <c r="O672" t="n">
        <v>0</v>
      </c>
      <c r="P672" t="n">
        <v>0</v>
      </c>
      <c r="Q672" t="n">
        <v>0</v>
      </c>
      <c r="R672" s="2" t="inlineStr"/>
    </row>
    <row r="673" ht="15" customHeight="1">
      <c r="A673" t="inlineStr">
        <is>
          <t>A 18916-2024</t>
        </is>
      </c>
      <c r="B673" s="1" t="n">
        <v>45427.39541666667</v>
      </c>
      <c r="C673" s="1" t="n">
        <v>46165</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11084-2022</t>
        </is>
      </c>
      <c r="B674" s="1" t="n">
        <v>44628</v>
      </c>
      <c r="C674" s="1" t="n">
        <v>46165</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10203-2023</t>
        </is>
      </c>
      <c r="B675" s="1" t="n">
        <v>44986.55711805556</v>
      </c>
      <c r="C675" s="1" t="n">
        <v>46165</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2618-2023</t>
        </is>
      </c>
      <c r="B676" s="1" t="n">
        <v>44944.35847222222</v>
      </c>
      <c r="C676" s="1" t="n">
        <v>46165</v>
      </c>
      <c r="D676" t="inlineStr">
        <is>
          <t>ÖSTERGÖTLANDS LÄN</t>
        </is>
      </c>
      <c r="E676" t="inlineStr">
        <is>
          <t>LINKÖPING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62020-2024</t>
        </is>
      </c>
      <c r="B677" s="1" t="n">
        <v>45655.83563657408</v>
      </c>
      <c r="C677" s="1" t="n">
        <v>46165</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62021-2024</t>
        </is>
      </c>
      <c r="B678" s="1" t="n">
        <v>45655.84232638889</v>
      </c>
      <c r="C678" s="1" t="n">
        <v>46165</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46165</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46165</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3627-2023</t>
        </is>
      </c>
      <c r="B681" s="1" t="n">
        <v>44950.64782407408</v>
      </c>
      <c r="C681" s="1" t="n">
        <v>46165</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46165</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11601-2023</t>
        </is>
      </c>
      <c r="B683" s="1" t="n">
        <v>44994</v>
      </c>
      <c r="C683" s="1" t="n">
        <v>46165</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40338-2024</t>
        </is>
      </c>
      <c r="B684" s="1" t="n">
        <v>45555.32940972222</v>
      </c>
      <c r="C684" s="1" t="n">
        <v>46165</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167-2024</t>
        </is>
      </c>
      <c r="B685" s="1" t="n">
        <v>45294</v>
      </c>
      <c r="C685" s="1" t="n">
        <v>46165</v>
      </c>
      <c r="D685" t="inlineStr">
        <is>
          <t>ÖSTERGÖTLANDS LÄN</t>
        </is>
      </c>
      <c r="E685" t="inlineStr">
        <is>
          <t>LINKÖPING</t>
        </is>
      </c>
      <c r="F685" t="inlineStr">
        <is>
          <t>Allmännings- och besparingsskogar</t>
        </is>
      </c>
      <c r="G685" t="n">
        <v>11.6</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46165</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7343-2025</t>
        </is>
      </c>
      <c r="B687" s="1" t="n">
        <v>45703.67853009259</v>
      </c>
      <c r="C687" s="1" t="n">
        <v>46165</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48271-2023</t>
        </is>
      </c>
      <c r="B688" s="1" t="n">
        <v>45205</v>
      </c>
      <c r="C688" s="1" t="n">
        <v>46165</v>
      </c>
      <c r="D688" t="inlineStr">
        <is>
          <t>ÖSTERGÖTLANDS LÄN</t>
        </is>
      </c>
      <c r="E688" t="inlineStr">
        <is>
          <t>LINKÖPING</t>
        </is>
      </c>
      <c r="G688" t="n">
        <v>3</v>
      </c>
      <c r="H688" t="n">
        <v>0</v>
      </c>
      <c r="I688" t="n">
        <v>0</v>
      </c>
      <c r="J688" t="n">
        <v>0</v>
      </c>
      <c r="K688" t="n">
        <v>0</v>
      </c>
      <c r="L688" t="n">
        <v>0</v>
      </c>
      <c r="M688" t="n">
        <v>0</v>
      </c>
      <c r="N688" t="n">
        <v>0</v>
      </c>
      <c r="O688" t="n">
        <v>0</v>
      </c>
      <c r="P688" t="n">
        <v>0</v>
      </c>
      <c r="Q688" t="n">
        <v>0</v>
      </c>
      <c r="R688" s="2" t="inlineStr"/>
    </row>
    <row r="689" ht="15" customHeight="1">
      <c r="A689" t="inlineStr">
        <is>
          <t>A 12720-2022</t>
        </is>
      </c>
      <c r="B689" s="1" t="n">
        <v>44641</v>
      </c>
      <c r="C689" s="1" t="n">
        <v>46165</v>
      </c>
      <c r="D689" t="inlineStr">
        <is>
          <t>ÖSTERGÖTLANDS LÄN</t>
        </is>
      </c>
      <c r="E689" t="inlineStr">
        <is>
          <t>LINKÖPING</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46165</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30551-2023</t>
        </is>
      </c>
      <c r="B691" s="1" t="n">
        <v>45111</v>
      </c>
      <c r="C691" s="1" t="n">
        <v>46165</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30860-2022</t>
        </is>
      </c>
      <c r="B692" s="1" t="n">
        <v>44767</v>
      </c>
      <c r="C692" s="1" t="n">
        <v>46165</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60004-2022</t>
        </is>
      </c>
      <c r="B693" s="1" t="n">
        <v>44909.47206018519</v>
      </c>
      <c r="C693" s="1" t="n">
        <v>46165</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60010-2022</t>
        </is>
      </c>
      <c r="B694" s="1" t="n">
        <v>44909.4740625</v>
      </c>
      <c r="C694" s="1" t="n">
        <v>46165</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53827-2023</t>
        </is>
      </c>
      <c r="B695" s="1" t="n">
        <v>45230</v>
      </c>
      <c r="C695" s="1" t="n">
        <v>46165</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4256-2022</t>
        </is>
      </c>
      <c r="B696" s="1" t="n">
        <v>44588</v>
      </c>
      <c r="C696" s="1" t="n">
        <v>46165</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46165</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223-2024</t>
        </is>
      </c>
      <c r="B698" s="1" t="n">
        <v>45294.72739583333</v>
      </c>
      <c r="C698" s="1" t="n">
        <v>46165</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19464-2024</t>
        </is>
      </c>
      <c r="B699" s="1" t="n">
        <v>45429</v>
      </c>
      <c r="C699" s="1" t="n">
        <v>46165</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46165</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46165</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63528-2023</t>
        </is>
      </c>
      <c r="B702" s="1" t="n">
        <v>45274.94810185185</v>
      </c>
      <c r="C702" s="1" t="n">
        <v>46165</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61936-2023</t>
        </is>
      </c>
      <c r="B703" s="1" t="n">
        <v>45266.54534722222</v>
      </c>
      <c r="C703" s="1" t="n">
        <v>46165</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62492-2023</t>
        </is>
      </c>
      <c r="B704" s="1" t="n">
        <v>45268.58987268519</v>
      </c>
      <c r="C704" s="1" t="n">
        <v>46165</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674-2024</t>
        </is>
      </c>
      <c r="B705" s="1" t="n">
        <v>45300.34408564815</v>
      </c>
      <c r="C705" s="1" t="n">
        <v>46165</v>
      </c>
      <c r="D705" t="inlineStr">
        <is>
          <t>ÖSTERGÖTLANDS LÄN</t>
        </is>
      </c>
      <c r="E705" t="inlineStr">
        <is>
          <t>LINKÖPING</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6782-2024</t>
        </is>
      </c>
      <c r="B706" s="1" t="n">
        <v>45342</v>
      </c>
      <c r="C706" s="1" t="n">
        <v>46165</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10094-2024</t>
        </is>
      </c>
      <c r="B707" s="1" t="n">
        <v>45364</v>
      </c>
      <c r="C707" s="1" t="n">
        <v>46165</v>
      </c>
      <c r="D707" t="inlineStr">
        <is>
          <t>ÖSTERGÖTLANDS LÄN</t>
        </is>
      </c>
      <c r="E707" t="inlineStr">
        <is>
          <t>LINKÖPING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63684-2023</t>
        </is>
      </c>
      <c r="B708" s="1" t="n">
        <v>45275</v>
      </c>
      <c r="C708" s="1" t="n">
        <v>46165</v>
      </c>
      <c r="D708" t="inlineStr">
        <is>
          <t>ÖSTERGÖTLANDS LÄN</t>
        </is>
      </c>
      <c r="E708" t="inlineStr">
        <is>
          <t>LINKÖPING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63688-2023</t>
        </is>
      </c>
      <c r="B709" s="1" t="n">
        <v>45275</v>
      </c>
      <c r="C709" s="1" t="n">
        <v>46165</v>
      </c>
      <c r="D709" t="inlineStr">
        <is>
          <t>ÖSTERGÖTLANDS LÄN</t>
        </is>
      </c>
      <c r="E709" t="inlineStr">
        <is>
          <t>LINKÖPING</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63691-2023</t>
        </is>
      </c>
      <c r="B710" s="1" t="n">
        <v>45275</v>
      </c>
      <c r="C710" s="1" t="n">
        <v>46165</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36657-2023</t>
        </is>
      </c>
      <c r="B711" s="1" t="n">
        <v>45153.5702662037</v>
      </c>
      <c r="C711" s="1" t="n">
        <v>46165</v>
      </c>
      <c r="D711" t="inlineStr">
        <is>
          <t>ÖSTERGÖTLANDS LÄN</t>
        </is>
      </c>
      <c r="E711" t="inlineStr">
        <is>
          <t>LINKÖPING</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14667-2024</t>
        </is>
      </c>
      <c r="B712" s="1" t="n">
        <v>45397.42005787037</v>
      </c>
      <c r="C712" s="1" t="n">
        <v>46165</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15714-2024</t>
        </is>
      </c>
      <c r="B713" s="1" t="n">
        <v>45404.48288194444</v>
      </c>
      <c r="C713" s="1" t="n">
        <v>46165</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37715-2022</t>
        </is>
      </c>
      <c r="B714" s="1" t="n">
        <v>44810</v>
      </c>
      <c r="C714" s="1" t="n">
        <v>46165</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30429-2024</t>
        </is>
      </c>
      <c r="B715" s="1" t="n">
        <v>45491.68972222223</v>
      </c>
      <c r="C715" s="1" t="n">
        <v>46165</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30435-2024</t>
        </is>
      </c>
      <c r="B716" s="1" t="n">
        <v>45491.69962962963</v>
      </c>
      <c r="C716" s="1" t="n">
        <v>46165</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38231-2022</t>
        </is>
      </c>
      <c r="B717" s="1" t="n">
        <v>44812</v>
      </c>
      <c r="C717" s="1" t="n">
        <v>46165</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34557-2022</t>
        </is>
      </c>
      <c r="B718" s="1" t="n">
        <v>44794.57074074074</v>
      </c>
      <c r="C718" s="1" t="n">
        <v>46165</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13011-2022</t>
        </is>
      </c>
      <c r="B719" s="1" t="n">
        <v>44643</v>
      </c>
      <c r="C719" s="1" t="n">
        <v>46165</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617-2024</t>
        </is>
      </c>
      <c r="B720" s="1" t="n">
        <v>45299.66028935185</v>
      </c>
      <c r="C720" s="1" t="n">
        <v>46165</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19362-2023</t>
        </is>
      </c>
      <c r="B721" s="1" t="n">
        <v>45049</v>
      </c>
      <c r="C721" s="1" t="n">
        <v>46165</v>
      </c>
      <c r="D721" t="inlineStr">
        <is>
          <t>ÖSTERGÖTLANDS LÄN</t>
        </is>
      </c>
      <c r="E721" t="inlineStr">
        <is>
          <t>LINKÖPING</t>
        </is>
      </c>
      <c r="G721" t="n">
        <v>0.1</v>
      </c>
      <c r="H721" t="n">
        <v>0</v>
      </c>
      <c r="I721" t="n">
        <v>0</v>
      </c>
      <c r="J721" t="n">
        <v>0</v>
      </c>
      <c r="K721" t="n">
        <v>0</v>
      </c>
      <c r="L721" t="n">
        <v>0</v>
      </c>
      <c r="M721" t="n">
        <v>0</v>
      </c>
      <c r="N721" t="n">
        <v>0</v>
      </c>
      <c r="O721" t="n">
        <v>0</v>
      </c>
      <c r="P721" t="n">
        <v>0</v>
      </c>
      <c r="Q721" t="n">
        <v>0</v>
      </c>
      <c r="R721" s="2" t="inlineStr"/>
    </row>
    <row r="722" ht="15" customHeight="1">
      <c r="A722" t="inlineStr">
        <is>
          <t>A 19132-2023</t>
        </is>
      </c>
      <c r="B722" s="1" t="n">
        <v>45048.54754629629</v>
      </c>
      <c r="C722" s="1" t="n">
        <v>46165</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31635-2023</t>
        </is>
      </c>
      <c r="B723" s="1" t="n">
        <v>45105</v>
      </c>
      <c r="C723" s="1" t="n">
        <v>46165</v>
      </c>
      <c r="D723" t="inlineStr">
        <is>
          <t>ÖSTERGÖTLANDS LÄN</t>
        </is>
      </c>
      <c r="E723" t="inlineStr">
        <is>
          <t>LINKÖPING</t>
        </is>
      </c>
      <c r="F723" t="inlineStr">
        <is>
          <t>Övriga statliga verk och myndigheter</t>
        </is>
      </c>
      <c r="G723" t="n">
        <v>4.6</v>
      </c>
      <c r="H723" t="n">
        <v>0</v>
      </c>
      <c r="I723" t="n">
        <v>0</v>
      </c>
      <c r="J723" t="n">
        <v>0</v>
      </c>
      <c r="K723" t="n">
        <v>0</v>
      </c>
      <c r="L723" t="n">
        <v>0</v>
      </c>
      <c r="M723" t="n">
        <v>0</v>
      </c>
      <c r="N723" t="n">
        <v>0</v>
      </c>
      <c r="O723" t="n">
        <v>0</v>
      </c>
      <c r="P723" t="n">
        <v>0</v>
      </c>
      <c r="Q723" t="n">
        <v>0</v>
      </c>
      <c r="R723" s="2" t="inlineStr"/>
    </row>
    <row r="724" ht="15" customHeight="1">
      <c r="A724" t="inlineStr">
        <is>
          <t>A 20296-2025</t>
        </is>
      </c>
      <c r="B724" s="1" t="n">
        <v>45774.74922453704</v>
      </c>
      <c r="C724" s="1" t="n">
        <v>46165</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22770-2024</t>
        </is>
      </c>
      <c r="B725" s="1" t="n">
        <v>45448.4634375</v>
      </c>
      <c r="C725" s="1" t="n">
        <v>46165</v>
      </c>
      <c r="D725" t="inlineStr">
        <is>
          <t>ÖSTERGÖTLANDS LÄN</t>
        </is>
      </c>
      <c r="E725" t="inlineStr">
        <is>
          <t>LINKÖPING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11595-2025</t>
        </is>
      </c>
      <c r="B726" s="1" t="n">
        <v>45727.41893518518</v>
      </c>
      <c r="C726" s="1" t="n">
        <v>46165</v>
      </c>
      <c r="D726" t="inlineStr">
        <is>
          <t>ÖSTERGÖTLANDS LÄN</t>
        </is>
      </c>
      <c r="E726" t="inlineStr">
        <is>
          <t>LINKÖPING</t>
        </is>
      </c>
      <c r="G726" t="n">
        <v>6.6</v>
      </c>
      <c r="H726" t="n">
        <v>0</v>
      </c>
      <c r="I726" t="n">
        <v>0</v>
      </c>
      <c r="J726" t="n">
        <v>0</v>
      </c>
      <c r="K726" t="n">
        <v>0</v>
      </c>
      <c r="L726" t="n">
        <v>0</v>
      </c>
      <c r="M726" t="n">
        <v>0</v>
      </c>
      <c r="N726" t="n">
        <v>0</v>
      </c>
      <c r="O726" t="n">
        <v>0</v>
      </c>
      <c r="P726" t="n">
        <v>0</v>
      </c>
      <c r="Q726" t="n">
        <v>0</v>
      </c>
      <c r="R726" s="2" t="inlineStr"/>
    </row>
    <row r="727" ht="15" customHeight="1">
      <c r="A727" t="inlineStr">
        <is>
          <t>A 48839-2022</t>
        </is>
      </c>
      <c r="B727" s="1" t="n">
        <v>44859</v>
      </c>
      <c r="C727" s="1" t="n">
        <v>46165</v>
      </c>
      <c r="D727" t="inlineStr">
        <is>
          <t>ÖSTERGÖTLANDS LÄN</t>
        </is>
      </c>
      <c r="E727" t="inlineStr">
        <is>
          <t>LINKÖPING</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8967-2025</t>
        </is>
      </c>
      <c r="B728" s="1" t="n">
        <v>45712</v>
      </c>
      <c r="C728" s="1" t="n">
        <v>46165</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63678-2023</t>
        </is>
      </c>
      <c r="B729" s="1" t="n">
        <v>45275.64769675926</v>
      </c>
      <c r="C729" s="1" t="n">
        <v>46165</v>
      </c>
      <c r="D729" t="inlineStr">
        <is>
          <t>ÖSTERGÖTLANDS LÄN</t>
        </is>
      </c>
      <c r="E729" t="inlineStr">
        <is>
          <t>LINKÖPING</t>
        </is>
      </c>
      <c r="F729" t="inlineStr">
        <is>
          <t>Övriga Aktiebolag</t>
        </is>
      </c>
      <c r="G729" t="n">
        <v>0.4</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46165</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46165</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21155-2025</t>
        </is>
      </c>
      <c r="B732" s="1" t="n">
        <v>45779.37586805555</v>
      </c>
      <c r="C732" s="1" t="n">
        <v>46165</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22264-2025</t>
        </is>
      </c>
      <c r="B733" s="1" t="n">
        <v>45785</v>
      </c>
      <c r="C733" s="1" t="n">
        <v>46165</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46165</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6859-2024</t>
        </is>
      </c>
      <c r="B735" s="1" t="n">
        <v>45342</v>
      </c>
      <c r="C735" s="1" t="n">
        <v>46165</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44287-2024</t>
        </is>
      </c>
      <c r="B736" s="1" t="n">
        <v>45573.50582175926</v>
      </c>
      <c r="C736" s="1" t="n">
        <v>46165</v>
      </c>
      <c r="D736" t="inlineStr">
        <is>
          <t>ÖSTERGÖTLANDS LÄN</t>
        </is>
      </c>
      <c r="E736" t="inlineStr">
        <is>
          <t>LINKÖPING</t>
        </is>
      </c>
      <c r="G736" t="n">
        <v>12.7</v>
      </c>
      <c r="H736" t="n">
        <v>0</v>
      </c>
      <c r="I736" t="n">
        <v>0</v>
      </c>
      <c r="J736" t="n">
        <v>0</v>
      </c>
      <c r="K736" t="n">
        <v>0</v>
      </c>
      <c r="L736" t="n">
        <v>0</v>
      </c>
      <c r="M736" t="n">
        <v>0</v>
      </c>
      <c r="N736" t="n">
        <v>0</v>
      </c>
      <c r="O736" t="n">
        <v>0</v>
      </c>
      <c r="P736" t="n">
        <v>0</v>
      </c>
      <c r="Q736" t="n">
        <v>0</v>
      </c>
      <c r="R736" s="2" t="inlineStr"/>
    </row>
    <row r="737" ht="15" customHeight="1">
      <c r="A737" t="inlineStr">
        <is>
          <t>A 22364-2025</t>
        </is>
      </c>
      <c r="B737" s="1" t="n">
        <v>45786.46930555555</v>
      </c>
      <c r="C737" s="1" t="n">
        <v>46165</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46165</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10797-2024</t>
        </is>
      </c>
      <c r="B739" s="1" t="n">
        <v>45369.6190162037</v>
      </c>
      <c r="C739" s="1" t="n">
        <v>46165</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38580-2024</t>
        </is>
      </c>
      <c r="B740" s="1" t="n">
        <v>45546.64825231482</v>
      </c>
      <c r="C740" s="1" t="n">
        <v>46165</v>
      </c>
      <c r="D740" t="inlineStr">
        <is>
          <t>ÖSTERGÖTLANDS LÄN</t>
        </is>
      </c>
      <c r="E740" t="inlineStr">
        <is>
          <t>LINKÖPING</t>
        </is>
      </c>
      <c r="G740" t="n">
        <v>4.8</v>
      </c>
      <c r="H740" t="n">
        <v>0</v>
      </c>
      <c r="I740" t="n">
        <v>0</v>
      </c>
      <c r="J740" t="n">
        <v>0</v>
      </c>
      <c r="K740" t="n">
        <v>0</v>
      </c>
      <c r="L740" t="n">
        <v>0</v>
      </c>
      <c r="M740" t="n">
        <v>0</v>
      </c>
      <c r="N740" t="n">
        <v>0</v>
      </c>
      <c r="O740" t="n">
        <v>0</v>
      </c>
      <c r="P740" t="n">
        <v>0</v>
      </c>
      <c r="Q740" t="n">
        <v>0</v>
      </c>
      <c r="R740" s="2" t="inlineStr"/>
    </row>
    <row r="741" ht="15" customHeight="1">
      <c r="A741" t="inlineStr">
        <is>
          <t>A 57752-2023</t>
        </is>
      </c>
      <c r="B741" s="1" t="n">
        <v>45246.78474537037</v>
      </c>
      <c r="C741" s="1" t="n">
        <v>46165</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46165</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46165</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23768-2025</t>
        </is>
      </c>
      <c r="B744" s="1" t="n">
        <v>45793.47493055555</v>
      </c>
      <c r="C744" s="1" t="n">
        <v>46165</v>
      </c>
      <c r="D744" t="inlineStr">
        <is>
          <t>ÖSTERGÖTLANDS LÄN</t>
        </is>
      </c>
      <c r="E744" t="inlineStr">
        <is>
          <t>LINKÖPING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48699-2024</t>
        </is>
      </c>
      <c r="B745" s="1" t="n">
        <v>45593.52091435185</v>
      </c>
      <c r="C745" s="1" t="n">
        <v>46165</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13911-2025</t>
        </is>
      </c>
      <c r="B746" s="1" t="n">
        <v>45737.64784722222</v>
      </c>
      <c r="C746" s="1" t="n">
        <v>46165</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46165</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ht="15" customHeight="1">
      <c r="A748" t="inlineStr">
        <is>
          <t>A 26002-2025</t>
        </is>
      </c>
      <c r="B748" s="1" t="n">
        <v>45804.66534722222</v>
      </c>
      <c r="C748" s="1" t="n">
        <v>46165</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25996-2025</t>
        </is>
      </c>
      <c r="B749" s="1" t="n">
        <v>45804.65851851852</v>
      </c>
      <c r="C749" s="1" t="n">
        <v>46165</v>
      </c>
      <c r="D749" t="inlineStr">
        <is>
          <t>ÖSTERGÖTLANDS LÄN</t>
        </is>
      </c>
      <c r="E749" t="inlineStr">
        <is>
          <t>LINKÖPING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27950-2025</t>
        </is>
      </c>
      <c r="B750" s="1" t="n">
        <v>45817.52960648148</v>
      </c>
      <c r="C750" s="1" t="n">
        <v>46165</v>
      </c>
      <c r="D750" t="inlineStr">
        <is>
          <t>ÖSTERGÖTLANDS LÄN</t>
        </is>
      </c>
      <c r="E750" t="inlineStr">
        <is>
          <t>LINKÖPING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27797-2025</t>
        </is>
      </c>
      <c r="B751" s="1" t="n">
        <v>45816.80521990741</v>
      </c>
      <c r="C751" s="1" t="n">
        <v>46165</v>
      </c>
      <c r="D751" t="inlineStr">
        <is>
          <t>ÖSTERGÖTLANDS LÄN</t>
        </is>
      </c>
      <c r="E751" t="inlineStr">
        <is>
          <t>LINKÖPING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27798-2025</t>
        </is>
      </c>
      <c r="B752" s="1" t="n">
        <v>45816.81532407407</v>
      </c>
      <c r="C752" s="1" t="n">
        <v>46165</v>
      </c>
      <c r="D752" t="inlineStr">
        <is>
          <t>ÖSTERGÖTLANDS LÄN</t>
        </is>
      </c>
      <c r="E752" t="inlineStr">
        <is>
          <t>LINKÖPING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28200-2025</t>
        </is>
      </c>
      <c r="B753" s="1" t="n">
        <v>45818.4428125</v>
      </c>
      <c r="C753" s="1" t="n">
        <v>46165</v>
      </c>
      <c r="D753" t="inlineStr">
        <is>
          <t>ÖSTERGÖTLANDS LÄN</t>
        </is>
      </c>
      <c r="E753" t="inlineStr">
        <is>
          <t>LINKÖPING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28204-2025</t>
        </is>
      </c>
      <c r="B754" s="1" t="n">
        <v>45818.4477662037</v>
      </c>
      <c r="C754" s="1" t="n">
        <v>46165</v>
      </c>
      <c r="D754" t="inlineStr">
        <is>
          <t>ÖSTERGÖTLANDS LÄN</t>
        </is>
      </c>
      <c r="E754" t="inlineStr">
        <is>
          <t>LINKÖPING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28416-2025</t>
        </is>
      </c>
      <c r="B755" s="1" t="n">
        <v>45819.35346064815</v>
      </c>
      <c r="C755" s="1" t="n">
        <v>46165</v>
      </c>
      <c r="D755" t="inlineStr">
        <is>
          <t>ÖSTERGÖTLANDS LÄN</t>
        </is>
      </c>
      <c r="E755" t="inlineStr">
        <is>
          <t>LINKÖPING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28398-2025</t>
        </is>
      </c>
      <c r="B756" s="1" t="n">
        <v>45819.34208333334</v>
      </c>
      <c r="C756" s="1" t="n">
        <v>46165</v>
      </c>
      <c r="D756" t="inlineStr">
        <is>
          <t>ÖSTERGÖTLANDS LÄN</t>
        </is>
      </c>
      <c r="E756" t="inlineStr">
        <is>
          <t>LINKÖPING</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28209-2025</t>
        </is>
      </c>
      <c r="B757" s="1" t="n">
        <v>45818.45112268518</v>
      </c>
      <c r="C757" s="1" t="n">
        <v>46165</v>
      </c>
      <c r="D757" t="inlineStr">
        <is>
          <t>ÖSTERGÖTLANDS LÄN</t>
        </is>
      </c>
      <c r="E757" t="inlineStr">
        <is>
          <t>LINKÖPING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29027-2025</t>
        </is>
      </c>
      <c r="B758" s="1" t="n">
        <v>45821.4375462963</v>
      </c>
      <c r="C758" s="1" t="n">
        <v>46165</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29411-2025</t>
        </is>
      </c>
      <c r="B759" s="1" t="n">
        <v>45824.6219212963</v>
      </c>
      <c r="C759" s="1" t="n">
        <v>46165</v>
      </c>
      <c r="D759" t="inlineStr">
        <is>
          <t>ÖSTERGÖTLANDS LÄN</t>
        </is>
      </c>
      <c r="E759" t="inlineStr">
        <is>
          <t>LINKÖPING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29599-2025</t>
        </is>
      </c>
      <c r="B760" s="1" t="n">
        <v>45825.41101851852</v>
      </c>
      <c r="C760" s="1" t="n">
        <v>46165</v>
      </c>
      <c r="D760" t="inlineStr">
        <is>
          <t>ÖSTERGÖTLANDS LÄN</t>
        </is>
      </c>
      <c r="E760" t="inlineStr">
        <is>
          <t>LINKÖPING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30355-2025</t>
        </is>
      </c>
      <c r="B761" s="1" t="n">
        <v>45827</v>
      </c>
      <c r="C761" s="1" t="n">
        <v>46165</v>
      </c>
      <c r="D761" t="inlineStr">
        <is>
          <t>ÖSTERGÖTLANDS LÄN</t>
        </is>
      </c>
      <c r="E761" t="inlineStr">
        <is>
          <t>LINKÖPING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30353-2025</t>
        </is>
      </c>
      <c r="B762" s="1" t="n">
        <v>45827</v>
      </c>
      <c r="C762" s="1" t="n">
        <v>46165</v>
      </c>
      <c r="D762" t="inlineStr">
        <is>
          <t>ÖSTERGÖTLANDS LÄN</t>
        </is>
      </c>
      <c r="E762" t="inlineStr">
        <is>
          <t>LINKÖPING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31581-2025</t>
        </is>
      </c>
      <c r="B763" s="1" t="n">
        <v>45833.6840162037</v>
      </c>
      <c r="C763" s="1" t="n">
        <v>46165</v>
      </c>
      <c r="D763" t="inlineStr">
        <is>
          <t>ÖSTERGÖTLANDS LÄN</t>
        </is>
      </c>
      <c r="E763" t="inlineStr">
        <is>
          <t>LINKÖPING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31585-2025</t>
        </is>
      </c>
      <c r="B764" s="1" t="n">
        <v>45833.68815972222</v>
      </c>
      <c r="C764" s="1" t="n">
        <v>46165</v>
      </c>
      <c r="D764" t="inlineStr">
        <is>
          <t>ÖSTERGÖTLANDS LÄN</t>
        </is>
      </c>
      <c r="E764" t="inlineStr">
        <is>
          <t>LINKÖPING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32723-2025</t>
        </is>
      </c>
      <c r="B765" s="1" t="n">
        <v>45838</v>
      </c>
      <c r="C765" s="1" t="n">
        <v>46165</v>
      </c>
      <c r="D765" t="inlineStr">
        <is>
          <t>ÖSTERGÖTLANDS LÄN</t>
        </is>
      </c>
      <c r="E765" t="inlineStr">
        <is>
          <t>LINKÖPING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33947-2025</t>
        </is>
      </c>
      <c r="B766" s="1" t="n">
        <v>45842.65444444444</v>
      </c>
      <c r="C766" s="1" t="n">
        <v>46165</v>
      </c>
      <c r="D766" t="inlineStr">
        <is>
          <t>ÖSTERGÖTLANDS LÄN</t>
        </is>
      </c>
      <c r="E766" t="inlineStr">
        <is>
          <t>LINKÖPING</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53529-2024</t>
        </is>
      </c>
      <c r="B767" s="1" t="n">
        <v>45614</v>
      </c>
      <c r="C767" s="1" t="n">
        <v>46165</v>
      </c>
      <c r="D767" t="inlineStr">
        <is>
          <t>ÖSTERGÖTLANDS LÄN</t>
        </is>
      </c>
      <c r="E767" t="inlineStr">
        <is>
          <t>LINKÖPING</t>
        </is>
      </c>
      <c r="G767" t="n">
        <v>6.7</v>
      </c>
      <c r="H767" t="n">
        <v>0</v>
      </c>
      <c r="I767" t="n">
        <v>0</v>
      </c>
      <c r="J767" t="n">
        <v>0</v>
      </c>
      <c r="K767" t="n">
        <v>0</v>
      </c>
      <c r="L767" t="n">
        <v>0</v>
      </c>
      <c r="M767" t="n">
        <v>0</v>
      </c>
      <c r="N767" t="n">
        <v>0</v>
      </c>
      <c r="O767" t="n">
        <v>0</v>
      </c>
      <c r="P767" t="n">
        <v>0</v>
      </c>
      <c r="Q767" t="n">
        <v>0</v>
      </c>
      <c r="R767" s="2" t="inlineStr"/>
    </row>
    <row r="768" ht="15" customHeight="1">
      <c r="A768" t="inlineStr">
        <is>
          <t>A 62012-2024</t>
        </is>
      </c>
      <c r="B768" s="1" t="n">
        <v>45655.79679398148</v>
      </c>
      <c r="C768" s="1" t="n">
        <v>46165</v>
      </c>
      <c r="D768" t="inlineStr">
        <is>
          <t>ÖSTERGÖTLANDS LÄN</t>
        </is>
      </c>
      <c r="E768" t="inlineStr">
        <is>
          <t>LINKÖPING</t>
        </is>
      </c>
      <c r="G768" t="n">
        <v>1.5</v>
      </c>
      <c r="H768" t="n">
        <v>0</v>
      </c>
      <c r="I768" t="n">
        <v>0</v>
      </c>
      <c r="J768" t="n">
        <v>0</v>
      </c>
      <c r="K768" t="n">
        <v>0</v>
      </c>
      <c r="L768" t="n">
        <v>0</v>
      </c>
      <c r="M768" t="n">
        <v>0</v>
      </c>
      <c r="N768" t="n">
        <v>0</v>
      </c>
      <c r="O768" t="n">
        <v>0</v>
      </c>
      <c r="P768" t="n">
        <v>0</v>
      </c>
      <c r="Q768" t="n">
        <v>0</v>
      </c>
      <c r="R768" s="2" t="inlineStr"/>
    </row>
    <row r="769">
      <c r="A769" t="inlineStr">
        <is>
          <t>A 20469-2025</t>
        </is>
      </c>
      <c r="B769" s="1" t="n">
        <v>45775</v>
      </c>
      <c r="C769" s="1" t="n">
        <v>46165</v>
      </c>
      <c r="D769" t="inlineStr">
        <is>
          <t>ÖSTERGÖTLANDS LÄN</t>
        </is>
      </c>
      <c r="E769" t="inlineStr">
        <is>
          <t>LINKÖPING</t>
        </is>
      </c>
      <c r="F769" t="inlineStr">
        <is>
          <t>Kyrkan</t>
        </is>
      </c>
      <c r="G769" t="n">
        <v>6.1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2026-05-23T10:52:44Z</dcterms:created>
  <dcterms:modified xmlns:dcterms="http://purl.org/dc/terms/" xmlns:xsi="http://www.w3.org/2001/XMLSchema-instance" xsi:type="dcterms:W3CDTF">2026-05-23T10:52:45Z</dcterms:modified>
</cp:coreProperties>
</file>