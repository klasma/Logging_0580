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45916</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45916</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45916</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45916</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45916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45916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45916</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17275-2025</t>
        </is>
      </c>
      <c r="B16" s="1" t="n">
        <v>45756.55734953703</v>
      </c>
      <c r="C16" s="1" t="n">
        <v>45916</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55341-2024</t>
        </is>
      </c>
      <c r="B17" s="1" t="n">
        <v>45621.71255787037</v>
      </c>
      <c r="C17" s="1" t="n">
        <v>45916</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45916</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17520-2022</t>
        </is>
      </c>
      <c r="B19" s="1" t="n">
        <v>44679</v>
      </c>
      <c r="C19" s="1" t="n">
        <v>45916</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45916</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27981-2022</t>
        </is>
      </c>
      <c r="B21" s="1" t="n">
        <v>44745</v>
      </c>
      <c r="C21" s="1" t="n">
        <v>45916</v>
      </c>
      <c r="D21" t="inlineStr">
        <is>
          <t>ÖSTERGÖTLANDS LÄN</t>
        </is>
      </c>
      <c r="E21" t="inlineStr">
        <is>
          <t>LINKÖPING</t>
        </is>
      </c>
      <c r="G21" t="n">
        <v>8.4</v>
      </c>
      <c r="H21" t="n">
        <v>0</v>
      </c>
      <c r="I21" t="n">
        <v>0</v>
      </c>
      <c r="J21" t="n">
        <v>2</v>
      </c>
      <c r="K21" t="n">
        <v>0</v>
      </c>
      <c r="L21" t="n">
        <v>0</v>
      </c>
      <c r="M21" t="n">
        <v>0</v>
      </c>
      <c r="N21" t="n">
        <v>0</v>
      </c>
      <c r="O21" t="n">
        <v>2</v>
      </c>
      <c r="P21" t="n">
        <v>0</v>
      </c>
      <c r="Q21" t="n">
        <v>2</v>
      </c>
      <c r="R21" s="2" t="inlineStr">
        <is>
          <t>Solvända
Svinrot</t>
        </is>
      </c>
      <c r="S21">
        <f>HYPERLINK("https://klasma.github.io/Logging_0580/artfynd/A 27981-2022 artfynd.xlsx", "A 27981-2022")</f>
        <v/>
      </c>
      <c r="T21">
        <f>HYPERLINK("https://klasma.github.io/Logging_0580/kartor/A 27981-2022 karta.png", "A 27981-2022")</f>
        <v/>
      </c>
      <c r="V21">
        <f>HYPERLINK("https://klasma.github.io/Logging_0580/klagomål/A 27981-2022 FSC-klagomål.docx", "A 27981-2022")</f>
        <v/>
      </c>
      <c r="W21">
        <f>HYPERLINK("https://klasma.github.io/Logging_0580/klagomålsmail/A 27981-2022 FSC-klagomål mail.docx", "A 27981-2022")</f>
        <v/>
      </c>
      <c r="X21">
        <f>HYPERLINK("https://klasma.github.io/Logging_0580/tillsyn/A 27981-2022 tillsynsbegäran.docx", "A 27981-2022")</f>
        <v/>
      </c>
      <c r="Y21">
        <f>HYPERLINK("https://klasma.github.io/Logging_0580/tillsynsmail/A 27981-2022 tillsynsbegäran mail.docx", "A 27981-2022")</f>
        <v/>
      </c>
    </row>
    <row r="22" ht="15" customHeight="1">
      <c r="A22" t="inlineStr">
        <is>
          <t>A 50404-2023</t>
        </is>
      </c>
      <c r="B22" s="1" t="n">
        <v>45216</v>
      </c>
      <c r="C22" s="1" t="n">
        <v>45916</v>
      </c>
      <c r="D22" t="inlineStr">
        <is>
          <t>ÖSTERGÖTLANDS LÄN</t>
        </is>
      </c>
      <c r="E22" t="inlineStr">
        <is>
          <t>LINKÖPING</t>
        </is>
      </c>
      <c r="G22" t="n">
        <v>1.2</v>
      </c>
      <c r="H22" t="n">
        <v>1</v>
      </c>
      <c r="I22" t="n">
        <v>1</v>
      </c>
      <c r="J22" t="n">
        <v>0</v>
      </c>
      <c r="K22" t="n">
        <v>0</v>
      </c>
      <c r="L22" t="n">
        <v>0</v>
      </c>
      <c r="M22" t="n">
        <v>0</v>
      </c>
      <c r="N22" t="n">
        <v>0</v>
      </c>
      <c r="O22" t="n">
        <v>0</v>
      </c>
      <c r="P22" t="n">
        <v>0</v>
      </c>
      <c r="Q22" t="n">
        <v>2</v>
      </c>
      <c r="R22" s="2" t="inlineStr">
        <is>
          <t>Hasselticka
Gullviva</t>
        </is>
      </c>
      <c r="S22">
        <f>HYPERLINK("https://klasma.github.io/Logging_0580/artfynd/A 50404-2023 artfynd.xlsx", "A 50404-2023")</f>
        <v/>
      </c>
      <c r="T22">
        <f>HYPERLINK("https://klasma.github.io/Logging_0580/kartor/A 50404-2023 karta.png", "A 50404-2023")</f>
        <v/>
      </c>
      <c r="V22">
        <f>HYPERLINK("https://klasma.github.io/Logging_0580/klagomål/A 50404-2023 FSC-klagomål.docx", "A 50404-2023")</f>
        <v/>
      </c>
      <c r="W22">
        <f>HYPERLINK("https://klasma.github.io/Logging_0580/klagomålsmail/A 50404-2023 FSC-klagomål mail.docx", "A 50404-2023")</f>
        <v/>
      </c>
      <c r="X22">
        <f>HYPERLINK("https://klasma.github.io/Logging_0580/tillsyn/A 50404-2023 tillsynsbegäran.docx", "A 50404-2023")</f>
        <v/>
      </c>
      <c r="Y22">
        <f>HYPERLINK("https://klasma.github.io/Logging_0580/tillsynsmail/A 50404-2023 tillsynsbegäran mail.docx", "A 50404-2023")</f>
        <v/>
      </c>
    </row>
    <row r="23" ht="15" customHeight="1">
      <c r="A23" t="inlineStr">
        <is>
          <t>A 27795-2025</t>
        </is>
      </c>
      <c r="B23" s="1" t="n">
        <v>45816.7908912037</v>
      </c>
      <c r="C23" s="1" t="n">
        <v>45916</v>
      </c>
      <c r="D23" t="inlineStr">
        <is>
          <t>ÖSTERGÖTLANDS LÄN</t>
        </is>
      </c>
      <c r="E23" t="inlineStr">
        <is>
          <t>LINKÖPING</t>
        </is>
      </c>
      <c r="G23" t="n">
        <v>5</v>
      </c>
      <c r="H23" t="n">
        <v>0</v>
      </c>
      <c r="I23" t="n">
        <v>0</v>
      </c>
      <c r="J23" t="n">
        <v>2</v>
      </c>
      <c r="K23" t="n">
        <v>0</v>
      </c>
      <c r="L23" t="n">
        <v>0</v>
      </c>
      <c r="M23" t="n">
        <v>0</v>
      </c>
      <c r="N23" t="n">
        <v>0</v>
      </c>
      <c r="O23" t="n">
        <v>2</v>
      </c>
      <c r="P23" t="n">
        <v>0</v>
      </c>
      <c r="Q23" t="n">
        <v>2</v>
      </c>
      <c r="R23" s="2" t="inlineStr">
        <is>
          <t>Svinrot
Ängsskära</t>
        </is>
      </c>
      <c r="S23">
        <f>HYPERLINK("https://klasma.github.io/Logging_0580/artfynd/A 27795-2025 artfynd.xlsx", "A 27795-2025")</f>
        <v/>
      </c>
      <c r="T23">
        <f>HYPERLINK("https://klasma.github.io/Logging_0580/kartor/A 27795-2025 karta.png", "A 27795-2025")</f>
        <v/>
      </c>
      <c r="V23">
        <f>HYPERLINK("https://klasma.github.io/Logging_0580/klagomål/A 27795-2025 FSC-klagomål.docx", "A 27795-2025")</f>
        <v/>
      </c>
      <c r="W23">
        <f>HYPERLINK("https://klasma.github.io/Logging_0580/klagomålsmail/A 27795-2025 FSC-klagomål mail.docx", "A 27795-2025")</f>
        <v/>
      </c>
      <c r="X23">
        <f>HYPERLINK("https://klasma.github.io/Logging_0580/tillsyn/A 27795-2025 tillsynsbegäran.docx", "A 27795-2025")</f>
        <v/>
      </c>
      <c r="Y23">
        <f>HYPERLINK("https://klasma.github.io/Logging_0580/tillsynsmail/A 27795-2025 tillsynsbegäran mail.docx", "A 27795-2025")</f>
        <v/>
      </c>
    </row>
    <row r="24" ht="15" customHeight="1">
      <c r="A24" t="inlineStr">
        <is>
          <t>A 14879-2024</t>
        </is>
      </c>
      <c r="B24" s="1" t="n">
        <v>45398</v>
      </c>
      <c r="C24" s="1" t="n">
        <v>45916</v>
      </c>
      <c r="D24" t="inlineStr">
        <is>
          <t>ÖSTERGÖTLANDS LÄN</t>
        </is>
      </c>
      <c r="E24" t="inlineStr">
        <is>
          <t>LINKÖPING</t>
        </is>
      </c>
      <c r="F24" t="inlineStr">
        <is>
          <t>Övriga Aktiebolag</t>
        </is>
      </c>
      <c r="G24" t="n">
        <v>1.7</v>
      </c>
      <c r="H24" t="n">
        <v>1</v>
      </c>
      <c r="I24" t="n">
        <v>1</v>
      </c>
      <c r="J24" t="n">
        <v>0</v>
      </c>
      <c r="K24" t="n">
        <v>0</v>
      </c>
      <c r="L24" t="n">
        <v>0</v>
      </c>
      <c r="M24" t="n">
        <v>0</v>
      </c>
      <c r="N24" t="n">
        <v>0</v>
      </c>
      <c r="O24" t="n">
        <v>0</v>
      </c>
      <c r="P24" t="n">
        <v>0</v>
      </c>
      <c r="Q24" t="n">
        <v>2</v>
      </c>
      <c r="R24" s="2" t="inlineStr">
        <is>
          <t>Svart trolldruva
Grönvit nattviol</t>
        </is>
      </c>
      <c r="S24">
        <f>HYPERLINK("https://klasma.github.io/Logging_0580/artfynd/A 14879-2024 artfynd.xlsx", "A 14879-2024")</f>
        <v/>
      </c>
      <c r="T24">
        <f>HYPERLINK("https://klasma.github.io/Logging_0580/kartor/A 14879-2024 karta.png", "A 14879-2024")</f>
        <v/>
      </c>
      <c r="V24">
        <f>HYPERLINK("https://klasma.github.io/Logging_0580/klagomål/A 14879-2024 FSC-klagomål.docx", "A 14879-2024")</f>
        <v/>
      </c>
      <c r="W24">
        <f>HYPERLINK("https://klasma.github.io/Logging_0580/klagomålsmail/A 14879-2024 FSC-klagomål mail.docx", "A 14879-2024")</f>
        <v/>
      </c>
      <c r="X24">
        <f>HYPERLINK("https://klasma.github.io/Logging_0580/tillsyn/A 14879-2024 tillsynsbegäran.docx", "A 14879-2024")</f>
        <v/>
      </c>
      <c r="Y24">
        <f>HYPERLINK("https://klasma.github.io/Logging_0580/tillsynsmail/A 14879-2024 tillsynsbegäran mail.docx", "A 14879-2024")</f>
        <v/>
      </c>
    </row>
    <row r="25" ht="15" customHeight="1">
      <c r="A25" t="inlineStr">
        <is>
          <t>A 8818-2025</t>
        </is>
      </c>
      <c r="B25" s="1" t="n">
        <v>45712</v>
      </c>
      <c r="C25" s="1" t="n">
        <v>45916</v>
      </c>
      <c r="D25" t="inlineStr">
        <is>
          <t>ÖSTERGÖTLANDS LÄN</t>
        </is>
      </c>
      <c r="E25" t="inlineStr">
        <is>
          <t>LINKÖPING</t>
        </is>
      </c>
      <c r="F25" t="inlineStr">
        <is>
          <t>Kommuner</t>
        </is>
      </c>
      <c r="G25" t="n">
        <v>0.6</v>
      </c>
      <c r="H25" t="n">
        <v>0</v>
      </c>
      <c r="I25" t="n">
        <v>0</v>
      </c>
      <c r="J25" t="n">
        <v>1</v>
      </c>
      <c r="K25" t="n">
        <v>1</v>
      </c>
      <c r="L25" t="n">
        <v>0</v>
      </c>
      <c r="M25" t="n">
        <v>0</v>
      </c>
      <c r="N25" t="n">
        <v>0</v>
      </c>
      <c r="O25" t="n">
        <v>2</v>
      </c>
      <c r="P25" t="n">
        <v>1</v>
      </c>
      <c r="Q25" t="n">
        <v>2</v>
      </c>
      <c r="R25" s="2" t="inlineStr">
        <is>
          <t>Luddvicker
Klubbsprötad bastardsvärmare</t>
        </is>
      </c>
      <c r="S25">
        <f>HYPERLINK("https://klasma.github.io/Logging_0580/artfynd/A 8818-2025 artfynd.xlsx", "A 8818-2025")</f>
        <v/>
      </c>
      <c r="T25">
        <f>HYPERLINK("https://klasma.github.io/Logging_0580/kartor/A 8818-2025 karta.png", "A 8818-2025")</f>
        <v/>
      </c>
      <c r="V25">
        <f>HYPERLINK("https://klasma.github.io/Logging_0580/klagomål/A 8818-2025 FSC-klagomål.docx", "A 8818-2025")</f>
        <v/>
      </c>
      <c r="W25">
        <f>HYPERLINK("https://klasma.github.io/Logging_0580/klagomålsmail/A 8818-2025 FSC-klagomål mail.docx", "A 8818-2025")</f>
        <v/>
      </c>
      <c r="X25">
        <f>HYPERLINK("https://klasma.github.io/Logging_0580/tillsyn/A 8818-2025 tillsynsbegäran.docx", "A 8818-2025")</f>
        <v/>
      </c>
      <c r="Y25">
        <f>HYPERLINK("https://klasma.github.io/Logging_0580/tillsynsmail/A 8818-2025 tillsynsbegäran mail.docx", "A 8818-2025")</f>
        <v/>
      </c>
    </row>
    <row r="26" ht="15" customHeight="1">
      <c r="A26" t="inlineStr">
        <is>
          <t>A 38913-2023</t>
        </is>
      </c>
      <c r="B26" s="1" t="n">
        <v>45163</v>
      </c>
      <c r="C26" s="1" t="n">
        <v>45916</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25985-2025</t>
        </is>
      </c>
      <c r="B27" s="1" t="n">
        <v>45804.64479166667</v>
      </c>
      <c r="C27" s="1" t="n">
        <v>45916</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41751-2023</t>
        </is>
      </c>
      <c r="B28" s="1" t="n">
        <v>45176</v>
      </c>
      <c r="C28" s="1" t="n">
        <v>45916</v>
      </c>
      <c r="D28" t="inlineStr">
        <is>
          <t>ÖSTERGÖTLANDS LÄN</t>
        </is>
      </c>
      <c r="E28" t="inlineStr">
        <is>
          <t>LINKÖPING</t>
        </is>
      </c>
      <c r="G28" t="n">
        <v>1.5</v>
      </c>
      <c r="H28" t="n">
        <v>1</v>
      </c>
      <c r="I28" t="n">
        <v>0</v>
      </c>
      <c r="J28" t="n">
        <v>1</v>
      </c>
      <c r="K28" t="n">
        <v>0</v>
      </c>
      <c r="L28" t="n">
        <v>0</v>
      </c>
      <c r="M28" t="n">
        <v>0</v>
      </c>
      <c r="N28" t="n">
        <v>0</v>
      </c>
      <c r="O28" t="n">
        <v>1</v>
      </c>
      <c r="P28" t="n">
        <v>0</v>
      </c>
      <c r="Q28" t="n">
        <v>2</v>
      </c>
      <c r="R28" s="2" t="inlineStr">
        <is>
          <t>Svinrot
Grönvit nattviol</t>
        </is>
      </c>
      <c r="S28">
        <f>HYPERLINK("https://klasma.github.io/Logging_0580/artfynd/A 41751-2023 artfynd.xlsx", "A 41751-2023")</f>
        <v/>
      </c>
      <c r="T28">
        <f>HYPERLINK("https://klasma.github.io/Logging_0580/kartor/A 41751-2023 karta.png", "A 41751-2023")</f>
        <v/>
      </c>
      <c r="V28">
        <f>HYPERLINK("https://klasma.github.io/Logging_0580/klagomål/A 41751-2023 FSC-klagomål.docx", "A 41751-2023")</f>
        <v/>
      </c>
      <c r="W28">
        <f>HYPERLINK("https://klasma.github.io/Logging_0580/klagomålsmail/A 41751-2023 FSC-klagomål mail.docx", "A 41751-2023")</f>
        <v/>
      </c>
      <c r="X28">
        <f>HYPERLINK("https://klasma.github.io/Logging_0580/tillsyn/A 41751-2023 tillsynsbegäran.docx", "A 41751-2023")</f>
        <v/>
      </c>
      <c r="Y28">
        <f>HYPERLINK("https://klasma.github.io/Logging_0580/tillsynsmail/A 41751-2023 tillsynsbegäran mail.docx", "A 41751-2023")</f>
        <v/>
      </c>
    </row>
    <row r="29" ht="15" customHeight="1">
      <c r="A29" t="inlineStr">
        <is>
          <t>A 58068-2021</t>
        </is>
      </c>
      <c r="B29" s="1" t="n">
        <v>44487</v>
      </c>
      <c r="C29" s="1" t="n">
        <v>45916</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22040-2023</t>
        </is>
      </c>
      <c r="B30" s="1" t="n">
        <v>45068</v>
      </c>
      <c r="C30" s="1" t="n">
        <v>45916</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45916</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42858-2023</t>
        </is>
      </c>
      <c r="B32" s="1" t="n">
        <v>45177</v>
      </c>
      <c r="C32" s="1" t="n">
        <v>45916</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45916</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55344-2024</t>
        </is>
      </c>
      <c r="B34" s="1" t="n">
        <v>45621.7202662037</v>
      </c>
      <c r="C34" s="1" t="n">
        <v>45916</v>
      </c>
      <c r="D34" t="inlineStr">
        <is>
          <t>ÖSTERGÖTLANDS LÄN</t>
        </is>
      </c>
      <c r="E34" t="inlineStr">
        <is>
          <t>LINKÖPING</t>
        </is>
      </c>
      <c r="G34" t="n">
        <v>6.6</v>
      </c>
      <c r="H34" t="n">
        <v>0</v>
      </c>
      <c r="I34" t="n">
        <v>0</v>
      </c>
      <c r="J34" t="n">
        <v>2</v>
      </c>
      <c r="K34" t="n">
        <v>0</v>
      </c>
      <c r="L34" t="n">
        <v>0</v>
      </c>
      <c r="M34" t="n">
        <v>0</v>
      </c>
      <c r="N34" t="n">
        <v>0</v>
      </c>
      <c r="O34" t="n">
        <v>2</v>
      </c>
      <c r="P34" t="n">
        <v>0</v>
      </c>
      <c r="Q34" t="n">
        <v>2</v>
      </c>
      <c r="R34" s="2" t="inlineStr">
        <is>
          <t>Kandelabersvamp
Stjärnnästing</t>
        </is>
      </c>
      <c r="S34">
        <f>HYPERLINK("https://klasma.github.io/Logging_0580/artfynd/A 55344-2024 artfynd.xlsx", "A 55344-2024")</f>
        <v/>
      </c>
      <c r="T34">
        <f>HYPERLINK("https://klasma.github.io/Logging_0580/kartor/A 55344-2024 karta.png", "A 55344-2024")</f>
        <v/>
      </c>
      <c r="V34">
        <f>HYPERLINK("https://klasma.github.io/Logging_0580/klagomål/A 55344-2024 FSC-klagomål.docx", "A 55344-2024")</f>
        <v/>
      </c>
      <c r="W34">
        <f>HYPERLINK("https://klasma.github.io/Logging_0580/klagomålsmail/A 55344-2024 FSC-klagomål mail.docx", "A 55344-2024")</f>
        <v/>
      </c>
      <c r="X34">
        <f>HYPERLINK("https://klasma.github.io/Logging_0580/tillsyn/A 55344-2024 tillsynsbegäran.docx", "A 55344-2024")</f>
        <v/>
      </c>
      <c r="Y34">
        <f>HYPERLINK("https://klasma.github.io/Logging_0580/tillsynsmail/A 55344-2024 tillsynsbegäran mail.docx", "A 55344-2024")</f>
        <v/>
      </c>
    </row>
    <row r="35" ht="15" customHeight="1">
      <c r="A35" t="inlineStr">
        <is>
          <t>A 21326-2025</t>
        </is>
      </c>
      <c r="B35" s="1" t="n">
        <v>45782.35407407407</v>
      </c>
      <c r="C35" s="1" t="n">
        <v>45916</v>
      </c>
      <c r="D35" t="inlineStr">
        <is>
          <t>ÖSTERGÖTLANDS LÄN</t>
        </is>
      </c>
      <c r="E35" t="inlineStr">
        <is>
          <t>LINKÖPING</t>
        </is>
      </c>
      <c r="G35" t="n">
        <v>4.9</v>
      </c>
      <c r="H35" t="n">
        <v>2</v>
      </c>
      <c r="I35" t="n">
        <v>0</v>
      </c>
      <c r="J35" t="n">
        <v>0</v>
      </c>
      <c r="K35" t="n">
        <v>0</v>
      </c>
      <c r="L35" t="n">
        <v>0</v>
      </c>
      <c r="M35" t="n">
        <v>0</v>
      </c>
      <c r="N35" t="n">
        <v>0</v>
      </c>
      <c r="O35" t="n">
        <v>0</v>
      </c>
      <c r="P35" t="n">
        <v>0</v>
      </c>
      <c r="Q35" t="n">
        <v>2</v>
      </c>
      <c r="R35" s="2" t="inlineStr">
        <is>
          <t>Blåsippa
Revlummer</t>
        </is>
      </c>
      <c r="S35">
        <f>HYPERLINK("https://klasma.github.io/Logging_0580/artfynd/A 21326-2025 artfynd.xlsx", "A 21326-2025")</f>
        <v/>
      </c>
      <c r="T35">
        <f>HYPERLINK("https://klasma.github.io/Logging_0580/kartor/A 21326-2025 karta.png", "A 21326-2025")</f>
        <v/>
      </c>
      <c r="V35">
        <f>HYPERLINK("https://klasma.github.io/Logging_0580/klagomål/A 21326-2025 FSC-klagomål.docx", "A 21326-2025")</f>
        <v/>
      </c>
      <c r="W35">
        <f>HYPERLINK("https://klasma.github.io/Logging_0580/klagomålsmail/A 21326-2025 FSC-klagomål mail.docx", "A 21326-2025")</f>
        <v/>
      </c>
      <c r="X35">
        <f>HYPERLINK("https://klasma.github.io/Logging_0580/tillsyn/A 21326-2025 tillsynsbegäran.docx", "A 21326-2025")</f>
        <v/>
      </c>
      <c r="Y35">
        <f>HYPERLINK("https://klasma.github.io/Logging_0580/tillsynsmail/A 21326-2025 tillsynsbegäran mail.docx", "A 21326-2025")</f>
        <v/>
      </c>
    </row>
    <row r="36" ht="15" customHeight="1">
      <c r="A36" t="inlineStr">
        <is>
          <t>A 20292-2025</t>
        </is>
      </c>
      <c r="B36" s="1" t="n">
        <v>45774.7449537037</v>
      </c>
      <c r="C36" s="1" t="n">
        <v>45916</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45916</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38129-2021</t>
        </is>
      </c>
      <c r="B38" s="1" t="n">
        <v>44405.37199074074</v>
      </c>
      <c r="C38" s="1" t="n">
        <v>45916</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43017-2021</t>
        </is>
      </c>
      <c r="B39" s="1" t="n">
        <v>44431</v>
      </c>
      <c r="C39" s="1" t="n">
        <v>45916</v>
      </c>
      <c r="D39" t="inlineStr">
        <is>
          <t>ÖSTERGÖTLANDS LÄN</t>
        </is>
      </c>
      <c r="E39" t="inlineStr">
        <is>
          <t>LINKÖPING</t>
        </is>
      </c>
      <c r="G39" t="n">
        <v>0.9</v>
      </c>
      <c r="H39" t="n">
        <v>0</v>
      </c>
      <c r="I39" t="n">
        <v>0</v>
      </c>
      <c r="J39" t="n">
        <v>1</v>
      </c>
      <c r="K39" t="n">
        <v>0</v>
      </c>
      <c r="L39" t="n">
        <v>0</v>
      </c>
      <c r="M39" t="n">
        <v>0</v>
      </c>
      <c r="N39" t="n">
        <v>0</v>
      </c>
      <c r="O39" t="n">
        <v>1</v>
      </c>
      <c r="P39" t="n">
        <v>0</v>
      </c>
      <c r="Q39" t="n">
        <v>1</v>
      </c>
      <c r="R39" s="2" t="inlineStr">
        <is>
          <t>Hapalopilus aurantiacus</t>
        </is>
      </c>
      <c r="S39">
        <f>HYPERLINK("https://klasma.github.io/Logging_0580/artfynd/A 43017-2021 artfynd.xlsx", "A 43017-2021")</f>
        <v/>
      </c>
      <c r="T39">
        <f>HYPERLINK("https://klasma.github.io/Logging_0580/kartor/A 43017-2021 karta.png", "A 43017-2021")</f>
        <v/>
      </c>
      <c r="V39">
        <f>HYPERLINK("https://klasma.github.io/Logging_0580/klagomål/A 43017-2021 FSC-klagomål.docx", "A 43017-2021")</f>
        <v/>
      </c>
      <c r="W39">
        <f>HYPERLINK("https://klasma.github.io/Logging_0580/klagomålsmail/A 43017-2021 FSC-klagomål mail.docx", "A 43017-2021")</f>
        <v/>
      </c>
      <c r="X39">
        <f>HYPERLINK("https://klasma.github.io/Logging_0580/tillsyn/A 43017-2021 tillsynsbegäran.docx", "A 43017-2021")</f>
        <v/>
      </c>
      <c r="Y39">
        <f>HYPERLINK("https://klasma.github.io/Logging_0580/tillsynsmail/A 43017-2021 tillsynsbegäran mail.docx", "A 43017-2021")</f>
        <v/>
      </c>
    </row>
    <row r="40" ht="15" customHeight="1">
      <c r="A40" t="inlineStr">
        <is>
          <t>A 46496-2022</t>
        </is>
      </c>
      <c r="B40" s="1" t="n">
        <v>44848</v>
      </c>
      <c r="C40" s="1" t="n">
        <v>45916</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71127-2021</t>
        </is>
      </c>
      <c r="B41" s="1" t="n">
        <v>44537</v>
      </c>
      <c r="C41" s="1" t="n">
        <v>45916</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45916</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56250-2021</t>
        </is>
      </c>
      <c r="B43" s="1" t="n">
        <v>44479</v>
      </c>
      <c r="C43" s="1" t="n">
        <v>45916</v>
      </c>
      <c r="D43" t="inlineStr">
        <is>
          <t>ÖSTERGÖTLANDS LÄN</t>
        </is>
      </c>
      <c r="E43" t="inlineStr">
        <is>
          <t>LINKÖPING</t>
        </is>
      </c>
      <c r="F43" t="inlineStr">
        <is>
          <t>Övriga Aktiebolag</t>
        </is>
      </c>
      <c r="G43" t="n">
        <v>3.2</v>
      </c>
      <c r="H43" t="n">
        <v>0</v>
      </c>
      <c r="I43" t="n">
        <v>1</v>
      </c>
      <c r="J43" t="n">
        <v>0</v>
      </c>
      <c r="K43" t="n">
        <v>0</v>
      </c>
      <c r="L43" t="n">
        <v>0</v>
      </c>
      <c r="M43" t="n">
        <v>0</v>
      </c>
      <c r="N43" t="n">
        <v>0</v>
      </c>
      <c r="O43" t="n">
        <v>0</v>
      </c>
      <c r="P43" t="n">
        <v>0</v>
      </c>
      <c r="Q43" t="n">
        <v>1</v>
      </c>
      <c r="R43" s="2" t="inlineStr">
        <is>
          <t>Strutbräken</t>
        </is>
      </c>
      <c r="S43">
        <f>HYPERLINK("https://klasma.github.io/Logging_0580/artfynd/A 56250-2021 artfynd.xlsx", "A 56250-2021")</f>
        <v/>
      </c>
      <c r="T43">
        <f>HYPERLINK("https://klasma.github.io/Logging_0580/kartor/A 56250-2021 karta.png", "A 56250-2021")</f>
        <v/>
      </c>
      <c r="V43">
        <f>HYPERLINK("https://klasma.github.io/Logging_0580/klagomål/A 56250-2021 FSC-klagomål.docx", "A 56250-2021")</f>
        <v/>
      </c>
      <c r="W43">
        <f>HYPERLINK("https://klasma.github.io/Logging_0580/klagomålsmail/A 56250-2021 FSC-klagomål mail.docx", "A 56250-2021")</f>
        <v/>
      </c>
      <c r="X43">
        <f>HYPERLINK("https://klasma.github.io/Logging_0580/tillsyn/A 56250-2021 tillsynsbegäran.docx", "A 56250-2021")</f>
        <v/>
      </c>
      <c r="Y43">
        <f>HYPERLINK("https://klasma.github.io/Logging_0580/tillsynsmail/A 56250-2021 tillsynsbegäran mail.docx", "A 56250-2021")</f>
        <v/>
      </c>
    </row>
    <row r="44" ht="15" customHeight="1">
      <c r="A44" t="inlineStr">
        <is>
          <t>A 17513-2022</t>
        </is>
      </c>
      <c r="B44" s="1" t="n">
        <v>44679</v>
      </c>
      <c r="C44" s="1" t="n">
        <v>45916</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931-2025</t>
        </is>
      </c>
      <c r="B45" s="1" t="n">
        <v>45665.88498842593</v>
      </c>
      <c r="C45" s="1" t="n">
        <v>45916</v>
      </c>
      <c r="D45" t="inlineStr">
        <is>
          <t>ÖSTERGÖTLANDS LÄN</t>
        </is>
      </c>
      <c r="E45" t="inlineStr">
        <is>
          <t>LINKÖPING</t>
        </is>
      </c>
      <c r="F45" t="inlineStr">
        <is>
          <t>Övriga Aktiebolag</t>
        </is>
      </c>
      <c r="G45" t="n">
        <v>0.8</v>
      </c>
      <c r="H45" t="n">
        <v>0</v>
      </c>
      <c r="I45" t="n">
        <v>0</v>
      </c>
      <c r="J45" t="n">
        <v>1</v>
      </c>
      <c r="K45" t="n">
        <v>0</v>
      </c>
      <c r="L45" t="n">
        <v>0</v>
      </c>
      <c r="M45" t="n">
        <v>0</v>
      </c>
      <c r="N45" t="n">
        <v>0</v>
      </c>
      <c r="O45" t="n">
        <v>1</v>
      </c>
      <c r="P45" t="n">
        <v>0</v>
      </c>
      <c r="Q45" t="n">
        <v>1</v>
      </c>
      <c r="R45" s="2" t="inlineStr">
        <is>
          <t>Tallticka</t>
        </is>
      </c>
      <c r="S45">
        <f>HYPERLINK("https://klasma.github.io/Logging_0580/artfynd/A 931-2025 artfynd.xlsx", "A 931-2025")</f>
        <v/>
      </c>
      <c r="T45">
        <f>HYPERLINK("https://klasma.github.io/Logging_0580/kartor/A 931-2025 karta.png", "A 931-2025")</f>
        <v/>
      </c>
      <c r="V45">
        <f>HYPERLINK("https://klasma.github.io/Logging_0580/klagomål/A 931-2025 FSC-klagomål.docx", "A 931-2025")</f>
        <v/>
      </c>
      <c r="W45">
        <f>HYPERLINK("https://klasma.github.io/Logging_0580/klagomålsmail/A 931-2025 FSC-klagomål mail.docx", "A 931-2025")</f>
        <v/>
      </c>
      <c r="X45">
        <f>HYPERLINK("https://klasma.github.io/Logging_0580/tillsyn/A 931-2025 tillsynsbegäran.docx", "A 931-2025")</f>
        <v/>
      </c>
      <c r="Y45">
        <f>HYPERLINK("https://klasma.github.io/Logging_0580/tillsynsmail/A 931-2025 tillsynsbegäran mail.docx", "A 931-2025")</f>
        <v/>
      </c>
    </row>
    <row r="46" ht="15" customHeight="1">
      <c r="A46" t="inlineStr">
        <is>
          <t>A 1716-2023</t>
        </is>
      </c>
      <c r="B46" s="1" t="n">
        <v>44938</v>
      </c>
      <c r="C46" s="1" t="n">
        <v>45916</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1213-2023</t>
        </is>
      </c>
      <c r="B47" s="1" t="n">
        <v>44930</v>
      </c>
      <c r="C47" s="1" t="n">
        <v>45916</v>
      </c>
      <c r="D47" t="inlineStr">
        <is>
          <t>ÖSTERGÖTLANDS LÄN</t>
        </is>
      </c>
      <c r="E47" t="inlineStr">
        <is>
          <t>LINKÖPING</t>
        </is>
      </c>
      <c r="F47" t="inlineStr">
        <is>
          <t>Övriga statliga verk och myndigheter</t>
        </is>
      </c>
      <c r="G47" t="n">
        <v>17.8</v>
      </c>
      <c r="H47" t="n">
        <v>0</v>
      </c>
      <c r="I47" t="n">
        <v>1</v>
      </c>
      <c r="J47" t="n">
        <v>0</v>
      </c>
      <c r="K47" t="n">
        <v>0</v>
      </c>
      <c r="L47" t="n">
        <v>0</v>
      </c>
      <c r="M47" t="n">
        <v>0</v>
      </c>
      <c r="N47" t="n">
        <v>0</v>
      </c>
      <c r="O47" t="n">
        <v>0</v>
      </c>
      <c r="P47" t="n">
        <v>0</v>
      </c>
      <c r="Q47" t="n">
        <v>1</v>
      </c>
      <c r="R47" s="2" t="inlineStr">
        <is>
          <t>Stubbspretmossa</t>
        </is>
      </c>
      <c r="S47">
        <f>HYPERLINK("https://klasma.github.io/Logging_0580/artfynd/A 1213-2023 artfynd.xlsx", "A 1213-2023")</f>
        <v/>
      </c>
      <c r="T47">
        <f>HYPERLINK("https://klasma.github.io/Logging_0580/kartor/A 1213-2023 karta.png", "A 1213-2023")</f>
        <v/>
      </c>
      <c r="V47">
        <f>HYPERLINK("https://klasma.github.io/Logging_0580/klagomål/A 1213-2023 FSC-klagomål.docx", "A 1213-2023")</f>
        <v/>
      </c>
      <c r="W47">
        <f>HYPERLINK("https://klasma.github.io/Logging_0580/klagomålsmail/A 1213-2023 FSC-klagomål mail.docx", "A 1213-2023")</f>
        <v/>
      </c>
      <c r="X47">
        <f>HYPERLINK("https://klasma.github.io/Logging_0580/tillsyn/A 1213-2023 tillsynsbegäran.docx", "A 1213-2023")</f>
        <v/>
      </c>
      <c r="Y47">
        <f>HYPERLINK("https://klasma.github.io/Logging_0580/tillsynsmail/A 1213-2023 tillsynsbegäran mail.docx", "A 1213-2023")</f>
        <v/>
      </c>
    </row>
    <row r="48" ht="15" customHeight="1">
      <c r="A48" t="inlineStr">
        <is>
          <t>A 45317-2023</t>
        </is>
      </c>
      <c r="B48" s="1" t="n">
        <v>45191.74868055555</v>
      </c>
      <c r="C48" s="1" t="n">
        <v>45916</v>
      </c>
      <c r="D48" t="inlineStr">
        <is>
          <t>ÖSTERGÖTLANDS LÄN</t>
        </is>
      </c>
      <c r="E48" t="inlineStr">
        <is>
          <t>LINKÖPING</t>
        </is>
      </c>
      <c r="F48" t="inlineStr">
        <is>
          <t>Allmännings- och besparingsskogar</t>
        </is>
      </c>
      <c r="G48" t="n">
        <v>29.3</v>
      </c>
      <c r="H48" t="n">
        <v>0</v>
      </c>
      <c r="I48" t="n">
        <v>0</v>
      </c>
      <c r="J48" t="n">
        <v>1</v>
      </c>
      <c r="K48" t="n">
        <v>0</v>
      </c>
      <c r="L48" t="n">
        <v>0</v>
      </c>
      <c r="M48" t="n">
        <v>0</v>
      </c>
      <c r="N48" t="n">
        <v>0</v>
      </c>
      <c r="O48" t="n">
        <v>1</v>
      </c>
      <c r="P48" t="n">
        <v>0</v>
      </c>
      <c r="Q48" t="n">
        <v>1</v>
      </c>
      <c r="R48" s="2" t="inlineStr">
        <is>
          <t>Svinrot</t>
        </is>
      </c>
      <c r="S48">
        <f>HYPERLINK("https://klasma.github.io/Logging_0580/artfynd/A 45317-2023 artfynd.xlsx", "A 45317-2023")</f>
        <v/>
      </c>
      <c r="T48">
        <f>HYPERLINK("https://klasma.github.io/Logging_0580/kartor/A 45317-2023 karta.png", "A 45317-2023")</f>
        <v/>
      </c>
      <c r="V48">
        <f>HYPERLINK("https://klasma.github.io/Logging_0580/klagomål/A 45317-2023 FSC-klagomål.docx", "A 45317-2023")</f>
        <v/>
      </c>
      <c r="W48">
        <f>HYPERLINK("https://klasma.github.io/Logging_0580/klagomålsmail/A 45317-2023 FSC-klagomål mail.docx", "A 45317-2023")</f>
        <v/>
      </c>
      <c r="X48">
        <f>HYPERLINK("https://klasma.github.io/Logging_0580/tillsyn/A 45317-2023 tillsynsbegäran.docx", "A 45317-2023")</f>
        <v/>
      </c>
      <c r="Y48">
        <f>HYPERLINK("https://klasma.github.io/Logging_0580/tillsynsmail/A 45317-2023 tillsynsbegäran mail.docx", "A 45317-2023")</f>
        <v/>
      </c>
    </row>
    <row r="49" ht="15" customHeight="1">
      <c r="A49" t="inlineStr">
        <is>
          <t>A 27403-2025</t>
        </is>
      </c>
      <c r="B49" s="1" t="n">
        <v>45812.72518518518</v>
      </c>
      <c r="C49" s="1" t="n">
        <v>45916</v>
      </c>
      <c r="D49" t="inlineStr">
        <is>
          <t>ÖSTERGÖTLANDS LÄN</t>
        </is>
      </c>
      <c r="E49" t="inlineStr">
        <is>
          <t>LINKÖPING</t>
        </is>
      </c>
      <c r="G49" t="n">
        <v>1.4</v>
      </c>
      <c r="H49" t="n">
        <v>0</v>
      </c>
      <c r="I49" t="n">
        <v>0</v>
      </c>
      <c r="J49" t="n">
        <v>1</v>
      </c>
      <c r="K49" t="n">
        <v>0</v>
      </c>
      <c r="L49" t="n">
        <v>0</v>
      </c>
      <c r="M49" t="n">
        <v>0</v>
      </c>
      <c r="N49" t="n">
        <v>0</v>
      </c>
      <c r="O49" t="n">
        <v>1</v>
      </c>
      <c r="P49" t="n">
        <v>0</v>
      </c>
      <c r="Q49" t="n">
        <v>1</v>
      </c>
      <c r="R49" s="2" t="inlineStr">
        <is>
          <t>Tallticka</t>
        </is>
      </c>
      <c r="S49">
        <f>HYPERLINK("https://klasma.github.io/Logging_0580/artfynd/A 27403-2025 artfynd.xlsx", "A 27403-2025")</f>
        <v/>
      </c>
      <c r="T49">
        <f>HYPERLINK("https://klasma.github.io/Logging_0580/kartor/A 27403-2025 karta.png", "A 27403-2025")</f>
        <v/>
      </c>
      <c r="V49">
        <f>HYPERLINK("https://klasma.github.io/Logging_0580/klagomål/A 27403-2025 FSC-klagomål.docx", "A 27403-2025")</f>
        <v/>
      </c>
      <c r="W49">
        <f>HYPERLINK("https://klasma.github.io/Logging_0580/klagomålsmail/A 27403-2025 FSC-klagomål mail.docx", "A 27403-2025")</f>
        <v/>
      </c>
      <c r="X49">
        <f>HYPERLINK("https://klasma.github.io/Logging_0580/tillsyn/A 27403-2025 tillsynsbegäran.docx", "A 27403-2025")</f>
        <v/>
      </c>
      <c r="Y49">
        <f>HYPERLINK("https://klasma.github.io/Logging_0580/tillsynsmail/A 27403-2025 tillsynsbegäran mail.docx", "A 27403-2025")</f>
        <v/>
      </c>
    </row>
    <row r="50" ht="15" customHeight="1">
      <c r="A50" t="inlineStr">
        <is>
          <t>A 56651-2023</t>
        </is>
      </c>
      <c r="B50" s="1" t="n">
        <v>45243</v>
      </c>
      <c r="C50" s="1" t="n">
        <v>45916</v>
      </c>
      <c r="D50" t="inlineStr">
        <is>
          <t>ÖSTERGÖTLANDS LÄN</t>
        </is>
      </c>
      <c r="E50" t="inlineStr">
        <is>
          <t>LINKÖPING</t>
        </is>
      </c>
      <c r="F50" t="inlineStr">
        <is>
          <t>Övriga Aktiebolag</t>
        </is>
      </c>
      <c r="G50" t="n">
        <v>2.3</v>
      </c>
      <c r="H50" t="n">
        <v>0</v>
      </c>
      <c r="I50" t="n">
        <v>0</v>
      </c>
      <c r="J50" t="n">
        <v>1</v>
      </c>
      <c r="K50" t="n">
        <v>0</v>
      </c>
      <c r="L50" t="n">
        <v>0</v>
      </c>
      <c r="M50" t="n">
        <v>0</v>
      </c>
      <c r="N50" t="n">
        <v>0</v>
      </c>
      <c r="O50" t="n">
        <v>1</v>
      </c>
      <c r="P50" t="n">
        <v>0</v>
      </c>
      <c r="Q50" t="n">
        <v>1</v>
      </c>
      <c r="R50" s="2" t="inlineStr">
        <is>
          <t>Gul dropplav</t>
        </is>
      </c>
      <c r="S50">
        <f>HYPERLINK("https://klasma.github.io/Logging_0580/artfynd/A 56651-2023 artfynd.xlsx", "A 56651-2023")</f>
        <v/>
      </c>
      <c r="T50">
        <f>HYPERLINK("https://klasma.github.io/Logging_0580/kartor/A 56651-2023 karta.png", "A 56651-2023")</f>
        <v/>
      </c>
      <c r="V50">
        <f>HYPERLINK("https://klasma.github.io/Logging_0580/klagomål/A 56651-2023 FSC-klagomål.docx", "A 56651-2023")</f>
        <v/>
      </c>
      <c r="W50">
        <f>HYPERLINK("https://klasma.github.io/Logging_0580/klagomålsmail/A 56651-2023 FSC-klagomål mail.docx", "A 56651-2023")</f>
        <v/>
      </c>
      <c r="X50">
        <f>HYPERLINK("https://klasma.github.io/Logging_0580/tillsyn/A 56651-2023 tillsynsbegäran.docx", "A 56651-2023")</f>
        <v/>
      </c>
      <c r="Y50">
        <f>HYPERLINK("https://klasma.github.io/Logging_0580/tillsynsmail/A 56651-2023 tillsynsbegäran mail.docx", "A 56651-2023")</f>
        <v/>
      </c>
    </row>
    <row r="51" ht="15" customHeight="1">
      <c r="A51" t="inlineStr">
        <is>
          <t>A 3395-2023</t>
        </is>
      </c>
      <c r="B51" s="1" t="n">
        <v>44949</v>
      </c>
      <c r="C51" s="1" t="n">
        <v>45916</v>
      </c>
      <c r="D51" t="inlineStr">
        <is>
          <t>ÖSTERGÖTLANDS LÄN</t>
        </is>
      </c>
      <c r="E51" t="inlineStr">
        <is>
          <t>LINKÖPING</t>
        </is>
      </c>
      <c r="G51" t="n">
        <v>2</v>
      </c>
      <c r="H51" t="n">
        <v>0</v>
      </c>
      <c r="I51" t="n">
        <v>0</v>
      </c>
      <c r="J51" t="n">
        <v>1</v>
      </c>
      <c r="K51" t="n">
        <v>0</v>
      </c>
      <c r="L51" t="n">
        <v>0</v>
      </c>
      <c r="M51" t="n">
        <v>0</v>
      </c>
      <c r="N51" t="n">
        <v>0</v>
      </c>
      <c r="O51" t="n">
        <v>1</v>
      </c>
      <c r="P51" t="n">
        <v>0</v>
      </c>
      <c r="Q51" t="n">
        <v>1</v>
      </c>
      <c r="R51" s="2" t="inlineStr">
        <is>
          <t>Sommarfibbla</t>
        </is>
      </c>
      <c r="S51">
        <f>HYPERLINK("https://klasma.github.io/Logging_0580/artfynd/A 3395-2023 artfynd.xlsx", "A 3395-2023")</f>
        <v/>
      </c>
      <c r="T51">
        <f>HYPERLINK("https://klasma.github.io/Logging_0580/kartor/A 3395-2023 karta.png", "A 3395-2023")</f>
        <v/>
      </c>
      <c r="V51">
        <f>HYPERLINK("https://klasma.github.io/Logging_0580/klagomål/A 3395-2023 FSC-klagomål.docx", "A 3395-2023")</f>
        <v/>
      </c>
      <c r="W51">
        <f>HYPERLINK("https://klasma.github.io/Logging_0580/klagomålsmail/A 3395-2023 FSC-klagomål mail.docx", "A 3395-2023")</f>
        <v/>
      </c>
      <c r="X51">
        <f>HYPERLINK("https://klasma.github.io/Logging_0580/tillsyn/A 3395-2023 tillsynsbegäran.docx", "A 3395-2023")</f>
        <v/>
      </c>
      <c r="Y51">
        <f>HYPERLINK("https://klasma.github.io/Logging_0580/tillsynsmail/A 3395-2023 tillsynsbegäran mail.docx", "A 3395-2023")</f>
        <v/>
      </c>
    </row>
    <row r="52" ht="15" customHeight="1">
      <c r="A52" t="inlineStr">
        <is>
          <t>A 19103-2021</t>
        </is>
      </c>
      <c r="B52" s="1" t="n">
        <v>44308</v>
      </c>
      <c r="C52" s="1" t="n">
        <v>45916</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17444-2025</t>
        </is>
      </c>
      <c r="B53" s="1" t="n">
        <v>45757.43452546297</v>
      </c>
      <c r="C53" s="1" t="n">
        <v>45916</v>
      </c>
      <c r="D53" t="inlineStr">
        <is>
          <t>ÖSTERGÖTLANDS LÄN</t>
        </is>
      </c>
      <c r="E53" t="inlineStr">
        <is>
          <t>LINKÖPING</t>
        </is>
      </c>
      <c r="G53" t="n">
        <v>1.3</v>
      </c>
      <c r="H53" t="n">
        <v>1</v>
      </c>
      <c r="I53" t="n">
        <v>0</v>
      </c>
      <c r="J53" t="n">
        <v>1</v>
      </c>
      <c r="K53" t="n">
        <v>0</v>
      </c>
      <c r="L53" t="n">
        <v>0</v>
      </c>
      <c r="M53" t="n">
        <v>0</v>
      </c>
      <c r="N53" t="n">
        <v>0</v>
      </c>
      <c r="O53" t="n">
        <v>1</v>
      </c>
      <c r="P53" t="n">
        <v>0</v>
      </c>
      <c r="Q53" t="n">
        <v>1</v>
      </c>
      <c r="R53" s="2" t="inlineStr">
        <is>
          <t>Dårgräsfjäril</t>
        </is>
      </c>
      <c r="S53">
        <f>HYPERLINK("https://klasma.github.io/Logging_0580/artfynd/A 17444-2025 artfynd.xlsx", "A 17444-2025")</f>
        <v/>
      </c>
      <c r="T53">
        <f>HYPERLINK("https://klasma.github.io/Logging_0580/kartor/A 17444-2025 karta.png", "A 17444-2025")</f>
        <v/>
      </c>
      <c r="V53">
        <f>HYPERLINK("https://klasma.github.io/Logging_0580/klagomål/A 17444-2025 FSC-klagomål.docx", "A 17444-2025")</f>
        <v/>
      </c>
      <c r="W53">
        <f>HYPERLINK("https://klasma.github.io/Logging_0580/klagomålsmail/A 17444-2025 FSC-klagomål mail.docx", "A 17444-2025")</f>
        <v/>
      </c>
      <c r="X53">
        <f>HYPERLINK("https://klasma.github.io/Logging_0580/tillsyn/A 17444-2025 tillsynsbegäran.docx", "A 17444-2025")</f>
        <v/>
      </c>
      <c r="Y53">
        <f>HYPERLINK("https://klasma.github.io/Logging_0580/tillsynsmail/A 17444-2025 tillsynsbegäran mail.docx", "A 17444-2025")</f>
        <v/>
      </c>
    </row>
    <row r="54" ht="15" customHeight="1">
      <c r="A54" t="inlineStr">
        <is>
          <t>A 5911-2022</t>
        </is>
      </c>
      <c r="B54" s="1" t="n">
        <v>44597</v>
      </c>
      <c r="C54" s="1" t="n">
        <v>45916</v>
      </c>
      <c r="D54" t="inlineStr">
        <is>
          <t>ÖSTERGÖTLANDS LÄN</t>
        </is>
      </c>
      <c r="E54" t="inlineStr">
        <is>
          <t>LINKÖPING</t>
        </is>
      </c>
      <c r="G54" t="n">
        <v>3.5</v>
      </c>
      <c r="H54" t="n">
        <v>0</v>
      </c>
      <c r="I54" t="n">
        <v>0</v>
      </c>
      <c r="J54" t="n">
        <v>1</v>
      </c>
      <c r="K54" t="n">
        <v>0</v>
      </c>
      <c r="L54" t="n">
        <v>0</v>
      </c>
      <c r="M54" t="n">
        <v>0</v>
      </c>
      <c r="N54" t="n">
        <v>0</v>
      </c>
      <c r="O54" t="n">
        <v>1</v>
      </c>
      <c r="P54" t="n">
        <v>0</v>
      </c>
      <c r="Q54" t="n">
        <v>1</v>
      </c>
      <c r="R54" s="2" t="inlineStr">
        <is>
          <t>Spindelört</t>
        </is>
      </c>
      <c r="S54">
        <f>HYPERLINK("https://klasma.github.io/Logging_0580/artfynd/A 5911-2022 artfynd.xlsx", "A 5911-2022")</f>
        <v/>
      </c>
      <c r="T54">
        <f>HYPERLINK("https://klasma.github.io/Logging_0580/kartor/A 5911-2022 karta.png", "A 5911-2022")</f>
        <v/>
      </c>
      <c r="V54">
        <f>HYPERLINK("https://klasma.github.io/Logging_0580/klagomål/A 5911-2022 FSC-klagomål.docx", "A 5911-2022")</f>
        <v/>
      </c>
      <c r="W54">
        <f>HYPERLINK("https://klasma.github.io/Logging_0580/klagomålsmail/A 5911-2022 FSC-klagomål mail.docx", "A 5911-2022")</f>
        <v/>
      </c>
      <c r="X54">
        <f>HYPERLINK("https://klasma.github.io/Logging_0580/tillsyn/A 5911-2022 tillsynsbegäran.docx", "A 5911-2022")</f>
        <v/>
      </c>
      <c r="Y54">
        <f>HYPERLINK("https://klasma.github.io/Logging_0580/tillsynsmail/A 5911-2022 tillsynsbegäran mail.docx", "A 5911-2022")</f>
        <v/>
      </c>
    </row>
    <row r="55" ht="15" customHeight="1">
      <c r="A55" t="inlineStr">
        <is>
          <t>A 36723-2023</t>
        </is>
      </c>
      <c r="B55" s="1" t="n">
        <v>45153</v>
      </c>
      <c r="C55" s="1" t="n">
        <v>45916</v>
      </c>
      <c r="D55" t="inlineStr">
        <is>
          <t>ÖSTERGÖTLANDS LÄN</t>
        </is>
      </c>
      <c r="E55" t="inlineStr">
        <is>
          <t>LINKÖPING</t>
        </is>
      </c>
      <c r="F55" t="inlineStr">
        <is>
          <t>Allmännings- och besparingsskogar</t>
        </is>
      </c>
      <c r="G55" t="n">
        <v>9.9</v>
      </c>
      <c r="H55" t="n">
        <v>0</v>
      </c>
      <c r="I55" t="n">
        <v>0</v>
      </c>
      <c r="J55" t="n">
        <v>0</v>
      </c>
      <c r="K55" t="n">
        <v>1</v>
      </c>
      <c r="L55" t="n">
        <v>0</v>
      </c>
      <c r="M55" t="n">
        <v>0</v>
      </c>
      <c r="N55" t="n">
        <v>0</v>
      </c>
      <c r="O55" t="n">
        <v>1</v>
      </c>
      <c r="P55" t="n">
        <v>1</v>
      </c>
      <c r="Q55" t="n">
        <v>1</v>
      </c>
      <c r="R55" s="2" t="inlineStr">
        <is>
          <t>Bitter taggsvamp</t>
        </is>
      </c>
      <c r="S55">
        <f>HYPERLINK("https://klasma.github.io/Logging_0580/artfynd/A 36723-2023 artfynd.xlsx", "A 36723-2023")</f>
        <v/>
      </c>
      <c r="T55">
        <f>HYPERLINK("https://klasma.github.io/Logging_0580/kartor/A 36723-2023 karta.png", "A 36723-2023")</f>
        <v/>
      </c>
      <c r="V55">
        <f>HYPERLINK("https://klasma.github.io/Logging_0580/klagomål/A 36723-2023 FSC-klagomål.docx", "A 36723-2023")</f>
        <v/>
      </c>
      <c r="W55">
        <f>HYPERLINK("https://klasma.github.io/Logging_0580/klagomålsmail/A 36723-2023 FSC-klagomål mail.docx", "A 36723-2023")</f>
        <v/>
      </c>
      <c r="X55">
        <f>HYPERLINK("https://klasma.github.io/Logging_0580/tillsyn/A 36723-2023 tillsynsbegäran.docx", "A 36723-2023")</f>
        <v/>
      </c>
      <c r="Y55">
        <f>HYPERLINK("https://klasma.github.io/Logging_0580/tillsynsmail/A 36723-2023 tillsynsbegäran mail.docx", "A 36723-2023")</f>
        <v/>
      </c>
    </row>
    <row r="56" ht="15" customHeight="1">
      <c r="A56" t="inlineStr">
        <is>
          <t>A 50806-2023</t>
        </is>
      </c>
      <c r="B56" s="1" t="n">
        <v>45217</v>
      </c>
      <c r="C56" s="1" t="n">
        <v>45916</v>
      </c>
      <c r="D56" t="inlineStr">
        <is>
          <t>ÖSTERGÖTLANDS LÄN</t>
        </is>
      </c>
      <c r="E56" t="inlineStr">
        <is>
          <t>LINKÖPING</t>
        </is>
      </c>
      <c r="F56" t="inlineStr">
        <is>
          <t>Övriga Aktiebolag</t>
        </is>
      </c>
      <c r="G56" t="n">
        <v>0.7</v>
      </c>
      <c r="H56" t="n">
        <v>1</v>
      </c>
      <c r="I56" t="n">
        <v>0</v>
      </c>
      <c r="J56" t="n">
        <v>0</v>
      </c>
      <c r="K56" t="n">
        <v>0</v>
      </c>
      <c r="L56" t="n">
        <v>0</v>
      </c>
      <c r="M56" t="n">
        <v>0</v>
      </c>
      <c r="N56" t="n">
        <v>0</v>
      </c>
      <c r="O56" t="n">
        <v>0</v>
      </c>
      <c r="P56" t="n">
        <v>0</v>
      </c>
      <c r="Q56" t="n">
        <v>1</v>
      </c>
      <c r="R56" s="2" t="inlineStr">
        <is>
          <t>Gullviva</t>
        </is>
      </c>
      <c r="S56">
        <f>HYPERLINK("https://klasma.github.io/Logging_0580/artfynd/A 50806-2023 artfynd.xlsx", "A 50806-2023")</f>
        <v/>
      </c>
      <c r="T56">
        <f>HYPERLINK("https://klasma.github.io/Logging_0580/kartor/A 50806-2023 karta.png", "A 50806-2023")</f>
        <v/>
      </c>
      <c r="V56">
        <f>HYPERLINK("https://klasma.github.io/Logging_0580/klagomål/A 50806-2023 FSC-klagomål.docx", "A 50806-2023")</f>
        <v/>
      </c>
      <c r="W56">
        <f>HYPERLINK("https://klasma.github.io/Logging_0580/klagomålsmail/A 50806-2023 FSC-klagomål mail.docx", "A 50806-2023")</f>
        <v/>
      </c>
      <c r="X56">
        <f>HYPERLINK("https://klasma.github.io/Logging_0580/tillsyn/A 50806-2023 tillsynsbegäran.docx", "A 50806-2023")</f>
        <v/>
      </c>
      <c r="Y56">
        <f>HYPERLINK("https://klasma.github.io/Logging_0580/tillsynsmail/A 50806-2023 tillsynsbegäran mail.docx", "A 50806-2023")</f>
        <v/>
      </c>
    </row>
    <row r="57" ht="15" customHeight="1">
      <c r="A57" t="inlineStr">
        <is>
          <t>A 90-2024</t>
        </is>
      </c>
      <c r="B57" s="1" t="n">
        <v>45293</v>
      </c>
      <c r="C57" s="1" t="n">
        <v>45916</v>
      </c>
      <c r="D57" t="inlineStr">
        <is>
          <t>ÖSTERGÖTLANDS LÄN</t>
        </is>
      </c>
      <c r="E57" t="inlineStr">
        <is>
          <t>LINKÖPING</t>
        </is>
      </c>
      <c r="G57" t="n">
        <v>1.8</v>
      </c>
      <c r="H57" t="n">
        <v>0</v>
      </c>
      <c r="I57" t="n">
        <v>1</v>
      </c>
      <c r="J57" t="n">
        <v>0</v>
      </c>
      <c r="K57" t="n">
        <v>0</v>
      </c>
      <c r="L57" t="n">
        <v>0</v>
      </c>
      <c r="M57" t="n">
        <v>0</v>
      </c>
      <c r="N57" t="n">
        <v>0</v>
      </c>
      <c r="O57" t="n">
        <v>0</v>
      </c>
      <c r="P57" t="n">
        <v>0</v>
      </c>
      <c r="Q57" t="n">
        <v>1</v>
      </c>
      <c r="R57" s="2" t="inlineStr">
        <is>
          <t>Grov fjädermossa</t>
        </is>
      </c>
      <c r="S57">
        <f>HYPERLINK("https://klasma.github.io/Logging_0580/artfynd/A 90-2024 artfynd.xlsx", "A 90-2024")</f>
        <v/>
      </c>
      <c r="T57">
        <f>HYPERLINK("https://klasma.github.io/Logging_0580/kartor/A 90-2024 karta.png", "A 90-2024")</f>
        <v/>
      </c>
      <c r="V57">
        <f>HYPERLINK("https://klasma.github.io/Logging_0580/klagomål/A 90-2024 FSC-klagomål.docx", "A 90-2024")</f>
        <v/>
      </c>
      <c r="W57">
        <f>HYPERLINK("https://klasma.github.io/Logging_0580/klagomålsmail/A 90-2024 FSC-klagomål mail.docx", "A 90-2024")</f>
        <v/>
      </c>
      <c r="X57">
        <f>HYPERLINK("https://klasma.github.io/Logging_0580/tillsyn/A 90-2024 tillsynsbegäran.docx", "A 90-2024")</f>
        <v/>
      </c>
      <c r="Y57">
        <f>HYPERLINK("https://klasma.github.io/Logging_0580/tillsynsmail/A 90-2024 tillsynsbegäran mail.docx", "A 90-2024")</f>
        <v/>
      </c>
    </row>
    <row r="58" ht="15" customHeight="1">
      <c r="A58" t="inlineStr">
        <is>
          <t>A 40315-2024</t>
        </is>
      </c>
      <c r="B58" s="1" t="n">
        <v>45554.7571875</v>
      </c>
      <c r="C58" s="1" t="n">
        <v>45916</v>
      </c>
      <c r="D58" t="inlineStr">
        <is>
          <t>ÖSTERGÖTLANDS LÄN</t>
        </is>
      </c>
      <c r="E58" t="inlineStr">
        <is>
          <t>LINKÖPING</t>
        </is>
      </c>
      <c r="F58" t="inlineStr">
        <is>
          <t>Allmännings- och besparingsskogar</t>
        </is>
      </c>
      <c r="G58" t="n">
        <v>15.8</v>
      </c>
      <c r="H58" t="n">
        <v>0</v>
      </c>
      <c r="I58" t="n">
        <v>0</v>
      </c>
      <c r="J58" t="n">
        <v>0</v>
      </c>
      <c r="K58" t="n">
        <v>0</v>
      </c>
      <c r="L58" t="n">
        <v>0</v>
      </c>
      <c r="M58" t="n">
        <v>1</v>
      </c>
      <c r="N58" t="n">
        <v>0</v>
      </c>
      <c r="O58" t="n">
        <v>1</v>
      </c>
      <c r="P58" t="n">
        <v>1</v>
      </c>
      <c r="Q58" t="n">
        <v>1</v>
      </c>
      <c r="R58" s="2" t="inlineStr">
        <is>
          <t>Skogsalm</t>
        </is>
      </c>
      <c r="S58">
        <f>HYPERLINK("https://klasma.github.io/Logging_0580/artfynd/A 40315-2024 artfynd.xlsx", "A 40315-2024")</f>
        <v/>
      </c>
      <c r="T58">
        <f>HYPERLINK("https://klasma.github.io/Logging_0580/kartor/A 40315-2024 karta.png", "A 40315-2024")</f>
        <v/>
      </c>
      <c r="V58">
        <f>HYPERLINK("https://klasma.github.io/Logging_0580/klagomål/A 40315-2024 FSC-klagomål.docx", "A 40315-2024")</f>
        <v/>
      </c>
      <c r="W58">
        <f>HYPERLINK("https://klasma.github.io/Logging_0580/klagomålsmail/A 40315-2024 FSC-klagomål mail.docx", "A 40315-2024")</f>
        <v/>
      </c>
      <c r="X58">
        <f>HYPERLINK("https://klasma.github.io/Logging_0580/tillsyn/A 40315-2024 tillsynsbegäran.docx", "A 40315-2024")</f>
        <v/>
      </c>
      <c r="Y58">
        <f>HYPERLINK("https://klasma.github.io/Logging_0580/tillsynsmail/A 40315-2024 tillsynsbegäran mail.docx", "A 40315-2024")</f>
        <v/>
      </c>
    </row>
    <row r="59" ht="15" customHeight="1">
      <c r="A59" t="inlineStr">
        <is>
          <t>A 43989-2025</t>
        </is>
      </c>
      <c r="B59" s="1" t="n">
        <v>45915.44128472222</v>
      </c>
      <c r="C59" s="1" t="n">
        <v>45916</v>
      </c>
      <c r="D59" t="inlineStr">
        <is>
          <t>ÖSTERGÖTLANDS LÄN</t>
        </is>
      </c>
      <c r="E59" t="inlineStr">
        <is>
          <t>LINKÖPING</t>
        </is>
      </c>
      <c r="F59" t="inlineStr">
        <is>
          <t>Allmännings- och besparingsskogar</t>
        </is>
      </c>
      <c r="G59" t="n">
        <v>3.5</v>
      </c>
      <c r="H59" t="n">
        <v>0</v>
      </c>
      <c r="I59" t="n">
        <v>0</v>
      </c>
      <c r="J59" t="n">
        <v>1</v>
      </c>
      <c r="K59" t="n">
        <v>0</v>
      </c>
      <c r="L59" t="n">
        <v>0</v>
      </c>
      <c r="M59" t="n">
        <v>0</v>
      </c>
      <c r="N59" t="n">
        <v>0</v>
      </c>
      <c r="O59" t="n">
        <v>1</v>
      </c>
      <c r="P59" t="n">
        <v>0</v>
      </c>
      <c r="Q59" t="n">
        <v>1</v>
      </c>
      <c r="R59" s="2" t="inlineStr">
        <is>
          <t>Kavelhirs</t>
        </is>
      </c>
      <c r="S59">
        <f>HYPERLINK("https://klasma.github.io/Logging_0580/artfynd/A 43989-2025 artfynd.xlsx", "A 43989-2025")</f>
        <v/>
      </c>
      <c r="T59">
        <f>HYPERLINK("https://klasma.github.io/Logging_0580/kartor/A 43989-2025 karta.png", "A 43989-2025")</f>
        <v/>
      </c>
      <c r="V59">
        <f>HYPERLINK("https://klasma.github.io/Logging_0580/klagomål/A 43989-2025 FSC-klagomål.docx", "A 43989-2025")</f>
        <v/>
      </c>
      <c r="W59">
        <f>HYPERLINK("https://klasma.github.io/Logging_0580/klagomålsmail/A 43989-2025 FSC-klagomål mail.docx", "A 43989-2025")</f>
        <v/>
      </c>
      <c r="X59">
        <f>HYPERLINK("https://klasma.github.io/Logging_0580/tillsyn/A 43989-2025 tillsynsbegäran.docx", "A 43989-2025")</f>
        <v/>
      </c>
      <c r="Y59">
        <f>HYPERLINK("https://klasma.github.io/Logging_0580/tillsynsmail/A 43989-2025 tillsynsbegäran mail.docx", "A 43989-2025")</f>
        <v/>
      </c>
    </row>
    <row r="60" ht="15" customHeight="1">
      <c r="A60" t="inlineStr">
        <is>
          <t>A 48984-2020</t>
        </is>
      </c>
      <c r="B60" s="1" t="n">
        <v>44104</v>
      </c>
      <c r="C60" s="1" t="n">
        <v>45916</v>
      </c>
      <c r="D60" t="inlineStr">
        <is>
          <t>ÖSTERGÖTLANDS LÄN</t>
        </is>
      </c>
      <c r="E60" t="inlineStr">
        <is>
          <t>LINKÖPING</t>
        </is>
      </c>
      <c r="G60" t="n">
        <v>2.8</v>
      </c>
      <c r="H60" t="n">
        <v>0</v>
      </c>
      <c r="I60" t="n">
        <v>0</v>
      </c>
      <c r="J60" t="n">
        <v>1</v>
      </c>
      <c r="K60" t="n">
        <v>0</v>
      </c>
      <c r="L60" t="n">
        <v>0</v>
      </c>
      <c r="M60" t="n">
        <v>0</v>
      </c>
      <c r="N60" t="n">
        <v>0</v>
      </c>
      <c r="O60" t="n">
        <v>1</v>
      </c>
      <c r="P60" t="n">
        <v>0</v>
      </c>
      <c r="Q60" t="n">
        <v>1</v>
      </c>
      <c r="R60" s="2" t="inlineStr">
        <is>
          <t>Vårstarr</t>
        </is>
      </c>
      <c r="S60">
        <f>HYPERLINK("https://klasma.github.io/Logging_0580/artfynd/A 48984-2020 artfynd.xlsx", "A 48984-2020")</f>
        <v/>
      </c>
      <c r="T60">
        <f>HYPERLINK("https://klasma.github.io/Logging_0580/kartor/A 48984-2020 karta.png", "A 48984-2020")</f>
        <v/>
      </c>
      <c r="V60">
        <f>HYPERLINK("https://klasma.github.io/Logging_0580/klagomål/A 48984-2020 FSC-klagomål.docx", "A 48984-2020")</f>
        <v/>
      </c>
      <c r="W60">
        <f>HYPERLINK("https://klasma.github.io/Logging_0580/klagomålsmail/A 48984-2020 FSC-klagomål mail.docx", "A 48984-2020")</f>
        <v/>
      </c>
      <c r="X60">
        <f>HYPERLINK("https://klasma.github.io/Logging_0580/tillsyn/A 48984-2020 tillsynsbegäran.docx", "A 48984-2020")</f>
        <v/>
      </c>
      <c r="Y60">
        <f>HYPERLINK("https://klasma.github.io/Logging_0580/tillsynsmail/A 48984-2020 tillsynsbegäran mail.docx", "A 48984-2020")</f>
        <v/>
      </c>
    </row>
    <row r="61" ht="15" customHeight="1">
      <c r="A61" t="inlineStr">
        <is>
          <t>A 35948-2023</t>
        </is>
      </c>
      <c r="B61" s="1" t="n">
        <v>45148</v>
      </c>
      <c r="C61" s="1" t="n">
        <v>45916</v>
      </c>
      <c r="D61" t="inlineStr">
        <is>
          <t>ÖSTERGÖTLANDS LÄN</t>
        </is>
      </c>
      <c r="E61" t="inlineStr">
        <is>
          <t>LINKÖPING</t>
        </is>
      </c>
      <c r="G61" t="n">
        <v>1.9</v>
      </c>
      <c r="H61" t="n">
        <v>0</v>
      </c>
      <c r="I61" t="n">
        <v>1</v>
      </c>
      <c r="J61" t="n">
        <v>0</v>
      </c>
      <c r="K61" t="n">
        <v>0</v>
      </c>
      <c r="L61" t="n">
        <v>0</v>
      </c>
      <c r="M61" t="n">
        <v>0</v>
      </c>
      <c r="N61" t="n">
        <v>0</v>
      </c>
      <c r="O61" t="n">
        <v>0</v>
      </c>
      <c r="P61" t="n">
        <v>0</v>
      </c>
      <c r="Q61" t="n">
        <v>1</v>
      </c>
      <c r="R61" s="2" t="inlineStr">
        <is>
          <t>Brun nållav</t>
        </is>
      </c>
      <c r="S61">
        <f>HYPERLINK("https://klasma.github.io/Logging_0580/artfynd/A 35948-2023 artfynd.xlsx", "A 35948-2023")</f>
        <v/>
      </c>
      <c r="T61">
        <f>HYPERLINK("https://klasma.github.io/Logging_0580/kartor/A 35948-2023 karta.png", "A 35948-2023")</f>
        <v/>
      </c>
      <c r="V61">
        <f>HYPERLINK("https://klasma.github.io/Logging_0580/klagomål/A 35948-2023 FSC-klagomål.docx", "A 35948-2023")</f>
        <v/>
      </c>
      <c r="W61">
        <f>HYPERLINK("https://klasma.github.io/Logging_0580/klagomålsmail/A 35948-2023 FSC-klagomål mail.docx", "A 35948-2023")</f>
        <v/>
      </c>
      <c r="X61">
        <f>HYPERLINK("https://klasma.github.io/Logging_0580/tillsyn/A 35948-2023 tillsynsbegäran.docx", "A 35948-2023")</f>
        <v/>
      </c>
      <c r="Y61">
        <f>HYPERLINK("https://klasma.github.io/Logging_0580/tillsynsmail/A 35948-2023 tillsynsbegäran mail.docx", "A 35948-2023")</f>
        <v/>
      </c>
    </row>
    <row r="62" ht="15" customHeight="1">
      <c r="A62" t="inlineStr">
        <is>
          <t>A 62071-2023</t>
        </is>
      </c>
      <c r="B62" s="1" t="n">
        <v>45266.73542824074</v>
      </c>
      <c r="C62" s="1" t="n">
        <v>45916</v>
      </c>
      <c r="D62" t="inlineStr">
        <is>
          <t>ÖSTERGÖTLANDS LÄN</t>
        </is>
      </c>
      <c r="E62" t="inlineStr">
        <is>
          <t>LINKÖPING</t>
        </is>
      </c>
      <c r="G62" t="n">
        <v>6.5</v>
      </c>
      <c r="H62" t="n">
        <v>0</v>
      </c>
      <c r="I62" t="n">
        <v>0</v>
      </c>
      <c r="J62" t="n">
        <v>1</v>
      </c>
      <c r="K62" t="n">
        <v>0</v>
      </c>
      <c r="L62" t="n">
        <v>0</v>
      </c>
      <c r="M62" t="n">
        <v>0</v>
      </c>
      <c r="N62" t="n">
        <v>0</v>
      </c>
      <c r="O62" t="n">
        <v>1</v>
      </c>
      <c r="P62" t="n">
        <v>0</v>
      </c>
      <c r="Q62" t="n">
        <v>1</v>
      </c>
      <c r="R62" s="2" t="inlineStr">
        <is>
          <t>Svinrot</t>
        </is>
      </c>
      <c r="S62">
        <f>HYPERLINK("https://klasma.github.io/Logging_0580/artfynd/A 62071-2023 artfynd.xlsx", "A 62071-2023")</f>
        <v/>
      </c>
      <c r="T62">
        <f>HYPERLINK("https://klasma.github.io/Logging_0580/kartor/A 62071-2023 karta.png", "A 62071-2023")</f>
        <v/>
      </c>
      <c r="V62">
        <f>HYPERLINK("https://klasma.github.io/Logging_0580/klagomål/A 62071-2023 FSC-klagomål.docx", "A 62071-2023")</f>
        <v/>
      </c>
      <c r="W62">
        <f>HYPERLINK("https://klasma.github.io/Logging_0580/klagomålsmail/A 62071-2023 FSC-klagomål mail.docx", "A 62071-2023")</f>
        <v/>
      </c>
      <c r="X62">
        <f>HYPERLINK("https://klasma.github.io/Logging_0580/tillsyn/A 62071-2023 tillsynsbegäran.docx", "A 62071-2023")</f>
        <v/>
      </c>
      <c r="Y62">
        <f>HYPERLINK("https://klasma.github.io/Logging_0580/tillsynsmail/A 62071-2023 tillsynsbegäran mail.docx", "A 62071-2023")</f>
        <v/>
      </c>
    </row>
    <row r="63" ht="15" customHeight="1">
      <c r="A63" t="inlineStr">
        <is>
          <t>A 3397-2023</t>
        </is>
      </c>
      <c r="B63" s="1" t="n">
        <v>44949</v>
      </c>
      <c r="C63" s="1" t="n">
        <v>45916</v>
      </c>
      <c r="D63" t="inlineStr">
        <is>
          <t>ÖSTERGÖTLANDS LÄN</t>
        </is>
      </c>
      <c r="E63" t="inlineStr">
        <is>
          <t>LINKÖPING</t>
        </is>
      </c>
      <c r="G63" t="n">
        <v>4.1</v>
      </c>
      <c r="H63" t="n">
        <v>0</v>
      </c>
      <c r="I63" t="n">
        <v>0</v>
      </c>
      <c r="J63" t="n">
        <v>1</v>
      </c>
      <c r="K63" t="n">
        <v>0</v>
      </c>
      <c r="L63" t="n">
        <v>0</v>
      </c>
      <c r="M63" t="n">
        <v>0</v>
      </c>
      <c r="N63" t="n">
        <v>0</v>
      </c>
      <c r="O63" t="n">
        <v>1</v>
      </c>
      <c r="P63" t="n">
        <v>0</v>
      </c>
      <c r="Q63" t="n">
        <v>1</v>
      </c>
      <c r="R63" s="2" t="inlineStr">
        <is>
          <t>Svinrot</t>
        </is>
      </c>
      <c r="S63">
        <f>HYPERLINK("https://klasma.github.io/Logging_0580/artfynd/A 3397-2023 artfynd.xlsx", "A 3397-2023")</f>
        <v/>
      </c>
      <c r="T63">
        <f>HYPERLINK("https://klasma.github.io/Logging_0580/kartor/A 3397-2023 karta.png", "A 3397-2023")</f>
        <v/>
      </c>
      <c r="V63">
        <f>HYPERLINK("https://klasma.github.io/Logging_0580/klagomål/A 3397-2023 FSC-klagomål.docx", "A 3397-2023")</f>
        <v/>
      </c>
      <c r="W63">
        <f>HYPERLINK("https://klasma.github.io/Logging_0580/klagomålsmail/A 3397-2023 FSC-klagomål mail.docx", "A 3397-2023")</f>
        <v/>
      </c>
      <c r="X63">
        <f>HYPERLINK("https://klasma.github.io/Logging_0580/tillsyn/A 3397-2023 tillsynsbegäran.docx", "A 3397-2023")</f>
        <v/>
      </c>
      <c r="Y63">
        <f>HYPERLINK("https://klasma.github.io/Logging_0580/tillsynsmail/A 3397-2023 tillsynsbegäran mail.docx", "A 3397-2023")</f>
        <v/>
      </c>
    </row>
    <row r="64" ht="15" customHeight="1">
      <c r="A64" t="inlineStr">
        <is>
          <t>A 15290-2025</t>
        </is>
      </c>
      <c r="B64" s="1" t="n">
        <v>45745.45288194445</v>
      </c>
      <c r="C64" s="1" t="n">
        <v>45916</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34881-2023</t>
        </is>
      </c>
      <c r="B65" s="1" t="n">
        <v>45140</v>
      </c>
      <c r="C65" s="1" t="n">
        <v>45916</v>
      </c>
      <c r="D65" t="inlineStr">
        <is>
          <t>ÖSTERGÖTLANDS LÄN</t>
        </is>
      </c>
      <c r="E65" t="inlineStr">
        <is>
          <t>LINKÖPING</t>
        </is>
      </c>
      <c r="G65" t="n">
        <v>1.9</v>
      </c>
      <c r="H65" t="n">
        <v>0</v>
      </c>
      <c r="I65" t="n">
        <v>0</v>
      </c>
      <c r="J65" t="n">
        <v>1</v>
      </c>
      <c r="K65" t="n">
        <v>0</v>
      </c>
      <c r="L65" t="n">
        <v>0</v>
      </c>
      <c r="M65" t="n">
        <v>0</v>
      </c>
      <c r="N65" t="n">
        <v>0</v>
      </c>
      <c r="O65" t="n">
        <v>1</v>
      </c>
      <c r="P65" t="n">
        <v>0</v>
      </c>
      <c r="Q65" t="n">
        <v>1</v>
      </c>
      <c r="R65" s="2" t="inlineStr">
        <is>
          <t>Tallticka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17389-2021</t>
        </is>
      </c>
      <c r="B66" s="1" t="n">
        <v>44298.96792824074</v>
      </c>
      <c r="C66" s="1" t="n">
        <v>45916</v>
      </c>
      <c r="D66" t="inlineStr">
        <is>
          <t>ÖSTERGÖTLANDS LÄN</t>
        </is>
      </c>
      <c r="E66" t="inlineStr">
        <is>
          <t>LINKÖPING</t>
        </is>
      </c>
      <c r="G66" t="n">
        <v>5.1</v>
      </c>
      <c r="H66" t="n">
        <v>0</v>
      </c>
      <c r="I66" t="n">
        <v>1</v>
      </c>
      <c r="J66" t="n">
        <v>0</v>
      </c>
      <c r="K66" t="n">
        <v>0</v>
      </c>
      <c r="L66" t="n">
        <v>0</v>
      </c>
      <c r="M66" t="n">
        <v>0</v>
      </c>
      <c r="N66" t="n">
        <v>0</v>
      </c>
      <c r="O66" t="n">
        <v>0</v>
      </c>
      <c r="P66" t="n">
        <v>0</v>
      </c>
      <c r="Q66" t="n">
        <v>1</v>
      </c>
      <c r="R66" s="2" t="inlineStr">
        <is>
          <t>Blomkålssvamp</t>
        </is>
      </c>
      <c r="S66">
        <f>HYPERLINK("https://klasma.github.io/Logging_0580/artfynd/A 17389-2021 artfynd.xlsx", "A 17389-2021")</f>
        <v/>
      </c>
      <c r="T66">
        <f>HYPERLINK("https://klasma.github.io/Logging_0580/kartor/A 17389-2021 karta.png", "A 17389-2021")</f>
        <v/>
      </c>
      <c r="V66">
        <f>HYPERLINK("https://klasma.github.io/Logging_0580/klagomål/A 17389-2021 FSC-klagomål.docx", "A 17389-2021")</f>
        <v/>
      </c>
      <c r="W66">
        <f>HYPERLINK("https://klasma.github.io/Logging_0580/klagomålsmail/A 17389-2021 FSC-klagomål mail.docx", "A 17389-2021")</f>
        <v/>
      </c>
      <c r="X66">
        <f>HYPERLINK("https://klasma.github.io/Logging_0580/tillsyn/A 17389-2021 tillsynsbegäran.docx", "A 17389-2021")</f>
        <v/>
      </c>
      <c r="Y66">
        <f>HYPERLINK("https://klasma.github.io/Logging_0580/tillsynsmail/A 17389-2021 tillsynsbegäran mail.docx", "A 17389-2021")</f>
        <v/>
      </c>
    </row>
    <row r="67" ht="15" customHeight="1">
      <c r="A67" t="inlineStr">
        <is>
          <t>A 56128-2022</t>
        </is>
      </c>
      <c r="B67" s="1" t="n">
        <v>44889</v>
      </c>
      <c r="C67" s="1" t="n">
        <v>45916</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40309-2024</t>
        </is>
      </c>
      <c r="B68" s="1" t="n">
        <v>45554.724375</v>
      </c>
      <c r="C68" s="1" t="n">
        <v>45916</v>
      </c>
      <c r="D68" t="inlineStr">
        <is>
          <t>ÖSTERGÖTLANDS LÄN</t>
        </is>
      </c>
      <c r="E68" t="inlineStr">
        <is>
          <t>LINKÖPING</t>
        </is>
      </c>
      <c r="F68" t="inlineStr">
        <is>
          <t>Allmännings- och besparingsskogar</t>
        </is>
      </c>
      <c r="G68" t="n">
        <v>6</v>
      </c>
      <c r="H68" t="n">
        <v>0</v>
      </c>
      <c r="I68" t="n">
        <v>0</v>
      </c>
      <c r="J68" t="n">
        <v>1</v>
      </c>
      <c r="K68" t="n">
        <v>0</v>
      </c>
      <c r="L68" t="n">
        <v>0</v>
      </c>
      <c r="M68" t="n">
        <v>0</v>
      </c>
      <c r="N68" t="n">
        <v>0</v>
      </c>
      <c r="O68" t="n">
        <v>1</v>
      </c>
      <c r="P68" t="n">
        <v>0</v>
      </c>
      <c r="Q68" t="n">
        <v>1</v>
      </c>
      <c r="R68" s="2" t="inlineStr">
        <is>
          <t>Garnlav</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row>
    <row r="69" ht="15" customHeight="1">
      <c r="A69" t="inlineStr">
        <is>
          <t>A 54835-2023</t>
        </is>
      </c>
      <c r="B69" s="1" t="n">
        <v>45236</v>
      </c>
      <c r="C69" s="1" t="n">
        <v>45916</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20295-2025</t>
        </is>
      </c>
      <c r="B70" s="1" t="n">
        <v>45774.74846064814</v>
      </c>
      <c r="C70" s="1" t="n">
        <v>45916</v>
      </c>
      <c r="D70" t="inlineStr">
        <is>
          <t>ÖSTERGÖTLANDS LÄN</t>
        </is>
      </c>
      <c r="E70" t="inlineStr">
        <is>
          <t>LINKÖPING</t>
        </is>
      </c>
      <c r="G70" t="n">
        <v>3</v>
      </c>
      <c r="H70" t="n">
        <v>0</v>
      </c>
      <c r="I70" t="n">
        <v>0</v>
      </c>
      <c r="J70" t="n">
        <v>1</v>
      </c>
      <c r="K70" t="n">
        <v>0</v>
      </c>
      <c r="L70" t="n">
        <v>0</v>
      </c>
      <c r="M70" t="n">
        <v>0</v>
      </c>
      <c r="N70" t="n">
        <v>0</v>
      </c>
      <c r="O70" t="n">
        <v>1</v>
      </c>
      <c r="P70" t="n">
        <v>0</v>
      </c>
      <c r="Q70" t="n">
        <v>1</v>
      </c>
      <c r="R70" s="2" t="inlineStr">
        <is>
          <t>Tallticka</t>
        </is>
      </c>
      <c r="S70">
        <f>HYPERLINK("https://klasma.github.io/Logging_0580/artfynd/A 20295-2025 artfynd.xlsx", "A 20295-2025")</f>
        <v/>
      </c>
      <c r="T70">
        <f>HYPERLINK("https://klasma.github.io/Logging_0580/kartor/A 20295-2025 karta.png", "A 20295-2025")</f>
        <v/>
      </c>
      <c r="V70">
        <f>HYPERLINK("https://klasma.github.io/Logging_0580/klagomål/A 20295-2025 FSC-klagomål.docx", "A 20295-2025")</f>
        <v/>
      </c>
      <c r="W70">
        <f>HYPERLINK("https://klasma.github.io/Logging_0580/klagomålsmail/A 20295-2025 FSC-klagomål mail.docx", "A 20295-2025")</f>
        <v/>
      </c>
      <c r="X70">
        <f>HYPERLINK("https://klasma.github.io/Logging_0580/tillsyn/A 20295-2025 tillsynsbegäran.docx", "A 20295-2025")</f>
        <v/>
      </c>
      <c r="Y70">
        <f>HYPERLINK("https://klasma.github.io/Logging_0580/tillsynsmail/A 20295-2025 tillsynsbegäran mail.docx", "A 20295-2025")</f>
        <v/>
      </c>
    </row>
    <row r="71" ht="15" customHeight="1">
      <c r="A71" t="inlineStr">
        <is>
          <t>A 60573-2021</t>
        </is>
      </c>
      <c r="B71" s="1" t="n">
        <v>44496</v>
      </c>
      <c r="C71" s="1" t="n">
        <v>45916</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126-2024</t>
        </is>
      </c>
      <c r="B72" s="1" t="n">
        <v>45294</v>
      </c>
      <c r="C72" s="1" t="n">
        <v>45916</v>
      </c>
      <c r="D72" t="inlineStr">
        <is>
          <t>ÖSTERGÖTLANDS LÄN</t>
        </is>
      </c>
      <c r="E72" t="inlineStr">
        <is>
          <t>LINKÖPING</t>
        </is>
      </c>
      <c r="G72" t="n">
        <v>1</v>
      </c>
      <c r="H72" t="n">
        <v>0</v>
      </c>
      <c r="I72" t="n">
        <v>1</v>
      </c>
      <c r="J72" t="n">
        <v>0</v>
      </c>
      <c r="K72" t="n">
        <v>0</v>
      </c>
      <c r="L72" t="n">
        <v>0</v>
      </c>
      <c r="M72" t="n">
        <v>0</v>
      </c>
      <c r="N72" t="n">
        <v>0</v>
      </c>
      <c r="O72" t="n">
        <v>0</v>
      </c>
      <c r="P72" t="n">
        <v>0</v>
      </c>
      <c r="Q72" t="n">
        <v>1</v>
      </c>
      <c r="R72" s="2" t="inlineStr">
        <is>
          <t>Blåmossa</t>
        </is>
      </c>
      <c r="S72">
        <f>HYPERLINK("https://klasma.github.io/Logging_0580/artfynd/A 126-2024 artfynd.xlsx", "A 126-2024")</f>
        <v/>
      </c>
      <c r="T72">
        <f>HYPERLINK("https://klasma.github.io/Logging_0580/kartor/A 126-2024 karta.png", "A 126-2024")</f>
        <v/>
      </c>
      <c r="V72">
        <f>HYPERLINK("https://klasma.github.io/Logging_0580/klagomål/A 126-2024 FSC-klagomål.docx", "A 126-2024")</f>
        <v/>
      </c>
      <c r="W72">
        <f>HYPERLINK("https://klasma.github.io/Logging_0580/klagomålsmail/A 126-2024 FSC-klagomål mail.docx", "A 126-2024")</f>
        <v/>
      </c>
      <c r="X72">
        <f>HYPERLINK("https://klasma.github.io/Logging_0580/tillsyn/A 126-2024 tillsynsbegäran.docx", "A 126-2024")</f>
        <v/>
      </c>
      <c r="Y72">
        <f>HYPERLINK("https://klasma.github.io/Logging_0580/tillsynsmail/A 126-2024 tillsynsbegäran mail.docx", "A 126-2024")</f>
        <v/>
      </c>
    </row>
    <row r="73" ht="15" customHeight="1">
      <c r="A73" t="inlineStr">
        <is>
          <t>A 22526-2025</t>
        </is>
      </c>
      <c r="B73" s="1" t="n">
        <v>45786.78096064815</v>
      </c>
      <c r="C73" s="1" t="n">
        <v>45916</v>
      </c>
      <c r="D73" t="inlineStr">
        <is>
          <t>ÖSTERGÖTLANDS LÄN</t>
        </is>
      </c>
      <c r="E73" t="inlineStr">
        <is>
          <t>LINKÖPING</t>
        </is>
      </c>
      <c r="G73" t="n">
        <v>1.8</v>
      </c>
      <c r="H73" t="n">
        <v>1</v>
      </c>
      <c r="I73" t="n">
        <v>0</v>
      </c>
      <c r="J73" t="n">
        <v>1</v>
      </c>
      <c r="K73" t="n">
        <v>0</v>
      </c>
      <c r="L73" t="n">
        <v>0</v>
      </c>
      <c r="M73" t="n">
        <v>0</v>
      </c>
      <c r="N73" t="n">
        <v>0</v>
      </c>
      <c r="O73" t="n">
        <v>1</v>
      </c>
      <c r="P73" t="n">
        <v>0</v>
      </c>
      <c r="Q73" t="n">
        <v>1</v>
      </c>
      <c r="R73" s="2" t="inlineStr">
        <is>
          <t>Röd skogslilja</t>
        </is>
      </c>
      <c r="S73">
        <f>HYPERLINK("https://klasma.github.io/Logging_0580/artfynd/A 22526-2025 artfynd.xlsx", "A 22526-2025")</f>
        <v/>
      </c>
      <c r="T73">
        <f>HYPERLINK("https://klasma.github.io/Logging_0580/kartor/A 22526-2025 karta.png", "A 22526-2025")</f>
        <v/>
      </c>
      <c r="V73">
        <f>HYPERLINK("https://klasma.github.io/Logging_0580/klagomål/A 22526-2025 FSC-klagomål.docx", "A 22526-2025")</f>
        <v/>
      </c>
      <c r="W73">
        <f>HYPERLINK("https://klasma.github.io/Logging_0580/klagomålsmail/A 22526-2025 FSC-klagomål mail.docx", "A 22526-2025")</f>
        <v/>
      </c>
      <c r="X73">
        <f>HYPERLINK("https://klasma.github.io/Logging_0580/tillsyn/A 22526-2025 tillsynsbegäran.docx", "A 22526-2025")</f>
        <v/>
      </c>
      <c r="Y73">
        <f>HYPERLINK("https://klasma.github.io/Logging_0580/tillsynsmail/A 22526-2025 tillsynsbegäran mail.docx", "A 22526-2025")</f>
        <v/>
      </c>
    </row>
    <row r="74" ht="15" customHeight="1">
      <c r="A74" t="inlineStr">
        <is>
          <t>A 41749-2023</t>
        </is>
      </c>
      <c r="B74" s="1" t="n">
        <v>45176</v>
      </c>
      <c r="C74" s="1" t="n">
        <v>45916</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41749-2023 artfynd.xlsx", "A 41749-2023")</f>
        <v/>
      </c>
      <c r="T74">
        <f>HYPERLINK("https://klasma.github.io/Logging_0580/kartor/A 41749-2023 karta.png", "A 41749-2023")</f>
        <v/>
      </c>
      <c r="V74">
        <f>HYPERLINK("https://klasma.github.io/Logging_0580/klagomål/A 41749-2023 FSC-klagomål.docx", "A 41749-2023")</f>
        <v/>
      </c>
      <c r="W74">
        <f>HYPERLINK("https://klasma.github.io/Logging_0580/klagomålsmail/A 41749-2023 FSC-klagomål mail.docx", "A 41749-2023")</f>
        <v/>
      </c>
      <c r="X74">
        <f>HYPERLINK("https://klasma.github.io/Logging_0580/tillsyn/A 41749-2023 tillsynsbegäran.docx", "A 41749-2023")</f>
        <v/>
      </c>
      <c r="Y74">
        <f>HYPERLINK("https://klasma.github.io/Logging_0580/tillsynsmail/A 41749-2023 tillsynsbegäran mail.docx", "A 41749-2023")</f>
        <v/>
      </c>
    </row>
    <row r="75" ht="15" customHeight="1">
      <c r="A75" t="inlineStr">
        <is>
          <t>A 13694-2025</t>
        </is>
      </c>
      <c r="B75" s="1" t="n">
        <v>45737.32148148148</v>
      </c>
      <c r="C75" s="1" t="n">
        <v>45916</v>
      </c>
      <c r="D75" t="inlineStr">
        <is>
          <t>ÖSTERGÖTLANDS LÄN</t>
        </is>
      </c>
      <c r="E75" t="inlineStr">
        <is>
          <t>LINKÖPING</t>
        </is>
      </c>
      <c r="G75" t="n">
        <v>9.300000000000001</v>
      </c>
      <c r="H75" t="n">
        <v>1</v>
      </c>
      <c r="I75" t="n">
        <v>0</v>
      </c>
      <c r="J75" t="n">
        <v>0</v>
      </c>
      <c r="K75" t="n">
        <v>0</v>
      </c>
      <c r="L75" t="n">
        <v>0</v>
      </c>
      <c r="M75" t="n">
        <v>0</v>
      </c>
      <c r="N75" t="n">
        <v>0</v>
      </c>
      <c r="O75" t="n">
        <v>0</v>
      </c>
      <c r="P75" t="n">
        <v>0</v>
      </c>
      <c r="Q75" t="n">
        <v>1</v>
      </c>
      <c r="R75" s="2" t="inlineStr">
        <is>
          <t>Mattlummer</t>
        </is>
      </c>
      <c r="S75">
        <f>HYPERLINK("https://klasma.github.io/Logging_0580/artfynd/A 13694-2025 artfynd.xlsx", "A 13694-2025")</f>
        <v/>
      </c>
      <c r="T75">
        <f>HYPERLINK("https://klasma.github.io/Logging_0580/kartor/A 13694-2025 karta.png", "A 13694-2025")</f>
        <v/>
      </c>
      <c r="V75">
        <f>HYPERLINK("https://klasma.github.io/Logging_0580/klagomål/A 13694-2025 FSC-klagomål.docx", "A 13694-2025")</f>
        <v/>
      </c>
      <c r="W75">
        <f>HYPERLINK("https://klasma.github.io/Logging_0580/klagomålsmail/A 13694-2025 FSC-klagomål mail.docx", "A 13694-2025")</f>
        <v/>
      </c>
      <c r="X75">
        <f>HYPERLINK("https://klasma.github.io/Logging_0580/tillsyn/A 13694-2025 tillsynsbegäran.docx", "A 13694-2025")</f>
        <v/>
      </c>
      <c r="Y75">
        <f>HYPERLINK("https://klasma.github.io/Logging_0580/tillsynsmail/A 13694-2025 tillsynsbegäran mail.docx", "A 13694-2025")</f>
        <v/>
      </c>
    </row>
    <row r="76" ht="15" customHeight="1">
      <c r="A76" t="inlineStr">
        <is>
          <t>A 38881-2021</t>
        </is>
      </c>
      <c r="B76" s="1" t="n">
        <v>44411.46893518518</v>
      </c>
      <c r="C76" s="1" t="n">
        <v>45916</v>
      </c>
      <c r="D76" t="inlineStr">
        <is>
          <t>ÖSTERGÖTLANDS LÄN</t>
        </is>
      </c>
      <c r="E76" t="inlineStr">
        <is>
          <t>LINKÖPING</t>
        </is>
      </c>
      <c r="G76" t="n">
        <v>2.2</v>
      </c>
      <c r="H76" t="n">
        <v>0</v>
      </c>
      <c r="I76" t="n">
        <v>0</v>
      </c>
      <c r="J76" t="n">
        <v>0</v>
      </c>
      <c r="K76" t="n">
        <v>0</v>
      </c>
      <c r="L76" t="n">
        <v>0</v>
      </c>
      <c r="M76" t="n">
        <v>0</v>
      </c>
      <c r="N76" t="n">
        <v>0</v>
      </c>
      <c r="O76" t="n">
        <v>0</v>
      </c>
      <c r="P76" t="n">
        <v>0</v>
      </c>
      <c r="Q76" t="n">
        <v>0</v>
      </c>
      <c r="R76" s="2" t="inlineStr"/>
    </row>
    <row r="77" ht="15" customHeight="1">
      <c r="A77" t="inlineStr">
        <is>
          <t>A 38887-2021</t>
        </is>
      </c>
      <c r="B77" s="1" t="n">
        <v>44411</v>
      </c>
      <c r="C77" s="1" t="n">
        <v>45916</v>
      </c>
      <c r="D77" t="inlineStr">
        <is>
          <t>ÖSTERGÖTLANDS LÄN</t>
        </is>
      </c>
      <c r="E77" t="inlineStr">
        <is>
          <t>LINKÖPING</t>
        </is>
      </c>
      <c r="G77" t="n">
        <v>1.6</v>
      </c>
      <c r="H77" t="n">
        <v>0</v>
      </c>
      <c r="I77" t="n">
        <v>0</v>
      </c>
      <c r="J77" t="n">
        <v>0</v>
      </c>
      <c r="K77" t="n">
        <v>0</v>
      </c>
      <c r="L77" t="n">
        <v>0</v>
      </c>
      <c r="M77" t="n">
        <v>0</v>
      </c>
      <c r="N77" t="n">
        <v>0</v>
      </c>
      <c r="O77" t="n">
        <v>0</v>
      </c>
      <c r="P77" t="n">
        <v>0</v>
      </c>
      <c r="Q77" t="n">
        <v>0</v>
      </c>
      <c r="R77" s="2" t="inlineStr"/>
    </row>
    <row r="78" ht="15" customHeight="1">
      <c r="A78" t="inlineStr">
        <is>
          <t>A 5008-2021</t>
        </is>
      </c>
      <c r="B78" s="1" t="n">
        <v>44228</v>
      </c>
      <c r="C78" s="1" t="n">
        <v>45916</v>
      </c>
      <c r="D78" t="inlineStr">
        <is>
          <t>ÖSTERGÖTLANDS LÄN</t>
        </is>
      </c>
      <c r="E78" t="inlineStr">
        <is>
          <t>LINKÖPING</t>
        </is>
      </c>
      <c r="F78" t="inlineStr">
        <is>
          <t>Övriga Aktiebolag</t>
        </is>
      </c>
      <c r="G78" t="n">
        <v>0.3</v>
      </c>
      <c r="H78" t="n">
        <v>0</v>
      </c>
      <c r="I78" t="n">
        <v>0</v>
      </c>
      <c r="J78" t="n">
        <v>0</v>
      </c>
      <c r="K78" t="n">
        <v>0</v>
      </c>
      <c r="L78" t="n">
        <v>0</v>
      </c>
      <c r="M78" t="n">
        <v>0</v>
      </c>
      <c r="N78" t="n">
        <v>0</v>
      </c>
      <c r="O78" t="n">
        <v>0</v>
      </c>
      <c r="P78" t="n">
        <v>0</v>
      </c>
      <c r="Q78" t="n">
        <v>0</v>
      </c>
      <c r="R78" s="2" t="inlineStr"/>
    </row>
    <row r="79" ht="15" customHeight="1">
      <c r="A79" t="inlineStr">
        <is>
          <t>A 56239-2021</t>
        </is>
      </c>
      <c r="B79" s="1" t="n">
        <v>44478</v>
      </c>
      <c r="C79" s="1" t="n">
        <v>45916</v>
      </c>
      <c r="D79" t="inlineStr">
        <is>
          <t>ÖSTERGÖTLANDS LÄN</t>
        </is>
      </c>
      <c r="E79" t="inlineStr">
        <is>
          <t>LINKÖPING</t>
        </is>
      </c>
      <c r="F79" t="inlineStr">
        <is>
          <t>Övriga Aktiebolag</t>
        </is>
      </c>
      <c r="G79" t="n">
        <v>3</v>
      </c>
      <c r="H79" t="n">
        <v>0</v>
      </c>
      <c r="I79" t="n">
        <v>0</v>
      </c>
      <c r="J79" t="n">
        <v>0</v>
      </c>
      <c r="K79" t="n">
        <v>0</v>
      </c>
      <c r="L79" t="n">
        <v>0</v>
      </c>
      <c r="M79" t="n">
        <v>0</v>
      </c>
      <c r="N79" t="n">
        <v>0</v>
      </c>
      <c r="O79" t="n">
        <v>0</v>
      </c>
      <c r="P79" t="n">
        <v>0</v>
      </c>
      <c r="Q79" t="n">
        <v>0</v>
      </c>
      <c r="R79" s="2" t="inlineStr"/>
    </row>
    <row r="80" ht="15" customHeight="1">
      <c r="A80" t="inlineStr">
        <is>
          <t>A 7289-2021</t>
        </is>
      </c>
      <c r="B80" s="1" t="n">
        <v>44238</v>
      </c>
      <c r="C80" s="1" t="n">
        <v>45916</v>
      </c>
      <c r="D80" t="inlineStr">
        <is>
          <t>ÖSTERGÖTLANDS LÄN</t>
        </is>
      </c>
      <c r="E80" t="inlineStr">
        <is>
          <t>LINKÖPING</t>
        </is>
      </c>
      <c r="G80" t="n">
        <v>0.7</v>
      </c>
      <c r="H80" t="n">
        <v>0</v>
      </c>
      <c r="I80" t="n">
        <v>0</v>
      </c>
      <c r="J80" t="n">
        <v>0</v>
      </c>
      <c r="K80" t="n">
        <v>0</v>
      </c>
      <c r="L80" t="n">
        <v>0</v>
      </c>
      <c r="M80" t="n">
        <v>0</v>
      </c>
      <c r="N80" t="n">
        <v>0</v>
      </c>
      <c r="O80" t="n">
        <v>0</v>
      </c>
      <c r="P80" t="n">
        <v>0</v>
      </c>
      <c r="Q80" t="n">
        <v>0</v>
      </c>
      <c r="R80" s="2" t="inlineStr"/>
    </row>
    <row r="81" ht="15" customHeight="1">
      <c r="A81" t="inlineStr">
        <is>
          <t>A 6958-2021</t>
        </is>
      </c>
      <c r="B81" s="1" t="n">
        <v>44237</v>
      </c>
      <c r="C81" s="1" t="n">
        <v>45916</v>
      </c>
      <c r="D81" t="inlineStr">
        <is>
          <t>ÖSTERGÖTLANDS LÄN</t>
        </is>
      </c>
      <c r="E81" t="inlineStr">
        <is>
          <t>LINKÖPING</t>
        </is>
      </c>
      <c r="G81" t="n">
        <v>0.6</v>
      </c>
      <c r="H81" t="n">
        <v>0</v>
      </c>
      <c r="I81" t="n">
        <v>0</v>
      </c>
      <c r="J81" t="n">
        <v>0</v>
      </c>
      <c r="K81" t="n">
        <v>0</v>
      </c>
      <c r="L81" t="n">
        <v>0</v>
      </c>
      <c r="M81" t="n">
        <v>0</v>
      </c>
      <c r="N81" t="n">
        <v>0</v>
      </c>
      <c r="O81" t="n">
        <v>0</v>
      </c>
      <c r="P81" t="n">
        <v>0</v>
      </c>
      <c r="Q81" t="n">
        <v>0</v>
      </c>
      <c r="R81" s="2" t="inlineStr"/>
    </row>
    <row r="82" ht="15" customHeight="1">
      <c r="A82" t="inlineStr">
        <is>
          <t>A 398-2021</t>
        </is>
      </c>
      <c r="B82" s="1" t="n">
        <v>44201</v>
      </c>
      <c r="C82" s="1" t="n">
        <v>45916</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67322-2021</t>
        </is>
      </c>
      <c r="B83" s="1" t="n">
        <v>44523</v>
      </c>
      <c r="C83" s="1" t="n">
        <v>45916</v>
      </c>
      <c r="D83" t="inlineStr">
        <is>
          <t>ÖSTERGÖTLANDS LÄN</t>
        </is>
      </c>
      <c r="E83" t="inlineStr">
        <is>
          <t>LINKÖPING</t>
        </is>
      </c>
      <c r="G83" t="n">
        <v>0.8</v>
      </c>
      <c r="H83" t="n">
        <v>0</v>
      </c>
      <c r="I83" t="n">
        <v>0</v>
      </c>
      <c r="J83" t="n">
        <v>0</v>
      </c>
      <c r="K83" t="n">
        <v>0</v>
      </c>
      <c r="L83" t="n">
        <v>0</v>
      </c>
      <c r="M83" t="n">
        <v>0</v>
      </c>
      <c r="N83" t="n">
        <v>0</v>
      </c>
      <c r="O83" t="n">
        <v>0</v>
      </c>
      <c r="P83" t="n">
        <v>0</v>
      </c>
      <c r="Q83" t="n">
        <v>0</v>
      </c>
      <c r="R83" s="2" t="inlineStr"/>
    </row>
    <row r="84" ht="15" customHeight="1">
      <c r="A84" t="inlineStr">
        <is>
          <t>A 7840-2022</t>
        </is>
      </c>
      <c r="B84" s="1" t="n">
        <v>44608</v>
      </c>
      <c r="C84" s="1" t="n">
        <v>45916</v>
      </c>
      <c r="D84" t="inlineStr">
        <is>
          <t>ÖSTERGÖTLANDS LÄN</t>
        </is>
      </c>
      <c r="E84" t="inlineStr">
        <is>
          <t>LINKÖPING</t>
        </is>
      </c>
      <c r="G84" t="n">
        <v>1</v>
      </c>
      <c r="H84" t="n">
        <v>0</v>
      </c>
      <c r="I84" t="n">
        <v>0</v>
      </c>
      <c r="J84" t="n">
        <v>0</v>
      </c>
      <c r="K84" t="n">
        <v>0</v>
      </c>
      <c r="L84" t="n">
        <v>0</v>
      </c>
      <c r="M84" t="n">
        <v>0</v>
      </c>
      <c r="N84" t="n">
        <v>0</v>
      </c>
      <c r="O84" t="n">
        <v>0</v>
      </c>
      <c r="P84" t="n">
        <v>0</v>
      </c>
      <c r="Q84" t="n">
        <v>0</v>
      </c>
      <c r="R84" s="2" t="inlineStr"/>
    </row>
    <row r="85" ht="15" customHeight="1">
      <c r="A85" t="inlineStr">
        <is>
          <t>A 40506-2021</t>
        </is>
      </c>
      <c r="B85" s="1" t="n">
        <v>44420</v>
      </c>
      <c r="C85" s="1" t="n">
        <v>45916</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64269-2021</t>
        </is>
      </c>
      <c r="B86" s="1" t="n">
        <v>44510</v>
      </c>
      <c r="C86" s="1" t="n">
        <v>45916</v>
      </c>
      <c r="D86" t="inlineStr">
        <is>
          <t>ÖSTERGÖTLANDS LÄN</t>
        </is>
      </c>
      <c r="E86" t="inlineStr">
        <is>
          <t>LINKÖPING</t>
        </is>
      </c>
      <c r="G86" t="n">
        <v>1.9</v>
      </c>
      <c r="H86" t="n">
        <v>0</v>
      </c>
      <c r="I86" t="n">
        <v>0</v>
      </c>
      <c r="J86" t="n">
        <v>0</v>
      </c>
      <c r="K86" t="n">
        <v>0</v>
      </c>
      <c r="L86" t="n">
        <v>0</v>
      </c>
      <c r="M86" t="n">
        <v>0</v>
      </c>
      <c r="N86" t="n">
        <v>0</v>
      </c>
      <c r="O86" t="n">
        <v>0</v>
      </c>
      <c r="P86" t="n">
        <v>0</v>
      </c>
      <c r="Q86" t="n">
        <v>0</v>
      </c>
      <c r="R86" s="2" t="inlineStr"/>
    </row>
    <row r="87" ht="15" customHeight="1">
      <c r="A87" t="inlineStr">
        <is>
          <t>A 58407-2021</t>
        </is>
      </c>
      <c r="B87" s="1" t="n">
        <v>44488</v>
      </c>
      <c r="C87" s="1" t="n">
        <v>45916</v>
      </c>
      <c r="D87" t="inlineStr">
        <is>
          <t>ÖSTERGÖTLANDS LÄN</t>
        </is>
      </c>
      <c r="E87" t="inlineStr">
        <is>
          <t>LINKÖPING</t>
        </is>
      </c>
      <c r="G87" t="n">
        <v>1.1</v>
      </c>
      <c r="H87" t="n">
        <v>0</v>
      </c>
      <c r="I87" t="n">
        <v>0</v>
      </c>
      <c r="J87" t="n">
        <v>0</v>
      </c>
      <c r="K87" t="n">
        <v>0</v>
      </c>
      <c r="L87" t="n">
        <v>0</v>
      </c>
      <c r="M87" t="n">
        <v>0</v>
      </c>
      <c r="N87" t="n">
        <v>0</v>
      </c>
      <c r="O87" t="n">
        <v>0</v>
      </c>
      <c r="P87" t="n">
        <v>0</v>
      </c>
      <c r="Q87" t="n">
        <v>0</v>
      </c>
      <c r="R87" s="2" t="inlineStr"/>
    </row>
    <row r="88" ht="15" customHeight="1">
      <c r="A88" t="inlineStr">
        <is>
          <t>A 30800-2022</t>
        </is>
      </c>
      <c r="B88" s="1" t="n">
        <v>44764.75119212963</v>
      </c>
      <c r="C88" s="1" t="n">
        <v>45916</v>
      </c>
      <c r="D88" t="inlineStr">
        <is>
          <t>ÖSTERGÖTLANDS LÄN</t>
        </is>
      </c>
      <c r="E88" t="inlineStr">
        <is>
          <t>LINKÖPING</t>
        </is>
      </c>
      <c r="G88" t="n">
        <v>0.9</v>
      </c>
      <c r="H88" t="n">
        <v>0</v>
      </c>
      <c r="I88" t="n">
        <v>0</v>
      </c>
      <c r="J88" t="n">
        <v>0</v>
      </c>
      <c r="K88" t="n">
        <v>0</v>
      </c>
      <c r="L88" t="n">
        <v>0</v>
      </c>
      <c r="M88" t="n">
        <v>0</v>
      </c>
      <c r="N88" t="n">
        <v>0</v>
      </c>
      <c r="O88" t="n">
        <v>0</v>
      </c>
      <c r="P88" t="n">
        <v>0</v>
      </c>
      <c r="Q88" t="n">
        <v>0</v>
      </c>
      <c r="R88" s="2" t="inlineStr"/>
    </row>
    <row r="89" ht="15" customHeight="1">
      <c r="A89" t="inlineStr">
        <is>
          <t>A 40635-2021</t>
        </is>
      </c>
      <c r="B89" s="1" t="n">
        <v>44420</v>
      </c>
      <c r="C89" s="1" t="n">
        <v>45916</v>
      </c>
      <c r="D89" t="inlineStr">
        <is>
          <t>ÖSTERGÖTLANDS LÄN</t>
        </is>
      </c>
      <c r="E89" t="inlineStr">
        <is>
          <t>LINKÖPING</t>
        </is>
      </c>
      <c r="G89" t="n">
        <v>2.7</v>
      </c>
      <c r="H89" t="n">
        <v>0</v>
      </c>
      <c r="I89" t="n">
        <v>0</v>
      </c>
      <c r="J89" t="n">
        <v>0</v>
      </c>
      <c r="K89" t="n">
        <v>0</v>
      </c>
      <c r="L89" t="n">
        <v>0</v>
      </c>
      <c r="M89" t="n">
        <v>0</v>
      </c>
      <c r="N89" t="n">
        <v>0</v>
      </c>
      <c r="O89" t="n">
        <v>0</v>
      </c>
      <c r="P89" t="n">
        <v>0</v>
      </c>
      <c r="Q89" t="n">
        <v>0</v>
      </c>
      <c r="R89" s="2" t="inlineStr"/>
    </row>
    <row r="90" ht="15" customHeight="1">
      <c r="A90" t="inlineStr">
        <is>
          <t>A 49018-2022</t>
        </is>
      </c>
      <c r="B90" s="1" t="n">
        <v>44855</v>
      </c>
      <c r="C90" s="1" t="n">
        <v>45916</v>
      </c>
      <c r="D90" t="inlineStr">
        <is>
          <t>ÖSTERGÖTLANDS LÄN</t>
        </is>
      </c>
      <c r="E90" t="inlineStr">
        <is>
          <t>LINKÖPING</t>
        </is>
      </c>
      <c r="F90" t="inlineStr">
        <is>
          <t>Kommuner</t>
        </is>
      </c>
      <c r="G90" t="n">
        <v>0.4</v>
      </c>
      <c r="H90" t="n">
        <v>0</v>
      </c>
      <c r="I90" t="n">
        <v>0</v>
      </c>
      <c r="J90" t="n">
        <v>0</v>
      </c>
      <c r="K90" t="n">
        <v>0</v>
      </c>
      <c r="L90" t="n">
        <v>0</v>
      </c>
      <c r="M90" t="n">
        <v>0</v>
      </c>
      <c r="N90" t="n">
        <v>0</v>
      </c>
      <c r="O90" t="n">
        <v>0</v>
      </c>
      <c r="P90" t="n">
        <v>0</v>
      </c>
      <c r="Q90" t="n">
        <v>0</v>
      </c>
      <c r="R90" s="2" t="inlineStr"/>
    </row>
    <row r="91" ht="15" customHeight="1">
      <c r="A91" t="inlineStr">
        <is>
          <t>A 47319-2020</t>
        </is>
      </c>
      <c r="B91" s="1" t="n">
        <v>44095</v>
      </c>
      <c r="C91" s="1" t="n">
        <v>45916</v>
      </c>
      <c r="D91" t="inlineStr">
        <is>
          <t>ÖSTERGÖTLANDS LÄN</t>
        </is>
      </c>
      <c r="E91" t="inlineStr">
        <is>
          <t>LINKÖPING</t>
        </is>
      </c>
      <c r="F91" t="inlineStr">
        <is>
          <t>Kommuner</t>
        </is>
      </c>
      <c r="G91" t="n">
        <v>1.3</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45916</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45916</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45916</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45916</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45916</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45916</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32433-2022</t>
        </is>
      </c>
      <c r="B98" s="1" t="n">
        <v>44782.48431712963</v>
      </c>
      <c r="C98" s="1" t="n">
        <v>45916</v>
      </c>
      <c r="D98" t="inlineStr">
        <is>
          <t>ÖSTERGÖTLANDS LÄN</t>
        </is>
      </c>
      <c r="E98" t="inlineStr">
        <is>
          <t>LINKÖPING</t>
        </is>
      </c>
      <c r="G98" t="n">
        <v>11.3</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45916</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45916</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45916</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45916</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45916</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45916</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45916</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3679-2021</t>
        </is>
      </c>
      <c r="B106" s="1" t="n">
        <v>44221</v>
      </c>
      <c r="C106" s="1" t="n">
        <v>45916</v>
      </c>
      <c r="D106" t="inlineStr">
        <is>
          <t>ÖSTERGÖTLANDS LÄN</t>
        </is>
      </c>
      <c r="E106" t="inlineStr">
        <is>
          <t>LINKÖPING</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45916</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45916</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45916</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45916</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45916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45916</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45916</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45916</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45916</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45916</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37012-2021</t>
        </is>
      </c>
      <c r="B117" s="1" t="n">
        <v>44393</v>
      </c>
      <c r="C117" s="1" t="n">
        <v>45916</v>
      </c>
      <c r="D117" t="inlineStr">
        <is>
          <t>ÖSTERGÖTLANDS LÄN</t>
        </is>
      </c>
      <c r="E117" t="inlineStr">
        <is>
          <t>LINKÖPING</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45916</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45916</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29470-2022</t>
        </is>
      </c>
      <c r="B120" s="1" t="n">
        <v>44753</v>
      </c>
      <c r="C120" s="1" t="n">
        <v>45916</v>
      </c>
      <c r="D120" t="inlineStr">
        <is>
          <t>ÖSTERGÖTLANDS LÄN</t>
        </is>
      </c>
      <c r="E120" t="inlineStr">
        <is>
          <t>LINKÖPING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46730-2021</t>
        </is>
      </c>
      <c r="B121" s="1" t="n">
        <v>44445</v>
      </c>
      <c r="C121" s="1" t="n">
        <v>45916</v>
      </c>
      <c r="D121" t="inlineStr">
        <is>
          <t>ÖSTERGÖTLANDS LÄN</t>
        </is>
      </c>
      <c r="E121" t="inlineStr">
        <is>
          <t>LINKÖPING</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26197-2021</t>
        </is>
      </c>
      <c r="B122" s="1" t="n">
        <v>44347.39319444444</v>
      </c>
      <c r="C122" s="1" t="n">
        <v>45916</v>
      </c>
      <c r="D122" t="inlineStr">
        <is>
          <t>ÖSTERGÖTLANDS LÄN</t>
        </is>
      </c>
      <c r="E122" t="inlineStr">
        <is>
          <t>LINKÖPING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45916</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16469-2021</t>
        </is>
      </c>
      <c r="B124" s="1" t="n">
        <v>44293.54331018519</v>
      </c>
      <c r="C124" s="1" t="n">
        <v>45916</v>
      </c>
      <c r="D124" t="inlineStr">
        <is>
          <t>ÖSTERGÖTLANDS LÄN</t>
        </is>
      </c>
      <c r="E124" t="inlineStr">
        <is>
          <t>LINKÖPING</t>
        </is>
      </c>
      <c r="F124" t="inlineStr">
        <is>
          <t>Allmännings- och besparingsskogar</t>
        </is>
      </c>
      <c r="G124" t="n">
        <v>33.5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45916</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45916</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45916</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45916</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58287-2021</t>
        </is>
      </c>
      <c r="B129" s="1" t="n">
        <v>44487</v>
      </c>
      <c r="C129" s="1" t="n">
        <v>45916</v>
      </c>
      <c r="D129" t="inlineStr">
        <is>
          <t>ÖSTERGÖTLANDS LÄN</t>
        </is>
      </c>
      <c r="E129" t="inlineStr">
        <is>
          <t>LINKÖPING</t>
        </is>
      </c>
      <c r="F129" t="inlineStr">
        <is>
          <t>Övriga Aktiebolag</t>
        </is>
      </c>
      <c r="G129" t="n">
        <v>1.5</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45916</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53660-2021</t>
        </is>
      </c>
      <c r="B131" s="1" t="n">
        <v>44469</v>
      </c>
      <c r="C131" s="1" t="n">
        <v>45916</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45916</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45916</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45916</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45916</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45916</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45916</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45916</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45916</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45916</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46969-2020</t>
        </is>
      </c>
      <c r="B141" s="1" t="n">
        <v>44090</v>
      </c>
      <c r="C141" s="1" t="n">
        <v>45916</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46975-2020</t>
        </is>
      </c>
      <c r="B142" s="1" t="n">
        <v>44090</v>
      </c>
      <c r="C142" s="1" t="n">
        <v>45916</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23175-2022</t>
        </is>
      </c>
      <c r="B143" s="1" t="n">
        <v>44719</v>
      </c>
      <c r="C143" s="1" t="n">
        <v>45916</v>
      </c>
      <c r="D143" t="inlineStr">
        <is>
          <t>ÖSTERGÖTLANDS LÄN</t>
        </is>
      </c>
      <c r="E143" t="inlineStr">
        <is>
          <t>LINKÖPING</t>
        </is>
      </c>
      <c r="F143" t="inlineStr">
        <is>
          <t>Allmännings- och besparingsskogar</t>
        </is>
      </c>
      <c r="G143" t="n">
        <v>1.4</v>
      </c>
      <c r="H143" t="n">
        <v>0</v>
      </c>
      <c r="I143" t="n">
        <v>0</v>
      </c>
      <c r="J143" t="n">
        <v>0</v>
      </c>
      <c r="K143" t="n">
        <v>0</v>
      </c>
      <c r="L143" t="n">
        <v>0</v>
      </c>
      <c r="M143" t="n">
        <v>0</v>
      </c>
      <c r="N143" t="n">
        <v>0</v>
      </c>
      <c r="O143" t="n">
        <v>0</v>
      </c>
      <c r="P143" t="n">
        <v>0</v>
      </c>
      <c r="Q143" t="n">
        <v>0</v>
      </c>
      <c r="R143" s="2" t="inlineStr"/>
    </row>
    <row r="144" ht="15" customHeight="1">
      <c r="A144" t="inlineStr">
        <is>
          <t>A 58266-2021</t>
        </is>
      </c>
      <c r="B144" s="1" t="n">
        <v>44487</v>
      </c>
      <c r="C144" s="1" t="n">
        <v>45916</v>
      </c>
      <c r="D144" t="inlineStr">
        <is>
          <t>ÖSTERGÖTLANDS LÄN</t>
        </is>
      </c>
      <c r="E144" t="inlineStr">
        <is>
          <t>LINKÖPING</t>
        </is>
      </c>
      <c r="F144" t="inlineStr">
        <is>
          <t>Övriga Aktiebolag</t>
        </is>
      </c>
      <c r="G144" t="n">
        <v>3.2</v>
      </c>
      <c r="H144" t="n">
        <v>0</v>
      </c>
      <c r="I144" t="n">
        <v>0</v>
      </c>
      <c r="J144" t="n">
        <v>0</v>
      </c>
      <c r="K144" t="n">
        <v>0</v>
      </c>
      <c r="L144" t="n">
        <v>0</v>
      </c>
      <c r="M144" t="n">
        <v>0</v>
      </c>
      <c r="N144" t="n">
        <v>0</v>
      </c>
      <c r="O144" t="n">
        <v>0</v>
      </c>
      <c r="P144" t="n">
        <v>0</v>
      </c>
      <c r="Q144" t="n">
        <v>0</v>
      </c>
      <c r="R144" s="2" t="inlineStr"/>
    </row>
    <row r="145" ht="15" customHeight="1">
      <c r="A145" t="inlineStr">
        <is>
          <t>A 28447-2021</t>
        </is>
      </c>
      <c r="B145" s="1" t="n">
        <v>44356</v>
      </c>
      <c r="C145" s="1" t="n">
        <v>45916</v>
      </c>
      <c r="D145" t="inlineStr">
        <is>
          <t>ÖSTERGÖTLANDS LÄN</t>
        </is>
      </c>
      <c r="E145" t="inlineStr">
        <is>
          <t>LINKÖPING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31705-2022</t>
        </is>
      </c>
      <c r="B146" s="1" t="n">
        <v>44776.43607638889</v>
      </c>
      <c r="C146" s="1" t="n">
        <v>45916</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9935-2021</t>
        </is>
      </c>
      <c r="B147" s="1" t="n">
        <v>44253</v>
      </c>
      <c r="C147" s="1" t="n">
        <v>45916</v>
      </c>
      <c r="D147" t="inlineStr">
        <is>
          <t>ÖSTERGÖTLANDS LÄN</t>
        </is>
      </c>
      <c r="E147" t="inlineStr">
        <is>
          <t>LINKÖPING</t>
        </is>
      </c>
      <c r="G147" t="n">
        <v>4.5</v>
      </c>
      <c r="H147" t="n">
        <v>0</v>
      </c>
      <c r="I147" t="n">
        <v>0</v>
      </c>
      <c r="J147" t="n">
        <v>0</v>
      </c>
      <c r="K147" t="n">
        <v>0</v>
      </c>
      <c r="L147" t="n">
        <v>0</v>
      </c>
      <c r="M147" t="n">
        <v>0</v>
      </c>
      <c r="N147" t="n">
        <v>0</v>
      </c>
      <c r="O147" t="n">
        <v>0</v>
      </c>
      <c r="P147" t="n">
        <v>0</v>
      </c>
      <c r="Q147" t="n">
        <v>0</v>
      </c>
      <c r="R147" s="2" t="inlineStr"/>
    </row>
    <row r="148" ht="15" customHeight="1">
      <c r="A148" t="inlineStr">
        <is>
          <t>A 65398-2021</t>
        </is>
      </c>
      <c r="B148" s="1" t="n">
        <v>44515</v>
      </c>
      <c r="C148" s="1" t="n">
        <v>45916</v>
      </c>
      <c r="D148" t="inlineStr">
        <is>
          <t>ÖSTERGÖTLANDS LÄN</t>
        </is>
      </c>
      <c r="E148" t="inlineStr">
        <is>
          <t>LINKÖPING</t>
        </is>
      </c>
      <c r="F148" t="inlineStr">
        <is>
          <t>Övriga statliga verk och myndigheter</t>
        </is>
      </c>
      <c r="G148" t="n">
        <v>2.4</v>
      </c>
      <c r="H148" t="n">
        <v>0</v>
      </c>
      <c r="I148" t="n">
        <v>0</v>
      </c>
      <c r="J148" t="n">
        <v>0</v>
      </c>
      <c r="K148" t="n">
        <v>0</v>
      </c>
      <c r="L148" t="n">
        <v>0</v>
      </c>
      <c r="M148" t="n">
        <v>0</v>
      </c>
      <c r="N148" t="n">
        <v>0</v>
      </c>
      <c r="O148" t="n">
        <v>0</v>
      </c>
      <c r="P148" t="n">
        <v>0</v>
      </c>
      <c r="Q148" t="n">
        <v>0</v>
      </c>
      <c r="R148" s="2" t="inlineStr"/>
    </row>
    <row r="149" ht="15" customHeight="1">
      <c r="A149" t="inlineStr">
        <is>
          <t>A 19318-2022</t>
        </is>
      </c>
      <c r="B149" s="1" t="n">
        <v>44692.5827662037</v>
      </c>
      <c r="C149" s="1" t="n">
        <v>45916</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46490-2022</t>
        </is>
      </c>
      <c r="B150" s="1" t="n">
        <v>44848</v>
      </c>
      <c r="C150" s="1" t="n">
        <v>45916</v>
      </c>
      <c r="D150" t="inlineStr">
        <is>
          <t>ÖSTERGÖTLANDS LÄN</t>
        </is>
      </c>
      <c r="E150" t="inlineStr">
        <is>
          <t>LINKÖPING</t>
        </is>
      </c>
      <c r="G150" t="n">
        <v>3.5</v>
      </c>
      <c r="H150" t="n">
        <v>0</v>
      </c>
      <c r="I150" t="n">
        <v>0</v>
      </c>
      <c r="J150" t="n">
        <v>0</v>
      </c>
      <c r="K150" t="n">
        <v>0</v>
      </c>
      <c r="L150" t="n">
        <v>0</v>
      </c>
      <c r="M150" t="n">
        <v>0</v>
      </c>
      <c r="N150" t="n">
        <v>0</v>
      </c>
      <c r="O150" t="n">
        <v>0</v>
      </c>
      <c r="P150" t="n">
        <v>0</v>
      </c>
      <c r="Q150" t="n">
        <v>0</v>
      </c>
      <c r="R150" s="2" t="inlineStr"/>
    </row>
    <row r="151" ht="15" customHeight="1">
      <c r="A151" t="inlineStr">
        <is>
          <t>A 61298-2021</t>
        </is>
      </c>
      <c r="B151" s="1" t="n">
        <v>44498.62533564815</v>
      </c>
      <c r="C151" s="1" t="n">
        <v>45916</v>
      </c>
      <c r="D151" t="inlineStr">
        <is>
          <t>ÖSTERGÖTLANDS LÄN</t>
        </is>
      </c>
      <c r="E151" t="inlineStr">
        <is>
          <t>LINKÖPING</t>
        </is>
      </c>
      <c r="G151" t="n">
        <v>4.3</v>
      </c>
      <c r="H151" t="n">
        <v>0</v>
      </c>
      <c r="I151" t="n">
        <v>0</v>
      </c>
      <c r="J151" t="n">
        <v>0</v>
      </c>
      <c r="K151" t="n">
        <v>0</v>
      </c>
      <c r="L151" t="n">
        <v>0</v>
      </c>
      <c r="M151" t="n">
        <v>0</v>
      </c>
      <c r="N151" t="n">
        <v>0</v>
      </c>
      <c r="O151" t="n">
        <v>0</v>
      </c>
      <c r="P151" t="n">
        <v>0</v>
      </c>
      <c r="Q151" t="n">
        <v>0</v>
      </c>
      <c r="R151" s="2" t="inlineStr"/>
    </row>
    <row r="152" ht="15" customHeight="1">
      <c r="A152" t="inlineStr">
        <is>
          <t>A 61333-2021</t>
        </is>
      </c>
      <c r="B152" s="1" t="n">
        <v>44498.6764699074</v>
      </c>
      <c r="C152" s="1" t="n">
        <v>45916</v>
      </c>
      <c r="D152" t="inlineStr">
        <is>
          <t>ÖSTERGÖTLANDS LÄN</t>
        </is>
      </c>
      <c r="E152" t="inlineStr">
        <is>
          <t>LINKÖPING</t>
        </is>
      </c>
      <c r="G152" t="n">
        <v>7.5</v>
      </c>
      <c r="H152" t="n">
        <v>0</v>
      </c>
      <c r="I152" t="n">
        <v>0</v>
      </c>
      <c r="J152" t="n">
        <v>0</v>
      </c>
      <c r="K152" t="n">
        <v>0</v>
      </c>
      <c r="L152" t="n">
        <v>0</v>
      </c>
      <c r="M152" t="n">
        <v>0</v>
      </c>
      <c r="N152" t="n">
        <v>0</v>
      </c>
      <c r="O152" t="n">
        <v>0</v>
      </c>
      <c r="P152" t="n">
        <v>0</v>
      </c>
      <c r="Q152" t="n">
        <v>0</v>
      </c>
      <c r="R152" s="2" t="inlineStr"/>
    </row>
    <row r="153" ht="15" customHeight="1">
      <c r="A153" t="inlineStr">
        <is>
          <t>A 67912-2021</t>
        </is>
      </c>
      <c r="B153" s="1" t="n">
        <v>44525</v>
      </c>
      <c r="C153" s="1" t="n">
        <v>45916</v>
      </c>
      <c r="D153" t="inlineStr">
        <is>
          <t>ÖSTERGÖTLANDS LÄN</t>
        </is>
      </c>
      <c r="E153" t="inlineStr">
        <is>
          <t>LINKÖPING</t>
        </is>
      </c>
      <c r="G153" t="n">
        <v>2.4</v>
      </c>
      <c r="H153" t="n">
        <v>0</v>
      </c>
      <c r="I153" t="n">
        <v>0</v>
      </c>
      <c r="J153" t="n">
        <v>0</v>
      </c>
      <c r="K153" t="n">
        <v>0</v>
      </c>
      <c r="L153" t="n">
        <v>0</v>
      </c>
      <c r="M153" t="n">
        <v>0</v>
      </c>
      <c r="N153" t="n">
        <v>0</v>
      </c>
      <c r="O153" t="n">
        <v>0</v>
      </c>
      <c r="P153" t="n">
        <v>0</v>
      </c>
      <c r="Q153" t="n">
        <v>0</v>
      </c>
      <c r="R153" s="2" t="inlineStr"/>
    </row>
    <row r="154" ht="15" customHeight="1">
      <c r="A154" t="inlineStr">
        <is>
          <t>A 67940-2021</t>
        </is>
      </c>
      <c r="B154" s="1" t="n">
        <v>44525.62849537037</v>
      </c>
      <c r="C154" s="1" t="n">
        <v>45916</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12412-2022</t>
        </is>
      </c>
      <c r="B155" s="1" t="n">
        <v>44638</v>
      </c>
      <c r="C155" s="1" t="n">
        <v>45916</v>
      </c>
      <c r="D155" t="inlineStr">
        <is>
          <t>ÖSTERGÖTLANDS LÄN</t>
        </is>
      </c>
      <c r="E155" t="inlineStr">
        <is>
          <t>LINKÖPING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10951-2022</t>
        </is>
      </c>
      <c r="B156" s="1" t="n">
        <v>44627</v>
      </c>
      <c r="C156" s="1" t="n">
        <v>45916</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33134-2022</t>
        </is>
      </c>
      <c r="B157" s="1" t="n">
        <v>44785</v>
      </c>
      <c r="C157" s="1" t="n">
        <v>45916</v>
      </c>
      <c r="D157" t="inlineStr">
        <is>
          <t>ÖSTERGÖTLANDS LÄN</t>
        </is>
      </c>
      <c r="E157" t="inlineStr">
        <is>
          <t>LINKÖPING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13075-2022</t>
        </is>
      </c>
      <c r="B158" s="1" t="n">
        <v>44643</v>
      </c>
      <c r="C158" s="1" t="n">
        <v>45916</v>
      </c>
      <c r="D158" t="inlineStr">
        <is>
          <t>ÖSTERGÖTLANDS LÄN</t>
        </is>
      </c>
      <c r="E158" t="inlineStr">
        <is>
          <t>LINKÖPING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45916</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36341-2022</t>
        </is>
      </c>
      <c r="B160" s="1" t="n">
        <v>44803</v>
      </c>
      <c r="C160" s="1" t="n">
        <v>45916</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45916</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51912-2020</t>
        </is>
      </c>
      <c r="B162" s="1" t="n">
        <v>44116</v>
      </c>
      <c r="C162" s="1" t="n">
        <v>45916</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23416-2022</t>
        </is>
      </c>
      <c r="B163" s="1" t="n">
        <v>44720.78243055556</v>
      </c>
      <c r="C163" s="1" t="n">
        <v>45916</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5605-2022</t>
        </is>
      </c>
      <c r="B164" s="1" t="n">
        <v>44595</v>
      </c>
      <c r="C164" s="1" t="n">
        <v>45916</v>
      </c>
      <c r="D164" t="inlineStr">
        <is>
          <t>ÖSTERGÖTLANDS LÄN</t>
        </is>
      </c>
      <c r="E164" t="inlineStr">
        <is>
          <t>LINKÖPING</t>
        </is>
      </c>
      <c r="F164" t="inlineStr">
        <is>
          <t>Övriga statliga verk och myndigheter</t>
        </is>
      </c>
      <c r="G164" t="n">
        <v>3</v>
      </c>
      <c r="H164" t="n">
        <v>0</v>
      </c>
      <c r="I164" t="n">
        <v>0</v>
      </c>
      <c r="J164" t="n">
        <v>0</v>
      </c>
      <c r="K164" t="n">
        <v>0</v>
      </c>
      <c r="L164" t="n">
        <v>0</v>
      </c>
      <c r="M164" t="n">
        <v>0</v>
      </c>
      <c r="N164" t="n">
        <v>0</v>
      </c>
      <c r="O164" t="n">
        <v>0</v>
      </c>
      <c r="P164" t="n">
        <v>0</v>
      </c>
      <c r="Q164" t="n">
        <v>0</v>
      </c>
      <c r="R164" s="2" t="inlineStr"/>
    </row>
    <row r="165" ht="15" customHeight="1">
      <c r="A165" t="inlineStr">
        <is>
          <t>A 46891-2021</t>
        </is>
      </c>
      <c r="B165" s="1" t="n">
        <v>44446.44587962963</v>
      </c>
      <c r="C165" s="1" t="n">
        <v>45916</v>
      </c>
      <c r="D165" t="inlineStr">
        <is>
          <t>ÖSTERGÖTLANDS LÄN</t>
        </is>
      </c>
      <c r="E165" t="inlineStr">
        <is>
          <t>LINKÖPING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56688-2021</t>
        </is>
      </c>
      <c r="B166" s="1" t="n">
        <v>44481</v>
      </c>
      <c r="C166" s="1" t="n">
        <v>45916</v>
      </c>
      <c r="D166" t="inlineStr">
        <is>
          <t>ÖSTERGÖTLANDS LÄN</t>
        </is>
      </c>
      <c r="E166" t="inlineStr">
        <is>
          <t>LINKÖPING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50035-2020</t>
        </is>
      </c>
      <c r="B167" s="1" t="n">
        <v>44109</v>
      </c>
      <c r="C167" s="1" t="n">
        <v>45916</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27769-2022</t>
        </is>
      </c>
      <c r="B168" s="1" t="n">
        <v>44743.53200231482</v>
      </c>
      <c r="C168" s="1" t="n">
        <v>45916</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34486-2021</t>
        </is>
      </c>
      <c r="B169" s="1" t="n">
        <v>44382.29295138889</v>
      </c>
      <c r="C169" s="1" t="n">
        <v>45916</v>
      </c>
      <c r="D169" t="inlineStr">
        <is>
          <t>ÖSTERGÖTLANDS LÄN</t>
        </is>
      </c>
      <c r="E169" t="inlineStr">
        <is>
          <t>LINKÖPING</t>
        </is>
      </c>
      <c r="G169" t="n">
        <v>4.4</v>
      </c>
      <c r="H169" t="n">
        <v>0</v>
      </c>
      <c r="I169" t="n">
        <v>0</v>
      </c>
      <c r="J169" t="n">
        <v>0</v>
      </c>
      <c r="K169" t="n">
        <v>0</v>
      </c>
      <c r="L169" t="n">
        <v>0</v>
      </c>
      <c r="M169" t="n">
        <v>0</v>
      </c>
      <c r="N169" t="n">
        <v>0</v>
      </c>
      <c r="O169" t="n">
        <v>0</v>
      </c>
      <c r="P169" t="n">
        <v>0</v>
      </c>
      <c r="Q169" t="n">
        <v>0</v>
      </c>
      <c r="R169" s="2" t="inlineStr"/>
    </row>
    <row r="170" ht="15" customHeight="1">
      <c r="A170" t="inlineStr">
        <is>
          <t>A 27666-2022</t>
        </is>
      </c>
      <c r="B170" s="1" t="n">
        <v>44743.39017361111</v>
      </c>
      <c r="C170" s="1" t="n">
        <v>45916</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19183-2021</t>
        </is>
      </c>
      <c r="B171" s="1" t="n">
        <v>44308.73248842593</v>
      </c>
      <c r="C171" s="1" t="n">
        <v>45916</v>
      </c>
      <c r="D171" t="inlineStr">
        <is>
          <t>ÖSTERGÖTLANDS LÄN</t>
        </is>
      </c>
      <c r="E171" t="inlineStr">
        <is>
          <t>LINKÖPING</t>
        </is>
      </c>
      <c r="F171" t="inlineStr">
        <is>
          <t>Allmännings- och besparingsskogar</t>
        </is>
      </c>
      <c r="G171" t="n">
        <v>4.6</v>
      </c>
      <c r="H171" t="n">
        <v>0</v>
      </c>
      <c r="I171" t="n">
        <v>0</v>
      </c>
      <c r="J171" t="n">
        <v>0</v>
      </c>
      <c r="K171" t="n">
        <v>0</v>
      </c>
      <c r="L171" t="n">
        <v>0</v>
      </c>
      <c r="M171" t="n">
        <v>0</v>
      </c>
      <c r="N171" t="n">
        <v>0</v>
      </c>
      <c r="O171" t="n">
        <v>0</v>
      </c>
      <c r="P171" t="n">
        <v>0</v>
      </c>
      <c r="Q171" t="n">
        <v>0</v>
      </c>
      <c r="R171" s="2" t="inlineStr"/>
    </row>
    <row r="172" ht="15" customHeight="1">
      <c r="A172" t="inlineStr">
        <is>
          <t>A 32255-2021</t>
        </is>
      </c>
      <c r="B172" s="1" t="n">
        <v>44371.45949074074</v>
      </c>
      <c r="C172" s="1" t="n">
        <v>45916</v>
      </c>
      <c r="D172" t="inlineStr">
        <is>
          <t>ÖSTERGÖTLANDS LÄN</t>
        </is>
      </c>
      <c r="E172" t="inlineStr">
        <is>
          <t>LINKÖPING</t>
        </is>
      </c>
      <c r="F172" t="inlineStr">
        <is>
          <t>Övriga Aktiebolag</t>
        </is>
      </c>
      <c r="G172" t="n">
        <v>1.1</v>
      </c>
      <c r="H172" t="n">
        <v>0</v>
      </c>
      <c r="I172" t="n">
        <v>0</v>
      </c>
      <c r="J172" t="n">
        <v>0</v>
      </c>
      <c r="K172" t="n">
        <v>0</v>
      </c>
      <c r="L172" t="n">
        <v>0</v>
      </c>
      <c r="M172" t="n">
        <v>0</v>
      </c>
      <c r="N172" t="n">
        <v>0</v>
      </c>
      <c r="O172" t="n">
        <v>0</v>
      </c>
      <c r="P172" t="n">
        <v>0</v>
      </c>
      <c r="Q172" t="n">
        <v>0</v>
      </c>
      <c r="R172" s="2" t="inlineStr"/>
    </row>
    <row r="173" ht="15" customHeight="1">
      <c r="A173" t="inlineStr">
        <is>
          <t>A 59288-2020</t>
        </is>
      </c>
      <c r="B173" s="1" t="n">
        <v>44147</v>
      </c>
      <c r="C173" s="1" t="n">
        <v>45916</v>
      </c>
      <c r="D173" t="inlineStr">
        <is>
          <t>ÖSTERGÖTLANDS LÄN</t>
        </is>
      </c>
      <c r="E173" t="inlineStr">
        <is>
          <t>LINKÖPING</t>
        </is>
      </c>
      <c r="G173" t="n">
        <v>2.8</v>
      </c>
      <c r="H173" t="n">
        <v>0</v>
      </c>
      <c r="I173" t="n">
        <v>0</v>
      </c>
      <c r="J173" t="n">
        <v>0</v>
      </c>
      <c r="K173" t="n">
        <v>0</v>
      </c>
      <c r="L173" t="n">
        <v>0</v>
      </c>
      <c r="M173" t="n">
        <v>0</v>
      </c>
      <c r="N173" t="n">
        <v>0</v>
      </c>
      <c r="O173" t="n">
        <v>0</v>
      </c>
      <c r="P173" t="n">
        <v>0</v>
      </c>
      <c r="Q173" t="n">
        <v>0</v>
      </c>
      <c r="R173" s="2" t="inlineStr"/>
    </row>
    <row r="174" ht="15" customHeight="1">
      <c r="A174" t="inlineStr">
        <is>
          <t>A 38235-2022</t>
        </is>
      </c>
      <c r="B174" s="1" t="n">
        <v>44812</v>
      </c>
      <c r="C174" s="1" t="n">
        <v>45916</v>
      </c>
      <c r="D174" t="inlineStr">
        <is>
          <t>ÖSTERGÖTLANDS LÄN</t>
        </is>
      </c>
      <c r="E174" t="inlineStr">
        <is>
          <t>LINKÖPING</t>
        </is>
      </c>
      <c r="G174" t="n">
        <v>0.6</v>
      </c>
      <c r="H174" t="n">
        <v>0</v>
      </c>
      <c r="I174" t="n">
        <v>0</v>
      </c>
      <c r="J174" t="n">
        <v>0</v>
      </c>
      <c r="K174" t="n">
        <v>0</v>
      </c>
      <c r="L174" t="n">
        <v>0</v>
      </c>
      <c r="M174" t="n">
        <v>0</v>
      </c>
      <c r="N174" t="n">
        <v>0</v>
      </c>
      <c r="O174" t="n">
        <v>0</v>
      </c>
      <c r="P174" t="n">
        <v>0</v>
      </c>
      <c r="Q174" t="n">
        <v>0</v>
      </c>
      <c r="R174" s="2" t="inlineStr"/>
    </row>
    <row r="175" ht="15" customHeight="1">
      <c r="A175" t="inlineStr">
        <is>
          <t>A 13922-2021</t>
        </is>
      </c>
      <c r="B175" s="1" t="n">
        <v>44277.45946759259</v>
      </c>
      <c r="C175" s="1" t="n">
        <v>45916</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4929-2021</t>
        </is>
      </c>
      <c r="B176" s="1" t="n">
        <v>44227.57533564815</v>
      </c>
      <c r="C176" s="1" t="n">
        <v>45916</v>
      </c>
      <c r="D176" t="inlineStr">
        <is>
          <t>ÖSTERGÖTLANDS LÄN</t>
        </is>
      </c>
      <c r="E176" t="inlineStr">
        <is>
          <t>LINKÖPING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34880-2022</t>
        </is>
      </c>
      <c r="B177" s="1" t="n">
        <v>44796</v>
      </c>
      <c r="C177" s="1" t="n">
        <v>45916</v>
      </c>
      <c r="D177" t="inlineStr">
        <is>
          <t>ÖSTERGÖTLANDS LÄN</t>
        </is>
      </c>
      <c r="E177" t="inlineStr">
        <is>
          <t>LINKÖPING</t>
        </is>
      </c>
      <c r="F177" t="inlineStr">
        <is>
          <t>Övriga statliga verk och myndigheter</t>
        </is>
      </c>
      <c r="G177" t="n">
        <v>4</v>
      </c>
      <c r="H177" t="n">
        <v>0</v>
      </c>
      <c r="I177" t="n">
        <v>0</v>
      </c>
      <c r="J177" t="n">
        <v>0</v>
      </c>
      <c r="K177" t="n">
        <v>0</v>
      </c>
      <c r="L177" t="n">
        <v>0</v>
      </c>
      <c r="M177" t="n">
        <v>0</v>
      </c>
      <c r="N177" t="n">
        <v>0</v>
      </c>
      <c r="O177" t="n">
        <v>0</v>
      </c>
      <c r="P177" t="n">
        <v>0</v>
      </c>
      <c r="Q177" t="n">
        <v>0</v>
      </c>
      <c r="R177" s="2" t="inlineStr"/>
    </row>
    <row r="178" ht="15" customHeight="1">
      <c r="A178" t="inlineStr">
        <is>
          <t>A 48042-2022</t>
        </is>
      </c>
      <c r="B178" s="1" t="n">
        <v>44855</v>
      </c>
      <c r="C178" s="1" t="n">
        <v>45916</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31732-2022</t>
        </is>
      </c>
      <c r="B179" s="1" t="n">
        <v>44776.49267361111</v>
      </c>
      <c r="C179" s="1" t="n">
        <v>45916</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45916</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1787-2022</t>
        </is>
      </c>
      <c r="B181" s="1" t="n">
        <v>44574</v>
      </c>
      <c r="C181" s="1" t="n">
        <v>45916</v>
      </c>
      <c r="D181" t="inlineStr">
        <is>
          <t>ÖSTERGÖTLANDS LÄN</t>
        </is>
      </c>
      <c r="E181" t="inlineStr">
        <is>
          <t>LINKÖPING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50401-2020</t>
        </is>
      </c>
      <c r="B182" s="1" t="n">
        <v>44110</v>
      </c>
      <c r="C182" s="1" t="n">
        <v>45916</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45916</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948-2022</t>
        </is>
      </c>
      <c r="B184" s="1" t="n">
        <v>44571</v>
      </c>
      <c r="C184" s="1" t="n">
        <v>45916</v>
      </c>
      <c r="D184" t="inlineStr">
        <is>
          <t>ÖSTERGÖTLANDS LÄN</t>
        </is>
      </c>
      <c r="E184" t="inlineStr">
        <is>
          <t>LINKÖPING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60129-2020</t>
        </is>
      </c>
      <c r="B185" s="1" t="n">
        <v>44152</v>
      </c>
      <c r="C185" s="1" t="n">
        <v>45916</v>
      </c>
      <c r="D185" t="inlineStr">
        <is>
          <t>ÖSTERGÖTLANDS LÄN</t>
        </is>
      </c>
      <c r="E185" t="inlineStr">
        <is>
          <t>LINKÖPING</t>
        </is>
      </c>
      <c r="F185" t="inlineStr">
        <is>
          <t>Övriga statliga verk och myndigheter</t>
        </is>
      </c>
      <c r="G185" t="n">
        <v>2.5</v>
      </c>
      <c r="H185" t="n">
        <v>0</v>
      </c>
      <c r="I185" t="n">
        <v>0</v>
      </c>
      <c r="J185" t="n">
        <v>0</v>
      </c>
      <c r="K185" t="n">
        <v>0</v>
      </c>
      <c r="L185" t="n">
        <v>0</v>
      </c>
      <c r="M185" t="n">
        <v>0</v>
      </c>
      <c r="N185" t="n">
        <v>0</v>
      </c>
      <c r="O185" t="n">
        <v>0</v>
      </c>
      <c r="P185" t="n">
        <v>0</v>
      </c>
      <c r="Q185" t="n">
        <v>0</v>
      </c>
      <c r="R185" s="2" t="inlineStr"/>
    </row>
    <row r="186" ht="15" customHeight="1">
      <c r="A186" t="inlineStr">
        <is>
          <t>A 3008-2023</t>
        </is>
      </c>
      <c r="B186" s="1" t="n">
        <v>44945.79784722222</v>
      </c>
      <c r="C186" s="1" t="n">
        <v>45916</v>
      </c>
      <c r="D186" t="inlineStr">
        <is>
          <t>ÖSTERGÖTLANDS LÄN</t>
        </is>
      </c>
      <c r="E186" t="inlineStr">
        <is>
          <t>LINKÖPING</t>
        </is>
      </c>
      <c r="G186" t="n">
        <v>19.3</v>
      </c>
      <c r="H186" t="n">
        <v>0</v>
      </c>
      <c r="I186" t="n">
        <v>0</v>
      </c>
      <c r="J186" t="n">
        <v>0</v>
      </c>
      <c r="K186" t="n">
        <v>0</v>
      </c>
      <c r="L186" t="n">
        <v>0</v>
      </c>
      <c r="M186" t="n">
        <v>0</v>
      </c>
      <c r="N186" t="n">
        <v>0</v>
      </c>
      <c r="O186" t="n">
        <v>0</v>
      </c>
      <c r="P186" t="n">
        <v>0</v>
      </c>
      <c r="Q186" t="n">
        <v>0</v>
      </c>
      <c r="R186" s="2" t="inlineStr"/>
    </row>
    <row r="187" ht="15" customHeight="1">
      <c r="A187" t="inlineStr">
        <is>
          <t>A 12035-2025</t>
        </is>
      </c>
      <c r="B187" s="1" t="n">
        <v>45728.64946759259</v>
      </c>
      <c r="C187" s="1" t="n">
        <v>45916</v>
      </c>
      <c r="D187" t="inlineStr">
        <is>
          <t>ÖSTERGÖTLANDS LÄN</t>
        </is>
      </c>
      <c r="E187" t="inlineStr">
        <is>
          <t>LINKÖPING</t>
        </is>
      </c>
      <c r="G187" t="n">
        <v>3.7</v>
      </c>
      <c r="H187" t="n">
        <v>0</v>
      </c>
      <c r="I187" t="n">
        <v>0</v>
      </c>
      <c r="J187" t="n">
        <v>0</v>
      </c>
      <c r="K187" t="n">
        <v>0</v>
      </c>
      <c r="L187" t="n">
        <v>0</v>
      </c>
      <c r="M187" t="n">
        <v>0</v>
      </c>
      <c r="N187" t="n">
        <v>0</v>
      </c>
      <c r="O187" t="n">
        <v>0</v>
      </c>
      <c r="P187" t="n">
        <v>0</v>
      </c>
      <c r="Q187" t="n">
        <v>0</v>
      </c>
      <c r="R187" s="2" t="inlineStr"/>
    </row>
    <row r="188" ht="15" customHeight="1">
      <c r="A188" t="inlineStr">
        <is>
          <t>A 37014-2021</t>
        </is>
      </c>
      <c r="B188" s="1" t="n">
        <v>44393</v>
      </c>
      <c r="C188" s="1" t="n">
        <v>45916</v>
      </c>
      <c r="D188" t="inlineStr">
        <is>
          <t>ÖSTERGÖTLANDS LÄN</t>
        </is>
      </c>
      <c r="E188" t="inlineStr">
        <is>
          <t>LINKÖPING</t>
        </is>
      </c>
      <c r="F188" t="inlineStr">
        <is>
          <t>Allmännings- och besparingsskogar</t>
        </is>
      </c>
      <c r="G188" t="n">
        <v>7.7</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45916</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34558-2022</t>
        </is>
      </c>
      <c r="B190" s="1" t="n">
        <v>44794.57594907407</v>
      </c>
      <c r="C190" s="1" t="n">
        <v>45916</v>
      </c>
      <c r="D190" t="inlineStr">
        <is>
          <t>ÖSTERGÖTLANDS LÄN</t>
        </is>
      </c>
      <c r="E190" t="inlineStr">
        <is>
          <t>LINKÖPING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61302-2021</t>
        </is>
      </c>
      <c r="B191" s="1" t="n">
        <v>44498.63189814815</v>
      </c>
      <c r="C191" s="1" t="n">
        <v>45916</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63489-2023</t>
        </is>
      </c>
      <c r="B192" s="1" t="n">
        <v>45274.66761574074</v>
      </c>
      <c r="C192" s="1" t="n">
        <v>45916</v>
      </c>
      <c r="D192" t="inlineStr">
        <is>
          <t>ÖSTERGÖTLANDS LÄN</t>
        </is>
      </c>
      <c r="E192" t="inlineStr">
        <is>
          <t>LINKÖPING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28266-2024</t>
        </is>
      </c>
      <c r="B193" s="1" t="n">
        <v>45477.43600694444</v>
      </c>
      <c r="C193" s="1" t="n">
        <v>45916</v>
      </c>
      <c r="D193" t="inlineStr">
        <is>
          <t>ÖSTERGÖTLANDS LÄN</t>
        </is>
      </c>
      <c r="E193" t="inlineStr">
        <is>
          <t>LINKÖPING</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38134-2021</t>
        </is>
      </c>
      <c r="B194" s="1" t="n">
        <v>44405.3794212963</v>
      </c>
      <c r="C194" s="1" t="n">
        <v>45916</v>
      </c>
      <c r="D194" t="inlineStr">
        <is>
          <t>ÖSTERGÖTLANDS LÄN</t>
        </is>
      </c>
      <c r="E194" t="inlineStr">
        <is>
          <t>LINKÖPING</t>
        </is>
      </c>
      <c r="G194" t="n">
        <v>5.1</v>
      </c>
      <c r="H194" t="n">
        <v>0</v>
      </c>
      <c r="I194" t="n">
        <v>0</v>
      </c>
      <c r="J194" t="n">
        <v>0</v>
      </c>
      <c r="K194" t="n">
        <v>0</v>
      </c>
      <c r="L194" t="n">
        <v>0</v>
      </c>
      <c r="M194" t="n">
        <v>0</v>
      </c>
      <c r="N194" t="n">
        <v>0</v>
      </c>
      <c r="O194" t="n">
        <v>0</v>
      </c>
      <c r="P194" t="n">
        <v>0</v>
      </c>
      <c r="Q194" t="n">
        <v>0</v>
      </c>
      <c r="R194" s="2" t="inlineStr"/>
    </row>
    <row r="195" ht="15" customHeight="1">
      <c r="A195" t="inlineStr">
        <is>
          <t>A 25418-2023</t>
        </is>
      </c>
      <c r="B195" s="1" t="n">
        <v>45089</v>
      </c>
      <c r="C195" s="1" t="n">
        <v>45916</v>
      </c>
      <c r="D195" t="inlineStr">
        <is>
          <t>ÖSTERGÖTLANDS LÄN</t>
        </is>
      </c>
      <c r="E195" t="inlineStr">
        <is>
          <t>LINKÖPING</t>
        </is>
      </c>
      <c r="F195" t="inlineStr">
        <is>
          <t>Övriga Aktiebolag</t>
        </is>
      </c>
      <c r="G195" t="n">
        <v>2.4</v>
      </c>
      <c r="H195" t="n">
        <v>0</v>
      </c>
      <c r="I195" t="n">
        <v>0</v>
      </c>
      <c r="J195" t="n">
        <v>0</v>
      </c>
      <c r="K195" t="n">
        <v>0</v>
      </c>
      <c r="L195" t="n">
        <v>0</v>
      </c>
      <c r="M195" t="n">
        <v>0</v>
      </c>
      <c r="N195" t="n">
        <v>0</v>
      </c>
      <c r="O195" t="n">
        <v>0</v>
      </c>
      <c r="P195" t="n">
        <v>0</v>
      </c>
      <c r="Q195" t="n">
        <v>0</v>
      </c>
      <c r="R195" s="2" t="inlineStr"/>
    </row>
    <row r="196" ht="15" customHeight="1">
      <c r="A196" t="inlineStr">
        <is>
          <t>A 22772-2024</t>
        </is>
      </c>
      <c r="B196" s="1" t="n">
        <v>45448.46712962963</v>
      </c>
      <c r="C196" s="1" t="n">
        <v>45916</v>
      </c>
      <c r="D196" t="inlineStr">
        <is>
          <t>ÖSTERGÖTLANDS LÄN</t>
        </is>
      </c>
      <c r="E196" t="inlineStr">
        <is>
          <t>LINKÖPING</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61153-2021</t>
        </is>
      </c>
      <c r="B197" s="1" t="n">
        <v>44497</v>
      </c>
      <c r="C197" s="1" t="n">
        <v>45916</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33885-2021</t>
        </is>
      </c>
      <c r="B198" s="1" t="n">
        <v>44378</v>
      </c>
      <c r="C198" s="1" t="n">
        <v>45916</v>
      </c>
      <c r="D198" t="inlineStr">
        <is>
          <t>ÖSTERGÖTLANDS LÄN</t>
        </is>
      </c>
      <c r="E198" t="inlineStr">
        <is>
          <t>LINKÖPING</t>
        </is>
      </c>
      <c r="G198" t="n">
        <v>3.5</v>
      </c>
      <c r="H198" t="n">
        <v>0</v>
      </c>
      <c r="I198" t="n">
        <v>0</v>
      </c>
      <c r="J198" t="n">
        <v>0</v>
      </c>
      <c r="K198" t="n">
        <v>0</v>
      </c>
      <c r="L198" t="n">
        <v>0</v>
      </c>
      <c r="M198" t="n">
        <v>0</v>
      </c>
      <c r="N198" t="n">
        <v>0</v>
      </c>
      <c r="O198" t="n">
        <v>0</v>
      </c>
      <c r="P198" t="n">
        <v>0</v>
      </c>
      <c r="Q198" t="n">
        <v>0</v>
      </c>
      <c r="R198" s="2" t="inlineStr"/>
    </row>
    <row r="199" ht="15" customHeight="1">
      <c r="A199" t="inlineStr">
        <is>
          <t>A 12413-2022</t>
        </is>
      </c>
      <c r="B199" s="1" t="n">
        <v>44638</v>
      </c>
      <c r="C199" s="1" t="n">
        <v>45916</v>
      </c>
      <c r="D199" t="inlineStr">
        <is>
          <t>ÖSTERGÖTLANDS LÄN</t>
        </is>
      </c>
      <c r="E199" t="inlineStr">
        <is>
          <t>LINKÖPING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20455-2024</t>
        </is>
      </c>
      <c r="B200" s="1" t="n">
        <v>45435.65314814815</v>
      </c>
      <c r="C200" s="1" t="n">
        <v>45916</v>
      </c>
      <c r="D200" t="inlineStr">
        <is>
          <t>ÖSTERGÖTLANDS LÄN</t>
        </is>
      </c>
      <c r="E200" t="inlineStr">
        <is>
          <t>LINKÖPING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224-2024</t>
        </is>
      </c>
      <c r="B201" s="1" t="n">
        <v>45294</v>
      </c>
      <c r="C201" s="1" t="n">
        <v>45916</v>
      </c>
      <c r="D201" t="inlineStr">
        <is>
          <t>ÖSTERGÖTLANDS LÄN</t>
        </is>
      </c>
      <c r="E201" t="inlineStr">
        <is>
          <t>LINKÖPING</t>
        </is>
      </c>
      <c r="G201" t="n">
        <v>2.8</v>
      </c>
      <c r="H201" t="n">
        <v>0</v>
      </c>
      <c r="I201" t="n">
        <v>0</v>
      </c>
      <c r="J201" t="n">
        <v>0</v>
      </c>
      <c r="K201" t="n">
        <v>0</v>
      </c>
      <c r="L201" t="n">
        <v>0</v>
      </c>
      <c r="M201" t="n">
        <v>0</v>
      </c>
      <c r="N201" t="n">
        <v>0</v>
      </c>
      <c r="O201" t="n">
        <v>0</v>
      </c>
      <c r="P201" t="n">
        <v>0</v>
      </c>
      <c r="Q201" t="n">
        <v>0</v>
      </c>
      <c r="R201" s="2" t="inlineStr"/>
    </row>
    <row r="202" ht="15" customHeight="1">
      <c r="A202" t="inlineStr">
        <is>
          <t>A 54845-2023</t>
        </is>
      </c>
      <c r="B202" s="1" t="n">
        <v>45236</v>
      </c>
      <c r="C202" s="1" t="n">
        <v>45916</v>
      </c>
      <c r="D202" t="inlineStr">
        <is>
          <t>ÖSTERGÖTLANDS LÄN</t>
        </is>
      </c>
      <c r="E202" t="inlineStr">
        <is>
          <t>LINKÖPING</t>
        </is>
      </c>
      <c r="F202" t="inlineStr">
        <is>
          <t>Övriga Aktiebolag</t>
        </is>
      </c>
      <c r="G202" t="n">
        <v>5.7</v>
      </c>
      <c r="H202" t="n">
        <v>0</v>
      </c>
      <c r="I202" t="n">
        <v>0</v>
      </c>
      <c r="J202" t="n">
        <v>0</v>
      </c>
      <c r="K202" t="n">
        <v>0</v>
      </c>
      <c r="L202" t="n">
        <v>0</v>
      </c>
      <c r="M202" t="n">
        <v>0</v>
      </c>
      <c r="N202" t="n">
        <v>0</v>
      </c>
      <c r="O202" t="n">
        <v>0</v>
      </c>
      <c r="P202" t="n">
        <v>0</v>
      </c>
      <c r="Q202" t="n">
        <v>0</v>
      </c>
      <c r="R202" s="2" t="inlineStr"/>
    </row>
    <row r="203" ht="15" customHeight="1">
      <c r="A203" t="inlineStr">
        <is>
          <t>A 41426-2022</t>
        </is>
      </c>
      <c r="B203" s="1" t="n">
        <v>44826</v>
      </c>
      <c r="C203" s="1" t="n">
        <v>45916</v>
      </c>
      <c r="D203" t="inlineStr">
        <is>
          <t>ÖSTERGÖTLANDS LÄN</t>
        </is>
      </c>
      <c r="E203" t="inlineStr">
        <is>
          <t>LINKÖPING</t>
        </is>
      </c>
      <c r="G203" t="n">
        <v>3</v>
      </c>
      <c r="H203" t="n">
        <v>0</v>
      </c>
      <c r="I203" t="n">
        <v>0</v>
      </c>
      <c r="J203" t="n">
        <v>0</v>
      </c>
      <c r="K203" t="n">
        <v>0</v>
      </c>
      <c r="L203" t="n">
        <v>0</v>
      </c>
      <c r="M203" t="n">
        <v>0</v>
      </c>
      <c r="N203" t="n">
        <v>0</v>
      </c>
      <c r="O203" t="n">
        <v>0</v>
      </c>
      <c r="P203" t="n">
        <v>0</v>
      </c>
      <c r="Q203" t="n">
        <v>0</v>
      </c>
      <c r="R203" s="2" t="inlineStr"/>
    </row>
    <row r="204" ht="15" customHeight="1">
      <c r="A204" t="inlineStr">
        <is>
          <t>A 62488-2023</t>
        </is>
      </c>
      <c r="B204" s="1" t="n">
        <v>45268.5847337963</v>
      </c>
      <c r="C204" s="1" t="n">
        <v>45916</v>
      </c>
      <c r="D204" t="inlineStr">
        <is>
          <t>ÖSTERGÖTLANDS LÄN</t>
        </is>
      </c>
      <c r="E204" t="inlineStr">
        <is>
          <t>LINKÖPING</t>
        </is>
      </c>
      <c r="G204" t="n">
        <v>4.1</v>
      </c>
      <c r="H204" t="n">
        <v>0</v>
      </c>
      <c r="I204" t="n">
        <v>0</v>
      </c>
      <c r="J204" t="n">
        <v>0</v>
      </c>
      <c r="K204" t="n">
        <v>0</v>
      </c>
      <c r="L204" t="n">
        <v>0</v>
      </c>
      <c r="M204" t="n">
        <v>0</v>
      </c>
      <c r="N204" t="n">
        <v>0</v>
      </c>
      <c r="O204" t="n">
        <v>0</v>
      </c>
      <c r="P204" t="n">
        <v>0</v>
      </c>
      <c r="Q204" t="n">
        <v>0</v>
      </c>
      <c r="R204" s="2" t="inlineStr"/>
    </row>
    <row r="205" ht="15" customHeight="1">
      <c r="A205" t="inlineStr">
        <is>
          <t>A 24351-2024</t>
        </is>
      </c>
      <c r="B205" s="1" t="n">
        <v>45457.59011574074</v>
      </c>
      <c r="C205" s="1" t="n">
        <v>45916</v>
      </c>
      <c r="D205" t="inlineStr">
        <is>
          <t>ÖSTERGÖTLANDS LÄN</t>
        </is>
      </c>
      <c r="E205" t="inlineStr">
        <is>
          <t>LINKÖPING</t>
        </is>
      </c>
      <c r="G205" t="n">
        <v>11.9</v>
      </c>
      <c r="H205" t="n">
        <v>0</v>
      </c>
      <c r="I205" t="n">
        <v>0</v>
      </c>
      <c r="J205" t="n">
        <v>0</v>
      </c>
      <c r="K205" t="n">
        <v>0</v>
      </c>
      <c r="L205" t="n">
        <v>0</v>
      </c>
      <c r="M205" t="n">
        <v>0</v>
      </c>
      <c r="N205" t="n">
        <v>0</v>
      </c>
      <c r="O205" t="n">
        <v>0</v>
      </c>
      <c r="P205" t="n">
        <v>0</v>
      </c>
      <c r="Q205" t="n">
        <v>0</v>
      </c>
      <c r="R205" s="2" t="inlineStr"/>
    </row>
    <row r="206" ht="15" customHeight="1">
      <c r="A206" t="inlineStr">
        <is>
          <t>A 44849-2022</t>
        </is>
      </c>
      <c r="B206" s="1" t="n">
        <v>44841</v>
      </c>
      <c r="C206" s="1" t="n">
        <v>45916</v>
      </c>
      <c r="D206" t="inlineStr">
        <is>
          <t>ÖSTERGÖTLANDS LÄN</t>
        </is>
      </c>
      <c r="E206" t="inlineStr">
        <is>
          <t>LINKÖPING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70835-2021</t>
        </is>
      </c>
      <c r="B207" s="1" t="n">
        <v>44537</v>
      </c>
      <c r="C207" s="1" t="n">
        <v>45916</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34162-2022</t>
        </is>
      </c>
      <c r="B208" s="1" t="n">
        <v>44791</v>
      </c>
      <c r="C208" s="1" t="n">
        <v>45916</v>
      </c>
      <c r="D208" t="inlineStr">
        <is>
          <t>ÖSTERGÖTLANDS LÄN</t>
        </is>
      </c>
      <c r="E208" t="inlineStr">
        <is>
          <t>LINKÖPING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59948-2022</t>
        </is>
      </c>
      <c r="B209" s="1" t="n">
        <v>44909</v>
      </c>
      <c r="C209" s="1" t="n">
        <v>45916</v>
      </c>
      <c r="D209" t="inlineStr">
        <is>
          <t>ÖSTERGÖTLANDS LÄN</t>
        </is>
      </c>
      <c r="E209" t="inlineStr">
        <is>
          <t>LINKÖPING</t>
        </is>
      </c>
      <c r="G209" t="n">
        <v>6.7</v>
      </c>
      <c r="H209" t="n">
        <v>0</v>
      </c>
      <c r="I209" t="n">
        <v>0</v>
      </c>
      <c r="J209" t="n">
        <v>0</v>
      </c>
      <c r="K209" t="n">
        <v>0</v>
      </c>
      <c r="L209" t="n">
        <v>0</v>
      </c>
      <c r="M209" t="n">
        <v>0</v>
      </c>
      <c r="N209" t="n">
        <v>0</v>
      </c>
      <c r="O209" t="n">
        <v>0</v>
      </c>
      <c r="P209" t="n">
        <v>0</v>
      </c>
      <c r="Q209" t="n">
        <v>0</v>
      </c>
      <c r="R209" s="2" t="inlineStr"/>
    </row>
    <row r="210" ht="15" customHeight="1">
      <c r="A210" t="inlineStr">
        <is>
          <t>A 60001-2022</t>
        </is>
      </c>
      <c r="B210" s="1" t="n">
        <v>44909.47087962963</v>
      </c>
      <c r="C210" s="1" t="n">
        <v>45916</v>
      </c>
      <c r="D210" t="inlineStr">
        <is>
          <t>ÖSTERGÖTLANDS LÄN</t>
        </is>
      </c>
      <c r="E210" t="inlineStr">
        <is>
          <t>LINKÖPING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60013-2022</t>
        </is>
      </c>
      <c r="B211" s="1" t="n">
        <v>44909.47482638889</v>
      </c>
      <c r="C211" s="1" t="n">
        <v>45916</v>
      </c>
      <c r="D211" t="inlineStr">
        <is>
          <t>ÖSTERGÖTLANDS LÄN</t>
        </is>
      </c>
      <c r="E211" t="inlineStr">
        <is>
          <t>LINKÖPING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45916</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1211-2023</t>
        </is>
      </c>
      <c r="B213" s="1" t="n">
        <v>44930</v>
      </c>
      <c r="C213" s="1" t="n">
        <v>45916</v>
      </c>
      <c r="D213" t="inlineStr">
        <is>
          <t>ÖSTERGÖTLANDS LÄN</t>
        </is>
      </c>
      <c r="E213" t="inlineStr">
        <is>
          <t>LINKÖPING</t>
        </is>
      </c>
      <c r="F213" t="inlineStr">
        <is>
          <t>Övriga statliga verk och myndigheter</t>
        </is>
      </c>
      <c r="G213" t="n">
        <v>7.9</v>
      </c>
      <c r="H213" t="n">
        <v>0</v>
      </c>
      <c r="I213" t="n">
        <v>0</v>
      </c>
      <c r="J213" t="n">
        <v>0</v>
      </c>
      <c r="K213" t="n">
        <v>0</v>
      </c>
      <c r="L213" t="n">
        <v>0</v>
      </c>
      <c r="M213" t="n">
        <v>0</v>
      </c>
      <c r="N213" t="n">
        <v>0</v>
      </c>
      <c r="O213" t="n">
        <v>0</v>
      </c>
      <c r="P213" t="n">
        <v>0</v>
      </c>
      <c r="Q213" t="n">
        <v>0</v>
      </c>
      <c r="R213" s="2" t="inlineStr"/>
    </row>
    <row r="214" ht="15" customHeight="1">
      <c r="A214" t="inlineStr">
        <is>
          <t>A 52796-2023</t>
        </is>
      </c>
      <c r="B214" s="1" t="n">
        <v>45219</v>
      </c>
      <c r="C214" s="1" t="n">
        <v>45916</v>
      </c>
      <c r="D214" t="inlineStr">
        <is>
          <t>ÖSTERGÖTLANDS LÄN</t>
        </is>
      </c>
      <c r="E214" t="inlineStr">
        <is>
          <t>LINKÖPING</t>
        </is>
      </c>
      <c r="F214" t="inlineStr">
        <is>
          <t>Övriga statliga verk och myndigheter</t>
        </is>
      </c>
      <c r="G214" t="n">
        <v>3.9</v>
      </c>
      <c r="H214" t="n">
        <v>0</v>
      </c>
      <c r="I214" t="n">
        <v>0</v>
      </c>
      <c r="J214" t="n">
        <v>0</v>
      </c>
      <c r="K214" t="n">
        <v>0</v>
      </c>
      <c r="L214" t="n">
        <v>0</v>
      </c>
      <c r="M214" t="n">
        <v>0</v>
      </c>
      <c r="N214" t="n">
        <v>0</v>
      </c>
      <c r="O214" t="n">
        <v>0</v>
      </c>
      <c r="P214" t="n">
        <v>0</v>
      </c>
      <c r="Q214" t="n">
        <v>0</v>
      </c>
      <c r="R214" s="2" t="inlineStr"/>
    </row>
    <row r="215" ht="15" customHeight="1">
      <c r="A215" t="inlineStr">
        <is>
          <t>A 30855-2022</t>
        </is>
      </c>
      <c r="B215" s="1" t="n">
        <v>44767</v>
      </c>
      <c r="C215" s="1" t="n">
        <v>45916</v>
      </c>
      <c r="D215" t="inlineStr">
        <is>
          <t>ÖSTERGÖTLANDS LÄN</t>
        </is>
      </c>
      <c r="E215" t="inlineStr">
        <is>
          <t>LINKÖPING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54854-2022</t>
        </is>
      </c>
      <c r="B216" s="1" t="n">
        <v>44884</v>
      </c>
      <c r="C216" s="1" t="n">
        <v>45916</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54855-2022</t>
        </is>
      </c>
      <c r="B217" s="1" t="n">
        <v>44884.59502314815</v>
      </c>
      <c r="C217" s="1" t="n">
        <v>45916</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38136-2023</t>
        </is>
      </c>
      <c r="B218" s="1" t="n">
        <v>45161.37310185185</v>
      </c>
      <c r="C218" s="1" t="n">
        <v>45916</v>
      </c>
      <c r="D218" t="inlineStr">
        <is>
          <t>ÖSTERGÖTLANDS LÄN</t>
        </is>
      </c>
      <c r="E218" t="inlineStr">
        <is>
          <t>LINKÖPING</t>
        </is>
      </c>
      <c r="G218" t="n">
        <v>5.6</v>
      </c>
      <c r="H218" t="n">
        <v>0</v>
      </c>
      <c r="I218" t="n">
        <v>0</v>
      </c>
      <c r="J218" t="n">
        <v>0</v>
      </c>
      <c r="K218" t="n">
        <v>0</v>
      </c>
      <c r="L218" t="n">
        <v>0</v>
      </c>
      <c r="M218" t="n">
        <v>0</v>
      </c>
      <c r="N218" t="n">
        <v>0</v>
      </c>
      <c r="O218" t="n">
        <v>0</v>
      </c>
      <c r="P218" t="n">
        <v>0</v>
      </c>
      <c r="Q218" t="n">
        <v>0</v>
      </c>
      <c r="R218" s="2" t="inlineStr"/>
    </row>
    <row r="219" ht="15" customHeight="1">
      <c r="A219" t="inlineStr">
        <is>
          <t>A 17128-2025</t>
        </is>
      </c>
      <c r="B219" s="1" t="n">
        <v>45755.72622685185</v>
      </c>
      <c r="C219" s="1" t="n">
        <v>45916</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52125-2022</t>
        </is>
      </c>
      <c r="B220" s="1" t="n">
        <v>44873</v>
      </c>
      <c r="C220" s="1" t="n">
        <v>45916</v>
      </c>
      <c r="D220" t="inlineStr">
        <is>
          <t>ÖSTERGÖTLANDS LÄN</t>
        </is>
      </c>
      <c r="E220" t="inlineStr">
        <is>
          <t>LINKÖPING</t>
        </is>
      </c>
      <c r="F220" t="inlineStr">
        <is>
          <t>Övriga Aktiebolag</t>
        </is>
      </c>
      <c r="G220" t="n">
        <v>0.7</v>
      </c>
      <c r="H220" t="n">
        <v>0</v>
      </c>
      <c r="I220" t="n">
        <v>0</v>
      </c>
      <c r="J220" t="n">
        <v>0</v>
      </c>
      <c r="K220" t="n">
        <v>0</v>
      </c>
      <c r="L220" t="n">
        <v>0</v>
      </c>
      <c r="M220" t="n">
        <v>0</v>
      </c>
      <c r="N220" t="n">
        <v>0</v>
      </c>
      <c r="O220" t="n">
        <v>0</v>
      </c>
      <c r="P220" t="n">
        <v>0</v>
      </c>
      <c r="Q220" t="n">
        <v>0</v>
      </c>
      <c r="R220" s="2" t="inlineStr"/>
    </row>
    <row r="221" ht="15" customHeight="1">
      <c r="A221" t="inlineStr">
        <is>
          <t>A 34877-2023</t>
        </is>
      </c>
      <c r="B221" s="1" t="n">
        <v>45140</v>
      </c>
      <c r="C221" s="1" t="n">
        <v>45916</v>
      </c>
      <c r="D221" t="inlineStr">
        <is>
          <t>ÖSTERGÖTLANDS LÄN</t>
        </is>
      </c>
      <c r="E221" t="inlineStr">
        <is>
          <t>LINKÖPING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30856-2022</t>
        </is>
      </c>
      <c r="B222" s="1" t="n">
        <v>44767</v>
      </c>
      <c r="C222" s="1" t="n">
        <v>45916</v>
      </c>
      <c r="D222" t="inlineStr">
        <is>
          <t>ÖSTERGÖTLANDS LÄN</t>
        </is>
      </c>
      <c r="E222" t="inlineStr">
        <is>
          <t>LINKÖPING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11079-2022</t>
        </is>
      </c>
      <c r="B223" s="1" t="n">
        <v>44628</v>
      </c>
      <c r="C223" s="1" t="n">
        <v>45916</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20901-2021</t>
        </is>
      </c>
      <c r="B224" s="1" t="n">
        <v>44319</v>
      </c>
      <c r="C224" s="1" t="n">
        <v>45916</v>
      </c>
      <c r="D224" t="inlineStr">
        <is>
          <t>ÖSTERGÖTLANDS LÄN</t>
        </is>
      </c>
      <c r="E224" t="inlineStr">
        <is>
          <t>LINKÖPING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27343-2023</t>
        </is>
      </c>
      <c r="B225" s="1" t="n">
        <v>45096</v>
      </c>
      <c r="C225" s="1" t="n">
        <v>45916</v>
      </c>
      <c r="D225" t="inlineStr">
        <is>
          <t>ÖSTERGÖTLANDS LÄN</t>
        </is>
      </c>
      <c r="E225" t="inlineStr">
        <is>
          <t>LINKÖPING</t>
        </is>
      </c>
      <c r="F225" t="inlineStr">
        <is>
          <t>Allmännings- och besparingsskogar</t>
        </is>
      </c>
      <c r="G225" t="n">
        <v>6.9</v>
      </c>
      <c r="H225" t="n">
        <v>0</v>
      </c>
      <c r="I225" t="n">
        <v>0</v>
      </c>
      <c r="J225" t="n">
        <v>0</v>
      </c>
      <c r="K225" t="n">
        <v>0</v>
      </c>
      <c r="L225" t="n">
        <v>0</v>
      </c>
      <c r="M225" t="n">
        <v>0</v>
      </c>
      <c r="N225" t="n">
        <v>0</v>
      </c>
      <c r="O225" t="n">
        <v>0</v>
      </c>
      <c r="P225" t="n">
        <v>0</v>
      </c>
      <c r="Q225" t="n">
        <v>0</v>
      </c>
      <c r="R225" s="2" t="inlineStr"/>
    </row>
    <row r="226" ht="15" customHeight="1">
      <c r="A226" t="inlineStr">
        <is>
          <t>A 22842-2023</t>
        </is>
      </c>
      <c r="B226" s="1" t="n">
        <v>45071</v>
      </c>
      <c r="C226" s="1" t="n">
        <v>45916</v>
      </c>
      <c r="D226" t="inlineStr">
        <is>
          <t>ÖSTERGÖTLANDS LÄN</t>
        </is>
      </c>
      <c r="E226" t="inlineStr">
        <is>
          <t>LINKÖPING</t>
        </is>
      </c>
      <c r="F226" t="inlineStr">
        <is>
          <t>Kommuner</t>
        </is>
      </c>
      <c r="G226" t="n">
        <v>1.3</v>
      </c>
      <c r="H226" t="n">
        <v>0</v>
      </c>
      <c r="I226" t="n">
        <v>0</v>
      </c>
      <c r="J226" t="n">
        <v>0</v>
      </c>
      <c r="K226" t="n">
        <v>0</v>
      </c>
      <c r="L226" t="n">
        <v>0</v>
      </c>
      <c r="M226" t="n">
        <v>0</v>
      </c>
      <c r="N226" t="n">
        <v>0</v>
      </c>
      <c r="O226" t="n">
        <v>0</v>
      </c>
      <c r="P226" t="n">
        <v>0</v>
      </c>
      <c r="Q226" t="n">
        <v>0</v>
      </c>
      <c r="R226" s="2" t="inlineStr"/>
    </row>
    <row r="227" ht="15" customHeight="1">
      <c r="A227" t="inlineStr">
        <is>
          <t>A 57745-2022</t>
        </is>
      </c>
      <c r="B227" s="1" t="n">
        <v>44897.58119212963</v>
      </c>
      <c r="C227" s="1" t="n">
        <v>45916</v>
      </c>
      <c r="D227" t="inlineStr">
        <is>
          <t>ÖSTERGÖTLANDS LÄN</t>
        </is>
      </c>
      <c r="E227" t="inlineStr">
        <is>
          <t>LINKÖPING</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34889-2023</t>
        </is>
      </c>
      <c r="B228" s="1" t="n">
        <v>45140</v>
      </c>
      <c r="C228" s="1" t="n">
        <v>45916</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23768-2025</t>
        </is>
      </c>
      <c r="B229" s="1" t="n">
        <v>45793.47493055555</v>
      </c>
      <c r="C229" s="1" t="n">
        <v>45916</v>
      </c>
      <c r="D229" t="inlineStr">
        <is>
          <t>ÖSTERGÖTLANDS LÄN</t>
        </is>
      </c>
      <c r="E229" t="inlineStr">
        <is>
          <t>LINKÖPING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12317-2025</t>
        </is>
      </c>
      <c r="B230" s="1" t="n">
        <v>45729.8487037037</v>
      </c>
      <c r="C230" s="1" t="n">
        <v>45916</v>
      </c>
      <c r="D230" t="inlineStr">
        <is>
          <t>ÖSTERGÖTLANDS LÄN</t>
        </is>
      </c>
      <c r="E230" t="inlineStr">
        <is>
          <t>LINKÖPING</t>
        </is>
      </c>
      <c r="G230" t="n">
        <v>8</v>
      </c>
      <c r="H230" t="n">
        <v>0</v>
      </c>
      <c r="I230" t="n">
        <v>0</v>
      </c>
      <c r="J230" t="n">
        <v>0</v>
      </c>
      <c r="K230" t="n">
        <v>0</v>
      </c>
      <c r="L230" t="n">
        <v>0</v>
      </c>
      <c r="M230" t="n">
        <v>0</v>
      </c>
      <c r="N230" t="n">
        <v>0</v>
      </c>
      <c r="O230" t="n">
        <v>0</v>
      </c>
      <c r="P230" t="n">
        <v>0</v>
      </c>
      <c r="Q230" t="n">
        <v>0</v>
      </c>
      <c r="R230" s="2" t="inlineStr"/>
    </row>
    <row r="231" ht="15" customHeight="1">
      <c r="A231" t="inlineStr">
        <is>
          <t>A 1993-2023</t>
        </is>
      </c>
      <c r="B231" s="1" t="n">
        <v>44939</v>
      </c>
      <c r="C231" s="1" t="n">
        <v>45916</v>
      </c>
      <c r="D231" t="inlineStr">
        <is>
          <t>ÖSTERGÖTLANDS LÄN</t>
        </is>
      </c>
      <c r="E231" t="inlineStr">
        <is>
          <t>LINKÖPING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36557-2023</t>
        </is>
      </c>
      <c r="B232" s="1" t="n">
        <v>45153</v>
      </c>
      <c r="C232" s="1" t="n">
        <v>45916</v>
      </c>
      <c r="D232" t="inlineStr">
        <is>
          <t>ÖSTERGÖTLANDS LÄN</t>
        </is>
      </c>
      <c r="E232" t="inlineStr">
        <is>
          <t>LINKÖPING</t>
        </is>
      </c>
      <c r="F232" t="inlineStr">
        <is>
          <t>Övriga Aktiebolag</t>
        </is>
      </c>
      <c r="G232" t="n">
        <v>3.1</v>
      </c>
      <c r="H232" t="n">
        <v>0</v>
      </c>
      <c r="I232" t="n">
        <v>0</v>
      </c>
      <c r="J232" t="n">
        <v>0</v>
      </c>
      <c r="K232" t="n">
        <v>0</v>
      </c>
      <c r="L232" t="n">
        <v>0</v>
      </c>
      <c r="M232" t="n">
        <v>0</v>
      </c>
      <c r="N232" t="n">
        <v>0</v>
      </c>
      <c r="O232" t="n">
        <v>0</v>
      </c>
      <c r="P232" t="n">
        <v>0</v>
      </c>
      <c r="Q232" t="n">
        <v>0</v>
      </c>
      <c r="R232" s="2" t="inlineStr"/>
    </row>
    <row r="233" ht="15" customHeight="1">
      <c r="A233" t="inlineStr">
        <is>
          <t>A 14520-2025</t>
        </is>
      </c>
      <c r="B233" s="1" t="n">
        <v>45741</v>
      </c>
      <c r="C233" s="1" t="n">
        <v>45916</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31548-2022</t>
        </is>
      </c>
      <c r="B234" s="1" t="n">
        <v>44775.39832175926</v>
      </c>
      <c r="C234" s="1" t="n">
        <v>45916</v>
      </c>
      <c r="D234" t="inlineStr">
        <is>
          <t>ÖSTERGÖTLANDS LÄN</t>
        </is>
      </c>
      <c r="E234" t="inlineStr">
        <is>
          <t>LINKÖPING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2085-2024</t>
        </is>
      </c>
      <c r="B235" s="1" t="n">
        <v>45309</v>
      </c>
      <c r="C235" s="1" t="n">
        <v>45916</v>
      </c>
      <c r="D235" t="inlineStr">
        <is>
          <t>ÖSTERGÖTLANDS LÄN</t>
        </is>
      </c>
      <c r="E235" t="inlineStr">
        <is>
          <t>LINKÖPING</t>
        </is>
      </c>
      <c r="G235" t="n">
        <v>4.5</v>
      </c>
      <c r="H235" t="n">
        <v>0</v>
      </c>
      <c r="I235" t="n">
        <v>0</v>
      </c>
      <c r="J235" t="n">
        <v>0</v>
      </c>
      <c r="K235" t="n">
        <v>0</v>
      </c>
      <c r="L235" t="n">
        <v>0</v>
      </c>
      <c r="M235" t="n">
        <v>0</v>
      </c>
      <c r="N235" t="n">
        <v>0</v>
      </c>
      <c r="O235" t="n">
        <v>0</v>
      </c>
      <c r="P235" t="n">
        <v>0</v>
      </c>
      <c r="Q235" t="n">
        <v>0</v>
      </c>
      <c r="R235" s="2" t="inlineStr"/>
    </row>
    <row r="236" ht="15" customHeight="1">
      <c r="A236" t="inlineStr">
        <is>
          <t>A 62017-2024</t>
        </is>
      </c>
      <c r="B236" s="1" t="n">
        <v>45655.81140046296</v>
      </c>
      <c r="C236" s="1" t="n">
        <v>45916</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30468-2023</t>
        </is>
      </c>
      <c r="B237" s="1" t="n">
        <v>45111.58732638889</v>
      </c>
      <c r="C237" s="1" t="n">
        <v>45916</v>
      </c>
      <c r="D237" t="inlineStr">
        <is>
          <t>ÖSTERGÖTLANDS LÄN</t>
        </is>
      </c>
      <c r="E237" t="inlineStr">
        <is>
          <t>LINKÖPING</t>
        </is>
      </c>
      <c r="G237" t="n">
        <v>10.1</v>
      </c>
      <c r="H237" t="n">
        <v>0</v>
      </c>
      <c r="I237" t="n">
        <v>0</v>
      </c>
      <c r="J237" t="n">
        <v>0</v>
      </c>
      <c r="K237" t="n">
        <v>0</v>
      </c>
      <c r="L237" t="n">
        <v>0</v>
      </c>
      <c r="M237" t="n">
        <v>0</v>
      </c>
      <c r="N237" t="n">
        <v>0</v>
      </c>
      <c r="O237" t="n">
        <v>0</v>
      </c>
      <c r="P237" t="n">
        <v>0</v>
      </c>
      <c r="Q237" t="n">
        <v>0</v>
      </c>
      <c r="R237" s="2" t="inlineStr"/>
    </row>
    <row r="238" ht="15" customHeight="1">
      <c r="A238" t="inlineStr">
        <is>
          <t>A 17785-2023</t>
        </is>
      </c>
      <c r="B238" s="1" t="n">
        <v>45037.55094907407</v>
      </c>
      <c r="C238" s="1" t="n">
        <v>45916</v>
      </c>
      <c r="D238" t="inlineStr">
        <is>
          <t>ÖSTERGÖTLANDS LÄN</t>
        </is>
      </c>
      <c r="E238" t="inlineStr">
        <is>
          <t>LINKÖPING</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47364-2020</t>
        </is>
      </c>
      <c r="B239" s="1" t="n">
        <v>44097</v>
      </c>
      <c r="C239" s="1" t="n">
        <v>45916</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38715-2023</t>
        </is>
      </c>
      <c r="B240" s="1" t="n">
        <v>45160</v>
      </c>
      <c r="C240" s="1" t="n">
        <v>45916</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22771-2024</t>
        </is>
      </c>
      <c r="B241" s="1" t="n">
        <v>45448.46574074074</v>
      </c>
      <c r="C241" s="1" t="n">
        <v>45916</v>
      </c>
      <c r="D241" t="inlineStr">
        <is>
          <t>ÖSTERGÖTLANDS LÄN</t>
        </is>
      </c>
      <c r="E241" t="inlineStr">
        <is>
          <t>LINKÖPING</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62686-2023</t>
        </is>
      </c>
      <c r="B242" s="1" t="n">
        <v>45271</v>
      </c>
      <c r="C242" s="1" t="n">
        <v>45916</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42044-2023</t>
        </is>
      </c>
      <c r="B243" s="1" t="n">
        <v>45177</v>
      </c>
      <c r="C243" s="1" t="n">
        <v>45916</v>
      </c>
      <c r="D243" t="inlineStr">
        <is>
          <t>ÖSTERGÖTLANDS LÄN</t>
        </is>
      </c>
      <c r="E243" t="inlineStr">
        <is>
          <t>LINKÖPING</t>
        </is>
      </c>
      <c r="G243" t="n">
        <v>3.9</v>
      </c>
      <c r="H243" t="n">
        <v>0</v>
      </c>
      <c r="I243" t="n">
        <v>0</v>
      </c>
      <c r="J243" t="n">
        <v>0</v>
      </c>
      <c r="K243" t="n">
        <v>0</v>
      </c>
      <c r="L243" t="n">
        <v>0</v>
      </c>
      <c r="M243" t="n">
        <v>0</v>
      </c>
      <c r="N243" t="n">
        <v>0</v>
      </c>
      <c r="O243" t="n">
        <v>0</v>
      </c>
      <c r="P243" t="n">
        <v>0</v>
      </c>
      <c r="Q243" t="n">
        <v>0</v>
      </c>
      <c r="R243" s="2" t="inlineStr"/>
    </row>
    <row r="244" ht="15" customHeight="1">
      <c r="A244" t="inlineStr">
        <is>
          <t>A 48699-2024</t>
        </is>
      </c>
      <c r="B244" s="1" t="n">
        <v>45593.52091435185</v>
      </c>
      <c r="C244" s="1" t="n">
        <v>45916</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52220-2023</t>
        </is>
      </c>
      <c r="B245" s="1" t="n">
        <v>45217</v>
      </c>
      <c r="C245" s="1" t="n">
        <v>45916</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52225-2023</t>
        </is>
      </c>
      <c r="B246" s="1" t="n">
        <v>45217</v>
      </c>
      <c r="C246" s="1" t="n">
        <v>45916</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34864-2023</t>
        </is>
      </c>
      <c r="B247" s="1" t="n">
        <v>45141</v>
      </c>
      <c r="C247" s="1" t="n">
        <v>45916</v>
      </c>
      <c r="D247" t="inlineStr">
        <is>
          <t>ÖSTERGÖTLANDS LÄN</t>
        </is>
      </c>
      <c r="E247" t="inlineStr">
        <is>
          <t>LINKÖPING</t>
        </is>
      </c>
      <c r="G247" t="n">
        <v>3.3</v>
      </c>
      <c r="H247" t="n">
        <v>0</v>
      </c>
      <c r="I247" t="n">
        <v>0</v>
      </c>
      <c r="J247" t="n">
        <v>0</v>
      </c>
      <c r="K247" t="n">
        <v>0</v>
      </c>
      <c r="L247" t="n">
        <v>0</v>
      </c>
      <c r="M247" t="n">
        <v>0</v>
      </c>
      <c r="N247" t="n">
        <v>0</v>
      </c>
      <c r="O247" t="n">
        <v>0</v>
      </c>
      <c r="P247" t="n">
        <v>0</v>
      </c>
      <c r="Q247" t="n">
        <v>0</v>
      </c>
      <c r="R247" s="2" t="inlineStr"/>
    </row>
    <row r="248" ht="15" customHeight="1">
      <c r="A248" t="inlineStr">
        <is>
          <t>A 5314-2021</t>
        </is>
      </c>
      <c r="B248" s="1" t="n">
        <v>44229</v>
      </c>
      <c r="C248" s="1" t="n">
        <v>45916</v>
      </c>
      <c r="D248" t="inlineStr">
        <is>
          <t>ÖSTERGÖTLANDS LÄN</t>
        </is>
      </c>
      <c r="E248" t="inlineStr">
        <is>
          <t>LINKÖPING</t>
        </is>
      </c>
      <c r="G248" t="n">
        <v>6.2</v>
      </c>
      <c r="H248" t="n">
        <v>0</v>
      </c>
      <c r="I248" t="n">
        <v>0</v>
      </c>
      <c r="J248" t="n">
        <v>0</v>
      </c>
      <c r="K248" t="n">
        <v>0</v>
      </c>
      <c r="L248" t="n">
        <v>0</v>
      </c>
      <c r="M248" t="n">
        <v>0</v>
      </c>
      <c r="N248" t="n">
        <v>0</v>
      </c>
      <c r="O248" t="n">
        <v>0</v>
      </c>
      <c r="P248" t="n">
        <v>0</v>
      </c>
      <c r="Q248" t="n">
        <v>0</v>
      </c>
      <c r="R248" s="2" t="inlineStr"/>
    </row>
    <row r="249" ht="15" customHeight="1">
      <c r="A249" t="inlineStr">
        <is>
          <t>A 42832-2023</t>
        </is>
      </c>
      <c r="B249" s="1" t="n">
        <v>45182.38091435185</v>
      </c>
      <c r="C249" s="1" t="n">
        <v>45916</v>
      </c>
      <c r="D249" t="inlineStr">
        <is>
          <t>ÖSTERGÖTLANDS LÄN</t>
        </is>
      </c>
      <c r="E249" t="inlineStr">
        <is>
          <t>LINKÖPING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56560-2023</t>
        </is>
      </c>
      <c r="B250" s="1" t="n">
        <v>45238</v>
      </c>
      <c r="C250" s="1" t="n">
        <v>45916</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52412-2023</t>
        </is>
      </c>
      <c r="B251" s="1" t="n">
        <v>45225.27888888889</v>
      </c>
      <c r="C251" s="1" t="n">
        <v>45916</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52413-2023</t>
        </is>
      </c>
      <c r="B252" s="1" t="n">
        <v>45225.27950231481</v>
      </c>
      <c r="C252" s="1" t="n">
        <v>45916</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53616-2020</t>
        </is>
      </c>
      <c r="B253" s="1" t="n">
        <v>44123</v>
      </c>
      <c r="C253" s="1" t="n">
        <v>45916</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7354-2025</t>
        </is>
      </c>
      <c r="B254" s="1" t="n">
        <v>45704.41174768518</v>
      </c>
      <c r="C254" s="1" t="n">
        <v>45916</v>
      </c>
      <c r="D254" t="inlineStr">
        <is>
          <t>ÖSTERGÖTLANDS LÄN</t>
        </is>
      </c>
      <c r="E254" t="inlineStr">
        <is>
          <t>LINKÖPING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46687-2021</t>
        </is>
      </c>
      <c r="B255" s="1" t="n">
        <v>44445</v>
      </c>
      <c r="C255" s="1" t="n">
        <v>45916</v>
      </c>
      <c r="D255" t="inlineStr">
        <is>
          <t>ÖSTERGÖTLANDS LÄN</t>
        </is>
      </c>
      <c r="E255" t="inlineStr">
        <is>
          <t>LINKÖPING</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49656-2021</t>
        </is>
      </c>
      <c r="B256" s="1" t="n">
        <v>44454</v>
      </c>
      <c r="C256" s="1" t="n">
        <v>45916</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17103-2025</t>
        </is>
      </c>
      <c r="B257" s="1" t="n">
        <v>45755.66143518518</v>
      </c>
      <c r="C257" s="1" t="n">
        <v>45916</v>
      </c>
      <c r="D257" t="inlineStr">
        <is>
          <t>ÖSTERGÖTLANDS LÄN</t>
        </is>
      </c>
      <c r="E257" t="inlineStr">
        <is>
          <t>LINKÖPING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38230-2023</t>
        </is>
      </c>
      <c r="B258" s="1" t="n">
        <v>45161.55373842592</v>
      </c>
      <c r="C258" s="1" t="n">
        <v>45916</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45442-2024</t>
        </is>
      </c>
      <c r="B259" s="1" t="n">
        <v>45576.64189814815</v>
      </c>
      <c r="C259" s="1" t="n">
        <v>45916</v>
      </c>
      <c r="D259" t="inlineStr">
        <is>
          <t>ÖSTERGÖTLANDS LÄN</t>
        </is>
      </c>
      <c r="E259" t="inlineStr">
        <is>
          <t>LINKÖPING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4908-2023</t>
        </is>
      </c>
      <c r="B260" s="1" t="n">
        <v>44958</v>
      </c>
      <c r="C260" s="1" t="n">
        <v>45916</v>
      </c>
      <c r="D260" t="inlineStr">
        <is>
          <t>ÖSTERGÖTLANDS LÄN</t>
        </is>
      </c>
      <c r="E260" t="inlineStr">
        <is>
          <t>LINKÖPING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1265-2023</t>
        </is>
      </c>
      <c r="B261" s="1" t="n">
        <v>44936</v>
      </c>
      <c r="C261" s="1" t="n">
        <v>45916</v>
      </c>
      <c r="D261" t="inlineStr">
        <is>
          <t>ÖSTERGÖTLANDS LÄN</t>
        </is>
      </c>
      <c r="E261" t="inlineStr">
        <is>
          <t>LINKÖPING</t>
        </is>
      </c>
      <c r="G261" t="n">
        <v>2.3</v>
      </c>
      <c r="H261" t="n">
        <v>0</v>
      </c>
      <c r="I261" t="n">
        <v>0</v>
      </c>
      <c r="J261" t="n">
        <v>0</v>
      </c>
      <c r="K261" t="n">
        <v>0</v>
      </c>
      <c r="L261" t="n">
        <v>0</v>
      </c>
      <c r="M261" t="n">
        <v>0</v>
      </c>
      <c r="N261" t="n">
        <v>0</v>
      </c>
      <c r="O261" t="n">
        <v>0</v>
      </c>
      <c r="P261" t="n">
        <v>0</v>
      </c>
      <c r="Q261" t="n">
        <v>0</v>
      </c>
      <c r="R261" s="2" t="inlineStr"/>
    </row>
    <row r="262" ht="15" customHeight="1">
      <c r="A262" t="inlineStr">
        <is>
          <t>A 13911-2025</t>
        </is>
      </c>
      <c r="B262" s="1" t="n">
        <v>45737.64784722222</v>
      </c>
      <c r="C262" s="1" t="n">
        <v>45916</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40618-2021</t>
        </is>
      </c>
      <c r="B263" s="1" t="n">
        <v>44420.49575231481</v>
      </c>
      <c r="C263" s="1" t="n">
        <v>45916</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12411-2022</t>
        </is>
      </c>
      <c r="B264" s="1" t="n">
        <v>44638.21601851852</v>
      </c>
      <c r="C264" s="1" t="n">
        <v>45916</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56180-2024</t>
        </is>
      </c>
      <c r="B265" s="1" t="n">
        <v>45624.56611111111</v>
      </c>
      <c r="C265" s="1" t="n">
        <v>45916</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44280-2024</t>
        </is>
      </c>
      <c r="B266" s="1" t="n">
        <v>45573.49461805556</v>
      </c>
      <c r="C266" s="1" t="n">
        <v>45916</v>
      </c>
      <c r="D266" t="inlineStr">
        <is>
          <t>ÖSTERGÖTLANDS LÄN</t>
        </is>
      </c>
      <c r="E266" t="inlineStr">
        <is>
          <t>LINKÖPING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30471-2023</t>
        </is>
      </c>
      <c r="B267" s="1" t="n">
        <v>45111.58931712963</v>
      </c>
      <c r="C267" s="1" t="n">
        <v>45916</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227-2024</t>
        </is>
      </c>
      <c r="B268" s="1" t="n">
        <v>45294.73603009259</v>
      </c>
      <c r="C268" s="1" t="n">
        <v>45916</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44155-2024</t>
        </is>
      </c>
      <c r="B269" s="1" t="n">
        <v>45572.68226851852</v>
      </c>
      <c r="C269" s="1" t="n">
        <v>45916</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55945-2024</t>
        </is>
      </c>
      <c r="B270" s="1" t="n">
        <v>45623.61754629629</v>
      </c>
      <c r="C270" s="1" t="n">
        <v>45916</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34928-2023</t>
        </is>
      </c>
      <c r="B271" s="1" t="n">
        <v>45142</v>
      </c>
      <c r="C271" s="1" t="n">
        <v>45916</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1263-2024</t>
        </is>
      </c>
      <c r="B272" s="1" t="n">
        <v>45302</v>
      </c>
      <c r="C272" s="1" t="n">
        <v>45916</v>
      </c>
      <c r="D272" t="inlineStr">
        <is>
          <t>ÖSTERGÖTLANDS LÄN</t>
        </is>
      </c>
      <c r="E272" t="inlineStr">
        <is>
          <t>LINKÖPING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30434-2024</t>
        </is>
      </c>
      <c r="B273" s="1" t="n">
        <v>45491.69811342593</v>
      </c>
      <c r="C273" s="1" t="n">
        <v>45916</v>
      </c>
      <c r="D273" t="inlineStr">
        <is>
          <t>ÖSTERGÖTLANDS LÄN</t>
        </is>
      </c>
      <c r="E273" t="inlineStr">
        <is>
          <t>LINKÖPING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23491-2024</t>
        </is>
      </c>
      <c r="B274" s="1" t="n">
        <v>45453</v>
      </c>
      <c r="C274" s="1" t="n">
        <v>45916</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52531-2023</t>
        </is>
      </c>
      <c r="B275" s="1" t="n">
        <v>45225</v>
      </c>
      <c r="C275" s="1" t="n">
        <v>45916</v>
      </c>
      <c r="D275" t="inlineStr">
        <is>
          <t>ÖSTERGÖTLANDS LÄN</t>
        </is>
      </c>
      <c r="E275" t="inlineStr">
        <is>
          <t>LINKÖPING</t>
        </is>
      </c>
      <c r="F275" t="inlineStr">
        <is>
          <t>Övriga Aktiebolag</t>
        </is>
      </c>
      <c r="G275" t="n">
        <v>1</v>
      </c>
      <c r="H275" t="n">
        <v>0</v>
      </c>
      <c r="I275" t="n">
        <v>0</v>
      </c>
      <c r="J275" t="n">
        <v>0</v>
      </c>
      <c r="K275" t="n">
        <v>0</v>
      </c>
      <c r="L275" t="n">
        <v>0</v>
      </c>
      <c r="M275" t="n">
        <v>0</v>
      </c>
      <c r="N275" t="n">
        <v>0</v>
      </c>
      <c r="O275" t="n">
        <v>0</v>
      </c>
      <c r="P275" t="n">
        <v>0</v>
      </c>
      <c r="Q275" t="n">
        <v>0</v>
      </c>
      <c r="R275" s="2" t="inlineStr"/>
    </row>
    <row r="276" ht="15" customHeight="1">
      <c r="A276" t="inlineStr">
        <is>
          <t>A 70-2024</t>
        </is>
      </c>
      <c r="B276" s="1" t="n">
        <v>45293</v>
      </c>
      <c r="C276" s="1" t="n">
        <v>45916</v>
      </c>
      <c r="D276" t="inlineStr">
        <is>
          <t>ÖSTERGÖTLANDS LÄN</t>
        </is>
      </c>
      <c r="E276" t="inlineStr">
        <is>
          <t>LINKÖPING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6054-2022</t>
        </is>
      </c>
      <c r="B277" s="1" t="n">
        <v>44599.53623842593</v>
      </c>
      <c r="C277" s="1" t="n">
        <v>45916</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56917-2022</t>
        </is>
      </c>
      <c r="B278" s="1" t="n">
        <v>44894</v>
      </c>
      <c r="C278" s="1" t="n">
        <v>45916</v>
      </c>
      <c r="D278" t="inlineStr">
        <is>
          <t>ÖSTERGÖTLANDS LÄN</t>
        </is>
      </c>
      <c r="E278" t="inlineStr">
        <is>
          <t>LINKÖPING</t>
        </is>
      </c>
      <c r="G278" t="n">
        <v>2.2</v>
      </c>
      <c r="H278" t="n">
        <v>0</v>
      </c>
      <c r="I278" t="n">
        <v>0</v>
      </c>
      <c r="J278" t="n">
        <v>0</v>
      </c>
      <c r="K278" t="n">
        <v>0</v>
      </c>
      <c r="L278" t="n">
        <v>0</v>
      </c>
      <c r="M278" t="n">
        <v>0</v>
      </c>
      <c r="N278" t="n">
        <v>0</v>
      </c>
      <c r="O278" t="n">
        <v>0</v>
      </c>
      <c r="P278" t="n">
        <v>0</v>
      </c>
      <c r="Q278" t="n">
        <v>0</v>
      </c>
      <c r="R278" s="2" t="inlineStr"/>
    </row>
    <row r="279" ht="15" customHeight="1">
      <c r="A279" t="inlineStr">
        <is>
          <t>A 31725-2022</t>
        </is>
      </c>
      <c r="B279" s="1" t="n">
        <v>44776.48541666667</v>
      </c>
      <c r="C279" s="1" t="n">
        <v>45916</v>
      </c>
      <c r="D279" t="inlineStr">
        <is>
          <t>ÖSTERGÖTLANDS LÄN</t>
        </is>
      </c>
      <c r="E279" t="inlineStr">
        <is>
          <t>LINKÖPING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57766-2023</t>
        </is>
      </c>
      <c r="B280" s="1" t="n">
        <v>45246</v>
      </c>
      <c r="C280" s="1" t="n">
        <v>45916</v>
      </c>
      <c r="D280" t="inlineStr">
        <is>
          <t>ÖSTERGÖTLANDS LÄN</t>
        </is>
      </c>
      <c r="E280" t="inlineStr">
        <is>
          <t>LINKÖPING</t>
        </is>
      </c>
      <c r="F280" t="inlineStr">
        <is>
          <t>Allmännings- och besparingsskogar</t>
        </is>
      </c>
      <c r="G280" t="n">
        <v>12.8</v>
      </c>
      <c r="H280" t="n">
        <v>0</v>
      </c>
      <c r="I280" t="n">
        <v>0</v>
      </c>
      <c r="J280" t="n">
        <v>0</v>
      </c>
      <c r="K280" t="n">
        <v>0</v>
      </c>
      <c r="L280" t="n">
        <v>0</v>
      </c>
      <c r="M280" t="n">
        <v>0</v>
      </c>
      <c r="N280" t="n">
        <v>0</v>
      </c>
      <c r="O280" t="n">
        <v>0</v>
      </c>
      <c r="P280" t="n">
        <v>0</v>
      </c>
      <c r="Q280" t="n">
        <v>0</v>
      </c>
      <c r="R280" s="2" t="inlineStr"/>
    </row>
    <row r="281" ht="15" customHeight="1">
      <c r="A281" t="inlineStr">
        <is>
          <t>A 72567-2021</t>
        </is>
      </c>
      <c r="B281" s="1" t="n">
        <v>44546.45023148148</v>
      </c>
      <c r="C281" s="1" t="n">
        <v>45916</v>
      </c>
      <c r="D281" t="inlineStr">
        <is>
          <t>ÖSTERGÖTLANDS LÄN</t>
        </is>
      </c>
      <c r="E281" t="inlineStr">
        <is>
          <t>LINKÖPING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20291-2025</t>
        </is>
      </c>
      <c r="B282" s="1" t="n">
        <v>45774.74288194445</v>
      </c>
      <c r="C282" s="1" t="n">
        <v>45916</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20293-2025</t>
        </is>
      </c>
      <c r="B283" s="1" t="n">
        <v>45774.74611111111</v>
      </c>
      <c r="C283" s="1" t="n">
        <v>45916</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25829-2025</t>
        </is>
      </c>
      <c r="B284" s="1" t="n">
        <v>45804.44505787037</v>
      </c>
      <c r="C284" s="1" t="n">
        <v>45916</v>
      </c>
      <c r="D284" t="inlineStr">
        <is>
          <t>ÖSTERGÖTLANDS LÄN</t>
        </is>
      </c>
      <c r="E284" t="inlineStr">
        <is>
          <t>LINKÖPING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26002-2025</t>
        </is>
      </c>
      <c r="B285" s="1" t="n">
        <v>45804.66534722222</v>
      </c>
      <c r="C285" s="1" t="n">
        <v>45916</v>
      </c>
      <c r="D285" t="inlineStr">
        <is>
          <t>ÖSTERGÖTLANDS LÄN</t>
        </is>
      </c>
      <c r="E285" t="inlineStr">
        <is>
          <t>LINKÖPING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25996-2025</t>
        </is>
      </c>
      <c r="B286" s="1" t="n">
        <v>45804.65851851852</v>
      </c>
      <c r="C286" s="1" t="n">
        <v>45916</v>
      </c>
      <c r="D286" t="inlineStr">
        <is>
          <t>ÖSTERGÖTLANDS LÄN</t>
        </is>
      </c>
      <c r="E286" t="inlineStr">
        <is>
          <t>LINKÖPING</t>
        </is>
      </c>
      <c r="G286" t="n">
        <v>3.2</v>
      </c>
      <c r="H286" t="n">
        <v>0</v>
      </c>
      <c r="I286" t="n">
        <v>0</v>
      </c>
      <c r="J286" t="n">
        <v>0</v>
      </c>
      <c r="K286" t="n">
        <v>0</v>
      </c>
      <c r="L286" t="n">
        <v>0</v>
      </c>
      <c r="M286" t="n">
        <v>0</v>
      </c>
      <c r="N286" t="n">
        <v>0</v>
      </c>
      <c r="O286" t="n">
        <v>0</v>
      </c>
      <c r="P286" t="n">
        <v>0</v>
      </c>
      <c r="Q286" t="n">
        <v>0</v>
      </c>
      <c r="R286" s="2" t="inlineStr"/>
    </row>
    <row r="287" ht="15" customHeight="1">
      <c r="A287" t="inlineStr">
        <is>
          <t>A 25568-2024</t>
        </is>
      </c>
      <c r="B287" s="1" t="n">
        <v>45463.58699074074</v>
      </c>
      <c r="C287" s="1" t="n">
        <v>45916</v>
      </c>
      <c r="D287" t="inlineStr">
        <is>
          <t>ÖSTERGÖTLANDS LÄN</t>
        </is>
      </c>
      <c r="E287" t="inlineStr">
        <is>
          <t>LINKÖPING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57391-2023</t>
        </is>
      </c>
      <c r="B288" s="1" t="n">
        <v>45245</v>
      </c>
      <c r="C288" s="1" t="n">
        <v>45916</v>
      </c>
      <c r="D288" t="inlineStr">
        <is>
          <t>ÖSTERGÖTLANDS LÄN</t>
        </is>
      </c>
      <c r="E288" t="inlineStr">
        <is>
          <t>LINKÖPING</t>
        </is>
      </c>
      <c r="F288" t="inlineStr">
        <is>
          <t>Övriga Aktiebolag</t>
        </is>
      </c>
      <c r="G288" t="n">
        <v>1.7</v>
      </c>
      <c r="H288" t="n">
        <v>0</v>
      </c>
      <c r="I288" t="n">
        <v>0</v>
      </c>
      <c r="J288" t="n">
        <v>0</v>
      </c>
      <c r="K288" t="n">
        <v>0</v>
      </c>
      <c r="L288" t="n">
        <v>0</v>
      </c>
      <c r="M288" t="n">
        <v>0</v>
      </c>
      <c r="N288" t="n">
        <v>0</v>
      </c>
      <c r="O288" t="n">
        <v>0</v>
      </c>
      <c r="P288" t="n">
        <v>0</v>
      </c>
      <c r="Q288" t="n">
        <v>0</v>
      </c>
      <c r="R288" s="2" t="inlineStr"/>
    </row>
    <row r="289" ht="15" customHeight="1">
      <c r="A289" t="inlineStr">
        <is>
          <t>A 3041-2024</t>
        </is>
      </c>
      <c r="B289" s="1" t="n">
        <v>45316.34875</v>
      </c>
      <c r="C289" s="1" t="n">
        <v>45916</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3043-2024</t>
        </is>
      </c>
      <c r="B290" s="1" t="n">
        <v>45316</v>
      </c>
      <c r="C290" s="1" t="n">
        <v>45916</v>
      </c>
      <c r="D290" t="inlineStr">
        <is>
          <t>ÖSTERGÖTLANDS LÄN</t>
        </is>
      </c>
      <c r="E290" t="inlineStr">
        <is>
          <t>LINKÖPING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50963-2021</t>
        </is>
      </c>
      <c r="B291" s="1" t="n">
        <v>44460</v>
      </c>
      <c r="C291" s="1" t="n">
        <v>45916</v>
      </c>
      <c r="D291" t="inlineStr">
        <is>
          <t>ÖSTERGÖTLANDS LÄN</t>
        </is>
      </c>
      <c r="E291" t="inlineStr">
        <is>
          <t>LINKÖPING</t>
        </is>
      </c>
      <c r="G291" t="n">
        <v>4.4</v>
      </c>
      <c r="H291" t="n">
        <v>0</v>
      </c>
      <c r="I291" t="n">
        <v>0</v>
      </c>
      <c r="J291" t="n">
        <v>0</v>
      </c>
      <c r="K291" t="n">
        <v>0</v>
      </c>
      <c r="L291" t="n">
        <v>0</v>
      </c>
      <c r="M291" t="n">
        <v>0</v>
      </c>
      <c r="N291" t="n">
        <v>0</v>
      </c>
      <c r="O291" t="n">
        <v>0</v>
      </c>
      <c r="P291" t="n">
        <v>0</v>
      </c>
      <c r="Q291" t="n">
        <v>0</v>
      </c>
      <c r="R291" s="2" t="inlineStr"/>
    </row>
    <row r="292" ht="15" customHeight="1">
      <c r="A292" t="inlineStr">
        <is>
          <t>A 7992-2023</t>
        </is>
      </c>
      <c r="B292" s="1" t="n">
        <v>44970</v>
      </c>
      <c r="C292" s="1" t="n">
        <v>45916</v>
      </c>
      <c r="D292" t="inlineStr">
        <is>
          <t>ÖSTERGÖTLANDS LÄN</t>
        </is>
      </c>
      <c r="E292" t="inlineStr">
        <is>
          <t>LINKÖPING</t>
        </is>
      </c>
      <c r="F292" t="inlineStr">
        <is>
          <t>Kommuner</t>
        </is>
      </c>
      <c r="G292" t="n">
        <v>1</v>
      </c>
      <c r="H292" t="n">
        <v>0</v>
      </c>
      <c r="I292" t="n">
        <v>0</v>
      </c>
      <c r="J292" t="n">
        <v>0</v>
      </c>
      <c r="K292" t="n">
        <v>0</v>
      </c>
      <c r="L292" t="n">
        <v>0</v>
      </c>
      <c r="M292" t="n">
        <v>0</v>
      </c>
      <c r="N292" t="n">
        <v>0</v>
      </c>
      <c r="O292" t="n">
        <v>0</v>
      </c>
      <c r="P292" t="n">
        <v>0</v>
      </c>
      <c r="Q292" t="n">
        <v>0</v>
      </c>
      <c r="R292" s="2" t="inlineStr"/>
    </row>
    <row r="293" ht="15" customHeight="1">
      <c r="A293" t="inlineStr">
        <is>
          <t>A 61307-2021</t>
        </is>
      </c>
      <c r="B293" s="1" t="n">
        <v>44498.63928240741</v>
      </c>
      <c r="C293" s="1" t="n">
        <v>45916</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61325-2021</t>
        </is>
      </c>
      <c r="B294" s="1" t="n">
        <v>44498.66814814815</v>
      </c>
      <c r="C294" s="1" t="n">
        <v>45916</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3042-2024</t>
        </is>
      </c>
      <c r="B295" s="1" t="n">
        <v>45316.35028935185</v>
      </c>
      <c r="C295" s="1" t="n">
        <v>45916</v>
      </c>
      <c r="D295" t="inlineStr">
        <is>
          <t>ÖSTERGÖTLANDS LÄN</t>
        </is>
      </c>
      <c r="E295" t="inlineStr">
        <is>
          <t>LINKÖPING</t>
        </is>
      </c>
      <c r="G295" t="n">
        <v>3.1</v>
      </c>
      <c r="H295" t="n">
        <v>0</v>
      </c>
      <c r="I295" t="n">
        <v>0</v>
      </c>
      <c r="J295" t="n">
        <v>0</v>
      </c>
      <c r="K295" t="n">
        <v>0</v>
      </c>
      <c r="L295" t="n">
        <v>0</v>
      </c>
      <c r="M295" t="n">
        <v>0</v>
      </c>
      <c r="N295" t="n">
        <v>0</v>
      </c>
      <c r="O295" t="n">
        <v>0</v>
      </c>
      <c r="P295" t="n">
        <v>0</v>
      </c>
      <c r="Q295" t="n">
        <v>0</v>
      </c>
      <c r="R295" s="2" t="inlineStr"/>
    </row>
    <row r="296" ht="15" customHeight="1">
      <c r="A296" t="inlineStr">
        <is>
          <t>A 63665-2023</t>
        </is>
      </c>
      <c r="B296" s="1" t="n">
        <v>45275</v>
      </c>
      <c r="C296" s="1" t="n">
        <v>45916</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13689-2025</t>
        </is>
      </c>
      <c r="B297" s="1" t="n">
        <v>45737.31590277778</v>
      </c>
      <c r="C297" s="1" t="n">
        <v>45916</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13696-2025</t>
        </is>
      </c>
      <c r="B298" s="1" t="n">
        <v>45737.32273148148</v>
      </c>
      <c r="C298" s="1" t="n">
        <v>45916</v>
      </c>
      <c r="D298" t="inlineStr">
        <is>
          <t>ÖSTERGÖTLANDS LÄN</t>
        </is>
      </c>
      <c r="E298" t="inlineStr">
        <is>
          <t>LINKÖPING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61227-2024</t>
        </is>
      </c>
      <c r="B299" s="1" t="n">
        <v>45645.66853009259</v>
      </c>
      <c r="C299" s="1" t="n">
        <v>45916</v>
      </c>
      <c r="D299" t="inlineStr">
        <is>
          <t>ÖSTERGÖTLANDS LÄN</t>
        </is>
      </c>
      <c r="E299" t="inlineStr">
        <is>
          <t>LINKÖPING</t>
        </is>
      </c>
      <c r="G299" t="n">
        <v>6</v>
      </c>
      <c r="H299" t="n">
        <v>0</v>
      </c>
      <c r="I299" t="n">
        <v>0</v>
      </c>
      <c r="J299" t="n">
        <v>0</v>
      </c>
      <c r="K299" t="n">
        <v>0</v>
      </c>
      <c r="L299" t="n">
        <v>0</v>
      </c>
      <c r="M299" t="n">
        <v>0</v>
      </c>
      <c r="N299" t="n">
        <v>0</v>
      </c>
      <c r="O299" t="n">
        <v>0</v>
      </c>
      <c r="P299" t="n">
        <v>0</v>
      </c>
      <c r="Q299" t="n">
        <v>0</v>
      </c>
      <c r="R299" s="2" t="inlineStr"/>
    </row>
    <row r="300" ht="15" customHeight="1">
      <c r="A300" t="inlineStr">
        <is>
          <t>A 22833-2023</t>
        </is>
      </c>
      <c r="B300" s="1" t="n">
        <v>45071</v>
      </c>
      <c r="C300" s="1" t="n">
        <v>45916</v>
      </c>
      <c r="D300" t="inlineStr">
        <is>
          <t>ÖSTERGÖTLANDS LÄN</t>
        </is>
      </c>
      <c r="E300" t="inlineStr">
        <is>
          <t>LINKÖPING</t>
        </is>
      </c>
      <c r="F300" t="inlineStr">
        <is>
          <t>Kommuner</t>
        </is>
      </c>
      <c r="G300" t="n">
        <v>1</v>
      </c>
      <c r="H300" t="n">
        <v>0</v>
      </c>
      <c r="I300" t="n">
        <v>0</v>
      </c>
      <c r="J300" t="n">
        <v>0</v>
      </c>
      <c r="K300" t="n">
        <v>0</v>
      </c>
      <c r="L300" t="n">
        <v>0</v>
      </c>
      <c r="M300" t="n">
        <v>0</v>
      </c>
      <c r="N300" t="n">
        <v>0</v>
      </c>
      <c r="O300" t="n">
        <v>0</v>
      </c>
      <c r="P300" t="n">
        <v>0</v>
      </c>
      <c r="Q300" t="n">
        <v>0</v>
      </c>
      <c r="R300" s="2" t="inlineStr"/>
    </row>
    <row r="301" ht="15" customHeight="1">
      <c r="A301" t="inlineStr">
        <is>
          <t>A 1924-2024</t>
        </is>
      </c>
      <c r="B301" s="1" t="n">
        <v>45308</v>
      </c>
      <c r="C301" s="1" t="n">
        <v>45916</v>
      </c>
      <c r="D301" t="inlineStr">
        <is>
          <t>ÖSTERGÖTLANDS LÄN</t>
        </is>
      </c>
      <c r="E301" t="inlineStr">
        <is>
          <t>LINKÖPING</t>
        </is>
      </c>
      <c r="F301" t="inlineStr">
        <is>
          <t>Övriga Aktiebolag</t>
        </is>
      </c>
      <c r="G301" t="n">
        <v>0.5</v>
      </c>
      <c r="H301" t="n">
        <v>0</v>
      </c>
      <c r="I301" t="n">
        <v>0</v>
      </c>
      <c r="J301" t="n">
        <v>0</v>
      </c>
      <c r="K301" t="n">
        <v>0</v>
      </c>
      <c r="L301" t="n">
        <v>0</v>
      </c>
      <c r="M301" t="n">
        <v>0</v>
      </c>
      <c r="N301" t="n">
        <v>0</v>
      </c>
      <c r="O301" t="n">
        <v>0</v>
      </c>
      <c r="P301" t="n">
        <v>0</v>
      </c>
      <c r="Q301" t="n">
        <v>0</v>
      </c>
      <c r="R301" s="2" t="inlineStr"/>
    </row>
    <row r="302" ht="15" customHeight="1">
      <c r="A302" t="inlineStr">
        <is>
          <t>A 33867-2023</t>
        </is>
      </c>
      <c r="B302" s="1" t="n">
        <v>45133.94640046296</v>
      </c>
      <c r="C302" s="1" t="n">
        <v>45916</v>
      </c>
      <c r="D302" t="inlineStr">
        <is>
          <t>ÖSTERGÖTLANDS LÄN</t>
        </is>
      </c>
      <c r="E302" t="inlineStr">
        <is>
          <t>LINKÖPING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2997-2025</t>
        </is>
      </c>
      <c r="B303" s="1" t="n">
        <v>45678.54631944445</v>
      </c>
      <c r="C303" s="1" t="n">
        <v>45916</v>
      </c>
      <c r="D303" t="inlineStr">
        <is>
          <t>ÖSTERGÖTLANDS LÄN</t>
        </is>
      </c>
      <c r="E303" t="inlineStr">
        <is>
          <t>LINKÖPING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32346-2023</t>
        </is>
      </c>
      <c r="B304" s="1" t="n">
        <v>45120</v>
      </c>
      <c r="C304" s="1" t="n">
        <v>45916</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50508-2024</t>
        </is>
      </c>
      <c r="B305" s="1" t="n">
        <v>45601.53907407408</v>
      </c>
      <c r="C305" s="1" t="n">
        <v>45916</v>
      </c>
      <c r="D305" t="inlineStr">
        <is>
          <t>ÖSTERGÖTLANDS LÄN</t>
        </is>
      </c>
      <c r="E305" t="inlineStr">
        <is>
          <t>LINKÖPING</t>
        </is>
      </c>
      <c r="F305" t="inlineStr">
        <is>
          <t>Övriga Aktiebolag</t>
        </is>
      </c>
      <c r="G305" t="n">
        <v>2</v>
      </c>
      <c r="H305" t="n">
        <v>0</v>
      </c>
      <c r="I305" t="n">
        <v>0</v>
      </c>
      <c r="J305" t="n">
        <v>0</v>
      </c>
      <c r="K305" t="n">
        <v>0</v>
      </c>
      <c r="L305" t="n">
        <v>0</v>
      </c>
      <c r="M305" t="n">
        <v>0</v>
      </c>
      <c r="N305" t="n">
        <v>0</v>
      </c>
      <c r="O305" t="n">
        <v>0</v>
      </c>
      <c r="P305" t="n">
        <v>0</v>
      </c>
      <c r="Q305" t="n">
        <v>0</v>
      </c>
      <c r="R305" s="2" t="inlineStr"/>
    </row>
    <row r="306" ht="15" customHeight="1">
      <c r="A306" t="inlineStr">
        <is>
          <t>A 7808-2022</t>
        </is>
      </c>
      <c r="B306" s="1" t="n">
        <v>44608</v>
      </c>
      <c r="C306" s="1" t="n">
        <v>45916</v>
      </c>
      <c r="D306" t="inlineStr">
        <is>
          <t>ÖSTERGÖTLANDS LÄN</t>
        </is>
      </c>
      <c r="E306" t="inlineStr">
        <is>
          <t>LINKÖPING</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41345-2021</t>
        </is>
      </c>
      <c r="B307" s="1" t="n">
        <v>44424.61851851852</v>
      </c>
      <c r="C307" s="1" t="n">
        <v>45916</v>
      </c>
      <c r="D307" t="inlineStr">
        <is>
          <t>ÖSTERGÖTLANDS LÄN</t>
        </is>
      </c>
      <c r="E307" t="inlineStr">
        <is>
          <t>LINKÖPING</t>
        </is>
      </c>
      <c r="F307" t="inlineStr">
        <is>
          <t>Sveaskog</t>
        </is>
      </c>
      <c r="G307" t="n">
        <v>6.3</v>
      </c>
      <c r="H307" t="n">
        <v>0</v>
      </c>
      <c r="I307" t="n">
        <v>0</v>
      </c>
      <c r="J307" t="n">
        <v>0</v>
      </c>
      <c r="K307" t="n">
        <v>0</v>
      </c>
      <c r="L307" t="n">
        <v>0</v>
      </c>
      <c r="M307" t="n">
        <v>0</v>
      </c>
      <c r="N307" t="n">
        <v>0</v>
      </c>
      <c r="O307" t="n">
        <v>0</v>
      </c>
      <c r="P307" t="n">
        <v>0</v>
      </c>
      <c r="Q307" t="n">
        <v>0</v>
      </c>
      <c r="R307" s="2" t="inlineStr"/>
    </row>
    <row r="308" ht="15" customHeight="1">
      <c r="A308" t="inlineStr">
        <is>
          <t>A 27844-2024</t>
        </is>
      </c>
      <c r="B308" s="1" t="n">
        <v>45475.63047453704</v>
      </c>
      <c r="C308" s="1" t="n">
        <v>45916</v>
      </c>
      <c r="D308" t="inlineStr">
        <is>
          <t>ÖSTERGÖTLANDS LÄN</t>
        </is>
      </c>
      <c r="E308" t="inlineStr">
        <is>
          <t>LINKÖPING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13266-2025</t>
        </is>
      </c>
      <c r="B309" s="1" t="n">
        <v>45735.53318287037</v>
      </c>
      <c r="C309" s="1" t="n">
        <v>45916</v>
      </c>
      <c r="D309" t="inlineStr">
        <is>
          <t>ÖSTERGÖTLANDS LÄN</t>
        </is>
      </c>
      <c r="E309" t="inlineStr">
        <is>
          <t>LINKÖPING</t>
        </is>
      </c>
      <c r="G309" t="n">
        <v>3.1</v>
      </c>
      <c r="H309" t="n">
        <v>0</v>
      </c>
      <c r="I309" t="n">
        <v>0</v>
      </c>
      <c r="J309" t="n">
        <v>0</v>
      </c>
      <c r="K309" t="n">
        <v>0</v>
      </c>
      <c r="L309" t="n">
        <v>0</v>
      </c>
      <c r="M309" t="n">
        <v>0</v>
      </c>
      <c r="N309" t="n">
        <v>0</v>
      </c>
      <c r="O309" t="n">
        <v>0</v>
      </c>
      <c r="P309" t="n">
        <v>0</v>
      </c>
      <c r="Q309" t="n">
        <v>0</v>
      </c>
      <c r="R309" s="2" t="inlineStr"/>
    </row>
    <row r="310" ht="15" customHeight="1">
      <c r="A310" t="inlineStr">
        <is>
          <t>A 40810-2022</t>
        </is>
      </c>
      <c r="B310" s="1" t="n">
        <v>44824</v>
      </c>
      <c r="C310" s="1" t="n">
        <v>45916</v>
      </c>
      <c r="D310" t="inlineStr">
        <is>
          <t>ÖSTERGÖTLANDS LÄN</t>
        </is>
      </c>
      <c r="E310" t="inlineStr">
        <is>
          <t>LINKÖPING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30985-2022</t>
        </is>
      </c>
      <c r="B311" s="1" t="n">
        <v>44768</v>
      </c>
      <c r="C311" s="1" t="n">
        <v>45916</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38317-2024</t>
        </is>
      </c>
      <c r="B312" s="1" t="n">
        <v>45545.65766203704</v>
      </c>
      <c r="C312" s="1" t="n">
        <v>45916</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16213-2025</t>
        </is>
      </c>
      <c r="B313" s="1" t="n">
        <v>45750.62740740741</v>
      </c>
      <c r="C313" s="1" t="n">
        <v>45916</v>
      </c>
      <c r="D313" t="inlineStr">
        <is>
          <t>ÖSTERGÖTLANDS LÄN</t>
        </is>
      </c>
      <c r="E313" t="inlineStr">
        <is>
          <t>LINKÖPING</t>
        </is>
      </c>
      <c r="G313" t="n">
        <v>3.4</v>
      </c>
      <c r="H313" t="n">
        <v>0</v>
      </c>
      <c r="I313" t="n">
        <v>0</v>
      </c>
      <c r="J313" t="n">
        <v>0</v>
      </c>
      <c r="K313" t="n">
        <v>0</v>
      </c>
      <c r="L313" t="n">
        <v>0</v>
      </c>
      <c r="M313" t="n">
        <v>0</v>
      </c>
      <c r="N313" t="n">
        <v>0</v>
      </c>
      <c r="O313" t="n">
        <v>0</v>
      </c>
      <c r="P313" t="n">
        <v>0</v>
      </c>
      <c r="Q313" t="n">
        <v>0</v>
      </c>
      <c r="R313" s="2" t="inlineStr"/>
    </row>
    <row r="314" ht="15" customHeight="1">
      <c r="A314" t="inlineStr">
        <is>
          <t>A 51559-2024</t>
        </is>
      </c>
      <c r="B314" s="1" t="n">
        <v>45604.61431712963</v>
      </c>
      <c r="C314" s="1" t="n">
        <v>45916</v>
      </c>
      <c r="D314" t="inlineStr">
        <is>
          <t>ÖSTERGÖTLANDS LÄN</t>
        </is>
      </c>
      <c r="E314" t="inlineStr">
        <is>
          <t>LINKÖPING</t>
        </is>
      </c>
      <c r="F314" t="inlineStr">
        <is>
          <t>Övriga Aktiebolag</t>
        </is>
      </c>
      <c r="G314" t="n">
        <v>2.4</v>
      </c>
      <c r="H314" t="n">
        <v>0</v>
      </c>
      <c r="I314" t="n">
        <v>0</v>
      </c>
      <c r="J314" t="n">
        <v>0</v>
      </c>
      <c r="K314" t="n">
        <v>0</v>
      </c>
      <c r="L314" t="n">
        <v>0</v>
      </c>
      <c r="M314" t="n">
        <v>0</v>
      </c>
      <c r="N314" t="n">
        <v>0</v>
      </c>
      <c r="O314" t="n">
        <v>0</v>
      </c>
      <c r="P314" t="n">
        <v>0</v>
      </c>
      <c r="Q314" t="n">
        <v>0</v>
      </c>
      <c r="R314" s="2" t="inlineStr"/>
    </row>
    <row r="315" ht="15" customHeight="1">
      <c r="A315" t="inlineStr">
        <is>
          <t>A 49979-2022</t>
        </is>
      </c>
      <c r="B315" s="1" t="n">
        <v>44865</v>
      </c>
      <c r="C315" s="1" t="n">
        <v>45916</v>
      </c>
      <c r="D315" t="inlineStr">
        <is>
          <t>ÖSTERGÖTLANDS LÄN</t>
        </is>
      </c>
      <c r="E315" t="inlineStr">
        <is>
          <t>LINKÖPING</t>
        </is>
      </c>
      <c r="F315" t="inlineStr">
        <is>
          <t>Övriga Aktiebolag</t>
        </is>
      </c>
      <c r="G315" t="n">
        <v>11.4</v>
      </c>
      <c r="H315" t="n">
        <v>0</v>
      </c>
      <c r="I315" t="n">
        <v>0</v>
      </c>
      <c r="J315" t="n">
        <v>0</v>
      </c>
      <c r="K315" t="n">
        <v>0</v>
      </c>
      <c r="L315" t="n">
        <v>0</v>
      </c>
      <c r="M315" t="n">
        <v>0</v>
      </c>
      <c r="N315" t="n">
        <v>0</v>
      </c>
      <c r="O315" t="n">
        <v>0</v>
      </c>
      <c r="P315" t="n">
        <v>0</v>
      </c>
      <c r="Q315" t="n">
        <v>0</v>
      </c>
      <c r="R315" s="2" t="inlineStr"/>
    </row>
    <row r="316" ht="15" customHeight="1">
      <c r="A316" t="inlineStr">
        <is>
          <t>A 39219-2021</t>
        </is>
      </c>
      <c r="B316" s="1" t="n">
        <v>44413</v>
      </c>
      <c r="C316" s="1" t="n">
        <v>45916</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39224-2021</t>
        </is>
      </c>
      <c r="B317" s="1" t="n">
        <v>44413</v>
      </c>
      <c r="C317" s="1" t="n">
        <v>45916</v>
      </c>
      <c r="D317" t="inlineStr">
        <is>
          <t>ÖSTERGÖTLANDS LÄN</t>
        </is>
      </c>
      <c r="E317" t="inlineStr">
        <is>
          <t>LINKÖPING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62495-2023</t>
        </is>
      </c>
      <c r="B318" s="1" t="n">
        <v>45268.59717592593</v>
      </c>
      <c r="C318" s="1" t="n">
        <v>45916</v>
      </c>
      <c r="D318" t="inlineStr">
        <is>
          <t>ÖSTERGÖTLANDS LÄN</t>
        </is>
      </c>
      <c r="E318" t="inlineStr">
        <is>
          <t>LINKÖPING</t>
        </is>
      </c>
      <c r="G318" t="n">
        <v>4.1</v>
      </c>
      <c r="H318" t="n">
        <v>0</v>
      </c>
      <c r="I318" t="n">
        <v>0</v>
      </c>
      <c r="J318" t="n">
        <v>0</v>
      </c>
      <c r="K318" t="n">
        <v>0</v>
      </c>
      <c r="L318" t="n">
        <v>0</v>
      </c>
      <c r="M318" t="n">
        <v>0</v>
      </c>
      <c r="N318" t="n">
        <v>0</v>
      </c>
      <c r="O318" t="n">
        <v>0</v>
      </c>
      <c r="P318" t="n">
        <v>0</v>
      </c>
      <c r="Q318" t="n">
        <v>0</v>
      </c>
      <c r="R318" s="2" t="inlineStr"/>
    </row>
    <row r="319" ht="15" customHeight="1">
      <c r="A319" t="inlineStr">
        <is>
          <t>A 37683-2024</t>
        </is>
      </c>
      <c r="B319" s="1" t="n">
        <v>45541.59120370371</v>
      </c>
      <c r="C319" s="1" t="n">
        <v>45916</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27264-2025</t>
        </is>
      </c>
      <c r="B320" s="1" t="n">
        <v>45812.4794212963</v>
      </c>
      <c r="C320" s="1" t="n">
        <v>45916</v>
      </c>
      <c r="D320" t="inlineStr">
        <is>
          <t>ÖSTERGÖTLANDS LÄN</t>
        </is>
      </c>
      <c r="E320" t="inlineStr">
        <is>
          <t>LINKÖPING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46225-2021</t>
        </is>
      </c>
      <c r="B321" s="1" t="n">
        <v>44442</v>
      </c>
      <c r="C321" s="1" t="n">
        <v>45916</v>
      </c>
      <c r="D321" t="inlineStr">
        <is>
          <t>ÖSTERGÖTLANDS LÄN</t>
        </is>
      </c>
      <c r="E321" t="inlineStr">
        <is>
          <t>LINKÖPING</t>
        </is>
      </c>
      <c r="G321" t="n">
        <v>2.9</v>
      </c>
      <c r="H321" t="n">
        <v>0</v>
      </c>
      <c r="I321" t="n">
        <v>0</v>
      </c>
      <c r="J321" t="n">
        <v>0</v>
      </c>
      <c r="K321" t="n">
        <v>0</v>
      </c>
      <c r="L321" t="n">
        <v>0</v>
      </c>
      <c r="M321" t="n">
        <v>0</v>
      </c>
      <c r="N321" t="n">
        <v>0</v>
      </c>
      <c r="O321" t="n">
        <v>0</v>
      </c>
      <c r="P321" t="n">
        <v>0</v>
      </c>
      <c r="Q321" t="n">
        <v>0</v>
      </c>
      <c r="R321" s="2" t="inlineStr"/>
    </row>
    <row r="322" ht="15" customHeight="1">
      <c r="A322" t="inlineStr">
        <is>
          <t>A 58947-2022</t>
        </is>
      </c>
      <c r="B322" s="1" t="n">
        <v>44903.64769675926</v>
      </c>
      <c r="C322" s="1" t="n">
        <v>45916</v>
      </c>
      <c r="D322" t="inlineStr">
        <is>
          <t>ÖSTERGÖTLANDS LÄN</t>
        </is>
      </c>
      <c r="E322" t="inlineStr">
        <is>
          <t>LINKÖPING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25776-2021</t>
        </is>
      </c>
      <c r="B323" s="1" t="n">
        <v>44343</v>
      </c>
      <c r="C323" s="1" t="n">
        <v>45916</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29413-2023</t>
        </is>
      </c>
      <c r="B324" s="1" t="n">
        <v>45106.46465277778</v>
      </c>
      <c r="C324" s="1" t="n">
        <v>45916</v>
      </c>
      <c r="D324" t="inlineStr">
        <is>
          <t>ÖSTERGÖTLANDS LÄN</t>
        </is>
      </c>
      <c r="E324" t="inlineStr">
        <is>
          <t>LINKÖPING</t>
        </is>
      </c>
      <c r="G324" t="n">
        <v>8</v>
      </c>
      <c r="H324" t="n">
        <v>0</v>
      </c>
      <c r="I324" t="n">
        <v>0</v>
      </c>
      <c r="J324" t="n">
        <v>0</v>
      </c>
      <c r="K324" t="n">
        <v>0</v>
      </c>
      <c r="L324" t="n">
        <v>0</v>
      </c>
      <c r="M324" t="n">
        <v>0</v>
      </c>
      <c r="N324" t="n">
        <v>0</v>
      </c>
      <c r="O324" t="n">
        <v>0</v>
      </c>
      <c r="P324" t="n">
        <v>0</v>
      </c>
      <c r="Q324" t="n">
        <v>0</v>
      </c>
      <c r="R324" s="2" t="inlineStr"/>
    </row>
    <row r="325" ht="15" customHeight="1">
      <c r="A325" t="inlineStr">
        <is>
          <t>A 25948-2023</t>
        </is>
      </c>
      <c r="B325" s="1" t="n">
        <v>45090</v>
      </c>
      <c r="C325" s="1" t="n">
        <v>45916</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51484-2023</t>
        </is>
      </c>
      <c r="B326" s="1" t="n">
        <v>45222</v>
      </c>
      <c r="C326" s="1" t="n">
        <v>45916</v>
      </c>
      <c r="D326" t="inlineStr">
        <is>
          <t>ÖSTERGÖTLANDS LÄN</t>
        </is>
      </c>
      <c r="E326" t="inlineStr">
        <is>
          <t>LINKÖPING</t>
        </is>
      </c>
      <c r="F326" t="inlineStr">
        <is>
          <t>Övriga Aktiebolag</t>
        </is>
      </c>
      <c r="G326" t="n">
        <v>7.7</v>
      </c>
      <c r="H326" t="n">
        <v>0</v>
      </c>
      <c r="I326" t="n">
        <v>0</v>
      </c>
      <c r="J326" t="n">
        <v>0</v>
      </c>
      <c r="K326" t="n">
        <v>0</v>
      </c>
      <c r="L326" t="n">
        <v>0</v>
      </c>
      <c r="M326" t="n">
        <v>0</v>
      </c>
      <c r="N326" t="n">
        <v>0</v>
      </c>
      <c r="O326" t="n">
        <v>0</v>
      </c>
      <c r="P326" t="n">
        <v>0</v>
      </c>
      <c r="Q326" t="n">
        <v>0</v>
      </c>
      <c r="R326" s="2" t="inlineStr"/>
    </row>
    <row r="327" ht="15" customHeight="1">
      <c r="A327" t="inlineStr">
        <is>
          <t>A 27950-2025</t>
        </is>
      </c>
      <c r="B327" s="1" t="n">
        <v>45817.52960648148</v>
      </c>
      <c r="C327" s="1" t="n">
        <v>45916</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1627-2023</t>
        </is>
      </c>
      <c r="B328" s="1" t="n">
        <v>44937</v>
      </c>
      <c r="C328" s="1" t="n">
        <v>45916</v>
      </c>
      <c r="D328" t="inlineStr">
        <is>
          <t>ÖSTERGÖTLANDS LÄN</t>
        </is>
      </c>
      <c r="E328" t="inlineStr">
        <is>
          <t>LINKÖPING</t>
        </is>
      </c>
      <c r="G328" t="n">
        <v>10.8</v>
      </c>
      <c r="H328" t="n">
        <v>0</v>
      </c>
      <c r="I328" t="n">
        <v>0</v>
      </c>
      <c r="J328" t="n">
        <v>0</v>
      </c>
      <c r="K328" t="n">
        <v>0</v>
      </c>
      <c r="L328" t="n">
        <v>0</v>
      </c>
      <c r="M328" t="n">
        <v>0</v>
      </c>
      <c r="N328" t="n">
        <v>0</v>
      </c>
      <c r="O328" t="n">
        <v>0</v>
      </c>
      <c r="P328" t="n">
        <v>0</v>
      </c>
      <c r="Q328" t="n">
        <v>0</v>
      </c>
      <c r="R328" s="2" t="inlineStr"/>
    </row>
    <row r="329" ht="15" customHeight="1">
      <c r="A329" t="inlineStr">
        <is>
          <t>A 30481-2023</t>
        </is>
      </c>
      <c r="B329" s="1" t="n">
        <v>45111</v>
      </c>
      <c r="C329" s="1" t="n">
        <v>45916</v>
      </c>
      <c r="D329" t="inlineStr">
        <is>
          <t>ÖSTERGÖTLANDS LÄN</t>
        </is>
      </c>
      <c r="E329" t="inlineStr">
        <is>
          <t>LINKÖPING</t>
        </is>
      </c>
      <c r="F329" t="inlineStr">
        <is>
          <t>Övriga Aktiebolag</t>
        </is>
      </c>
      <c r="G329" t="n">
        <v>2</v>
      </c>
      <c r="H329" t="n">
        <v>0</v>
      </c>
      <c r="I329" t="n">
        <v>0</v>
      </c>
      <c r="J329" t="n">
        <v>0</v>
      </c>
      <c r="K329" t="n">
        <v>0</v>
      </c>
      <c r="L329" t="n">
        <v>0</v>
      </c>
      <c r="M329" t="n">
        <v>0</v>
      </c>
      <c r="N329" t="n">
        <v>0</v>
      </c>
      <c r="O329" t="n">
        <v>0</v>
      </c>
      <c r="P329" t="n">
        <v>0</v>
      </c>
      <c r="Q329" t="n">
        <v>0</v>
      </c>
      <c r="R329" s="2" t="inlineStr"/>
    </row>
    <row r="330" ht="15" customHeight="1">
      <c r="A330" t="inlineStr">
        <is>
          <t>A 21782-2024</t>
        </is>
      </c>
      <c r="B330" s="1" t="n">
        <v>45442.63368055555</v>
      </c>
      <c r="C330" s="1" t="n">
        <v>45916</v>
      </c>
      <c r="D330" t="inlineStr">
        <is>
          <t>ÖSTERGÖTLANDS LÄN</t>
        </is>
      </c>
      <c r="E330" t="inlineStr">
        <is>
          <t>LINKÖPING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16665-2023</t>
        </is>
      </c>
      <c r="B331" s="1" t="n">
        <v>45030.5583912037</v>
      </c>
      <c r="C331" s="1" t="n">
        <v>45916</v>
      </c>
      <c r="D331" t="inlineStr">
        <is>
          <t>ÖSTERGÖTLANDS LÄN</t>
        </is>
      </c>
      <c r="E331" t="inlineStr">
        <is>
          <t>LINKÖPING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27797-2025</t>
        </is>
      </c>
      <c r="B332" s="1" t="n">
        <v>45816.80521990741</v>
      </c>
      <c r="C332" s="1" t="n">
        <v>45916</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27798-2025</t>
        </is>
      </c>
      <c r="B333" s="1" t="n">
        <v>45816.81532407407</v>
      </c>
      <c r="C333" s="1" t="n">
        <v>45916</v>
      </c>
      <c r="D333" t="inlineStr">
        <is>
          <t>ÖSTERGÖTLANDS LÄN</t>
        </is>
      </c>
      <c r="E333" t="inlineStr">
        <is>
          <t>LINKÖPING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17898-2022</t>
        </is>
      </c>
      <c r="B334" s="1" t="n">
        <v>44683</v>
      </c>
      <c r="C334" s="1" t="n">
        <v>45916</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28200-2025</t>
        </is>
      </c>
      <c r="B335" s="1" t="n">
        <v>45818.4428125</v>
      </c>
      <c r="C335" s="1" t="n">
        <v>45916</v>
      </c>
      <c r="D335" t="inlineStr">
        <is>
          <t>ÖSTERGÖTLANDS LÄN</t>
        </is>
      </c>
      <c r="E335" t="inlineStr">
        <is>
          <t>LINKÖPING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63487-2023</t>
        </is>
      </c>
      <c r="B336" s="1" t="n">
        <v>45274.66712962963</v>
      </c>
      <c r="C336" s="1" t="n">
        <v>45916</v>
      </c>
      <c r="D336" t="inlineStr">
        <is>
          <t>ÖSTERGÖTLANDS LÄN</t>
        </is>
      </c>
      <c r="E336" t="inlineStr">
        <is>
          <t>LINKÖPING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35463-2023</t>
        </is>
      </c>
      <c r="B337" s="1" t="n">
        <v>45146</v>
      </c>
      <c r="C337" s="1" t="n">
        <v>45916</v>
      </c>
      <c r="D337" t="inlineStr">
        <is>
          <t>ÖSTERGÖTLANDS LÄN</t>
        </is>
      </c>
      <c r="E337" t="inlineStr">
        <is>
          <t>LINKÖPING</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28204-2025</t>
        </is>
      </c>
      <c r="B338" s="1" t="n">
        <v>45818.4477662037</v>
      </c>
      <c r="C338" s="1" t="n">
        <v>45916</v>
      </c>
      <c r="D338" t="inlineStr">
        <is>
          <t>ÖSTERGÖTLANDS LÄN</t>
        </is>
      </c>
      <c r="E338" t="inlineStr">
        <is>
          <t>LINKÖPING</t>
        </is>
      </c>
      <c r="G338" t="n">
        <v>2.9</v>
      </c>
      <c r="H338" t="n">
        <v>0</v>
      </c>
      <c r="I338" t="n">
        <v>0</v>
      </c>
      <c r="J338" t="n">
        <v>0</v>
      </c>
      <c r="K338" t="n">
        <v>0</v>
      </c>
      <c r="L338" t="n">
        <v>0</v>
      </c>
      <c r="M338" t="n">
        <v>0</v>
      </c>
      <c r="N338" t="n">
        <v>0</v>
      </c>
      <c r="O338" t="n">
        <v>0</v>
      </c>
      <c r="P338" t="n">
        <v>0</v>
      </c>
      <c r="Q338" t="n">
        <v>0</v>
      </c>
      <c r="R338" s="2" t="inlineStr"/>
    </row>
    <row r="339" ht="15" customHeight="1">
      <c r="A339" t="inlineStr">
        <is>
          <t>A 28416-2025</t>
        </is>
      </c>
      <c r="B339" s="1" t="n">
        <v>45819.35346064815</v>
      </c>
      <c r="C339" s="1" t="n">
        <v>45916</v>
      </c>
      <c r="D339" t="inlineStr">
        <is>
          <t>ÖSTERGÖTLANDS LÄN</t>
        </is>
      </c>
      <c r="E339" t="inlineStr">
        <is>
          <t>LINKÖPING</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11671-2023</t>
        </is>
      </c>
      <c r="B340" s="1" t="n">
        <v>44994.48125</v>
      </c>
      <c r="C340" s="1" t="n">
        <v>45916</v>
      </c>
      <c r="D340" t="inlineStr">
        <is>
          <t>ÖSTERGÖTLANDS LÄN</t>
        </is>
      </c>
      <c r="E340" t="inlineStr">
        <is>
          <t>LINKÖPING</t>
        </is>
      </c>
      <c r="G340" t="n">
        <v>2.6</v>
      </c>
      <c r="H340" t="n">
        <v>0</v>
      </c>
      <c r="I340" t="n">
        <v>0</v>
      </c>
      <c r="J340" t="n">
        <v>0</v>
      </c>
      <c r="K340" t="n">
        <v>0</v>
      </c>
      <c r="L340" t="n">
        <v>0</v>
      </c>
      <c r="M340" t="n">
        <v>0</v>
      </c>
      <c r="N340" t="n">
        <v>0</v>
      </c>
      <c r="O340" t="n">
        <v>0</v>
      </c>
      <c r="P340" t="n">
        <v>0</v>
      </c>
      <c r="Q340" t="n">
        <v>0</v>
      </c>
      <c r="R340" s="2" t="inlineStr"/>
    </row>
    <row r="341" ht="15" customHeight="1">
      <c r="A341" t="inlineStr">
        <is>
          <t>A 3013-2023</t>
        </is>
      </c>
      <c r="B341" s="1" t="n">
        <v>44945.8092824074</v>
      </c>
      <c r="C341" s="1" t="n">
        <v>45916</v>
      </c>
      <c r="D341" t="inlineStr">
        <is>
          <t>ÖSTERGÖTLANDS LÄN</t>
        </is>
      </c>
      <c r="E341" t="inlineStr">
        <is>
          <t>LINKÖPING</t>
        </is>
      </c>
      <c r="G341" t="n">
        <v>5.2</v>
      </c>
      <c r="H341" t="n">
        <v>0</v>
      </c>
      <c r="I341" t="n">
        <v>0</v>
      </c>
      <c r="J341" t="n">
        <v>0</v>
      </c>
      <c r="K341" t="n">
        <v>0</v>
      </c>
      <c r="L341" t="n">
        <v>0</v>
      </c>
      <c r="M341" t="n">
        <v>0</v>
      </c>
      <c r="N341" t="n">
        <v>0</v>
      </c>
      <c r="O341" t="n">
        <v>0</v>
      </c>
      <c r="P341" t="n">
        <v>0</v>
      </c>
      <c r="Q341" t="n">
        <v>0</v>
      </c>
      <c r="R341" s="2" t="inlineStr"/>
    </row>
    <row r="342" ht="15" customHeight="1">
      <c r="A342" t="inlineStr">
        <is>
          <t>A 28398-2025</t>
        </is>
      </c>
      <c r="B342" s="1" t="n">
        <v>45819.34208333334</v>
      </c>
      <c r="C342" s="1" t="n">
        <v>45916</v>
      </c>
      <c r="D342" t="inlineStr">
        <is>
          <t>ÖSTERGÖTLANDS LÄN</t>
        </is>
      </c>
      <c r="E342" t="inlineStr">
        <is>
          <t>LINKÖPING</t>
        </is>
      </c>
      <c r="F342" t="inlineStr">
        <is>
          <t>Sveaskog</t>
        </is>
      </c>
      <c r="G342" t="n">
        <v>7.9</v>
      </c>
      <c r="H342" t="n">
        <v>0</v>
      </c>
      <c r="I342" t="n">
        <v>0</v>
      </c>
      <c r="J342" t="n">
        <v>0</v>
      </c>
      <c r="K342" t="n">
        <v>0</v>
      </c>
      <c r="L342" t="n">
        <v>0</v>
      </c>
      <c r="M342" t="n">
        <v>0</v>
      </c>
      <c r="N342" t="n">
        <v>0</v>
      </c>
      <c r="O342" t="n">
        <v>0</v>
      </c>
      <c r="P342" t="n">
        <v>0</v>
      </c>
      <c r="Q342" t="n">
        <v>0</v>
      </c>
      <c r="R342" s="2" t="inlineStr"/>
    </row>
    <row r="343" ht="15" customHeight="1">
      <c r="A343" t="inlineStr">
        <is>
          <t>A 28209-2025</t>
        </is>
      </c>
      <c r="B343" s="1" t="n">
        <v>45818.45112268518</v>
      </c>
      <c r="C343" s="1" t="n">
        <v>45916</v>
      </c>
      <c r="D343" t="inlineStr">
        <is>
          <t>ÖSTERGÖTLANDS LÄN</t>
        </is>
      </c>
      <c r="E343" t="inlineStr">
        <is>
          <t>LINKÖPING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49747-2024</t>
        </is>
      </c>
      <c r="B344" s="1" t="n">
        <v>45596</v>
      </c>
      <c r="C344" s="1" t="n">
        <v>45916</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42997-2021</t>
        </is>
      </c>
      <c r="B345" s="1" t="n">
        <v>44431.45556712963</v>
      </c>
      <c r="C345" s="1" t="n">
        <v>45916</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55632-2022</t>
        </is>
      </c>
      <c r="B346" s="1" t="n">
        <v>44888</v>
      </c>
      <c r="C346" s="1" t="n">
        <v>45916</v>
      </c>
      <c r="D346" t="inlineStr">
        <is>
          <t>ÖSTERGÖTLANDS LÄN</t>
        </is>
      </c>
      <c r="E346" t="inlineStr">
        <is>
          <t>LINKÖPING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3011-2023</t>
        </is>
      </c>
      <c r="B347" s="1" t="n">
        <v>44945</v>
      </c>
      <c r="C347" s="1" t="n">
        <v>45916</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23735-2023</t>
        </is>
      </c>
      <c r="B348" s="1" t="n">
        <v>45077</v>
      </c>
      <c r="C348" s="1" t="n">
        <v>45916</v>
      </c>
      <c r="D348" t="inlineStr">
        <is>
          <t>ÖSTERGÖTLANDS LÄN</t>
        </is>
      </c>
      <c r="E348" t="inlineStr">
        <is>
          <t>LINKÖPING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29027-2025</t>
        </is>
      </c>
      <c r="B349" s="1" t="n">
        <v>45821.4375462963</v>
      </c>
      <c r="C349" s="1" t="n">
        <v>45916</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63559-2023</t>
        </is>
      </c>
      <c r="B350" s="1" t="n">
        <v>45275.35924768518</v>
      </c>
      <c r="C350" s="1" t="n">
        <v>45916</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29411-2025</t>
        </is>
      </c>
      <c r="B351" s="1" t="n">
        <v>45824.6219212963</v>
      </c>
      <c r="C351" s="1" t="n">
        <v>45916</v>
      </c>
      <c r="D351" t="inlineStr">
        <is>
          <t>ÖSTERGÖTLANDS LÄN</t>
        </is>
      </c>
      <c r="E351" t="inlineStr">
        <is>
          <t>LINKÖPING</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29393-2025</t>
        </is>
      </c>
      <c r="B352" s="1" t="n">
        <v>45824.6057175926</v>
      </c>
      <c r="C352" s="1" t="n">
        <v>45916</v>
      </c>
      <c r="D352" t="inlineStr">
        <is>
          <t>ÖSTERGÖTLANDS LÄN</t>
        </is>
      </c>
      <c r="E352" t="inlineStr">
        <is>
          <t>LINKÖPING</t>
        </is>
      </c>
      <c r="F352" t="inlineStr">
        <is>
          <t>Sveaskog</t>
        </is>
      </c>
      <c r="G352" t="n">
        <v>24.6</v>
      </c>
      <c r="H352" t="n">
        <v>0</v>
      </c>
      <c r="I352" t="n">
        <v>0</v>
      </c>
      <c r="J352" t="n">
        <v>0</v>
      </c>
      <c r="K352" t="n">
        <v>0</v>
      </c>
      <c r="L352" t="n">
        <v>0</v>
      </c>
      <c r="M352" t="n">
        <v>0</v>
      </c>
      <c r="N352" t="n">
        <v>0</v>
      </c>
      <c r="O352" t="n">
        <v>0</v>
      </c>
      <c r="P352" t="n">
        <v>0</v>
      </c>
      <c r="Q352" t="n">
        <v>0</v>
      </c>
      <c r="R352" s="2" t="inlineStr"/>
    </row>
    <row r="353" ht="15" customHeight="1">
      <c r="A353" t="inlineStr">
        <is>
          <t>A 45821-2024</t>
        </is>
      </c>
      <c r="B353" s="1" t="n">
        <v>45579.75803240741</v>
      </c>
      <c r="C353" s="1" t="n">
        <v>45916</v>
      </c>
      <c r="D353" t="inlineStr">
        <is>
          <t>ÖSTERGÖTLANDS LÄN</t>
        </is>
      </c>
      <c r="E353" t="inlineStr">
        <is>
          <t>LINKÖPING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29599-2025</t>
        </is>
      </c>
      <c r="B354" s="1" t="n">
        <v>45825.41101851852</v>
      </c>
      <c r="C354" s="1" t="n">
        <v>45916</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58114-2021</t>
        </is>
      </c>
      <c r="B355" s="1" t="n">
        <v>44487</v>
      </c>
      <c r="C355" s="1" t="n">
        <v>45916</v>
      </c>
      <c r="D355" t="inlineStr">
        <is>
          <t>ÖSTERGÖTLANDS LÄN</t>
        </is>
      </c>
      <c r="E355" t="inlineStr">
        <is>
          <t>LINKÖPING</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53647-2021</t>
        </is>
      </c>
      <c r="B356" s="1" t="n">
        <v>44469</v>
      </c>
      <c r="C356" s="1" t="n">
        <v>45916</v>
      </c>
      <c r="D356" t="inlineStr">
        <is>
          <t>ÖSTERGÖTLANDS LÄN</t>
        </is>
      </c>
      <c r="E356" t="inlineStr">
        <is>
          <t>LINKÖPING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30355-2025</t>
        </is>
      </c>
      <c r="B357" s="1" t="n">
        <v>45827</v>
      </c>
      <c r="C357" s="1" t="n">
        <v>45916</v>
      </c>
      <c r="D357" t="inlineStr">
        <is>
          <t>ÖSTERGÖTLANDS LÄN</t>
        </is>
      </c>
      <c r="E357" t="inlineStr">
        <is>
          <t>LINKÖPING</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55265-2020</t>
        </is>
      </c>
      <c r="B358" s="1" t="n">
        <v>44130</v>
      </c>
      <c r="C358" s="1" t="n">
        <v>45916</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6599-2023</t>
        </is>
      </c>
      <c r="B359" s="1" t="n">
        <v>44966.52603009259</v>
      </c>
      <c r="C359" s="1" t="n">
        <v>45916</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30353-2025</t>
        </is>
      </c>
      <c r="B360" s="1" t="n">
        <v>45827</v>
      </c>
      <c r="C360" s="1" t="n">
        <v>45916</v>
      </c>
      <c r="D360" t="inlineStr">
        <is>
          <t>ÖSTERGÖTLANDS LÄN</t>
        </is>
      </c>
      <c r="E360" t="inlineStr">
        <is>
          <t>LINKÖPING</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55944-2024</t>
        </is>
      </c>
      <c r="B361" s="1" t="n">
        <v>45623.61640046296</v>
      </c>
      <c r="C361" s="1" t="n">
        <v>45916</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55947-2024</t>
        </is>
      </c>
      <c r="B362" s="1" t="n">
        <v>45623</v>
      </c>
      <c r="C362" s="1" t="n">
        <v>45916</v>
      </c>
      <c r="D362" t="inlineStr">
        <is>
          <t>ÖSTERGÖTLANDS LÄN</t>
        </is>
      </c>
      <c r="E362" t="inlineStr">
        <is>
          <t>LINKÖPING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3374-2023</t>
        </is>
      </c>
      <c r="B363" s="1" t="n">
        <v>44949</v>
      </c>
      <c r="C363" s="1" t="n">
        <v>45916</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24151-2024</t>
        </is>
      </c>
      <c r="B364" s="1" t="n">
        <v>45456.67717592593</v>
      </c>
      <c r="C364" s="1" t="n">
        <v>45916</v>
      </c>
      <c r="D364" t="inlineStr">
        <is>
          <t>ÖSTERGÖTLANDS LÄN</t>
        </is>
      </c>
      <c r="E364" t="inlineStr">
        <is>
          <t>LINKÖPING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35735-2023</t>
        </is>
      </c>
      <c r="B365" s="1" t="n">
        <v>45147</v>
      </c>
      <c r="C365" s="1" t="n">
        <v>45916</v>
      </c>
      <c r="D365" t="inlineStr">
        <is>
          <t>ÖSTERGÖTLANDS LÄN</t>
        </is>
      </c>
      <c r="E365" t="inlineStr">
        <is>
          <t>LINKÖPING</t>
        </is>
      </c>
      <c r="G365" t="n">
        <v>2.8</v>
      </c>
      <c r="H365" t="n">
        <v>0</v>
      </c>
      <c r="I365" t="n">
        <v>0</v>
      </c>
      <c r="J365" t="n">
        <v>0</v>
      </c>
      <c r="K365" t="n">
        <v>0</v>
      </c>
      <c r="L365" t="n">
        <v>0</v>
      </c>
      <c r="M365" t="n">
        <v>0</v>
      </c>
      <c r="N365" t="n">
        <v>0</v>
      </c>
      <c r="O365" t="n">
        <v>0</v>
      </c>
      <c r="P365" t="n">
        <v>0</v>
      </c>
      <c r="Q365" t="n">
        <v>0</v>
      </c>
      <c r="R365" s="2" t="inlineStr"/>
    </row>
    <row r="366" ht="15" customHeight="1">
      <c r="A366" t="inlineStr">
        <is>
          <t>A 45831-2024</t>
        </is>
      </c>
      <c r="B366" s="1" t="n">
        <v>45579.90508101852</v>
      </c>
      <c r="C366" s="1" t="n">
        <v>45916</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17157-2024</t>
        </is>
      </c>
      <c r="B367" s="1" t="n">
        <v>45412.70567129629</v>
      </c>
      <c r="C367" s="1" t="n">
        <v>45916</v>
      </c>
      <c r="D367" t="inlineStr">
        <is>
          <t>ÖSTERGÖTLANDS LÄN</t>
        </is>
      </c>
      <c r="E367" t="inlineStr">
        <is>
          <t>LINKÖPING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67123-2020</t>
        </is>
      </c>
      <c r="B368" s="1" t="n">
        <v>44180</v>
      </c>
      <c r="C368" s="1" t="n">
        <v>45916</v>
      </c>
      <c r="D368" t="inlineStr">
        <is>
          <t>ÖSTERGÖTLANDS LÄN</t>
        </is>
      </c>
      <c r="E368" t="inlineStr">
        <is>
          <t>LINKÖPING</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37154-2023</t>
        </is>
      </c>
      <c r="B369" s="1" t="n">
        <v>45155</v>
      </c>
      <c r="C369" s="1" t="n">
        <v>45916</v>
      </c>
      <c r="D369" t="inlineStr">
        <is>
          <t>ÖSTERGÖTLANDS LÄN</t>
        </is>
      </c>
      <c r="E369" t="inlineStr">
        <is>
          <t>LINKÖPING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14576-2023</t>
        </is>
      </c>
      <c r="B370" s="1" t="n">
        <v>45013</v>
      </c>
      <c r="C370" s="1" t="n">
        <v>45916</v>
      </c>
      <c r="D370" t="inlineStr">
        <is>
          <t>ÖSTERGÖTLANDS LÄN</t>
        </is>
      </c>
      <c r="E370" t="inlineStr">
        <is>
          <t>LINKÖPING</t>
        </is>
      </c>
      <c r="G370" t="n">
        <v>3.2</v>
      </c>
      <c r="H370" t="n">
        <v>0</v>
      </c>
      <c r="I370" t="n">
        <v>0</v>
      </c>
      <c r="J370" t="n">
        <v>0</v>
      </c>
      <c r="K370" t="n">
        <v>0</v>
      </c>
      <c r="L370" t="n">
        <v>0</v>
      </c>
      <c r="M370" t="n">
        <v>0</v>
      </c>
      <c r="N370" t="n">
        <v>0</v>
      </c>
      <c r="O370" t="n">
        <v>0</v>
      </c>
      <c r="P370" t="n">
        <v>0</v>
      </c>
      <c r="Q370" t="n">
        <v>0</v>
      </c>
      <c r="R370" s="2" t="inlineStr"/>
    </row>
    <row r="371" ht="15" customHeight="1">
      <c r="A371" t="inlineStr">
        <is>
          <t>A 37057-2025</t>
        </is>
      </c>
      <c r="B371" s="1" t="n">
        <v>45875.37489583333</v>
      </c>
      <c r="C371" s="1" t="n">
        <v>45916</v>
      </c>
      <c r="D371" t="inlineStr">
        <is>
          <t>ÖSTERGÖTLANDS LÄN</t>
        </is>
      </c>
      <c r="E371" t="inlineStr">
        <is>
          <t>LINKÖPING</t>
        </is>
      </c>
      <c r="G371" t="n">
        <v>3.3</v>
      </c>
      <c r="H371" t="n">
        <v>0</v>
      </c>
      <c r="I371" t="n">
        <v>0</v>
      </c>
      <c r="J371" t="n">
        <v>0</v>
      </c>
      <c r="K371" t="n">
        <v>0</v>
      </c>
      <c r="L371" t="n">
        <v>0</v>
      </c>
      <c r="M371" t="n">
        <v>0</v>
      </c>
      <c r="N371" t="n">
        <v>0</v>
      </c>
      <c r="O371" t="n">
        <v>0</v>
      </c>
      <c r="P371" t="n">
        <v>0</v>
      </c>
      <c r="Q371" t="n">
        <v>0</v>
      </c>
      <c r="R371" s="2" t="inlineStr"/>
    </row>
    <row r="372" ht="15" customHeight="1">
      <c r="A372" t="inlineStr">
        <is>
          <t>A 31581-2025</t>
        </is>
      </c>
      <c r="B372" s="1" t="n">
        <v>45833.6840162037</v>
      </c>
      <c r="C372" s="1" t="n">
        <v>45916</v>
      </c>
      <c r="D372" t="inlineStr">
        <is>
          <t>ÖSTERGÖTLANDS LÄN</t>
        </is>
      </c>
      <c r="E372" t="inlineStr">
        <is>
          <t>LINKÖPING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31585-2025</t>
        </is>
      </c>
      <c r="B373" s="1" t="n">
        <v>45833.68815972222</v>
      </c>
      <c r="C373" s="1" t="n">
        <v>45916</v>
      </c>
      <c r="D373" t="inlineStr">
        <is>
          <t>ÖSTERGÖTLANDS LÄN</t>
        </is>
      </c>
      <c r="E373" t="inlineStr">
        <is>
          <t>LINKÖPING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53812-2023</t>
        </is>
      </c>
      <c r="B374" s="1" t="n">
        <v>45231.39583333334</v>
      </c>
      <c r="C374" s="1" t="n">
        <v>45916</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53830-2023</t>
        </is>
      </c>
      <c r="B375" s="1" t="n">
        <v>45230</v>
      </c>
      <c r="C375" s="1" t="n">
        <v>45916</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56841-2023</t>
        </is>
      </c>
      <c r="B376" s="1" t="n">
        <v>45244</v>
      </c>
      <c r="C376" s="1" t="n">
        <v>45916</v>
      </c>
      <c r="D376" t="inlineStr">
        <is>
          <t>ÖSTERGÖTLANDS LÄN</t>
        </is>
      </c>
      <c r="E376" t="inlineStr">
        <is>
          <t>LINKÖPING</t>
        </is>
      </c>
      <c r="F376" t="inlineStr">
        <is>
          <t>Övriga Aktiebolag</t>
        </is>
      </c>
      <c r="G376" t="n">
        <v>0.5</v>
      </c>
      <c r="H376" t="n">
        <v>0</v>
      </c>
      <c r="I376" t="n">
        <v>0</v>
      </c>
      <c r="J376" t="n">
        <v>0</v>
      </c>
      <c r="K376" t="n">
        <v>0</v>
      </c>
      <c r="L376" t="n">
        <v>0</v>
      </c>
      <c r="M376" t="n">
        <v>0</v>
      </c>
      <c r="N376" t="n">
        <v>0</v>
      </c>
      <c r="O376" t="n">
        <v>0</v>
      </c>
      <c r="P376" t="n">
        <v>0</v>
      </c>
      <c r="Q376" t="n">
        <v>0</v>
      </c>
      <c r="R376" s="2" t="inlineStr"/>
    </row>
    <row r="377" ht="15" customHeight="1">
      <c r="A377" t="inlineStr">
        <is>
          <t>A 56741-2023</t>
        </is>
      </c>
      <c r="B377" s="1" t="n">
        <v>45244</v>
      </c>
      <c r="C377" s="1" t="n">
        <v>45916</v>
      </c>
      <c r="D377" t="inlineStr">
        <is>
          <t>ÖSTERGÖTLANDS LÄN</t>
        </is>
      </c>
      <c r="E377" t="inlineStr">
        <is>
          <t>LINKÖPING</t>
        </is>
      </c>
      <c r="F377" t="inlineStr">
        <is>
          <t>Övriga Aktiebolag</t>
        </is>
      </c>
      <c r="G377" t="n">
        <v>1.1</v>
      </c>
      <c r="H377" t="n">
        <v>0</v>
      </c>
      <c r="I377" t="n">
        <v>0</v>
      </c>
      <c r="J377" t="n">
        <v>0</v>
      </c>
      <c r="K377" t="n">
        <v>0</v>
      </c>
      <c r="L377" t="n">
        <v>0</v>
      </c>
      <c r="M377" t="n">
        <v>0</v>
      </c>
      <c r="N377" t="n">
        <v>0</v>
      </c>
      <c r="O377" t="n">
        <v>0</v>
      </c>
      <c r="P377" t="n">
        <v>0</v>
      </c>
      <c r="Q377" t="n">
        <v>0</v>
      </c>
      <c r="R377" s="2" t="inlineStr"/>
    </row>
    <row r="378" ht="15" customHeight="1">
      <c r="A378" t="inlineStr">
        <is>
          <t>A 53816-2023</t>
        </is>
      </c>
      <c r="B378" s="1" t="n">
        <v>45231.40012731482</v>
      </c>
      <c r="C378" s="1" t="n">
        <v>45916</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74160-2021</t>
        </is>
      </c>
      <c r="B379" s="1" t="n">
        <v>44558</v>
      </c>
      <c r="C379" s="1" t="n">
        <v>45916</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63935-2021</t>
        </is>
      </c>
      <c r="B380" s="1" t="n">
        <v>44509</v>
      </c>
      <c r="C380" s="1" t="n">
        <v>45916</v>
      </c>
      <c r="D380" t="inlineStr">
        <is>
          <t>ÖSTERGÖTLANDS LÄN</t>
        </is>
      </c>
      <c r="E380" t="inlineStr">
        <is>
          <t>LINKÖPING</t>
        </is>
      </c>
      <c r="F380" t="inlineStr">
        <is>
          <t>Övriga statliga verk och myndigheter</t>
        </is>
      </c>
      <c r="G380" t="n">
        <v>2.8</v>
      </c>
      <c r="H380" t="n">
        <v>0</v>
      </c>
      <c r="I380" t="n">
        <v>0</v>
      </c>
      <c r="J380" t="n">
        <v>0</v>
      </c>
      <c r="K380" t="n">
        <v>0</v>
      </c>
      <c r="L380" t="n">
        <v>0</v>
      </c>
      <c r="M380" t="n">
        <v>0</v>
      </c>
      <c r="N380" t="n">
        <v>0</v>
      </c>
      <c r="O380" t="n">
        <v>0</v>
      </c>
      <c r="P380" t="n">
        <v>0</v>
      </c>
      <c r="Q380" t="n">
        <v>0</v>
      </c>
      <c r="R380" s="2" t="inlineStr"/>
    </row>
    <row r="381" ht="15" customHeight="1">
      <c r="A381" t="inlineStr">
        <is>
          <t>A 6726-2024</t>
        </is>
      </c>
      <c r="B381" s="1" t="n">
        <v>45341</v>
      </c>
      <c r="C381" s="1" t="n">
        <v>45916</v>
      </c>
      <c r="D381" t="inlineStr">
        <is>
          <t>ÖSTERGÖTLANDS LÄN</t>
        </is>
      </c>
      <c r="E381" t="inlineStr">
        <is>
          <t>LINKÖPING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3007-2023</t>
        </is>
      </c>
      <c r="B382" s="1" t="n">
        <v>44945</v>
      </c>
      <c r="C382" s="1" t="n">
        <v>45916</v>
      </c>
      <c r="D382" t="inlineStr">
        <is>
          <t>ÖSTERGÖTLANDS LÄN</t>
        </is>
      </c>
      <c r="E382" t="inlineStr">
        <is>
          <t>LINKÖPING</t>
        </is>
      </c>
      <c r="G382" t="n">
        <v>2.6</v>
      </c>
      <c r="H382" t="n">
        <v>0</v>
      </c>
      <c r="I382" t="n">
        <v>0</v>
      </c>
      <c r="J382" t="n">
        <v>0</v>
      </c>
      <c r="K382" t="n">
        <v>0</v>
      </c>
      <c r="L382" t="n">
        <v>0</v>
      </c>
      <c r="M382" t="n">
        <v>0</v>
      </c>
      <c r="N382" t="n">
        <v>0</v>
      </c>
      <c r="O382" t="n">
        <v>0</v>
      </c>
      <c r="P382" t="n">
        <v>0</v>
      </c>
      <c r="Q382" t="n">
        <v>0</v>
      </c>
      <c r="R382" s="2" t="inlineStr"/>
    </row>
    <row r="383" ht="15" customHeight="1">
      <c r="A383" t="inlineStr">
        <is>
          <t>A 18145-2021</t>
        </is>
      </c>
      <c r="B383" s="1" t="n">
        <v>44302</v>
      </c>
      <c r="C383" s="1" t="n">
        <v>45916</v>
      </c>
      <c r="D383" t="inlineStr">
        <is>
          <t>ÖSTERGÖTLANDS LÄN</t>
        </is>
      </c>
      <c r="E383" t="inlineStr">
        <is>
          <t>LINKÖPING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29309-2024</t>
        </is>
      </c>
      <c r="B384" s="1" t="n">
        <v>45483</v>
      </c>
      <c r="C384" s="1" t="n">
        <v>45916</v>
      </c>
      <c r="D384" t="inlineStr">
        <is>
          <t>ÖSTERGÖTLANDS LÄN</t>
        </is>
      </c>
      <c r="E384" t="inlineStr">
        <is>
          <t>LINKÖPING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27766-2022</t>
        </is>
      </c>
      <c r="B385" s="1" t="n">
        <v>44743.53112268518</v>
      </c>
      <c r="C385" s="1" t="n">
        <v>45916</v>
      </c>
      <c r="D385" t="inlineStr">
        <is>
          <t>ÖSTERGÖTLANDS LÄN</t>
        </is>
      </c>
      <c r="E385" t="inlineStr">
        <is>
          <t>LINKÖPING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53641-2023</t>
        </is>
      </c>
      <c r="B386" s="1" t="n">
        <v>45230</v>
      </c>
      <c r="C386" s="1" t="n">
        <v>45916</v>
      </c>
      <c r="D386" t="inlineStr">
        <is>
          <t>ÖSTERGÖTLANDS LÄN</t>
        </is>
      </c>
      <c r="E386" t="inlineStr">
        <is>
          <t>LINKÖPING</t>
        </is>
      </c>
      <c r="G386" t="n">
        <v>1.7</v>
      </c>
      <c r="H386" t="n">
        <v>0</v>
      </c>
      <c r="I386" t="n">
        <v>0</v>
      </c>
      <c r="J386" t="n">
        <v>0</v>
      </c>
      <c r="K386" t="n">
        <v>0</v>
      </c>
      <c r="L386" t="n">
        <v>0</v>
      </c>
      <c r="M386" t="n">
        <v>0</v>
      </c>
      <c r="N386" t="n">
        <v>0</v>
      </c>
      <c r="O386" t="n">
        <v>0</v>
      </c>
      <c r="P386" t="n">
        <v>0</v>
      </c>
      <c r="Q386" t="n">
        <v>0</v>
      </c>
      <c r="R386" s="2" t="inlineStr"/>
    </row>
    <row r="387" ht="15" customHeight="1">
      <c r="A387" t="inlineStr">
        <is>
          <t>A 33000-2023</t>
        </is>
      </c>
      <c r="B387" s="1" t="n">
        <v>45125</v>
      </c>
      <c r="C387" s="1" t="n">
        <v>45916</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52892-2024</t>
        </is>
      </c>
      <c r="B388" s="1" t="n">
        <v>45610</v>
      </c>
      <c r="C388" s="1" t="n">
        <v>45916</v>
      </c>
      <c r="D388" t="inlineStr">
        <is>
          <t>ÖSTERGÖTLANDS LÄN</t>
        </is>
      </c>
      <c r="E388" t="inlineStr">
        <is>
          <t>LINKÖPING</t>
        </is>
      </c>
      <c r="G388" t="n">
        <v>4.2</v>
      </c>
      <c r="H388" t="n">
        <v>0</v>
      </c>
      <c r="I388" t="n">
        <v>0</v>
      </c>
      <c r="J388" t="n">
        <v>0</v>
      </c>
      <c r="K388" t="n">
        <v>0</v>
      </c>
      <c r="L388" t="n">
        <v>0</v>
      </c>
      <c r="M388" t="n">
        <v>0</v>
      </c>
      <c r="N388" t="n">
        <v>0</v>
      </c>
      <c r="O388" t="n">
        <v>0</v>
      </c>
      <c r="P388" t="n">
        <v>0</v>
      </c>
      <c r="Q388" t="n">
        <v>0</v>
      </c>
      <c r="R388" s="2" t="inlineStr"/>
    </row>
    <row r="389" ht="15" customHeight="1">
      <c r="A389" t="inlineStr">
        <is>
          <t>A 32723-2025</t>
        </is>
      </c>
      <c r="B389" s="1" t="n">
        <v>45838</v>
      </c>
      <c r="C389" s="1" t="n">
        <v>45916</v>
      </c>
      <c r="D389" t="inlineStr">
        <is>
          <t>ÖSTERGÖTLANDS LÄN</t>
        </is>
      </c>
      <c r="E389" t="inlineStr">
        <is>
          <t>LINKÖPING</t>
        </is>
      </c>
      <c r="G389" t="n">
        <v>2.1</v>
      </c>
      <c r="H389" t="n">
        <v>0</v>
      </c>
      <c r="I389" t="n">
        <v>0</v>
      </c>
      <c r="J389" t="n">
        <v>0</v>
      </c>
      <c r="K389" t="n">
        <v>0</v>
      </c>
      <c r="L389" t="n">
        <v>0</v>
      </c>
      <c r="M389" t="n">
        <v>0</v>
      </c>
      <c r="N389" t="n">
        <v>0</v>
      </c>
      <c r="O389" t="n">
        <v>0</v>
      </c>
      <c r="P389" t="n">
        <v>0</v>
      </c>
      <c r="Q389" t="n">
        <v>0</v>
      </c>
      <c r="R389" s="2" t="inlineStr"/>
    </row>
    <row r="390" ht="15" customHeight="1">
      <c r="A390" t="inlineStr">
        <is>
          <t>A 53411-2023</t>
        </is>
      </c>
      <c r="B390" s="1" t="n">
        <v>45229.81049768518</v>
      </c>
      <c r="C390" s="1" t="n">
        <v>45916</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26788-2022</t>
        </is>
      </c>
      <c r="B391" s="1" t="n">
        <v>44740</v>
      </c>
      <c r="C391" s="1" t="n">
        <v>45916</v>
      </c>
      <c r="D391" t="inlineStr">
        <is>
          <t>ÖSTERGÖTLANDS LÄN</t>
        </is>
      </c>
      <c r="E391" t="inlineStr">
        <is>
          <t>LINKÖPING</t>
        </is>
      </c>
      <c r="G391" t="n">
        <v>3.2</v>
      </c>
      <c r="H391" t="n">
        <v>0</v>
      </c>
      <c r="I391" t="n">
        <v>0</v>
      </c>
      <c r="J391" t="n">
        <v>0</v>
      </c>
      <c r="K391" t="n">
        <v>0</v>
      </c>
      <c r="L391" t="n">
        <v>0</v>
      </c>
      <c r="M391" t="n">
        <v>0</v>
      </c>
      <c r="N391" t="n">
        <v>0</v>
      </c>
      <c r="O391" t="n">
        <v>0</v>
      </c>
      <c r="P391" t="n">
        <v>0</v>
      </c>
      <c r="Q391" t="n">
        <v>0</v>
      </c>
      <c r="R391" s="2" t="inlineStr"/>
    </row>
    <row r="392" ht="15" customHeight="1">
      <c r="A392" t="inlineStr">
        <is>
          <t>A 38046-2025</t>
        </is>
      </c>
      <c r="B392" s="1" t="n">
        <v>45882.39939814815</v>
      </c>
      <c r="C392" s="1" t="n">
        <v>45916</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30521-2024</t>
        </is>
      </c>
      <c r="B393" s="1" t="n">
        <v>45492</v>
      </c>
      <c r="C393" s="1" t="n">
        <v>45916</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51191-2022</t>
        </is>
      </c>
      <c r="B394" s="1" t="n">
        <v>44865</v>
      </c>
      <c r="C394" s="1" t="n">
        <v>45916</v>
      </c>
      <c r="D394" t="inlineStr">
        <is>
          <t>ÖSTERGÖTLANDS LÄN</t>
        </is>
      </c>
      <c r="E394" t="inlineStr">
        <is>
          <t>LINKÖPING</t>
        </is>
      </c>
      <c r="G394" t="n">
        <v>2.2</v>
      </c>
      <c r="H394" t="n">
        <v>0</v>
      </c>
      <c r="I394" t="n">
        <v>0</v>
      </c>
      <c r="J394" t="n">
        <v>0</v>
      </c>
      <c r="K394" t="n">
        <v>0</v>
      </c>
      <c r="L394" t="n">
        <v>0</v>
      </c>
      <c r="M394" t="n">
        <v>0</v>
      </c>
      <c r="N394" t="n">
        <v>0</v>
      </c>
      <c r="O394" t="n">
        <v>0</v>
      </c>
      <c r="P394" t="n">
        <v>0</v>
      </c>
      <c r="Q394" t="n">
        <v>0</v>
      </c>
      <c r="R394" s="2" t="inlineStr"/>
    </row>
    <row r="395" ht="15" customHeight="1">
      <c r="A395" t="inlineStr">
        <is>
          <t>A 49088-2020</t>
        </is>
      </c>
      <c r="B395" s="1" t="n">
        <v>44104</v>
      </c>
      <c r="C395" s="1" t="n">
        <v>45916</v>
      </c>
      <c r="D395" t="inlineStr">
        <is>
          <t>ÖSTERGÖTLANDS LÄN</t>
        </is>
      </c>
      <c r="E395" t="inlineStr">
        <is>
          <t>LINKÖPING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24462-2023</t>
        </is>
      </c>
      <c r="B396" s="1" t="n">
        <v>45082</v>
      </c>
      <c r="C396" s="1" t="n">
        <v>45916</v>
      </c>
      <c r="D396" t="inlineStr">
        <is>
          <t>ÖSTERGÖTLANDS LÄN</t>
        </is>
      </c>
      <c r="E396" t="inlineStr">
        <is>
          <t>LINKÖPING</t>
        </is>
      </c>
      <c r="G396" t="n">
        <v>3.5</v>
      </c>
      <c r="H396" t="n">
        <v>0</v>
      </c>
      <c r="I396" t="n">
        <v>0</v>
      </c>
      <c r="J396" t="n">
        <v>0</v>
      </c>
      <c r="K396" t="n">
        <v>0</v>
      </c>
      <c r="L396" t="n">
        <v>0</v>
      </c>
      <c r="M396" t="n">
        <v>0</v>
      </c>
      <c r="N396" t="n">
        <v>0</v>
      </c>
      <c r="O396" t="n">
        <v>0</v>
      </c>
      <c r="P396" t="n">
        <v>0</v>
      </c>
      <c r="Q396" t="n">
        <v>0</v>
      </c>
      <c r="R396" s="2" t="inlineStr"/>
    </row>
    <row r="397" ht="15" customHeight="1">
      <c r="A397" t="inlineStr">
        <is>
          <t>A 62015-2024</t>
        </is>
      </c>
      <c r="B397" s="1" t="n">
        <v>45655.80457175926</v>
      </c>
      <c r="C397" s="1" t="n">
        <v>45916</v>
      </c>
      <c r="D397" t="inlineStr">
        <is>
          <t>ÖSTERGÖTLANDS LÄN</t>
        </is>
      </c>
      <c r="E397" t="inlineStr">
        <is>
          <t>LINKÖPING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12289-2025</t>
        </is>
      </c>
      <c r="B398" s="1" t="n">
        <v>45729</v>
      </c>
      <c r="C398" s="1" t="n">
        <v>45916</v>
      </c>
      <c r="D398" t="inlineStr">
        <is>
          <t>ÖSTERGÖTLANDS LÄN</t>
        </is>
      </c>
      <c r="E398" t="inlineStr">
        <is>
          <t>LINKÖPING</t>
        </is>
      </c>
      <c r="F398" t="inlineStr">
        <is>
          <t>Övriga statliga verk och myndigheter</t>
        </is>
      </c>
      <c r="G398" t="n">
        <v>6.5</v>
      </c>
      <c r="H398" t="n">
        <v>0</v>
      </c>
      <c r="I398" t="n">
        <v>0</v>
      </c>
      <c r="J398" t="n">
        <v>0</v>
      </c>
      <c r="K398" t="n">
        <v>0</v>
      </c>
      <c r="L398" t="n">
        <v>0</v>
      </c>
      <c r="M398" t="n">
        <v>0</v>
      </c>
      <c r="N398" t="n">
        <v>0</v>
      </c>
      <c r="O398" t="n">
        <v>0</v>
      </c>
      <c r="P398" t="n">
        <v>0</v>
      </c>
      <c r="Q398" t="n">
        <v>0</v>
      </c>
      <c r="R398" s="2" t="inlineStr"/>
    </row>
    <row r="399" ht="15" customHeight="1">
      <c r="A399" t="inlineStr">
        <is>
          <t>A 9434-2024</t>
        </is>
      </c>
      <c r="B399" s="1" t="n">
        <v>45359</v>
      </c>
      <c r="C399" s="1" t="n">
        <v>45916</v>
      </c>
      <c r="D399" t="inlineStr">
        <is>
          <t>ÖSTERGÖTLANDS LÄN</t>
        </is>
      </c>
      <c r="E399" t="inlineStr">
        <is>
          <t>LINKÖPING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42054-2022</t>
        </is>
      </c>
      <c r="B400" s="1" t="n">
        <v>44830</v>
      </c>
      <c r="C400" s="1" t="n">
        <v>45916</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33947-2025</t>
        </is>
      </c>
      <c r="B401" s="1" t="n">
        <v>45842.65444444444</v>
      </c>
      <c r="C401" s="1" t="n">
        <v>45916</v>
      </c>
      <c r="D401" t="inlineStr">
        <is>
          <t>ÖSTERGÖTLANDS LÄN</t>
        </is>
      </c>
      <c r="E401" t="inlineStr">
        <is>
          <t>LINKÖPING</t>
        </is>
      </c>
      <c r="F401" t="inlineStr">
        <is>
          <t>Sveaskog</t>
        </is>
      </c>
      <c r="G401" t="n">
        <v>0.6</v>
      </c>
      <c r="H401" t="n">
        <v>0</v>
      </c>
      <c r="I401" t="n">
        <v>0</v>
      </c>
      <c r="J401" t="n">
        <v>0</v>
      </c>
      <c r="K401" t="n">
        <v>0</v>
      </c>
      <c r="L401" t="n">
        <v>0</v>
      </c>
      <c r="M401" t="n">
        <v>0</v>
      </c>
      <c r="N401" t="n">
        <v>0</v>
      </c>
      <c r="O401" t="n">
        <v>0</v>
      </c>
      <c r="P401" t="n">
        <v>0</v>
      </c>
      <c r="Q401" t="n">
        <v>0</v>
      </c>
      <c r="R401" s="2" t="inlineStr"/>
    </row>
    <row r="402" ht="15" customHeight="1">
      <c r="A402" t="inlineStr">
        <is>
          <t>A 53529-2024</t>
        </is>
      </c>
      <c r="B402" s="1" t="n">
        <v>45614</v>
      </c>
      <c r="C402" s="1" t="n">
        <v>45916</v>
      </c>
      <c r="D402" t="inlineStr">
        <is>
          <t>ÖSTERGÖTLANDS LÄN</t>
        </is>
      </c>
      <c r="E402" t="inlineStr">
        <is>
          <t>LINKÖPING</t>
        </is>
      </c>
      <c r="G402" t="n">
        <v>6.7</v>
      </c>
      <c r="H402" t="n">
        <v>0</v>
      </c>
      <c r="I402" t="n">
        <v>0</v>
      </c>
      <c r="J402" t="n">
        <v>0</v>
      </c>
      <c r="K402" t="n">
        <v>0</v>
      </c>
      <c r="L402" t="n">
        <v>0</v>
      </c>
      <c r="M402" t="n">
        <v>0</v>
      </c>
      <c r="N402" t="n">
        <v>0</v>
      </c>
      <c r="O402" t="n">
        <v>0</v>
      </c>
      <c r="P402" t="n">
        <v>0</v>
      </c>
      <c r="Q402" t="n">
        <v>0</v>
      </c>
      <c r="R402" s="2" t="inlineStr"/>
    </row>
    <row r="403" ht="15" customHeight="1">
      <c r="A403" t="inlineStr">
        <is>
          <t>A 62012-2024</t>
        </is>
      </c>
      <c r="B403" s="1" t="n">
        <v>45655.79679398148</v>
      </c>
      <c r="C403" s="1" t="n">
        <v>45916</v>
      </c>
      <c r="D403" t="inlineStr">
        <is>
          <t>ÖSTERGÖTLANDS LÄN</t>
        </is>
      </c>
      <c r="E403" t="inlineStr">
        <is>
          <t>LINKÖPING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38971-2025</t>
        </is>
      </c>
      <c r="B404" s="1" t="n">
        <v>45887.71827546296</v>
      </c>
      <c r="C404" s="1" t="n">
        <v>45916</v>
      </c>
      <c r="D404" t="inlineStr">
        <is>
          <t>ÖSTERGÖTLANDS LÄN</t>
        </is>
      </c>
      <c r="E404" t="inlineStr">
        <is>
          <t>LINKÖPING</t>
        </is>
      </c>
      <c r="G404" t="n">
        <v>3.9</v>
      </c>
      <c r="H404" t="n">
        <v>0</v>
      </c>
      <c r="I404" t="n">
        <v>0</v>
      </c>
      <c r="J404" t="n">
        <v>0</v>
      </c>
      <c r="K404" t="n">
        <v>0</v>
      </c>
      <c r="L404" t="n">
        <v>0</v>
      </c>
      <c r="M404" t="n">
        <v>0</v>
      </c>
      <c r="N404" t="n">
        <v>0</v>
      </c>
      <c r="O404" t="n">
        <v>0</v>
      </c>
      <c r="P404" t="n">
        <v>0</v>
      </c>
      <c r="Q404" t="n">
        <v>0</v>
      </c>
      <c r="R404" s="2" t="inlineStr"/>
    </row>
    <row r="405" ht="15" customHeight="1">
      <c r="A405" t="inlineStr">
        <is>
          <t>A 50182-2023</t>
        </is>
      </c>
      <c r="B405" s="1" t="n">
        <v>45208</v>
      </c>
      <c r="C405" s="1" t="n">
        <v>45916</v>
      </c>
      <c r="D405" t="inlineStr">
        <is>
          <t>ÖSTERGÖTLANDS LÄN</t>
        </is>
      </c>
      <c r="E405" t="inlineStr">
        <is>
          <t>LINKÖPING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35781-2023</t>
        </is>
      </c>
      <c r="B406" s="1" t="n">
        <v>45147</v>
      </c>
      <c r="C406" s="1" t="n">
        <v>45916</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10741-2023</t>
        </is>
      </c>
      <c r="B407" s="1" t="n">
        <v>44988.70084490741</v>
      </c>
      <c r="C407" s="1" t="n">
        <v>45916</v>
      </c>
      <c r="D407" t="inlineStr">
        <is>
          <t>ÖSTERGÖTLANDS LÄN</t>
        </is>
      </c>
      <c r="E407" t="inlineStr">
        <is>
          <t>LINKÖPING</t>
        </is>
      </c>
      <c r="F407" t="inlineStr">
        <is>
          <t>Allmännings- och besparingsskogar</t>
        </is>
      </c>
      <c r="G407" t="n">
        <v>11.2</v>
      </c>
      <c r="H407" t="n">
        <v>0</v>
      </c>
      <c r="I407" t="n">
        <v>0</v>
      </c>
      <c r="J407" t="n">
        <v>0</v>
      </c>
      <c r="K407" t="n">
        <v>0</v>
      </c>
      <c r="L407" t="n">
        <v>0</v>
      </c>
      <c r="M407" t="n">
        <v>0</v>
      </c>
      <c r="N407" t="n">
        <v>0</v>
      </c>
      <c r="O407" t="n">
        <v>0</v>
      </c>
      <c r="P407" t="n">
        <v>0</v>
      </c>
      <c r="Q407" t="n">
        <v>0</v>
      </c>
      <c r="R407" s="2" t="inlineStr"/>
    </row>
    <row r="408" ht="15" customHeight="1">
      <c r="A408" t="inlineStr">
        <is>
          <t>A 20469-2025</t>
        </is>
      </c>
      <c r="B408" s="1" t="n">
        <v>45775</v>
      </c>
      <c r="C408" s="1" t="n">
        <v>45916</v>
      </c>
      <c r="D408" t="inlineStr">
        <is>
          <t>ÖSTERGÖTLANDS LÄN</t>
        </is>
      </c>
      <c r="E408" t="inlineStr">
        <is>
          <t>LINKÖPING</t>
        </is>
      </c>
      <c r="F408" t="inlineStr">
        <is>
          <t>Kyrkan</t>
        </is>
      </c>
      <c r="G408" t="n">
        <v>6.1</v>
      </c>
      <c r="H408" t="n">
        <v>0</v>
      </c>
      <c r="I408" t="n">
        <v>0</v>
      </c>
      <c r="J408" t="n">
        <v>0</v>
      </c>
      <c r="K408" t="n">
        <v>0</v>
      </c>
      <c r="L408" t="n">
        <v>0</v>
      </c>
      <c r="M408" t="n">
        <v>0</v>
      </c>
      <c r="N408" t="n">
        <v>0</v>
      </c>
      <c r="O408" t="n">
        <v>0</v>
      </c>
      <c r="P408" t="n">
        <v>0</v>
      </c>
      <c r="Q408" t="n">
        <v>0</v>
      </c>
      <c r="R408" s="2" t="inlineStr"/>
    </row>
    <row r="409" ht="15" customHeight="1">
      <c r="A409" t="inlineStr">
        <is>
          <t>A 6387-2022</t>
        </is>
      </c>
      <c r="B409" s="1" t="n">
        <v>44600</v>
      </c>
      <c r="C409" s="1" t="n">
        <v>45916</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48707-2023</t>
        </is>
      </c>
      <c r="B410" s="1" t="n">
        <v>45202</v>
      </c>
      <c r="C410" s="1" t="n">
        <v>45916</v>
      </c>
      <c r="D410" t="inlineStr">
        <is>
          <t>ÖSTERGÖTLANDS LÄN</t>
        </is>
      </c>
      <c r="E410" t="inlineStr">
        <is>
          <t>LINKÖPING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39438-2025</t>
        </is>
      </c>
      <c r="B411" s="1" t="n">
        <v>45889.68641203704</v>
      </c>
      <c r="C411" s="1" t="n">
        <v>45916</v>
      </c>
      <c r="D411" t="inlineStr">
        <is>
          <t>ÖSTERGÖTLANDS LÄN</t>
        </is>
      </c>
      <c r="E411" t="inlineStr">
        <is>
          <t>LINKÖPING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39074-2025</t>
        </is>
      </c>
      <c r="B412" s="1" t="n">
        <v>45888</v>
      </c>
      <c r="C412" s="1" t="n">
        <v>45916</v>
      </c>
      <c r="D412" t="inlineStr">
        <is>
          <t>ÖSTERGÖTLANDS LÄN</t>
        </is>
      </c>
      <c r="E412" t="inlineStr">
        <is>
          <t>LINKÖPING</t>
        </is>
      </c>
      <c r="G412" t="n">
        <v>2.9</v>
      </c>
      <c r="H412" t="n">
        <v>0</v>
      </c>
      <c r="I412" t="n">
        <v>0</v>
      </c>
      <c r="J412" t="n">
        <v>0</v>
      </c>
      <c r="K412" t="n">
        <v>0</v>
      </c>
      <c r="L412" t="n">
        <v>0</v>
      </c>
      <c r="M412" t="n">
        <v>0</v>
      </c>
      <c r="N412" t="n">
        <v>0</v>
      </c>
      <c r="O412" t="n">
        <v>0</v>
      </c>
      <c r="P412" t="n">
        <v>0</v>
      </c>
      <c r="Q412" t="n">
        <v>0</v>
      </c>
      <c r="R412" s="2" t="inlineStr"/>
    </row>
    <row r="413" ht="15" customHeight="1">
      <c r="A413" t="inlineStr">
        <is>
          <t>A 43473-2024</t>
        </is>
      </c>
      <c r="B413" s="1" t="n">
        <v>45568</v>
      </c>
      <c r="C413" s="1" t="n">
        <v>45916</v>
      </c>
      <c r="D413" t="inlineStr">
        <is>
          <t>ÖSTERGÖTLANDS LÄN</t>
        </is>
      </c>
      <c r="E413" t="inlineStr">
        <is>
          <t>LINKÖPING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43475-2024</t>
        </is>
      </c>
      <c r="B414" s="1" t="n">
        <v>45568</v>
      </c>
      <c r="C414" s="1" t="n">
        <v>45916</v>
      </c>
      <c r="D414" t="inlineStr">
        <is>
          <t>ÖSTERGÖTLANDS LÄN</t>
        </is>
      </c>
      <c r="E414" t="inlineStr">
        <is>
          <t>LINKÖPING</t>
        </is>
      </c>
      <c r="G414" t="n">
        <v>3.2</v>
      </c>
      <c r="H414" t="n">
        <v>0</v>
      </c>
      <c r="I414" t="n">
        <v>0</v>
      </c>
      <c r="J414" t="n">
        <v>0</v>
      </c>
      <c r="K414" t="n">
        <v>0</v>
      </c>
      <c r="L414" t="n">
        <v>0</v>
      </c>
      <c r="M414" t="n">
        <v>0</v>
      </c>
      <c r="N414" t="n">
        <v>0</v>
      </c>
      <c r="O414" t="n">
        <v>0</v>
      </c>
      <c r="P414" t="n">
        <v>0</v>
      </c>
      <c r="Q414" t="n">
        <v>0</v>
      </c>
      <c r="R414" s="2" t="inlineStr"/>
    </row>
    <row r="415" ht="15" customHeight="1">
      <c r="A415" t="inlineStr">
        <is>
          <t>A 1207-2023</t>
        </is>
      </c>
      <c r="B415" s="1" t="n">
        <v>44930</v>
      </c>
      <c r="C415" s="1" t="n">
        <v>45916</v>
      </c>
      <c r="D415" t="inlineStr">
        <is>
          <t>ÖSTERGÖTLANDS LÄN</t>
        </is>
      </c>
      <c r="E415" t="inlineStr">
        <is>
          <t>LINKÖPING</t>
        </is>
      </c>
      <c r="F415" t="inlineStr">
        <is>
          <t>Övriga statliga verk och myndigheter</t>
        </is>
      </c>
      <c r="G415" t="n">
        <v>32.8</v>
      </c>
      <c r="H415" t="n">
        <v>0</v>
      </c>
      <c r="I415" t="n">
        <v>0</v>
      </c>
      <c r="J415" t="n">
        <v>0</v>
      </c>
      <c r="K415" t="n">
        <v>0</v>
      </c>
      <c r="L415" t="n">
        <v>0</v>
      </c>
      <c r="M415" t="n">
        <v>0</v>
      </c>
      <c r="N415" t="n">
        <v>0</v>
      </c>
      <c r="O415" t="n">
        <v>0</v>
      </c>
      <c r="P415" t="n">
        <v>0</v>
      </c>
      <c r="Q415" t="n">
        <v>0</v>
      </c>
      <c r="R415" s="2" t="inlineStr"/>
    </row>
    <row r="416" ht="15" customHeight="1">
      <c r="A416" t="inlineStr">
        <is>
          <t>A 29859-2024</t>
        </is>
      </c>
      <c r="B416" s="1" t="n">
        <v>45485.6846412037</v>
      </c>
      <c r="C416" s="1" t="n">
        <v>45916</v>
      </c>
      <c r="D416" t="inlineStr">
        <is>
          <t>ÖSTERGÖTLANDS LÄN</t>
        </is>
      </c>
      <c r="E416" t="inlineStr">
        <is>
          <t>LINKÖPING</t>
        </is>
      </c>
      <c r="G416" t="n">
        <v>0.4</v>
      </c>
      <c r="H416" t="n">
        <v>0</v>
      </c>
      <c r="I416" t="n">
        <v>0</v>
      </c>
      <c r="J416" t="n">
        <v>0</v>
      </c>
      <c r="K416" t="n">
        <v>0</v>
      </c>
      <c r="L416" t="n">
        <v>0</v>
      </c>
      <c r="M416" t="n">
        <v>0</v>
      </c>
      <c r="N416" t="n">
        <v>0</v>
      </c>
      <c r="O416" t="n">
        <v>0</v>
      </c>
      <c r="P416" t="n">
        <v>0</v>
      </c>
      <c r="Q416" t="n">
        <v>0</v>
      </c>
      <c r="R416" s="2" t="inlineStr"/>
    </row>
    <row r="417" ht="15" customHeight="1">
      <c r="A417" t="inlineStr">
        <is>
          <t>A 45819-2024</t>
        </is>
      </c>
      <c r="B417" s="1" t="n">
        <v>45579.7454050926</v>
      </c>
      <c r="C417" s="1" t="n">
        <v>45916</v>
      </c>
      <c r="D417" t="inlineStr">
        <is>
          <t>ÖSTERGÖTLANDS LÄN</t>
        </is>
      </c>
      <c r="E417" t="inlineStr">
        <is>
          <t>LINKÖPING</t>
        </is>
      </c>
      <c r="G417" t="n">
        <v>5</v>
      </c>
      <c r="H417" t="n">
        <v>0</v>
      </c>
      <c r="I417" t="n">
        <v>0</v>
      </c>
      <c r="J417" t="n">
        <v>0</v>
      </c>
      <c r="K417" t="n">
        <v>0</v>
      </c>
      <c r="L417" t="n">
        <v>0</v>
      </c>
      <c r="M417" t="n">
        <v>0</v>
      </c>
      <c r="N417" t="n">
        <v>0</v>
      </c>
      <c r="O417" t="n">
        <v>0</v>
      </c>
      <c r="P417" t="n">
        <v>0</v>
      </c>
      <c r="Q417" t="n">
        <v>0</v>
      </c>
      <c r="R417" s="2" t="inlineStr"/>
    </row>
    <row r="418" ht="15" customHeight="1">
      <c r="A418" t="inlineStr">
        <is>
          <t>A 15748-2025</t>
        </is>
      </c>
      <c r="B418" s="1" t="n">
        <v>45748.55282407408</v>
      </c>
      <c r="C418" s="1" t="n">
        <v>45916</v>
      </c>
      <c r="D418" t="inlineStr">
        <is>
          <t>ÖSTERGÖTLANDS LÄN</t>
        </is>
      </c>
      <c r="E418" t="inlineStr">
        <is>
          <t>LINKÖPING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15754-2025</t>
        </is>
      </c>
      <c r="B419" s="1" t="n">
        <v>45748.56105324074</v>
      </c>
      <c r="C419" s="1" t="n">
        <v>45916</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30518-2024</t>
        </is>
      </c>
      <c r="B420" s="1" t="n">
        <v>45492</v>
      </c>
      <c r="C420" s="1" t="n">
        <v>45916</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53797-2023</t>
        </is>
      </c>
      <c r="B421" s="1" t="n">
        <v>45230</v>
      </c>
      <c r="C421" s="1" t="n">
        <v>45916</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55345-2021</t>
        </is>
      </c>
      <c r="B422" s="1" t="n">
        <v>44475</v>
      </c>
      <c r="C422" s="1" t="n">
        <v>45916</v>
      </c>
      <c r="D422" t="inlineStr">
        <is>
          <t>ÖSTERGÖTLANDS LÄN</t>
        </is>
      </c>
      <c r="E422" t="inlineStr">
        <is>
          <t>LINKÖPING</t>
        </is>
      </c>
      <c r="G422" t="n">
        <v>5.7</v>
      </c>
      <c r="H422" t="n">
        <v>0</v>
      </c>
      <c r="I422" t="n">
        <v>0</v>
      </c>
      <c r="J422" t="n">
        <v>0</v>
      </c>
      <c r="K422" t="n">
        <v>0</v>
      </c>
      <c r="L422" t="n">
        <v>0</v>
      </c>
      <c r="M422" t="n">
        <v>0</v>
      </c>
      <c r="N422" t="n">
        <v>0</v>
      </c>
      <c r="O422" t="n">
        <v>0</v>
      </c>
      <c r="P422" t="n">
        <v>0</v>
      </c>
      <c r="Q422" t="n">
        <v>0</v>
      </c>
      <c r="R422" s="2" t="inlineStr"/>
    </row>
    <row r="423" ht="15" customHeight="1">
      <c r="A423" t="inlineStr">
        <is>
          <t>A 59954-2020</t>
        </is>
      </c>
      <c r="B423" s="1" t="n">
        <v>44151</v>
      </c>
      <c r="C423" s="1" t="n">
        <v>45916</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59969-2020</t>
        </is>
      </c>
      <c r="B424" s="1" t="n">
        <v>44151</v>
      </c>
      <c r="C424" s="1" t="n">
        <v>45916</v>
      </c>
      <c r="D424" t="inlineStr">
        <is>
          <t>ÖSTERGÖTLANDS LÄN</t>
        </is>
      </c>
      <c r="E424" t="inlineStr">
        <is>
          <t>LINKÖPING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47876-2020</t>
        </is>
      </c>
      <c r="B425" s="1" t="n">
        <v>44099</v>
      </c>
      <c r="C425" s="1" t="n">
        <v>45916</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10198-2023</t>
        </is>
      </c>
      <c r="B426" s="1" t="n">
        <v>44986.54665509259</v>
      </c>
      <c r="C426" s="1" t="n">
        <v>45916</v>
      </c>
      <c r="D426" t="inlineStr">
        <is>
          <t>ÖSTERGÖTLANDS LÄN</t>
        </is>
      </c>
      <c r="E426" t="inlineStr">
        <is>
          <t>LINKÖPING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4298-2023</t>
        </is>
      </c>
      <c r="B427" s="1" t="n">
        <v>44953</v>
      </c>
      <c r="C427" s="1" t="n">
        <v>45916</v>
      </c>
      <c r="D427" t="inlineStr">
        <is>
          <t>ÖSTERGÖTLANDS LÄN</t>
        </is>
      </c>
      <c r="E427" t="inlineStr">
        <is>
          <t>LINKÖPING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12089-2025</t>
        </is>
      </c>
      <c r="B428" s="1" t="n">
        <v>45729</v>
      </c>
      <c r="C428" s="1" t="n">
        <v>45916</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12428-2024</t>
        </is>
      </c>
      <c r="B429" s="1" t="n">
        <v>45379</v>
      </c>
      <c r="C429" s="1" t="n">
        <v>45916</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33800-2023</t>
        </is>
      </c>
      <c r="B430" s="1" t="n">
        <v>45121</v>
      </c>
      <c r="C430" s="1" t="n">
        <v>45916</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15658-2023</t>
        </is>
      </c>
      <c r="B431" s="1" t="n">
        <v>45021.41194444444</v>
      </c>
      <c r="C431" s="1" t="n">
        <v>45916</v>
      </c>
      <c r="D431" t="inlineStr">
        <is>
          <t>ÖSTERGÖTLANDS LÄN</t>
        </is>
      </c>
      <c r="E431" t="inlineStr">
        <is>
          <t>LINKÖPING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26618-2023</t>
        </is>
      </c>
      <c r="B432" s="1" t="n">
        <v>45092.70306712963</v>
      </c>
      <c r="C432" s="1" t="n">
        <v>45916</v>
      </c>
      <c r="D432" t="inlineStr">
        <is>
          <t>ÖSTERGÖTLANDS LÄN</t>
        </is>
      </c>
      <c r="E432" t="inlineStr">
        <is>
          <t>LINKÖPING</t>
        </is>
      </c>
      <c r="G432" t="n">
        <v>6.9</v>
      </c>
      <c r="H432" t="n">
        <v>0</v>
      </c>
      <c r="I432" t="n">
        <v>0</v>
      </c>
      <c r="J432" t="n">
        <v>0</v>
      </c>
      <c r="K432" t="n">
        <v>0</v>
      </c>
      <c r="L432" t="n">
        <v>0</v>
      </c>
      <c r="M432" t="n">
        <v>0</v>
      </c>
      <c r="N432" t="n">
        <v>0</v>
      </c>
      <c r="O432" t="n">
        <v>0</v>
      </c>
      <c r="P432" t="n">
        <v>0</v>
      </c>
      <c r="Q432" t="n">
        <v>0</v>
      </c>
      <c r="R432" s="2" t="inlineStr"/>
    </row>
    <row r="433" ht="15" customHeight="1">
      <c r="A433" t="inlineStr">
        <is>
          <t>A 26007-2025</t>
        </is>
      </c>
      <c r="B433" s="1" t="n">
        <v>45804.67081018518</v>
      </c>
      <c r="C433" s="1" t="n">
        <v>45916</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35174-2025</t>
        </is>
      </c>
      <c r="B434" s="1" t="n">
        <v>45852.90648148148</v>
      </c>
      <c r="C434" s="1" t="n">
        <v>45916</v>
      </c>
      <c r="D434" t="inlineStr">
        <is>
          <t>ÖSTERGÖTLANDS LÄN</t>
        </is>
      </c>
      <c r="E434" t="inlineStr">
        <is>
          <t>LINKÖPING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34930-2023</t>
        </is>
      </c>
      <c r="B435" s="1" t="n">
        <v>45142</v>
      </c>
      <c r="C435" s="1" t="n">
        <v>45916</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55305-2020</t>
        </is>
      </c>
      <c r="B436" s="1" t="n">
        <v>44130</v>
      </c>
      <c r="C436" s="1" t="n">
        <v>45916</v>
      </c>
      <c r="D436" t="inlineStr">
        <is>
          <t>ÖSTERGÖTLANDS LÄN</t>
        </is>
      </c>
      <c r="E436" t="inlineStr">
        <is>
          <t>LINKÖPING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670-2024</t>
        </is>
      </c>
      <c r="B437" s="1" t="n">
        <v>45300.3408912037</v>
      </c>
      <c r="C437" s="1" t="n">
        <v>45916</v>
      </c>
      <c r="D437" t="inlineStr">
        <is>
          <t>ÖSTERGÖTLANDS LÄN</t>
        </is>
      </c>
      <c r="E437" t="inlineStr">
        <is>
          <t>LINKÖPING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63845-2021</t>
        </is>
      </c>
      <c r="B438" s="1" t="n">
        <v>44509</v>
      </c>
      <c r="C438" s="1" t="n">
        <v>45916</v>
      </c>
      <c r="D438" t="inlineStr">
        <is>
          <t>ÖSTERGÖTLANDS LÄN</t>
        </is>
      </c>
      <c r="E438" t="inlineStr">
        <is>
          <t>LINKÖPING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47991-2023</t>
        </is>
      </c>
      <c r="B439" s="1" t="n">
        <v>45204.62655092592</v>
      </c>
      <c r="C439" s="1" t="n">
        <v>45916</v>
      </c>
      <c r="D439" t="inlineStr">
        <is>
          <t>ÖSTERGÖTLANDS LÄN</t>
        </is>
      </c>
      <c r="E439" t="inlineStr">
        <is>
          <t>LINKÖPING</t>
        </is>
      </c>
      <c r="F439" t="inlineStr">
        <is>
          <t>Allmännings- och besparingsskogar</t>
        </is>
      </c>
      <c r="G439" t="n">
        <v>7.3</v>
      </c>
      <c r="H439" t="n">
        <v>0</v>
      </c>
      <c r="I439" t="n">
        <v>0</v>
      </c>
      <c r="J439" t="n">
        <v>0</v>
      </c>
      <c r="K439" t="n">
        <v>0</v>
      </c>
      <c r="L439" t="n">
        <v>0</v>
      </c>
      <c r="M439" t="n">
        <v>0</v>
      </c>
      <c r="N439" t="n">
        <v>0</v>
      </c>
      <c r="O439" t="n">
        <v>0</v>
      </c>
      <c r="P439" t="n">
        <v>0</v>
      </c>
      <c r="Q439" t="n">
        <v>0</v>
      </c>
      <c r="R439" s="2" t="inlineStr"/>
    </row>
    <row r="440" ht="15" customHeight="1">
      <c r="A440" t="inlineStr">
        <is>
          <t>A 35179-2025</t>
        </is>
      </c>
      <c r="B440" s="1" t="n">
        <v>45852.93737268518</v>
      </c>
      <c r="C440" s="1" t="n">
        <v>45916</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35180-2025</t>
        </is>
      </c>
      <c r="B441" s="1" t="n">
        <v>45852.9413425926</v>
      </c>
      <c r="C441" s="1" t="n">
        <v>45916</v>
      </c>
      <c r="D441" t="inlineStr">
        <is>
          <t>ÖSTERGÖTLANDS LÄN</t>
        </is>
      </c>
      <c r="E441" t="inlineStr">
        <is>
          <t>LINKÖPING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54034-2022</t>
        </is>
      </c>
      <c r="B442" s="1" t="n">
        <v>44881</v>
      </c>
      <c r="C442" s="1" t="n">
        <v>45916</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35178-2025</t>
        </is>
      </c>
      <c r="B443" s="1" t="n">
        <v>45852.91939814815</v>
      </c>
      <c r="C443" s="1" t="n">
        <v>45916</v>
      </c>
      <c r="D443" t="inlineStr">
        <is>
          <t>ÖSTERGÖTLANDS LÄN</t>
        </is>
      </c>
      <c r="E443" t="inlineStr">
        <is>
          <t>LINKÖPING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38886-2024</t>
        </is>
      </c>
      <c r="B444" s="1" t="n">
        <v>45547.66443287037</v>
      </c>
      <c r="C444" s="1" t="n">
        <v>45916</v>
      </c>
      <c r="D444" t="inlineStr">
        <is>
          <t>ÖSTERGÖTLANDS LÄN</t>
        </is>
      </c>
      <c r="E444" t="inlineStr">
        <is>
          <t>LINKÖPING</t>
        </is>
      </c>
      <c r="G444" t="n">
        <v>5.3</v>
      </c>
      <c r="H444" t="n">
        <v>0</v>
      </c>
      <c r="I444" t="n">
        <v>0</v>
      </c>
      <c r="J444" t="n">
        <v>0</v>
      </c>
      <c r="K444" t="n">
        <v>0</v>
      </c>
      <c r="L444" t="n">
        <v>0</v>
      </c>
      <c r="M444" t="n">
        <v>0</v>
      </c>
      <c r="N444" t="n">
        <v>0</v>
      </c>
      <c r="O444" t="n">
        <v>0</v>
      </c>
      <c r="P444" t="n">
        <v>0</v>
      </c>
      <c r="Q444" t="n">
        <v>0</v>
      </c>
      <c r="R444" s="2" t="inlineStr"/>
    </row>
    <row r="445" ht="15" customHeight="1">
      <c r="A445" t="inlineStr">
        <is>
          <t>A 36336-2023</t>
        </is>
      </c>
      <c r="B445" s="1" t="n">
        <v>45152.45078703704</v>
      </c>
      <c r="C445" s="1" t="n">
        <v>45916</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51583-2024</t>
        </is>
      </c>
      <c r="B446" s="1" t="n">
        <v>45604.6397337963</v>
      </c>
      <c r="C446" s="1" t="n">
        <v>45916</v>
      </c>
      <c r="D446" t="inlineStr">
        <is>
          <t>ÖSTERGÖTLANDS LÄN</t>
        </is>
      </c>
      <c r="E446" t="inlineStr">
        <is>
          <t>LINKÖPING</t>
        </is>
      </c>
      <c r="F446" t="inlineStr">
        <is>
          <t>Övriga Aktiebolag</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48829-2023</t>
        </is>
      </c>
      <c r="B447" s="1" t="n">
        <v>45209.38177083333</v>
      </c>
      <c r="C447" s="1" t="n">
        <v>45916</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58714-2020</t>
        </is>
      </c>
      <c r="B448" s="1" t="n">
        <v>44146</v>
      </c>
      <c r="C448" s="1" t="n">
        <v>45916</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64694-2023</t>
        </is>
      </c>
      <c r="B449" s="1" t="n">
        <v>45281</v>
      </c>
      <c r="C449" s="1" t="n">
        <v>45916</v>
      </c>
      <c r="D449" t="inlineStr">
        <is>
          <t>ÖSTERGÖTLANDS LÄN</t>
        </is>
      </c>
      <c r="E449" t="inlineStr">
        <is>
          <t>LINKÖPING</t>
        </is>
      </c>
      <c r="F449" t="inlineStr">
        <is>
          <t>Övriga statliga verk och myndigheter</t>
        </is>
      </c>
      <c r="G449" t="n">
        <v>4.9</v>
      </c>
      <c r="H449" t="n">
        <v>0</v>
      </c>
      <c r="I449" t="n">
        <v>0</v>
      </c>
      <c r="J449" t="n">
        <v>0</v>
      </c>
      <c r="K449" t="n">
        <v>0</v>
      </c>
      <c r="L449" t="n">
        <v>0</v>
      </c>
      <c r="M449" t="n">
        <v>0</v>
      </c>
      <c r="N449" t="n">
        <v>0</v>
      </c>
      <c r="O449" t="n">
        <v>0</v>
      </c>
      <c r="P449" t="n">
        <v>0</v>
      </c>
      <c r="Q449" t="n">
        <v>0</v>
      </c>
      <c r="R449" s="2" t="inlineStr"/>
    </row>
    <row r="450" ht="15" customHeight="1">
      <c r="A450" t="inlineStr">
        <is>
          <t>A 32602-2022</t>
        </is>
      </c>
      <c r="B450" s="1" t="n">
        <v>44783.43192129629</v>
      </c>
      <c r="C450" s="1" t="n">
        <v>45916</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40169-2025</t>
        </is>
      </c>
      <c r="B451" s="1" t="n">
        <v>45894.62824074074</v>
      </c>
      <c r="C451" s="1" t="n">
        <v>45916</v>
      </c>
      <c r="D451" t="inlineStr">
        <is>
          <t>ÖSTERGÖTLANDS LÄN</t>
        </is>
      </c>
      <c r="E451" t="inlineStr">
        <is>
          <t>LINKÖPING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29293-2025</t>
        </is>
      </c>
      <c r="B452" s="1" t="n">
        <v>45824</v>
      </c>
      <c r="C452" s="1" t="n">
        <v>45916</v>
      </c>
      <c r="D452" t="inlineStr">
        <is>
          <t>ÖSTERGÖTLANDS LÄN</t>
        </is>
      </c>
      <c r="E452" t="inlineStr">
        <is>
          <t>LINKÖPING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62321-2022</t>
        </is>
      </c>
      <c r="B453" s="1" t="n">
        <v>44916</v>
      </c>
      <c r="C453" s="1" t="n">
        <v>45916</v>
      </c>
      <c r="D453" t="inlineStr">
        <is>
          <t>ÖSTERGÖTLANDS LÄN</t>
        </is>
      </c>
      <c r="E453" t="inlineStr">
        <is>
          <t>LINKÖPING</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41511-2025</t>
        </is>
      </c>
      <c r="B454" s="1" t="n">
        <v>45901.53839120371</v>
      </c>
      <c r="C454" s="1" t="n">
        <v>45916</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48186-2022</t>
        </is>
      </c>
      <c r="B455" s="1" t="n">
        <v>44858</v>
      </c>
      <c r="C455" s="1" t="n">
        <v>45916</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63669-2023</t>
        </is>
      </c>
      <c r="B456" s="1" t="n">
        <v>45275</v>
      </c>
      <c r="C456" s="1" t="n">
        <v>45916</v>
      </c>
      <c r="D456" t="inlineStr">
        <is>
          <t>ÖSTERGÖTLANDS LÄN</t>
        </is>
      </c>
      <c r="E456" t="inlineStr">
        <is>
          <t>LINKÖPING</t>
        </is>
      </c>
      <c r="F456" t="inlineStr">
        <is>
          <t>Övriga Aktiebolag</t>
        </is>
      </c>
      <c r="G456" t="n">
        <v>3</v>
      </c>
      <c r="H456" t="n">
        <v>0</v>
      </c>
      <c r="I456" t="n">
        <v>0</v>
      </c>
      <c r="J456" t="n">
        <v>0</v>
      </c>
      <c r="K456" t="n">
        <v>0</v>
      </c>
      <c r="L456" t="n">
        <v>0</v>
      </c>
      <c r="M456" t="n">
        <v>0</v>
      </c>
      <c r="N456" t="n">
        <v>0</v>
      </c>
      <c r="O456" t="n">
        <v>0</v>
      </c>
      <c r="P456" t="n">
        <v>0</v>
      </c>
      <c r="Q456" t="n">
        <v>0</v>
      </c>
      <c r="R456" s="2" t="inlineStr"/>
    </row>
    <row r="457" ht="15" customHeight="1">
      <c r="A457" t="inlineStr">
        <is>
          <t>A 24586-2024</t>
        </is>
      </c>
      <c r="B457" s="1" t="n">
        <v>45460.46664351852</v>
      </c>
      <c r="C457" s="1" t="n">
        <v>45916</v>
      </c>
      <c r="D457" t="inlineStr">
        <is>
          <t>ÖSTERGÖTLANDS LÄN</t>
        </is>
      </c>
      <c r="E457" t="inlineStr">
        <is>
          <t>LINKÖPING</t>
        </is>
      </c>
      <c r="G457" t="n">
        <v>4</v>
      </c>
      <c r="H457" t="n">
        <v>0</v>
      </c>
      <c r="I457" t="n">
        <v>0</v>
      </c>
      <c r="J457" t="n">
        <v>0</v>
      </c>
      <c r="K457" t="n">
        <v>0</v>
      </c>
      <c r="L457" t="n">
        <v>0</v>
      </c>
      <c r="M457" t="n">
        <v>0</v>
      </c>
      <c r="N457" t="n">
        <v>0</v>
      </c>
      <c r="O457" t="n">
        <v>0</v>
      </c>
      <c r="P457" t="n">
        <v>0</v>
      </c>
      <c r="Q457" t="n">
        <v>0</v>
      </c>
      <c r="R457" s="2" t="inlineStr"/>
    </row>
    <row r="458" ht="15" customHeight="1">
      <c r="A458" t="inlineStr">
        <is>
          <t>A 59576-2024</t>
        </is>
      </c>
      <c r="B458" s="1" t="n">
        <v>45638.66378472222</v>
      </c>
      <c r="C458" s="1" t="n">
        <v>45916</v>
      </c>
      <c r="D458" t="inlineStr">
        <is>
          <t>ÖSTERGÖTLANDS LÄN</t>
        </is>
      </c>
      <c r="E458" t="inlineStr">
        <is>
          <t>LINKÖPING</t>
        </is>
      </c>
      <c r="G458" t="n">
        <v>1.6</v>
      </c>
      <c r="H458" t="n">
        <v>0</v>
      </c>
      <c r="I458" t="n">
        <v>0</v>
      </c>
      <c r="J458" t="n">
        <v>0</v>
      </c>
      <c r="K458" t="n">
        <v>0</v>
      </c>
      <c r="L458" t="n">
        <v>0</v>
      </c>
      <c r="M458" t="n">
        <v>0</v>
      </c>
      <c r="N458" t="n">
        <v>0</v>
      </c>
      <c r="O458" t="n">
        <v>0</v>
      </c>
      <c r="P458" t="n">
        <v>0</v>
      </c>
      <c r="Q458" t="n">
        <v>0</v>
      </c>
      <c r="R458" s="2" t="inlineStr"/>
    </row>
    <row r="459" ht="15" customHeight="1">
      <c r="A459" t="inlineStr">
        <is>
          <t>A 59642-2024</t>
        </is>
      </c>
      <c r="B459" s="1" t="n">
        <v>45639.31511574074</v>
      </c>
      <c r="C459" s="1" t="n">
        <v>45916</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59674-2024</t>
        </is>
      </c>
      <c r="B460" s="1" t="n">
        <v>45639</v>
      </c>
      <c r="C460" s="1" t="n">
        <v>45916</v>
      </c>
      <c r="D460" t="inlineStr">
        <is>
          <t>ÖSTERGÖTLANDS LÄN</t>
        </is>
      </c>
      <c r="E460" t="inlineStr">
        <is>
          <t>LINKÖPING</t>
        </is>
      </c>
      <c r="G460" t="n">
        <v>6.3</v>
      </c>
      <c r="H460" t="n">
        <v>0</v>
      </c>
      <c r="I460" t="n">
        <v>0</v>
      </c>
      <c r="J460" t="n">
        <v>0</v>
      </c>
      <c r="K460" t="n">
        <v>0</v>
      </c>
      <c r="L460" t="n">
        <v>0</v>
      </c>
      <c r="M460" t="n">
        <v>0</v>
      </c>
      <c r="N460" t="n">
        <v>0</v>
      </c>
      <c r="O460" t="n">
        <v>0</v>
      </c>
      <c r="P460" t="n">
        <v>0</v>
      </c>
      <c r="Q460" t="n">
        <v>0</v>
      </c>
      <c r="R460" s="2" t="inlineStr"/>
    </row>
    <row r="461" ht="15" customHeight="1">
      <c r="A461" t="inlineStr">
        <is>
          <t>A 1084-2023</t>
        </is>
      </c>
      <c r="B461" s="1" t="n">
        <v>44929</v>
      </c>
      <c r="C461" s="1" t="n">
        <v>45916</v>
      </c>
      <c r="D461" t="inlineStr">
        <is>
          <t>ÖSTERGÖTLANDS LÄN</t>
        </is>
      </c>
      <c r="E461" t="inlineStr">
        <is>
          <t>LINKÖPING</t>
        </is>
      </c>
      <c r="G461" t="n">
        <v>10.4</v>
      </c>
      <c r="H461" t="n">
        <v>0</v>
      </c>
      <c r="I461" t="n">
        <v>0</v>
      </c>
      <c r="J461" t="n">
        <v>0</v>
      </c>
      <c r="K461" t="n">
        <v>0</v>
      </c>
      <c r="L461" t="n">
        <v>0</v>
      </c>
      <c r="M461" t="n">
        <v>0</v>
      </c>
      <c r="N461" t="n">
        <v>0</v>
      </c>
      <c r="O461" t="n">
        <v>0</v>
      </c>
      <c r="P461" t="n">
        <v>0</v>
      </c>
      <c r="Q461" t="n">
        <v>0</v>
      </c>
      <c r="R461" s="2" t="inlineStr"/>
    </row>
    <row r="462" ht="15" customHeight="1">
      <c r="A462" t="inlineStr">
        <is>
          <t>A 267-2023</t>
        </is>
      </c>
      <c r="B462" s="1" t="n">
        <v>44928.80907407407</v>
      </c>
      <c r="C462" s="1" t="n">
        <v>45916</v>
      </c>
      <c r="D462" t="inlineStr">
        <is>
          <t>ÖSTERGÖTLANDS LÄN</t>
        </is>
      </c>
      <c r="E462" t="inlineStr">
        <is>
          <t>LINKÖPING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940-2023</t>
        </is>
      </c>
      <c r="B463" s="1" t="n">
        <v>44933</v>
      </c>
      <c r="C463" s="1" t="n">
        <v>45916</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6369-2023</t>
        </is>
      </c>
      <c r="B464" s="1" t="n">
        <v>44965.61106481482</v>
      </c>
      <c r="C464" s="1" t="n">
        <v>45916</v>
      </c>
      <c r="D464" t="inlineStr">
        <is>
          <t>ÖSTERGÖTLANDS LÄN</t>
        </is>
      </c>
      <c r="E464" t="inlineStr">
        <is>
          <t>LINKÖPING</t>
        </is>
      </c>
      <c r="G464" t="n">
        <v>4</v>
      </c>
      <c r="H464" t="n">
        <v>0</v>
      </c>
      <c r="I464" t="n">
        <v>0</v>
      </c>
      <c r="J464" t="n">
        <v>0</v>
      </c>
      <c r="K464" t="n">
        <v>0</v>
      </c>
      <c r="L464" t="n">
        <v>0</v>
      </c>
      <c r="M464" t="n">
        <v>0</v>
      </c>
      <c r="N464" t="n">
        <v>0</v>
      </c>
      <c r="O464" t="n">
        <v>0</v>
      </c>
      <c r="P464" t="n">
        <v>0</v>
      </c>
      <c r="Q464" t="n">
        <v>0</v>
      </c>
      <c r="R464" s="2" t="inlineStr"/>
    </row>
    <row r="465" ht="15" customHeight="1">
      <c r="A465" t="inlineStr">
        <is>
          <t>A 30980-2022</t>
        </is>
      </c>
      <c r="B465" s="1" t="n">
        <v>44768</v>
      </c>
      <c r="C465" s="1" t="n">
        <v>45916</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60007-2022</t>
        </is>
      </c>
      <c r="B466" s="1" t="n">
        <v>44909.47282407407</v>
      </c>
      <c r="C466" s="1" t="n">
        <v>45916</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35757-2025</t>
        </is>
      </c>
      <c r="B467" s="1" t="n">
        <v>45860.59876157407</v>
      </c>
      <c r="C467" s="1" t="n">
        <v>45916</v>
      </c>
      <c r="D467" t="inlineStr">
        <is>
          <t>ÖSTERGÖTLANDS LÄN</t>
        </is>
      </c>
      <c r="E467" t="inlineStr">
        <is>
          <t>LINKÖPING</t>
        </is>
      </c>
      <c r="G467" t="n">
        <v>5.7</v>
      </c>
      <c r="H467" t="n">
        <v>0</v>
      </c>
      <c r="I467" t="n">
        <v>0</v>
      </c>
      <c r="J467" t="n">
        <v>0</v>
      </c>
      <c r="K467" t="n">
        <v>0</v>
      </c>
      <c r="L467" t="n">
        <v>0</v>
      </c>
      <c r="M467" t="n">
        <v>0</v>
      </c>
      <c r="N467" t="n">
        <v>0</v>
      </c>
      <c r="O467" t="n">
        <v>0</v>
      </c>
      <c r="P467" t="n">
        <v>0</v>
      </c>
      <c r="Q467" t="n">
        <v>0</v>
      </c>
      <c r="R467" s="2" t="inlineStr"/>
    </row>
    <row r="468" ht="15" customHeight="1">
      <c r="A468" t="inlineStr">
        <is>
          <t>A 35745-2025</t>
        </is>
      </c>
      <c r="B468" s="1" t="n">
        <v>45860.54739583333</v>
      </c>
      <c r="C468" s="1" t="n">
        <v>45916</v>
      </c>
      <c r="D468" t="inlineStr">
        <is>
          <t>ÖSTERGÖTLANDS LÄN</t>
        </is>
      </c>
      <c r="E468" t="inlineStr">
        <is>
          <t>LINKÖPING</t>
        </is>
      </c>
      <c r="G468" t="n">
        <v>4.4</v>
      </c>
      <c r="H468" t="n">
        <v>0</v>
      </c>
      <c r="I468" t="n">
        <v>0</v>
      </c>
      <c r="J468" t="n">
        <v>0</v>
      </c>
      <c r="K468" t="n">
        <v>0</v>
      </c>
      <c r="L468" t="n">
        <v>0</v>
      </c>
      <c r="M468" t="n">
        <v>0</v>
      </c>
      <c r="N468" t="n">
        <v>0</v>
      </c>
      <c r="O468" t="n">
        <v>0</v>
      </c>
      <c r="P468" t="n">
        <v>0</v>
      </c>
      <c r="Q468" t="n">
        <v>0</v>
      </c>
      <c r="R468" s="2" t="inlineStr"/>
    </row>
    <row r="469" ht="15" customHeight="1">
      <c r="A469" t="inlineStr">
        <is>
          <t>A 50799-2022</t>
        </is>
      </c>
      <c r="B469" s="1" t="n">
        <v>44862</v>
      </c>
      <c r="C469" s="1" t="n">
        <v>45916</v>
      </c>
      <c r="D469" t="inlineStr">
        <is>
          <t>ÖSTERGÖTLANDS LÄN</t>
        </is>
      </c>
      <c r="E469" t="inlineStr">
        <is>
          <t>LINKÖPING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35747-2025</t>
        </is>
      </c>
      <c r="B470" s="1" t="n">
        <v>45860.56385416666</v>
      </c>
      <c r="C470" s="1" t="n">
        <v>45916</v>
      </c>
      <c r="D470" t="inlineStr">
        <is>
          <t>ÖSTERGÖTLANDS LÄN</t>
        </is>
      </c>
      <c r="E470" t="inlineStr">
        <is>
          <t>LINKÖPING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56064-2022</t>
        </is>
      </c>
      <c r="B471" s="1" t="n">
        <v>44889.59107638889</v>
      </c>
      <c r="C471" s="1" t="n">
        <v>45916</v>
      </c>
      <c r="D471" t="inlineStr">
        <is>
          <t>ÖSTERGÖTLANDS LÄN</t>
        </is>
      </c>
      <c r="E471" t="inlineStr">
        <is>
          <t>LINKÖPING</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47703-2023</t>
        </is>
      </c>
      <c r="B472" s="1" t="n">
        <v>45203</v>
      </c>
      <c r="C472" s="1" t="n">
        <v>45916</v>
      </c>
      <c r="D472" t="inlineStr">
        <is>
          <t>ÖSTERGÖTLANDS LÄN</t>
        </is>
      </c>
      <c r="E472" t="inlineStr">
        <is>
          <t>LINKÖPING</t>
        </is>
      </c>
      <c r="G472" t="n">
        <v>4.1</v>
      </c>
      <c r="H472" t="n">
        <v>0</v>
      </c>
      <c r="I472" t="n">
        <v>0</v>
      </c>
      <c r="J472" t="n">
        <v>0</v>
      </c>
      <c r="K472" t="n">
        <v>0</v>
      </c>
      <c r="L472" t="n">
        <v>0</v>
      </c>
      <c r="M472" t="n">
        <v>0</v>
      </c>
      <c r="N472" t="n">
        <v>0</v>
      </c>
      <c r="O472" t="n">
        <v>0</v>
      </c>
      <c r="P472" t="n">
        <v>0</v>
      </c>
      <c r="Q472" t="n">
        <v>0</v>
      </c>
      <c r="R472" s="2" t="inlineStr"/>
    </row>
    <row r="473" ht="15" customHeight="1">
      <c r="A473" t="inlineStr">
        <is>
          <t>A 3742-2021</t>
        </is>
      </c>
      <c r="B473" s="1" t="n">
        <v>44221</v>
      </c>
      <c r="C473" s="1" t="n">
        <v>45916</v>
      </c>
      <c r="D473" t="inlineStr">
        <is>
          <t>ÖSTERGÖTLANDS LÄN</t>
        </is>
      </c>
      <c r="E473" t="inlineStr">
        <is>
          <t>LINKÖPING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18916-2024</t>
        </is>
      </c>
      <c r="B474" s="1" t="n">
        <v>45427.39541666667</v>
      </c>
      <c r="C474" s="1" t="n">
        <v>45916</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35759-2025</t>
        </is>
      </c>
      <c r="B475" s="1" t="n">
        <v>45860</v>
      </c>
      <c r="C475" s="1" t="n">
        <v>45916</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41706-2025</t>
        </is>
      </c>
      <c r="B476" s="1" t="n">
        <v>45902.42209490741</v>
      </c>
      <c r="C476" s="1" t="n">
        <v>45916</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11084-2022</t>
        </is>
      </c>
      <c r="B477" s="1" t="n">
        <v>44628</v>
      </c>
      <c r="C477" s="1" t="n">
        <v>45916</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16111-2022</t>
        </is>
      </c>
      <c r="B478" s="1" t="n">
        <v>44665</v>
      </c>
      <c r="C478" s="1" t="n">
        <v>45916</v>
      </c>
      <c r="D478" t="inlineStr">
        <is>
          <t>ÖSTERGÖTLANDS LÄN</t>
        </is>
      </c>
      <c r="E478" t="inlineStr">
        <is>
          <t>LINKÖPING</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48962-2022</t>
        </is>
      </c>
      <c r="B479" s="1" t="n">
        <v>44860.31635416667</v>
      </c>
      <c r="C479" s="1" t="n">
        <v>45916</v>
      </c>
      <c r="D479" t="inlineStr">
        <is>
          <t>ÖSTERGÖTLANDS LÄN</t>
        </is>
      </c>
      <c r="E479" t="inlineStr">
        <is>
          <t>LINKÖPING</t>
        </is>
      </c>
      <c r="G479" t="n">
        <v>2.9</v>
      </c>
      <c r="H479" t="n">
        <v>0</v>
      </c>
      <c r="I479" t="n">
        <v>0</v>
      </c>
      <c r="J479" t="n">
        <v>0</v>
      </c>
      <c r="K479" t="n">
        <v>0</v>
      </c>
      <c r="L479" t="n">
        <v>0</v>
      </c>
      <c r="M479" t="n">
        <v>0</v>
      </c>
      <c r="N479" t="n">
        <v>0</v>
      </c>
      <c r="O479" t="n">
        <v>0</v>
      </c>
      <c r="P479" t="n">
        <v>0</v>
      </c>
      <c r="Q479" t="n">
        <v>0</v>
      </c>
      <c r="R479" s="2" t="inlineStr"/>
    </row>
    <row r="480" ht="15" customHeight="1">
      <c r="A480" t="inlineStr">
        <is>
          <t>A 10203-2023</t>
        </is>
      </c>
      <c r="B480" s="1" t="n">
        <v>44986.55711805556</v>
      </c>
      <c r="C480" s="1" t="n">
        <v>45916</v>
      </c>
      <c r="D480" t="inlineStr">
        <is>
          <t>ÖSTERGÖTLANDS LÄN</t>
        </is>
      </c>
      <c r="E480" t="inlineStr">
        <is>
          <t>LINKÖPING</t>
        </is>
      </c>
      <c r="G480" t="n">
        <v>3.3</v>
      </c>
      <c r="H480" t="n">
        <v>0</v>
      </c>
      <c r="I480" t="n">
        <v>0</v>
      </c>
      <c r="J480" t="n">
        <v>0</v>
      </c>
      <c r="K480" t="n">
        <v>0</v>
      </c>
      <c r="L480" t="n">
        <v>0</v>
      </c>
      <c r="M480" t="n">
        <v>0</v>
      </c>
      <c r="N480" t="n">
        <v>0</v>
      </c>
      <c r="O480" t="n">
        <v>0</v>
      </c>
      <c r="P480" t="n">
        <v>0</v>
      </c>
      <c r="Q480" t="n">
        <v>0</v>
      </c>
      <c r="R480" s="2" t="inlineStr"/>
    </row>
    <row r="481" ht="15" customHeight="1">
      <c r="A481" t="inlineStr">
        <is>
          <t>A 27891-2021</t>
        </is>
      </c>
      <c r="B481" s="1" t="n">
        <v>44354.65108796296</v>
      </c>
      <c r="C481" s="1" t="n">
        <v>45916</v>
      </c>
      <c r="D481" t="inlineStr">
        <is>
          <t>ÖSTERGÖTLANDS LÄN</t>
        </is>
      </c>
      <c r="E481" t="inlineStr">
        <is>
          <t>LINKÖPING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54491-2020</t>
        </is>
      </c>
      <c r="B482" s="1" t="n">
        <v>44126.64</v>
      </c>
      <c r="C482" s="1" t="n">
        <v>45916</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42624-2025</t>
        </is>
      </c>
      <c r="B483" s="1" t="n">
        <v>45905</v>
      </c>
      <c r="C483" s="1" t="n">
        <v>45916</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2618-2023</t>
        </is>
      </c>
      <c r="B484" s="1" t="n">
        <v>44944.35847222222</v>
      </c>
      <c r="C484" s="1" t="n">
        <v>45916</v>
      </c>
      <c r="D484" t="inlineStr">
        <is>
          <t>ÖSTERGÖTLANDS LÄN</t>
        </is>
      </c>
      <c r="E484" t="inlineStr">
        <is>
          <t>LINKÖPING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1268-2023</t>
        </is>
      </c>
      <c r="B485" s="1" t="n">
        <v>44936</v>
      </c>
      <c r="C485" s="1" t="n">
        <v>45916</v>
      </c>
      <c r="D485" t="inlineStr">
        <is>
          <t>ÖSTERGÖTLANDS LÄN</t>
        </is>
      </c>
      <c r="E485" t="inlineStr">
        <is>
          <t>LINKÖPING</t>
        </is>
      </c>
      <c r="G485" t="n">
        <v>4.6</v>
      </c>
      <c r="H485" t="n">
        <v>0</v>
      </c>
      <c r="I485" t="n">
        <v>0</v>
      </c>
      <c r="J485" t="n">
        <v>0</v>
      </c>
      <c r="K485" t="n">
        <v>0</v>
      </c>
      <c r="L485" t="n">
        <v>0</v>
      </c>
      <c r="M485" t="n">
        <v>0</v>
      </c>
      <c r="N485" t="n">
        <v>0</v>
      </c>
      <c r="O485" t="n">
        <v>0</v>
      </c>
      <c r="P485" t="n">
        <v>0</v>
      </c>
      <c r="Q485" t="n">
        <v>0</v>
      </c>
      <c r="R485" s="2" t="inlineStr"/>
    </row>
    <row r="486" ht="15" customHeight="1">
      <c r="A486" t="inlineStr">
        <is>
          <t>A 42623-2025</t>
        </is>
      </c>
      <c r="B486" s="1" t="n">
        <v>45905</v>
      </c>
      <c r="C486" s="1" t="n">
        <v>45916</v>
      </c>
      <c r="D486" t="inlineStr">
        <is>
          <t>ÖSTERGÖTLANDS LÄN</t>
        </is>
      </c>
      <c r="E486" t="inlineStr">
        <is>
          <t>LINKÖPING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42626-2025</t>
        </is>
      </c>
      <c r="B487" s="1" t="n">
        <v>45905</v>
      </c>
      <c r="C487" s="1" t="n">
        <v>45916</v>
      </c>
      <c r="D487" t="inlineStr">
        <is>
          <t>ÖSTERGÖTLANDS LÄN</t>
        </is>
      </c>
      <c r="E487" t="inlineStr">
        <is>
          <t>LINKÖPING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62020-2024</t>
        </is>
      </c>
      <c r="B488" s="1" t="n">
        <v>45655.83563657408</v>
      </c>
      <c r="C488" s="1" t="n">
        <v>45916</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62021-2024</t>
        </is>
      </c>
      <c r="B489" s="1" t="n">
        <v>45655.84232638889</v>
      </c>
      <c r="C489" s="1" t="n">
        <v>45916</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62687-2023</t>
        </is>
      </c>
      <c r="B490" s="1" t="n">
        <v>45271</v>
      </c>
      <c r="C490" s="1" t="n">
        <v>45916</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34641-2022</t>
        </is>
      </c>
      <c r="B491" s="1" t="n">
        <v>44795</v>
      </c>
      <c r="C491" s="1" t="n">
        <v>45916</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39457-2023</t>
        </is>
      </c>
      <c r="B492" s="1" t="n">
        <v>45166</v>
      </c>
      <c r="C492" s="1" t="n">
        <v>45916</v>
      </c>
      <c r="D492" t="inlineStr">
        <is>
          <t>ÖSTERGÖTLANDS LÄN</t>
        </is>
      </c>
      <c r="E492" t="inlineStr">
        <is>
          <t>LINKÖPING</t>
        </is>
      </c>
      <c r="G492" t="n">
        <v>2.1</v>
      </c>
      <c r="H492" t="n">
        <v>0</v>
      </c>
      <c r="I492" t="n">
        <v>0</v>
      </c>
      <c r="J492" t="n">
        <v>0</v>
      </c>
      <c r="K492" t="n">
        <v>0</v>
      </c>
      <c r="L492" t="n">
        <v>0</v>
      </c>
      <c r="M492" t="n">
        <v>0</v>
      </c>
      <c r="N492" t="n">
        <v>0</v>
      </c>
      <c r="O492" t="n">
        <v>0</v>
      </c>
      <c r="P492" t="n">
        <v>0</v>
      </c>
      <c r="Q492" t="n">
        <v>0</v>
      </c>
      <c r="R492" s="2" t="inlineStr"/>
    </row>
    <row r="493" ht="15" customHeight="1">
      <c r="A493" t="inlineStr">
        <is>
          <t>A 938-2023</t>
        </is>
      </c>
      <c r="B493" s="1" t="n">
        <v>44933</v>
      </c>
      <c r="C493" s="1" t="n">
        <v>45916</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2389-2023</t>
        </is>
      </c>
      <c r="B494" s="1" t="n">
        <v>44942</v>
      </c>
      <c r="C494" s="1" t="n">
        <v>45916</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48-2024</t>
        </is>
      </c>
      <c r="B495" s="1" t="n">
        <v>45293</v>
      </c>
      <c r="C495" s="1" t="n">
        <v>45916</v>
      </c>
      <c r="D495" t="inlineStr">
        <is>
          <t>ÖSTERGÖTLANDS LÄN</t>
        </is>
      </c>
      <c r="E495" t="inlineStr">
        <is>
          <t>LINKÖPING</t>
        </is>
      </c>
      <c r="G495" t="n">
        <v>4.6</v>
      </c>
      <c r="H495" t="n">
        <v>0</v>
      </c>
      <c r="I495" t="n">
        <v>0</v>
      </c>
      <c r="J495" t="n">
        <v>0</v>
      </c>
      <c r="K495" t="n">
        <v>0</v>
      </c>
      <c r="L495" t="n">
        <v>0</v>
      </c>
      <c r="M495" t="n">
        <v>0</v>
      </c>
      <c r="N495" t="n">
        <v>0</v>
      </c>
      <c r="O495" t="n">
        <v>0</v>
      </c>
      <c r="P495" t="n">
        <v>0</v>
      </c>
      <c r="Q495" t="n">
        <v>0</v>
      </c>
      <c r="R495" s="2" t="inlineStr"/>
    </row>
    <row r="496" ht="15" customHeight="1">
      <c r="A496" t="inlineStr">
        <is>
          <t>A 1362-2023</t>
        </is>
      </c>
      <c r="B496" s="1" t="n">
        <v>44931</v>
      </c>
      <c r="C496" s="1" t="n">
        <v>45916</v>
      </c>
      <c r="D496" t="inlineStr">
        <is>
          <t>ÖSTERGÖTLANDS LÄN</t>
        </is>
      </c>
      <c r="E496" t="inlineStr">
        <is>
          <t>LINKÖPING</t>
        </is>
      </c>
      <c r="G496" t="n">
        <v>1.8</v>
      </c>
      <c r="H496" t="n">
        <v>0</v>
      </c>
      <c r="I496" t="n">
        <v>0</v>
      </c>
      <c r="J496" t="n">
        <v>0</v>
      </c>
      <c r="K496" t="n">
        <v>0</v>
      </c>
      <c r="L496" t="n">
        <v>0</v>
      </c>
      <c r="M496" t="n">
        <v>0</v>
      </c>
      <c r="N496" t="n">
        <v>0</v>
      </c>
      <c r="O496" t="n">
        <v>0</v>
      </c>
      <c r="P496" t="n">
        <v>0</v>
      </c>
      <c r="Q496" t="n">
        <v>0</v>
      </c>
      <c r="R496" s="2" t="inlineStr"/>
    </row>
    <row r="497" ht="15" customHeight="1">
      <c r="A497" t="inlineStr">
        <is>
          <t>A 45771-2023</t>
        </is>
      </c>
      <c r="B497" s="1" t="n">
        <v>45195.4384375</v>
      </c>
      <c r="C497" s="1" t="n">
        <v>45916</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30547-2023</t>
        </is>
      </c>
      <c r="B498" s="1" t="n">
        <v>45111.75905092592</v>
      </c>
      <c r="C498" s="1" t="n">
        <v>45916</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40502-2024</t>
        </is>
      </c>
      <c r="B499" s="1" t="n">
        <v>45555.57263888889</v>
      </c>
      <c r="C499" s="1" t="n">
        <v>45916</v>
      </c>
      <c r="D499" t="inlineStr">
        <is>
          <t>ÖSTERGÖTLANDS LÄN</t>
        </is>
      </c>
      <c r="E499" t="inlineStr">
        <is>
          <t>LINKÖPING</t>
        </is>
      </c>
      <c r="F499" t="inlineStr">
        <is>
          <t>Allmännings- och besparingsskogar</t>
        </is>
      </c>
      <c r="G499" t="n">
        <v>17.5</v>
      </c>
      <c r="H499" t="n">
        <v>0</v>
      </c>
      <c r="I499" t="n">
        <v>0</v>
      </c>
      <c r="J499" t="n">
        <v>0</v>
      </c>
      <c r="K499" t="n">
        <v>0</v>
      </c>
      <c r="L499" t="n">
        <v>0</v>
      </c>
      <c r="M499" t="n">
        <v>0</v>
      </c>
      <c r="N499" t="n">
        <v>0</v>
      </c>
      <c r="O499" t="n">
        <v>0</v>
      </c>
      <c r="P499" t="n">
        <v>0</v>
      </c>
      <c r="Q499" t="n">
        <v>0</v>
      </c>
      <c r="R499" s="2" t="inlineStr"/>
    </row>
    <row r="500" ht="15" customHeight="1">
      <c r="A500" t="inlineStr">
        <is>
          <t>A 49928-2024</t>
        </is>
      </c>
      <c r="B500" s="1" t="n">
        <v>45597.57811342592</v>
      </c>
      <c r="C500" s="1" t="n">
        <v>45916</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3627-2023</t>
        </is>
      </c>
      <c r="B501" s="1" t="n">
        <v>44950.64782407408</v>
      </c>
      <c r="C501" s="1" t="n">
        <v>45916</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51405-2023</t>
        </is>
      </c>
      <c r="B502" s="1" t="n">
        <v>45219</v>
      </c>
      <c r="C502" s="1" t="n">
        <v>45916</v>
      </c>
      <c r="D502" t="inlineStr">
        <is>
          <t>ÖSTERGÖTLANDS LÄN</t>
        </is>
      </c>
      <c r="E502" t="inlineStr">
        <is>
          <t>LINKÖPING</t>
        </is>
      </c>
      <c r="F502" t="inlineStr">
        <is>
          <t>Övriga Aktiebolag</t>
        </is>
      </c>
      <c r="G502" t="n">
        <v>3</v>
      </c>
      <c r="H502" t="n">
        <v>0</v>
      </c>
      <c r="I502" t="n">
        <v>0</v>
      </c>
      <c r="J502" t="n">
        <v>0</v>
      </c>
      <c r="K502" t="n">
        <v>0</v>
      </c>
      <c r="L502" t="n">
        <v>0</v>
      </c>
      <c r="M502" t="n">
        <v>0</v>
      </c>
      <c r="N502" t="n">
        <v>0</v>
      </c>
      <c r="O502" t="n">
        <v>0</v>
      </c>
      <c r="P502" t="n">
        <v>0</v>
      </c>
      <c r="Q502" t="n">
        <v>0</v>
      </c>
      <c r="R502" s="2" t="inlineStr"/>
    </row>
    <row r="503" ht="15" customHeight="1">
      <c r="A503" t="inlineStr">
        <is>
          <t>A 11601-2023</t>
        </is>
      </c>
      <c r="B503" s="1" t="n">
        <v>44994</v>
      </c>
      <c r="C503" s="1" t="n">
        <v>45916</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40338-2024</t>
        </is>
      </c>
      <c r="B504" s="1" t="n">
        <v>45555.32940972222</v>
      </c>
      <c r="C504" s="1" t="n">
        <v>45916</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24464-2023</t>
        </is>
      </c>
      <c r="B505" s="1" t="n">
        <v>45082.58068287037</v>
      </c>
      <c r="C505" s="1" t="n">
        <v>45916</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24467-2023</t>
        </is>
      </c>
      <c r="B506" s="1" t="n">
        <v>45082</v>
      </c>
      <c r="C506" s="1" t="n">
        <v>45916</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167-2024</t>
        </is>
      </c>
      <c r="B507" s="1" t="n">
        <v>45294</v>
      </c>
      <c r="C507" s="1" t="n">
        <v>45916</v>
      </c>
      <c r="D507" t="inlineStr">
        <is>
          <t>ÖSTERGÖTLANDS LÄN</t>
        </is>
      </c>
      <c r="E507" t="inlineStr">
        <is>
          <t>LINKÖPING</t>
        </is>
      </c>
      <c r="F507" t="inlineStr">
        <is>
          <t>Allmännings- och besparingsskogar</t>
        </is>
      </c>
      <c r="G507" t="n">
        <v>11.6</v>
      </c>
      <c r="H507" t="n">
        <v>0</v>
      </c>
      <c r="I507" t="n">
        <v>0</v>
      </c>
      <c r="J507" t="n">
        <v>0</v>
      </c>
      <c r="K507" t="n">
        <v>0</v>
      </c>
      <c r="L507" t="n">
        <v>0</v>
      </c>
      <c r="M507" t="n">
        <v>0</v>
      </c>
      <c r="N507" t="n">
        <v>0</v>
      </c>
      <c r="O507" t="n">
        <v>0</v>
      </c>
      <c r="P507" t="n">
        <v>0</v>
      </c>
      <c r="Q507" t="n">
        <v>0</v>
      </c>
      <c r="R507" s="2" t="inlineStr"/>
    </row>
    <row r="508" ht="15" customHeight="1">
      <c r="A508" t="inlineStr">
        <is>
          <t>A 48389-2024</t>
        </is>
      </c>
      <c r="B508" s="1" t="n">
        <v>45590.59991898148</v>
      </c>
      <c r="C508" s="1" t="n">
        <v>45916</v>
      </c>
      <c r="D508" t="inlineStr">
        <is>
          <t>ÖSTERGÖTLANDS LÄN</t>
        </is>
      </c>
      <c r="E508" t="inlineStr">
        <is>
          <t>LINKÖPING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27186-2021</t>
        </is>
      </c>
      <c r="B509" s="1" t="n">
        <v>44350.67715277777</v>
      </c>
      <c r="C509" s="1" t="n">
        <v>45916</v>
      </c>
      <c r="D509" t="inlineStr">
        <is>
          <t>ÖSTERGÖTLANDS LÄN</t>
        </is>
      </c>
      <c r="E509" t="inlineStr">
        <is>
          <t>LINKÖPING</t>
        </is>
      </c>
      <c r="F509" t="inlineStr">
        <is>
          <t>Allmännings- och besparingsskogar</t>
        </is>
      </c>
      <c r="G509" t="n">
        <v>1.4</v>
      </c>
      <c r="H509" t="n">
        <v>0</v>
      </c>
      <c r="I509" t="n">
        <v>0</v>
      </c>
      <c r="J509" t="n">
        <v>0</v>
      </c>
      <c r="K509" t="n">
        <v>0</v>
      </c>
      <c r="L509" t="n">
        <v>0</v>
      </c>
      <c r="M509" t="n">
        <v>0</v>
      </c>
      <c r="N509" t="n">
        <v>0</v>
      </c>
      <c r="O509" t="n">
        <v>0</v>
      </c>
      <c r="P509" t="n">
        <v>0</v>
      </c>
      <c r="Q509" t="n">
        <v>0</v>
      </c>
      <c r="R509" s="2" t="inlineStr"/>
    </row>
    <row r="510" ht="15" customHeight="1">
      <c r="A510" t="inlineStr">
        <is>
          <t>A 7343-2025</t>
        </is>
      </c>
      <c r="B510" s="1" t="n">
        <v>45703.67853009259</v>
      </c>
      <c r="C510" s="1" t="n">
        <v>45916</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44170-2025</t>
        </is>
      </c>
      <c r="B511" s="1" t="n">
        <v>45915.59864583334</v>
      </c>
      <c r="C511" s="1" t="n">
        <v>45916</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56792-2023</t>
        </is>
      </c>
      <c r="B512" s="1" t="n">
        <v>45244</v>
      </c>
      <c r="C512" s="1" t="n">
        <v>45916</v>
      </c>
      <c r="D512" t="inlineStr">
        <is>
          <t>ÖSTERGÖTLANDS LÄN</t>
        </is>
      </c>
      <c r="E512" t="inlineStr">
        <is>
          <t>LINKÖPING</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13691-2025</t>
        </is>
      </c>
      <c r="B513" s="1" t="n">
        <v>45737.31671296297</v>
      </c>
      <c r="C513" s="1" t="n">
        <v>45916</v>
      </c>
      <c r="D513" t="inlineStr">
        <is>
          <t>ÖSTERGÖTLANDS LÄN</t>
        </is>
      </c>
      <c r="E513" t="inlineStr">
        <is>
          <t>LINKÖPING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43753-2025</t>
        </is>
      </c>
      <c r="B514" s="1" t="n">
        <v>45912.4715625</v>
      </c>
      <c r="C514" s="1" t="n">
        <v>45916</v>
      </c>
      <c r="D514" t="inlineStr">
        <is>
          <t>ÖSTERGÖTLANDS LÄN</t>
        </is>
      </c>
      <c r="E514" t="inlineStr">
        <is>
          <t>LINKÖPING</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43755-2025</t>
        </is>
      </c>
      <c r="B515" s="1" t="n">
        <v>45912.47329861111</v>
      </c>
      <c r="C515" s="1" t="n">
        <v>45916</v>
      </c>
      <c r="D515" t="inlineStr">
        <is>
          <t>ÖSTERGÖTLANDS LÄN</t>
        </is>
      </c>
      <c r="E515" t="inlineStr">
        <is>
          <t>LINKÖPING</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43758-2025</t>
        </is>
      </c>
      <c r="B516" s="1" t="n">
        <v>45912.47711805555</v>
      </c>
      <c r="C516" s="1" t="n">
        <v>45916</v>
      </c>
      <c r="D516" t="inlineStr">
        <is>
          <t>ÖSTERGÖTLANDS LÄN</t>
        </is>
      </c>
      <c r="E516" t="inlineStr">
        <is>
          <t>LINKÖPING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39017-2021</t>
        </is>
      </c>
      <c r="B517" s="1" t="n">
        <v>44412</v>
      </c>
      <c r="C517" s="1" t="n">
        <v>45916</v>
      </c>
      <c r="D517" t="inlineStr">
        <is>
          <t>ÖSTERGÖTLANDS LÄN</t>
        </is>
      </c>
      <c r="E517" t="inlineStr">
        <is>
          <t>LINKÖPING</t>
        </is>
      </c>
      <c r="F517" t="inlineStr">
        <is>
          <t>Övriga statliga verk och myndigheter</t>
        </is>
      </c>
      <c r="G517" t="n">
        <v>0.8</v>
      </c>
      <c r="H517" t="n">
        <v>0</v>
      </c>
      <c r="I517" t="n">
        <v>0</v>
      </c>
      <c r="J517" t="n">
        <v>0</v>
      </c>
      <c r="K517" t="n">
        <v>0</v>
      </c>
      <c r="L517" t="n">
        <v>0</v>
      </c>
      <c r="M517" t="n">
        <v>0</v>
      </c>
      <c r="N517" t="n">
        <v>0</v>
      </c>
      <c r="O517" t="n">
        <v>0</v>
      </c>
      <c r="P517" t="n">
        <v>0</v>
      </c>
      <c r="Q517" t="n">
        <v>0</v>
      </c>
      <c r="R517" s="2" t="inlineStr"/>
    </row>
    <row r="518" ht="15" customHeight="1">
      <c r="A518" t="inlineStr">
        <is>
          <t>A 25292-2021</t>
        </is>
      </c>
      <c r="B518" s="1" t="n">
        <v>44342</v>
      </c>
      <c r="C518" s="1" t="n">
        <v>45916</v>
      </c>
      <c r="D518" t="inlineStr">
        <is>
          <t>ÖSTERGÖTLANDS LÄN</t>
        </is>
      </c>
      <c r="E518" t="inlineStr">
        <is>
          <t>LINKÖPING</t>
        </is>
      </c>
      <c r="F518" t="inlineStr">
        <is>
          <t>Övriga Aktiebolag</t>
        </is>
      </c>
      <c r="G518" t="n">
        <v>12.8</v>
      </c>
      <c r="H518" t="n">
        <v>0</v>
      </c>
      <c r="I518" t="n">
        <v>0</v>
      </c>
      <c r="J518" t="n">
        <v>0</v>
      </c>
      <c r="K518" t="n">
        <v>0</v>
      </c>
      <c r="L518" t="n">
        <v>0</v>
      </c>
      <c r="M518" t="n">
        <v>0</v>
      </c>
      <c r="N518" t="n">
        <v>0</v>
      </c>
      <c r="O518" t="n">
        <v>0</v>
      </c>
      <c r="P518" t="n">
        <v>0</v>
      </c>
      <c r="Q518" t="n">
        <v>0</v>
      </c>
      <c r="R518" s="2" t="inlineStr"/>
    </row>
    <row r="519" ht="15" customHeight="1">
      <c r="A519" t="inlineStr">
        <is>
          <t>A 1260-2023</t>
        </is>
      </c>
      <c r="B519" s="1" t="n">
        <v>44936</v>
      </c>
      <c r="C519" s="1" t="n">
        <v>45916</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1355-2023</t>
        </is>
      </c>
      <c r="B520" s="1" t="n">
        <v>44931</v>
      </c>
      <c r="C520" s="1" t="n">
        <v>45916</v>
      </c>
      <c r="D520" t="inlineStr">
        <is>
          <t>ÖSTERGÖTLANDS LÄN</t>
        </is>
      </c>
      <c r="E520" t="inlineStr">
        <is>
          <t>LINKÖPING</t>
        </is>
      </c>
      <c r="G520" t="n">
        <v>4</v>
      </c>
      <c r="H520" t="n">
        <v>0</v>
      </c>
      <c r="I520" t="n">
        <v>0</v>
      </c>
      <c r="J520" t="n">
        <v>0</v>
      </c>
      <c r="K520" t="n">
        <v>0</v>
      </c>
      <c r="L520" t="n">
        <v>0</v>
      </c>
      <c r="M520" t="n">
        <v>0</v>
      </c>
      <c r="N520" t="n">
        <v>0</v>
      </c>
      <c r="O520" t="n">
        <v>0</v>
      </c>
      <c r="P520" t="n">
        <v>0</v>
      </c>
      <c r="Q520" t="n">
        <v>0</v>
      </c>
      <c r="R520" s="2" t="inlineStr"/>
    </row>
    <row r="521" ht="15" customHeight="1">
      <c r="A521" t="inlineStr">
        <is>
          <t>A 3007-2025</t>
        </is>
      </c>
      <c r="B521" s="1" t="n">
        <v>45678.56328703704</v>
      </c>
      <c r="C521" s="1" t="n">
        <v>45916</v>
      </c>
      <c r="D521" t="inlineStr">
        <is>
          <t>ÖSTERGÖTLANDS LÄN</t>
        </is>
      </c>
      <c r="E521" t="inlineStr">
        <is>
          <t>LINKÖPING</t>
        </is>
      </c>
      <c r="G521" t="n">
        <v>3.1</v>
      </c>
      <c r="H521" t="n">
        <v>0</v>
      </c>
      <c r="I521" t="n">
        <v>0</v>
      </c>
      <c r="J521" t="n">
        <v>0</v>
      </c>
      <c r="K521" t="n">
        <v>0</v>
      </c>
      <c r="L521" t="n">
        <v>0</v>
      </c>
      <c r="M521" t="n">
        <v>0</v>
      </c>
      <c r="N521" t="n">
        <v>0</v>
      </c>
      <c r="O521" t="n">
        <v>0</v>
      </c>
      <c r="P521" t="n">
        <v>0</v>
      </c>
      <c r="Q521" t="n">
        <v>0</v>
      </c>
      <c r="R521" s="2" t="inlineStr"/>
    </row>
    <row r="522" ht="15" customHeight="1">
      <c r="A522" t="inlineStr">
        <is>
          <t>A 10492-2022</t>
        </is>
      </c>
      <c r="B522" s="1" t="n">
        <v>44623.6377199074</v>
      </c>
      <c r="C522" s="1" t="n">
        <v>45916</v>
      </c>
      <c r="D522" t="inlineStr">
        <is>
          <t>ÖSTERGÖTLANDS LÄN</t>
        </is>
      </c>
      <c r="E522" t="inlineStr">
        <is>
          <t>LINKÖPING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30465-2023</t>
        </is>
      </c>
      <c r="B523" s="1" t="n">
        <v>45111</v>
      </c>
      <c r="C523" s="1" t="n">
        <v>45916</v>
      </c>
      <c r="D523" t="inlineStr">
        <is>
          <t>ÖSTERGÖTLANDS LÄN</t>
        </is>
      </c>
      <c r="E523" t="inlineStr">
        <is>
          <t>LINKÖPING</t>
        </is>
      </c>
      <c r="F523" t="inlineStr">
        <is>
          <t>Övriga Aktiebolag</t>
        </is>
      </c>
      <c r="G523" t="n">
        <v>0.7</v>
      </c>
      <c r="H523" t="n">
        <v>0</v>
      </c>
      <c r="I523" t="n">
        <v>0</v>
      </c>
      <c r="J523" t="n">
        <v>0</v>
      </c>
      <c r="K523" t="n">
        <v>0</v>
      </c>
      <c r="L523" t="n">
        <v>0</v>
      </c>
      <c r="M523" t="n">
        <v>0</v>
      </c>
      <c r="N523" t="n">
        <v>0</v>
      </c>
      <c r="O523" t="n">
        <v>0</v>
      </c>
      <c r="P523" t="n">
        <v>0</v>
      </c>
      <c r="Q523" t="n">
        <v>0</v>
      </c>
      <c r="R523" s="2" t="inlineStr"/>
    </row>
    <row r="524" ht="15" customHeight="1">
      <c r="A524" t="inlineStr">
        <is>
          <t>A 39021-2021</t>
        </is>
      </c>
      <c r="B524" s="1" t="n">
        <v>44412</v>
      </c>
      <c r="C524" s="1" t="n">
        <v>45916</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62353-2022</t>
        </is>
      </c>
      <c r="B525" s="1" t="n">
        <v>44923</v>
      </c>
      <c r="C525" s="1" t="n">
        <v>45916</v>
      </c>
      <c r="D525" t="inlineStr">
        <is>
          <t>ÖSTERGÖTLANDS LÄN</t>
        </is>
      </c>
      <c r="E525" t="inlineStr">
        <is>
          <t>LINKÖPING</t>
        </is>
      </c>
      <c r="F525" t="inlineStr">
        <is>
          <t>Allmännings- och besparingsskogar</t>
        </is>
      </c>
      <c r="G525" t="n">
        <v>1.7</v>
      </c>
      <c r="H525" t="n">
        <v>0</v>
      </c>
      <c r="I525" t="n">
        <v>0</v>
      </c>
      <c r="J525" t="n">
        <v>0</v>
      </c>
      <c r="K525" t="n">
        <v>0</v>
      </c>
      <c r="L525" t="n">
        <v>0</v>
      </c>
      <c r="M525" t="n">
        <v>0</v>
      </c>
      <c r="N525" t="n">
        <v>0</v>
      </c>
      <c r="O525" t="n">
        <v>0</v>
      </c>
      <c r="P525" t="n">
        <v>0</v>
      </c>
      <c r="Q525" t="n">
        <v>0</v>
      </c>
      <c r="R525" s="2" t="inlineStr"/>
    </row>
    <row r="526" ht="15" customHeight="1">
      <c r="A526" t="inlineStr">
        <is>
          <t>A 48271-2023</t>
        </is>
      </c>
      <c r="B526" s="1" t="n">
        <v>45205</v>
      </c>
      <c r="C526" s="1" t="n">
        <v>45916</v>
      </c>
      <c r="D526" t="inlineStr">
        <is>
          <t>ÖSTERGÖTLANDS LÄN</t>
        </is>
      </c>
      <c r="E526" t="inlineStr">
        <is>
          <t>LINKÖPING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30111-2024</t>
        </is>
      </c>
      <c r="B527" s="1" t="n">
        <v>45489.46947916667</v>
      </c>
      <c r="C527" s="1" t="n">
        <v>45916</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30119-2024</t>
        </is>
      </c>
      <c r="B528" s="1" t="n">
        <v>45489</v>
      </c>
      <c r="C528" s="1" t="n">
        <v>45916</v>
      </c>
      <c r="D528" t="inlineStr">
        <is>
          <t>ÖSTERGÖTLANDS LÄN</t>
        </is>
      </c>
      <c r="E528" t="inlineStr">
        <is>
          <t>LINKÖPING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12720-2022</t>
        </is>
      </c>
      <c r="B529" s="1" t="n">
        <v>44641</v>
      </c>
      <c r="C529" s="1" t="n">
        <v>45916</v>
      </c>
      <c r="D529" t="inlineStr">
        <is>
          <t>ÖSTERGÖTLANDS LÄN</t>
        </is>
      </c>
      <c r="E529" t="inlineStr">
        <is>
          <t>LINKÖPING</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62018-2024</t>
        </is>
      </c>
      <c r="B530" s="1" t="n">
        <v>45655.81387731482</v>
      </c>
      <c r="C530" s="1" t="n">
        <v>45916</v>
      </c>
      <c r="D530" t="inlineStr">
        <is>
          <t>ÖSTERGÖTLANDS LÄN</t>
        </is>
      </c>
      <c r="E530" t="inlineStr">
        <is>
          <t>LINKÖPING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29411-2023</t>
        </is>
      </c>
      <c r="B531" s="1" t="n">
        <v>45106.46225694445</v>
      </c>
      <c r="C531" s="1" t="n">
        <v>45916</v>
      </c>
      <c r="D531" t="inlineStr">
        <is>
          <t>ÖSTERGÖTLANDS LÄN</t>
        </is>
      </c>
      <c r="E531" t="inlineStr">
        <is>
          <t>LINKÖPING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29412-2023</t>
        </is>
      </c>
      <c r="B532" s="1" t="n">
        <v>45106.46359953703</v>
      </c>
      <c r="C532" s="1" t="n">
        <v>45916</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31792-2021</t>
        </is>
      </c>
      <c r="B533" s="1" t="n">
        <v>44369</v>
      </c>
      <c r="C533" s="1" t="n">
        <v>45916</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421-2024</t>
        </is>
      </c>
      <c r="B534" s="1" t="n">
        <v>45296.51877314815</v>
      </c>
      <c r="C534" s="1" t="n">
        <v>45916</v>
      </c>
      <c r="D534" t="inlineStr">
        <is>
          <t>ÖSTERGÖTLANDS LÄN</t>
        </is>
      </c>
      <c r="E534" t="inlineStr">
        <is>
          <t>LINKÖPING</t>
        </is>
      </c>
      <c r="G534" t="n">
        <v>3.7</v>
      </c>
      <c r="H534" t="n">
        <v>0</v>
      </c>
      <c r="I534" t="n">
        <v>0</v>
      </c>
      <c r="J534" t="n">
        <v>0</v>
      </c>
      <c r="K534" t="n">
        <v>0</v>
      </c>
      <c r="L534" t="n">
        <v>0</v>
      </c>
      <c r="M534" t="n">
        <v>0</v>
      </c>
      <c r="N534" t="n">
        <v>0</v>
      </c>
      <c r="O534" t="n">
        <v>0</v>
      </c>
      <c r="P534" t="n">
        <v>0</v>
      </c>
      <c r="Q534" t="n">
        <v>0</v>
      </c>
      <c r="R534" s="2" t="inlineStr"/>
    </row>
    <row r="535" ht="15" customHeight="1">
      <c r="A535" t="inlineStr">
        <is>
          <t>A 30551-2023</t>
        </is>
      </c>
      <c r="B535" s="1" t="n">
        <v>45111</v>
      </c>
      <c r="C535" s="1" t="n">
        <v>45916</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30860-2022</t>
        </is>
      </c>
      <c r="B536" s="1" t="n">
        <v>44767</v>
      </c>
      <c r="C536" s="1" t="n">
        <v>45916</v>
      </c>
      <c r="D536" t="inlineStr">
        <is>
          <t>ÖSTERGÖTLANDS LÄN</t>
        </is>
      </c>
      <c r="E536" t="inlineStr">
        <is>
          <t>LINKÖPING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22043-2023</t>
        </is>
      </c>
      <c r="B537" s="1" t="n">
        <v>45069.39050925926</v>
      </c>
      <c r="C537" s="1" t="n">
        <v>45916</v>
      </c>
      <c r="D537" t="inlineStr">
        <is>
          <t>ÖSTERGÖTLANDS LÄN</t>
        </is>
      </c>
      <c r="E537" t="inlineStr">
        <is>
          <t>LINKÖPING</t>
        </is>
      </c>
      <c r="G537" t="n">
        <v>5.9</v>
      </c>
      <c r="H537" t="n">
        <v>0</v>
      </c>
      <c r="I537" t="n">
        <v>0</v>
      </c>
      <c r="J537" t="n">
        <v>0</v>
      </c>
      <c r="K537" t="n">
        <v>0</v>
      </c>
      <c r="L537" t="n">
        <v>0</v>
      </c>
      <c r="M537" t="n">
        <v>0</v>
      </c>
      <c r="N537" t="n">
        <v>0</v>
      </c>
      <c r="O537" t="n">
        <v>0</v>
      </c>
      <c r="P537" t="n">
        <v>0</v>
      </c>
      <c r="Q537" t="n">
        <v>0</v>
      </c>
      <c r="R537" s="2" t="inlineStr"/>
    </row>
    <row r="538" ht="15" customHeight="1">
      <c r="A538" t="inlineStr">
        <is>
          <t>A 60004-2022</t>
        </is>
      </c>
      <c r="B538" s="1" t="n">
        <v>44909.47206018519</v>
      </c>
      <c r="C538" s="1" t="n">
        <v>45916</v>
      </c>
      <c r="D538" t="inlineStr">
        <is>
          <t>ÖSTERGÖTLANDS LÄN</t>
        </is>
      </c>
      <c r="E538" t="inlineStr">
        <is>
          <t>LINKÖPING</t>
        </is>
      </c>
      <c r="G538" t="n">
        <v>2.2</v>
      </c>
      <c r="H538" t="n">
        <v>0</v>
      </c>
      <c r="I538" t="n">
        <v>0</v>
      </c>
      <c r="J538" t="n">
        <v>0</v>
      </c>
      <c r="K538" t="n">
        <v>0</v>
      </c>
      <c r="L538" t="n">
        <v>0</v>
      </c>
      <c r="M538" t="n">
        <v>0</v>
      </c>
      <c r="N538" t="n">
        <v>0</v>
      </c>
      <c r="O538" t="n">
        <v>0</v>
      </c>
      <c r="P538" t="n">
        <v>0</v>
      </c>
      <c r="Q538" t="n">
        <v>0</v>
      </c>
      <c r="R538" s="2" t="inlineStr"/>
    </row>
    <row r="539" ht="15" customHeight="1">
      <c r="A539" t="inlineStr">
        <is>
          <t>A 60010-2022</t>
        </is>
      </c>
      <c r="B539" s="1" t="n">
        <v>44909.4740625</v>
      </c>
      <c r="C539" s="1" t="n">
        <v>45916</v>
      </c>
      <c r="D539" t="inlineStr">
        <is>
          <t>ÖSTERGÖTLANDS LÄN</t>
        </is>
      </c>
      <c r="E539" t="inlineStr">
        <is>
          <t>LINKÖPING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53827-2023</t>
        </is>
      </c>
      <c r="B540" s="1" t="n">
        <v>45230</v>
      </c>
      <c r="C540" s="1" t="n">
        <v>45916</v>
      </c>
      <c r="D540" t="inlineStr">
        <is>
          <t>ÖSTERGÖTLANDS LÄN</t>
        </is>
      </c>
      <c r="E540" t="inlineStr">
        <is>
          <t>LINKÖPING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61532-2021</t>
        </is>
      </c>
      <c r="B541" s="1" t="n">
        <v>44501</v>
      </c>
      <c r="C541" s="1" t="n">
        <v>45916</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14028-2024</t>
        </is>
      </c>
      <c r="B542" s="1" t="n">
        <v>45392</v>
      </c>
      <c r="C542" s="1" t="n">
        <v>45916</v>
      </c>
      <c r="D542" t="inlineStr">
        <is>
          <t>ÖSTERGÖTLANDS LÄN</t>
        </is>
      </c>
      <c r="E542" t="inlineStr">
        <is>
          <t>LINKÖPING</t>
        </is>
      </c>
      <c r="G542" t="n">
        <v>1.7</v>
      </c>
      <c r="H542" t="n">
        <v>0</v>
      </c>
      <c r="I542" t="n">
        <v>0</v>
      </c>
      <c r="J542" t="n">
        <v>0</v>
      </c>
      <c r="K542" t="n">
        <v>0</v>
      </c>
      <c r="L542" t="n">
        <v>0</v>
      </c>
      <c r="M542" t="n">
        <v>0</v>
      </c>
      <c r="N542" t="n">
        <v>0</v>
      </c>
      <c r="O542" t="n">
        <v>0</v>
      </c>
      <c r="P542" t="n">
        <v>0</v>
      </c>
      <c r="Q542" t="n">
        <v>0</v>
      </c>
      <c r="R542" s="2" t="inlineStr"/>
    </row>
    <row r="543" ht="15" customHeight="1">
      <c r="A543" t="inlineStr">
        <is>
          <t>A 40431-2024</t>
        </is>
      </c>
      <c r="B543" s="1" t="n">
        <v>45555.47070601852</v>
      </c>
      <c r="C543" s="1" t="n">
        <v>45916</v>
      </c>
      <c r="D543" t="inlineStr">
        <is>
          <t>ÖSTERGÖTLANDS LÄN</t>
        </is>
      </c>
      <c r="E543" t="inlineStr">
        <is>
          <t>LINKÖPING</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4256-2022</t>
        </is>
      </c>
      <c r="B544" s="1" t="n">
        <v>44588</v>
      </c>
      <c r="C544" s="1" t="n">
        <v>45916</v>
      </c>
      <c r="D544" t="inlineStr">
        <is>
          <t>ÖSTERGÖTLANDS LÄN</t>
        </is>
      </c>
      <c r="E544" t="inlineStr">
        <is>
          <t>LINKÖPING</t>
        </is>
      </c>
      <c r="G544" t="n">
        <v>1.4</v>
      </c>
      <c r="H544" t="n">
        <v>0</v>
      </c>
      <c r="I544" t="n">
        <v>0</v>
      </c>
      <c r="J544" t="n">
        <v>0</v>
      </c>
      <c r="K544" t="n">
        <v>0</v>
      </c>
      <c r="L544" t="n">
        <v>0</v>
      </c>
      <c r="M544" t="n">
        <v>0</v>
      </c>
      <c r="N544" t="n">
        <v>0</v>
      </c>
      <c r="O544" t="n">
        <v>0</v>
      </c>
      <c r="P544" t="n">
        <v>0</v>
      </c>
      <c r="Q544" t="n">
        <v>0</v>
      </c>
      <c r="R544" s="2" t="inlineStr"/>
    </row>
    <row r="545" ht="15" customHeight="1">
      <c r="A545" t="inlineStr">
        <is>
          <t>A 61649-2023</t>
        </is>
      </c>
      <c r="B545" s="1" t="n">
        <v>45265</v>
      </c>
      <c r="C545" s="1" t="n">
        <v>45916</v>
      </c>
      <c r="D545" t="inlineStr">
        <is>
          <t>ÖSTERGÖTLANDS LÄN</t>
        </is>
      </c>
      <c r="E545" t="inlineStr">
        <is>
          <t>LINKÖPING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60860-2024</t>
        </is>
      </c>
      <c r="B546" s="1" t="n">
        <v>45644.6893287037</v>
      </c>
      <c r="C546" s="1" t="n">
        <v>45916</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223-2024</t>
        </is>
      </c>
      <c r="B547" s="1" t="n">
        <v>45294.72739583333</v>
      </c>
      <c r="C547" s="1" t="n">
        <v>45916</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2697-2023</t>
        </is>
      </c>
      <c r="B548" s="1" t="n">
        <v>44944</v>
      </c>
      <c r="C548" s="1" t="n">
        <v>45916</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19464-2024</t>
        </is>
      </c>
      <c r="B549" s="1" t="n">
        <v>45429</v>
      </c>
      <c r="C549" s="1" t="n">
        <v>45916</v>
      </c>
      <c r="D549" t="inlineStr">
        <is>
          <t>ÖSTERGÖTLANDS LÄN</t>
        </is>
      </c>
      <c r="E549" t="inlineStr">
        <is>
          <t>LINKÖPING</t>
        </is>
      </c>
      <c r="G549" t="n">
        <v>2.7</v>
      </c>
      <c r="H549" t="n">
        <v>0</v>
      </c>
      <c r="I549" t="n">
        <v>0</v>
      </c>
      <c r="J549" t="n">
        <v>0</v>
      </c>
      <c r="K549" t="n">
        <v>0</v>
      </c>
      <c r="L549" t="n">
        <v>0</v>
      </c>
      <c r="M549" t="n">
        <v>0</v>
      </c>
      <c r="N549" t="n">
        <v>0</v>
      </c>
      <c r="O549" t="n">
        <v>0</v>
      </c>
      <c r="P549" t="n">
        <v>0</v>
      </c>
      <c r="Q549" t="n">
        <v>0</v>
      </c>
      <c r="R549" s="2" t="inlineStr"/>
    </row>
    <row r="550" ht="15" customHeight="1">
      <c r="A550" t="inlineStr">
        <is>
          <t>A 45806-2024</t>
        </is>
      </c>
      <c r="B550" s="1" t="n">
        <v>45579.69619212963</v>
      </c>
      <c r="C550" s="1" t="n">
        <v>45916</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56756-2023</t>
        </is>
      </c>
      <c r="B551" s="1" t="n">
        <v>45244</v>
      </c>
      <c r="C551" s="1" t="n">
        <v>45916</v>
      </c>
      <c r="D551" t="inlineStr">
        <is>
          <t>ÖSTERGÖTLANDS LÄN</t>
        </is>
      </c>
      <c r="E551" t="inlineStr">
        <is>
          <t>LINKÖPING</t>
        </is>
      </c>
      <c r="F551" t="inlineStr">
        <is>
          <t>Övriga Aktiebolag</t>
        </is>
      </c>
      <c r="G551" t="n">
        <v>0.8</v>
      </c>
      <c r="H551" t="n">
        <v>0</v>
      </c>
      <c r="I551" t="n">
        <v>0</v>
      </c>
      <c r="J551" t="n">
        <v>0</v>
      </c>
      <c r="K551" t="n">
        <v>0</v>
      </c>
      <c r="L551" t="n">
        <v>0</v>
      </c>
      <c r="M551" t="n">
        <v>0</v>
      </c>
      <c r="N551" t="n">
        <v>0</v>
      </c>
      <c r="O551" t="n">
        <v>0</v>
      </c>
      <c r="P551" t="n">
        <v>0</v>
      </c>
      <c r="Q551" t="n">
        <v>0</v>
      </c>
      <c r="R551" s="2" t="inlineStr"/>
    </row>
    <row r="552" ht="15" customHeight="1">
      <c r="A552" t="inlineStr">
        <is>
          <t>A 630-2024</t>
        </is>
      </c>
      <c r="B552" s="1" t="n">
        <v>45299.67736111111</v>
      </c>
      <c r="C552" s="1" t="n">
        <v>45916</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60985-2023</t>
        </is>
      </c>
      <c r="B553" s="1" t="n">
        <v>45261.48429398148</v>
      </c>
      <c r="C553" s="1" t="n">
        <v>45916</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30433-2024</t>
        </is>
      </c>
      <c r="B554" s="1" t="n">
        <v>45491.69741898148</v>
      </c>
      <c r="C554" s="1" t="n">
        <v>45916</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24904-2024</t>
        </is>
      </c>
      <c r="B555" s="1" t="n">
        <v>45461</v>
      </c>
      <c r="C555" s="1" t="n">
        <v>45916</v>
      </c>
      <c r="D555" t="inlineStr">
        <is>
          <t>ÖSTERGÖTLANDS LÄN</t>
        </is>
      </c>
      <c r="E555" t="inlineStr">
        <is>
          <t>LINKÖPING</t>
        </is>
      </c>
      <c r="G555" t="n">
        <v>3.8</v>
      </c>
      <c r="H555" t="n">
        <v>0</v>
      </c>
      <c r="I555" t="n">
        <v>0</v>
      </c>
      <c r="J555" t="n">
        <v>0</v>
      </c>
      <c r="K555" t="n">
        <v>0</v>
      </c>
      <c r="L555" t="n">
        <v>0</v>
      </c>
      <c r="M555" t="n">
        <v>0</v>
      </c>
      <c r="N555" t="n">
        <v>0</v>
      </c>
      <c r="O555" t="n">
        <v>0</v>
      </c>
      <c r="P555" t="n">
        <v>0</v>
      </c>
      <c r="Q555" t="n">
        <v>0</v>
      </c>
      <c r="R555" s="2" t="inlineStr"/>
    </row>
    <row r="556" ht="15" customHeight="1">
      <c r="A556" t="inlineStr">
        <is>
          <t>A 55009-2023</t>
        </is>
      </c>
      <c r="B556" s="1" t="n">
        <v>45237</v>
      </c>
      <c r="C556" s="1" t="n">
        <v>45916</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34872-2023</t>
        </is>
      </c>
      <c r="B557" s="1" t="n">
        <v>45140</v>
      </c>
      <c r="C557" s="1" t="n">
        <v>45916</v>
      </c>
      <c r="D557" t="inlineStr">
        <is>
          <t>ÖSTERGÖTLANDS LÄN</t>
        </is>
      </c>
      <c r="E557" t="inlineStr">
        <is>
          <t>LINKÖPING</t>
        </is>
      </c>
      <c r="G557" t="n">
        <v>4.8</v>
      </c>
      <c r="H557" t="n">
        <v>0</v>
      </c>
      <c r="I557" t="n">
        <v>0</v>
      </c>
      <c r="J557" t="n">
        <v>0</v>
      </c>
      <c r="K557" t="n">
        <v>0</v>
      </c>
      <c r="L557" t="n">
        <v>0</v>
      </c>
      <c r="M557" t="n">
        <v>0</v>
      </c>
      <c r="N557" t="n">
        <v>0</v>
      </c>
      <c r="O557" t="n">
        <v>0</v>
      </c>
      <c r="P557" t="n">
        <v>0</v>
      </c>
      <c r="Q557" t="n">
        <v>0</v>
      </c>
      <c r="R557" s="2" t="inlineStr"/>
    </row>
    <row r="558" ht="15" customHeight="1">
      <c r="A558" t="inlineStr">
        <is>
          <t>A 63528-2023</t>
        </is>
      </c>
      <c r="B558" s="1" t="n">
        <v>45274.94810185185</v>
      </c>
      <c r="C558" s="1" t="n">
        <v>45916</v>
      </c>
      <c r="D558" t="inlineStr">
        <is>
          <t>ÖSTERGÖTLANDS LÄN</t>
        </is>
      </c>
      <c r="E558" t="inlineStr">
        <is>
          <t>LINKÖPING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36336-2022</t>
        </is>
      </c>
      <c r="B559" s="1" t="n">
        <v>44803</v>
      </c>
      <c r="C559" s="1" t="n">
        <v>45916</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61936-2023</t>
        </is>
      </c>
      <c r="B560" s="1" t="n">
        <v>45266.54534722222</v>
      </c>
      <c r="C560" s="1" t="n">
        <v>45916</v>
      </c>
      <c r="D560" t="inlineStr">
        <is>
          <t>ÖSTERGÖTLANDS LÄN</t>
        </is>
      </c>
      <c r="E560" t="inlineStr">
        <is>
          <t>LINKÖPING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62492-2023</t>
        </is>
      </c>
      <c r="B561" s="1" t="n">
        <v>45268.58987268519</v>
      </c>
      <c r="C561" s="1" t="n">
        <v>45916</v>
      </c>
      <c r="D561" t="inlineStr">
        <is>
          <t>ÖSTERGÖTLANDS LÄN</t>
        </is>
      </c>
      <c r="E561" t="inlineStr">
        <is>
          <t>LINKÖPING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50471-2024</t>
        </is>
      </c>
      <c r="B562" s="1" t="n">
        <v>45601.47166666666</v>
      </c>
      <c r="C562" s="1" t="n">
        <v>45916</v>
      </c>
      <c r="D562" t="inlineStr">
        <is>
          <t>ÖSTERGÖTLANDS LÄN</t>
        </is>
      </c>
      <c r="E562" t="inlineStr">
        <is>
          <t>LINKÖPING</t>
        </is>
      </c>
      <c r="F562" t="inlineStr">
        <is>
          <t>Övriga Aktiebolag</t>
        </is>
      </c>
      <c r="G562" t="n">
        <v>2</v>
      </c>
      <c r="H562" t="n">
        <v>0</v>
      </c>
      <c r="I562" t="n">
        <v>0</v>
      </c>
      <c r="J562" t="n">
        <v>0</v>
      </c>
      <c r="K562" t="n">
        <v>0</v>
      </c>
      <c r="L562" t="n">
        <v>0</v>
      </c>
      <c r="M562" t="n">
        <v>0</v>
      </c>
      <c r="N562" t="n">
        <v>0</v>
      </c>
      <c r="O562" t="n">
        <v>0</v>
      </c>
      <c r="P562" t="n">
        <v>0</v>
      </c>
      <c r="Q562" t="n">
        <v>0</v>
      </c>
      <c r="R562" s="2" t="inlineStr"/>
    </row>
    <row r="563" ht="15" customHeight="1">
      <c r="A563" t="inlineStr">
        <is>
          <t>A 674-2024</t>
        </is>
      </c>
      <c r="B563" s="1" t="n">
        <v>45300.34408564815</v>
      </c>
      <c r="C563" s="1" t="n">
        <v>45916</v>
      </c>
      <c r="D563" t="inlineStr">
        <is>
          <t>ÖSTERGÖTLANDS LÄN</t>
        </is>
      </c>
      <c r="E563" t="inlineStr">
        <is>
          <t>LINKÖPING</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25097-2023</t>
        </is>
      </c>
      <c r="B564" s="1" t="n">
        <v>45086</v>
      </c>
      <c r="C564" s="1" t="n">
        <v>45916</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15307-2025</t>
        </is>
      </c>
      <c r="B565" s="1" t="n">
        <v>45746.70038194444</v>
      </c>
      <c r="C565" s="1" t="n">
        <v>45916</v>
      </c>
      <c r="D565" t="inlineStr">
        <is>
          <t>ÖSTERGÖTLANDS LÄN</t>
        </is>
      </c>
      <c r="E565" t="inlineStr">
        <is>
          <t>LINKÖPING</t>
        </is>
      </c>
      <c r="G565" t="n">
        <v>3.3</v>
      </c>
      <c r="H565" t="n">
        <v>0</v>
      </c>
      <c r="I565" t="n">
        <v>0</v>
      </c>
      <c r="J565" t="n">
        <v>0</v>
      </c>
      <c r="K565" t="n">
        <v>0</v>
      </c>
      <c r="L565" t="n">
        <v>0</v>
      </c>
      <c r="M565" t="n">
        <v>0</v>
      </c>
      <c r="N565" t="n">
        <v>0</v>
      </c>
      <c r="O565" t="n">
        <v>0</v>
      </c>
      <c r="P565" t="n">
        <v>0</v>
      </c>
      <c r="Q565" t="n">
        <v>0</v>
      </c>
      <c r="R565" s="2" t="inlineStr"/>
    </row>
    <row r="566" ht="15" customHeight="1">
      <c r="A566" t="inlineStr">
        <is>
          <t>A 6782-2024</t>
        </is>
      </c>
      <c r="B566" s="1" t="n">
        <v>45342</v>
      </c>
      <c r="C566" s="1" t="n">
        <v>45916</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10461-2023</t>
        </is>
      </c>
      <c r="B567" s="1" t="n">
        <v>44987.5969212963</v>
      </c>
      <c r="C567" s="1" t="n">
        <v>45916</v>
      </c>
      <c r="D567" t="inlineStr">
        <is>
          <t>ÖSTERGÖTLANDS LÄN</t>
        </is>
      </c>
      <c r="E567" t="inlineStr">
        <is>
          <t>LINKÖPING</t>
        </is>
      </c>
      <c r="G567" t="n">
        <v>7.8</v>
      </c>
      <c r="H567" t="n">
        <v>0</v>
      </c>
      <c r="I567" t="n">
        <v>0</v>
      </c>
      <c r="J567" t="n">
        <v>0</v>
      </c>
      <c r="K567" t="n">
        <v>0</v>
      </c>
      <c r="L567" t="n">
        <v>0</v>
      </c>
      <c r="M567" t="n">
        <v>0</v>
      </c>
      <c r="N567" t="n">
        <v>0</v>
      </c>
      <c r="O567" t="n">
        <v>0</v>
      </c>
      <c r="P567" t="n">
        <v>0</v>
      </c>
      <c r="Q567" t="n">
        <v>0</v>
      </c>
      <c r="R567" s="2" t="inlineStr"/>
    </row>
    <row r="568" ht="15" customHeight="1">
      <c r="A568" t="inlineStr">
        <is>
          <t>A 10094-2024</t>
        </is>
      </c>
      <c r="B568" s="1" t="n">
        <v>45364</v>
      </c>
      <c r="C568" s="1" t="n">
        <v>45916</v>
      </c>
      <c r="D568" t="inlineStr">
        <is>
          <t>ÖSTERGÖTLANDS LÄN</t>
        </is>
      </c>
      <c r="E568" t="inlineStr">
        <is>
          <t>LINKÖPING</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63684-2023</t>
        </is>
      </c>
      <c r="B569" s="1" t="n">
        <v>45275</v>
      </c>
      <c r="C569" s="1" t="n">
        <v>45916</v>
      </c>
      <c r="D569" t="inlineStr">
        <is>
          <t>ÖSTERGÖTLANDS LÄN</t>
        </is>
      </c>
      <c r="E569" t="inlineStr">
        <is>
          <t>LINKÖPING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63688-2023</t>
        </is>
      </c>
      <c r="B570" s="1" t="n">
        <v>45275</v>
      </c>
      <c r="C570" s="1" t="n">
        <v>45916</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63691-2023</t>
        </is>
      </c>
      <c r="B571" s="1" t="n">
        <v>45275</v>
      </c>
      <c r="C571" s="1" t="n">
        <v>45916</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36657-2023</t>
        </is>
      </c>
      <c r="B572" s="1" t="n">
        <v>45153.5702662037</v>
      </c>
      <c r="C572" s="1" t="n">
        <v>45916</v>
      </c>
      <c r="D572" t="inlineStr">
        <is>
          <t>ÖSTERGÖTLANDS LÄN</t>
        </is>
      </c>
      <c r="E572" t="inlineStr">
        <is>
          <t>LINKÖPING</t>
        </is>
      </c>
      <c r="F572" t="inlineStr">
        <is>
          <t>Allmännings- och besparingsskogar</t>
        </is>
      </c>
      <c r="G572" t="n">
        <v>2</v>
      </c>
      <c r="H572" t="n">
        <v>0</v>
      </c>
      <c r="I572" t="n">
        <v>0</v>
      </c>
      <c r="J572" t="n">
        <v>0</v>
      </c>
      <c r="K572" t="n">
        <v>0</v>
      </c>
      <c r="L572" t="n">
        <v>0</v>
      </c>
      <c r="M572" t="n">
        <v>0</v>
      </c>
      <c r="N572" t="n">
        <v>0</v>
      </c>
      <c r="O572" t="n">
        <v>0</v>
      </c>
      <c r="P572" t="n">
        <v>0</v>
      </c>
      <c r="Q572" t="n">
        <v>0</v>
      </c>
      <c r="R572" s="2" t="inlineStr"/>
    </row>
    <row r="573" ht="15" customHeight="1">
      <c r="A573" t="inlineStr">
        <is>
          <t>A 50386-2021</t>
        </is>
      </c>
      <c r="B573" s="1" t="n">
        <v>44459</v>
      </c>
      <c r="C573" s="1" t="n">
        <v>45916</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14667-2024</t>
        </is>
      </c>
      <c r="B574" s="1" t="n">
        <v>45397.42005787037</v>
      </c>
      <c r="C574" s="1" t="n">
        <v>45916</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350-2022</t>
        </is>
      </c>
      <c r="B575" s="1" t="n">
        <v>44565</v>
      </c>
      <c r="C575" s="1" t="n">
        <v>45916</v>
      </c>
      <c r="D575" t="inlineStr">
        <is>
          <t>ÖSTERGÖTLANDS LÄN</t>
        </is>
      </c>
      <c r="E575" t="inlineStr">
        <is>
          <t>LINKÖPING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18891-2022</t>
        </is>
      </c>
      <c r="B576" s="1" t="n">
        <v>44690</v>
      </c>
      <c r="C576" s="1" t="n">
        <v>45916</v>
      </c>
      <c r="D576" t="inlineStr">
        <is>
          <t>ÖSTERGÖTLANDS LÄN</t>
        </is>
      </c>
      <c r="E576" t="inlineStr">
        <is>
          <t>LINKÖPING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30976-2022</t>
        </is>
      </c>
      <c r="B577" s="1" t="n">
        <v>44768</v>
      </c>
      <c r="C577" s="1" t="n">
        <v>45916</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55736-2022</t>
        </is>
      </c>
      <c r="B578" s="1" t="n">
        <v>44888</v>
      </c>
      <c r="C578" s="1" t="n">
        <v>45916</v>
      </c>
      <c r="D578" t="inlineStr">
        <is>
          <t>ÖSTERGÖTLANDS LÄN</t>
        </is>
      </c>
      <c r="E578" t="inlineStr">
        <is>
          <t>LINKÖPING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15714-2024</t>
        </is>
      </c>
      <c r="B579" s="1" t="n">
        <v>45404.48288194444</v>
      </c>
      <c r="C579" s="1" t="n">
        <v>45916</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10194-2023</t>
        </is>
      </c>
      <c r="B580" s="1" t="n">
        <v>44986.52277777778</v>
      </c>
      <c r="C580" s="1" t="n">
        <v>45916</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16200-2025</t>
        </is>
      </c>
      <c r="B581" s="1" t="n">
        <v>45750.61050925926</v>
      </c>
      <c r="C581" s="1" t="n">
        <v>45916</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37715-2022</t>
        </is>
      </c>
      <c r="B582" s="1" t="n">
        <v>44810</v>
      </c>
      <c r="C582" s="1" t="n">
        <v>45916</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30429-2024</t>
        </is>
      </c>
      <c r="B583" s="1" t="n">
        <v>45491.68972222223</v>
      </c>
      <c r="C583" s="1" t="n">
        <v>45916</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30435-2024</t>
        </is>
      </c>
      <c r="B584" s="1" t="n">
        <v>45491.69962962963</v>
      </c>
      <c r="C584" s="1" t="n">
        <v>45916</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4927-2021</t>
        </is>
      </c>
      <c r="B585" s="1" t="n">
        <v>44227.57215277778</v>
      </c>
      <c r="C585" s="1" t="n">
        <v>45916</v>
      </c>
      <c r="D585" t="inlineStr">
        <is>
          <t>ÖSTERGÖTLANDS LÄN</t>
        </is>
      </c>
      <c r="E585" t="inlineStr">
        <is>
          <t>LINKÖPING</t>
        </is>
      </c>
      <c r="G585" t="n">
        <v>0.3</v>
      </c>
      <c r="H585" t="n">
        <v>0</v>
      </c>
      <c r="I585" t="n">
        <v>0</v>
      </c>
      <c r="J585" t="n">
        <v>0</v>
      </c>
      <c r="K585" t="n">
        <v>0</v>
      </c>
      <c r="L585" t="n">
        <v>0</v>
      </c>
      <c r="M585" t="n">
        <v>0</v>
      </c>
      <c r="N585" t="n">
        <v>0</v>
      </c>
      <c r="O585" t="n">
        <v>0</v>
      </c>
      <c r="P585" t="n">
        <v>0</v>
      </c>
      <c r="Q585" t="n">
        <v>0</v>
      </c>
      <c r="R585" s="2" t="inlineStr"/>
    </row>
    <row r="586" ht="15" customHeight="1">
      <c r="A586" t="inlineStr">
        <is>
          <t>A 38231-2022</t>
        </is>
      </c>
      <c r="B586" s="1" t="n">
        <v>44812</v>
      </c>
      <c r="C586" s="1" t="n">
        <v>45916</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34557-2022</t>
        </is>
      </c>
      <c r="B587" s="1" t="n">
        <v>44794.57074074074</v>
      </c>
      <c r="C587" s="1" t="n">
        <v>45916</v>
      </c>
      <c r="D587" t="inlineStr">
        <is>
          <t>ÖSTERGÖTLANDS LÄN</t>
        </is>
      </c>
      <c r="E587" t="inlineStr">
        <is>
          <t>LINKÖPING</t>
        </is>
      </c>
      <c r="G587" t="n">
        <v>1.8</v>
      </c>
      <c r="H587" t="n">
        <v>0</v>
      </c>
      <c r="I587" t="n">
        <v>0</v>
      </c>
      <c r="J587" t="n">
        <v>0</v>
      </c>
      <c r="K587" t="n">
        <v>0</v>
      </c>
      <c r="L587" t="n">
        <v>0</v>
      </c>
      <c r="M587" t="n">
        <v>0</v>
      </c>
      <c r="N587" t="n">
        <v>0</v>
      </c>
      <c r="O587" t="n">
        <v>0</v>
      </c>
      <c r="P587" t="n">
        <v>0</v>
      </c>
      <c r="Q587" t="n">
        <v>0</v>
      </c>
      <c r="R587" s="2" t="inlineStr"/>
    </row>
    <row r="588" ht="15" customHeight="1">
      <c r="A588" t="inlineStr">
        <is>
          <t>A 13011-2022</t>
        </is>
      </c>
      <c r="B588" s="1" t="n">
        <v>44643</v>
      </c>
      <c r="C588" s="1" t="n">
        <v>45916</v>
      </c>
      <c r="D588" t="inlineStr">
        <is>
          <t>ÖSTERGÖTLANDS LÄN</t>
        </is>
      </c>
      <c r="E588" t="inlineStr">
        <is>
          <t>LINKÖPING</t>
        </is>
      </c>
      <c r="G588" t="n">
        <v>3.7</v>
      </c>
      <c r="H588" t="n">
        <v>0</v>
      </c>
      <c r="I588" t="n">
        <v>0</v>
      </c>
      <c r="J588" t="n">
        <v>0</v>
      </c>
      <c r="K588" t="n">
        <v>0</v>
      </c>
      <c r="L588" t="n">
        <v>0</v>
      </c>
      <c r="M588" t="n">
        <v>0</v>
      </c>
      <c r="N588" t="n">
        <v>0</v>
      </c>
      <c r="O588" t="n">
        <v>0</v>
      </c>
      <c r="P588" t="n">
        <v>0</v>
      </c>
      <c r="Q588" t="n">
        <v>0</v>
      </c>
      <c r="R588" s="2" t="inlineStr"/>
    </row>
    <row r="589" ht="15" customHeight="1">
      <c r="A589" t="inlineStr">
        <is>
          <t>A 617-2024</t>
        </is>
      </c>
      <c r="B589" s="1" t="n">
        <v>45299.66028935185</v>
      </c>
      <c r="C589" s="1" t="n">
        <v>45916</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7702-2023</t>
        </is>
      </c>
      <c r="B590" s="1" t="n">
        <v>44967</v>
      </c>
      <c r="C590" s="1" t="n">
        <v>45916</v>
      </c>
      <c r="D590" t="inlineStr">
        <is>
          <t>ÖSTERGÖTLANDS LÄN</t>
        </is>
      </c>
      <c r="E590" t="inlineStr">
        <is>
          <t>LINKÖPING</t>
        </is>
      </c>
      <c r="F590" t="inlineStr">
        <is>
          <t>Övriga statliga verk och myndigheter</t>
        </is>
      </c>
      <c r="G590" t="n">
        <v>8</v>
      </c>
      <c r="H590" t="n">
        <v>0</v>
      </c>
      <c r="I590" t="n">
        <v>0</v>
      </c>
      <c r="J590" t="n">
        <v>0</v>
      </c>
      <c r="K590" t="n">
        <v>0</v>
      </c>
      <c r="L590" t="n">
        <v>0</v>
      </c>
      <c r="M590" t="n">
        <v>0</v>
      </c>
      <c r="N590" t="n">
        <v>0</v>
      </c>
      <c r="O590" t="n">
        <v>0</v>
      </c>
      <c r="P590" t="n">
        <v>0</v>
      </c>
      <c r="Q590" t="n">
        <v>0</v>
      </c>
      <c r="R590" s="2" t="inlineStr"/>
    </row>
    <row r="591" ht="15" customHeight="1">
      <c r="A591" t="inlineStr">
        <is>
          <t>A 42000-2023</t>
        </is>
      </c>
      <c r="B591" s="1" t="n">
        <v>45177</v>
      </c>
      <c r="C591" s="1" t="n">
        <v>45916</v>
      </c>
      <c r="D591" t="inlineStr">
        <is>
          <t>ÖSTERGÖTLANDS LÄN</t>
        </is>
      </c>
      <c r="E591" t="inlineStr">
        <is>
          <t>LINKÖPING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31534-2023</t>
        </is>
      </c>
      <c r="B592" s="1" t="n">
        <v>45116</v>
      </c>
      <c r="C592" s="1" t="n">
        <v>45916</v>
      </c>
      <c r="D592" t="inlineStr">
        <is>
          <t>ÖSTERGÖTLANDS LÄN</t>
        </is>
      </c>
      <c r="E592" t="inlineStr">
        <is>
          <t>LINKÖPING</t>
        </is>
      </c>
      <c r="G592" t="n">
        <v>1.5</v>
      </c>
      <c r="H592" t="n">
        <v>0</v>
      </c>
      <c r="I592" t="n">
        <v>0</v>
      </c>
      <c r="J592" t="n">
        <v>0</v>
      </c>
      <c r="K592" t="n">
        <v>0</v>
      </c>
      <c r="L592" t="n">
        <v>0</v>
      </c>
      <c r="M592" t="n">
        <v>0</v>
      </c>
      <c r="N592" t="n">
        <v>0</v>
      </c>
      <c r="O592" t="n">
        <v>0</v>
      </c>
      <c r="P592" t="n">
        <v>0</v>
      </c>
      <c r="Q592" t="n">
        <v>0</v>
      </c>
      <c r="R592" s="2" t="inlineStr"/>
    </row>
    <row r="593" ht="15" customHeight="1">
      <c r="A593" t="inlineStr">
        <is>
          <t>A 35427-2023</t>
        </is>
      </c>
      <c r="B593" s="1" t="n">
        <v>45146</v>
      </c>
      <c r="C593" s="1" t="n">
        <v>45916</v>
      </c>
      <c r="D593" t="inlineStr">
        <is>
          <t>ÖSTERGÖTLANDS LÄN</t>
        </is>
      </c>
      <c r="E593" t="inlineStr">
        <is>
          <t>LINKÖPING</t>
        </is>
      </c>
      <c r="F593" t="inlineStr">
        <is>
          <t>Övriga Aktiebolag</t>
        </is>
      </c>
      <c r="G593" t="n">
        <v>2.5</v>
      </c>
      <c r="H593" t="n">
        <v>0</v>
      </c>
      <c r="I593" t="n">
        <v>0</v>
      </c>
      <c r="J593" t="n">
        <v>0</v>
      </c>
      <c r="K593" t="n">
        <v>0</v>
      </c>
      <c r="L593" t="n">
        <v>0</v>
      </c>
      <c r="M593" t="n">
        <v>0</v>
      </c>
      <c r="N593" t="n">
        <v>0</v>
      </c>
      <c r="O593" t="n">
        <v>0</v>
      </c>
      <c r="P593" t="n">
        <v>0</v>
      </c>
      <c r="Q593" t="n">
        <v>0</v>
      </c>
      <c r="R593" s="2" t="inlineStr"/>
    </row>
    <row r="594" ht="15" customHeight="1">
      <c r="A594" t="inlineStr">
        <is>
          <t>A 36725-2023</t>
        </is>
      </c>
      <c r="B594" s="1" t="n">
        <v>45153.68471064815</v>
      </c>
      <c r="C594" s="1" t="n">
        <v>45916</v>
      </c>
      <c r="D594" t="inlineStr">
        <is>
          <t>ÖSTERGÖTLANDS LÄN</t>
        </is>
      </c>
      <c r="E594" t="inlineStr">
        <is>
          <t>LINKÖPING</t>
        </is>
      </c>
      <c r="F594" t="inlineStr">
        <is>
          <t>Allmännings- och besparingsskogar</t>
        </is>
      </c>
      <c r="G594" t="n">
        <v>2.6</v>
      </c>
      <c r="H594" t="n">
        <v>0</v>
      </c>
      <c r="I594" t="n">
        <v>0</v>
      </c>
      <c r="J594" t="n">
        <v>0</v>
      </c>
      <c r="K594" t="n">
        <v>0</v>
      </c>
      <c r="L594" t="n">
        <v>0</v>
      </c>
      <c r="M594" t="n">
        <v>0</v>
      </c>
      <c r="N594" t="n">
        <v>0</v>
      </c>
      <c r="O594" t="n">
        <v>0</v>
      </c>
      <c r="P594" t="n">
        <v>0</v>
      </c>
      <c r="Q594" t="n">
        <v>0</v>
      </c>
      <c r="R594" s="2" t="inlineStr"/>
    </row>
    <row r="595" ht="15" customHeight="1">
      <c r="A595" t="inlineStr">
        <is>
          <t>A 53639-2023</t>
        </is>
      </c>
      <c r="B595" s="1" t="n">
        <v>45230.59686342593</v>
      </c>
      <c r="C595" s="1" t="n">
        <v>45916</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1657-2024</t>
        </is>
      </c>
      <c r="B596" s="1" t="n">
        <v>45306.82501157407</v>
      </c>
      <c r="C596" s="1" t="n">
        <v>45916</v>
      </c>
      <c r="D596" t="inlineStr">
        <is>
          <t>ÖSTERGÖTLANDS LÄN</t>
        </is>
      </c>
      <c r="E596" t="inlineStr">
        <is>
          <t>LINKÖPING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50784-2022</t>
        </is>
      </c>
      <c r="B597" s="1" t="n">
        <v>44862</v>
      </c>
      <c r="C597" s="1" t="n">
        <v>45916</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26803-2024</t>
        </is>
      </c>
      <c r="B598" s="1" t="n">
        <v>45470</v>
      </c>
      <c r="C598" s="1" t="n">
        <v>45916</v>
      </c>
      <c r="D598" t="inlineStr">
        <is>
          <t>ÖSTERGÖTLANDS LÄN</t>
        </is>
      </c>
      <c r="E598" t="inlineStr">
        <is>
          <t>LINKÖPING</t>
        </is>
      </c>
      <c r="F598" t="inlineStr">
        <is>
          <t>Allmännings- och besparingsskogar</t>
        </is>
      </c>
      <c r="G598" t="n">
        <v>4.5</v>
      </c>
      <c r="H598" t="n">
        <v>0</v>
      </c>
      <c r="I598" t="n">
        <v>0</v>
      </c>
      <c r="J598" t="n">
        <v>0</v>
      </c>
      <c r="K598" t="n">
        <v>0</v>
      </c>
      <c r="L598" t="n">
        <v>0</v>
      </c>
      <c r="M598" t="n">
        <v>0</v>
      </c>
      <c r="N598" t="n">
        <v>0</v>
      </c>
      <c r="O598" t="n">
        <v>0</v>
      </c>
      <c r="P598" t="n">
        <v>0</v>
      </c>
      <c r="Q598" t="n">
        <v>0</v>
      </c>
      <c r="R598" s="2" t="inlineStr"/>
    </row>
    <row r="599" ht="15" customHeight="1">
      <c r="A599" t="inlineStr">
        <is>
          <t>A 19187-2021</t>
        </is>
      </c>
      <c r="B599" s="1" t="n">
        <v>44308</v>
      </c>
      <c r="C599" s="1" t="n">
        <v>45916</v>
      </c>
      <c r="D599" t="inlineStr">
        <is>
          <t>ÖSTERGÖTLANDS LÄN</t>
        </is>
      </c>
      <c r="E599" t="inlineStr">
        <is>
          <t>LINKÖPING</t>
        </is>
      </c>
      <c r="F599" t="inlineStr">
        <is>
          <t>Allmännings- och besparingsskogar</t>
        </is>
      </c>
      <c r="G599" t="n">
        <v>20</v>
      </c>
      <c r="H599" t="n">
        <v>0</v>
      </c>
      <c r="I599" t="n">
        <v>0</v>
      </c>
      <c r="J599" t="n">
        <v>0</v>
      </c>
      <c r="K599" t="n">
        <v>0</v>
      </c>
      <c r="L599" t="n">
        <v>0</v>
      </c>
      <c r="M599" t="n">
        <v>0</v>
      </c>
      <c r="N599" t="n">
        <v>0</v>
      </c>
      <c r="O599" t="n">
        <v>0</v>
      </c>
      <c r="P599" t="n">
        <v>0</v>
      </c>
      <c r="Q599" t="n">
        <v>0</v>
      </c>
      <c r="R599" s="2" t="inlineStr"/>
    </row>
    <row r="600" ht="15" customHeight="1">
      <c r="A600" t="inlineStr">
        <is>
          <t>A 19362-2023</t>
        </is>
      </c>
      <c r="B600" s="1" t="n">
        <v>45049</v>
      </c>
      <c r="C600" s="1" t="n">
        <v>45916</v>
      </c>
      <c r="D600" t="inlineStr">
        <is>
          <t>ÖSTERGÖTLANDS LÄN</t>
        </is>
      </c>
      <c r="E600" t="inlineStr">
        <is>
          <t>LINKÖPING</t>
        </is>
      </c>
      <c r="G600" t="n">
        <v>0.1</v>
      </c>
      <c r="H600" t="n">
        <v>0</v>
      </c>
      <c r="I600" t="n">
        <v>0</v>
      </c>
      <c r="J600" t="n">
        <v>0</v>
      </c>
      <c r="K600" t="n">
        <v>0</v>
      </c>
      <c r="L600" t="n">
        <v>0</v>
      </c>
      <c r="M600" t="n">
        <v>0</v>
      </c>
      <c r="N600" t="n">
        <v>0</v>
      </c>
      <c r="O600" t="n">
        <v>0</v>
      </c>
      <c r="P600" t="n">
        <v>0</v>
      </c>
      <c r="Q600" t="n">
        <v>0</v>
      </c>
      <c r="R600" s="2" t="inlineStr"/>
    </row>
    <row r="601" ht="15" customHeight="1">
      <c r="A601" t="inlineStr">
        <is>
          <t>A 60472-2022</t>
        </is>
      </c>
      <c r="B601" s="1" t="n">
        <v>44911.41037037037</v>
      </c>
      <c r="C601" s="1" t="n">
        <v>45916</v>
      </c>
      <c r="D601" t="inlineStr">
        <is>
          <t>ÖSTERGÖTLANDS LÄN</t>
        </is>
      </c>
      <c r="E601" t="inlineStr">
        <is>
          <t>LINKÖPING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43934-2023</t>
        </is>
      </c>
      <c r="B602" s="1" t="n">
        <v>45187</v>
      </c>
      <c r="C602" s="1" t="n">
        <v>45916</v>
      </c>
      <c r="D602" t="inlineStr">
        <is>
          <t>ÖSTERGÖTLANDS LÄN</t>
        </is>
      </c>
      <c r="E602" t="inlineStr">
        <is>
          <t>LINKÖPING</t>
        </is>
      </c>
      <c r="F602" t="inlineStr">
        <is>
          <t>Övriga Aktiebolag</t>
        </is>
      </c>
      <c r="G602" t="n">
        <v>3.8</v>
      </c>
      <c r="H602" t="n">
        <v>0</v>
      </c>
      <c r="I602" t="n">
        <v>0</v>
      </c>
      <c r="J602" t="n">
        <v>0</v>
      </c>
      <c r="K602" t="n">
        <v>0</v>
      </c>
      <c r="L602" t="n">
        <v>0</v>
      </c>
      <c r="M602" t="n">
        <v>0</v>
      </c>
      <c r="N602" t="n">
        <v>0</v>
      </c>
      <c r="O602" t="n">
        <v>0</v>
      </c>
      <c r="P602" t="n">
        <v>0</v>
      </c>
      <c r="Q602" t="n">
        <v>0</v>
      </c>
      <c r="R602" s="2" t="inlineStr"/>
    </row>
    <row r="603" ht="15" customHeight="1">
      <c r="A603" t="inlineStr">
        <is>
          <t>A 22774-2024</t>
        </is>
      </c>
      <c r="B603" s="1" t="n">
        <v>45448.46924768519</v>
      </c>
      <c r="C603" s="1" t="n">
        <v>45916</v>
      </c>
      <c r="D603" t="inlineStr">
        <is>
          <t>ÖSTERGÖTLANDS LÄN</t>
        </is>
      </c>
      <c r="E603" t="inlineStr">
        <is>
          <t>LINKÖPING</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22778-2024</t>
        </is>
      </c>
      <c r="B604" s="1" t="n">
        <v>45448.47233796296</v>
      </c>
      <c r="C604" s="1" t="n">
        <v>45916</v>
      </c>
      <c r="D604" t="inlineStr">
        <is>
          <t>ÖSTERGÖTLANDS LÄN</t>
        </is>
      </c>
      <c r="E604" t="inlineStr">
        <is>
          <t>LINKÖPING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19132-2023</t>
        </is>
      </c>
      <c r="B605" s="1" t="n">
        <v>45048.54754629629</v>
      </c>
      <c r="C605" s="1" t="n">
        <v>45916</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1209-2023</t>
        </is>
      </c>
      <c r="B606" s="1" t="n">
        <v>44930</v>
      </c>
      <c r="C606" s="1" t="n">
        <v>45916</v>
      </c>
      <c r="D606" t="inlineStr">
        <is>
          <t>ÖSTERGÖTLANDS LÄN</t>
        </is>
      </c>
      <c r="E606" t="inlineStr">
        <is>
          <t>LINKÖPING</t>
        </is>
      </c>
      <c r="F606" t="inlineStr">
        <is>
          <t>Övriga statliga verk och myndigheter</t>
        </is>
      </c>
      <c r="G606" t="n">
        <v>25.8</v>
      </c>
      <c r="H606" t="n">
        <v>0</v>
      </c>
      <c r="I606" t="n">
        <v>0</v>
      </c>
      <c r="J606" t="n">
        <v>0</v>
      </c>
      <c r="K606" t="n">
        <v>0</v>
      </c>
      <c r="L606" t="n">
        <v>0</v>
      </c>
      <c r="M606" t="n">
        <v>0</v>
      </c>
      <c r="N606" t="n">
        <v>0</v>
      </c>
      <c r="O606" t="n">
        <v>0</v>
      </c>
      <c r="P606" t="n">
        <v>0</v>
      </c>
      <c r="Q606" t="n">
        <v>0</v>
      </c>
      <c r="R606" s="2" t="inlineStr"/>
    </row>
    <row r="607" ht="15" customHeight="1">
      <c r="A607" t="inlineStr">
        <is>
          <t>A 10407-2025</t>
        </is>
      </c>
      <c r="B607" s="1" t="n">
        <v>45720.62863425926</v>
      </c>
      <c r="C607" s="1" t="n">
        <v>45916</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11590-2023</t>
        </is>
      </c>
      <c r="B608" s="1" t="n">
        <v>44994.36689814815</v>
      </c>
      <c r="C608" s="1" t="n">
        <v>45916</v>
      </c>
      <c r="D608" t="inlineStr">
        <is>
          <t>ÖSTERGÖTLANDS LÄN</t>
        </is>
      </c>
      <c r="E608" t="inlineStr">
        <is>
          <t>LINKÖPING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19169-2023</t>
        </is>
      </c>
      <c r="B609" s="1" t="n">
        <v>45044</v>
      </c>
      <c r="C609" s="1" t="n">
        <v>45916</v>
      </c>
      <c r="D609" t="inlineStr">
        <is>
          <t>ÖSTERGÖTLANDS LÄN</t>
        </is>
      </c>
      <c r="E609" t="inlineStr">
        <is>
          <t>LINKÖPING</t>
        </is>
      </c>
      <c r="G609" t="n">
        <v>2.7</v>
      </c>
      <c r="H609" t="n">
        <v>0</v>
      </c>
      <c r="I609" t="n">
        <v>0</v>
      </c>
      <c r="J609" t="n">
        <v>0</v>
      </c>
      <c r="K609" t="n">
        <v>0</v>
      </c>
      <c r="L609" t="n">
        <v>0</v>
      </c>
      <c r="M609" t="n">
        <v>0</v>
      </c>
      <c r="N609" t="n">
        <v>0</v>
      </c>
      <c r="O609" t="n">
        <v>0</v>
      </c>
      <c r="P609" t="n">
        <v>0</v>
      </c>
      <c r="Q609" t="n">
        <v>0</v>
      </c>
      <c r="R609" s="2" t="inlineStr"/>
    </row>
    <row r="610" ht="15" customHeight="1">
      <c r="A610" t="inlineStr">
        <is>
          <t>A 31635-2023</t>
        </is>
      </c>
      <c r="B610" s="1" t="n">
        <v>45105</v>
      </c>
      <c r="C610" s="1" t="n">
        <v>45916</v>
      </c>
      <c r="D610" t="inlineStr">
        <is>
          <t>ÖSTERGÖTLANDS LÄN</t>
        </is>
      </c>
      <c r="E610" t="inlineStr">
        <is>
          <t>LINKÖPING</t>
        </is>
      </c>
      <c r="F610" t="inlineStr">
        <is>
          <t>Övriga statliga verk och myndigheter</t>
        </is>
      </c>
      <c r="G610" t="n">
        <v>4.6</v>
      </c>
      <c r="H610" t="n">
        <v>0</v>
      </c>
      <c r="I610" t="n">
        <v>0</v>
      </c>
      <c r="J610" t="n">
        <v>0</v>
      </c>
      <c r="K610" t="n">
        <v>0</v>
      </c>
      <c r="L610" t="n">
        <v>0</v>
      </c>
      <c r="M610" t="n">
        <v>0</v>
      </c>
      <c r="N610" t="n">
        <v>0</v>
      </c>
      <c r="O610" t="n">
        <v>0</v>
      </c>
      <c r="P610" t="n">
        <v>0</v>
      </c>
      <c r="Q610" t="n">
        <v>0</v>
      </c>
      <c r="R610" s="2" t="inlineStr"/>
    </row>
    <row r="611" ht="15" customHeight="1">
      <c r="A611" t="inlineStr">
        <is>
          <t>A 20296-2025</t>
        </is>
      </c>
      <c r="B611" s="1" t="n">
        <v>45774.74922453704</v>
      </c>
      <c r="C611" s="1" t="n">
        <v>45916</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67129-2020</t>
        </is>
      </c>
      <c r="B612" s="1" t="n">
        <v>44180</v>
      </c>
      <c r="C612" s="1" t="n">
        <v>45916</v>
      </c>
      <c r="D612" t="inlineStr">
        <is>
          <t>ÖSTERGÖTLANDS LÄN</t>
        </is>
      </c>
      <c r="E612" t="inlineStr">
        <is>
          <t>LINKÖPING</t>
        </is>
      </c>
      <c r="F612" t="inlineStr">
        <is>
          <t>Övriga statliga verk och myndigheter</t>
        </is>
      </c>
      <c r="G612" t="n">
        <v>2.7</v>
      </c>
      <c r="H612" t="n">
        <v>0</v>
      </c>
      <c r="I612" t="n">
        <v>0</v>
      </c>
      <c r="J612" t="n">
        <v>0</v>
      </c>
      <c r="K612" t="n">
        <v>0</v>
      </c>
      <c r="L612" t="n">
        <v>0</v>
      </c>
      <c r="M612" t="n">
        <v>0</v>
      </c>
      <c r="N612" t="n">
        <v>0</v>
      </c>
      <c r="O612" t="n">
        <v>0</v>
      </c>
      <c r="P612" t="n">
        <v>0</v>
      </c>
      <c r="Q612" t="n">
        <v>0</v>
      </c>
      <c r="R612" s="2" t="inlineStr"/>
    </row>
    <row r="613" ht="15" customHeight="1">
      <c r="A613" t="inlineStr">
        <is>
          <t>A 22770-2024</t>
        </is>
      </c>
      <c r="B613" s="1" t="n">
        <v>45448.4634375</v>
      </c>
      <c r="C613" s="1" t="n">
        <v>45916</v>
      </c>
      <c r="D613" t="inlineStr">
        <is>
          <t>ÖSTERGÖTLANDS LÄN</t>
        </is>
      </c>
      <c r="E613" t="inlineStr">
        <is>
          <t>LINKÖPING</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672-2024</t>
        </is>
      </c>
      <c r="B614" s="1" t="n">
        <v>45300</v>
      </c>
      <c r="C614" s="1" t="n">
        <v>45916</v>
      </c>
      <c r="D614" t="inlineStr">
        <is>
          <t>ÖSTERGÖTLANDS LÄN</t>
        </is>
      </c>
      <c r="E614" t="inlineStr">
        <is>
          <t>LINKÖPING</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55493-2021</t>
        </is>
      </c>
      <c r="B615" s="1" t="n">
        <v>44475.61988425926</v>
      </c>
      <c r="C615" s="1" t="n">
        <v>45916</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11595-2025</t>
        </is>
      </c>
      <c r="B616" s="1" t="n">
        <v>45727.41893518518</v>
      </c>
      <c r="C616" s="1" t="n">
        <v>45916</v>
      </c>
      <c r="D616" t="inlineStr">
        <is>
          <t>ÖSTERGÖTLANDS LÄN</t>
        </is>
      </c>
      <c r="E616" t="inlineStr">
        <is>
          <t>LINKÖPING</t>
        </is>
      </c>
      <c r="G616" t="n">
        <v>6.6</v>
      </c>
      <c r="H616" t="n">
        <v>0</v>
      </c>
      <c r="I616" t="n">
        <v>0</v>
      </c>
      <c r="J616" t="n">
        <v>0</v>
      </c>
      <c r="K616" t="n">
        <v>0</v>
      </c>
      <c r="L616" t="n">
        <v>0</v>
      </c>
      <c r="M616" t="n">
        <v>0</v>
      </c>
      <c r="N616" t="n">
        <v>0</v>
      </c>
      <c r="O616" t="n">
        <v>0</v>
      </c>
      <c r="P616" t="n">
        <v>0</v>
      </c>
      <c r="Q616" t="n">
        <v>0</v>
      </c>
      <c r="R616" s="2" t="inlineStr"/>
    </row>
    <row r="617" ht="15" customHeight="1">
      <c r="A617" t="inlineStr">
        <is>
          <t>A 14093-2024</t>
        </is>
      </c>
      <c r="B617" s="1" t="n">
        <v>45392.60278935185</v>
      </c>
      <c r="C617" s="1" t="n">
        <v>45916</v>
      </c>
      <c r="D617" t="inlineStr">
        <is>
          <t>ÖSTERGÖTLANDS LÄN</t>
        </is>
      </c>
      <c r="E617" t="inlineStr">
        <is>
          <t>LINKÖPING</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62019-2024</t>
        </is>
      </c>
      <c r="B618" s="1" t="n">
        <v>45655.82</v>
      </c>
      <c r="C618" s="1" t="n">
        <v>45916</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10253-2022</t>
        </is>
      </c>
      <c r="B619" s="1" t="n">
        <v>44622</v>
      </c>
      <c r="C619" s="1" t="n">
        <v>45916</v>
      </c>
      <c r="D619" t="inlineStr">
        <is>
          <t>ÖSTERGÖTLANDS LÄN</t>
        </is>
      </c>
      <c r="E619" t="inlineStr">
        <is>
          <t>LINKÖPING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25119-2023</t>
        </is>
      </c>
      <c r="B620" s="1" t="n">
        <v>45086.42326388889</v>
      </c>
      <c r="C620" s="1" t="n">
        <v>45916</v>
      </c>
      <c r="D620" t="inlineStr">
        <is>
          <t>ÖSTERGÖTLANDS LÄN</t>
        </is>
      </c>
      <c r="E620" t="inlineStr">
        <is>
          <t>LINKÖPING</t>
        </is>
      </c>
      <c r="G620" t="n">
        <v>3.2</v>
      </c>
      <c r="H620" t="n">
        <v>0</v>
      </c>
      <c r="I620" t="n">
        <v>0</v>
      </c>
      <c r="J620" t="n">
        <v>0</v>
      </c>
      <c r="K620" t="n">
        <v>0</v>
      </c>
      <c r="L620" t="n">
        <v>0</v>
      </c>
      <c r="M620" t="n">
        <v>0</v>
      </c>
      <c r="N620" t="n">
        <v>0</v>
      </c>
      <c r="O620" t="n">
        <v>0</v>
      </c>
      <c r="P620" t="n">
        <v>0</v>
      </c>
      <c r="Q620" t="n">
        <v>0</v>
      </c>
      <c r="R620" s="2" t="inlineStr"/>
    </row>
    <row r="621" ht="15" customHeight="1">
      <c r="A621" t="inlineStr">
        <is>
          <t>A 48839-2022</t>
        </is>
      </c>
      <c r="B621" s="1" t="n">
        <v>44859</v>
      </c>
      <c r="C621" s="1" t="n">
        <v>45916</v>
      </c>
      <c r="D621" t="inlineStr">
        <is>
          <t>ÖSTERGÖTLANDS LÄN</t>
        </is>
      </c>
      <c r="E621" t="inlineStr">
        <is>
          <t>LINKÖPING</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57396-2021</t>
        </is>
      </c>
      <c r="B622" s="1" t="n">
        <v>44483.56151620371</v>
      </c>
      <c r="C622" s="1" t="n">
        <v>45916</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51571-2024</t>
        </is>
      </c>
      <c r="B623" s="1" t="n">
        <v>45604</v>
      </c>
      <c r="C623" s="1" t="n">
        <v>45916</v>
      </c>
      <c r="D623" t="inlineStr">
        <is>
          <t>ÖSTERGÖTLANDS LÄN</t>
        </is>
      </c>
      <c r="E623" t="inlineStr">
        <is>
          <t>LINKÖPING</t>
        </is>
      </c>
      <c r="F623" t="inlineStr">
        <is>
          <t>Övriga Aktiebolag</t>
        </is>
      </c>
      <c r="G623" t="n">
        <v>1.4</v>
      </c>
      <c r="H623" t="n">
        <v>0</v>
      </c>
      <c r="I623" t="n">
        <v>0</v>
      </c>
      <c r="J623" t="n">
        <v>0</v>
      </c>
      <c r="K623" t="n">
        <v>0</v>
      </c>
      <c r="L623" t="n">
        <v>0</v>
      </c>
      <c r="M623" t="n">
        <v>0</v>
      </c>
      <c r="N623" t="n">
        <v>0</v>
      </c>
      <c r="O623" t="n">
        <v>0</v>
      </c>
      <c r="P623" t="n">
        <v>0</v>
      </c>
      <c r="Q623" t="n">
        <v>0</v>
      </c>
      <c r="R623" s="2" t="inlineStr"/>
    </row>
    <row r="624" ht="15" customHeight="1">
      <c r="A624" t="inlineStr">
        <is>
          <t>A 17143-2025</t>
        </is>
      </c>
      <c r="B624" s="1" t="n">
        <v>45755.92731481481</v>
      </c>
      <c r="C624" s="1" t="n">
        <v>45916</v>
      </c>
      <c r="D624" t="inlineStr">
        <is>
          <t>ÖSTERGÖTLANDS LÄN</t>
        </is>
      </c>
      <c r="E624" t="inlineStr">
        <is>
          <t>LINKÖPING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8967-2025</t>
        </is>
      </c>
      <c r="B625" s="1" t="n">
        <v>45712</v>
      </c>
      <c r="C625" s="1" t="n">
        <v>45916</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17124-2025</t>
        </is>
      </c>
      <c r="B626" s="1" t="n">
        <v>45755.69678240741</v>
      </c>
      <c r="C626" s="1" t="n">
        <v>45916</v>
      </c>
      <c r="D626" t="inlineStr">
        <is>
          <t>ÖSTERGÖTLANDS LÄN</t>
        </is>
      </c>
      <c r="E626" t="inlineStr">
        <is>
          <t>LINKÖPING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17126-2025</t>
        </is>
      </c>
      <c r="B627" s="1" t="n">
        <v>45755.70814814815</v>
      </c>
      <c r="C627" s="1" t="n">
        <v>45916</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31640-2023</t>
        </is>
      </c>
      <c r="B628" s="1" t="n">
        <v>45117</v>
      </c>
      <c r="C628" s="1" t="n">
        <v>45916</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46980-2020</t>
        </is>
      </c>
      <c r="B629" s="1" t="n">
        <v>44090</v>
      </c>
      <c r="C629" s="1" t="n">
        <v>45916</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63678-2023</t>
        </is>
      </c>
      <c r="B630" s="1" t="n">
        <v>45275.64769675926</v>
      </c>
      <c r="C630" s="1" t="n">
        <v>45916</v>
      </c>
      <c r="D630" t="inlineStr">
        <is>
          <t>ÖSTERGÖTLANDS LÄN</t>
        </is>
      </c>
      <c r="E630" t="inlineStr">
        <is>
          <t>LINKÖPING</t>
        </is>
      </c>
      <c r="F630" t="inlineStr">
        <is>
          <t>Övriga Aktiebolag</t>
        </is>
      </c>
      <c r="G630" t="n">
        <v>0.4</v>
      </c>
      <c r="H630" t="n">
        <v>0</v>
      </c>
      <c r="I630" t="n">
        <v>0</v>
      </c>
      <c r="J630" t="n">
        <v>0</v>
      </c>
      <c r="K630" t="n">
        <v>0</v>
      </c>
      <c r="L630" t="n">
        <v>0</v>
      </c>
      <c r="M630" t="n">
        <v>0</v>
      </c>
      <c r="N630" t="n">
        <v>0</v>
      </c>
      <c r="O630" t="n">
        <v>0</v>
      </c>
      <c r="P630" t="n">
        <v>0</v>
      </c>
      <c r="Q630" t="n">
        <v>0</v>
      </c>
      <c r="R630" s="2" t="inlineStr"/>
    </row>
    <row r="631" ht="15" customHeight="1">
      <c r="A631" t="inlineStr">
        <is>
          <t>A 11790-2024</t>
        </is>
      </c>
      <c r="B631" s="1" t="n">
        <v>45374</v>
      </c>
      <c r="C631" s="1" t="n">
        <v>45916</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61281-2021</t>
        </is>
      </c>
      <c r="B632" s="1" t="n">
        <v>44498.60736111111</v>
      </c>
      <c r="C632" s="1" t="n">
        <v>45916</v>
      </c>
      <c r="D632" t="inlineStr">
        <is>
          <t>ÖSTERGÖTLANDS LÄN</t>
        </is>
      </c>
      <c r="E632" t="inlineStr">
        <is>
          <t>LINKÖPING</t>
        </is>
      </c>
      <c r="G632" t="n">
        <v>4.5</v>
      </c>
      <c r="H632" t="n">
        <v>0</v>
      </c>
      <c r="I632" t="n">
        <v>0</v>
      </c>
      <c r="J632" t="n">
        <v>0</v>
      </c>
      <c r="K632" t="n">
        <v>0</v>
      </c>
      <c r="L632" t="n">
        <v>0</v>
      </c>
      <c r="M632" t="n">
        <v>0</v>
      </c>
      <c r="N632" t="n">
        <v>0</v>
      </c>
      <c r="O632" t="n">
        <v>0</v>
      </c>
      <c r="P632" t="n">
        <v>0</v>
      </c>
      <c r="Q632" t="n">
        <v>0</v>
      </c>
      <c r="R632" s="2" t="inlineStr"/>
    </row>
    <row r="633" ht="15" customHeight="1">
      <c r="A633" t="inlineStr">
        <is>
          <t>A 1844-2025</t>
        </is>
      </c>
      <c r="B633" s="1" t="n">
        <v>45671.57730324074</v>
      </c>
      <c r="C633" s="1" t="n">
        <v>45916</v>
      </c>
      <c r="D633" t="inlineStr">
        <is>
          <t>ÖSTERGÖTLANDS LÄN</t>
        </is>
      </c>
      <c r="E633" t="inlineStr">
        <is>
          <t>LINKÖPING</t>
        </is>
      </c>
      <c r="G633" t="n">
        <v>2</v>
      </c>
      <c r="H633" t="n">
        <v>0</v>
      </c>
      <c r="I633" t="n">
        <v>0</v>
      </c>
      <c r="J633" t="n">
        <v>0</v>
      </c>
      <c r="K633" t="n">
        <v>0</v>
      </c>
      <c r="L633" t="n">
        <v>0</v>
      </c>
      <c r="M633" t="n">
        <v>0</v>
      </c>
      <c r="N633" t="n">
        <v>0</v>
      </c>
      <c r="O633" t="n">
        <v>0</v>
      </c>
      <c r="P633" t="n">
        <v>0</v>
      </c>
      <c r="Q633" t="n">
        <v>0</v>
      </c>
      <c r="R633" s="2" t="inlineStr"/>
    </row>
    <row r="634" ht="15" customHeight="1">
      <c r="A634" t="inlineStr">
        <is>
          <t>A 6206-2024</t>
        </is>
      </c>
      <c r="B634" s="1" t="n">
        <v>45337.5977662037</v>
      </c>
      <c r="C634" s="1" t="n">
        <v>45916</v>
      </c>
      <c r="D634" t="inlineStr">
        <is>
          <t>ÖSTERGÖTLANDS LÄN</t>
        </is>
      </c>
      <c r="E634" t="inlineStr">
        <is>
          <t>LINKÖPING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21165-2025</t>
        </is>
      </c>
      <c r="B635" s="1" t="n">
        <v>45779.39417824074</v>
      </c>
      <c r="C635" s="1" t="n">
        <v>45916</v>
      </c>
      <c r="D635" t="inlineStr">
        <is>
          <t>ÖSTERGÖTLANDS LÄN</t>
        </is>
      </c>
      <c r="E635" t="inlineStr">
        <is>
          <t>LINKÖPING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21155-2025</t>
        </is>
      </c>
      <c r="B636" s="1" t="n">
        <v>45779.37586805555</v>
      </c>
      <c r="C636" s="1" t="n">
        <v>45916</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168-2024</t>
        </is>
      </c>
      <c r="B637" s="1" t="n">
        <v>45294</v>
      </c>
      <c r="C637" s="1" t="n">
        <v>45916</v>
      </c>
      <c r="D637" t="inlineStr">
        <is>
          <t>ÖSTERGÖTLANDS LÄN</t>
        </is>
      </c>
      <c r="E637" t="inlineStr">
        <is>
          <t>LINKÖPING</t>
        </is>
      </c>
      <c r="F637" t="inlineStr">
        <is>
          <t>Allmännings- och besparingsskogar</t>
        </is>
      </c>
      <c r="G637" t="n">
        <v>8.9</v>
      </c>
      <c r="H637" t="n">
        <v>0</v>
      </c>
      <c r="I637" t="n">
        <v>0</v>
      </c>
      <c r="J637" t="n">
        <v>0</v>
      </c>
      <c r="K637" t="n">
        <v>0</v>
      </c>
      <c r="L637" t="n">
        <v>0</v>
      </c>
      <c r="M637" t="n">
        <v>0</v>
      </c>
      <c r="N637" t="n">
        <v>0</v>
      </c>
      <c r="O637" t="n">
        <v>0</v>
      </c>
      <c r="P637" t="n">
        <v>0</v>
      </c>
      <c r="Q637" t="n">
        <v>0</v>
      </c>
      <c r="R637" s="2" t="inlineStr"/>
    </row>
    <row r="638" ht="15" customHeight="1">
      <c r="A638" t="inlineStr">
        <is>
          <t>A 51919-2024</t>
        </is>
      </c>
      <c r="B638" s="1" t="n">
        <v>45607.60791666667</v>
      </c>
      <c r="C638" s="1" t="n">
        <v>45916</v>
      </c>
      <c r="D638" t="inlineStr">
        <is>
          <t>ÖSTERGÖTLANDS LÄN</t>
        </is>
      </c>
      <c r="E638" t="inlineStr">
        <is>
          <t>LINKÖPING</t>
        </is>
      </c>
      <c r="G638" t="n">
        <v>2.5</v>
      </c>
      <c r="H638" t="n">
        <v>0</v>
      </c>
      <c r="I638" t="n">
        <v>0</v>
      </c>
      <c r="J638" t="n">
        <v>0</v>
      </c>
      <c r="K638" t="n">
        <v>0</v>
      </c>
      <c r="L638" t="n">
        <v>0</v>
      </c>
      <c r="M638" t="n">
        <v>0</v>
      </c>
      <c r="N638" t="n">
        <v>0</v>
      </c>
      <c r="O638" t="n">
        <v>0</v>
      </c>
      <c r="P638" t="n">
        <v>0</v>
      </c>
      <c r="Q638" t="n">
        <v>0</v>
      </c>
      <c r="R638" s="2" t="inlineStr"/>
    </row>
    <row r="639" ht="15" customHeight="1">
      <c r="A639" t="inlineStr">
        <is>
          <t>A 56623-2024</t>
        </is>
      </c>
      <c r="B639" s="1" t="n">
        <v>45625</v>
      </c>
      <c r="C639" s="1" t="n">
        <v>45916</v>
      </c>
      <c r="D639" t="inlineStr">
        <is>
          <t>ÖSTERGÖTLANDS LÄN</t>
        </is>
      </c>
      <c r="E639" t="inlineStr">
        <is>
          <t>LINKÖPING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11330-2023</t>
        </is>
      </c>
      <c r="B640" s="1" t="n">
        <v>44993.24648148148</v>
      </c>
      <c r="C640" s="1" t="n">
        <v>45916</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63304-2021</t>
        </is>
      </c>
      <c r="B641" s="1" t="n">
        <v>44508.4396412037</v>
      </c>
      <c r="C641" s="1" t="n">
        <v>45916</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14528-2025</t>
        </is>
      </c>
      <c r="B642" s="1" t="n">
        <v>45741</v>
      </c>
      <c r="C642" s="1" t="n">
        <v>45916</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3530-2024</t>
        </is>
      </c>
      <c r="B643" s="1" t="n">
        <v>45320.54717592592</v>
      </c>
      <c r="C643" s="1" t="n">
        <v>45916</v>
      </c>
      <c r="D643" t="inlineStr">
        <is>
          <t>ÖSTERGÖTLANDS LÄN</t>
        </is>
      </c>
      <c r="E643" t="inlineStr">
        <is>
          <t>LINKÖPING</t>
        </is>
      </c>
      <c r="G643" t="n">
        <v>1.5</v>
      </c>
      <c r="H643" t="n">
        <v>0</v>
      </c>
      <c r="I643" t="n">
        <v>0</v>
      </c>
      <c r="J643" t="n">
        <v>0</v>
      </c>
      <c r="K643" t="n">
        <v>0</v>
      </c>
      <c r="L643" t="n">
        <v>0</v>
      </c>
      <c r="M643" t="n">
        <v>0</v>
      </c>
      <c r="N643" t="n">
        <v>0</v>
      </c>
      <c r="O643" t="n">
        <v>0</v>
      </c>
      <c r="P643" t="n">
        <v>0</v>
      </c>
      <c r="Q643" t="n">
        <v>0</v>
      </c>
      <c r="R643" s="2" t="inlineStr"/>
    </row>
    <row r="644" ht="15" customHeight="1">
      <c r="A644" t="inlineStr">
        <is>
          <t>A 62073-2023</t>
        </is>
      </c>
      <c r="B644" s="1" t="n">
        <v>45266.73844907407</v>
      </c>
      <c r="C644" s="1" t="n">
        <v>45916</v>
      </c>
      <c r="D644" t="inlineStr">
        <is>
          <t>ÖSTERGÖTLANDS LÄN</t>
        </is>
      </c>
      <c r="E644" t="inlineStr">
        <is>
          <t>LINKÖPING</t>
        </is>
      </c>
      <c r="F644" t="inlineStr">
        <is>
          <t>Allmännings- och besparingsskogar</t>
        </is>
      </c>
      <c r="G644" t="n">
        <v>1.8</v>
      </c>
      <c r="H644" t="n">
        <v>0</v>
      </c>
      <c r="I644" t="n">
        <v>0</v>
      </c>
      <c r="J644" t="n">
        <v>0</v>
      </c>
      <c r="K644" t="n">
        <v>0</v>
      </c>
      <c r="L644" t="n">
        <v>0</v>
      </c>
      <c r="M644" t="n">
        <v>0</v>
      </c>
      <c r="N644" t="n">
        <v>0</v>
      </c>
      <c r="O644" t="n">
        <v>0</v>
      </c>
      <c r="P644" t="n">
        <v>0</v>
      </c>
      <c r="Q644" t="n">
        <v>0</v>
      </c>
      <c r="R644" s="2" t="inlineStr"/>
    </row>
    <row r="645" ht="15" customHeight="1">
      <c r="A645" t="inlineStr">
        <is>
          <t>A 5872-2025</t>
        </is>
      </c>
      <c r="B645" s="1" t="n">
        <v>45695.36659722222</v>
      </c>
      <c r="C645" s="1" t="n">
        <v>45916</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53814-2023</t>
        </is>
      </c>
      <c r="B646" s="1" t="n">
        <v>45231</v>
      </c>
      <c r="C646" s="1" t="n">
        <v>45916</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3432-2023</t>
        </is>
      </c>
      <c r="B647" s="1" t="n">
        <v>44949</v>
      </c>
      <c r="C647" s="1" t="n">
        <v>45916</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54425-2022</t>
        </is>
      </c>
      <c r="B648" s="1" t="n">
        <v>44882.57453703704</v>
      </c>
      <c r="C648" s="1" t="n">
        <v>45916</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54428-2022</t>
        </is>
      </c>
      <c r="B649" s="1" t="n">
        <v>44882.57643518518</v>
      </c>
      <c r="C649" s="1" t="n">
        <v>45916</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22264-2025</t>
        </is>
      </c>
      <c r="B650" s="1" t="n">
        <v>45785</v>
      </c>
      <c r="C650" s="1" t="n">
        <v>45916</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660-2023</t>
        </is>
      </c>
      <c r="B651" s="1" t="n">
        <v>44930</v>
      </c>
      <c r="C651" s="1" t="n">
        <v>45916</v>
      </c>
      <c r="D651" t="inlineStr">
        <is>
          <t>ÖSTERGÖTLANDS LÄN</t>
        </is>
      </c>
      <c r="E651" t="inlineStr">
        <is>
          <t>LINKÖPING</t>
        </is>
      </c>
      <c r="F651" t="inlineStr">
        <is>
          <t>Kyrkan</t>
        </is>
      </c>
      <c r="G651" t="n">
        <v>1.6</v>
      </c>
      <c r="H651" t="n">
        <v>0</v>
      </c>
      <c r="I651" t="n">
        <v>0</v>
      </c>
      <c r="J651" t="n">
        <v>0</v>
      </c>
      <c r="K651" t="n">
        <v>0</v>
      </c>
      <c r="L651" t="n">
        <v>0</v>
      </c>
      <c r="M651" t="n">
        <v>0</v>
      </c>
      <c r="N651" t="n">
        <v>0</v>
      </c>
      <c r="O651" t="n">
        <v>0</v>
      </c>
      <c r="P651" t="n">
        <v>0</v>
      </c>
      <c r="Q651" t="n">
        <v>0</v>
      </c>
      <c r="R651" s="2" t="inlineStr"/>
    </row>
    <row r="652" ht="15" customHeight="1">
      <c r="A652" t="inlineStr">
        <is>
          <t>A 62501-2023</t>
        </is>
      </c>
      <c r="B652" s="1" t="n">
        <v>45268</v>
      </c>
      <c r="C652" s="1" t="n">
        <v>45916</v>
      </c>
      <c r="D652" t="inlineStr">
        <is>
          <t>ÖSTERGÖTLANDS LÄN</t>
        </is>
      </c>
      <c r="E652" t="inlineStr">
        <is>
          <t>LINKÖPING</t>
        </is>
      </c>
      <c r="G652" t="n">
        <v>7.4</v>
      </c>
      <c r="H652" t="n">
        <v>0</v>
      </c>
      <c r="I652" t="n">
        <v>0</v>
      </c>
      <c r="J652" t="n">
        <v>0</v>
      </c>
      <c r="K652" t="n">
        <v>0</v>
      </c>
      <c r="L652" t="n">
        <v>0</v>
      </c>
      <c r="M652" t="n">
        <v>0</v>
      </c>
      <c r="N652" t="n">
        <v>0</v>
      </c>
      <c r="O652" t="n">
        <v>0</v>
      </c>
      <c r="P652" t="n">
        <v>0</v>
      </c>
      <c r="Q652" t="n">
        <v>0</v>
      </c>
      <c r="R652" s="2" t="inlineStr"/>
    </row>
    <row r="653" ht="15" customHeight="1">
      <c r="A653" t="inlineStr">
        <is>
          <t>A 13413-2023</t>
        </is>
      </c>
      <c r="B653" s="1" t="n">
        <v>45005.58341435185</v>
      </c>
      <c r="C653" s="1" t="n">
        <v>45916</v>
      </c>
      <c r="D653" t="inlineStr">
        <is>
          <t>ÖSTERGÖTLANDS LÄN</t>
        </is>
      </c>
      <c r="E653" t="inlineStr">
        <is>
          <t>LINKÖPING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26620-2023</t>
        </is>
      </c>
      <c r="B654" s="1" t="n">
        <v>45092.70390046296</v>
      </c>
      <c r="C654" s="1" t="n">
        <v>45916</v>
      </c>
      <c r="D654" t="inlineStr">
        <is>
          <t>ÖSTERGÖTLANDS LÄN</t>
        </is>
      </c>
      <c r="E654" t="inlineStr">
        <is>
          <t>LINKÖPING</t>
        </is>
      </c>
      <c r="G654" t="n">
        <v>1.3</v>
      </c>
      <c r="H654" t="n">
        <v>0</v>
      </c>
      <c r="I654" t="n">
        <v>0</v>
      </c>
      <c r="J654" t="n">
        <v>0</v>
      </c>
      <c r="K654" t="n">
        <v>0</v>
      </c>
      <c r="L654" t="n">
        <v>0</v>
      </c>
      <c r="M654" t="n">
        <v>0</v>
      </c>
      <c r="N654" t="n">
        <v>0</v>
      </c>
      <c r="O654" t="n">
        <v>0</v>
      </c>
      <c r="P654" t="n">
        <v>0</v>
      </c>
      <c r="Q654" t="n">
        <v>0</v>
      </c>
      <c r="R654" s="2" t="inlineStr"/>
    </row>
    <row r="655" ht="15" customHeight="1">
      <c r="A655" t="inlineStr">
        <is>
          <t>A 62374-2020</t>
        </is>
      </c>
      <c r="B655" s="1" t="n">
        <v>44159</v>
      </c>
      <c r="C655" s="1" t="n">
        <v>45916</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16462-2021</t>
        </is>
      </c>
      <c r="B656" s="1" t="n">
        <v>44293</v>
      </c>
      <c r="C656" s="1" t="n">
        <v>45916</v>
      </c>
      <c r="D656" t="inlineStr">
        <is>
          <t>ÖSTERGÖTLANDS LÄN</t>
        </is>
      </c>
      <c r="E656" t="inlineStr">
        <is>
          <t>LINKÖPING</t>
        </is>
      </c>
      <c r="F656" t="inlineStr">
        <is>
          <t>Allmännings- och besparingsskogar</t>
        </is>
      </c>
      <c r="G656" t="n">
        <v>24.7</v>
      </c>
      <c r="H656" t="n">
        <v>0</v>
      </c>
      <c r="I656" t="n">
        <v>0</v>
      </c>
      <c r="J656" t="n">
        <v>0</v>
      </c>
      <c r="K656" t="n">
        <v>0</v>
      </c>
      <c r="L656" t="n">
        <v>0</v>
      </c>
      <c r="M656" t="n">
        <v>0</v>
      </c>
      <c r="N656" t="n">
        <v>0</v>
      </c>
      <c r="O656" t="n">
        <v>0</v>
      </c>
      <c r="P656" t="n">
        <v>0</v>
      </c>
      <c r="Q656" t="n">
        <v>0</v>
      </c>
      <c r="R656" s="2" t="inlineStr"/>
    </row>
    <row r="657" ht="15" customHeight="1">
      <c r="A657" t="inlineStr">
        <is>
          <t>A 9473-2024</t>
        </is>
      </c>
      <c r="B657" s="1" t="n">
        <v>45359.55474537037</v>
      </c>
      <c r="C657" s="1" t="n">
        <v>45916</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6859-2024</t>
        </is>
      </c>
      <c r="B658" s="1" t="n">
        <v>45342</v>
      </c>
      <c r="C658" s="1" t="n">
        <v>45916</v>
      </c>
      <c r="D658" t="inlineStr">
        <is>
          <t>ÖSTERGÖTLANDS LÄN</t>
        </is>
      </c>
      <c r="E658" t="inlineStr">
        <is>
          <t>LINKÖPING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44287-2024</t>
        </is>
      </c>
      <c r="B659" s="1" t="n">
        <v>45573.50582175926</v>
      </c>
      <c r="C659" s="1" t="n">
        <v>45916</v>
      </c>
      <c r="D659" t="inlineStr">
        <is>
          <t>ÖSTERGÖTLANDS LÄN</t>
        </is>
      </c>
      <c r="E659" t="inlineStr">
        <is>
          <t>LINKÖPING</t>
        </is>
      </c>
      <c r="G659" t="n">
        <v>12.7</v>
      </c>
      <c r="H659" t="n">
        <v>0</v>
      </c>
      <c r="I659" t="n">
        <v>0</v>
      </c>
      <c r="J659" t="n">
        <v>0</v>
      </c>
      <c r="K659" t="n">
        <v>0</v>
      </c>
      <c r="L659" t="n">
        <v>0</v>
      </c>
      <c r="M659" t="n">
        <v>0</v>
      </c>
      <c r="N659" t="n">
        <v>0</v>
      </c>
      <c r="O659" t="n">
        <v>0</v>
      </c>
      <c r="P659" t="n">
        <v>0</v>
      </c>
      <c r="Q659" t="n">
        <v>0</v>
      </c>
      <c r="R659" s="2" t="inlineStr"/>
    </row>
    <row r="660" ht="15" customHeight="1">
      <c r="A660" t="inlineStr">
        <is>
          <t>A 22364-2025</t>
        </is>
      </c>
      <c r="B660" s="1" t="n">
        <v>45786.46930555555</v>
      </c>
      <c r="C660" s="1" t="n">
        <v>45916</v>
      </c>
      <c r="D660" t="inlineStr">
        <is>
          <t>ÖSTERGÖTLANDS LÄN</t>
        </is>
      </c>
      <c r="E660" t="inlineStr">
        <is>
          <t>LINKÖPING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63554-2023</t>
        </is>
      </c>
      <c r="B661" s="1" t="n">
        <v>45275</v>
      </c>
      <c r="C661" s="1" t="n">
        <v>45916</v>
      </c>
      <c r="D661" t="inlineStr">
        <is>
          <t>ÖSTERGÖTLANDS LÄN</t>
        </is>
      </c>
      <c r="E661" t="inlineStr">
        <is>
          <t>LINKÖPING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572-2025</t>
        </is>
      </c>
      <c r="B662" s="1" t="n">
        <v>45664.56349537037</v>
      </c>
      <c r="C662" s="1" t="n">
        <v>45916</v>
      </c>
      <c r="D662" t="inlineStr">
        <is>
          <t>ÖSTERGÖTLANDS LÄN</t>
        </is>
      </c>
      <c r="E662" t="inlineStr">
        <is>
          <t>LINKÖPING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10797-2024</t>
        </is>
      </c>
      <c r="B663" s="1" t="n">
        <v>45369.6190162037</v>
      </c>
      <c r="C663" s="1" t="n">
        <v>45916</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38580-2024</t>
        </is>
      </c>
      <c r="B664" s="1" t="n">
        <v>45546.64825231482</v>
      </c>
      <c r="C664" s="1" t="n">
        <v>45916</v>
      </c>
      <c r="D664" t="inlineStr">
        <is>
          <t>ÖSTERGÖTLANDS LÄN</t>
        </is>
      </c>
      <c r="E664" t="inlineStr">
        <is>
          <t>LINKÖPING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57752-2023</t>
        </is>
      </c>
      <c r="B665" s="1" t="n">
        <v>45246.78474537037</v>
      </c>
      <c r="C665" s="1" t="n">
        <v>45916</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63638-2023</t>
        </is>
      </c>
      <c r="B666" s="1" t="n">
        <v>45275</v>
      </c>
      <c r="C666" s="1" t="n">
        <v>45916</v>
      </c>
      <c r="D666" t="inlineStr">
        <is>
          <t>ÖSTERGÖTLANDS LÄN</t>
        </is>
      </c>
      <c r="E666" t="inlineStr">
        <is>
          <t>LINKÖPING</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63658-2023</t>
        </is>
      </c>
      <c r="B667" s="1" t="n">
        <v>45275</v>
      </c>
      <c r="C667" s="1" t="n">
        <v>45916</v>
      </c>
      <c r="D667" t="inlineStr">
        <is>
          <t>ÖSTERGÖTLANDS LÄN</t>
        </is>
      </c>
      <c r="E667" t="inlineStr">
        <is>
          <t>LINKÖPING</t>
        </is>
      </c>
      <c r="F667" t="inlineStr">
        <is>
          <t>Övriga Aktiebolag</t>
        </is>
      </c>
      <c r="G667" t="n">
        <v>1.5</v>
      </c>
      <c r="H667" t="n">
        <v>0</v>
      </c>
      <c r="I667" t="n">
        <v>0</v>
      </c>
      <c r="J667" t="n">
        <v>0</v>
      </c>
      <c r="K667" t="n">
        <v>0</v>
      </c>
      <c r="L667" t="n">
        <v>0</v>
      </c>
      <c r="M667" t="n">
        <v>0</v>
      </c>
      <c r="N667" t="n">
        <v>0</v>
      </c>
      <c r="O667" t="n">
        <v>0</v>
      </c>
      <c r="P667" t="n">
        <v>0</v>
      </c>
      <c r="Q667" t="n">
        <v>0</v>
      </c>
      <c r="R667" s="2" t="inlineStr"/>
    </row>
    <row r="668" ht="15" customHeight="1">
      <c r="A668" t="inlineStr">
        <is>
          <t>A 16820-2024</t>
        </is>
      </c>
      <c r="B668" s="1" t="n">
        <v>45411.46809027778</v>
      </c>
      <c r="C668" s="1" t="n">
        <v>45916</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4456-2024</t>
        </is>
      </c>
      <c r="B669" s="1" t="n">
        <v>45327.52847222222</v>
      </c>
      <c r="C669" s="1" t="n">
        <v>45916</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29312-2024</t>
        </is>
      </c>
      <c r="B670" s="1" t="n">
        <v>45483</v>
      </c>
      <c r="C670" s="1" t="n">
        <v>45916</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23120-2025</t>
        </is>
      </c>
      <c r="B671" s="1" t="n">
        <v>45791.37481481482</v>
      </c>
      <c r="C671" s="1" t="n">
        <v>45916</v>
      </c>
      <c r="D671" t="inlineStr">
        <is>
          <t>ÖSTERGÖTLANDS LÄN</t>
        </is>
      </c>
      <c r="E671" t="inlineStr">
        <is>
          <t>LINKÖPING</t>
        </is>
      </c>
      <c r="G671" t="n">
        <v>2.9</v>
      </c>
      <c r="H671" t="n">
        <v>0</v>
      </c>
      <c r="I671" t="n">
        <v>0</v>
      </c>
      <c r="J671" t="n">
        <v>0</v>
      </c>
      <c r="K671" t="n">
        <v>0</v>
      </c>
      <c r="L671" t="n">
        <v>0</v>
      </c>
      <c r="M671" t="n">
        <v>0</v>
      </c>
      <c r="N671" t="n">
        <v>0</v>
      </c>
      <c r="O671" t="n">
        <v>0</v>
      </c>
      <c r="P671" t="n">
        <v>0</v>
      </c>
      <c r="Q671" t="n">
        <v>0</v>
      </c>
      <c r="R671" s="2" t="inlineStr"/>
    </row>
    <row r="672" ht="15" customHeight="1">
      <c r="A672" t="inlineStr">
        <is>
          <t>A 20298-2025</t>
        </is>
      </c>
      <c r="B672" s="1" t="n">
        <v>45774.75024305555</v>
      </c>
      <c r="C672" s="1" t="n">
        <v>45916</v>
      </c>
      <c r="D672" t="inlineStr">
        <is>
          <t>ÖSTERGÖTLANDS LÄN</t>
        </is>
      </c>
      <c r="E672" t="inlineStr">
        <is>
          <t>LINKÖPING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15121-2022</t>
        </is>
      </c>
      <c r="B673" s="1" t="n">
        <v>44658</v>
      </c>
      <c r="C673" s="1" t="n">
        <v>45916</v>
      </c>
      <c r="D673" t="inlineStr">
        <is>
          <t>ÖSTERGÖTLANDS LÄN</t>
        </is>
      </c>
      <c r="E673" t="inlineStr">
        <is>
          <t>LINKÖPING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50743-2023</t>
        </is>
      </c>
      <c r="B674" s="1" t="n">
        <v>45217</v>
      </c>
      <c r="C674" s="1" t="n">
        <v>45916</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1440-2021</t>
        </is>
      </c>
      <c r="B675" s="1" t="n">
        <v>44208</v>
      </c>
      <c r="C675" s="1" t="n">
        <v>45916</v>
      </c>
      <c r="D675" t="inlineStr">
        <is>
          <t>ÖSTERGÖTLANDS LÄN</t>
        </is>
      </c>
      <c r="E675" t="inlineStr">
        <is>
          <t>LINKÖPING</t>
        </is>
      </c>
      <c r="G675" t="n">
        <v>8.4</v>
      </c>
      <c r="H675" t="n">
        <v>0</v>
      </c>
      <c r="I675" t="n">
        <v>0</v>
      </c>
      <c r="J675" t="n">
        <v>0</v>
      </c>
      <c r="K675" t="n">
        <v>0</v>
      </c>
      <c r="L675" t="n">
        <v>0</v>
      </c>
      <c r="M675" t="n">
        <v>0</v>
      </c>
      <c r="N675" t="n">
        <v>0</v>
      </c>
      <c r="O675" t="n">
        <v>0</v>
      </c>
      <c r="P675" t="n">
        <v>0</v>
      </c>
      <c r="Q675" t="n">
        <v>0</v>
      </c>
      <c r="R675" s="2" t="inlineStr"/>
    </row>
    <row r="676" ht="15" customHeight="1">
      <c r="A676" t="inlineStr">
        <is>
          <t>A 13687-2025</t>
        </is>
      </c>
      <c r="B676" s="1" t="n">
        <v>45737.31425925926</v>
      </c>
      <c r="C676" s="1" t="n">
        <v>45916</v>
      </c>
      <c r="D676" t="inlineStr">
        <is>
          <t>ÖSTERGÖTLANDS LÄN</t>
        </is>
      </c>
      <c r="E676" t="inlineStr">
        <is>
          <t>LINKÖPING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13688-2025</t>
        </is>
      </c>
      <c r="B677" s="1" t="n">
        <v>45737.3153125</v>
      </c>
      <c r="C677" s="1" t="n">
        <v>45916</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13695-2025</t>
        </is>
      </c>
      <c r="B678" s="1" t="n">
        <v>45737.32219907407</v>
      </c>
      <c r="C678" s="1" t="n">
        <v>45916</v>
      </c>
      <c r="D678" t="inlineStr">
        <is>
          <t>ÖSTERGÖTLANDS LÄN</t>
        </is>
      </c>
      <c r="E678" t="inlineStr">
        <is>
          <t>LINKÖPING</t>
        </is>
      </c>
      <c r="G678" t="n">
        <v>5.3</v>
      </c>
      <c r="H678" t="n">
        <v>0</v>
      </c>
      <c r="I678" t="n">
        <v>0</v>
      </c>
      <c r="J678" t="n">
        <v>0</v>
      </c>
      <c r="K678" t="n">
        <v>0</v>
      </c>
      <c r="L678" t="n">
        <v>0</v>
      </c>
      <c r="M678" t="n">
        <v>0</v>
      </c>
      <c r="N678" t="n">
        <v>0</v>
      </c>
      <c r="O678" t="n">
        <v>0</v>
      </c>
      <c r="P678" t="n">
        <v>0</v>
      </c>
      <c r="Q678" t="n">
        <v>0</v>
      </c>
      <c r="R678" s="2" t="inlineStr"/>
    </row>
    <row r="679">
      <c r="A679" t="inlineStr">
        <is>
          <t>A 20294-2025</t>
        </is>
      </c>
      <c r="B679" s="1" t="n">
        <v>45774.74667824074</v>
      </c>
      <c r="C679" s="1" t="n">
        <v>45916</v>
      </c>
      <c r="D679" t="inlineStr">
        <is>
          <t>ÖSTERGÖTLANDS LÄN</t>
        </is>
      </c>
      <c r="E679" t="inlineStr">
        <is>
          <t>LINKÖPING</t>
        </is>
      </c>
      <c r="G679" t="n">
        <v>1.4</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2025-09-16T08:53:45Z</dcterms:created>
  <dcterms:modified xmlns:dcterms="http://purl.org/dc/terms/" xmlns:xsi="http://www.w3.org/2001/XMLSchema-instance" xsi:type="dcterms:W3CDTF">2025-09-16T08:53:45Z</dcterms:modified>
</cp:coreProperties>
</file>