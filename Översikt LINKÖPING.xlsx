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45893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45893</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45893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45893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45893</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45893</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45893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45893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45893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45893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45893</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45893</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55341-2024</t>
        </is>
      </c>
      <c r="B15" s="1" t="n">
        <v>45621.71255787037</v>
      </c>
      <c r="C15" s="1" t="n">
        <v>45893</v>
      </c>
      <c r="D15" t="inlineStr">
        <is>
          <t>ÖSTERGÖTLANDS LÄN</t>
        </is>
      </c>
      <c r="E15" t="inlineStr">
        <is>
          <t>LINKÖPING</t>
        </is>
      </c>
      <c r="G15" t="n">
        <v>4.3</v>
      </c>
      <c r="H15" t="n">
        <v>0</v>
      </c>
      <c r="I15" t="n">
        <v>2</v>
      </c>
      <c r="J15" t="n">
        <v>0</v>
      </c>
      <c r="K15" t="n">
        <v>1</v>
      </c>
      <c r="L15" t="n">
        <v>0</v>
      </c>
      <c r="M15" t="n">
        <v>0</v>
      </c>
      <c r="N15" t="n">
        <v>0</v>
      </c>
      <c r="O15" t="n">
        <v>1</v>
      </c>
      <c r="P15" t="n">
        <v>1</v>
      </c>
      <c r="Q15" t="n">
        <v>3</v>
      </c>
      <c r="R15" s="2" t="inlineStr">
        <is>
          <t>Rynkskinn
Barkticka
Smal svampklubba</t>
        </is>
      </c>
      <c r="S15">
        <f>HYPERLINK("https://klasma.github.io/Logging_0580/artfynd/A 55341-2024 artfynd.xlsx", "A 55341-2024")</f>
        <v/>
      </c>
      <c r="T15">
        <f>HYPERLINK("https://klasma.github.io/Logging_0580/kartor/A 55341-2024 karta.png", "A 55341-2024")</f>
        <v/>
      </c>
      <c r="V15">
        <f>HYPERLINK("https://klasma.github.io/Logging_0580/klagomål/A 55341-2024 FSC-klagomål.docx", "A 55341-2024")</f>
        <v/>
      </c>
      <c r="W15">
        <f>HYPERLINK("https://klasma.github.io/Logging_0580/klagomålsmail/A 55341-2024 FSC-klagomål mail.docx", "A 55341-2024")</f>
        <v/>
      </c>
      <c r="X15">
        <f>HYPERLINK("https://klasma.github.io/Logging_0580/tillsyn/A 55341-2024 tillsynsbegäran.docx", "A 55341-2024")</f>
        <v/>
      </c>
      <c r="Y15">
        <f>HYPERLINK("https://klasma.github.io/Logging_0580/tillsynsmail/A 55341-2024 tillsynsbegäran mail.docx", "A 55341-2024")</f>
        <v/>
      </c>
    </row>
    <row r="16" ht="15" customHeight="1">
      <c r="A16" t="inlineStr">
        <is>
          <t>A 577-2025</t>
        </is>
      </c>
      <c r="B16" s="1" t="n">
        <v>45664.56525462963</v>
      </c>
      <c r="C16" s="1" t="n">
        <v>45893</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45893</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9192-2025</t>
        </is>
      </c>
      <c r="B18" s="1" t="n">
        <v>45714.45943287037</v>
      </c>
      <c r="C18" s="1" t="n">
        <v>45893</v>
      </c>
      <c r="D18" t="inlineStr">
        <is>
          <t>ÖSTERGÖTLANDS LÄN</t>
        </is>
      </c>
      <c r="E18" t="inlineStr">
        <is>
          <t>LINKÖPING</t>
        </is>
      </c>
      <c r="F18" t="inlineStr">
        <is>
          <t>Allmännings- och besparingsskogar</t>
        </is>
      </c>
      <c r="G18" t="n">
        <v>17.4</v>
      </c>
      <c r="H18" t="n">
        <v>2</v>
      </c>
      <c r="I18" t="n">
        <v>2</v>
      </c>
      <c r="J18" t="n">
        <v>0</v>
      </c>
      <c r="K18" t="n">
        <v>0</v>
      </c>
      <c r="L18" t="n">
        <v>0</v>
      </c>
      <c r="M18" t="n">
        <v>0</v>
      </c>
      <c r="N18" t="n">
        <v>0</v>
      </c>
      <c r="O18" t="n">
        <v>0</v>
      </c>
      <c r="P18" t="n">
        <v>0</v>
      </c>
      <c r="Q18" t="n">
        <v>3</v>
      </c>
      <c r="R18" s="2" t="inlineStr">
        <is>
          <t>Purpurknipprot
Svart jordtunga
Fläcknycklar</t>
        </is>
      </c>
      <c r="S18">
        <f>HYPERLINK("https://klasma.github.io/Logging_0580/artfynd/A 9192-2025 artfynd.xlsx", "A 9192-2025")</f>
        <v/>
      </c>
      <c r="T18">
        <f>HYPERLINK("https://klasma.github.io/Logging_0580/kartor/A 9192-2025 karta.png", "A 9192-2025")</f>
        <v/>
      </c>
      <c r="V18">
        <f>HYPERLINK("https://klasma.github.io/Logging_0580/klagomål/A 9192-2025 FSC-klagomål.docx", "A 9192-2025")</f>
        <v/>
      </c>
      <c r="W18">
        <f>HYPERLINK("https://klasma.github.io/Logging_0580/klagomålsmail/A 9192-2025 FSC-klagomål mail.docx", "A 9192-2025")</f>
        <v/>
      </c>
      <c r="X18">
        <f>HYPERLINK("https://klasma.github.io/Logging_0580/tillsyn/A 9192-2025 tillsynsbegäran.docx", "A 9192-2025")</f>
        <v/>
      </c>
      <c r="Y18">
        <f>HYPERLINK("https://klasma.github.io/Logging_0580/tillsynsmail/A 9192-2025 tillsynsbegäran mail.docx", "A 9192-2025")</f>
        <v/>
      </c>
    </row>
    <row r="19" ht="15" customHeight="1">
      <c r="A19" t="inlineStr">
        <is>
          <t>A 44668-2020</t>
        </is>
      </c>
      <c r="B19" s="1" t="n">
        <v>44085</v>
      </c>
      <c r="C19" s="1" t="n">
        <v>45893</v>
      </c>
      <c r="D19" t="inlineStr">
        <is>
          <t>ÖSTERGÖTLANDS LÄN</t>
        </is>
      </c>
      <c r="E19" t="inlineStr">
        <is>
          <t>LINKÖPING</t>
        </is>
      </c>
      <c r="G19" t="n">
        <v>15.2</v>
      </c>
      <c r="H19" t="n">
        <v>0</v>
      </c>
      <c r="I19" t="n">
        <v>0</v>
      </c>
      <c r="J19" t="n">
        <v>2</v>
      </c>
      <c r="K19" t="n">
        <v>0</v>
      </c>
      <c r="L19" t="n">
        <v>0</v>
      </c>
      <c r="M19" t="n">
        <v>1</v>
      </c>
      <c r="N19" t="n">
        <v>0</v>
      </c>
      <c r="O19" t="n">
        <v>3</v>
      </c>
      <c r="P19" t="n">
        <v>1</v>
      </c>
      <c r="Q19" t="n">
        <v>3</v>
      </c>
      <c r="R19" s="2" t="inlineStr">
        <is>
          <t>Skogsalm
Riddarsporre
Sommarfibbla</t>
        </is>
      </c>
      <c r="S19">
        <f>HYPERLINK("https://klasma.github.io/Logging_0580/artfynd/A 44668-2020 artfynd.xlsx", "A 44668-2020")</f>
        <v/>
      </c>
      <c r="T19">
        <f>HYPERLINK("https://klasma.github.io/Logging_0580/kartor/A 44668-2020 karta.png", "A 44668-2020")</f>
        <v/>
      </c>
      <c r="V19">
        <f>HYPERLINK("https://klasma.github.io/Logging_0580/klagomål/A 44668-2020 FSC-klagomål.docx", "A 44668-2020")</f>
        <v/>
      </c>
      <c r="W19">
        <f>HYPERLINK("https://klasma.github.io/Logging_0580/klagomålsmail/A 44668-2020 FSC-klagomål mail.docx", "A 44668-2020")</f>
        <v/>
      </c>
      <c r="X19">
        <f>HYPERLINK("https://klasma.github.io/Logging_0580/tillsyn/A 44668-2020 tillsynsbegäran.docx", "A 44668-2020")</f>
        <v/>
      </c>
      <c r="Y19">
        <f>HYPERLINK("https://klasma.github.io/Logging_0580/tillsynsmail/A 44668-2020 tillsynsbegäran mail.docx", "A 44668-2020")</f>
        <v/>
      </c>
    </row>
    <row r="20" ht="15" customHeight="1">
      <c r="A20" t="inlineStr">
        <is>
          <t>A 17520-2022</t>
        </is>
      </c>
      <c r="B20" s="1" t="n">
        <v>44679</v>
      </c>
      <c r="C20" s="1" t="n">
        <v>45893</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49188-2024</t>
        </is>
      </c>
      <c r="B21" s="1" t="n">
        <v>45595</v>
      </c>
      <c r="C21" s="1" t="n">
        <v>45893</v>
      </c>
      <c r="D21" t="inlineStr">
        <is>
          <t>ÖSTERGÖTLANDS LÄN</t>
        </is>
      </c>
      <c r="E21" t="inlineStr">
        <is>
          <t>LINKÖPING</t>
        </is>
      </c>
      <c r="G21" t="n">
        <v>3.1</v>
      </c>
      <c r="H21" t="n">
        <v>0</v>
      </c>
      <c r="I21" t="n">
        <v>0</v>
      </c>
      <c r="J21" t="n">
        <v>0</v>
      </c>
      <c r="K21" t="n">
        <v>0</v>
      </c>
      <c r="L21" t="n">
        <v>1</v>
      </c>
      <c r="M21" t="n">
        <v>1</v>
      </c>
      <c r="N21" t="n">
        <v>0</v>
      </c>
      <c r="O21" t="n">
        <v>2</v>
      </c>
      <c r="P21" t="n">
        <v>2</v>
      </c>
      <c r="Q21" t="n">
        <v>2</v>
      </c>
      <c r="R21" s="2" t="inlineStr">
        <is>
          <t>Skogsalm
Ask</t>
        </is>
      </c>
      <c r="S21">
        <f>HYPERLINK("https://klasma.github.io/Logging_0580/artfynd/A 49188-2024 artfynd.xlsx", "A 49188-2024")</f>
        <v/>
      </c>
      <c r="T21">
        <f>HYPERLINK("https://klasma.github.io/Logging_0580/kartor/A 49188-2024 karta.png", "A 49188-2024")</f>
        <v/>
      </c>
      <c r="V21">
        <f>HYPERLINK("https://klasma.github.io/Logging_0580/klagomål/A 49188-2024 FSC-klagomål.docx", "A 49188-2024")</f>
        <v/>
      </c>
      <c r="W21">
        <f>HYPERLINK("https://klasma.github.io/Logging_0580/klagomålsmail/A 49188-2024 FSC-klagomål mail.docx", "A 49188-2024")</f>
        <v/>
      </c>
      <c r="X21">
        <f>HYPERLINK("https://klasma.github.io/Logging_0580/tillsyn/A 49188-2024 tillsynsbegäran.docx", "A 49188-2024")</f>
        <v/>
      </c>
      <c r="Y21">
        <f>HYPERLINK("https://klasma.github.io/Logging_0580/tillsynsmail/A 49188-2024 tillsynsbegäran mail.docx", "A 49188-2024")</f>
        <v/>
      </c>
    </row>
    <row r="22" ht="15" customHeight="1">
      <c r="A22" t="inlineStr">
        <is>
          <t>A 38137-2021</t>
        </is>
      </c>
      <c r="B22" s="1" t="n">
        <v>44405.38357638889</v>
      </c>
      <c r="C22" s="1" t="n">
        <v>45893</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11613-2025</t>
        </is>
      </c>
      <c r="B23" s="1" t="n">
        <v>45727.44623842592</v>
      </c>
      <c r="C23" s="1" t="n">
        <v>45893</v>
      </c>
      <c r="D23" t="inlineStr">
        <is>
          <t>ÖSTERGÖTLANDS LÄN</t>
        </is>
      </c>
      <c r="E23" t="inlineStr">
        <is>
          <t>LINKÖPING</t>
        </is>
      </c>
      <c r="G23" t="n">
        <v>5.7</v>
      </c>
      <c r="H23" t="n">
        <v>1</v>
      </c>
      <c r="I23" t="n">
        <v>1</v>
      </c>
      <c r="J23" t="n">
        <v>0</v>
      </c>
      <c r="K23" t="n">
        <v>1</v>
      </c>
      <c r="L23" t="n">
        <v>0</v>
      </c>
      <c r="M23" t="n">
        <v>0</v>
      </c>
      <c r="N23" t="n">
        <v>0</v>
      </c>
      <c r="O23" t="n">
        <v>1</v>
      </c>
      <c r="P23" t="n">
        <v>1</v>
      </c>
      <c r="Q23" t="n">
        <v>2</v>
      </c>
      <c r="R23" s="2" t="inlineStr">
        <is>
          <t>Knärot
Grönpyrola</t>
        </is>
      </c>
      <c r="S23">
        <f>HYPERLINK("https://klasma.github.io/Logging_0580/artfynd/A 11613-2025 artfynd.xlsx", "A 11613-2025")</f>
        <v/>
      </c>
      <c r="T23">
        <f>HYPERLINK("https://klasma.github.io/Logging_0580/kartor/A 11613-2025 karta.png", "A 11613-2025")</f>
        <v/>
      </c>
      <c r="U23">
        <f>HYPERLINK("https://klasma.github.io/Logging_0580/knärot/A 11613-2025 karta knärot.png", "A 11613-2025")</f>
        <v/>
      </c>
      <c r="V23">
        <f>HYPERLINK("https://klasma.github.io/Logging_0580/klagomål/A 11613-2025 FSC-klagomål.docx", "A 11613-2025")</f>
        <v/>
      </c>
      <c r="W23">
        <f>HYPERLINK("https://klasma.github.io/Logging_0580/klagomålsmail/A 11613-2025 FSC-klagomål mail.docx", "A 11613-2025")</f>
        <v/>
      </c>
      <c r="X23">
        <f>HYPERLINK("https://klasma.github.io/Logging_0580/tillsyn/A 11613-2025 tillsynsbegäran.docx", "A 11613-2025")</f>
        <v/>
      </c>
      <c r="Y23">
        <f>HYPERLINK("https://klasma.github.io/Logging_0580/tillsynsmail/A 11613-2025 tillsynsbegäran mail.docx", "A 11613-2025")</f>
        <v/>
      </c>
    </row>
    <row r="24" ht="15" customHeight="1">
      <c r="A24" t="inlineStr">
        <is>
          <t>A 42858-2023</t>
        </is>
      </c>
      <c r="B24" s="1" t="n">
        <v>45177</v>
      </c>
      <c r="C24" s="1" t="n">
        <v>45893</v>
      </c>
      <c r="D24" t="inlineStr">
        <is>
          <t>ÖSTERGÖTLANDS LÄN</t>
        </is>
      </c>
      <c r="E24" t="inlineStr">
        <is>
          <t>LINKÖPING</t>
        </is>
      </c>
      <c r="G24" t="n">
        <v>5.3</v>
      </c>
      <c r="H24" t="n">
        <v>1</v>
      </c>
      <c r="I24" t="n">
        <v>0</v>
      </c>
      <c r="J24" t="n">
        <v>1</v>
      </c>
      <c r="K24" t="n">
        <v>0</v>
      </c>
      <c r="L24" t="n">
        <v>0</v>
      </c>
      <c r="M24" t="n">
        <v>0</v>
      </c>
      <c r="N24" t="n">
        <v>0</v>
      </c>
      <c r="O24" t="n">
        <v>1</v>
      </c>
      <c r="P24" t="n">
        <v>0</v>
      </c>
      <c r="Q24" t="n">
        <v>2</v>
      </c>
      <c r="R24" s="2" t="inlineStr">
        <is>
          <t>Svinrot
Skogsödla</t>
        </is>
      </c>
      <c r="S24">
        <f>HYPERLINK("https://klasma.github.io/Logging_0580/artfynd/A 42858-2023 artfynd.xlsx", "A 42858-2023")</f>
        <v/>
      </c>
      <c r="T24">
        <f>HYPERLINK("https://klasma.github.io/Logging_0580/kartor/A 42858-2023 karta.png", "A 42858-2023")</f>
        <v/>
      </c>
      <c r="V24">
        <f>HYPERLINK("https://klasma.github.io/Logging_0580/klagomål/A 42858-2023 FSC-klagomål.docx", "A 42858-2023")</f>
        <v/>
      </c>
      <c r="W24">
        <f>HYPERLINK("https://klasma.github.io/Logging_0580/klagomålsmail/A 42858-2023 FSC-klagomål mail.docx", "A 42858-2023")</f>
        <v/>
      </c>
      <c r="X24">
        <f>HYPERLINK("https://klasma.github.io/Logging_0580/tillsyn/A 42858-2023 tillsynsbegäran.docx", "A 42858-2023")</f>
        <v/>
      </c>
      <c r="Y24">
        <f>HYPERLINK("https://klasma.github.io/Logging_0580/tillsynsmail/A 42858-2023 tillsynsbegäran mail.docx", "A 42858-2023")</f>
        <v/>
      </c>
    </row>
    <row r="25" ht="15" customHeight="1">
      <c r="A25" t="inlineStr">
        <is>
          <t>A 27981-2022</t>
        </is>
      </c>
      <c r="B25" s="1" t="n">
        <v>44745</v>
      </c>
      <c r="C25" s="1" t="n">
        <v>45893</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55344-2024</t>
        </is>
      </c>
      <c r="B26" s="1" t="n">
        <v>45621.7202662037</v>
      </c>
      <c r="C26" s="1" t="n">
        <v>45893</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50404-2023</t>
        </is>
      </c>
      <c r="B27" s="1" t="n">
        <v>45216</v>
      </c>
      <c r="C27" s="1" t="n">
        <v>45893</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21326-2025</t>
        </is>
      </c>
      <c r="B28" s="1" t="n">
        <v>45782.35407407407</v>
      </c>
      <c r="C28" s="1" t="n">
        <v>45893</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20292-2025</t>
        </is>
      </c>
      <c r="B29" s="1" t="n">
        <v>45774.7449537037</v>
      </c>
      <c r="C29" s="1" t="n">
        <v>45893</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45893</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25985-2025</t>
        </is>
      </c>
      <c r="B31" s="1" t="n">
        <v>45804.64479166667</v>
      </c>
      <c r="C31" s="1" t="n">
        <v>45893</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14879-2024</t>
        </is>
      </c>
      <c r="B32" s="1" t="n">
        <v>45398</v>
      </c>
      <c r="C32" s="1" t="n">
        <v>45893</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45893</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27795-2025</t>
        </is>
      </c>
      <c r="B34" s="1" t="n">
        <v>45816.7908912037</v>
      </c>
      <c r="C34" s="1" t="n">
        <v>45893</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38913-2023</t>
        </is>
      </c>
      <c r="B35" s="1" t="n">
        <v>45163</v>
      </c>
      <c r="C35" s="1" t="n">
        <v>45893</v>
      </c>
      <c r="D35" t="inlineStr">
        <is>
          <t>ÖSTERGÖTLANDS LÄN</t>
        </is>
      </c>
      <c r="E35" t="inlineStr">
        <is>
          <t>LINKÖPING</t>
        </is>
      </c>
      <c r="G35" t="n">
        <v>2.7</v>
      </c>
      <c r="H35" t="n">
        <v>1</v>
      </c>
      <c r="I35" t="n">
        <v>1</v>
      </c>
      <c r="J35" t="n">
        <v>0</v>
      </c>
      <c r="K35" t="n">
        <v>0</v>
      </c>
      <c r="L35" t="n">
        <v>0</v>
      </c>
      <c r="M35" t="n">
        <v>0</v>
      </c>
      <c r="N35" t="n">
        <v>0</v>
      </c>
      <c r="O35" t="n">
        <v>0</v>
      </c>
      <c r="P35" t="n">
        <v>0</v>
      </c>
      <c r="Q35" t="n">
        <v>2</v>
      </c>
      <c r="R35" s="2" t="inlineStr">
        <is>
          <t>Skogsbräsma
Revlummer</t>
        </is>
      </c>
      <c r="S35">
        <f>HYPERLINK("https://klasma.github.io/Logging_0580/artfynd/A 38913-2023 artfynd.xlsx", "A 38913-2023")</f>
        <v/>
      </c>
      <c r="T35">
        <f>HYPERLINK("https://klasma.github.io/Logging_0580/kartor/A 38913-2023 karta.png", "A 38913-2023")</f>
        <v/>
      </c>
      <c r="V35">
        <f>HYPERLINK("https://klasma.github.io/Logging_0580/klagomål/A 38913-2023 FSC-klagomål.docx", "A 38913-2023")</f>
        <v/>
      </c>
      <c r="W35">
        <f>HYPERLINK("https://klasma.github.io/Logging_0580/klagomålsmail/A 38913-2023 FSC-klagomål mail.docx", "A 38913-2023")</f>
        <v/>
      </c>
      <c r="X35">
        <f>HYPERLINK("https://klasma.github.io/Logging_0580/tillsyn/A 38913-2023 tillsynsbegäran.docx", "A 38913-2023")</f>
        <v/>
      </c>
      <c r="Y35">
        <f>HYPERLINK("https://klasma.github.io/Logging_0580/tillsynsmail/A 38913-2023 tillsynsbegäran mail.docx", "A 38913-2023")</f>
        <v/>
      </c>
    </row>
    <row r="36" ht="15" customHeight="1">
      <c r="A36" t="inlineStr">
        <is>
          <t>A 58068-2021</t>
        </is>
      </c>
      <c r="B36" s="1" t="n">
        <v>44487</v>
      </c>
      <c r="C36" s="1" t="n">
        <v>45893</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41751-2023</t>
        </is>
      </c>
      <c r="B37" s="1" t="n">
        <v>45176</v>
      </c>
      <c r="C37" s="1" t="n">
        <v>45893</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38129-2021</t>
        </is>
      </c>
      <c r="B38" s="1" t="n">
        <v>44405.37199074074</v>
      </c>
      <c r="C38" s="1" t="n">
        <v>45893</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45893</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45893</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46496-2022</t>
        </is>
      </c>
      <c r="B41" s="1" t="n">
        <v>44848</v>
      </c>
      <c r="C41" s="1" t="n">
        <v>45893</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45893</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45893</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56128-2022</t>
        </is>
      </c>
      <c r="B44" s="1" t="n">
        <v>44889</v>
      </c>
      <c r="C44" s="1" t="n">
        <v>45893</v>
      </c>
      <c r="D44" t="inlineStr">
        <is>
          <t>ÖSTERGÖTLANDS LÄN</t>
        </is>
      </c>
      <c r="E44" t="inlineStr">
        <is>
          <t>LINKÖPING</t>
        </is>
      </c>
      <c r="G44" t="n">
        <v>2</v>
      </c>
      <c r="H44" t="n">
        <v>0</v>
      </c>
      <c r="I44" t="n">
        <v>1</v>
      </c>
      <c r="J44" t="n">
        <v>0</v>
      </c>
      <c r="K44" t="n">
        <v>0</v>
      </c>
      <c r="L44" t="n">
        <v>0</v>
      </c>
      <c r="M44" t="n">
        <v>0</v>
      </c>
      <c r="N44" t="n">
        <v>0</v>
      </c>
      <c r="O44" t="n">
        <v>0</v>
      </c>
      <c r="P44" t="n">
        <v>0</v>
      </c>
      <c r="Q44" t="n">
        <v>1</v>
      </c>
      <c r="R44" s="2" t="inlineStr">
        <is>
          <t>Tibast</t>
        </is>
      </c>
      <c r="S44">
        <f>HYPERLINK("https://klasma.github.io/Logging_0580/artfynd/A 56128-2022 artfynd.xlsx", "A 56128-2022")</f>
        <v/>
      </c>
      <c r="T44">
        <f>HYPERLINK("https://klasma.github.io/Logging_0580/kartor/A 56128-2022 karta.png", "A 56128-2022")</f>
        <v/>
      </c>
      <c r="V44">
        <f>HYPERLINK("https://klasma.github.io/Logging_0580/klagomål/A 56128-2022 FSC-klagomål.docx", "A 56128-2022")</f>
        <v/>
      </c>
      <c r="W44">
        <f>HYPERLINK("https://klasma.github.io/Logging_0580/klagomålsmail/A 56128-2022 FSC-klagomål mail.docx", "A 56128-2022")</f>
        <v/>
      </c>
      <c r="X44">
        <f>HYPERLINK("https://klasma.github.io/Logging_0580/tillsyn/A 56128-2022 tillsynsbegäran.docx", "A 56128-2022")</f>
        <v/>
      </c>
      <c r="Y44">
        <f>HYPERLINK("https://klasma.github.io/Logging_0580/tillsynsmail/A 56128-2022 tillsynsbegäran mail.docx", "A 56128-2022")</f>
        <v/>
      </c>
    </row>
    <row r="45" ht="15" customHeight="1">
      <c r="A45" t="inlineStr">
        <is>
          <t>A 14096-2021</t>
        </is>
      </c>
      <c r="B45" s="1" t="n">
        <v>44278</v>
      </c>
      <c r="C45" s="1" t="n">
        <v>45893</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40309-2024</t>
        </is>
      </c>
      <c r="B46" s="1" t="n">
        <v>45554.724375</v>
      </c>
      <c r="C46" s="1" t="n">
        <v>45893</v>
      </c>
      <c r="D46" t="inlineStr">
        <is>
          <t>ÖSTERGÖTLANDS LÄN</t>
        </is>
      </c>
      <c r="E46" t="inlineStr">
        <is>
          <t>LINKÖPING</t>
        </is>
      </c>
      <c r="F46" t="inlineStr">
        <is>
          <t>Allmännings- och besparingsskogar</t>
        </is>
      </c>
      <c r="G46" t="n">
        <v>6</v>
      </c>
      <c r="H46" t="n">
        <v>0</v>
      </c>
      <c r="I46" t="n">
        <v>0</v>
      </c>
      <c r="J46" t="n">
        <v>1</v>
      </c>
      <c r="K46" t="n">
        <v>0</v>
      </c>
      <c r="L46" t="n">
        <v>0</v>
      </c>
      <c r="M46" t="n">
        <v>0</v>
      </c>
      <c r="N46" t="n">
        <v>0</v>
      </c>
      <c r="O46" t="n">
        <v>1</v>
      </c>
      <c r="P46" t="n">
        <v>0</v>
      </c>
      <c r="Q46" t="n">
        <v>1</v>
      </c>
      <c r="R46" s="2" t="inlineStr">
        <is>
          <t>Garnlav</t>
        </is>
      </c>
      <c r="S46">
        <f>HYPERLINK("https://klasma.github.io/Logging_0580/artfynd/A 40309-2024 artfynd.xlsx", "A 40309-2024")</f>
        <v/>
      </c>
      <c r="T46">
        <f>HYPERLINK("https://klasma.github.io/Logging_0580/kartor/A 40309-2024 karta.png", "A 40309-2024")</f>
        <v/>
      </c>
      <c r="V46">
        <f>HYPERLINK("https://klasma.github.io/Logging_0580/klagomål/A 40309-2024 FSC-klagomål.docx", "A 40309-2024")</f>
        <v/>
      </c>
      <c r="W46">
        <f>HYPERLINK("https://klasma.github.io/Logging_0580/klagomålsmail/A 40309-2024 FSC-klagomål mail.docx", "A 40309-2024")</f>
        <v/>
      </c>
      <c r="X46">
        <f>HYPERLINK("https://klasma.github.io/Logging_0580/tillsyn/A 40309-2024 tillsynsbegäran.docx", "A 40309-2024")</f>
        <v/>
      </c>
      <c r="Y46">
        <f>HYPERLINK("https://klasma.github.io/Logging_0580/tillsynsmail/A 40309-2024 tillsynsbegäran mail.docx", "A 40309-2024")</f>
        <v/>
      </c>
    </row>
    <row r="47" ht="15" customHeight="1">
      <c r="A47" t="inlineStr">
        <is>
          <t>A 931-2025</t>
        </is>
      </c>
      <c r="B47" s="1" t="n">
        <v>45665.88498842593</v>
      </c>
      <c r="C47" s="1" t="n">
        <v>45893</v>
      </c>
      <c r="D47" t="inlineStr">
        <is>
          <t>ÖSTERGÖTLANDS LÄN</t>
        </is>
      </c>
      <c r="E47" t="inlineStr">
        <is>
          <t>LINKÖPING</t>
        </is>
      </c>
      <c r="F47" t="inlineStr">
        <is>
          <t>Övriga Aktiebolag</t>
        </is>
      </c>
      <c r="G47" t="n">
        <v>0.8</v>
      </c>
      <c r="H47" t="n">
        <v>0</v>
      </c>
      <c r="I47" t="n">
        <v>0</v>
      </c>
      <c r="J47" t="n">
        <v>1</v>
      </c>
      <c r="K47" t="n">
        <v>0</v>
      </c>
      <c r="L47" t="n">
        <v>0</v>
      </c>
      <c r="M47" t="n">
        <v>0</v>
      </c>
      <c r="N47" t="n">
        <v>0</v>
      </c>
      <c r="O47" t="n">
        <v>1</v>
      </c>
      <c r="P47" t="n">
        <v>0</v>
      </c>
      <c r="Q47" t="n">
        <v>1</v>
      </c>
      <c r="R47" s="2" t="inlineStr">
        <is>
          <t>Tallticka</t>
        </is>
      </c>
      <c r="S47">
        <f>HYPERLINK("https://klasma.github.io/Logging_0580/artfynd/A 931-2025 artfynd.xlsx", "A 931-2025")</f>
        <v/>
      </c>
      <c r="T47">
        <f>HYPERLINK("https://klasma.github.io/Logging_0580/kartor/A 931-2025 karta.png", "A 931-2025")</f>
        <v/>
      </c>
      <c r="V47">
        <f>HYPERLINK("https://klasma.github.io/Logging_0580/klagomål/A 931-2025 FSC-klagomål.docx", "A 931-2025")</f>
        <v/>
      </c>
      <c r="W47">
        <f>HYPERLINK("https://klasma.github.io/Logging_0580/klagomålsmail/A 931-2025 FSC-klagomål mail.docx", "A 931-2025")</f>
        <v/>
      </c>
      <c r="X47">
        <f>HYPERLINK("https://klasma.github.io/Logging_0580/tillsyn/A 931-2025 tillsynsbegäran.docx", "A 931-2025")</f>
        <v/>
      </c>
      <c r="Y47">
        <f>HYPERLINK("https://klasma.github.io/Logging_0580/tillsynsmail/A 931-2025 tillsynsbegäran mail.docx", "A 931-2025")</f>
        <v/>
      </c>
    </row>
    <row r="48" ht="15" customHeight="1">
      <c r="A48" t="inlineStr">
        <is>
          <t>A 54835-2023</t>
        </is>
      </c>
      <c r="B48" s="1" t="n">
        <v>45236</v>
      </c>
      <c r="C48" s="1" t="n">
        <v>45893</v>
      </c>
      <c r="D48" t="inlineStr">
        <is>
          <t>ÖSTERGÖTLANDS LÄN</t>
        </is>
      </c>
      <c r="E48" t="inlineStr">
        <is>
          <t>LINKÖPING</t>
        </is>
      </c>
      <c r="G48" t="n">
        <v>2</v>
      </c>
      <c r="H48" t="n">
        <v>1</v>
      </c>
      <c r="I48" t="n">
        <v>0</v>
      </c>
      <c r="J48" t="n">
        <v>0</v>
      </c>
      <c r="K48" t="n">
        <v>0</v>
      </c>
      <c r="L48" t="n">
        <v>0</v>
      </c>
      <c r="M48" t="n">
        <v>0</v>
      </c>
      <c r="N48" t="n">
        <v>0</v>
      </c>
      <c r="O48" t="n">
        <v>0</v>
      </c>
      <c r="P48" t="n">
        <v>0</v>
      </c>
      <c r="Q48" t="n">
        <v>1</v>
      </c>
      <c r="R48" s="2" t="inlineStr">
        <is>
          <t>Sparvuggla</t>
        </is>
      </c>
      <c r="S48">
        <f>HYPERLINK("https://klasma.github.io/Logging_0580/artfynd/A 54835-2023 artfynd.xlsx", "A 54835-2023")</f>
        <v/>
      </c>
      <c r="T48">
        <f>HYPERLINK("https://klasma.github.io/Logging_0580/kartor/A 54835-2023 karta.png", "A 54835-2023")</f>
        <v/>
      </c>
      <c r="V48">
        <f>HYPERLINK("https://klasma.github.io/Logging_0580/klagomål/A 54835-2023 FSC-klagomål.docx", "A 54835-2023")</f>
        <v/>
      </c>
      <c r="W48">
        <f>HYPERLINK("https://klasma.github.io/Logging_0580/klagomålsmail/A 54835-2023 FSC-klagomål mail.docx", "A 54835-2023")</f>
        <v/>
      </c>
      <c r="X48">
        <f>HYPERLINK("https://klasma.github.io/Logging_0580/tillsyn/A 54835-2023 tillsynsbegäran.docx", "A 54835-2023")</f>
        <v/>
      </c>
      <c r="Y48">
        <f>HYPERLINK("https://klasma.github.io/Logging_0580/tillsynsmail/A 54835-2023 tillsynsbegäran mail.docx", "A 54835-2023")</f>
        <v/>
      </c>
      <c r="Z48">
        <f>HYPERLINK("https://klasma.github.io/Logging_0580/fåglar/A 54835-2023 prioriterade fågelarter.docx", "A 54835-2023")</f>
        <v/>
      </c>
    </row>
    <row r="49" ht="15" customHeight="1">
      <c r="A49" t="inlineStr">
        <is>
          <t>A 1716-2023</t>
        </is>
      </c>
      <c r="B49" s="1" t="n">
        <v>44938</v>
      </c>
      <c r="C49" s="1" t="n">
        <v>45893</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45893</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45893</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20295-2025</t>
        </is>
      </c>
      <c r="B52" s="1" t="n">
        <v>45774.74846064814</v>
      </c>
      <c r="C52" s="1" t="n">
        <v>45893</v>
      </c>
      <c r="D52" t="inlineStr">
        <is>
          <t>ÖSTERGÖTLANDS LÄN</t>
        </is>
      </c>
      <c r="E52" t="inlineStr">
        <is>
          <t>LINKÖPING</t>
        </is>
      </c>
      <c r="G52" t="n">
        <v>3</v>
      </c>
      <c r="H52" t="n">
        <v>0</v>
      </c>
      <c r="I52" t="n">
        <v>0</v>
      </c>
      <c r="J52" t="n">
        <v>1</v>
      </c>
      <c r="K52" t="n">
        <v>0</v>
      </c>
      <c r="L52" t="n">
        <v>0</v>
      </c>
      <c r="M52" t="n">
        <v>0</v>
      </c>
      <c r="N52" t="n">
        <v>0</v>
      </c>
      <c r="O52" t="n">
        <v>1</v>
      </c>
      <c r="P52" t="n">
        <v>0</v>
      </c>
      <c r="Q52" t="n">
        <v>1</v>
      </c>
      <c r="R52" s="2" t="inlineStr">
        <is>
          <t>Tallticka</t>
        </is>
      </c>
      <c r="S52">
        <f>HYPERLINK("https://klasma.github.io/Logging_0580/artfynd/A 20295-2025 artfynd.xlsx", "A 20295-2025")</f>
        <v/>
      </c>
      <c r="T52">
        <f>HYPERLINK("https://klasma.github.io/Logging_0580/kartor/A 20295-2025 karta.png", "A 20295-2025")</f>
        <v/>
      </c>
      <c r="V52">
        <f>HYPERLINK("https://klasma.github.io/Logging_0580/klagomål/A 20295-2025 FSC-klagomål.docx", "A 20295-2025")</f>
        <v/>
      </c>
      <c r="W52">
        <f>HYPERLINK("https://klasma.github.io/Logging_0580/klagomålsmail/A 20295-2025 FSC-klagomål mail.docx", "A 20295-2025")</f>
        <v/>
      </c>
      <c r="X52">
        <f>HYPERLINK("https://klasma.github.io/Logging_0580/tillsyn/A 20295-2025 tillsynsbegäran.docx", "A 20295-2025")</f>
        <v/>
      </c>
      <c r="Y52">
        <f>HYPERLINK("https://klasma.github.io/Logging_0580/tillsynsmail/A 20295-2025 tillsynsbegäran mail.docx", "A 20295-2025")</f>
        <v/>
      </c>
    </row>
    <row r="53" ht="15" customHeight="1">
      <c r="A53" t="inlineStr">
        <is>
          <t>A 5984-2025</t>
        </is>
      </c>
      <c r="B53" s="1" t="n">
        <v>45695.55173611111</v>
      </c>
      <c r="C53" s="1" t="n">
        <v>45893</v>
      </c>
      <c r="D53" t="inlineStr">
        <is>
          <t>ÖSTERGÖTLANDS LÄN</t>
        </is>
      </c>
      <c r="E53" t="inlineStr">
        <is>
          <t>LINKÖPING</t>
        </is>
      </c>
      <c r="F53" t="inlineStr">
        <is>
          <t>Allmännings- och besparingsskogar</t>
        </is>
      </c>
      <c r="G53" t="n">
        <v>5.5</v>
      </c>
      <c r="H53" t="n">
        <v>0</v>
      </c>
      <c r="I53" t="n">
        <v>0</v>
      </c>
      <c r="J53" t="n">
        <v>1</v>
      </c>
      <c r="K53" t="n">
        <v>0</v>
      </c>
      <c r="L53" t="n">
        <v>0</v>
      </c>
      <c r="M53" t="n">
        <v>0</v>
      </c>
      <c r="N53" t="n">
        <v>0</v>
      </c>
      <c r="O53" t="n">
        <v>1</v>
      </c>
      <c r="P53" t="n">
        <v>0</v>
      </c>
      <c r="Q53" t="n">
        <v>1</v>
      </c>
      <c r="R53" s="2" t="inlineStr">
        <is>
          <t>Vanlig backsmörblomma</t>
        </is>
      </c>
      <c r="S53">
        <f>HYPERLINK("https://klasma.github.io/Logging_0580/artfynd/A 5984-2025 artfynd.xlsx", "A 5984-2025")</f>
        <v/>
      </c>
      <c r="T53">
        <f>HYPERLINK("https://klasma.github.io/Logging_0580/kartor/A 5984-2025 karta.png", "A 5984-2025")</f>
        <v/>
      </c>
      <c r="V53">
        <f>HYPERLINK("https://klasma.github.io/Logging_0580/klagomål/A 5984-2025 FSC-klagomål.docx", "A 5984-2025")</f>
        <v/>
      </c>
      <c r="W53">
        <f>HYPERLINK("https://klasma.github.io/Logging_0580/klagomålsmail/A 5984-2025 FSC-klagomål mail.docx", "A 5984-2025")</f>
        <v/>
      </c>
      <c r="X53">
        <f>HYPERLINK("https://klasma.github.io/Logging_0580/tillsyn/A 5984-2025 tillsynsbegäran.docx", "A 5984-2025")</f>
        <v/>
      </c>
      <c r="Y53">
        <f>HYPERLINK("https://klasma.github.io/Logging_0580/tillsynsmail/A 5984-2025 tillsynsbegäran mail.docx", "A 5984-2025")</f>
        <v/>
      </c>
    </row>
    <row r="54" ht="15" customHeight="1">
      <c r="A54" t="inlineStr">
        <is>
          <t>A 126-2024</t>
        </is>
      </c>
      <c r="B54" s="1" t="n">
        <v>45294</v>
      </c>
      <c r="C54" s="1" t="n">
        <v>45893</v>
      </c>
      <c r="D54" t="inlineStr">
        <is>
          <t>ÖSTERGÖTLANDS LÄN</t>
        </is>
      </c>
      <c r="E54" t="inlineStr">
        <is>
          <t>LINKÖPING</t>
        </is>
      </c>
      <c r="G54" t="n">
        <v>1</v>
      </c>
      <c r="H54" t="n">
        <v>0</v>
      </c>
      <c r="I54" t="n">
        <v>1</v>
      </c>
      <c r="J54" t="n">
        <v>0</v>
      </c>
      <c r="K54" t="n">
        <v>0</v>
      </c>
      <c r="L54" t="n">
        <v>0</v>
      </c>
      <c r="M54" t="n">
        <v>0</v>
      </c>
      <c r="N54" t="n">
        <v>0</v>
      </c>
      <c r="O54" t="n">
        <v>0</v>
      </c>
      <c r="P54" t="n">
        <v>0</v>
      </c>
      <c r="Q54" t="n">
        <v>1</v>
      </c>
      <c r="R54" s="2" t="inlineStr">
        <is>
          <t>Blåmossa</t>
        </is>
      </c>
      <c r="S54">
        <f>HYPERLINK("https://klasma.github.io/Logging_0580/artfynd/A 126-2024 artfynd.xlsx", "A 126-2024")</f>
        <v/>
      </c>
      <c r="T54">
        <f>HYPERLINK("https://klasma.github.io/Logging_0580/kartor/A 126-2024 karta.png", "A 126-2024")</f>
        <v/>
      </c>
      <c r="V54">
        <f>HYPERLINK("https://klasma.github.io/Logging_0580/klagomål/A 126-2024 FSC-klagomål.docx", "A 126-2024")</f>
        <v/>
      </c>
      <c r="W54">
        <f>HYPERLINK("https://klasma.github.io/Logging_0580/klagomålsmail/A 126-2024 FSC-klagomål mail.docx", "A 126-2024")</f>
        <v/>
      </c>
      <c r="X54">
        <f>HYPERLINK("https://klasma.github.io/Logging_0580/tillsyn/A 126-2024 tillsynsbegäran.docx", "A 126-2024")</f>
        <v/>
      </c>
      <c r="Y54">
        <f>HYPERLINK("https://klasma.github.io/Logging_0580/tillsynsmail/A 126-2024 tillsynsbegäran mail.docx", "A 126-2024")</f>
        <v/>
      </c>
    </row>
    <row r="55" ht="15" customHeight="1">
      <c r="A55" t="inlineStr">
        <is>
          <t>A 60573-2021</t>
        </is>
      </c>
      <c r="B55" s="1" t="n">
        <v>44496</v>
      </c>
      <c r="C55" s="1" t="n">
        <v>45893</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22526-2025</t>
        </is>
      </c>
      <c r="B56" s="1" t="n">
        <v>45786.78096064815</v>
      </c>
      <c r="C56" s="1" t="n">
        <v>45893</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41749-2023</t>
        </is>
      </c>
      <c r="B57" s="1" t="n">
        <v>45176</v>
      </c>
      <c r="C57" s="1" t="n">
        <v>45893</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13694-2025</t>
        </is>
      </c>
      <c r="B58" s="1" t="n">
        <v>45737.32148148148</v>
      </c>
      <c r="C58" s="1" t="n">
        <v>45893</v>
      </c>
      <c r="D58" t="inlineStr">
        <is>
          <t>ÖSTERGÖTLANDS LÄN</t>
        </is>
      </c>
      <c r="E58" t="inlineStr">
        <is>
          <t>LINKÖPING</t>
        </is>
      </c>
      <c r="G58" t="n">
        <v>9.300000000000001</v>
      </c>
      <c r="H58" t="n">
        <v>1</v>
      </c>
      <c r="I58" t="n">
        <v>0</v>
      </c>
      <c r="J58" t="n">
        <v>0</v>
      </c>
      <c r="K58" t="n">
        <v>0</v>
      </c>
      <c r="L58" t="n">
        <v>0</v>
      </c>
      <c r="M58" t="n">
        <v>0</v>
      </c>
      <c r="N58" t="n">
        <v>0</v>
      </c>
      <c r="O58" t="n">
        <v>0</v>
      </c>
      <c r="P58" t="n">
        <v>0</v>
      </c>
      <c r="Q58" t="n">
        <v>1</v>
      </c>
      <c r="R58" s="2" t="inlineStr">
        <is>
          <t>Mattlummer</t>
        </is>
      </c>
      <c r="S58">
        <f>HYPERLINK("https://klasma.github.io/Logging_0580/artfynd/A 13694-2025 artfynd.xlsx", "A 13694-2025")</f>
        <v/>
      </c>
      <c r="T58">
        <f>HYPERLINK("https://klasma.github.io/Logging_0580/kartor/A 13694-2025 karta.png", "A 13694-2025")</f>
        <v/>
      </c>
      <c r="V58">
        <f>HYPERLINK("https://klasma.github.io/Logging_0580/klagomål/A 13694-2025 FSC-klagomål.docx", "A 13694-2025")</f>
        <v/>
      </c>
      <c r="W58">
        <f>HYPERLINK("https://klasma.github.io/Logging_0580/klagomålsmail/A 13694-2025 FSC-klagomål mail.docx", "A 13694-2025")</f>
        <v/>
      </c>
      <c r="X58">
        <f>HYPERLINK("https://klasma.github.io/Logging_0580/tillsyn/A 13694-2025 tillsynsbegäran.docx", "A 13694-2025")</f>
        <v/>
      </c>
      <c r="Y58">
        <f>HYPERLINK("https://klasma.github.io/Logging_0580/tillsynsmail/A 13694-2025 tillsynsbegäran mail.docx", "A 13694-2025")</f>
        <v/>
      </c>
    </row>
    <row r="59" ht="15" customHeight="1">
      <c r="A59" t="inlineStr">
        <is>
          <t>A 44930-2020</t>
        </is>
      </c>
      <c r="B59" s="1" t="n">
        <v>44088</v>
      </c>
      <c r="C59" s="1" t="n">
        <v>45893</v>
      </c>
      <c r="D59" t="inlineStr">
        <is>
          <t>ÖSTERGÖTLANDS LÄN</t>
        </is>
      </c>
      <c r="E59" t="inlineStr">
        <is>
          <t>LINKÖPING</t>
        </is>
      </c>
      <c r="G59" t="n">
        <v>2.6</v>
      </c>
      <c r="H59" t="n">
        <v>1</v>
      </c>
      <c r="I59" t="n">
        <v>0</v>
      </c>
      <c r="J59" t="n">
        <v>0</v>
      </c>
      <c r="K59" t="n">
        <v>1</v>
      </c>
      <c r="L59" t="n">
        <v>0</v>
      </c>
      <c r="M59" t="n">
        <v>0</v>
      </c>
      <c r="N59" t="n">
        <v>0</v>
      </c>
      <c r="O59" t="n">
        <v>1</v>
      </c>
      <c r="P59" t="n">
        <v>1</v>
      </c>
      <c r="Q59" t="n">
        <v>1</v>
      </c>
      <c r="R59" s="2" t="inlineStr">
        <is>
          <t>Knärot</t>
        </is>
      </c>
      <c r="S59">
        <f>HYPERLINK("https://klasma.github.io/Logging_0580/artfynd/A 44930-2020 artfynd.xlsx", "A 44930-2020")</f>
        <v/>
      </c>
      <c r="T59">
        <f>HYPERLINK("https://klasma.github.io/Logging_0580/kartor/A 44930-2020 karta.png", "A 44930-2020")</f>
        <v/>
      </c>
      <c r="U59">
        <f>HYPERLINK("https://klasma.github.io/Logging_0580/knärot/A 44930-2020 karta knärot.png", "A 44930-2020")</f>
        <v/>
      </c>
      <c r="V59">
        <f>HYPERLINK("https://klasma.github.io/Logging_0580/klagomål/A 44930-2020 FSC-klagomål.docx", "A 44930-2020")</f>
        <v/>
      </c>
      <c r="W59">
        <f>HYPERLINK("https://klasma.github.io/Logging_0580/klagomålsmail/A 44930-2020 FSC-klagomål mail.docx", "A 44930-2020")</f>
        <v/>
      </c>
      <c r="X59">
        <f>HYPERLINK("https://klasma.github.io/Logging_0580/tillsyn/A 44930-2020 tillsynsbegäran.docx", "A 44930-2020")</f>
        <v/>
      </c>
      <c r="Y59">
        <f>HYPERLINK("https://klasma.github.io/Logging_0580/tillsynsmail/A 44930-2020 tillsynsbegäran mail.docx", "A 44930-2020")</f>
        <v/>
      </c>
    </row>
    <row r="60" ht="15" customHeight="1">
      <c r="A60" t="inlineStr">
        <is>
          <t>A 69211-2021</t>
        </is>
      </c>
      <c r="B60" s="1" t="n">
        <v>44531</v>
      </c>
      <c r="C60" s="1" t="n">
        <v>45893</v>
      </c>
      <c r="D60" t="inlineStr">
        <is>
          <t>ÖSTERGÖTLANDS LÄN</t>
        </is>
      </c>
      <c r="E60" t="inlineStr">
        <is>
          <t>LINKÖPING</t>
        </is>
      </c>
      <c r="F60" t="inlineStr">
        <is>
          <t>Övriga statliga verk och myndigheter</t>
        </is>
      </c>
      <c r="G60" t="n">
        <v>3.8</v>
      </c>
      <c r="H60" t="n">
        <v>0</v>
      </c>
      <c r="I60" t="n">
        <v>1</v>
      </c>
      <c r="J60" t="n">
        <v>0</v>
      </c>
      <c r="K60" t="n">
        <v>0</v>
      </c>
      <c r="L60" t="n">
        <v>0</v>
      </c>
      <c r="M60" t="n">
        <v>0</v>
      </c>
      <c r="N60" t="n">
        <v>0</v>
      </c>
      <c r="O60" t="n">
        <v>0</v>
      </c>
      <c r="P60" t="n">
        <v>0</v>
      </c>
      <c r="Q60" t="n">
        <v>1</v>
      </c>
      <c r="R60" s="2" t="inlineStr">
        <is>
          <t>Bronshjon</t>
        </is>
      </c>
      <c r="S60">
        <f>HYPERLINK("https://klasma.github.io/Logging_0580/artfynd/A 69211-2021 artfynd.xlsx", "A 69211-2021")</f>
        <v/>
      </c>
      <c r="T60">
        <f>HYPERLINK("https://klasma.github.io/Logging_0580/kartor/A 69211-2021 karta.png", "A 69211-2021")</f>
        <v/>
      </c>
      <c r="V60">
        <f>HYPERLINK("https://klasma.github.io/Logging_0580/klagomål/A 69211-2021 FSC-klagomål.docx", "A 69211-2021")</f>
        <v/>
      </c>
      <c r="W60">
        <f>HYPERLINK("https://klasma.github.io/Logging_0580/klagomålsmail/A 69211-2021 FSC-klagomål mail.docx", "A 69211-2021")</f>
        <v/>
      </c>
      <c r="X60">
        <f>HYPERLINK("https://klasma.github.io/Logging_0580/tillsyn/A 69211-2021 tillsynsbegäran.docx", "A 69211-2021")</f>
        <v/>
      </c>
      <c r="Y60">
        <f>HYPERLINK("https://klasma.github.io/Logging_0580/tillsynsmail/A 69211-2021 tillsynsbegäran mail.docx", "A 69211-2021")</f>
        <v/>
      </c>
    </row>
    <row r="61" ht="15" customHeight="1">
      <c r="A61" t="inlineStr">
        <is>
          <t>A 56651-2023</t>
        </is>
      </c>
      <c r="B61" s="1" t="n">
        <v>45243</v>
      </c>
      <c r="C61" s="1" t="n">
        <v>45893</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27403-2025</t>
        </is>
      </c>
      <c r="B62" s="1" t="n">
        <v>45812.72518518518</v>
      </c>
      <c r="C62" s="1" t="n">
        <v>45893</v>
      </c>
      <c r="D62" t="inlineStr">
        <is>
          <t>ÖSTERGÖTLANDS LÄN</t>
        </is>
      </c>
      <c r="E62" t="inlineStr">
        <is>
          <t>LINKÖPING</t>
        </is>
      </c>
      <c r="G62" t="n">
        <v>1.4</v>
      </c>
      <c r="H62" t="n">
        <v>0</v>
      </c>
      <c r="I62" t="n">
        <v>0</v>
      </c>
      <c r="J62" t="n">
        <v>1</v>
      </c>
      <c r="K62" t="n">
        <v>0</v>
      </c>
      <c r="L62" t="n">
        <v>0</v>
      </c>
      <c r="M62" t="n">
        <v>0</v>
      </c>
      <c r="N62" t="n">
        <v>0</v>
      </c>
      <c r="O62" t="n">
        <v>1</v>
      </c>
      <c r="P62" t="n">
        <v>0</v>
      </c>
      <c r="Q62" t="n">
        <v>1</v>
      </c>
      <c r="R62" s="2" t="inlineStr">
        <is>
          <t>Tallticka</t>
        </is>
      </c>
      <c r="S62">
        <f>HYPERLINK("https://klasma.github.io/Logging_0580/artfynd/A 27403-2025 artfynd.xlsx", "A 27403-2025")</f>
        <v/>
      </c>
      <c r="T62">
        <f>HYPERLINK("https://klasma.github.io/Logging_0580/kartor/A 27403-2025 karta.png", "A 27403-2025")</f>
        <v/>
      </c>
      <c r="V62">
        <f>HYPERLINK("https://klasma.github.io/Logging_0580/klagomål/A 27403-2025 FSC-klagomål.docx", "A 27403-2025")</f>
        <v/>
      </c>
      <c r="W62">
        <f>HYPERLINK("https://klasma.github.io/Logging_0580/klagomålsmail/A 27403-2025 FSC-klagomål mail.docx", "A 27403-2025")</f>
        <v/>
      </c>
      <c r="X62">
        <f>HYPERLINK("https://klasma.github.io/Logging_0580/tillsyn/A 27403-2025 tillsynsbegäran.docx", "A 27403-2025")</f>
        <v/>
      </c>
      <c r="Y62">
        <f>HYPERLINK("https://klasma.github.io/Logging_0580/tillsynsmail/A 27403-2025 tillsynsbegäran mail.docx", "A 27403-2025")</f>
        <v/>
      </c>
    </row>
    <row r="63" ht="15" customHeight="1">
      <c r="A63" t="inlineStr">
        <is>
          <t>A 17444-2025</t>
        </is>
      </c>
      <c r="B63" s="1" t="n">
        <v>45757.43452546297</v>
      </c>
      <c r="C63" s="1" t="n">
        <v>45893</v>
      </c>
      <c r="D63" t="inlineStr">
        <is>
          <t>ÖSTERGÖTLANDS LÄN</t>
        </is>
      </c>
      <c r="E63" t="inlineStr">
        <is>
          <t>LINKÖPING</t>
        </is>
      </c>
      <c r="G63" t="n">
        <v>1.3</v>
      </c>
      <c r="H63" t="n">
        <v>1</v>
      </c>
      <c r="I63" t="n">
        <v>0</v>
      </c>
      <c r="J63" t="n">
        <v>1</v>
      </c>
      <c r="K63" t="n">
        <v>0</v>
      </c>
      <c r="L63" t="n">
        <v>0</v>
      </c>
      <c r="M63" t="n">
        <v>0</v>
      </c>
      <c r="N63" t="n">
        <v>0</v>
      </c>
      <c r="O63" t="n">
        <v>1</v>
      </c>
      <c r="P63" t="n">
        <v>0</v>
      </c>
      <c r="Q63" t="n">
        <v>1</v>
      </c>
      <c r="R63" s="2" t="inlineStr">
        <is>
          <t>Dårgräsfjäril</t>
        </is>
      </c>
      <c r="S63">
        <f>HYPERLINK("https://klasma.github.io/Logging_0580/artfynd/A 17444-2025 artfynd.xlsx", "A 17444-2025")</f>
        <v/>
      </c>
      <c r="T63">
        <f>HYPERLINK("https://klasma.github.io/Logging_0580/kartor/A 17444-2025 karta.png", "A 17444-2025")</f>
        <v/>
      </c>
      <c r="V63">
        <f>HYPERLINK("https://klasma.github.io/Logging_0580/klagomål/A 17444-2025 FSC-klagomål.docx", "A 17444-2025")</f>
        <v/>
      </c>
      <c r="W63">
        <f>HYPERLINK("https://klasma.github.io/Logging_0580/klagomålsmail/A 17444-2025 FSC-klagomål mail.docx", "A 17444-2025")</f>
        <v/>
      </c>
      <c r="X63">
        <f>HYPERLINK("https://klasma.github.io/Logging_0580/tillsyn/A 17444-2025 tillsynsbegäran.docx", "A 17444-2025")</f>
        <v/>
      </c>
      <c r="Y63">
        <f>HYPERLINK("https://klasma.github.io/Logging_0580/tillsynsmail/A 17444-2025 tillsynsbegäran mail.docx", "A 17444-2025")</f>
        <v/>
      </c>
    </row>
    <row r="64" ht="15" customHeight="1">
      <c r="A64" t="inlineStr">
        <is>
          <t>A 5911-2022</t>
        </is>
      </c>
      <c r="B64" s="1" t="n">
        <v>44597</v>
      </c>
      <c r="C64" s="1" t="n">
        <v>45893</v>
      </c>
      <c r="D64" t="inlineStr">
        <is>
          <t>ÖSTERGÖTLANDS LÄN</t>
        </is>
      </c>
      <c r="E64" t="inlineStr">
        <is>
          <t>LINKÖPING</t>
        </is>
      </c>
      <c r="G64" t="n">
        <v>3.5</v>
      </c>
      <c r="H64" t="n">
        <v>0</v>
      </c>
      <c r="I64" t="n">
        <v>0</v>
      </c>
      <c r="J64" t="n">
        <v>1</v>
      </c>
      <c r="K64" t="n">
        <v>0</v>
      </c>
      <c r="L64" t="n">
        <v>0</v>
      </c>
      <c r="M64" t="n">
        <v>0</v>
      </c>
      <c r="N64" t="n">
        <v>0</v>
      </c>
      <c r="O64" t="n">
        <v>1</v>
      </c>
      <c r="P64" t="n">
        <v>0</v>
      </c>
      <c r="Q64" t="n">
        <v>1</v>
      </c>
      <c r="R64" s="2" t="inlineStr">
        <is>
          <t>Spindelört</t>
        </is>
      </c>
      <c r="S64">
        <f>HYPERLINK("https://klasma.github.io/Logging_0580/artfynd/A 5911-2022 artfynd.xlsx", "A 5911-2022")</f>
        <v/>
      </c>
      <c r="T64">
        <f>HYPERLINK("https://klasma.github.io/Logging_0580/kartor/A 5911-2022 karta.png", "A 5911-2022")</f>
        <v/>
      </c>
      <c r="V64">
        <f>HYPERLINK("https://klasma.github.io/Logging_0580/klagomål/A 5911-2022 FSC-klagomål.docx", "A 5911-2022")</f>
        <v/>
      </c>
      <c r="W64">
        <f>HYPERLINK("https://klasma.github.io/Logging_0580/klagomålsmail/A 5911-2022 FSC-klagomål mail.docx", "A 5911-2022")</f>
        <v/>
      </c>
      <c r="X64">
        <f>HYPERLINK("https://klasma.github.io/Logging_0580/tillsyn/A 5911-2022 tillsynsbegäran.docx", "A 5911-2022")</f>
        <v/>
      </c>
      <c r="Y64">
        <f>HYPERLINK("https://klasma.github.io/Logging_0580/tillsynsmail/A 5911-2022 tillsynsbegäran mail.docx", "A 5911-2022")</f>
        <v/>
      </c>
    </row>
    <row r="65" ht="15" customHeight="1">
      <c r="A65" t="inlineStr">
        <is>
          <t>A 3395-2023</t>
        </is>
      </c>
      <c r="B65" s="1" t="n">
        <v>44949</v>
      </c>
      <c r="C65" s="1" t="n">
        <v>45893</v>
      </c>
      <c r="D65" t="inlineStr">
        <is>
          <t>ÖSTERGÖTLANDS LÄN</t>
        </is>
      </c>
      <c r="E65" t="inlineStr">
        <is>
          <t>LINKÖPING</t>
        </is>
      </c>
      <c r="G65" t="n">
        <v>2</v>
      </c>
      <c r="H65" t="n">
        <v>0</v>
      </c>
      <c r="I65" t="n">
        <v>0</v>
      </c>
      <c r="J65" t="n">
        <v>1</v>
      </c>
      <c r="K65" t="n">
        <v>0</v>
      </c>
      <c r="L65" t="n">
        <v>0</v>
      </c>
      <c r="M65" t="n">
        <v>0</v>
      </c>
      <c r="N65" t="n">
        <v>0</v>
      </c>
      <c r="O65" t="n">
        <v>1</v>
      </c>
      <c r="P65" t="n">
        <v>0</v>
      </c>
      <c r="Q65" t="n">
        <v>1</v>
      </c>
      <c r="R65" s="2" t="inlineStr">
        <is>
          <t>Sommarfibbla</t>
        </is>
      </c>
      <c r="S65">
        <f>HYPERLINK("https://klasma.github.io/Logging_0580/artfynd/A 3395-2023 artfynd.xlsx", "A 3395-2023")</f>
        <v/>
      </c>
      <c r="T65">
        <f>HYPERLINK("https://klasma.github.io/Logging_0580/kartor/A 3395-2023 karta.png", "A 3395-2023")</f>
        <v/>
      </c>
      <c r="V65">
        <f>HYPERLINK("https://klasma.github.io/Logging_0580/klagomål/A 3395-2023 FSC-klagomål.docx", "A 3395-2023")</f>
        <v/>
      </c>
      <c r="W65">
        <f>HYPERLINK("https://klasma.github.io/Logging_0580/klagomålsmail/A 3395-2023 FSC-klagomål mail.docx", "A 3395-2023")</f>
        <v/>
      </c>
      <c r="X65">
        <f>HYPERLINK("https://klasma.github.io/Logging_0580/tillsyn/A 3395-2023 tillsynsbegäran.docx", "A 3395-2023")</f>
        <v/>
      </c>
      <c r="Y65">
        <f>HYPERLINK("https://klasma.github.io/Logging_0580/tillsynsmail/A 3395-2023 tillsynsbegäran mail.docx", "A 3395-2023")</f>
        <v/>
      </c>
    </row>
    <row r="66" ht="15" customHeight="1">
      <c r="A66" t="inlineStr">
        <is>
          <t>A 19103-2021</t>
        </is>
      </c>
      <c r="B66" s="1" t="n">
        <v>44308</v>
      </c>
      <c r="C66" s="1" t="n">
        <v>45893</v>
      </c>
      <c r="D66" t="inlineStr">
        <is>
          <t>ÖSTERGÖTLANDS LÄN</t>
        </is>
      </c>
      <c r="E66" t="inlineStr">
        <is>
          <t>LINKÖPING</t>
        </is>
      </c>
      <c r="G66" t="n">
        <v>4.7</v>
      </c>
      <c r="H66" t="n">
        <v>0</v>
      </c>
      <c r="I66" t="n">
        <v>0</v>
      </c>
      <c r="J66" t="n">
        <v>1</v>
      </c>
      <c r="K66" t="n">
        <v>0</v>
      </c>
      <c r="L66" t="n">
        <v>0</v>
      </c>
      <c r="M66" t="n">
        <v>0</v>
      </c>
      <c r="N66" t="n">
        <v>0</v>
      </c>
      <c r="O66" t="n">
        <v>1</v>
      </c>
      <c r="P66" t="n">
        <v>0</v>
      </c>
      <c r="Q66" t="n">
        <v>1</v>
      </c>
      <c r="R66" s="2" t="inlineStr">
        <is>
          <t>Tallticka</t>
        </is>
      </c>
      <c r="S66">
        <f>HYPERLINK("https://klasma.github.io/Logging_0580/artfynd/A 19103-2021 artfynd.xlsx", "A 19103-2021")</f>
        <v/>
      </c>
      <c r="T66">
        <f>HYPERLINK("https://klasma.github.io/Logging_0580/kartor/A 19103-2021 karta.png", "A 19103-2021")</f>
        <v/>
      </c>
      <c r="V66">
        <f>HYPERLINK("https://klasma.github.io/Logging_0580/klagomål/A 19103-2021 FSC-klagomål.docx", "A 19103-2021")</f>
        <v/>
      </c>
      <c r="W66">
        <f>HYPERLINK("https://klasma.github.io/Logging_0580/klagomålsmail/A 19103-2021 FSC-klagomål mail.docx", "A 19103-2021")</f>
        <v/>
      </c>
      <c r="X66">
        <f>HYPERLINK("https://klasma.github.io/Logging_0580/tillsyn/A 19103-2021 tillsynsbegäran.docx", "A 19103-2021")</f>
        <v/>
      </c>
      <c r="Y66">
        <f>HYPERLINK("https://klasma.github.io/Logging_0580/tillsynsmail/A 19103-2021 tillsynsbegäran mail.docx", "A 19103-2021")</f>
        <v/>
      </c>
    </row>
    <row r="67" ht="15" customHeight="1">
      <c r="A67" t="inlineStr">
        <is>
          <t>A 90-2024</t>
        </is>
      </c>
      <c r="B67" s="1" t="n">
        <v>45293</v>
      </c>
      <c r="C67" s="1" t="n">
        <v>45893</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45893</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1299-2025</t>
        </is>
      </c>
      <c r="B69" s="1" t="n">
        <v>45667.53913194445</v>
      </c>
      <c r="C69" s="1" t="n">
        <v>45893</v>
      </c>
      <c r="D69" t="inlineStr">
        <is>
          <t>ÖSTERGÖTLANDS LÄN</t>
        </is>
      </c>
      <c r="E69" t="inlineStr">
        <is>
          <t>LINKÖPING</t>
        </is>
      </c>
      <c r="G69" t="n">
        <v>8.9</v>
      </c>
      <c r="H69" t="n">
        <v>0</v>
      </c>
      <c r="I69" t="n">
        <v>0</v>
      </c>
      <c r="J69" t="n">
        <v>1</v>
      </c>
      <c r="K69" t="n">
        <v>0</v>
      </c>
      <c r="L69" t="n">
        <v>0</v>
      </c>
      <c r="M69" t="n">
        <v>0</v>
      </c>
      <c r="N69" t="n">
        <v>0</v>
      </c>
      <c r="O69" t="n">
        <v>1</v>
      </c>
      <c r="P69" t="n">
        <v>0</v>
      </c>
      <c r="Q69" t="n">
        <v>1</v>
      </c>
      <c r="R69" s="2" t="inlineStr">
        <is>
          <t>Storgröe</t>
        </is>
      </c>
      <c r="S69">
        <f>HYPERLINK("https://klasma.github.io/Logging_0580/artfynd/A 1299-2025 artfynd.xlsx", "A 1299-2025")</f>
        <v/>
      </c>
      <c r="T69">
        <f>HYPERLINK("https://klasma.github.io/Logging_0580/kartor/A 1299-2025 karta.png", "A 1299-2025")</f>
        <v/>
      </c>
      <c r="V69">
        <f>HYPERLINK("https://klasma.github.io/Logging_0580/klagomål/A 1299-2025 FSC-klagomål.docx", "A 1299-2025")</f>
        <v/>
      </c>
      <c r="W69">
        <f>HYPERLINK("https://klasma.github.io/Logging_0580/klagomålsmail/A 1299-2025 FSC-klagomål mail.docx", "A 1299-2025")</f>
        <v/>
      </c>
      <c r="X69">
        <f>HYPERLINK("https://klasma.github.io/Logging_0580/tillsyn/A 1299-2025 tillsynsbegäran.docx", "A 1299-2025")</f>
        <v/>
      </c>
      <c r="Y69">
        <f>HYPERLINK("https://klasma.github.io/Logging_0580/tillsynsmail/A 1299-2025 tillsynsbegäran mail.docx", "A 1299-2025")</f>
        <v/>
      </c>
    </row>
    <row r="70" ht="15" customHeight="1">
      <c r="A70" t="inlineStr">
        <is>
          <t>A 48984-2020</t>
        </is>
      </c>
      <c r="B70" s="1" t="n">
        <v>44104</v>
      </c>
      <c r="C70" s="1" t="n">
        <v>45893</v>
      </c>
      <c r="D70" t="inlineStr">
        <is>
          <t>ÖSTERGÖTLANDS LÄN</t>
        </is>
      </c>
      <c r="E70" t="inlineStr">
        <is>
          <t>LINKÖPING</t>
        </is>
      </c>
      <c r="G70" t="n">
        <v>2.8</v>
      </c>
      <c r="H70" t="n">
        <v>0</v>
      </c>
      <c r="I70" t="n">
        <v>0</v>
      </c>
      <c r="J70" t="n">
        <v>1</v>
      </c>
      <c r="K70" t="n">
        <v>0</v>
      </c>
      <c r="L70" t="n">
        <v>0</v>
      </c>
      <c r="M70" t="n">
        <v>0</v>
      </c>
      <c r="N70" t="n">
        <v>0</v>
      </c>
      <c r="O70" t="n">
        <v>1</v>
      </c>
      <c r="P70" t="n">
        <v>0</v>
      </c>
      <c r="Q70" t="n">
        <v>1</v>
      </c>
      <c r="R70" s="2" t="inlineStr">
        <is>
          <t>Vårstarr</t>
        </is>
      </c>
      <c r="S70">
        <f>HYPERLINK("https://klasma.github.io/Logging_0580/artfynd/A 48984-2020 artfynd.xlsx", "A 48984-2020")</f>
        <v/>
      </c>
      <c r="T70">
        <f>HYPERLINK("https://klasma.github.io/Logging_0580/kartor/A 48984-2020 karta.png", "A 48984-2020")</f>
        <v/>
      </c>
      <c r="V70">
        <f>HYPERLINK("https://klasma.github.io/Logging_0580/klagomål/A 48984-2020 FSC-klagomål.docx", "A 48984-2020")</f>
        <v/>
      </c>
      <c r="W70">
        <f>HYPERLINK("https://klasma.github.io/Logging_0580/klagomålsmail/A 48984-2020 FSC-klagomål mail.docx", "A 48984-2020")</f>
        <v/>
      </c>
      <c r="X70">
        <f>HYPERLINK("https://klasma.github.io/Logging_0580/tillsyn/A 48984-2020 tillsynsbegäran.docx", "A 48984-2020")</f>
        <v/>
      </c>
      <c r="Y70">
        <f>HYPERLINK("https://klasma.github.io/Logging_0580/tillsynsmail/A 48984-2020 tillsynsbegäran mail.docx", "A 48984-2020")</f>
        <v/>
      </c>
    </row>
    <row r="71" ht="15" customHeight="1">
      <c r="A71" t="inlineStr">
        <is>
          <t>A 50806-2023</t>
        </is>
      </c>
      <c r="B71" s="1" t="n">
        <v>45217</v>
      </c>
      <c r="C71" s="1" t="n">
        <v>45893</v>
      </c>
      <c r="D71" t="inlineStr">
        <is>
          <t>ÖSTERGÖTLANDS LÄN</t>
        </is>
      </c>
      <c r="E71" t="inlineStr">
        <is>
          <t>LINKÖPING</t>
        </is>
      </c>
      <c r="F71" t="inlineStr">
        <is>
          <t>Övriga Aktiebolag</t>
        </is>
      </c>
      <c r="G71" t="n">
        <v>0.7</v>
      </c>
      <c r="H71" t="n">
        <v>1</v>
      </c>
      <c r="I71" t="n">
        <v>0</v>
      </c>
      <c r="J71" t="n">
        <v>0</v>
      </c>
      <c r="K71" t="n">
        <v>0</v>
      </c>
      <c r="L71" t="n">
        <v>0</v>
      </c>
      <c r="M71" t="n">
        <v>0</v>
      </c>
      <c r="N71" t="n">
        <v>0</v>
      </c>
      <c r="O71" t="n">
        <v>0</v>
      </c>
      <c r="P71" t="n">
        <v>0</v>
      </c>
      <c r="Q71" t="n">
        <v>1</v>
      </c>
      <c r="R71" s="2" t="inlineStr">
        <is>
          <t>Gullviva</t>
        </is>
      </c>
      <c r="S71">
        <f>HYPERLINK("https://klasma.github.io/Logging_0580/artfynd/A 50806-2023 artfynd.xlsx", "A 50806-2023")</f>
        <v/>
      </c>
      <c r="T71">
        <f>HYPERLINK("https://klasma.github.io/Logging_0580/kartor/A 50806-2023 karta.png", "A 50806-2023")</f>
        <v/>
      </c>
      <c r="V71">
        <f>HYPERLINK("https://klasma.github.io/Logging_0580/klagomål/A 50806-2023 FSC-klagomål.docx", "A 50806-2023")</f>
        <v/>
      </c>
      <c r="W71">
        <f>HYPERLINK("https://klasma.github.io/Logging_0580/klagomålsmail/A 50806-2023 FSC-klagomål mail.docx", "A 50806-2023")</f>
        <v/>
      </c>
      <c r="X71">
        <f>HYPERLINK("https://klasma.github.io/Logging_0580/tillsyn/A 50806-2023 tillsynsbegäran.docx", "A 50806-2023")</f>
        <v/>
      </c>
      <c r="Y71">
        <f>HYPERLINK("https://klasma.github.io/Logging_0580/tillsynsmail/A 50806-2023 tillsynsbegäran mail.docx", "A 50806-2023")</f>
        <v/>
      </c>
    </row>
    <row r="72" ht="15" customHeight="1">
      <c r="A72" t="inlineStr">
        <is>
          <t>A 15290-2025</t>
        </is>
      </c>
      <c r="B72" s="1" t="n">
        <v>45745.45288194445</v>
      </c>
      <c r="C72" s="1" t="n">
        <v>45893</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36723-2023</t>
        </is>
      </c>
      <c r="B73" s="1" t="n">
        <v>45153</v>
      </c>
      <c r="C73" s="1" t="n">
        <v>45893</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35948-2023</t>
        </is>
      </c>
      <c r="B74" s="1" t="n">
        <v>45148</v>
      </c>
      <c r="C74" s="1" t="n">
        <v>45893</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62071-2023</t>
        </is>
      </c>
      <c r="B75" s="1" t="n">
        <v>45266.73542824074</v>
      </c>
      <c r="C75" s="1" t="n">
        <v>45893</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34881-2023</t>
        </is>
      </c>
      <c r="B76" s="1" t="n">
        <v>45140</v>
      </c>
      <c r="C76" s="1" t="n">
        <v>45893</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3397-2023</t>
        </is>
      </c>
      <c r="B77" s="1" t="n">
        <v>44949</v>
      </c>
      <c r="C77" s="1" t="n">
        <v>45893</v>
      </c>
      <c r="D77" t="inlineStr">
        <is>
          <t>ÖSTERGÖTLANDS LÄN</t>
        </is>
      </c>
      <c r="E77" t="inlineStr">
        <is>
          <t>LINKÖPING</t>
        </is>
      </c>
      <c r="G77" t="n">
        <v>4.1</v>
      </c>
      <c r="H77" t="n">
        <v>0</v>
      </c>
      <c r="I77" t="n">
        <v>0</v>
      </c>
      <c r="J77" t="n">
        <v>1</v>
      </c>
      <c r="K77" t="n">
        <v>0</v>
      </c>
      <c r="L77" t="n">
        <v>0</v>
      </c>
      <c r="M77" t="n">
        <v>0</v>
      </c>
      <c r="N77" t="n">
        <v>0</v>
      </c>
      <c r="O77" t="n">
        <v>1</v>
      </c>
      <c r="P77" t="n">
        <v>0</v>
      </c>
      <c r="Q77" t="n">
        <v>1</v>
      </c>
      <c r="R77" s="2" t="inlineStr">
        <is>
          <t>Svinrot</t>
        </is>
      </c>
      <c r="S77">
        <f>HYPERLINK("https://klasma.github.io/Logging_0580/artfynd/A 3397-2023 artfynd.xlsx", "A 3397-2023")</f>
        <v/>
      </c>
      <c r="T77">
        <f>HYPERLINK("https://klasma.github.io/Logging_0580/kartor/A 3397-2023 karta.png", "A 3397-2023")</f>
        <v/>
      </c>
      <c r="V77">
        <f>HYPERLINK("https://klasma.github.io/Logging_0580/klagomål/A 3397-2023 FSC-klagomål.docx", "A 3397-2023")</f>
        <v/>
      </c>
      <c r="W77">
        <f>HYPERLINK("https://klasma.github.io/Logging_0580/klagomålsmail/A 3397-2023 FSC-klagomål mail.docx", "A 3397-2023")</f>
        <v/>
      </c>
      <c r="X77">
        <f>HYPERLINK("https://klasma.github.io/Logging_0580/tillsyn/A 3397-2023 tillsynsbegäran.docx", "A 3397-2023")</f>
        <v/>
      </c>
      <c r="Y77">
        <f>HYPERLINK("https://klasma.github.io/Logging_0580/tillsynsmail/A 3397-2023 tillsynsbegäran mail.docx", "A 3397-2023")</f>
        <v/>
      </c>
    </row>
    <row r="78" ht="15" customHeight="1">
      <c r="A78" t="inlineStr">
        <is>
          <t>A 17389-2021</t>
        </is>
      </c>
      <c r="B78" s="1" t="n">
        <v>44298.96792824074</v>
      </c>
      <c r="C78" s="1" t="n">
        <v>45893</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22040-2023</t>
        </is>
      </c>
      <c r="B79" s="1" t="n">
        <v>45068</v>
      </c>
      <c r="C79" s="1" t="n">
        <v>45893</v>
      </c>
      <c r="D79" t="inlineStr">
        <is>
          <t>ÖSTERGÖTLANDS LÄN</t>
        </is>
      </c>
      <c r="E79" t="inlineStr">
        <is>
          <t>LINKÖPING</t>
        </is>
      </c>
      <c r="F79" t="inlineStr">
        <is>
          <t>Kommuner</t>
        </is>
      </c>
      <c r="G79" t="n">
        <v>1</v>
      </c>
      <c r="H79" t="n">
        <v>1</v>
      </c>
      <c r="I79" t="n">
        <v>0</v>
      </c>
      <c r="J79" t="n">
        <v>0</v>
      </c>
      <c r="K79" t="n">
        <v>1</v>
      </c>
      <c r="L79" t="n">
        <v>0</v>
      </c>
      <c r="M79" t="n">
        <v>0</v>
      </c>
      <c r="N79" t="n">
        <v>0</v>
      </c>
      <c r="O79" t="n">
        <v>1</v>
      </c>
      <c r="P79" t="n">
        <v>1</v>
      </c>
      <c r="Q79" t="n">
        <v>1</v>
      </c>
      <c r="R79" s="2" t="inlineStr">
        <is>
          <t>Bombmurkla</t>
        </is>
      </c>
      <c r="S79">
        <f>HYPERLINK("https://klasma.github.io/Logging_0580/artfynd/A 22040-2023 artfynd.xlsx", "A 22040-2023")</f>
        <v/>
      </c>
      <c r="T79">
        <f>HYPERLINK("https://klasma.github.io/Logging_0580/kartor/A 22040-2023 karta.png", "A 22040-2023")</f>
        <v/>
      </c>
      <c r="V79">
        <f>HYPERLINK("https://klasma.github.io/Logging_0580/klagomål/A 22040-2023 FSC-klagomål.docx", "A 22040-2023")</f>
        <v/>
      </c>
      <c r="W79">
        <f>HYPERLINK("https://klasma.github.io/Logging_0580/klagomålsmail/A 22040-2023 FSC-klagomål mail.docx", "A 22040-2023")</f>
        <v/>
      </c>
      <c r="X79">
        <f>HYPERLINK("https://klasma.github.io/Logging_0580/tillsyn/A 22040-2023 tillsynsbegäran.docx", "A 22040-2023")</f>
        <v/>
      </c>
      <c r="Y79">
        <f>HYPERLINK("https://klasma.github.io/Logging_0580/tillsynsmail/A 22040-2023 tillsynsbegäran mail.docx", "A 22040-2023")</f>
        <v/>
      </c>
    </row>
    <row r="80" ht="15" customHeight="1">
      <c r="A80" t="inlineStr">
        <is>
          <t>A 43726-2020</t>
        </is>
      </c>
      <c r="B80" s="1" t="n">
        <v>44082</v>
      </c>
      <c r="C80" s="1" t="n">
        <v>45893</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45893</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45893</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45893</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45893</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45893</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45893</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45893</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45893</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45893</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45893</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45893</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45893</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45893</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45893</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45893</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45893</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45893</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45893</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45893</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45893</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45893</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45893</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45893</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45893</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45893</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47462-2022</t>
        </is>
      </c>
      <c r="B106" s="1" t="n">
        <v>44853.62758101852</v>
      </c>
      <c r="C106" s="1" t="n">
        <v>45893</v>
      </c>
      <c r="D106" t="inlineStr">
        <is>
          <t>ÖSTERGÖTLANDS LÄN</t>
        </is>
      </c>
      <c r="E106" t="inlineStr">
        <is>
          <t>LINKÖPING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45893</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45893</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45893</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45893</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45893</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45893</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44674-2020</t>
        </is>
      </c>
      <c r="B113" s="1" t="n">
        <v>44085</v>
      </c>
      <c r="C113" s="1" t="n">
        <v>45893</v>
      </c>
      <c r="D113" t="inlineStr">
        <is>
          <t>ÖSTERGÖTLANDS LÄN</t>
        </is>
      </c>
      <c r="E113" t="inlineStr">
        <is>
          <t>LINKÖPING</t>
        </is>
      </c>
      <c r="G113" t="n">
        <v>3.6</v>
      </c>
      <c r="H113" t="n">
        <v>0</v>
      </c>
      <c r="I113" t="n">
        <v>0</v>
      </c>
      <c r="J113" t="n">
        <v>0</v>
      </c>
      <c r="K113" t="n">
        <v>0</v>
      </c>
      <c r="L113" t="n">
        <v>0</v>
      </c>
      <c r="M113" t="n">
        <v>0</v>
      </c>
      <c r="N113" t="n">
        <v>0</v>
      </c>
      <c r="O113" t="n">
        <v>0</v>
      </c>
      <c r="P113" t="n">
        <v>0</v>
      </c>
      <c r="Q113" t="n">
        <v>0</v>
      </c>
      <c r="R113" s="2" t="inlineStr"/>
    </row>
    <row r="114" ht="15" customHeight="1">
      <c r="A114" t="inlineStr">
        <is>
          <t>A 40437-2021</t>
        </is>
      </c>
      <c r="B114" s="1" t="n">
        <v>44419</v>
      </c>
      <c r="C114" s="1" t="n">
        <v>45893</v>
      </c>
      <c r="D114" t="inlineStr">
        <is>
          <t>ÖSTERGÖTLANDS LÄN</t>
        </is>
      </c>
      <c r="E114" t="inlineStr">
        <is>
          <t>LINKÖPING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45893</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45893</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45893</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45893</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45893</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45893</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45893</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45893</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45893</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45893</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45893</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45893</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45893</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45893</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45893</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45893</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45893</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45893</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45893</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45893</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45893</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45893</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45893</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45893</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45893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45893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45893</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45893</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45893</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45893</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45893</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45893</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45893</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45893</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45893</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45893</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45893</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45893</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46969-2020</t>
        </is>
      </c>
      <c r="B153" s="1" t="n">
        <v>44090</v>
      </c>
      <c r="C153" s="1" t="n">
        <v>45893</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46975-2020</t>
        </is>
      </c>
      <c r="B154" s="1" t="n">
        <v>44090</v>
      </c>
      <c r="C154" s="1" t="n">
        <v>45893</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45893</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4929-2021</t>
        </is>
      </c>
      <c r="B156" s="1" t="n">
        <v>44227.57533564815</v>
      </c>
      <c r="C156" s="1" t="n">
        <v>45893</v>
      </c>
      <c r="D156" t="inlineStr">
        <is>
          <t>ÖSTERGÖTLANDS LÄN</t>
        </is>
      </c>
      <c r="E156" t="inlineStr">
        <is>
          <t>LINKÖPING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31732-2022</t>
        </is>
      </c>
      <c r="B157" s="1" t="n">
        <v>44776.49267361111</v>
      </c>
      <c r="C157" s="1" t="n">
        <v>45893</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33891-2021</t>
        </is>
      </c>
      <c r="B158" s="1" t="n">
        <v>44378</v>
      </c>
      <c r="C158" s="1" t="n">
        <v>45893</v>
      </c>
      <c r="D158" t="inlineStr">
        <is>
          <t>ÖSTERGÖTLANDS LÄN</t>
        </is>
      </c>
      <c r="E158" t="inlineStr">
        <is>
          <t>LINKÖPING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19254-2021</t>
        </is>
      </c>
      <c r="B159" s="1" t="n">
        <v>44309.38962962963</v>
      </c>
      <c r="C159" s="1" t="n">
        <v>45893</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58266-2021</t>
        </is>
      </c>
      <c r="B160" s="1" t="n">
        <v>44487</v>
      </c>
      <c r="C160" s="1" t="n">
        <v>45893</v>
      </c>
      <c r="D160" t="inlineStr">
        <is>
          <t>ÖSTERGÖTLANDS LÄN</t>
        </is>
      </c>
      <c r="E160" t="inlineStr">
        <is>
          <t>LINKÖPING</t>
        </is>
      </c>
      <c r="F160" t="inlineStr">
        <is>
          <t>Övriga Aktiebolag</t>
        </is>
      </c>
      <c r="G160" t="n">
        <v>3.2</v>
      </c>
      <c r="H160" t="n">
        <v>0</v>
      </c>
      <c r="I160" t="n">
        <v>0</v>
      </c>
      <c r="J160" t="n">
        <v>0</v>
      </c>
      <c r="K160" t="n">
        <v>0</v>
      </c>
      <c r="L160" t="n">
        <v>0</v>
      </c>
      <c r="M160" t="n">
        <v>0</v>
      </c>
      <c r="N160" t="n">
        <v>0</v>
      </c>
      <c r="O160" t="n">
        <v>0</v>
      </c>
      <c r="P160" t="n">
        <v>0</v>
      </c>
      <c r="Q160" t="n">
        <v>0</v>
      </c>
      <c r="R160" s="2" t="inlineStr"/>
    </row>
    <row r="161" ht="15" customHeight="1">
      <c r="A161" t="inlineStr">
        <is>
          <t>A 60129-2020</t>
        </is>
      </c>
      <c r="B161" s="1" t="n">
        <v>44152</v>
      </c>
      <c r="C161" s="1" t="n">
        <v>45893</v>
      </c>
      <c r="D161" t="inlineStr">
        <is>
          <t>ÖSTERGÖTLANDS LÄN</t>
        </is>
      </c>
      <c r="E161" t="inlineStr">
        <is>
          <t>LINKÖPING</t>
        </is>
      </c>
      <c r="F161" t="inlineStr">
        <is>
          <t>Övriga statliga verk och myndigheter</t>
        </is>
      </c>
      <c r="G161" t="n">
        <v>2.5</v>
      </c>
      <c r="H161" t="n">
        <v>0</v>
      </c>
      <c r="I161" t="n">
        <v>0</v>
      </c>
      <c r="J161" t="n">
        <v>0</v>
      </c>
      <c r="K161" t="n">
        <v>0</v>
      </c>
      <c r="L161" t="n">
        <v>0</v>
      </c>
      <c r="M161" t="n">
        <v>0</v>
      </c>
      <c r="N161" t="n">
        <v>0</v>
      </c>
      <c r="O161" t="n">
        <v>0</v>
      </c>
      <c r="P161" t="n">
        <v>0</v>
      </c>
      <c r="Q161" t="n">
        <v>0</v>
      </c>
      <c r="R161" s="2" t="inlineStr"/>
    </row>
    <row r="162" ht="15" customHeight="1">
      <c r="A162" t="inlineStr">
        <is>
          <t>A 54854-2022</t>
        </is>
      </c>
      <c r="B162" s="1" t="n">
        <v>44884</v>
      </c>
      <c r="C162" s="1" t="n">
        <v>45893</v>
      </c>
      <c r="D162" t="inlineStr">
        <is>
          <t>ÖSTERGÖTLANDS LÄN</t>
        </is>
      </c>
      <c r="E162" t="inlineStr">
        <is>
          <t>LINKÖPING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54855-2022</t>
        </is>
      </c>
      <c r="B163" s="1" t="n">
        <v>44884.59502314815</v>
      </c>
      <c r="C163" s="1" t="n">
        <v>45893</v>
      </c>
      <c r="D163" t="inlineStr">
        <is>
          <t>ÖSTERGÖTLANDS LÄN</t>
        </is>
      </c>
      <c r="E163" t="inlineStr">
        <is>
          <t>LINKÖPING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28447-2021</t>
        </is>
      </c>
      <c r="B164" s="1" t="n">
        <v>44356</v>
      </c>
      <c r="C164" s="1" t="n">
        <v>45893</v>
      </c>
      <c r="D164" t="inlineStr">
        <is>
          <t>ÖSTERGÖTLANDS LÄN</t>
        </is>
      </c>
      <c r="E164" t="inlineStr">
        <is>
          <t>LINKÖPING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4377-2021</t>
        </is>
      </c>
      <c r="B165" s="1" t="n">
        <v>44223</v>
      </c>
      <c r="C165" s="1" t="n">
        <v>45893</v>
      </c>
      <c r="D165" t="inlineStr">
        <is>
          <t>ÖSTERGÖTLANDS LÄN</t>
        </is>
      </c>
      <c r="E165" t="inlineStr">
        <is>
          <t>LINKÖPING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9935-2021</t>
        </is>
      </c>
      <c r="B166" s="1" t="n">
        <v>44253</v>
      </c>
      <c r="C166" s="1" t="n">
        <v>45893</v>
      </c>
      <c r="D166" t="inlineStr">
        <is>
          <t>ÖSTERGÖTLANDS LÄN</t>
        </is>
      </c>
      <c r="E166" t="inlineStr">
        <is>
          <t>LINKÖPING</t>
        </is>
      </c>
      <c r="G166" t="n">
        <v>4.5</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45893</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31705-2022</t>
        </is>
      </c>
      <c r="B168" s="1" t="n">
        <v>44776.43607638889</v>
      </c>
      <c r="C168" s="1" t="n">
        <v>45893</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45893</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19318-2022</t>
        </is>
      </c>
      <c r="B170" s="1" t="n">
        <v>44692.5827662037</v>
      </c>
      <c r="C170" s="1" t="n">
        <v>45893</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45893</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61153-2021</t>
        </is>
      </c>
      <c r="B172" s="1" t="n">
        <v>44497</v>
      </c>
      <c r="C172" s="1" t="n">
        <v>45893</v>
      </c>
      <c r="D172" t="inlineStr">
        <is>
          <t>ÖSTERGÖTLANDS LÄN</t>
        </is>
      </c>
      <c r="E172" t="inlineStr">
        <is>
          <t>LINKÖPING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33885-2021</t>
        </is>
      </c>
      <c r="B173" s="1" t="n">
        <v>44378</v>
      </c>
      <c r="C173" s="1" t="n">
        <v>45893</v>
      </c>
      <c r="D173" t="inlineStr">
        <is>
          <t>ÖSTERGÖTLANDS LÄN</t>
        </is>
      </c>
      <c r="E173" t="inlineStr">
        <is>
          <t>LINKÖPING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12413-2022</t>
        </is>
      </c>
      <c r="B174" s="1" t="n">
        <v>44638</v>
      </c>
      <c r="C174" s="1" t="n">
        <v>45893</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41426-2022</t>
        </is>
      </c>
      <c r="B175" s="1" t="n">
        <v>44826</v>
      </c>
      <c r="C175" s="1" t="n">
        <v>45893</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45893</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34162-2022</t>
        </is>
      </c>
      <c r="B177" s="1" t="n">
        <v>44791</v>
      </c>
      <c r="C177" s="1" t="n">
        <v>45893</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45893</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54467-2022</t>
        </is>
      </c>
      <c r="B179" s="1" t="n">
        <v>44882</v>
      </c>
      <c r="C179" s="1" t="n">
        <v>45893</v>
      </c>
      <c r="D179" t="inlineStr">
        <is>
          <t>ÖSTERGÖTLANDS LÄN</t>
        </is>
      </c>
      <c r="E179" t="inlineStr">
        <is>
          <t>LINKÖPING</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61298-2021</t>
        </is>
      </c>
      <c r="B180" s="1" t="n">
        <v>44498.62533564815</v>
      </c>
      <c r="C180" s="1" t="n">
        <v>45893</v>
      </c>
      <c r="D180" t="inlineStr">
        <is>
          <t>ÖSTERGÖTLANDS LÄN</t>
        </is>
      </c>
      <c r="E180" t="inlineStr">
        <is>
          <t>LINKÖPING</t>
        </is>
      </c>
      <c r="G180" t="n">
        <v>4.3</v>
      </c>
      <c r="H180" t="n">
        <v>0</v>
      </c>
      <c r="I180" t="n">
        <v>0</v>
      </c>
      <c r="J180" t="n">
        <v>0</v>
      </c>
      <c r="K180" t="n">
        <v>0</v>
      </c>
      <c r="L180" t="n">
        <v>0</v>
      </c>
      <c r="M180" t="n">
        <v>0</v>
      </c>
      <c r="N180" t="n">
        <v>0</v>
      </c>
      <c r="O180" t="n">
        <v>0</v>
      </c>
      <c r="P180" t="n">
        <v>0</v>
      </c>
      <c r="Q180" t="n">
        <v>0</v>
      </c>
      <c r="R180" s="2" t="inlineStr"/>
    </row>
    <row r="181" ht="15" customHeight="1">
      <c r="A181" t="inlineStr">
        <is>
          <t>A 67912-2021</t>
        </is>
      </c>
      <c r="B181" s="1" t="n">
        <v>44525</v>
      </c>
      <c r="C181" s="1" t="n">
        <v>45893</v>
      </c>
      <c r="D181" t="inlineStr">
        <is>
          <t>ÖSTERGÖTLANDS LÄN</t>
        </is>
      </c>
      <c r="E181" t="inlineStr">
        <is>
          <t>LINKÖPING</t>
        </is>
      </c>
      <c r="G181" t="n">
        <v>2.4</v>
      </c>
      <c r="H181" t="n">
        <v>0</v>
      </c>
      <c r="I181" t="n">
        <v>0</v>
      </c>
      <c r="J181" t="n">
        <v>0</v>
      </c>
      <c r="K181" t="n">
        <v>0</v>
      </c>
      <c r="L181" t="n">
        <v>0</v>
      </c>
      <c r="M181" t="n">
        <v>0</v>
      </c>
      <c r="N181" t="n">
        <v>0</v>
      </c>
      <c r="O181" t="n">
        <v>0</v>
      </c>
      <c r="P181" t="n">
        <v>0</v>
      </c>
      <c r="Q181" t="n">
        <v>0</v>
      </c>
      <c r="R181" s="2" t="inlineStr"/>
    </row>
    <row r="182" ht="15" customHeight="1">
      <c r="A182" t="inlineStr">
        <is>
          <t>A 67940-2021</t>
        </is>
      </c>
      <c r="B182" s="1" t="n">
        <v>44525.62849537037</v>
      </c>
      <c r="C182" s="1" t="n">
        <v>45893</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61333-2021</t>
        </is>
      </c>
      <c r="B183" s="1" t="n">
        <v>44498.6764699074</v>
      </c>
      <c r="C183" s="1" t="n">
        <v>45893</v>
      </c>
      <c r="D183" t="inlineStr">
        <is>
          <t>ÖSTERGÖTLANDS LÄN</t>
        </is>
      </c>
      <c r="E183" t="inlineStr">
        <is>
          <t>LINKÖPING</t>
        </is>
      </c>
      <c r="G183" t="n">
        <v>7.5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45893</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12412-2022</t>
        </is>
      </c>
      <c r="B185" s="1" t="n">
        <v>44638</v>
      </c>
      <c r="C185" s="1" t="n">
        <v>45893</v>
      </c>
      <c r="D185" t="inlineStr">
        <is>
          <t>ÖSTERGÖTLANDS LÄN</t>
        </is>
      </c>
      <c r="E185" t="inlineStr">
        <is>
          <t>LINKÖPING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41650-2020</t>
        </is>
      </c>
      <c r="B186" s="1" t="n">
        <v>44074</v>
      </c>
      <c r="C186" s="1" t="n">
        <v>45893</v>
      </c>
      <c r="D186" t="inlineStr">
        <is>
          <t>ÖSTERGÖTLANDS LÄN</t>
        </is>
      </c>
      <c r="E186" t="inlineStr">
        <is>
          <t>LINKÖPING</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4240-2022</t>
        </is>
      </c>
      <c r="B187" s="1" t="n">
        <v>44588</v>
      </c>
      <c r="C187" s="1" t="n">
        <v>45893</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10951-2022</t>
        </is>
      </c>
      <c r="B188" s="1" t="n">
        <v>44627</v>
      </c>
      <c r="C188" s="1" t="n">
        <v>45893</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33134-2022</t>
        </is>
      </c>
      <c r="B189" s="1" t="n">
        <v>44785</v>
      </c>
      <c r="C189" s="1" t="n">
        <v>45893</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46803-2020</t>
        </is>
      </c>
      <c r="B190" s="1" t="n">
        <v>44089</v>
      </c>
      <c r="C190" s="1" t="n">
        <v>45893</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13075-2022</t>
        </is>
      </c>
      <c r="B191" s="1" t="n">
        <v>44643</v>
      </c>
      <c r="C191" s="1" t="n">
        <v>45893</v>
      </c>
      <c r="D191" t="inlineStr">
        <is>
          <t>ÖSTERGÖTLANDS LÄN</t>
        </is>
      </c>
      <c r="E191" t="inlineStr">
        <is>
          <t>LINKÖPING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46891-2021</t>
        </is>
      </c>
      <c r="B192" s="1" t="n">
        <v>44446.44587962963</v>
      </c>
      <c r="C192" s="1" t="n">
        <v>45893</v>
      </c>
      <c r="D192" t="inlineStr">
        <is>
          <t>ÖSTERGÖTLANDS LÄN</t>
        </is>
      </c>
      <c r="E192" t="inlineStr">
        <is>
          <t>LINKÖPING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51912-2020</t>
        </is>
      </c>
      <c r="B193" s="1" t="n">
        <v>44116</v>
      </c>
      <c r="C193" s="1" t="n">
        <v>45893</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23416-2022</t>
        </is>
      </c>
      <c r="B194" s="1" t="n">
        <v>44720.78243055556</v>
      </c>
      <c r="C194" s="1" t="n">
        <v>45893</v>
      </c>
      <c r="D194" t="inlineStr">
        <is>
          <t>ÖSTERGÖTLANDS LÄN</t>
        </is>
      </c>
      <c r="E194" t="inlineStr">
        <is>
          <t>LINKÖPING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5605-2022</t>
        </is>
      </c>
      <c r="B195" s="1" t="n">
        <v>44595</v>
      </c>
      <c r="C195" s="1" t="n">
        <v>45893</v>
      </c>
      <c r="D195" t="inlineStr">
        <is>
          <t>ÖSTERGÖTLANDS LÄN</t>
        </is>
      </c>
      <c r="E195" t="inlineStr">
        <is>
          <t>LINKÖPING</t>
        </is>
      </c>
      <c r="F195" t="inlineStr">
        <is>
          <t>Övriga statliga verk och myndigheter</t>
        </is>
      </c>
      <c r="G195" t="n">
        <v>3</v>
      </c>
      <c r="H195" t="n">
        <v>0</v>
      </c>
      <c r="I195" t="n">
        <v>0</v>
      </c>
      <c r="J195" t="n">
        <v>0</v>
      </c>
      <c r="K195" t="n">
        <v>0</v>
      </c>
      <c r="L195" t="n">
        <v>0</v>
      </c>
      <c r="M195" t="n">
        <v>0</v>
      </c>
      <c r="N195" t="n">
        <v>0</v>
      </c>
      <c r="O195" t="n">
        <v>0</v>
      </c>
      <c r="P195" t="n">
        <v>0</v>
      </c>
      <c r="Q195" t="n">
        <v>0</v>
      </c>
      <c r="R195" s="2" t="inlineStr"/>
    </row>
    <row r="196" ht="15" customHeight="1">
      <c r="A196" t="inlineStr">
        <is>
          <t>A 44879-2020</t>
        </is>
      </c>
      <c r="B196" s="1" t="n">
        <v>44087</v>
      </c>
      <c r="C196" s="1" t="n">
        <v>45893</v>
      </c>
      <c r="D196" t="inlineStr">
        <is>
          <t>ÖSTERGÖTLANDS LÄN</t>
        </is>
      </c>
      <c r="E196" t="inlineStr">
        <is>
          <t>LINKÖPING</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50035-2020</t>
        </is>
      </c>
      <c r="B197" s="1" t="n">
        <v>44109</v>
      </c>
      <c r="C197" s="1" t="n">
        <v>45893</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56688-2021</t>
        </is>
      </c>
      <c r="B198" s="1" t="n">
        <v>44481</v>
      </c>
      <c r="C198" s="1" t="n">
        <v>45893</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27666-2022</t>
        </is>
      </c>
      <c r="B199" s="1" t="n">
        <v>44743.39017361111</v>
      </c>
      <c r="C199" s="1" t="n">
        <v>45893</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19183-2021</t>
        </is>
      </c>
      <c r="B200" s="1" t="n">
        <v>44308.73248842593</v>
      </c>
      <c r="C200" s="1" t="n">
        <v>45893</v>
      </c>
      <c r="D200" t="inlineStr">
        <is>
          <t>ÖSTERGÖTLANDS LÄN</t>
        </is>
      </c>
      <c r="E200" t="inlineStr">
        <is>
          <t>LINKÖPING</t>
        </is>
      </c>
      <c r="F200" t="inlineStr">
        <is>
          <t>Allmännings- och besparingsskogar</t>
        </is>
      </c>
      <c r="G200" t="n">
        <v>4.6</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45893</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27769-2022</t>
        </is>
      </c>
      <c r="B202" s="1" t="n">
        <v>44743.53200231482</v>
      </c>
      <c r="C202" s="1" t="n">
        <v>45893</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34486-2021</t>
        </is>
      </c>
      <c r="B203" s="1" t="n">
        <v>44382.29295138889</v>
      </c>
      <c r="C203" s="1" t="n">
        <v>45893</v>
      </c>
      <c r="D203" t="inlineStr">
        <is>
          <t>ÖSTERGÖTLANDS LÄN</t>
        </is>
      </c>
      <c r="E203" t="inlineStr">
        <is>
          <t>LINKÖPING</t>
        </is>
      </c>
      <c r="G203" t="n">
        <v>4.4</v>
      </c>
      <c r="H203" t="n">
        <v>0</v>
      </c>
      <c r="I203" t="n">
        <v>0</v>
      </c>
      <c r="J203" t="n">
        <v>0</v>
      </c>
      <c r="K203" t="n">
        <v>0</v>
      </c>
      <c r="L203" t="n">
        <v>0</v>
      </c>
      <c r="M203" t="n">
        <v>0</v>
      </c>
      <c r="N203" t="n">
        <v>0</v>
      </c>
      <c r="O203" t="n">
        <v>0</v>
      </c>
      <c r="P203" t="n">
        <v>0</v>
      </c>
      <c r="Q203" t="n">
        <v>0</v>
      </c>
      <c r="R203" s="2" t="inlineStr"/>
    </row>
    <row r="204" ht="15" customHeight="1">
      <c r="A204" t="inlineStr">
        <is>
          <t>A 59288-2020</t>
        </is>
      </c>
      <c r="B204" s="1" t="n">
        <v>44147</v>
      </c>
      <c r="C204" s="1" t="n">
        <v>45893</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41514-2020</t>
        </is>
      </c>
      <c r="B205" s="1" t="n">
        <v>44074</v>
      </c>
      <c r="C205" s="1" t="n">
        <v>45893</v>
      </c>
      <c r="D205" t="inlineStr">
        <is>
          <t>ÖSTERGÖTLANDS LÄN</t>
        </is>
      </c>
      <c r="E205" t="inlineStr">
        <is>
          <t>LINKÖPING</t>
        </is>
      </c>
      <c r="F205" t="inlineStr">
        <is>
          <t>Allmännings- och besparingsskogar</t>
        </is>
      </c>
      <c r="G205" t="n">
        <v>5.2</v>
      </c>
      <c r="H205" t="n">
        <v>0</v>
      </c>
      <c r="I205" t="n">
        <v>0</v>
      </c>
      <c r="J205" t="n">
        <v>0</v>
      </c>
      <c r="K205" t="n">
        <v>0</v>
      </c>
      <c r="L205" t="n">
        <v>0</v>
      </c>
      <c r="M205" t="n">
        <v>0</v>
      </c>
      <c r="N205" t="n">
        <v>0</v>
      </c>
      <c r="O205" t="n">
        <v>0</v>
      </c>
      <c r="P205" t="n">
        <v>0</v>
      </c>
      <c r="Q205" t="n">
        <v>0</v>
      </c>
      <c r="R205" s="2" t="inlineStr"/>
    </row>
    <row r="206" ht="15" customHeight="1">
      <c r="A206" t="inlineStr">
        <is>
          <t>A 38235-2022</t>
        </is>
      </c>
      <c r="B206" s="1" t="n">
        <v>44812</v>
      </c>
      <c r="C206" s="1" t="n">
        <v>45893</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13922-2021</t>
        </is>
      </c>
      <c r="B207" s="1" t="n">
        <v>44277.45946759259</v>
      </c>
      <c r="C207" s="1" t="n">
        <v>45893</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34880-2022</t>
        </is>
      </c>
      <c r="B208" s="1" t="n">
        <v>44796</v>
      </c>
      <c r="C208" s="1" t="n">
        <v>45893</v>
      </c>
      <c r="D208" t="inlineStr">
        <is>
          <t>ÖSTERGÖTLANDS LÄN</t>
        </is>
      </c>
      <c r="E208" t="inlineStr">
        <is>
          <t>LINKÖPING</t>
        </is>
      </c>
      <c r="F208" t="inlineStr">
        <is>
          <t>Övriga statliga verk och myndigheter</t>
        </is>
      </c>
      <c r="G208" t="n">
        <v>4</v>
      </c>
      <c r="H208" t="n">
        <v>0</v>
      </c>
      <c r="I208" t="n">
        <v>0</v>
      </c>
      <c r="J208" t="n">
        <v>0</v>
      </c>
      <c r="K208" t="n">
        <v>0</v>
      </c>
      <c r="L208" t="n">
        <v>0</v>
      </c>
      <c r="M208" t="n">
        <v>0</v>
      </c>
      <c r="N208" t="n">
        <v>0</v>
      </c>
      <c r="O208" t="n">
        <v>0</v>
      </c>
      <c r="P208" t="n">
        <v>0</v>
      </c>
      <c r="Q208" t="n">
        <v>0</v>
      </c>
      <c r="R208" s="2" t="inlineStr"/>
    </row>
    <row r="209" ht="15" customHeight="1">
      <c r="A209" t="inlineStr">
        <is>
          <t>A 48042-2022</t>
        </is>
      </c>
      <c r="B209" s="1" t="n">
        <v>44855</v>
      </c>
      <c r="C209" s="1" t="n">
        <v>45893</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50401-2020</t>
        </is>
      </c>
      <c r="B210" s="1" t="n">
        <v>44110</v>
      </c>
      <c r="C210" s="1" t="n">
        <v>45893</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1787-2022</t>
        </is>
      </c>
      <c r="B211" s="1" t="n">
        <v>44574</v>
      </c>
      <c r="C211" s="1" t="n">
        <v>45893</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45893</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45893</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948-2022</t>
        </is>
      </c>
      <c r="B214" s="1" t="n">
        <v>44571</v>
      </c>
      <c r="C214" s="1" t="n">
        <v>45893</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34558-2022</t>
        </is>
      </c>
      <c r="B215" s="1" t="n">
        <v>44794.57594907407</v>
      </c>
      <c r="C215" s="1" t="n">
        <v>45893</v>
      </c>
      <c r="D215" t="inlineStr">
        <is>
          <t>ÖSTERGÖTLANDS LÄN</t>
        </is>
      </c>
      <c r="E215" t="inlineStr">
        <is>
          <t>LINKÖPING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63489-2023</t>
        </is>
      </c>
      <c r="B216" s="1" t="n">
        <v>45274.66761574074</v>
      </c>
      <c r="C216" s="1" t="n">
        <v>45893</v>
      </c>
      <c r="D216" t="inlineStr">
        <is>
          <t>ÖSTERGÖTLANDS LÄN</t>
        </is>
      </c>
      <c r="E216" t="inlineStr">
        <is>
          <t>LINKÖPING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10194-2023</t>
        </is>
      </c>
      <c r="B217" s="1" t="n">
        <v>44986.52277777778</v>
      </c>
      <c r="C217" s="1" t="n">
        <v>45893</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28266-2024</t>
        </is>
      </c>
      <c r="B218" s="1" t="n">
        <v>45477.43600694444</v>
      </c>
      <c r="C218" s="1" t="n">
        <v>45893</v>
      </c>
      <c r="D218" t="inlineStr">
        <is>
          <t>ÖSTERGÖTLANDS LÄN</t>
        </is>
      </c>
      <c r="E218" t="inlineStr">
        <is>
          <t>LINKÖPING</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16200-2025</t>
        </is>
      </c>
      <c r="B219" s="1" t="n">
        <v>45750.61050925926</v>
      </c>
      <c r="C219" s="1" t="n">
        <v>45893</v>
      </c>
      <c r="D219" t="inlineStr">
        <is>
          <t>ÖSTERGÖTLANDS LÄN</t>
        </is>
      </c>
      <c r="E219" t="inlineStr">
        <is>
          <t>LINKÖPING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37014-2021</t>
        </is>
      </c>
      <c r="B220" s="1" t="n">
        <v>44393</v>
      </c>
      <c r="C220" s="1" t="n">
        <v>45893</v>
      </c>
      <c r="D220" t="inlineStr">
        <is>
          <t>ÖSTERGÖTLANDS LÄN</t>
        </is>
      </c>
      <c r="E220" t="inlineStr">
        <is>
          <t>LINKÖPING</t>
        </is>
      </c>
      <c r="F220" t="inlineStr">
        <is>
          <t>Allmännings- och besparingsskogar</t>
        </is>
      </c>
      <c r="G220" t="n">
        <v>7.7</v>
      </c>
      <c r="H220" t="n">
        <v>0</v>
      </c>
      <c r="I220" t="n">
        <v>0</v>
      </c>
      <c r="J220" t="n">
        <v>0</v>
      </c>
      <c r="K220" t="n">
        <v>0</v>
      </c>
      <c r="L220" t="n">
        <v>0</v>
      </c>
      <c r="M220" t="n">
        <v>0</v>
      </c>
      <c r="N220" t="n">
        <v>0</v>
      </c>
      <c r="O220" t="n">
        <v>0</v>
      </c>
      <c r="P220" t="n">
        <v>0</v>
      </c>
      <c r="Q220" t="n">
        <v>0</v>
      </c>
      <c r="R220" s="2" t="inlineStr"/>
    </row>
    <row r="221" ht="15" customHeight="1">
      <c r="A221" t="inlineStr">
        <is>
          <t>A 63528-2023</t>
        </is>
      </c>
      <c r="B221" s="1" t="n">
        <v>45274.94810185185</v>
      </c>
      <c r="C221" s="1" t="n">
        <v>45893</v>
      </c>
      <c r="D221" t="inlineStr">
        <is>
          <t>ÖSTERGÖTLANDS LÄN</t>
        </is>
      </c>
      <c r="E221" t="inlineStr">
        <is>
          <t>LINKÖPING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25418-2023</t>
        </is>
      </c>
      <c r="B222" s="1" t="n">
        <v>45089</v>
      </c>
      <c r="C222" s="1" t="n">
        <v>45893</v>
      </c>
      <c r="D222" t="inlineStr">
        <is>
          <t>ÖSTERGÖTLANDS LÄN</t>
        </is>
      </c>
      <c r="E222" t="inlineStr">
        <is>
          <t>LINKÖPING</t>
        </is>
      </c>
      <c r="F222" t="inlineStr">
        <is>
          <t>Övriga Aktiebolag</t>
        </is>
      </c>
      <c r="G222" t="n">
        <v>2.4</v>
      </c>
      <c r="H222" t="n">
        <v>0</v>
      </c>
      <c r="I222" t="n">
        <v>0</v>
      </c>
      <c r="J222" t="n">
        <v>0</v>
      </c>
      <c r="K222" t="n">
        <v>0</v>
      </c>
      <c r="L222" t="n">
        <v>0</v>
      </c>
      <c r="M222" t="n">
        <v>0</v>
      </c>
      <c r="N222" t="n">
        <v>0</v>
      </c>
      <c r="O222" t="n">
        <v>0</v>
      </c>
      <c r="P222" t="n">
        <v>0</v>
      </c>
      <c r="Q222" t="n">
        <v>0</v>
      </c>
      <c r="R222" s="2" t="inlineStr"/>
    </row>
    <row r="223" ht="15" customHeight="1">
      <c r="A223" t="inlineStr">
        <is>
          <t>A 38134-2021</t>
        </is>
      </c>
      <c r="B223" s="1" t="n">
        <v>44405.3794212963</v>
      </c>
      <c r="C223" s="1" t="n">
        <v>45893</v>
      </c>
      <c r="D223" t="inlineStr">
        <is>
          <t>ÖSTERGÖTLANDS LÄN</t>
        </is>
      </c>
      <c r="E223" t="inlineStr">
        <is>
          <t>LINKÖPING</t>
        </is>
      </c>
      <c r="G223" t="n">
        <v>5.1</v>
      </c>
      <c r="H223" t="n">
        <v>0</v>
      </c>
      <c r="I223" t="n">
        <v>0</v>
      </c>
      <c r="J223" t="n">
        <v>0</v>
      </c>
      <c r="K223" t="n">
        <v>0</v>
      </c>
      <c r="L223" t="n">
        <v>0</v>
      </c>
      <c r="M223" t="n">
        <v>0</v>
      </c>
      <c r="N223" t="n">
        <v>0</v>
      </c>
      <c r="O223" t="n">
        <v>0</v>
      </c>
      <c r="P223" t="n">
        <v>0</v>
      </c>
      <c r="Q223" t="n">
        <v>0</v>
      </c>
      <c r="R223" s="2" t="inlineStr"/>
    </row>
    <row r="224" ht="15" customHeight="1">
      <c r="A224" t="inlineStr">
        <is>
          <t>A 22772-2024</t>
        </is>
      </c>
      <c r="B224" s="1" t="n">
        <v>45448.46712962963</v>
      </c>
      <c r="C224" s="1" t="n">
        <v>45893</v>
      </c>
      <c r="D224" t="inlineStr">
        <is>
          <t>ÖSTERGÖTLANDS LÄN</t>
        </is>
      </c>
      <c r="E224" t="inlineStr">
        <is>
          <t>LINKÖPING</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20455-2024</t>
        </is>
      </c>
      <c r="B225" s="1" t="n">
        <v>45435.65314814815</v>
      </c>
      <c r="C225" s="1" t="n">
        <v>45893</v>
      </c>
      <c r="D225" t="inlineStr">
        <is>
          <t>ÖSTERGÖTLANDS LÄN</t>
        </is>
      </c>
      <c r="E225" t="inlineStr">
        <is>
          <t>LINKÖPING</t>
        </is>
      </c>
      <c r="G225" t="n">
        <v>2.6</v>
      </c>
      <c r="H225" t="n">
        <v>0</v>
      </c>
      <c r="I225" t="n">
        <v>0</v>
      </c>
      <c r="J225" t="n">
        <v>0</v>
      </c>
      <c r="K225" t="n">
        <v>0</v>
      </c>
      <c r="L225" t="n">
        <v>0</v>
      </c>
      <c r="M225" t="n">
        <v>0</v>
      </c>
      <c r="N225" t="n">
        <v>0</v>
      </c>
      <c r="O225" t="n">
        <v>0</v>
      </c>
      <c r="P225" t="n">
        <v>0</v>
      </c>
      <c r="Q225" t="n">
        <v>0</v>
      </c>
      <c r="R225" s="2" t="inlineStr"/>
    </row>
    <row r="226" ht="15" customHeight="1">
      <c r="A226" t="inlineStr">
        <is>
          <t>A 224-2024</t>
        </is>
      </c>
      <c r="B226" s="1" t="n">
        <v>45294</v>
      </c>
      <c r="C226" s="1" t="n">
        <v>45893</v>
      </c>
      <c r="D226" t="inlineStr">
        <is>
          <t>ÖSTERGÖTLANDS LÄN</t>
        </is>
      </c>
      <c r="E226" t="inlineStr">
        <is>
          <t>LINKÖPING</t>
        </is>
      </c>
      <c r="G226" t="n">
        <v>2.8</v>
      </c>
      <c r="H226" t="n">
        <v>0</v>
      </c>
      <c r="I226" t="n">
        <v>0</v>
      </c>
      <c r="J226" t="n">
        <v>0</v>
      </c>
      <c r="K226" t="n">
        <v>0</v>
      </c>
      <c r="L226" t="n">
        <v>0</v>
      </c>
      <c r="M226" t="n">
        <v>0</v>
      </c>
      <c r="N226" t="n">
        <v>0</v>
      </c>
      <c r="O226" t="n">
        <v>0</v>
      </c>
      <c r="P226" t="n">
        <v>0</v>
      </c>
      <c r="Q226" t="n">
        <v>0</v>
      </c>
      <c r="R226" s="2" t="inlineStr"/>
    </row>
    <row r="227" ht="15" customHeight="1">
      <c r="A227" t="inlineStr">
        <is>
          <t>A 61936-2023</t>
        </is>
      </c>
      <c r="B227" s="1" t="n">
        <v>45266.54534722222</v>
      </c>
      <c r="C227" s="1" t="n">
        <v>45893</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62492-2023</t>
        </is>
      </c>
      <c r="B228" s="1" t="n">
        <v>45268.58987268519</v>
      </c>
      <c r="C228" s="1" t="n">
        <v>45893</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54845-2023</t>
        </is>
      </c>
      <c r="B229" s="1" t="n">
        <v>45236</v>
      </c>
      <c r="C229" s="1" t="n">
        <v>45893</v>
      </c>
      <c r="D229" t="inlineStr">
        <is>
          <t>ÖSTERGÖTLANDS LÄN</t>
        </is>
      </c>
      <c r="E229" t="inlineStr">
        <is>
          <t>LINKÖPING</t>
        </is>
      </c>
      <c r="F229" t="inlineStr">
        <is>
          <t>Övriga Aktiebolag</t>
        </is>
      </c>
      <c r="G229" t="n">
        <v>5.7</v>
      </c>
      <c r="H229" t="n">
        <v>0</v>
      </c>
      <c r="I229" t="n">
        <v>0</v>
      </c>
      <c r="J229" t="n">
        <v>0</v>
      </c>
      <c r="K229" t="n">
        <v>0</v>
      </c>
      <c r="L229" t="n">
        <v>0</v>
      </c>
      <c r="M229" t="n">
        <v>0</v>
      </c>
      <c r="N229" t="n">
        <v>0</v>
      </c>
      <c r="O229" t="n">
        <v>0</v>
      </c>
      <c r="P229" t="n">
        <v>0</v>
      </c>
      <c r="Q229" t="n">
        <v>0</v>
      </c>
      <c r="R229" s="2" t="inlineStr"/>
    </row>
    <row r="230" ht="15" customHeight="1">
      <c r="A230" t="inlineStr">
        <is>
          <t>A 62488-2023</t>
        </is>
      </c>
      <c r="B230" s="1" t="n">
        <v>45268.5847337963</v>
      </c>
      <c r="C230" s="1" t="n">
        <v>45893</v>
      </c>
      <c r="D230" t="inlineStr">
        <is>
          <t>ÖSTERGÖTLANDS LÄN</t>
        </is>
      </c>
      <c r="E230" t="inlineStr">
        <is>
          <t>LINKÖPING</t>
        </is>
      </c>
      <c r="G230" t="n">
        <v>4.1</v>
      </c>
      <c r="H230" t="n">
        <v>0</v>
      </c>
      <c r="I230" t="n">
        <v>0</v>
      </c>
      <c r="J230" t="n">
        <v>0</v>
      </c>
      <c r="K230" t="n">
        <v>0</v>
      </c>
      <c r="L230" t="n">
        <v>0</v>
      </c>
      <c r="M230" t="n">
        <v>0</v>
      </c>
      <c r="N230" t="n">
        <v>0</v>
      </c>
      <c r="O230" t="n">
        <v>0</v>
      </c>
      <c r="P230" t="n">
        <v>0</v>
      </c>
      <c r="Q230" t="n">
        <v>0</v>
      </c>
      <c r="R230" s="2" t="inlineStr"/>
    </row>
    <row r="231" ht="15" customHeight="1">
      <c r="A231" t="inlineStr">
        <is>
          <t>A 24351-2024</t>
        </is>
      </c>
      <c r="B231" s="1" t="n">
        <v>45457.59011574074</v>
      </c>
      <c r="C231" s="1" t="n">
        <v>45893</v>
      </c>
      <c r="D231" t="inlineStr">
        <is>
          <t>ÖSTERGÖTLANDS LÄN</t>
        </is>
      </c>
      <c r="E231" t="inlineStr">
        <is>
          <t>LINKÖPING</t>
        </is>
      </c>
      <c r="G231" t="n">
        <v>11.9</v>
      </c>
      <c r="H231" t="n">
        <v>0</v>
      </c>
      <c r="I231" t="n">
        <v>0</v>
      </c>
      <c r="J231" t="n">
        <v>0</v>
      </c>
      <c r="K231" t="n">
        <v>0</v>
      </c>
      <c r="L231" t="n">
        <v>0</v>
      </c>
      <c r="M231" t="n">
        <v>0</v>
      </c>
      <c r="N231" t="n">
        <v>0</v>
      </c>
      <c r="O231" t="n">
        <v>0</v>
      </c>
      <c r="P231" t="n">
        <v>0</v>
      </c>
      <c r="Q231" t="n">
        <v>0</v>
      </c>
      <c r="R231" s="2" t="inlineStr"/>
    </row>
    <row r="232" ht="15" customHeight="1">
      <c r="A232" t="inlineStr">
        <is>
          <t>A 674-2024</t>
        </is>
      </c>
      <c r="B232" s="1" t="n">
        <v>45300.34408564815</v>
      </c>
      <c r="C232" s="1" t="n">
        <v>45893</v>
      </c>
      <c r="D232" t="inlineStr">
        <is>
          <t>ÖSTERGÖTLANDS LÄN</t>
        </is>
      </c>
      <c r="E232" t="inlineStr">
        <is>
          <t>LINKÖPING</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52796-2023</t>
        </is>
      </c>
      <c r="B233" s="1" t="n">
        <v>45219</v>
      </c>
      <c r="C233" s="1" t="n">
        <v>45893</v>
      </c>
      <c r="D233" t="inlineStr">
        <is>
          <t>ÖSTERGÖTLANDS LÄN</t>
        </is>
      </c>
      <c r="E233" t="inlineStr">
        <is>
          <t>LINKÖPING</t>
        </is>
      </c>
      <c r="F233" t="inlineStr">
        <is>
          <t>Övriga statliga verk och myndigheter</t>
        </is>
      </c>
      <c r="G233" t="n">
        <v>3.9</v>
      </c>
      <c r="H233" t="n">
        <v>0</v>
      </c>
      <c r="I233" t="n">
        <v>0</v>
      </c>
      <c r="J233" t="n">
        <v>0</v>
      </c>
      <c r="K233" t="n">
        <v>0</v>
      </c>
      <c r="L233" t="n">
        <v>0</v>
      </c>
      <c r="M233" t="n">
        <v>0</v>
      </c>
      <c r="N233" t="n">
        <v>0</v>
      </c>
      <c r="O233" t="n">
        <v>0</v>
      </c>
      <c r="P233" t="n">
        <v>0</v>
      </c>
      <c r="Q233" t="n">
        <v>0</v>
      </c>
      <c r="R233" s="2" t="inlineStr"/>
    </row>
    <row r="234" ht="15" customHeight="1">
      <c r="A234" t="inlineStr">
        <is>
          <t>A 15307-2025</t>
        </is>
      </c>
      <c r="B234" s="1" t="n">
        <v>45746.70038194444</v>
      </c>
      <c r="C234" s="1" t="n">
        <v>45893</v>
      </c>
      <c r="D234" t="inlineStr">
        <is>
          <t>ÖSTERGÖTLANDS LÄN</t>
        </is>
      </c>
      <c r="E234" t="inlineStr">
        <is>
          <t>LINKÖPING</t>
        </is>
      </c>
      <c r="G234" t="n">
        <v>3.3</v>
      </c>
      <c r="H234" t="n">
        <v>0</v>
      </c>
      <c r="I234" t="n">
        <v>0</v>
      </c>
      <c r="J234" t="n">
        <v>0</v>
      </c>
      <c r="K234" t="n">
        <v>0</v>
      </c>
      <c r="L234" t="n">
        <v>0</v>
      </c>
      <c r="M234" t="n">
        <v>0</v>
      </c>
      <c r="N234" t="n">
        <v>0</v>
      </c>
      <c r="O234" t="n">
        <v>0</v>
      </c>
      <c r="P234" t="n">
        <v>0</v>
      </c>
      <c r="Q234" t="n">
        <v>0</v>
      </c>
      <c r="R234" s="2" t="inlineStr"/>
    </row>
    <row r="235" ht="15" customHeight="1">
      <c r="A235" t="inlineStr">
        <is>
          <t>A 6782-2024</t>
        </is>
      </c>
      <c r="B235" s="1" t="n">
        <v>45342</v>
      </c>
      <c r="C235" s="1" t="n">
        <v>45893</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7702-2023</t>
        </is>
      </c>
      <c r="B236" s="1" t="n">
        <v>44967</v>
      </c>
      <c r="C236" s="1" t="n">
        <v>45893</v>
      </c>
      <c r="D236" t="inlineStr">
        <is>
          <t>ÖSTERGÖTLANDS LÄN</t>
        </is>
      </c>
      <c r="E236" t="inlineStr">
        <is>
          <t>LINKÖPING</t>
        </is>
      </c>
      <c r="F236" t="inlineStr">
        <is>
          <t>Övriga statliga verk och myndigheter</t>
        </is>
      </c>
      <c r="G236" t="n">
        <v>8</v>
      </c>
      <c r="H236" t="n">
        <v>0</v>
      </c>
      <c r="I236" t="n">
        <v>0</v>
      </c>
      <c r="J236" t="n">
        <v>0</v>
      </c>
      <c r="K236" t="n">
        <v>0</v>
      </c>
      <c r="L236" t="n">
        <v>0</v>
      </c>
      <c r="M236" t="n">
        <v>0</v>
      </c>
      <c r="N236" t="n">
        <v>0</v>
      </c>
      <c r="O236" t="n">
        <v>0</v>
      </c>
      <c r="P236" t="n">
        <v>0</v>
      </c>
      <c r="Q236" t="n">
        <v>0</v>
      </c>
      <c r="R236" s="2" t="inlineStr"/>
    </row>
    <row r="237" ht="15" customHeight="1">
      <c r="A237" t="inlineStr">
        <is>
          <t>A 30855-2022</t>
        </is>
      </c>
      <c r="B237" s="1" t="n">
        <v>44767</v>
      </c>
      <c r="C237" s="1" t="n">
        <v>45893</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10094-2024</t>
        </is>
      </c>
      <c r="B238" s="1" t="n">
        <v>45364</v>
      </c>
      <c r="C238" s="1" t="n">
        <v>45893</v>
      </c>
      <c r="D238" t="inlineStr">
        <is>
          <t>ÖSTERGÖTLANDS LÄN</t>
        </is>
      </c>
      <c r="E238" t="inlineStr">
        <is>
          <t>LINKÖPING</t>
        </is>
      </c>
      <c r="F238" t="inlineStr">
        <is>
          <t>Övriga Aktiebolag</t>
        </is>
      </c>
      <c r="G238" t="n">
        <v>1.9</v>
      </c>
      <c r="H238" t="n">
        <v>0</v>
      </c>
      <c r="I238" t="n">
        <v>0</v>
      </c>
      <c r="J238" t="n">
        <v>0</v>
      </c>
      <c r="K238" t="n">
        <v>0</v>
      </c>
      <c r="L238" t="n">
        <v>0</v>
      </c>
      <c r="M238" t="n">
        <v>0</v>
      </c>
      <c r="N238" t="n">
        <v>0</v>
      </c>
      <c r="O238" t="n">
        <v>0</v>
      </c>
      <c r="P238" t="n">
        <v>0</v>
      </c>
      <c r="Q238" t="n">
        <v>0</v>
      </c>
      <c r="R238" s="2" t="inlineStr"/>
    </row>
    <row r="239" ht="15" customHeight="1">
      <c r="A239" t="inlineStr">
        <is>
          <t>A 42000-2023</t>
        </is>
      </c>
      <c r="B239" s="1" t="n">
        <v>45177</v>
      </c>
      <c r="C239" s="1" t="n">
        <v>45893</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63684-2023</t>
        </is>
      </c>
      <c r="B240" s="1" t="n">
        <v>45275</v>
      </c>
      <c r="C240" s="1" t="n">
        <v>45893</v>
      </c>
      <c r="D240" t="inlineStr">
        <is>
          <t>ÖSTERGÖTLANDS LÄN</t>
        </is>
      </c>
      <c r="E240" t="inlineStr">
        <is>
          <t>LINKÖPING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63688-2023</t>
        </is>
      </c>
      <c r="B241" s="1" t="n">
        <v>45275</v>
      </c>
      <c r="C241" s="1" t="n">
        <v>45893</v>
      </c>
      <c r="D241" t="inlineStr">
        <is>
          <t>ÖSTERGÖTLANDS LÄN</t>
        </is>
      </c>
      <c r="E241" t="inlineStr">
        <is>
          <t>LINKÖPING</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63691-2023</t>
        </is>
      </c>
      <c r="B242" s="1" t="n">
        <v>45275</v>
      </c>
      <c r="C242" s="1" t="n">
        <v>45893</v>
      </c>
      <c r="D242" t="inlineStr">
        <is>
          <t>ÖSTERGÖTLANDS LÄN</t>
        </is>
      </c>
      <c r="E242" t="inlineStr">
        <is>
          <t>LINKÖPING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36657-2023</t>
        </is>
      </c>
      <c r="B243" s="1" t="n">
        <v>45153.5702662037</v>
      </c>
      <c r="C243" s="1" t="n">
        <v>45893</v>
      </c>
      <c r="D243" t="inlineStr">
        <is>
          <t>ÖSTERGÖTLANDS LÄN</t>
        </is>
      </c>
      <c r="E243" t="inlineStr">
        <is>
          <t>LINKÖPING</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14667-2024</t>
        </is>
      </c>
      <c r="B244" s="1" t="n">
        <v>45397.42005787037</v>
      </c>
      <c r="C244" s="1" t="n">
        <v>45893</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34877-2023</t>
        </is>
      </c>
      <c r="B245" s="1" t="n">
        <v>45140</v>
      </c>
      <c r="C245" s="1" t="n">
        <v>45893</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30856-2022</t>
        </is>
      </c>
      <c r="B246" s="1" t="n">
        <v>44767</v>
      </c>
      <c r="C246" s="1" t="n">
        <v>45893</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31534-2023</t>
        </is>
      </c>
      <c r="B247" s="1" t="n">
        <v>45116</v>
      </c>
      <c r="C247" s="1" t="n">
        <v>45893</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35427-2023</t>
        </is>
      </c>
      <c r="B248" s="1" t="n">
        <v>45146</v>
      </c>
      <c r="C248" s="1" t="n">
        <v>45893</v>
      </c>
      <c r="D248" t="inlineStr">
        <is>
          <t>ÖSTERGÖTLANDS LÄN</t>
        </is>
      </c>
      <c r="E248" t="inlineStr">
        <is>
          <t>LINKÖPING</t>
        </is>
      </c>
      <c r="F248" t="inlineStr">
        <is>
          <t>Övriga Aktiebolag</t>
        </is>
      </c>
      <c r="G248" t="n">
        <v>2.5</v>
      </c>
      <c r="H248" t="n">
        <v>0</v>
      </c>
      <c r="I248" t="n">
        <v>0</v>
      </c>
      <c r="J248" t="n">
        <v>0</v>
      </c>
      <c r="K248" t="n">
        <v>0</v>
      </c>
      <c r="L248" t="n">
        <v>0</v>
      </c>
      <c r="M248" t="n">
        <v>0</v>
      </c>
      <c r="N248" t="n">
        <v>0</v>
      </c>
      <c r="O248" t="n">
        <v>0</v>
      </c>
      <c r="P248" t="n">
        <v>0</v>
      </c>
      <c r="Q248" t="n">
        <v>0</v>
      </c>
      <c r="R248" s="2" t="inlineStr"/>
    </row>
    <row r="249" ht="15" customHeight="1">
      <c r="A249" t="inlineStr">
        <is>
          <t>A 36725-2023</t>
        </is>
      </c>
      <c r="B249" s="1" t="n">
        <v>45153.68471064815</v>
      </c>
      <c r="C249" s="1" t="n">
        <v>45893</v>
      </c>
      <c r="D249" t="inlineStr">
        <is>
          <t>ÖSTERGÖTLANDS LÄN</t>
        </is>
      </c>
      <c r="E249" t="inlineStr">
        <is>
          <t>LINKÖPING</t>
        </is>
      </c>
      <c r="F249" t="inlineStr">
        <is>
          <t>Allmännings- och besparingsskogar</t>
        </is>
      </c>
      <c r="G249" t="n">
        <v>2.6</v>
      </c>
      <c r="H249" t="n">
        <v>0</v>
      </c>
      <c r="I249" t="n">
        <v>0</v>
      </c>
      <c r="J249" t="n">
        <v>0</v>
      </c>
      <c r="K249" t="n">
        <v>0</v>
      </c>
      <c r="L249" t="n">
        <v>0</v>
      </c>
      <c r="M249" t="n">
        <v>0</v>
      </c>
      <c r="N249" t="n">
        <v>0</v>
      </c>
      <c r="O249" t="n">
        <v>0</v>
      </c>
      <c r="P249" t="n">
        <v>0</v>
      </c>
      <c r="Q249" t="n">
        <v>0</v>
      </c>
      <c r="R249" s="2" t="inlineStr"/>
    </row>
    <row r="250" ht="15" customHeight="1">
      <c r="A250" t="inlineStr">
        <is>
          <t>A 57745-2022</t>
        </is>
      </c>
      <c r="B250" s="1" t="n">
        <v>44897.58119212963</v>
      </c>
      <c r="C250" s="1" t="n">
        <v>45893</v>
      </c>
      <c r="D250" t="inlineStr">
        <is>
          <t>ÖSTERGÖTLANDS LÄN</t>
        </is>
      </c>
      <c r="E250" t="inlineStr">
        <is>
          <t>LINKÖPING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53639-2023</t>
        </is>
      </c>
      <c r="B251" s="1" t="n">
        <v>45230.59686342593</v>
      </c>
      <c r="C251" s="1" t="n">
        <v>45893</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34889-2023</t>
        </is>
      </c>
      <c r="B252" s="1" t="n">
        <v>45140</v>
      </c>
      <c r="C252" s="1" t="n">
        <v>45893</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1657-2024</t>
        </is>
      </c>
      <c r="B253" s="1" t="n">
        <v>45306.82501157407</v>
      </c>
      <c r="C253" s="1" t="n">
        <v>45893</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15714-2024</t>
        </is>
      </c>
      <c r="B254" s="1" t="n">
        <v>45404.48288194444</v>
      </c>
      <c r="C254" s="1" t="n">
        <v>45893</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50784-2022</t>
        </is>
      </c>
      <c r="B255" s="1" t="n">
        <v>44862</v>
      </c>
      <c r="C255" s="1" t="n">
        <v>45893</v>
      </c>
      <c r="D255" t="inlineStr">
        <is>
          <t>ÖSTERGÖTLANDS LÄN</t>
        </is>
      </c>
      <c r="E255" t="inlineStr">
        <is>
          <t>LINKÖPING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26803-2024</t>
        </is>
      </c>
      <c r="B256" s="1" t="n">
        <v>45470</v>
      </c>
      <c r="C256" s="1" t="n">
        <v>45893</v>
      </c>
      <c r="D256" t="inlineStr">
        <is>
          <t>ÖSTERGÖTLANDS LÄN</t>
        </is>
      </c>
      <c r="E256" t="inlineStr">
        <is>
          <t>LINKÖPING</t>
        </is>
      </c>
      <c r="F256" t="inlineStr">
        <is>
          <t>Allmännings- och besparingsskogar</t>
        </is>
      </c>
      <c r="G256" t="n">
        <v>4.5</v>
      </c>
      <c r="H256" t="n">
        <v>0</v>
      </c>
      <c r="I256" t="n">
        <v>0</v>
      </c>
      <c r="J256" t="n">
        <v>0</v>
      </c>
      <c r="K256" t="n">
        <v>0</v>
      </c>
      <c r="L256" t="n">
        <v>0</v>
      </c>
      <c r="M256" t="n">
        <v>0</v>
      </c>
      <c r="N256" t="n">
        <v>0</v>
      </c>
      <c r="O256" t="n">
        <v>0</v>
      </c>
      <c r="P256" t="n">
        <v>0</v>
      </c>
      <c r="Q256" t="n">
        <v>0</v>
      </c>
      <c r="R256" s="2" t="inlineStr"/>
    </row>
    <row r="257" ht="15" customHeight="1">
      <c r="A257" t="inlineStr">
        <is>
          <t>A 37715-2022</t>
        </is>
      </c>
      <c r="B257" s="1" t="n">
        <v>44810</v>
      </c>
      <c r="C257" s="1" t="n">
        <v>45893</v>
      </c>
      <c r="D257" t="inlineStr">
        <is>
          <t>ÖSTERGÖTLANDS LÄN</t>
        </is>
      </c>
      <c r="E257" t="inlineStr">
        <is>
          <t>LINKÖPING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1993-2023</t>
        </is>
      </c>
      <c r="B258" s="1" t="n">
        <v>44939</v>
      </c>
      <c r="C258" s="1" t="n">
        <v>45893</v>
      </c>
      <c r="D258" t="inlineStr">
        <is>
          <t>ÖSTERGÖTLANDS LÄN</t>
        </is>
      </c>
      <c r="E258" t="inlineStr">
        <is>
          <t>LINKÖPING</t>
        </is>
      </c>
      <c r="G258" t="n">
        <v>3.7</v>
      </c>
      <c r="H258" t="n">
        <v>0</v>
      </c>
      <c r="I258" t="n">
        <v>0</v>
      </c>
      <c r="J258" t="n">
        <v>0</v>
      </c>
      <c r="K258" t="n">
        <v>0</v>
      </c>
      <c r="L258" t="n">
        <v>0</v>
      </c>
      <c r="M258" t="n">
        <v>0</v>
      </c>
      <c r="N258" t="n">
        <v>0</v>
      </c>
      <c r="O258" t="n">
        <v>0</v>
      </c>
      <c r="P258" t="n">
        <v>0</v>
      </c>
      <c r="Q258" t="n">
        <v>0</v>
      </c>
      <c r="R258" s="2" t="inlineStr"/>
    </row>
    <row r="259" ht="15" customHeight="1">
      <c r="A259" t="inlineStr">
        <is>
          <t>A 19187-2021</t>
        </is>
      </c>
      <c r="B259" s="1" t="n">
        <v>44308</v>
      </c>
      <c r="C259" s="1" t="n">
        <v>45893</v>
      </c>
      <c r="D259" t="inlineStr">
        <is>
          <t>ÖSTERGÖTLANDS LÄN</t>
        </is>
      </c>
      <c r="E259" t="inlineStr">
        <is>
          <t>LINKÖPING</t>
        </is>
      </c>
      <c r="F259" t="inlineStr">
        <is>
          <t>Allmännings- och besparingsskogar</t>
        </is>
      </c>
      <c r="G259" t="n">
        <v>20</v>
      </c>
      <c r="H259" t="n">
        <v>0</v>
      </c>
      <c r="I259" t="n">
        <v>0</v>
      </c>
      <c r="J259" t="n">
        <v>0</v>
      </c>
      <c r="K259" t="n">
        <v>0</v>
      </c>
      <c r="L259" t="n">
        <v>0</v>
      </c>
      <c r="M259" t="n">
        <v>0</v>
      </c>
      <c r="N259" t="n">
        <v>0</v>
      </c>
      <c r="O259" t="n">
        <v>0</v>
      </c>
      <c r="P259" t="n">
        <v>0</v>
      </c>
      <c r="Q259" t="n">
        <v>0</v>
      </c>
      <c r="R259" s="2" t="inlineStr"/>
    </row>
    <row r="260" ht="15" customHeight="1">
      <c r="A260" t="inlineStr">
        <is>
          <t>A 30429-2024</t>
        </is>
      </c>
      <c r="B260" s="1" t="n">
        <v>45491.68972222223</v>
      </c>
      <c r="C260" s="1" t="n">
        <v>45893</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60472-2022</t>
        </is>
      </c>
      <c r="B261" s="1" t="n">
        <v>44911.41037037037</v>
      </c>
      <c r="C261" s="1" t="n">
        <v>45893</v>
      </c>
      <c r="D261" t="inlineStr">
        <is>
          <t>ÖSTERGÖTLANDS LÄN</t>
        </is>
      </c>
      <c r="E261" t="inlineStr">
        <is>
          <t>LINKÖPING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43934-2023</t>
        </is>
      </c>
      <c r="B262" s="1" t="n">
        <v>45187</v>
      </c>
      <c r="C262" s="1" t="n">
        <v>45893</v>
      </c>
      <c r="D262" t="inlineStr">
        <is>
          <t>ÖSTERGÖTLANDS LÄN</t>
        </is>
      </c>
      <c r="E262" t="inlineStr">
        <is>
          <t>LINKÖPING</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22774-2024</t>
        </is>
      </c>
      <c r="B263" s="1" t="n">
        <v>45448.46924768519</v>
      </c>
      <c r="C263" s="1" t="n">
        <v>45893</v>
      </c>
      <c r="D263" t="inlineStr">
        <is>
          <t>ÖSTERGÖTLANDS LÄN</t>
        </is>
      </c>
      <c r="E263" t="inlineStr">
        <is>
          <t>LINKÖPING</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22778-2024</t>
        </is>
      </c>
      <c r="B264" s="1" t="n">
        <v>45448.47233796296</v>
      </c>
      <c r="C264" s="1" t="n">
        <v>45893</v>
      </c>
      <c r="D264" t="inlineStr">
        <is>
          <t>ÖSTERGÖTLANDS LÄN</t>
        </is>
      </c>
      <c r="E264" t="inlineStr">
        <is>
          <t>LINKÖPING</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22771-2024</t>
        </is>
      </c>
      <c r="B265" s="1" t="n">
        <v>45448.46574074074</v>
      </c>
      <c r="C265" s="1" t="n">
        <v>45893</v>
      </c>
      <c r="D265" t="inlineStr">
        <is>
          <t>ÖSTERGÖTLANDS LÄN</t>
        </is>
      </c>
      <c r="E265" t="inlineStr">
        <is>
          <t>LINKÖPING</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1209-2023</t>
        </is>
      </c>
      <c r="B266" s="1" t="n">
        <v>44930</v>
      </c>
      <c r="C266" s="1" t="n">
        <v>45893</v>
      </c>
      <c r="D266" t="inlineStr">
        <is>
          <t>ÖSTERGÖTLANDS LÄN</t>
        </is>
      </c>
      <c r="E266" t="inlineStr">
        <is>
          <t>LINKÖPING</t>
        </is>
      </c>
      <c r="F266" t="inlineStr">
        <is>
          <t>Övriga statliga verk och myndigheter</t>
        </is>
      </c>
      <c r="G266" t="n">
        <v>25.8</v>
      </c>
      <c r="H266" t="n">
        <v>0</v>
      </c>
      <c r="I266" t="n">
        <v>0</v>
      </c>
      <c r="J266" t="n">
        <v>0</v>
      </c>
      <c r="K266" t="n">
        <v>0</v>
      </c>
      <c r="L266" t="n">
        <v>0</v>
      </c>
      <c r="M266" t="n">
        <v>0</v>
      </c>
      <c r="N266" t="n">
        <v>0</v>
      </c>
      <c r="O266" t="n">
        <v>0</v>
      </c>
      <c r="P266" t="n">
        <v>0</v>
      </c>
      <c r="Q266" t="n">
        <v>0</v>
      </c>
      <c r="R266" s="2" t="inlineStr"/>
    </row>
    <row r="267" ht="15" customHeight="1">
      <c r="A267" t="inlineStr">
        <is>
          <t>A 52220-2023</t>
        </is>
      </c>
      <c r="B267" s="1" t="n">
        <v>45217</v>
      </c>
      <c r="C267" s="1" t="n">
        <v>45893</v>
      </c>
      <c r="D267" t="inlineStr">
        <is>
          <t>ÖSTERGÖTLANDS LÄN</t>
        </is>
      </c>
      <c r="E267" t="inlineStr">
        <is>
          <t>LINKÖPING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52225-2023</t>
        </is>
      </c>
      <c r="B268" s="1" t="n">
        <v>45217</v>
      </c>
      <c r="C268" s="1" t="n">
        <v>45893</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42832-2023</t>
        </is>
      </c>
      <c r="B269" s="1" t="n">
        <v>45182.38091435185</v>
      </c>
      <c r="C269" s="1" t="n">
        <v>45893</v>
      </c>
      <c r="D269" t="inlineStr">
        <is>
          <t>ÖSTERGÖTLANDS LÄN</t>
        </is>
      </c>
      <c r="E269" t="inlineStr">
        <is>
          <t>LINKÖPING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56560-2023</t>
        </is>
      </c>
      <c r="B270" s="1" t="n">
        <v>45238</v>
      </c>
      <c r="C270" s="1" t="n">
        <v>45893</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52412-2023</t>
        </is>
      </c>
      <c r="B271" s="1" t="n">
        <v>45225.27888888889</v>
      </c>
      <c r="C271" s="1" t="n">
        <v>45893</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52413-2023</t>
        </is>
      </c>
      <c r="B272" s="1" t="n">
        <v>45225.27950231481</v>
      </c>
      <c r="C272" s="1" t="n">
        <v>45893</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10407-2025</t>
        </is>
      </c>
      <c r="B273" s="1" t="n">
        <v>45720.62863425926</v>
      </c>
      <c r="C273" s="1" t="n">
        <v>45893</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11590-2023</t>
        </is>
      </c>
      <c r="B274" s="1" t="n">
        <v>44994.36689814815</v>
      </c>
      <c r="C274" s="1" t="n">
        <v>45893</v>
      </c>
      <c r="D274" t="inlineStr">
        <is>
          <t>ÖSTERGÖTLANDS LÄN</t>
        </is>
      </c>
      <c r="E274" t="inlineStr">
        <is>
          <t>LINKÖPING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19169-2023</t>
        </is>
      </c>
      <c r="B275" s="1" t="n">
        <v>45044</v>
      </c>
      <c r="C275" s="1" t="n">
        <v>45893</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7354-2025</t>
        </is>
      </c>
      <c r="B276" s="1" t="n">
        <v>45704.41174768518</v>
      </c>
      <c r="C276" s="1" t="n">
        <v>45893</v>
      </c>
      <c r="D276" t="inlineStr">
        <is>
          <t>ÖSTERGÖTLANDS LÄN</t>
        </is>
      </c>
      <c r="E276" t="inlineStr">
        <is>
          <t>LINKÖPING</t>
        </is>
      </c>
      <c r="G276" t="n">
        <v>4.8</v>
      </c>
      <c r="H276" t="n">
        <v>0</v>
      </c>
      <c r="I276" t="n">
        <v>0</v>
      </c>
      <c r="J276" t="n">
        <v>0</v>
      </c>
      <c r="K276" t="n">
        <v>0</v>
      </c>
      <c r="L276" t="n">
        <v>0</v>
      </c>
      <c r="M276" t="n">
        <v>0</v>
      </c>
      <c r="N276" t="n">
        <v>0</v>
      </c>
      <c r="O276" t="n">
        <v>0</v>
      </c>
      <c r="P276" t="n">
        <v>0</v>
      </c>
      <c r="Q276" t="n">
        <v>0</v>
      </c>
      <c r="R276" s="2" t="inlineStr"/>
    </row>
    <row r="277" ht="15" customHeight="1">
      <c r="A277" t="inlineStr">
        <is>
          <t>A 672-2024</t>
        </is>
      </c>
      <c r="B277" s="1" t="n">
        <v>45300</v>
      </c>
      <c r="C277" s="1" t="n">
        <v>45893</v>
      </c>
      <c r="D277" t="inlineStr">
        <is>
          <t>ÖSTERGÖTLANDS LÄN</t>
        </is>
      </c>
      <c r="E277" t="inlineStr">
        <is>
          <t>LINKÖPING</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55493-2021</t>
        </is>
      </c>
      <c r="B278" s="1" t="n">
        <v>44475.61988425926</v>
      </c>
      <c r="C278" s="1" t="n">
        <v>45893</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30435-2024</t>
        </is>
      </c>
      <c r="B279" s="1" t="n">
        <v>45491.69962962963</v>
      </c>
      <c r="C279" s="1" t="n">
        <v>45893</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14093-2024</t>
        </is>
      </c>
      <c r="B280" s="1" t="n">
        <v>45392.60278935185</v>
      </c>
      <c r="C280" s="1" t="n">
        <v>45893</v>
      </c>
      <c r="D280" t="inlineStr">
        <is>
          <t>ÖSTERGÖTLANDS LÄN</t>
        </is>
      </c>
      <c r="E280" t="inlineStr">
        <is>
          <t>LINKÖPING</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62019-2024</t>
        </is>
      </c>
      <c r="B281" s="1" t="n">
        <v>45655.82</v>
      </c>
      <c r="C281" s="1" t="n">
        <v>45893</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10253-2022</t>
        </is>
      </c>
      <c r="B282" s="1" t="n">
        <v>44622</v>
      </c>
      <c r="C282" s="1" t="n">
        <v>45893</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4927-2021</t>
        </is>
      </c>
      <c r="B283" s="1" t="n">
        <v>44227.57215277778</v>
      </c>
      <c r="C283" s="1" t="n">
        <v>45893</v>
      </c>
      <c r="D283" t="inlineStr">
        <is>
          <t>ÖSTERGÖTLANDS LÄN</t>
        </is>
      </c>
      <c r="E283" t="inlineStr">
        <is>
          <t>LINKÖPING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25119-2023</t>
        </is>
      </c>
      <c r="B284" s="1" t="n">
        <v>45086.42326388889</v>
      </c>
      <c r="C284" s="1" t="n">
        <v>45893</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38231-2022</t>
        </is>
      </c>
      <c r="B285" s="1" t="n">
        <v>44812</v>
      </c>
      <c r="C285" s="1" t="n">
        <v>45893</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34557-2022</t>
        </is>
      </c>
      <c r="B286" s="1" t="n">
        <v>44794.57074074074</v>
      </c>
      <c r="C286" s="1" t="n">
        <v>45893</v>
      </c>
      <c r="D286" t="inlineStr">
        <is>
          <t>ÖSTERGÖTLANDS LÄN</t>
        </is>
      </c>
      <c r="E286" t="inlineStr">
        <is>
          <t>LINKÖPING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13011-2022</t>
        </is>
      </c>
      <c r="B287" s="1" t="n">
        <v>44643</v>
      </c>
      <c r="C287" s="1" t="n">
        <v>45893</v>
      </c>
      <c r="D287" t="inlineStr">
        <is>
          <t>ÖSTERGÖTLANDS LÄN</t>
        </is>
      </c>
      <c r="E287" t="inlineStr">
        <is>
          <t>LINKÖPING</t>
        </is>
      </c>
      <c r="G287" t="n">
        <v>3.7</v>
      </c>
      <c r="H287" t="n">
        <v>0</v>
      </c>
      <c r="I287" t="n">
        <v>0</v>
      </c>
      <c r="J287" t="n">
        <v>0</v>
      </c>
      <c r="K287" t="n">
        <v>0</v>
      </c>
      <c r="L287" t="n">
        <v>0</v>
      </c>
      <c r="M287" t="n">
        <v>0</v>
      </c>
      <c r="N287" t="n">
        <v>0</v>
      </c>
      <c r="O287" t="n">
        <v>0</v>
      </c>
      <c r="P287" t="n">
        <v>0</v>
      </c>
      <c r="Q287" t="n">
        <v>0</v>
      </c>
      <c r="R287" s="2" t="inlineStr"/>
    </row>
    <row r="288" ht="15" customHeight="1">
      <c r="A288" t="inlineStr">
        <is>
          <t>A 617-2024</t>
        </is>
      </c>
      <c r="B288" s="1" t="n">
        <v>45299.66028935185</v>
      </c>
      <c r="C288" s="1" t="n">
        <v>45893</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57396-2021</t>
        </is>
      </c>
      <c r="B289" s="1" t="n">
        <v>44483.56151620371</v>
      </c>
      <c r="C289" s="1" t="n">
        <v>45893</v>
      </c>
      <c r="D289" t="inlineStr">
        <is>
          <t>ÖSTERGÖTLANDS LÄN</t>
        </is>
      </c>
      <c r="E289" t="inlineStr">
        <is>
          <t>LINKÖPING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51571-2024</t>
        </is>
      </c>
      <c r="B290" s="1" t="n">
        <v>45604</v>
      </c>
      <c r="C290" s="1" t="n">
        <v>45893</v>
      </c>
      <c r="D290" t="inlineStr">
        <is>
          <t>ÖSTERGÖTLANDS LÄN</t>
        </is>
      </c>
      <c r="E290" t="inlineStr">
        <is>
          <t>LINKÖPING</t>
        </is>
      </c>
      <c r="F290" t="inlineStr">
        <is>
          <t>Övriga Aktiebolag</t>
        </is>
      </c>
      <c r="G290" t="n">
        <v>1.4</v>
      </c>
      <c r="H290" t="n">
        <v>0</v>
      </c>
      <c r="I290" t="n">
        <v>0</v>
      </c>
      <c r="J290" t="n">
        <v>0</v>
      </c>
      <c r="K290" t="n">
        <v>0</v>
      </c>
      <c r="L290" t="n">
        <v>0</v>
      </c>
      <c r="M290" t="n">
        <v>0</v>
      </c>
      <c r="N290" t="n">
        <v>0</v>
      </c>
      <c r="O290" t="n">
        <v>0</v>
      </c>
      <c r="P290" t="n">
        <v>0</v>
      </c>
      <c r="Q290" t="n">
        <v>0</v>
      </c>
      <c r="R290" s="2" t="inlineStr"/>
    </row>
    <row r="291" ht="15" customHeight="1">
      <c r="A291" t="inlineStr">
        <is>
          <t>A 17143-2025</t>
        </is>
      </c>
      <c r="B291" s="1" t="n">
        <v>45755.92731481481</v>
      </c>
      <c r="C291" s="1" t="n">
        <v>45893</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19362-2023</t>
        </is>
      </c>
      <c r="B292" s="1" t="n">
        <v>45049</v>
      </c>
      <c r="C292" s="1" t="n">
        <v>45893</v>
      </c>
      <c r="D292" t="inlineStr">
        <is>
          <t>ÖSTERGÖTLANDS LÄN</t>
        </is>
      </c>
      <c r="E292" t="inlineStr">
        <is>
          <t>LINKÖPING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17124-2025</t>
        </is>
      </c>
      <c r="B293" s="1" t="n">
        <v>45755.69678240741</v>
      </c>
      <c r="C293" s="1" t="n">
        <v>45893</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17126-2025</t>
        </is>
      </c>
      <c r="B294" s="1" t="n">
        <v>45755.70814814815</v>
      </c>
      <c r="C294" s="1" t="n">
        <v>45893</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19132-2023</t>
        </is>
      </c>
      <c r="B295" s="1" t="n">
        <v>45048.54754629629</v>
      </c>
      <c r="C295" s="1" t="n">
        <v>45893</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55945-2024</t>
        </is>
      </c>
      <c r="B296" s="1" t="n">
        <v>45623.61754629629</v>
      </c>
      <c r="C296" s="1" t="n">
        <v>45893</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34928-2023</t>
        </is>
      </c>
      <c r="B297" s="1" t="n">
        <v>45142</v>
      </c>
      <c r="C297" s="1" t="n">
        <v>45893</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31640-2023</t>
        </is>
      </c>
      <c r="B298" s="1" t="n">
        <v>45117</v>
      </c>
      <c r="C298" s="1" t="n">
        <v>45893</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1263-2024</t>
        </is>
      </c>
      <c r="B299" s="1" t="n">
        <v>45302</v>
      </c>
      <c r="C299" s="1" t="n">
        <v>45893</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52531-2023</t>
        </is>
      </c>
      <c r="B300" s="1" t="n">
        <v>45225</v>
      </c>
      <c r="C300" s="1" t="n">
        <v>45893</v>
      </c>
      <c r="D300" t="inlineStr">
        <is>
          <t>ÖSTERGÖTLANDS LÄN</t>
        </is>
      </c>
      <c r="E300" t="inlineStr">
        <is>
          <t>LINKÖPING</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46980-2020</t>
        </is>
      </c>
      <c r="B301" s="1" t="n">
        <v>44090</v>
      </c>
      <c r="C301" s="1" t="n">
        <v>45893</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31635-2023</t>
        </is>
      </c>
      <c r="B302" s="1" t="n">
        <v>45105</v>
      </c>
      <c r="C302" s="1" t="n">
        <v>45893</v>
      </c>
      <c r="D302" t="inlineStr">
        <is>
          <t>ÖSTERGÖTLANDS LÄN</t>
        </is>
      </c>
      <c r="E302" t="inlineStr">
        <is>
          <t>LINKÖPING</t>
        </is>
      </c>
      <c r="F302" t="inlineStr">
        <is>
          <t>Övriga statliga verk och myndigheter</t>
        </is>
      </c>
      <c r="G302" t="n">
        <v>4.6</v>
      </c>
      <c r="H302" t="n">
        <v>0</v>
      </c>
      <c r="I302" t="n">
        <v>0</v>
      </c>
      <c r="J302" t="n">
        <v>0</v>
      </c>
      <c r="K302" t="n">
        <v>0</v>
      </c>
      <c r="L302" t="n">
        <v>0</v>
      </c>
      <c r="M302" t="n">
        <v>0</v>
      </c>
      <c r="N302" t="n">
        <v>0</v>
      </c>
      <c r="O302" t="n">
        <v>0</v>
      </c>
      <c r="P302" t="n">
        <v>0</v>
      </c>
      <c r="Q302" t="n">
        <v>0</v>
      </c>
      <c r="R302" s="2" t="inlineStr"/>
    </row>
    <row r="303" ht="15" customHeight="1">
      <c r="A303" t="inlineStr">
        <is>
          <t>A 54846-2024</t>
        </is>
      </c>
      <c r="B303" s="1" t="n">
        <v>45618</v>
      </c>
      <c r="C303" s="1" t="n">
        <v>45893</v>
      </c>
      <c r="D303" t="inlineStr">
        <is>
          <t>ÖSTERGÖTLANDS LÄN</t>
        </is>
      </c>
      <c r="E303" t="inlineStr">
        <is>
          <t>LINKÖPING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20296-2025</t>
        </is>
      </c>
      <c r="B304" s="1" t="n">
        <v>45774.74922453704</v>
      </c>
      <c r="C304" s="1" t="n">
        <v>45893</v>
      </c>
      <c r="D304" t="inlineStr">
        <is>
          <t>ÖSTERGÖTLANDS LÄN</t>
        </is>
      </c>
      <c r="E304" t="inlineStr">
        <is>
          <t>LINKÖPING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67129-2020</t>
        </is>
      </c>
      <c r="B305" s="1" t="n">
        <v>44180</v>
      </c>
      <c r="C305" s="1" t="n">
        <v>45893</v>
      </c>
      <c r="D305" t="inlineStr">
        <is>
          <t>ÖSTERGÖTLANDS LÄN</t>
        </is>
      </c>
      <c r="E305" t="inlineStr">
        <is>
          <t>LINKÖPING</t>
        </is>
      </c>
      <c r="F305" t="inlineStr">
        <is>
          <t>Övriga statliga verk och myndigheter</t>
        </is>
      </c>
      <c r="G305" t="n">
        <v>2.7</v>
      </c>
      <c r="H305" t="n">
        <v>0</v>
      </c>
      <c r="I305" t="n">
        <v>0</v>
      </c>
      <c r="J305" t="n">
        <v>0</v>
      </c>
      <c r="K305" t="n">
        <v>0</v>
      </c>
      <c r="L305" t="n">
        <v>0</v>
      </c>
      <c r="M305" t="n">
        <v>0</v>
      </c>
      <c r="N305" t="n">
        <v>0</v>
      </c>
      <c r="O305" t="n">
        <v>0</v>
      </c>
      <c r="P305" t="n">
        <v>0</v>
      </c>
      <c r="Q305" t="n">
        <v>0</v>
      </c>
      <c r="R305" s="2" t="inlineStr"/>
    </row>
    <row r="306" ht="15" customHeight="1">
      <c r="A306" t="inlineStr">
        <is>
          <t>A 11790-2024</t>
        </is>
      </c>
      <c r="B306" s="1" t="n">
        <v>45374</v>
      </c>
      <c r="C306" s="1" t="n">
        <v>45893</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22770-2024</t>
        </is>
      </c>
      <c r="B307" s="1" t="n">
        <v>45448.4634375</v>
      </c>
      <c r="C307" s="1" t="n">
        <v>45893</v>
      </c>
      <c r="D307" t="inlineStr">
        <is>
          <t>ÖSTERGÖTLANDS LÄN</t>
        </is>
      </c>
      <c r="E307" t="inlineStr">
        <is>
          <t>LINKÖPING</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20291-2025</t>
        </is>
      </c>
      <c r="B308" s="1" t="n">
        <v>45774.74288194445</v>
      </c>
      <c r="C308" s="1" t="n">
        <v>45893</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20293-2025</t>
        </is>
      </c>
      <c r="B309" s="1" t="n">
        <v>45774.74611111111</v>
      </c>
      <c r="C309" s="1" t="n">
        <v>45893</v>
      </c>
      <c r="D309" t="inlineStr">
        <is>
          <t>ÖSTERGÖTLANDS LÄN</t>
        </is>
      </c>
      <c r="E309" t="inlineStr">
        <is>
          <t>LINKÖPING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61281-2021</t>
        </is>
      </c>
      <c r="B310" s="1" t="n">
        <v>44498.60736111111</v>
      </c>
      <c r="C310" s="1" t="n">
        <v>45893</v>
      </c>
      <c r="D310" t="inlineStr">
        <is>
          <t>ÖSTERGÖTLANDS LÄN</t>
        </is>
      </c>
      <c r="E310" t="inlineStr">
        <is>
          <t>LINKÖPING</t>
        </is>
      </c>
      <c r="G310" t="n">
        <v>4.5</v>
      </c>
      <c r="H310" t="n">
        <v>0</v>
      </c>
      <c r="I310" t="n">
        <v>0</v>
      </c>
      <c r="J310" t="n">
        <v>0</v>
      </c>
      <c r="K310" t="n">
        <v>0</v>
      </c>
      <c r="L310" t="n">
        <v>0</v>
      </c>
      <c r="M310" t="n">
        <v>0</v>
      </c>
      <c r="N310" t="n">
        <v>0</v>
      </c>
      <c r="O310" t="n">
        <v>0</v>
      </c>
      <c r="P310" t="n">
        <v>0</v>
      </c>
      <c r="Q310" t="n">
        <v>0</v>
      </c>
      <c r="R310" s="2" t="inlineStr"/>
    </row>
    <row r="311" ht="15" customHeight="1">
      <c r="A311" t="inlineStr">
        <is>
          <t>A 11595-2025</t>
        </is>
      </c>
      <c r="B311" s="1" t="n">
        <v>45727.41893518518</v>
      </c>
      <c r="C311" s="1" t="n">
        <v>45893</v>
      </c>
      <c r="D311" t="inlineStr">
        <is>
          <t>ÖSTERGÖTLANDS LÄN</t>
        </is>
      </c>
      <c r="E311" t="inlineStr">
        <is>
          <t>LINKÖPING</t>
        </is>
      </c>
      <c r="G311" t="n">
        <v>6.6</v>
      </c>
      <c r="H311" t="n">
        <v>0</v>
      </c>
      <c r="I311" t="n">
        <v>0</v>
      </c>
      <c r="J311" t="n">
        <v>0</v>
      </c>
      <c r="K311" t="n">
        <v>0</v>
      </c>
      <c r="L311" t="n">
        <v>0</v>
      </c>
      <c r="M311" t="n">
        <v>0</v>
      </c>
      <c r="N311" t="n">
        <v>0</v>
      </c>
      <c r="O311" t="n">
        <v>0</v>
      </c>
      <c r="P311" t="n">
        <v>0</v>
      </c>
      <c r="Q311" t="n">
        <v>0</v>
      </c>
      <c r="R311" s="2" t="inlineStr"/>
    </row>
    <row r="312" ht="15" customHeight="1">
      <c r="A312" t="inlineStr">
        <is>
          <t>A 6206-2024</t>
        </is>
      </c>
      <c r="B312" s="1" t="n">
        <v>45337.5977662037</v>
      </c>
      <c r="C312" s="1" t="n">
        <v>45893</v>
      </c>
      <c r="D312" t="inlineStr">
        <is>
          <t>ÖSTERGÖTLANDS LÄN</t>
        </is>
      </c>
      <c r="E312" t="inlineStr">
        <is>
          <t>LINKÖPING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47991-2023</t>
        </is>
      </c>
      <c r="B313" s="1" t="n">
        <v>45204.62655092592</v>
      </c>
      <c r="C313" s="1" t="n">
        <v>45893</v>
      </c>
      <c r="D313" t="inlineStr">
        <is>
          <t>ÖSTERGÖTLANDS LÄN</t>
        </is>
      </c>
      <c r="E313" t="inlineStr">
        <is>
          <t>LINKÖPING</t>
        </is>
      </c>
      <c r="F313" t="inlineStr">
        <is>
          <t>Allmännings- och besparingsskogar</t>
        </is>
      </c>
      <c r="G313" t="n">
        <v>7.3</v>
      </c>
      <c r="H313" t="n">
        <v>0</v>
      </c>
      <c r="I313" t="n">
        <v>0</v>
      </c>
      <c r="J313" t="n">
        <v>0</v>
      </c>
      <c r="K313" t="n">
        <v>0</v>
      </c>
      <c r="L313" t="n">
        <v>0</v>
      </c>
      <c r="M313" t="n">
        <v>0</v>
      </c>
      <c r="N313" t="n">
        <v>0</v>
      </c>
      <c r="O313" t="n">
        <v>0</v>
      </c>
      <c r="P313" t="n">
        <v>0</v>
      </c>
      <c r="Q313" t="n">
        <v>0</v>
      </c>
      <c r="R313" s="2" t="inlineStr"/>
    </row>
    <row r="314" ht="15" customHeight="1">
      <c r="A314" t="inlineStr">
        <is>
          <t>A 48839-2022</t>
        </is>
      </c>
      <c r="B314" s="1" t="n">
        <v>44859</v>
      </c>
      <c r="C314" s="1" t="n">
        <v>45893</v>
      </c>
      <c r="D314" t="inlineStr">
        <is>
          <t>ÖSTERGÖTLANDS LÄN</t>
        </is>
      </c>
      <c r="E314" t="inlineStr">
        <is>
          <t>LINKÖPING</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168-2024</t>
        </is>
      </c>
      <c r="B315" s="1" t="n">
        <v>45294</v>
      </c>
      <c r="C315" s="1" t="n">
        <v>45893</v>
      </c>
      <c r="D315" t="inlineStr">
        <is>
          <t>ÖSTERGÖTLANDS LÄN</t>
        </is>
      </c>
      <c r="E315" t="inlineStr">
        <is>
          <t>LINKÖPING</t>
        </is>
      </c>
      <c r="F315" t="inlineStr">
        <is>
          <t>Allmännings- och besparingsskogar</t>
        </is>
      </c>
      <c r="G315" t="n">
        <v>8.9</v>
      </c>
      <c r="H315" t="n">
        <v>0</v>
      </c>
      <c r="I315" t="n">
        <v>0</v>
      </c>
      <c r="J315" t="n">
        <v>0</v>
      </c>
      <c r="K315" t="n">
        <v>0</v>
      </c>
      <c r="L315" t="n">
        <v>0</v>
      </c>
      <c r="M315" t="n">
        <v>0</v>
      </c>
      <c r="N315" t="n">
        <v>0</v>
      </c>
      <c r="O315" t="n">
        <v>0</v>
      </c>
      <c r="P315" t="n">
        <v>0</v>
      </c>
      <c r="Q315" t="n">
        <v>0</v>
      </c>
      <c r="R315" s="2" t="inlineStr"/>
    </row>
    <row r="316" ht="15" customHeight="1">
      <c r="A316" t="inlineStr">
        <is>
          <t>A 51919-2024</t>
        </is>
      </c>
      <c r="B316" s="1" t="n">
        <v>45607.60791666667</v>
      </c>
      <c r="C316" s="1" t="n">
        <v>45893</v>
      </c>
      <c r="D316" t="inlineStr">
        <is>
          <t>ÖSTERGÖTLANDS LÄN</t>
        </is>
      </c>
      <c r="E316" t="inlineStr">
        <is>
          <t>LINKÖPING</t>
        </is>
      </c>
      <c r="G316" t="n">
        <v>2.5</v>
      </c>
      <c r="H316" t="n">
        <v>0</v>
      </c>
      <c r="I316" t="n">
        <v>0</v>
      </c>
      <c r="J316" t="n">
        <v>0</v>
      </c>
      <c r="K316" t="n">
        <v>0</v>
      </c>
      <c r="L316" t="n">
        <v>0</v>
      </c>
      <c r="M316" t="n">
        <v>0</v>
      </c>
      <c r="N316" t="n">
        <v>0</v>
      </c>
      <c r="O316" t="n">
        <v>0</v>
      </c>
      <c r="P316" t="n">
        <v>0</v>
      </c>
      <c r="Q316" t="n">
        <v>0</v>
      </c>
      <c r="R316" s="2" t="inlineStr"/>
    </row>
    <row r="317" ht="15" customHeight="1">
      <c r="A317" t="inlineStr">
        <is>
          <t>A 56623-2024</t>
        </is>
      </c>
      <c r="B317" s="1" t="n">
        <v>45625</v>
      </c>
      <c r="C317" s="1" t="n">
        <v>45893</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8967-2025</t>
        </is>
      </c>
      <c r="B318" s="1" t="n">
        <v>45712</v>
      </c>
      <c r="C318" s="1" t="n">
        <v>45893</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11330-2023</t>
        </is>
      </c>
      <c r="B319" s="1" t="n">
        <v>44993.24648148148</v>
      </c>
      <c r="C319" s="1" t="n">
        <v>45893</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63304-2021</t>
        </is>
      </c>
      <c r="B320" s="1" t="n">
        <v>44508.4396412037</v>
      </c>
      <c r="C320" s="1" t="n">
        <v>45893</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3041-2024</t>
        </is>
      </c>
      <c r="B321" s="1" t="n">
        <v>45316.34875</v>
      </c>
      <c r="C321" s="1" t="n">
        <v>45893</v>
      </c>
      <c r="D321" t="inlineStr">
        <is>
          <t>ÖSTERGÖTLANDS LÄN</t>
        </is>
      </c>
      <c r="E321" t="inlineStr">
        <is>
          <t>LINKÖPING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3043-2024</t>
        </is>
      </c>
      <c r="B322" s="1" t="n">
        <v>45316</v>
      </c>
      <c r="C322" s="1" t="n">
        <v>45893</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50963-2021</t>
        </is>
      </c>
      <c r="B323" s="1" t="n">
        <v>44460</v>
      </c>
      <c r="C323" s="1" t="n">
        <v>45893</v>
      </c>
      <c r="D323" t="inlineStr">
        <is>
          <t>ÖSTERGÖTLANDS LÄN</t>
        </is>
      </c>
      <c r="E323" t="inlineStr">
        <is>
          <t>LINKÖPING</t>
        </is>
      </c>
      <c r="G323" t="n">
        <v>4.4</v>
      </c>
      <c r="H323" t="n">
        <v>0</v>
      </c>
      <c r="I323" t="n">
        <v>0</v>
      </c>
      <c r="J323" t="n">
        <v>0</v>
      </c>
      <c r="K323" t="n">
        <v>0</v>
      </c>
      <c r="L323" t="n">
        <v>0</v>
      </c>
      <c r="M323" t="n">
        <v>0</v>
      </c>
      <c r="N323" t="n">
        <v>0</v>
      </c>
      <c r="O323" t="n">
        <v>0</v>
      </c>
      <c r="P323" t="n">
        <v>0</v>
      </c>
      <c r="Q323" t="n">
        <v>0</v>
      </c>
      <c r="R323" s="2" t="inlineStr"/>
    </row>
    <row r="324" ht="15" customHeight="1">
      <c r="A324" t="inlineStr">
        <is>
          <t>A 42413-2020</t>
        </is>
      </c>
      <c r="B324" s="1" t="n">
        <v>44076</v>
      </c>
      <c r="C324" s="1" t="n">
        <v>45893</v>
      </c>
      <c r="D324" t="inlineStr">
        <is>
          <t>ÖSTERGÖTLANDS LÄN</t>
        </is>
      </c>
      <c r="E324" t="inlineStr">
        <is>
          <t>LINKÖPING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61307-2021</t>
        </is>
      </c>
      <c r="B325" s="1" t="n">
        <v>44498.63928240741</v>
      </c>
      <c r="C325" s="1" t="n">
        <v>45893</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61325-2021</t>
        </is>
      </c>
      <c r="B326" s="1" t="n">
        <v>44498.66814814815</v>
      </c>
      <c r="C326" s="1" t="n">
        <v>45893</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14528-2025</t>
        </is>
      </c>
      <c r="B327" s="1" t="n">
        <v>45741</v>
      </c>
      <c r="C327" s="1" t="n">
        <v>45893</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63665-2023</t>
        </is>
      </c>
      <c r="B328" s="1" t="n">
        <v>45275</v>
      </c>
      <c r="C328" s="1" t="n">
        <v>45893</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63678-2023</t>
        </is>
      </c>
      <c r="B329" s="1" t="n">
        <v>45275.64769675926</v>
      </c>
      <c r="C329" s="1" t="n">
        <v>45893</v>
      </c>
      <c r="D329" t="inlineStr">
        <is>
          <t>ÖSTERGÖTLANDS LÄN</t>
        </is>
      </c>
      <c r="E329" t="inlineStr">
        <is>
          <t>LINKÖPING</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33867-2023</t>
        </is>
      </c>
      <c r="B330" s="1" t="n">
        <v>45133.94640046296</v>
      </c>
      <c r="C330" s="1" t="n">
        <v>45893</v>
      </c>
      <c r="D330" t="inlineStr">
        <is>
          <t>ÖSTERGÖTLANDS LÄN</t>
        </is>
      </c>
      <c r="E330" t="inlineStr">
        <is>
          <t>LINKÖPING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3530-2024</t>
        </is>
      </c>
      <c r="B331" s="1" t="n">
        <v>45320.54717592592</v>
      </c>
      <c r="C331" s="1" t="n">
        <v>45893</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62073-2023</t>
        </is>
      </c>
      <c r="B332" s="1" t="n">
        <v>45266.73844907407</v>
      </c>
      <c r="C332" s="1" t="n">
        <v>45893</v>
      </c>
      <c r="D332" t="inlineStr">
        <is>
          <t>ÖSTERGÖTLANDS LÄN</t>
        </is>
      </c>
      <c r="E332" t="inlineStr">
        <is>
          <t>LINKÖPING</t>
        </is>
      </c>
      <c r="F332" t="inlineStr">
        <is>
          <t>Allmännings- och besparingsskogar</t>
        </is>
      </c>
      <c r="G332" t="n">
        <v>1.8</v>
      </c>
      <c r="H332" t="n">
        <v>0</v>
      </c>
      <c r="I332" t="n">
        <v>0</v>
      </c>
      <c r="J332" t="n">
        <v>0</v>
      </c>
      <c r="K332" t="n">
        <v>0</v>
      </c>
      <c r="L332" t="n">
        <v>0</v>
      </c>
      <c r="M332" t="n">
        <v>0</v>
      </c>
      <c r="N332" t="n">
        <v>0</v>
      </c>
      <c r="O332" t="n">
        <v>0</v>
      </c>
      <c r="P332" t="n">
        <v>0</v>
      </c>
      <c r="Q332" t="n">
        <v>0</v>
      </c>
      <c r="R332" s="2" t="inlineStr"/>
    </row>
    <row r="333" ht="15" customHeight="1">
      <c r="A333" t="inlineStr">
        <is>
          <t>A 5872-2025</t>
        </is>
      </c>
      <c r="B333" s="1" t="n">
        <v>45695.36659722222</v>
      </c>
      <c r="C333" s="1" t="n">
        <v>45893</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53814-2023</t>
        </is>
      </c>
      <c r="B334" s="1" t="n">
        <v>45231</v>
      </c>
      <c r="C334" s="1" t="n">
        <v>45893</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3432-2023</t>
        </is>
      </c>
      <c r="B335" s="1" t="n">
        <v>44949</v>
      </c>
      <c r="C335" s="1" t="n">
        <v>45893</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54425-2022</t>
        </is>
      </c>
      <c r="B336" s="1" t="n">
        <v>44882.57453703704</v>
      </c>
      <c r="C336" s="1" t="n">
        <v>45893</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54428-2022</t>
        </is>
      </c>
      <c r="B337" s="1" t="n">
        <v>44882.57643518518</v>
      </c>
      <c r="C337" s="1" t="n">
        <v>45893</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30985-2022</t>
        </is>
      </c>
      <c r="B338" s="1" t="n">
        <v>44768</v>
      </c>
      <c r="C338" s="1" t="n">
        <v>45893</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38317-2024</t>
        </is>
      </c>
      <c r="B339" s="1" t="n">
        <v>45545.65766203704</v>
      </c>
      <c r="C339" s="1" t="n">
        <v>45893</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660-2023</t>
        </is>
      </c>
      <c r="B340" s="1" t="n">
        <v>44930</v>
      </c>
      <c r="C340" s="1" t="n">
        <v>45893</v>
      </c>
      <c r="D340" t="inlineStr">
        <is>
          <t>ÖSTERGÖTLANDS LÄN</t>
        </is>
      </c>
      <c r="E340" t="inlineStr">
        <is>
          <t>LINKÖPING</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62501-2023</t>
        </is>
      </c>
      <c r="B341" s="1" t="n">
        <v>45268</v>
      </c>
      <c r="C341" s="1" t="n">
        <v>45893</v>
      </c>
      <c r="D341" t="inlineStr">
        <is>
          <t>ÖSTERGÖTLANDS LÄN</t>
        </is>
      </c>
      <c r="E341" t="inlineStr">
        <is>
          <t>LINKÖPING</t>
        </is>
      </c>
      <c r="G341" t="n">
        <v>7.4</v>
      </c>
      <c r="H341" t="n">
        <v>0</v>
      </c>
      <c r="I341" t="n">
        <v>0</v>
      </c>
      <c r="J341" t="n">
        <v>0</v>
      </c>
      <c r="K341" t="n">
        <v>0</v>
      </c>
      <c r="L341" t="n">
        <v>0</v>
      </c>
      <c r="M341" t="n">
        <v>0</v>
      </c>
      <c r="N341" t="n">
        <v>0</v>
      </c>
      <c r="O341" t="n">
        <v>0</v>
      </c>
      <c r="P341" t="n">
        <v>0</v>
      </c>
      <c r="Q341" t="n">
        <v>0</v>
      </c>
      <c r="R341" s="2" t="inlineStr"/>
    </row>
    <row r="342" ht="15" customHeight="1">
      <c r="A342" t="inlineStr">
        <is>
          <t>A 44389-2020</t>
        </is>
      </c>
      <c r="B342" s="1" t="n">
        <v>44084</v>
      </c>
      <c r="C342" s="1" t="n">
        <v>45893</v>
      </c>
      <c r="D342" t="inlineStr">
        <is>
          <t>ÖSTERGÖTLANDS LÄN</t>
        </is>
      </c>
      <c r="E342" t="inlineStr">
        <is>
          <t>LINKÖPING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13413-2023</t>
        </is>
      </c>
      <c r="B343" s="1" t="n">
        <v>45005.58341435185</v>
      </c>
      <c r="C343" s="1" t="n">
        <v>45893</v>
      </c>
      <c r="D343" t="inlineStr">
        <is>
          <t>ÖSTERGÖTLANDS LÄN</t>
        </is>
      </c>
      <c r="E343" t="inlineStr">
        <is>
          <t>LINKÖPING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26620-2023</t>
        </is>
      </c>
      <c r="B344" s="1" t="n">
        <v>45092.70390046296</v>
      </c>
      <c r="C344" s="1" t="n">
        <v>45893</v>
      </c>
      <c r="D344" t="inlineStr">
        <is>
          <t>ÖSTERGÖTLANDS LÄN</t>
        </is>
      </c>
      <c r="E344" t="inlineStr">
        <is>
          <t>LINKÖPING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1844-2025</t>
        </is>
      </c>
      <c r="B345" s="1" t="n">
        <v>45671.57730324074</v>
      </c>
      <c r="C345" s="1" t="n">
        <v>45893</v>
      </c>
      <c r="D345" t="inlineStr">
        <is>
          <t>ÖSTERGÖTLANDS LÄN</t>
        </is>
      </c>
      <c r="E345" t="inlineStr">
        <is>
          <t>LINKÖPING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44535-2020</t>
        </is>
      </c>
      <c r="B346" s="1" t="n">
        <v>44085</v>
      </c>
      <c r="C346" s="1" t="n">
        <v>45893</v>
      </c>
      <c r="D346" t="inlineStr">
        <is>
          <t>ÖSTERGÖTLANDS LÄN</t>
        </is>
      </c>
      <c r="E346" t="inlineStr">
        <is>
          <t>LINKÖPING</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62374-2020</t>
        </is>
      </c>
      <c r="B347" s="1" t="n">
        <v>44159</v>
      </c>
      <c r="C347" s="1" t="n">
        <v>45893</v>
      </c>
      <c r="D347" t="inlineStr">
        <is>
          <t>ÖSTERGÖTLANDS LÄN</t>
        </is>
      </c>
      <c r="E347" t="inlineStr">
        <is>
          <t>LINKÖPING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58947-2022</t>
        </is>
      </c>
      <c r="B348" s="1" t="n">
        <v>44903.64769675926</v>
      </c>
      <c r="C348" s="1" t="n">
        <v>45893</v>
      </c>
      <c r="D348" t="inlineStr">
        <is>
          <t>ÖSTERGÖTLANDS LÄN</t>
        </is>
      </c>
      <c r="E348" t="inlineStr">
        <is>
          <t>LINKÖPING</t>
        </is>
      </c>
      <c r="G348" t="n">
        <v>4</v>
      </c>
      <c r="H348" t="n">
        <v>0</v>
      </c>
      <c r="I348" t="n">
        <v>0</v>
      </c>
      <c r="J348" t="n">
        <v>0</v>
      </c>
      <c r="K348" t="n">
        <v>0</v>
      </c>
      <c r="L348" t="n">
        <v>0</v>
      </c>
      <c r="M348" t="n">
        <v>0</v>
      </c>
      <c r="N348" t="n">
        <v>0</v>
      </c>
      <c r="O348" t="n">
        <v>0</v>
      </c>
      <c r="P348" t="n">
        <v>0</v>
      </c>
      <c r="Q348" t="n">
        <v>0</v>
      </c>
      <c r="R348" s="2" t="inlineStr"/>
    </row>
    <row r="349" ht="15" customHeight="1">
      <c r="A349" t="inlineStr">
        <is>
          <t>A 16665-2023</t>
        </is>
      </c>
      <c r="B349" s="1" t="n">
        <v>45030.5583912037</v>
      </c>
      <c r="C349" s="1" t="n">
        <v>45893</v>
      </c>
      <c r="D349" t="inlineStr">
        <is>
          <t>ÖSTERGÖTLANDS LÄN</t>
        </is>
      </c>
      <c r="E349" t="inlineStr">
        <is>
          <t>LINKÖPING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21165-2025</t>
        </is>
      </c>
      <c r="B350" s="1" t="n">
        <v>45779.39417824074</v>
      </c>
      <c r="C350" s="1" t="n">
        <v>45893</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21155-2025</t>
        </is>
      </c>
      <c r="B351" s="1" t="n">
        <v>45779.37586805555</v>
      </c>
      <c r="C351" s="1" t="n">
        <v>45893</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16462-2021</t>
        </is>
      </c>
      <c r="B352" s="1" t="n">
        <v>44293</v>
      </c>
      <c r="C352" s="1" t="n">
        <v>45893</v>
      </c>
      <c r="D352" t="inlineStr">
        <is>
          <t>ÖSTERGÖTLANDS LÄN</t>
        </is>
      </c>
      <c r="E352" t="inlineStr">
        <is>
          <t>LINKÖPING</t>
        </is>
      </c>
      <c r="F352" t="inlineStr">
        <is>
          <t>Allmännings- och besparingsskogar</t>
        </is>
      </c>
      <c r="G352" t="n">
        <v>24.7</v>
      </c>
      <c r="H352" t="n">
        <v>0</v>
      </c>
      <c r="I352" t="n">
        <v>0</v>
      </c>
      <c r="J352" t="n">
        <v>0</v>
      </c>
      <c r="K352" t="n">
        <v>0</v>
      </c>
      <c r="L352" t="n">
        <v>0</v>
      </c>
      <c r="M352" t="n">
        <v>0</v>
      </c>
      <c r="N352" t="n">
        <v>0</v>
      </c>
      <c r="O352" t="n">
        <v>0</v>
      </c>
      <c r="P352" t="n">
        <v>0</v>
      </c>
      <c r="Q352" t="n">
        <v>0</v>
      </c>
      <c r="R352" s="2" t="inlineStr"/>
    </row>
    <row r="353" ht="15" customHeight="1">
      <c r="A353" t="inlineStr">
        <is>
          <t>A 21154-2025</t>
        </is>
      </c>
      <c r="B353" s="1" t="n">
        <v>45779.36340277778</v>
      </c>
      <c r="C353" s="1" t="n">
        <v>45893</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59948-2022</t>
        </is>
      </c>
      <c r="B354" s="1" t="n">
        <v>44909</v>
      </c>
      <c r="C354" s="1" t="n">
        <v>45893</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60001-2022</t>
        </is>
      </c>
      <c r="B355" s="1" t="n">
        <v>44909.47087962963</v>
      </c>
      <c r="C355" s="1" t="n">
        <v>45893</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60013-2022</t>
        </is>
      </c>
      <c r="B356" s="1" t="n">
        <v>44909.47482638889</v>
      </c>
      <c r="C356" s="1" t="n">
        <v>45893</v>
      </c>
      <c r="D356" t="inlineStr">
        <is>
          <t>ÖSTERGÖTLANDS LÄN</t>
        </is>
      </c>
      <c r="E356" t="inlineStr">
        <is>
          <t>LINKÖPING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1211-2023</t>
        </is>
      </c>
      <c r="B357" s="1" t="n">
        <v>44930</v>
      </c>
      <c r="C357" s="1" t="n">
        <v>45893</v>
      </c>
      <c r="D357" t="inlineStr">
        <is>
          <t>ÖSTERGÖTLANDS LÄN</t>
        </is>
      </c>
      <c r="E357" t="inlineStr">
        <is>
          <t>LINKÖPING</t>
        </is>
      </c>
      <c r="F357" t="inlineStr">
        <is>
          <t>Övriga statliga verk och myndigheter</t>
        </is>
      </c>
      <c r="G357" t="n">
        <v>7.9</v>
      </c>
      <c r="H357" t="n">
        <v>0</v>
      </c>
      <c r="I357" t="n">
        <v>0</v>
      </c>
      <c r="J357" t="n">
        <v>0</v>
      </c>
      <c r="K357" t="n">
        <v>0</v>
      </c>
      <c r="L357" t="n">
        <v>0</v>
      </c>
      <c r="M357" t="n">
        <v>0</v>
      </c>
      <c r="N357" t="n">
        <v>0</v>
      </c>
      <c r="O357" t="n">
        <v>0</v>
      </c>
      <c r="P357" t="n">
        <v>0</v>
      </c>
      <c r="Q357" t="n">
        <v>0</v>
      </c>
      <c r="R357" s="2" t="inlineStr"/>
    </row>
    <row r="358" ht="15" customHeight="1">
      <c r="A358" t="inlineStr">
        <is>
          <t>A 38136-2023</t>
        </is>
      </c>
      <c r="B358" s="1" t="n">
        <v>45161.37310185185</v>
      </c>
      <c r="C358" s="1" t="n">
        <v>45893</v>
      </c>
      <c r="D358" t="inlineStr">
        <is>
          <t>ÖSTERGÖTLANDS LÄN</t>
        </is>
      </c>
      <c r="E358" t="inlineStr">
        <is>
          <t>LINKÖPING</t>
        </is>
      </c>
      <c r="G358" t="n">
        <v>5.6</v>
      </c>
      <c r="H358" t="n">
        <v>0</v>
      </c>
      <c r="I358" t="n">
        <v>0</v>
      </c>
      <c r="J358" t="n">
        <v>0</v>
      </c>
      <c r="K358" t="n">
        <v>0</v>
      </c>
      <c r="L358" t="n">
        <v>0</v>
      </c>
      <c r="M358" t="n">
        <v>0</v>
      </c>
      <c r="N358" t="n">
        <v>0</v>
      </c>
      <c r="O358" t="n">
        <v>0</v>
      </c>
      <c r="P358" t="n">
        <v>0</v>
      </c>
      <c r="Q358" t="n">
        <v>0</v>
      </c>
      <c r="R358" s="2" t="inlineStr"/>
    </row>
    <row r="359" ht="15" customHeight="1">
      <c r="A359" t="inlineStr">
        <is>
          <t>A 63554-2023</t>
        </is>
      </c>
      <c r="B359" s="1" t="n">
        <v>45275</v>
      </c>
      <c r="C359" s="1" t="n">
        <v>45893</v>
      </c>
      <c r="D359" t="inlineStr">
        <is>
          <t>ÖSTERGÖTLANDS LÄN</t>
        </is>
      </c>
      <c r="E359" t="inlineStr">
        <is>
          <t>LINKÖPING</t>
        </is>
      </c>
      <c r="G359" t="n">
        <v>4.3</v>
      </c>
      <c r="H359" t="n">
        <v>0</v>
      </c>
      <c r="I359" t="n">
        <v>0</v>
      </c>
      <c r="J359" t="n">
        <v>0</v>
      </c>
      <c r="K359" t="n">
        <v>0</v>
      </c>
      <c r="L359" t="n">
        <v>0</v>
      </c>
      <c r="M359" t="n">
        <v>0</v>
      </c>
      <c r="N359" t="n">
        <v>0</v>
      </c>
      <c r="O359" t="n">
        <v>0</v>
      </c>
      <c r="P359" t="n">
        <v>0</v>
      </c>
      <c r="Q359" t="n">
        <v>0</v>
      </c>
      <c r="R359" s="2" t="inlineStr"/>
    </row>
    <row r="360" ht="15" customHeight="1">
      <c r="A360" t="inlineStr">
        <is>
          <t>A 22264-2025</t>
        </is>
      </c>
      <c r="B360" s="1" t="n">
        <v>45785</v>
      </c>
      <c r="C360" s="1" t="n">
        <v>45893</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12317-2025</t>
        </is>
      </c>
      <c r="B361" s="1" t="n">
        <v>45729.8487037037</v>
      </c>
      <c r="C361" s="1" t="n">
        <v>45893</v>
      </c>
      <c r="D361" t="inlineStr">
        <is>
          <t>ÖSTERGÖTLANDS LÄN</t>
        </is>
      </c>
      <c r="E361" t="inlineStr">
        <is>
          <t>LINKÖPING</t>
        </is>
      </c>
      <c r="G361" t="n">
        <v>8</v>
      </c>
      <c r="H361" t="n">
        <v>0</v>
      </c>
      <c r="I361" t="n">
        <v>0</v>
      </c>
      <c r="J361" t="n">
        <v>0</v>
      </c>
      <c r="K361" t="n">
        <v>0</v>
      </c>
      <c r="L361" t="n">
        <v>0</v>
      </c>
      <c r="M361" t="n">
        <v>0</v>
      </c>
      <c r="N361" t="n">
        <v>0</v>
      </c>
      <c r="O361" t="n">
        <v>0</v>
      </c>
      <c r="P361" t="n">
        <v>0</v>
      </c>
      <c r="Q361" t="n">
        <v>0</v>
      </c>
      <c r="R361" s="2" t="inlineStr"/>
    </row>
    <row r="362" ht="15" customHeight="1">
      <c r="A362" t="inlineStr">
        <is>
          <t>A 36557-2023</t>
        </is>
      </c>
      <c r="B362" s="1" t="n">
        <v>45153</v>
      </c>
      <c r="C362" s="1" t="n">
        <v>45893</v>
      </c>
      <c r="D362" t="inlineStr">
        <is>
          <t>ÖSTERGÖTLANDS LÄN</t>
        </is>
      </c>
      <c r="E362" t="inlineStr">
        <is>
          <t>LINKÖPING</t>
        </is>
      </c>
      <c r="F362" t="inlineStr">
        <is>
          <t>Övriga Aktiebolag</t>
        </is>
      </c>
      <c r="G362" t="n">
        <v>3.1</v>
      </c>
      <c r="H362" t="n">
        <v>0</v>
      </c>
      <c r="I362" t="n">
        <v>0</v>
      </c>
      <c r="J362" t="n">
        <v>0</v>
      </c>
      <c r="K362" t="n">
        <v>0</v>
      </c>
      <c r="L362" t="n">
        <v>0</v>
      </c>
      <c r="M362" t="n">
        <v>0</v>
      </c>
      <c r="N362" t="n">
        <v>0</v>
      </c>
      <c r="O362" t="n">
        <v>0</v>
      </c>
      <c r="P362" t="n">
        <v>0</v>
      </c>
      <c r="Q362" t="n">
        <v>0</v>
      </c>
      <c r="R362" s="2" t="inlineStr"/>
    </row>
    <row r="363" ht="15" customHeight="1">
      <c r="A363" t="inlineStr">
        <is>
          <t>A 63638-2023</t>
        </is>
      </c>
      <c r="B363" s="1" t="n">
        <v>45275</v>
      </c>
      <c r="C363" s="1" t="n">
        <v>45893</v>
      </c>
      <c r="D363" t="inlineStr">
        <is>
          <t>ÖSTERGÖTLANDS LÄN</t>
        </is>
      </c>
      <c r="E363" t="inlineStr">
        <is>
          <t>LINKÖPING</t>
        </is>
      </c>
      <c r="F363" t="inlineStr">
        <is>
          <t>Övriga Aktiebolag</t>
        </is>
      </c>
      <c r="G363" t="n">
        <v>2.4</v>
      </c>
      <c r="H363" t="n">
        <v>0</v>
      </c>
      <c r="I363" t="n">
        <v>0</v>
      </c>
      <c r="J363" t="n">
        <v>0</v>
      </c>
      <c r="K363" t="n">
        <v>0</v>
      </c>
      <c r="L363" t="n">
        <v>0</v>
      </c>
      <c r="M363" t="n">
        <v>0</v>
      </c>
      <c r="N363" t="n">
        <v>0</v>
      </c>
      <c r="O363" t="n">
        <v>0</v>
      </c>
      <c r="P363" t="n">
        <v>0</v>
      </c>
      <c r="Q363" t="n">
        <v>0</v>
      </c>
      <c r="R363" s="2" t="inlineStr"/>
    </row>
    <row r="364" ht="15" customHeight="1">
      <c r="A364" t="inlineStr">
        <is>
          <t>A 63658-2023</t>
        </is>
      </c>
      <c r="B364" s="1" t="n">
        <v>45275</v>
      </c>
      <c r="C364" s="1" t="n">
        <v>45893</v>
      </c>
      <c r="D364" t="inlineStr">
        <is>
          <t>ÖSTERGÖTLANDS LÄN</t>
        </is>
      </c>
      <c r="E364" t="inlineStr">
        <is>
          <t>LINKÖPING</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2085-2024</t>
        </is>
      </c>
      <c r="B365" s="1" t="n">
        <v>45309</v>
      </c>
      <c r="C365" s="1" t="n">
        <v>45893</v>
      </c>
      <c r="D365" t="inlineStr">
        <is>
          <t>ÖSTERGÖTLANDS LÄN</t>
        </is>
      </c>
      <c r="E365" t="inlineStr">
        <is>
          <t>LINKÖPING</t>
        </is>
      </c>
      <c r="G365" t="n">
        <v>4.5</v>
      </c>
      <c r="H365" t="n">
        <v>0</v>
      </c>
      <c r="I365" t="n">
        <v>0</v>
      </c>
      <c r="J365" t="n">
        <v>0</v>
      </c>
      <c r="K365" t="n">
        <v>0</v>
      </c>
      <c r="L365" t="n">
        <v>0</v>
      </c>
      <c r="M365" t="n">
        <v>0</v>
      </c>
      <c r="N365" t="n">
        <v>0</v>
      </c>
      <c r="O365" t="n">
        <v>0</v>
      </c>
      <c r="P365" t="n">
        <v>0</v>
      </c>
      <c r="Q365" t="n">
        <v>0</v>
      </c>
      <c r="R365" s="2" t="inlineStr"/>
    </row>
    <row r="366" ht="15" customHeight="1">
      <c r="A366" t="inlineStr">
        <is>
          <t>A 30468-2023</t>
        </is>
      </c>
      <c r="B366" s="1" t="n">
        <v>45111.58732638889</v>
      </c>
      <c r="C366" s="1" t="n">
        <v>45893</v>
      </c>
      <c r="D366" t="inlineStr">
        <is>
          <t>ÖSTERGÖTLANDS LÄN</t>
        </is>
      </c>
      <c r="E366" t="inlineStr">
        <is>
          <t>LINKÖPING</t>
        </is>
      </c>
      <c r="G366" t="n">
        <v>10.1</v>
      </c>
      <c r="H366" t="n">
        <v>0</v>
      </c>
      <c r="I366" t="n">
        <v>0</v>
      </c>
      <c r="J366" t="n">
        <v>0</v>
      </c>
      <c r="K366" t="n">
        <v>0</v>
      </c>
      <c r="L366" t="n">
        <v>0</v>
      </c>
      <c r="M366" t="n">
        <v>0</v>
      </c>
      <c r="N366" t="n">
        <v>0</v>
      </c>
      <c r="O366" t="n">
        <v>0</v>
      </c>
      <c r="P366" t="n">
        <v>0</v>
      </c>
      <c r="Q366" t="n">
        <v>0</v>
      </c>
      <c r="R366" s="2" t="inlineStr"/>
    </row>
    <row r="367" ht="15" customHeight="1">
      <c r="A367" t="inlineStr">
        <is>
          <t>A 9473-2024</t>
        </is>
      </c>
      <c r="B367" s="1" t="n">
        <v>45359.55474537037</v>
      </c>
      <c r="C367" s="1" t="n">
        <v>45893</v>
      </c>
      <c r="D367" t="inlineStr">
        <is>
          <t>ÖSTERGÖTLANDS LÄN</t>
        </is>
      </c>
      <c r="E367" t="inlineStr">
        <is>
          <t>LINKÖPING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6859-2024</t>
        </is>
      </c>
      <c r="B368" s="1" t="n">
        <v>45342</v>
      </c>
      <c r="C368" s="1" t="n">
        <v>45893</v>
      </c>
      <c r="D368" t="inlineStr">
        <is>
          <t>ÖSTERGÖTLANDS LÄN</t>
        </is>
      </c>
      <c r="E368" t="inlineStr">
        <is>
          <t>LINKÖPING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44287-2024</t>
        </is>
      </c>
      <c r="B369" s="1" t="n">
        <v>45573.50582175926</v>
      </c>
      <c r="C369" s="1" t="n">
        <v>45893</v>
      </c>
      <c r="D369" t="inlineStr">
        <is>
          <t>ÖSTERGÖTLANDS LÄN</t>
        </is>
      </c>
      <c r="E369" t="inlineStr">
        <is>
          <t>LINKÖPING</t>
        </is>
      </c>
      <c r="G369" t="n">
        <v>12.7</v>
      </c>
      <c r="H369" t="n">
        <v>0</v>
      </c>
      <c r="I369" t="n">
        <v>0</v>
      </c>
      <c r="J369" t="n">
        <v>0</v>
      </c>
      <c r="K369" t="n">
        <v>0</v>
      </c>
      <c r="L369" t="n">
        <v>0</v>
      </c>
      <c r="M369" t="n">
        <v>0</v>
      </c>
      <c r="N369" t="n">
        <v>0</v>
      </c>
      <c r="O369" t="n">
        <v>0</v>
      </c>
      <c r="P369" t="n">
        <v>0</v>
      </c>
      <c r="Q369" t="n">
        <v>0</v>
      </c>
      <c r="R369" s="2" t="inlineStr"/>
    </row>
    <row r="370" ht="15" customHeight="1">
      <c r="A370" t="inlineStr">
        <is>
          <t>A 16820-2024</t>
        </is>
      </c>
      <c r="B370" s="1" t="n">
        <v>45411.46809027778</v>
      </c>
      <c r="C370" s="1" t="n">
        <v>45893</v>
      </c>
      <c r="D370" t="inlineStr">
        <is>
          <t>ÖSTERGÖTLANDS LÄN</t>
        </is>
      </c>
      <c r="E370" t="inlineStr">
        <is>
          <t>LINKÖPING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47364-2020</t>
        </is>
      </c>
      <c r="B371" s="1" t="n">
        <v>44097</v>
      </c>
      <c r="C371" s="1" t="n">
        <v>45893</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38715-2023</t>
        </is>
      </c>
      <c r="B372" s="1" t="n">
        <v>45160</v>
      </c>
      <c r="C372" s="1" t="n">
        <v>45893</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4456-2024</t>
        </is>
      </c>
      <c r="B373" s="1" t="n">
        <v>45327.52847222222</v>
      </c>
      <c r="C373" s="1" t="n">
        <v>45893</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20298-2025</t>
        </is>
      </c>
      <c r="B374" s="1" t="n">
        <v>45774.75024305555</v>
      </c>
      <c r="C374" s="1" t="n">
        <v>45893</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22364-2025</t>
        </is>
      </c>
      <c r="B375" s="1" t="n">
        <v>45786.46930555555</v>
      </c>
      <c r="C375" s="1" t="n">
        <v>45893</v>
      </c>
      <c r="D375" t="inlineStr">
        <is>
          <t>ÖSTERGÖTLANDS LÄN</t>
        </is>
      </c>
      <c r="E375" t="inlineStr">
        <is>
          <t>LINKÖPING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15121-2022</t>
        </is>
      </c>
      <c r="B376" s="1" t="n">
        <v>44658</v>
      </c>
      <c r="C376" s="1" t="n">
        <v>45893</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50743-2023</t>
        </is>
      </c>
      <c r="B377" s="1" t="n">
        <v>45217</v>
      </c>
      <c r="C377" s="1" t="n">
        <v>45893</v>
      </c>
      <c r="D377" t="inlineStr">
        <is>
          <t>ÖSTERGÖTLANDS LÄN</t>
        </is>
      </c>
      <c r="E377" t="inlineStr">
        <is>
          <t>LINKÖPING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34864-2023</t>
        </is>
      </c>
      <c r="B378" s="1" t="n">
        <v>45141</v>
      </c>
      <c r="C378" s="1" t="n">
        <v>45893</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1440-2021</t>
        </is>
      </c>
      <c r="B379" s="1" t="n">
        <v>44208</v>
      </c>
      <c r="C379" s="1" t="n">
        <v>45893</v>
      </c>
      <c r="D379" t="inlineStr">
        <is>
          <t>ÖSTERGÖTLANDS LÄN</t>
        </is>
      </c>
      <c r="E379" t="inlineStr">
        <is>
          <t>LINKÖPING</t>
        </is>
      </c>
      <c r="G379" t="n">
        <v>8.4</v>
      </c>
      <c r="H379" t="n">
        <v>0</v>
      </c>
      <c r="I379" t="n">
        <v>0</v>
      </c>
      <c r="J379" t="n">
        <v>0</v>
      </c>
      <c r="K379" t="n">
        <v>0</v>
      </c>
      <c r="L379" t="n">
        <v>0</v>
      </c>
      <c r="M379" t="n">
        <v>0</v>
      </c>
      <c r="N379" t="n">
        <v>0</v>
      </c>
      <c r="O379" t="n">
        <v>0</v>
      </c>
      <c r="P379" t="n">
        <v>0</v>
      </c>
      <c r="Q379" t="n">
        <v>0</v>
      </c>
      <c r="R379" s="2" t="inlineStr"/>
    </row>
    <row r="380" ht="15" customHeight="1">
      <c r="A380" t="inlineStr">
        <is>
          <t>A 46687-2021</t>
        </is>
      </c>
      <c r="B380" s="1" t="n">
        <v>44445</v>
      </c>
      <c r="C380" s="1" t="n">
        <v>45893</v>
      </c>
      <c r="D380" t="inlineStr">
        <is>
          <t>ÖSTERGÖTLANDS LÄN</t>
        </is>
      </c>
      <c r="E380" t="inlineStr">
        <is>
          <t>LINKÖPING</t>
        </is>
      </c>
      <c r="F380" t="inlineStr">
        <is>
          <t>Övriga statliga verk och myndigheter</t>
        </is>
      </c>
      <c r="G380" t="n">
        <v>2.3</v>
      </c>
      <c r="H380" t="n">
        <v>0</v>
      </c>
      <c r="I380" t="n">
        <v>0</v>
      </c>
      <c r="J380" t="n">
        <v>0</v>
      </c>
      <c r="K380" t="n">
        <v>0</v>
      </c>
      <c r="L380" t="n">
        <v>0</v>
      </c>
      <c r="M380" t="n">
        <v>0</v>
      </c>
      <c r="N380" t="n">
        <v>0</v>
      </c>
      <c r="O380" t="n">
        <v>0</v>
      </c>
      <c r="P380" t="n">
        <v>0</v>
      </c>
      <c r="Q380" t="n">
        <v>0</v>
      </c>
      <c r="R380" s="2" t="inlineStr"/>
    </row>
    <row r="381" ht="15" customHeight="1">
      <c r="A381" t="inlineStr">
        <is>
          <t>A 13687-2025</t>
        </is>
      </c>
      <c r="B381" s="1" t="n">
        <v>45737.31425925926</v>
      </c>
      <c r="C381" s="1" t="n">
        <v>45893</v>
      </c>
      <c r="D381" t="inlineStr">
        <is>
          <t>ÖSTERGÖTLANDS LÄN</t>
        </is>
      </c>
      <c r="E381" t="inlineStr">
        <is>
          <t>LINKÖPING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13688-2025</t>
        </is>
      </c>
      <c r="B382" s="1" t="n">
        <v>45737.3153125</v>
      </c>
      <c r="C382" s="1" t="n">
        <v>45893</v>
      </c>
      <c r="D382" t="inlineStr">
        <is>
          <t>ÖSTERGÖTLANDS LÄN</t>
        </is>
      </c>
      <c r="E382" t="inlineStr">
        <is>
          <t>LINKÖPING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13695-2025</t>
        </is>
      </c>
      <c r="B383" s="1" t="n">
        <v>45737.32219907407</v>
      </c>
      <c r="C383" s="1" t="n">
        <v>45893</v>
      </c>
      <c r="D383" t="inlineStr">
        <is>
          <t>ÖSTERGÖTLANDS LÄN</t>
        </is>
      </c>
      <c r="E383" t="inlineStr">
        <is>
          <t>LINKÖPING</t>
        </is>
      </c>
      <c r="G383" t="n">
        <v>5.3</v>
      </c>
      <c r="H383" t="n">
        <v>0</v>
      </c>
      <c r="I383" t="n">
        <v>0</v>
      </c>
      <c r="J383" t="n">
        <v>0</v>
      </c>
      <c r="K383" t="n">
        <v>0</v>
      </c>
      <c r="L383" t="n">
        <v>0</v>
      </c>
      <c r="M383" t="n">
        <v>0</v>
      </c>
      <c r="N383" t="n">
        <v>0</v>
      </c>
      <c r="O383" t="n">
        <v>0</v>
      </c>
      <c r="P383" t="n">
        <v>0</v>
      </c>
      <c r="Q383" t="n">
        <v>0</v>
      </c>
      <c r="R383" s="2" t="inlineStr"/>
    </row>
    <row r="384" ht="15" customHeight="1">
      <c r="A384" t="inlineStr">
        <is>
          <t>A 17103-2025</t>
        </is>
      </c>
      <c r="B384" s="1" t="n">
        <v>45755.66143518518</v>
      </c>
      <c r="C384" s="1" t="n">
        <v>45893</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20294-2025</t>
        </is>
      </c>
      <c r="B385" s="1" t="n">
        <v>45774.74667824074</v>
      </c>
      <c r="C385" s="1" t="n">
        <v>45893</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572-2025</t>
        </is>
      </c>
      <c r="B386" s="1" t="n">
        <v>45664.56349537037</v>
      </c>
      <c r="C386" s="1" t="n">
        <v>45893</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10797-2024</t>
        </is>
      </c>
      <c r="B387" s="1" t="n">
        <v>45369.6190162037</v>
      </c>
      <c r="C387" s="1" t="n">
        <v>45893</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38580-2024</t>
        </is>
      </c>
      <c r="B388" s="1" t="n">
        <v>45546.64825231482</v>
      </c>
      <c r="C388" s="1" t="n">
        <v>45893</v>
      </c>
      <c r="D388" t="inlineStr">
        <is>
          <t>ÖSTERGÖTLANDS LÄN</t>
        </is>
      </c>
      <c r="E388" t="inlineStr">
        <is>
          <t>LINKÖPING</t>
        </is>
      </c>
      <c r="G388" t="n">
        <v>4.8</v>
      </c>
      <c r="H388" t="n">
        <v>0</v>
      </c>
      <c r="I388" t="n">
        <v>0</v>
      </c>
      <c r="J388" t="n">
        <v>0</v>
      </c>
      <c r="K388" t="n">
        <v>0</v>
      </c>
      <c r="L388" t="n">
        <v>0</v>
      </c>
      <c r="M388" t="n">
        <v>0</v>
      </c>
      <c r="N388" t="n">
        <v>0</v>
      </c>
      <c r="O388" t="n">
        <v>0</v>
      </c>
      <c r="P388" t="n">
        <v>0</v>
      </c>
      <c r="Q388" t="n">
        <v>0</v>
      </c>
      <c r="R388" s="2" t="inlineStr"/>
    </row>
    <row r="389" ht="15" customHeight="1">
      <c r="A389" t="inlineStr">
        <is>
          <t>A 57752-2023</t>
        </is>
      </c>
      <c r="B389" s="1" t="n">
        <v>45246.78474537037</v>
      </c>
      <c r="C389" s="1" t="n">
        <v>45893</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17128-2025</t>
        </is>
      </c>
      <c r="B390" s="1" t="n">
        <v>45755.72622685185</v>
      </c>
      <c r="C390" s="1" t="n">
        <v>45893</v>
      </c>
      <c r="D390" t="inlineStr">
        <is>
          <t>ÖSTERGÖTLANDS LÄN</t>
        </is>
      </c>
      <c r="E390" t="inlineStr">
        <is>
          <t>LINKÖPING</t>
        </is>
      </c>
      <c r="G390" t="n">
        <v>2.9</v>
      </c>
      <c r="H390" t="n">
        <v>0</v>
      </c>
      <c r="I390" t="n">
        <v>0</v>
      </c>
      <c r="J390" t="n">
        <v>0</v>
      </c>
      <c r="K390" t="n">
        <v>0</v>
      </c>
      <c r="L390" t="n">
        <v>0</v>
      </c>
      <c r="M390" t="n">
        <v>0</v>
      </c>
      <c r="N390" t="n">
        <v>0</v>
      </c>
      <c r="O390" t="n">
        <v>0</v>
      </c>
      <c r="P390" t="n">
        <v>0</v>
      </c>
      <c r="Q390" t="n">
        <v>0</v>
      </c>
      <c r="R390" s="2" t="inlineStr"/>
    </row>
    <row r="391" ht="15" customHeight="1">
      <c r="A391" t="inlineStr">
        <is>
          <t>A 52125-2022</t>
        </is>
      </c>
      <c r="B391" s="1" t="n">
        <v>44873</v>
      </c>
      <c r="C391" s="1" t="n">
        <v>45893</v>
      </c>
      <c r="D391" t="inlineStr">
        <is>
          <t>ÖSTERGÖTLANDS LÄN</t>
        </is>
      </c>
      <c r="E391" t="inlineStr">
        <is>
          <t>LINKÖPING</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40618-2021</t>
        </is>
      </c>
      <c r="B392" s="1" t="n">
        <v>44420.49575231481</v>
      </c>
      <c r="C392" s="1" t="n">
        <v>45893</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56180-2024</t>
        </is>
      </c>
      <c r="B393" s="1" t="n">
        <v>45624.56611111111</v>
      </c>
      <c r="C393" s="1" t="n">
        <v>45893</v>
      </c>
      <c r="D393" t="inlineStr">
        <is>
          <t>ÖSTERGÖTLANDS LÄN</t>
        </is>
      </c>
      <c r="E393" t="inlineStr">
        <is>
          <t>LINKÖPING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27343-2023</t>
        </is>
      </c>
      <c r="B394" s="1" t="n">
        <v>45096</v>
      </c>
      <c r="C394" s="1" t="n">
        <v>45893</v>
      </c>
      <c r="D394" t="inlineStr">
        <is>
          <t>ÖSTERGÖTLANDS LÄN</t>
        </is>
      </c>
      <c r="E394" t="inlineStr">
        <is>
          <t>LINKÖPING</t>
        </is>
      </c>
      <c r="F394" t="inlineStr">
        <is>
          <t>Allmännings- och besparingsskogar</t>
        </is>
      </c>
      <c r="G394" t="n">
        <v>6.9</v>
      </c>
      <c r="H394" t="n">
        <v>0</v>
      </c>
      <c r="I394" t="n">
        <v>0</v>
      </c>
      <c r="J394" t="n">
        <v>0</v>
      </c>
      <c r="K394" t="n">
        <v>0</v>
      </c>
      <c r="L394" t="n">
        <v>0</v>
      </c>
      <c r="M394" t="n">
        <v>0</v>
      </c>
      <c r="N394" t="n">
        <v>0</v>
      </c>
      <c r="O394" t="n">
        <v>0</v>
      </c>
      <c r="P394" t="n">
        <v>0</v>
      </c>
      <c r="Q394" t="n">
        <v>0</v>
      </c>
      <c r="R394" s="2" t="inlineStr"/>
    </row>
    <row r="395" ht="15" customHeight="1">
      <c r="A395" t="inlineStr">
        <is>
          <t>A 29312-2024</t>
        </is>
      </c>
      <c r="B395" s="1" t="n">
        <v>45483</v>
      </c>
      <c r="C395" s="1" t="n">
        <v>45893</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23120-2025</t>
        </is>
      </c>
      <c r="B396" s="1" t="n">
        <v>45791.37481481482</v>
      </c>
      <c r="C396" s="1" t="n">
        <v>45893</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22842-2023</t>
        </is>
      </c>
      <c r="B397" s="1" t="n">
        <v>45071</v>
      </c>
      <c r="C397" s="1" t="n">
        <v>45893</v>
      </c>
      <c r="D397" t="inlineStr">
        <is>
          <t>ÖSTERGÖTLANDS LÄN</t>
        </is>
      </c>
      <c r="E397" t="inlineStr">
        <is>
          <t>LINKÖPING</t>
        </is>
      </c>
      <c r="F397" t="inlineStr">
        <is>
          <t>Kommuner</t>
        </is>
      </c>
      <c r="G397" t="n">
        <v>1.3</v>
      </c>
      <c r="H397" t="n">
        <v>0</v>
      </c>
      <c r="I397" t="n">
        <v>0</v>
      </c>
      <c r="J397" t="n">
        <v>0</v>
      </c>
      <c r="K397" t="n">
        <v>0</v>
      </c>
      <c r="L397" t="n">
        <v>0</v>
      </c>
      <c r="M397" t="n">
        <v>0</v>
      </c>
      <c r="N397" t="n">
        <v>0</v>
      </c>
      <c r="O397" t="n">
        <v>0</v>
      </c>
      <c r="P397" t="n">
        <v>0</v>
      </c>
      <c r="Q397" t="n">
        <v>0</v>
      </c>
      <c r="R397" s="2" t="inlineStr"/>
    </row>
    <row r="398" ht="15" customHeight="1">
      <c r="A398" t="inlineStr">
        <is>
          <t>A 30471-2023</t>
        </is>
      </c>
      <c r="B398" s="1" t="n">
        <v>45111.58931712963</v>
      </c>
      <c r="C398" s="1" t="n">
        <v>45893</v>
      </c>
      <c r="D398" t="inlineStr">
        <is>
          <t>ÖSTERGÖTLANDS LÄN</t>
        </is>
      </c>
      <c r="E398" t="inlineStr">
        <is>
          <t>LINKÖPING</t>
        </is>
      </c>
      <c r="G398" t="n">
        <v>2.9</v>
      </c>
      <c r="H398" t="n">
        <v>0</v>
      </c>
      <c r="I398" t="n">
        <v>0</v>
      </c>
      <c r="J398" t="n">
        <v>0</v>
      </c>
      <c r="K398" t="n">
        <v>0</v>
      </c>
      <c r="L398" t="n">
        <v>0</v>
      </c>
      <c r="M398" t="n">
        <v>0</v>
      </c>
      <c r="N398" t="n">
        <v>0</v>
      </c>
      <c r="O398" t="n">
        <v>0</v>
      </c>
      <c r="P398" t="n">
        <v>0</v>
      </c>
      <c r="Q398" t="n">
        <v>0</v>
      </c>
      <c r="R398" s="2" t="inlineStr"/>
    </row>
    <row r="399" ht="15" customHeight="1">
      <c r="A399" t="inlineStr">
        <is>
          <t>A 227-2024</t>
        </is>
      </c>
      <c r="B399" s="1" t="n">
        <v>45294.73603009259</v>
      </c>
      <c r="C399" s="1" t="n">
        <v>45893</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14520-2025</t>
        </is>
      </c>
      <c r="B400" s="1" t="n">
        <v>45741</v>
      </c>
      <c r="C400" s="1" t="n">
        <v>45893</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31548-2022</t>
        </is>
      </c>
      <c r="B401" s="1" t="n">
        <v>44775.39832175926</v>
      </c>
      <c r="C401" s="1" t="n">
        <v>45893</v>
      </c>
      <c r="D401" t="inlineStr">
        <is>
          <t>ÖSTERGÖTLANDS LÄN</t>
        </is>
      </c>
      <c r="E401" t="inlineStr">
        <is>
          <t>LINKÖPING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23768-2025</t>
        </is>
      </c>
      <c r="B402" s="1" t="n">
        <v>45793.47493055555</v>
      </c>
      <c r="C402" s="1" t="n">
        <v>45893</v>
      </c>
      <c r="D402" t="inlineStr">
        <is>
          <t>ÖSTERGÖTLANDS LÄN</t>
        </is>
      </c>
      <c r="E402" t="inlineStr">
        <is>
          <t>LINKÖPING</t>
        </is>
      </c>
      <c r="G402" t="n">
        <v>3.4</v>
      </c>
      <c r="H402" t="n">
        <v>0</v>
      </c>
      <c r="I402" t="n">
        <v>0</v>
      </c>
      <c r="J402" t="n">
        <v>0</v>
      </c>
      <c r="K402" t="n">
        <v>0</v>
      </c>
      <c r="L402" t="n">
        <v>0</v>
      </c>
      <c r="M402" t="n">
        <v>0</v>
      </c>
      <c r="N402" t="n">
        <v>0</v>
      </c>
      <c r="O402" t="n">
        <v>0</v>
      </c>
      <c r="P402" t="n">
        <v>0</v>
      </c>
      <c r="Q402" t="n">
        <v>0</v>
      </c>
      <c r="R402" s="2" t="inlineStr"/>
    </row>
    <row r="403" ht="15" customHeight="1">
      <c r="A403" t="inlineStr">
        <is>
          <t>A 44155-2024</t>
        </is>
      </c>
      <c r="B403" s="1" t="n">
        <v>45572.68226851852</v>
      </c>
      <c r="C403" s="1" t="n">
        <v>45893</v>
      </c>
      <c r="D403" t="inlineStr">
        <is>
          <t>ÖSTERGÖTLANDS LÄN</t>
        </is>
      </c>
      <c r="E403" t="inlineStr">
        <is>
          <t>LINKÖPING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62017-2024</t>
        </is>
      </c>
      <c r="B404" s="1" t="n">
        <v>45655.81140046296</v>
      </c>
      <c r="C404" s="1" t="n">
        <v>45893</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17785-2023</t>
        </is>
      </c>
      <c r="B405" s="1" t="n">
        <v>45037.55094907407</v>
      </c>
      <c r="C405" s="1" t="n">
        <v>45893</v>
      </c>
      <c r="D405" t="inlineStr">
        <is>
          <t>ÖSTERGÖTLANDS LÄN</t>
        </is>
      </c>
      <c r="E405" t="inlineStr">
        <is>
          <t>LINKÖPING</t>
        </is>
      </c>
      <c r="F405" t="inlineStr">
        <is>
          <t>Allmännings- och besparingsskogar</t>
        </is>
      </c>
      <c r="G405" t="n">
        <v>3.1</v>
      </c>
      <c r="H405" t="n">
        <v>0</v>
      </c>
      <c r="I405" t="n">
        <v>0</v>
      </c>
      <c r="J405" t="n">
        <v>0</v>
      </c>
      <c r="K405" t="n">
        <v>0</v>
      </c>
      <c r="L405" t="n">
        <v>0</v>
      </c>
      <c r="M405" t="n">
        <v>0</v>
      </c>
      <c r="N405" t="n">
        <v>0</v>
      </c>
      <c r="O405" t="n">
        <v>0</v>
      </c>
      <c r="P405" t="n">
        <v>0</v>
      </c>
      <c r="Q405" t="n">
        <v>0</v>
      </c>
      <c r="R405" s="2" t="inlineStr"/>
    </row>
    <row r="406" ht="15" customHeight="1">
      <c r="A406" t="inlineStr">
        <is>
          <t>A 30434-2024</t>
        </is>
      </c>
      <c r="B406" s="1" t="n">
        <v>45491.69811342593</v>
      </c>
      <c r="C406" s="1" t="n">
        <v>45893</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56917-2022</t>
        </is>
      </c>
      <c r="B407" s="1" t="n">
        <v>44894</v>
      </c>
      <c r="C407" s="1" t="n">
        <v>45893</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57766-2023</t>
        </is>
      </c>
      <c r="B408" s="1" t="n">
        <v>45246</v>
      </c>
      <c r="C408" s="1" t="n">
        <v>45893</v>
      </c>
      <c r="D408" t="inlineStr">
        <is>
          <t>ÖSTERGÖTLANDS LÄN</t>
        </is>
      </c>
      <c r="E408" t="inlineStr">
        <is>
          <t>LINKÖPING</t>
        </is>
      </c>
      <c r="F408" t="inlineStr">
        <is>
          <t>Allmännings- och besparingsskogar</t>
        </is>
      </c>
      <c r="G408" t="n">
        <v>12.8</v>
      </c>
      <c r="H408" t="n">
        <v>0</v>
      </c>
      <c r="I408" t="n">
        <v>0</v>
      </c>
      <c r="J408" t="n">
        <v>0</v>
      </c>
      <c r="K408" t="n">
        <v>0</v>
      </c>
      <c r="L408" t="n">
        <v>0</v>
      </c>
      <c r="M408" t="n">
        <v>0</v>
      </c>
      <c r="N408" t="n">
        <v>0</v>
      </c>
      <c r="O408" t="n">
        <v>0</v>
      </c>
      <c r="P408" t="n">
        <v>0</v>
      </c>
      <c r="Q408" t="n">
        <v>0</v>
      </c>
      <c r="R408" s="2" t="inlineStr"/>
    </row>
    <row r="409" ht="15" customHeight="1">
      <c r="A409" t="inlineStr">
        <is>
          <t>A 62686-2023</t>
        </is>
      </c>
      <c r="B409" s="1" t="n">
        <v>45271</v>
      </c>
      <c r="C409" s="1" t="n">
        <v>45893</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42044-2023</t>
        </is>
      </c>
      <c r="B410" s="1" t="n">
        <v>45177</v>
      </c>
      <c r="C410" s="1" t="n">
        <v>45893</v>
      </c>
      <c r="D410" t="inlineStr">
        <is>
          <t>ÖSTERGÖTLANDS LÄN</t>
        </is>
      </c>
      <c r="E410" t="inlineStr">
        <is>
          <t>LINKÖPING</t>
        </is>
      </c>
      <c r="G410" t="n">
        <v>3.9</v>
      </c>
      <c r="H410" t="n">
        <v>0</v>
      </c>
      <c r="I410" t="n">
        <v>0</v>
      </c>
      <c r="J410" t="n">
        <v>0</v>
      </c>
      <c r="K410" t="n">
        <v>0</v>
      </c>
      <c r="L410" t="n">
        <v>0</v>
      </c>
      <c r="M410" t="n">
        <v>0</v>
      </c>
      <c r="N410" t="n">
        <v>0</v>
      </c>
      <c r="O410" t="n">
        <v>0</v>
      </c>
      <c r="P410" t="n">
        <v>0</v>
      </c>
      <c r="Q410" t="n">
        <v>0</v>
      </c>
      <c r="R410" s="2" t="inlineStr"/>
    </row>
    <row r="411" ht="15" customHeight="1">
      <c r="A411" t="inlineStr">
        <is>
          <t>A 5314-2021</t>
        </is>
      </c>
      <c r="B411" s="1" t="n">
        <v>44229</v>
      </c>
      <c r="C411" s="1" t="n">
        <v>45893</v>
      </c>
      <c r="D411" t="inlineStr">
        <is>
          <t>ÖSTERGÖTLANDS LÄN</t>
        </is>
      </c>
      <c r="E411" t="inlineStr">
        <is>
          <t>LINKÖPING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53616-2020</t>
        </is>
      </c>
      <c r="B412" s="1" t="n">
        <v>44123</v>
      </c>
      <c r="C412" s="1" t="n">
        <v>45893</v>
      </c>
      <c r="D412" t="inlineStr">
        <is>
          <t>ÖSTERGÖTLANDS LÄN</t>
        </is>
      </c>
      <c r="E412" t="inlineStr">
        <is>
          <t>LINKÖPING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48699-2024</t>
        </is>
      </c>
      <c r="B413" s="1" t="n">
        <v>45593.52091435185</v>
      </c>
      <c r="C413" s="1" t="n">
        <v>45893</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49656-2021</t>
        </is>
      </c>
      <c r="B414" s="1" t="n">
        <v>44454</v>
      </c>
      <c r="C414" s="1" t="n">
        <v>45893</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38230-2023</t>
        </is>
      </c>
      <c r="B415" s="1" t="n">
        <v>45161.55373842592</v>
      </c>
      <c r="C415" s="1" t="n">
        <v>45893</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45442-2024</t>
        </is>
      </c>
      <c r="B416" s="1" t="n">
        <v>45576.64189814815</v>
      </c>
      <c r="C416" s="1" t="n">
        <v>45893</v>
      </c>
      <c r="D416" t="inlineStr">
        <is>
          <t>ÖSTERGÖTLANDS LÄN</t>
        </is>
      </c>
      <c r="E416" t="inlineStr">
        <is>
          <t>LINKÖPING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25568-2024</t>
        </is>
      </c>
      <c r="B417" s="1" t="n">
        <v>45463.58699074074</v>
      </c>
      <c r="C417" s="1" t="n">
        <v>45893</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4908-2023</t>
        </is>
      </c>
      <c r="B418" s="1" t="n">
        <v>44958</v>
      </c>
      <c r="C418" s="1" t="n">
        <v>45893</v>
      </c>
      <c r="D418" t="inlineStr">
        <is>
          <t>ÖSTERGÖTLANDS LÄN</t>
        </is>
      </c>
      <c r="E418" t="inlineStr">
        <is>
          <t>LINKÖPING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42697-2020</t>
        </is>
      </c>
      <c r="B419" s="1" t="n">
        <v>44077</v>
      </c>
      <c r="C419" s="1" t="n">
        <v>45893</v>
      </c>
      <c r="D419" t="inlineStr">
        <is>
          <t>ÖSTERGÖTLANDS LÄN</t>
        </is>
      </c>
      <c r="E419" t="inlineStr">
        <is>
          <t>LINKÖPING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1265-2023</t>
        </is>
      </c>
      <c r="B420" s="1" t="n">
        <v>44936</v>
      </c>
      <c r="C420" s="1" t="n">
        <v>45893</v>
      </c>
      <c r="D420" t="inlineStr">
        <is>
          <t>ÖSTERGÖTLANDS LÄN</t>
        </is>
      </c>
      <c r="E420" t="inlineStr">
        <is>
          <t>LINKÖPING</t>
        </is>
      </c>
      <c r="G420" t="n">
        <v>2.3</v>
      </c>
      <c r="H420" t="n">
        <v>0</v>
      </c>
      <c r="I420" t="n">
        <v>0</v>
      </c>
      <c r="J420" t="n">
        <v>0</v>
      </c>
      <c r="K420" t="n">
        <v>0</v>
      </c>
      <c r="L420" t="n">
        <v>0</v>
      </c>
      <c r="M420" t="n">
        <v>0</v>
      </c>
      <c r="N420" t="n">
        <v>0</v>
      </c>
      <c r="O420" t="n">
        <v>0</v>
      </c>
      <c r="P420" t="n">
        <v>0</v>
      </c>
      <c r="Q420" t="n">
        <v>0</v>
      </c>
      <c r="R420" s="2" t="inlineStr"/>
    </row>
    <row r="421" ht="15" customHeight="1">
      <c r="A421" t="inlineStr">
        <is>
          <t>A 13911-2025</t>
        </is>
      </c>
      <c r="B421" s="1" t="n">
        <v>45737.64784722222</v>
      </c>
      <c r="C421" s="1" t="n">
        <v>45893</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22833-2023</t>
        </is>
      </c>
      <c r="B422" s="1" t="n">
        <v>45071</v>
      </c>
      <c r="C422" s="1" t="n">
        <v>45893</v>
      </c>
      <c r="D422" t="inlineStr">
        <is>
          <t>ÖSTERGÖTLANDS LÄN</t>
        </is>
      </c>
      <c r="E422" t="inlineStr">
        <is>
          <t>LINKÖPING</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12411-2022</t>
        </is>
      </c>
      <c r="B423" s="1" t="n">
        <v>44638.21601851852</v>
      </c>
      <c r="C423" s="1" t="n">
        <v>45893</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2997-2025</t>
        </is>
      </c>
      <c r="B424" s="1" t="n">
        <v>45678.54631944445</v>
      </c>
      <c r="C424" s="1" t="n">
        <v>45893</v>
      </c>
      <c r="D424" t="inlineStr">
        <is>
          <t>ÖSTERGÖTLANDS LÄN</t>
        </is>
      </c>
      <c r="E424" t="inlineStr">
        <is>
          <t>LINKÖPING</t>
        </is>
      </c>
      <c r="G424" t="n">
        <v>2.7</v>
      </c>
      <c r="H424" t="n">
        <v>0</v>
      </c>
      <c r="I424" t="n">
        <v>0</v>
      </c>
      <c r="J424" t="n">
        <v>0</v>
      </c>
      <c r="K424" t="n">
        <v>0</v>
      </c>
      <c r="L424" t="n">
        <v>0</v>
      </c>
      <c r="M424" t="n">
        <v>0</v>
      </c>
      <c r="N424" t="n">
        <v>0</v>
      </c>
      <c r="O424" t="n">
        <v>0</v>
      </c>
      <c r="P424" t="n">
        <v>0</v>
      </c>
      <c r="Q424" t="n">
        <v>0</v>
      </c>
      <c r="R424" s="2" t="inlineStr"/>
    </row>
    <row r="425" ht="15" customHeight="1">
      <c r="A425" t="inlineStr">
        <is>
          <t>A 41345-2021</t>
        </is>
      </c>
      <c r="B425" s="1" t="n">
        <v>44424.61851851852</v>
      </c>
      <c r="C425" s="1" t="n">
        <v>45893</v>
      </c>
      <c r="D425" t="inlineStr">
        <is>
          <t>ÖSTERGÖTLANDS LÄN</t>
        </is>
      </c>
      <c r="E425" t="inlineStr">
        <is>
          <t>LINKÖPING</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13266-2025</t>
        </is>
      </c>
      <c r="B426" s="1" t="n">
        <v>45735.53318287037</v>
      </c>
      <c r="C426" s="1" t="n">
        <v>45893</v>
      </c>
      <c r="D426" t="inlineStr">
        <is>
          <t>ÖSTERGÖTLANDS LÄN</t>
        </is>
      </c>
      <c r="E426" t="inlineStr">
        <is>
          <t>LINKÖPING</t>
        </is>
      </c>
      <c r="G426" t="n">
        <v>3.1</v>
      </c>
      <c r="H426" t="n">
        <v>0</v>
      </c>
      <c r="I426" t="n">
        <v>0</v>
      </c>
      <c r="J426" t="n">
        <v>0</v>
      </c>
      <c r="K426" t="n">
        <v>0</v>
      </c>
      <c r="L426" t="n">
        <v>0</v>
      </c>
      <c r="M426" t="n">
        <v>0</v>
      </c>
      <c r="N426" t="n">
        <v>0</v>
      </c>
      <c r="O426" t="n">
        <v>0</v>
      </c>
      <c r="P426" t="n">
        <v>0</v>
      </c>
      <c r="Q426" t="n">
        <v>0</v>
      </c>
      <c r="R426" s="2" t="inlineStr"/>
    </row>
    <row r="427" ht="15" customHeight="1">
      <c r="A427" t="inlineStr">
        <is>
          <t>A 16213-2025</t>
        </is>
      </c>
      <c r="B427" s="1" t="n">
        <v>45750.62740740741</v>
      </c>
      <c r="C427" s="1" t="n">
        <v>45893</v>
      </c>
      <c r="D427" t="inlineStr">
        <is>
          <t>ÖSTERGÖTLANDS LÄN</t>
        </is>
      </c>
      <c r="E427" t="inlineStr">
        <is>
          <t>LINKÖPING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44739-2020</t>
        </is>
      </c>
      <c r="B428" s="1" t="n">
        <v>44085</v>
      </c>
      <c r="C428" s="1" t="n">
        <v>45893</v>
      </c>
      <c r="D428" t="inlineStr">
        <is>
          <t>ÖSTERGÖTLANDS LÄN</t>
        </is>
      </c>
      <c r="E428" t="inlineStr">
        <is>
          <t>LINKÖPING</t>
        </is>
      </c>
      <c r="G428" t="n">
        <v>5</v>
      </c>
      <c r="H428" t="n">
        <v>0</v>
      </c>
      <c r="I428" t="n">
        <v>0</v>
      </c>
      <c r="J428" t="n">
        <v>0</v>
      </c>
      <c r="K428" t="n">
        <v>0</v>
      </c>
      <c r="L428" t="n">
        <v>0</v>
      </c>
      <c r="M428" t="n">
        <v>0</v>
      </c>
      <c r="N428" t="n">
        <v>0</v>
      </c>
      <c r="O428" t="n">
        <v>0</v>
      </c>
      <c r="P428" t="n">
        <v>0</v>
      </c>
      <c r="Q428" t="n">
        <v>0</v>
      </c>
      <c r="R428" s="2" t="inlineStr"/>
    </row>
    <row r="429" ht="15" customHeight="1">
      <c r="A429" t="inlineStr">
        <is>
          <t>A 37683-2024</t>
        </is>
      </c>
      <c r="B429" s="1" t="n">
        <v>45541.59120370371</v>
      </c>
      <c r="C429" s="1" t="n">
        <v>45893</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23491-2024</t>
        </is>
      </c>
      <c r="B430" s="1" t="n">
        <v>45453</v>
      </c>
      <c r="C430" s="1" t="n">
        <v>45893</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70-2024</t>
        </is>
      </c>
      <c r="B431" s="1" t="n">
        <v>45293</v>
      </c>
      <c r="C431" s="1" t="n">
        <v>45893</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6054-2022</t>
        </is>
      </c>
      <c r="B432" s="1" t="n">
        <v>44599.53623842593</v>
      </c>
      <c r="C432" s="1" t="n">
        <v>45893</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31725-2022</t>
        </is>
      </c>
      <c r="B433" s="1" t="n">
        <v>44776.48541666667</v>
      </c>
      <c r="C433" s="1" t="n">
        <v>45893</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72567-2021</t>
        </is>
      </c>
      <c r="B434" s="1" t="n">
        <v>44546.45023148148</v>
      </c>
      <c r="C434" s="1" t="n">
        <v>45893</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46225-2021</t>
        </is>
      </c>
      <c r="B435" s="1" t="n">
        <v>44442</v>
      </c>
      <c r="C435" s="1" t="n">
        <v>45893</v>
      </c>
      <c r="D435" t="inlineStr">
        <is>
          <t>ÖSTERGÖTLANDS LÄN</t>
        </is>
      </c>
      <c r="E435" t="inlineStr">
        <is>
          <t>LINKÖPING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44280-2024</t>
        </is>
      </c>
      <c r="B436" s="1" t="n">
        <v>45573.49461805556</v>
      </c>
      <c r="C436" s="1" t="n">
        <v>45893</v>
      </c>
      <c r="D436" t="inlineStr">
        <is>
          <t>ÖSTERGÖTLANDS LÄN</t>
        </is>
      </c>
      <c r="E436" t="inlineStr">
        <is>
          <t>LINKÖPING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25776-2021</t>
        </is>
      </c>
      <c r="B437" s="1" t="n">
        <v>44343</v>
      </c>
      <c r="C437" s="1" t="n">
        <v>45893</v>
      </c>
      <c r="D437" t="inlineStr">
        <is>
          <t>ÖSTERGÖTLANDS LÄN</t>
        </is>
      </c>
      <c r="E437" t="inlineStr">
        <is>
          <t>LINKÖPING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51484-2023</t>
        </is>
      </c>
      <c r="B438" s="1" t="n">
        <v>45222</v>
      </c>
      <c r="C438" s="1" t="n">
        <v>45893</v>
      </c>
      <c r="D438" t="inlineStr">
        <is>
          <t>ÖSTERGÖTLANDS LÄN</t>
        </is>
      </c>
      <c r="E438" t="inlineStr">
        <is>
          <t>LINKÖPING</t>
        </is>
      </c>
      <c r="F438" t="inlineStr">
        <is>
          <t>Övriga Aktiebolag</t>
        </is>
      </c>
      <c r="G438" t="n">
        <v>7.7</v>
      </c>
      <c r="H438" t="n">
        <v>0</v>
      </c>
      <c r="I438" t="n">
        <v>0</v>
      </c>
      <c r="J438" t="n">
        <v>0</v>
      </c>
      <c r="K438" t="n">
        <v>0</v>
      </c>
      <c r="L438" t="n">
        <v>0</v>
      </c>
      <c r="M438" t="n">
        <v>0</v>
      </c>
      <c r="N438" t="n">
        <v>0</v>
      </c>
      <c r="O438" t="n">
        <v>0</v>
      </c>
      <c r="P438" t="n">
        <v>0</v>
      </c>
      <c r="Q438" t="n">
        <v>0</v>
      </c>
      <c r="R438" s="2" t="inlineStr"/>
    </row>
    <row r="439" ht="15" customHeight="1">
      <c r="A439" t="inlineStr">
        <is>
          <t>A 17898-2022</t>
        </is>
      </c>
      <c r="B439" s="1" t="n">
        <v>44683</v>
      </c>
      <c r="C439" s="1" t="n">
        <v>45893</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63487-2023</t>
        </is>
      </c>
      <c r="B440" s="1" t="n">
        <v>45274.66712962963</v>
      </c>
      <c r="C440" s="1" t="n">
        <v>45893</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35463-2023</t>
        </is>
      </c>
      <c r="B441" s="1" t="n">
        <v>45146</v>
      </c>
      <c r="C441" s="1" t="n">
        <v>45893</v>
      </c>
      <c r="D441" t="inlineStr">
        <is>
          <t>ÖSTERGÖTLANDS LÄN</t>
        </is>
      </c>
      <c r="E441" t="inlineStr">
        <is>
          <t>LINKÖPING</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57391-2023</t>
        </is>
      </c>
      <c r="B442" s="1" t="n">
        <v>45245</v>
      </c>
      <c r="C442" s="1" t="n">
        <v>45893</v>
      </c>
      <c r="D442" t="inlineStr">
        <is>
          <t>ÖSTERGÖTLANDS LÄN</t>
        </is>
      </c>
      <c r="E442" t="inlineStr">
        <is>
          <t>LINKÖPING</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7992-2023</t>
        </is>
      </c>
      <c r="B443" s="1" t="n">
        <v>44970</v>
      </c>
      <c r="C443" s="1" t="n">
        <v>45893</v>
      </c>
      <c r="D443" t="inlineStr">
        <is>
          <t>ÖSTERGÖTLANDS LÄN</t>
        </is>
      </c>
      <c r="E443" t="inlineStr">
        <is>
          <t>LINKÖPING</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55632-2022</t>
        </is>
      </c>
      <c r="B444" s="1" t="n">
        <v>44888</v>
      </c>
      <c r="C444" s="1" t="n">
        <v>45893</v>
      </c>
      <c r="D444" t="inlineStr">
        <is>
          <t>ÖSTERGÖTLANDS LÄN</t>
        </is>
      </c>
      <c r="E444" t="inlineStr">
        <is>
          <t>LINKÖPING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3042-2024</t>
        </is>
      </c>
      <c r="B445" s="1" t="n">
        <v>45316.35028935185</v>
      </c>
      <c r="C445" s="1" t="n">
        <v>45893</v>
      </c>
      <c r="D445" t="inlineStr">
        <is>
          <t>ÖSTERGÖTLANDS LÄN</t>
        </is>
      </c>
      <c r="E445" t="inlineStr">
        <is>
          <t>LINKÖPING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25829-2025</t>
        </is>
      </c>
      <c r="B446" s="1" t="n">
        <v>45804.44505787037</v>
      </c>
      <c r="C446" s="1" t="n">
        <v>45893</v>
      </c>
      <c r="D446" t="inlineStr">
        <is>
          <t>ÖSTERGÖTLANDS LÄN</t>
        </is>
      </c>
      <c r="E446" t="inlineStr">
        <is>
          <t>LINKÖPING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63559-2023</t>
        </is>
      </c>
      <c r="B447" s="1" t="n">
        <v>45275.35924768518</v>
      </c>
      <c r="C447" s="1" t="n">
        <v>45893</v>
      </c>
      <c r="D447" t="inlineStr">
        <is>
          <t>ÖSTERGÖTLANDS LÄN</t>
        </is>
      </c>
      <c r="E447" t="inlineStr">
        <is>
          <t>LINKÖPING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13689-2025</t>
        </is>
      </c>
      <c r="B448" s="1" t="n">
        <v>45737.31590277778</v>
      </c>
      <c r="C448" s="1" t="n">
        <v>45893</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13696-2025</t>
        </is>
      </c>
      <c r="B449" s="1" t="n">
        <v>45737.32273148148</v>
      </c>
      <c r="C449" s="1" t="n">
        <v>45893</v>
      </c>
      <c r="D449" t="inlineStr">
        <is>
          <t>ÖSTERGÖTLANDS LÄN</t>
        </is>
      </c>
      <c r="E449" t="inlineStr">
        <is>
          <t>LINKÖPING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26002-2025</t>
        </is>
      </c>
      <c r="B450" s="1" t="n">
        <v>45804.66534722222</v>
      </c>
      <c r="C450" s="1" t="n">
        <v>45893</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61227-2024</t>
        </is>
      </c>
      <c r="B451" s="1" t="n">
        <v>45645.66853009259</v>
      </c>
      <c r="C451" s="1" t="n">
        <v>45893</v>
      </c>
      <c r="D451" t="inlineStr">
        <is>
          <t>ÖSTERGÖTLANDS LÄN</t>
        </is>
      </c>
      <c r="E451" t="inlineStr">
        <is>
          <t>LINKÖPING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1924-2024</t>
        </is>
      </c>
      <c r="B452" s="1" t="n">
        <v>45308</v>
      </c>
      <c r="C452" s="1" t="n">
        <v>45893</v>
      </c>
      <c r="D452" t="inlineStr">
        <is>
          <t>ÖSTERGÖTLANDS LÄN</t>
        </is>
      </c>
      <c r="E452" t="inlineStr">
        <is>
          <t>LINKÖPING</t>
        </is>
      </c>
      <c r="F452" t="inlineStr">
        <is>
          <t>Övriga Aktiebolag</t>
        </is>
      </c>
      <c r="G452" t="n">
        <v>0.5</v>
      </c>
      <c r="H452" t="n">
        <v>0</v>
      </c>
      <c r="I452" t="n">
        <v>0</v>
      </c>
      <c r="J452" t="n">
        <v>0</v>
      </c>
      <c r="K452" t="n">
        <v>0</v>
      </c>
      <c r="L452" t="n">
        <v>0</v>
      </c>
      <c r="M452" t="n">
        <v>0</v>
      </c>
      <c r="N452" t="n">
        <v>0</v>
      </c>
      <c r="O452" t="n">
        <v>0</v>
      </c>
      <c r="P452" t="n">
        <v>0</v>
      </c>
      <c r="Q452" t="n">
        <v>0</v>
      </c>
      <c r="R452" s="2" t="inlineStr"/>
    </row>
    <row r="453" ht="15" customHeight="1">
      <c r="A453" t="inlineStr">
        <is>
          <t>A 26007-2025</t>
        </is>
      </c>
      <c r="B453" s="1" t="n">
        <v>45804.67081018518</v>
      </c>
      <c r="C453" s="1" t="n">
        <v>45893</v>
      </c>
      <c r="D453" t="inlineStr">
        <is>
          <t>ÖSTERGÖTLANDS LÄN</t>
        </is>
      </c>
      <c r="E453" t="inlineStr">
        <is>
          <t>LINKÖPING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58114-2021</t>
        </is>
      </c>
      <c r="B454" s="1" t="n">
        <v>44487</v>
      </c>
      <c r="C454" s="1" t="n">
        <v>45893</v>
      </c>
      <c r="D454" t="inlineStr">
        <is>
          <t>ÖSTERGÖTLANDS LÄN</t>
        </is>
      </c>
      <c r="E454" t="inlineStr">
        <is>
          <t>LINKÖPING</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25996-2025</t>
        </is>
      </c>
      <c r="B455" s="1" t="n">
        <v>45804.65851851852</v>
      </c>
      <c r="C455" s="1" t="n">
        <v>45893</v>
      </c>
      <c r="D455" t="inlineStr">
        <is>
          <t>ÖSTERGÖTLANDS LÄN</t>
        </is>
      </c>
      <c r="E455" t="inlineStr">
        <is>
          <t>LINKÖPING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32346-2023</t>
        </is>
      </c>
      <c r="B456" s="1" t="n">
        <v>45120</v>
      </c>
      <c r="C456" s="1" t="n">
        <v>45893</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50508-2024</t>
        </is>
      </c>
      <c r="B457" s="1" t="n">
        <v>45601.53907407408</v>
      </c>
      <c r="C457" s="1" t="n">
        <v>45893</v>
      </c>
      <c r="D457" t="inlineStr">
        <is>
          <t>ÖSTERGÖTLANDS LÄN</t>
        </is>
      </c>
      <c r="E457" t="inlineStr">
        <is>
          <t>LINKÖPING</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25831-2025</t>
        </is>
      </c>
      <c r="B458" s="1" t="n">
        <v>45804.44638888889</v>
      </c>
      <c r="C458" s="1" t="n">
        <v>45893</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7808-2022</t>
        </is>
      </c>
      <c r="B459" s="1" t="n">
        <v>44608</v>
      </c>
      <c r="C459" s="1" t="n">
        <v>45893</v>
      </c>
      <c r="D459" t="inlineStr">
        <is>
          <t>ÖSTERGÖTLANDS LÄN</t>
        </is>
      </c>
      <c r="E459" t="inlineStr">
        <is>
          <t>LINKÖPING</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27844-2024</t>
        </is>
      </c>
      <c r="B460" s="1" t="n">
        <v>45475.63047453704</v>
      </c>
      <c r="C460" s="1" t="n">
        <v>45893</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40810-2022</t>
        </is>
      </c>
      <c r="B461" s="1" t="n">
        <v>44824</v>
      </c>
      <c r="C461" s="1" t="n">
        <v>45893</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55944-2024</t>
        </is>
      </c>
      <c r="B462" s="1" t="n">
        <v>45623.61640046296</v>
      </c>
      <c r="C462" s="1" t="n">
        <v>45893</v>
      </c>
      <c r="D462" t="inlineStr">
        <is>
          <t>ÖSTERGÖTLANDS LÄN</t>
        </is>
      </c>
      <c r="E462" t="inlineStr">
        <is>
          <t>LINKÖPING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55947-2024</t>
        </is>
      </c>
      <c r="B463" s="1" t="n">
        <v>45623</v>
      </c>
      <c r="C463" s="1" t="n">
        <v>45893</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35174-2025</t>
        </is>
      </c>
      <c r="B464" s="1" t="n">
        <v>45852.90648148148</v>
      </c>
      <c r="C464" s="1" t="n">
        <v>45893</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35178-2025</t>
        </is>
      </c>
      <c r="B465" s="1" t="n">
        <v>45852.91939814815</v>
      </c>
      <c r="C465" s="1" t="n">
        <v>45893</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35180-2025</t>
        </is>
      </c>
      <c r="B466" s="1" t="n">
        <v>45852.9413425926</v>
      </c>
      <c r="C466" s="1" t="n">
        <v>45893</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3374-2023</t>
        </is>
      </c>
      <c r="B467" s="1" t="n">
        <v>44949</v>
      </c>
      <c r="C467" s="1" t="n">
        <v>45893</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24151-2024</t>
        </is>
      </c>
      <c r="B468" s="1" t="n">
        <v>45456.67717592593</v>
      </c>
      <c r="C468" s="1" t="n">
        <v>45893</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51559-2024</t>
        </is>
      </c>
      <c r="B469" s="1" t="n">
        <v>45604.61431712963</v>
      </c>
      <c r="C469" s="1" t="n">
        <v>45893</v>
      </c>
      <c r="D469" t="inlineStr">
        <is>
          <t>ÖSTERGÖTLANDS LÄN</t>
        </is>
      </c>
      <c r="E469" t="inlineStr">
        <is>
          <t>LINKÖPING</t>
        </is>
      </c>
      <c r="F469" t="inlineStr">
        <is>
          <t>Övriga Aktiebolag</t>
        </is>
      </c>
      <c r="G469" t="n">
        <v>2.4</v>
      </c>
      <c r="H469" t="n">
        <v>0</v>
      </c>
      <c r="I469" t="n">
        <v>0</v>
      </c>
      <c r="J469" t="n">
        <v>0</v>
      </c>
      <c r="K469" t="n">
        <v>0</v>
      </c>
      <c r="L469" t="n">
        <v>0</v>
      </c>
      <c r="M469" t="n">
        <v>0</v>
      </c>
      <c r="N469" t="n">
        <v>0</v>
      </c>
      <c r="O469" t="n">
        <v>0</v>
      </c>
      <c r="P469" t="n">
        <v>0</v>
      </c>
      <c r="Q469" t="n">
        <v>0</v>
      </c>
      <c r="R469" s="2" t="inlineStr"/>
    </row>
    <row r="470" ht="15" customHeight="1">
      <c r="A470" t="inlineStr">
        <is>
          <t>A 49979-2022</t>
        </is>
      </c>
      <c r="B470" s="1" t="n">
        <v>44865</v>
      </c>
      <c r="C470" s="1" t="n">
        <v>45893</v>
      </c>
      <c r="D470" t="inlineStr">
        <is>
          <t>ÖSTERGÖTLANDS LÄN</t>
        </is>
      </c>
      <c r="E470" t="inlineStr">
        <is>
          <t>LINKÖPING</t>
        </is>
      </c>
      <c r="F470" t="inlineStr">
        <is>
          <t>Övriga Aktiebolag</t>
        </is>
      </c>
      <c r="G470" t="n">
        <v>11.4</v>
      </c>
      <c r="H470" t="n">
        <v>0</v>
      </c>
      <c r="I470" t="n">
        <v>0</v>
      </c>
      <c r="J470" t="n">
        <v>0</v>
      </c>
      <c r="K470" t="n">
        <v>0</v>
      </c>
      <c r="L470" t="n">
        <v>0</v>
      </c>
      <c r="M470" t="n">
        <v>0</v>
      </c>
      <c r="N470" t="n">
        <v>0</v>
      </c>
      <c r="O470" t="n">
        <v>0</v>
      </c>
      <c r="P470" t="n">
        <v>0</v>
      </c>
      <c r="Q470" t="n">
        <v>0</v>
      </c>
      <c r="R470" s="2" t="inlineStr"/>
    </row>
    <row r="471" ht="15" customHeight="1">
      <c r="A471" t="inlineStr">
        <is>
          <t>A 39219-2021</t>
        </is>
      </c>
      <c r="B471" s="1" t="n">
        <v>44413</v>
      </c>
      <c r="C471" s="1" t="n">
        <v>45893</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39224-2021</t>
        </is>
      </c>
      <c r="B472" s="1" t="n">
        <v>44413</v>
      </c>
      <c r="C472" s="1" t="n">
        <v>45893</v>
      </c>
      <c r="D472" t="inlineStr">
        <is>
          <t>ÖSTERGÖTLANDS LÄN</t>
        </is>
      </c>
      <c r="E472" t="inlineStr">
        <is>
          <t>LINKÖPING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67123-2020</t>
        </is>
      </c>
      <c r="B473" s="1" t="n">
        <v>44180</v>
      </c>
      <c r="C473" s="1" t="n">
        <v>45893</v>
      </c>
      <c r="D473" t="inlineStr">
        <is>
          <t>ÖSTERGÖTLANDS LÄN</t>
        </is>
      </c>
      <c r="E473" t="inlineStr">
        <is>
          <t>LINKÖPING</t>
        </is>
      </c>
      <c r="F473" t="inlineStr">
        <is>
          <t>Övriga statliga verk och myndigheter</t>
        </is>
      </c>
      <c r="G473" t="n">
        <v>1.3</v>
      </c>
      <c r="H473" t="n">
        <v>0</v>
      </c>
      <c r="I473" t="n">
        <v>0</v>
      </c>
      <c r="J473" t="n">
        <v>0</v>
      </c>
      <c r="K473" t="n">
        <v>0</v>
      </c>
      <c r="L473" t="n">
        <v>0</v>
      </c>
      <c r="M473" t="n">
        <v>0</v>
      </c>
      <c r="N473" t="n">
        <v>0</v>
      </c>
      <c r="O473" t="n">
        <v>0</v>
      </c>
      <c r="P473" t="n">
        <v>0</v>
      </c>
      <c r="Q473" t="n">
        <v>0</v>
      </c>
      <c r="R473" s="2" t="inlineStr"/>
    </row>
    <row r="474" ht="15" customHeight="1">
      <c r="A474" t="inlineStr">
        <is>
          <t>A 35179-2025</t>
        </is>
      </c>
      <c r="B474" s="1" t="n">
        <v>45852.93737268518</v>
      </c>
      <c r="C474" s="1" t="n">
        <v>45893</v>
      </c>
      <c r="D474" t="inlineStr">
        <is>
          <t>ÖSTERGÖTLANDS LÄN</t>
        </is>
      </c>
      <c r="E474" t="inlineStr">
        <is>
          <t>LINKÖPING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62495-2023</t>
        </is>
      </c>
      <c r="B475" s="1" t="n">
        <v>45268.59717592593</v>
      </c>
      <c r="C475" s="1" t="n">
        <v>45893</v>
      </c>
      <c r="D475" t="inlineStr">
        <is>
          <t>ÖSTERGÖTLANDS LÄN</t>
        </is>
      </c>
      <c r="E475" t="inlineStr">
        <is>
          <t>LINKÖPING</t>
        </is>
      </c>
      <c r="G475" t="n">
        <v>4.1</v>
      </c>
      <c r="H475" t="n">
        <v>0</v>
      </c>
      <c r="I475" t="n">
        <v>0</v>
      </c>
      <c r="J475" t="n">
        <v>0</v>
      </c>
      <c r="K475" t="n">
        <v>0</v>
      </c>
      <c r="L475" t="n">
        <v>0</v>
      </c>
      <c r="M475" t="n">
        <v>0</v>
      </c>
      <c r="N475" t="n">
        <v>0</v>
      </c>
      <c r="O475" t="n">
        <v>0</v>
      </c>
      <c r="P475" t="n">
        <v>0</v>
      </c>
      <c r="Q475" t="n">
        <v>0</v>
      </c>
      <c r="R475" s="2" t="inlineStr"/>
    </row>
    <row r="476" ht="15" customHeight="1">
      <c r="A476" t="inlineStr">
        <is>
          <t>A 14576-2023</t>
        </is>
      </c>
      <c r="B476" s="1" t="n">
        <v>45013</v>
      </c>
      <c r="C476" s="1" t="n">
        <v>45893</v>
      </c>
      <c r="D476" t="inlineStr">
        <is>
          <t>ÖSTERGÖTLANDS LÄN</t>
        </is>
      </c>
      <c r="E476" t="inlineStr">
        <is>
          <t>LINKÖPING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29413-2023</t>
        </is>
      </c>
      <c r="B477" s="1" t="n">
        <v>45106.46465277778</v>
      </c>
      <c r="C477" s="1" t="n">
        <v>45893</v>
      </c>
      <c r="D477" t="inlineStr">
        <is>
          <t>ÖSTERGÖTLANDS LÄN</t>
        </is>
      </c>
      <c r="E477" t="inlineStr">
        <is>
          <t>LINKÖPING</t>
        </is>
      </c>
      <c r="G477" t="n">
        <v>8</v>
      </c>
      <c r="H477" t="n">
        <v>0</v>
      </c>
      <c r="I477" t="n">
        <v>0</v>
      </c>
      <c r="J477" t="n">
        <v>0</v>
      </c>
      <c r="K477" t="n">
        <v>0</v>
      </c>
      <c r="L477" t="n">
        <v>0</v>
      </c>
      <c r="M477" t="n">
        <v>0</v>
      </c>
      <c r="N477" t="n">
        <v>0</v>
      </c>
      <c r="O477" t="n">
        <v>0</v>
      </c>
      <c r="P477" t="n">
        <v>0</v>
      </c>
      <c r="Q477" t="n">
        <v>0</v>
      </c>
      <c r="R477" s="2" t="inlineStr"/>
    </row>
    <row r="478" ht="15" customHeight="1">
      <c r="A478" t="inlineStr">
        <is>
          <t>A 74160-2021</t>
        </is>
      </c>
      <c r="B478" s="1" t="n">
        <v>44558</v>
      </c>
      <c r="C478" s="1" t="n">
        <v>45893</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25948-2023</t>
        </is>
      </c>
      <c r="B479" s="1" t="n">
        <v>45090</v>
      </c>
      <c r="C479" s="1" t="n">
        <v>45893</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1627-2023</t>
        </is>
      </c>
      <c r="B480" s="1" t="n">
        <v>44937</v>
      </c>
      <c r="C480" s="1" t="n">
        <v>45893</v>
      </c>
      <c r="D480" t="inlineStr">
        <is>
          <t>ÖSTERGÖTLANDS LÄN</t>
        </is>
      </c>
      <c r="E480" t="inlineStr">
        <is>
          <t>LINKÖPING</t>
        </is>
      </c>
      <c r="G480" t="n">
        <v>10.8</v>
      </c>
      <c r="H480" t="n">
        <v>0</v>
      </c>
      <c r="I480" t="n">
        <v>0</v>
      </c>
      <c r="J480" t="n">
        <v>0</v>
      </c>
      <c r="K480" t="n">
        <v>0</v>
      </c>
      <c r="L480" t="n">
        <v>0</v>
      </c>
      <c r="M480" t="n">
        <v>0</v>
      </c>
      <c r="N480" t="n">
        <v>0</v>
      </c>
      <c r="O480" t="n">
        <v>0</v>
      </c>
      <c r="P480" t="n">
        <v>0</v>
      </c>
      <c r="Q480" t="n">
        <v>0</v>
      </c>
      <c r="R480" s="2" t="inlineStr"/>
    </row>
    <row r="481" ht="15" customHeight="1">
      <c r="A481" t="inlineStr">
        <is>
          <t>A 30481-2023</t>
        </is>
      </c>
      <c r="B481" s="1" t="n">
        <v>45111</v>
      </c>
      <c r="C481" s="1" t="n">
        <v>45893</v>
      </c>
      <c r="D481" t="inlineStr">
        <is>
          <t>ÖSTERGÖTLANDS LÄN</t>
        </is>
      </c>
      <c r="E481" t="inlineStr">
        <is>
          <t>LINKÖPING</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21782-2024</t>
        </is>
      </c>
      <c r="B482" s="1" t="n">
        <v>45442.63368055555</v>
      </c>
      <c r="C482" s="1" t="n">
        <v>45893</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11671-2023</t>
        </is>
      </c>
      <c r="B483" s="1" t="n">
        <v>44994.48125</v>
      </c>
      <c r="C483" s="1" t="n">
        <v>45893</v>
      </c>
      <c r="D483" t="inlineStr">
        <is>
          <t>ÖSTERGÖTLANDS LÄN</t>
        </is>
      </c>
      <c r="E483" t="inlineStr">
        <is>
          <t>LINKÖPING</t>
        </is>
      </c>
      <c r="G483" t="n">
        <v>2.6</v>
      </c>
      <c r="H483" t="n">
        <v>0</v>
      </c>
      <c r="I483" t="n">
        <v>0</v>
      </c>
      <c r="J483" t="n">
        <v>0</v>
      </c>
      <c r="K483" t="n">
        <v>0</v>
      </c>
      <c r="L483" t="n">
        <v>0</v>
      </c>
      <c r="M483" t="n">
        <v>0</v>
      </c>
      <c r="N483" t="n">
        <v>0</v>
      </c>
      <c r="O483" t="n">
        <v>0</v>
      </c>
      <c r="P483" t="n">
        <v>0</v>
      </c>
      <c r="Q483" t="n">
        <v>0</v>
      </c>
      <c r="R483" s="2" t="inlineStr"/>
    </row>
    <row r="484" ht="15" customHeight="1">
      <c r="A484" t="inlineStr">
        <is>
          <t>A 3013-2023</t>
        </is>
      </c>
      <c r="B484" s="1" t="n">
        <v>44945.8092824074</v>
      </c>
      <c r="C484" s="1" t="n">
        <v>45893</v>
      </c>
      <c r="D484" t="inlineStr">
        <is>
          <t>ÖSTERGÖTLANDS LÄN</t>
        </is>
      </c>
      <c r="E484" t="inlineStr">
        <is>
          <t>LINKÖPING</t>
        </is>
      </c>
      <c r="G484" t="n">
        <v>5.2</v>
      </c>
      <c r="H484" t="n">
        <v>0</v>
      </c>
      <c r="I484" t="n">
        <v>0</v>
      </c>
      <c r="J484" t="n">
        <v>0</v>
      </c>
      <c r="K484" t="n">
        <v>0</v>
      </c>
      <c r="L484" t="n">
        <v>0</v>
      </c>
      <c r="M484" t="n">
        <v>0</v>
      </c>
      <c r="N484" t="n">
        <v>0</v>
      </c>
      <c r="O484" t="n">
        <v>0</v>
      </c>
      <c r="P484" t="n">
        <v>0</v>
      </c>
      <c r="Q484" t="n">
        <v>0</v>
      </c>
      <c r="R484" s="2" t="inlineStr"/>
    </row>
    <row r="485" ht="15" customHeight="1">
      <c r="A485" t="inlineStr">
        <is>
          <t>A 49747-2024</t>
        </is>
      </c>
      <c r="B485" s="1" t="n">
        <v>45596</v>
      </c>
      <c r="C485" s="1" t="n">
        <v>45893</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42997-2021</t>
        </is>
      </c>
      <c r="B486" s="1" t="n">
        <v>44431.45556712963</v>
      </c>
      <c r="C486" s="1" t="n">
        <v>45893</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27766-2022</t>
        </is>
      </c>
      <c r="B487" s="1" t="n">
        <v>44743.53112268518</v>
      </c>
      <c r="C487" s="1" t="n">
        <v>45893</v>
      </c>
      <c r="D487" t="inlineStr">
        <is>
          <t>ÖSTERGÖTLANDS LÄN</t>
        </is>
      </c>
      <c r="E487" t="inlineStr">
        <is>
          <t>LINKÖPING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3011-2023</t>
        </is>
      </c>
      <c r="B488" s="1" t="n">
        <v>44945</v>
      </c>
      <c r="C488" s="1" t="n">
        <v>45893</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23735-2023</t>
        </is>
      </c>
      <c r="B489" s="1" t="n">
        <v>45077</v>
      </c>
      <c r="C489" s="1" t="n">
        <v>45893</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53641-2023</t>
        </is>
      </c>
      <c r="B490" s="1" t="n">
        <v>45230</v>
      </c>
      <c r="C490" s="1" t="n">
        <v>45893</v>
      </c>
      <c r="D490" t="inlineStr">
        <is>
          <t>ÖSTERGÖTLANDS LÄN</t>
        </is>
      </c>
      <c r="E490" t="inlineStr">
        <is>
          <t>LINKÖPING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33000-2023</t>
        </is>
      </c>
      <c r="B491" s="1" t="n">
        <v>45125</v>
      </c>
      <c r="C491" s="1" t="n">
        <v>45893</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52892-2024</t>
        </is>
      </c>
      <c r="B492" s="1" t="n">
        <v>45610</v>
      </c>
      <c r="C492" s="1" t="n">
        <v>45893</v>
      </c>
      <c r="D492" t="inlineStr">
        <is>
          <t>ÖSTERGÖTLANDS LÄN</t>
        </is>
      </c>
      <c r="E492" t="inlineStr">
        <is>
          <t>LINKÖPING</t>
        </is>
      </c>
      <c r="G492" t="n">
        <v>4.2</v>
      </c>
      <c r="H492" t="n">
        <v>0</v>
      </c>
      <c r="I492" t="n">
        <v>0</v>
      </c>
      <c r="J492" t="n">
        <v>0</v>
      </c>
      <c r="K492" t="n">
        <v>0</v>
      </c>
      <c r="L492" t="n">
        <v>0</v>
      </c>
      <c r="M492" t="n">
        <v>0</v>
      </c>
      <c r="N492" t="n">
        <v>0</v>
      </c>
      <c r="O492" t="n">
        <v>0</v>
      </c>
      <c r="P492" t="n">
        <v>0</v>
      </c>
      <c r="Q492" t="n">
        <v>0</v>
      </c>
      <c r="R492" s="2" t="inlineStr"/>
    </row>
    <row r="493" ht="15" customHeight="1">
      <c r="A493" t="inlineStr">
        <is>
          <t>A 45821-2024</t>
        </is>
      </c>
      <c r="B493" s="1" t="n">
        <v>45579.75803240741</v>
      </c>
      <c r="C493" s="1" t="n">
        <v>45893</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27264-2025</t>
        </is>
      </c>
      <c r="B494" s="1" t="n">
        <v>45812.4794212963</v>
      </c>
      <c r="C494" s="1" t="n">
        <v>45893</v>
      </c>
      <c r="D494" t="inlineStr">
        <is>
          <t>ÖSTERGÖTLANDS LÄN</t>
        </is>
      </c>
      <c r="E494" t="inlineStr">
        <is>
          <t>LINKÖPING</t>
        </is>
      </c>
      <c r="G494" t="n">
        <v>2.6</v>
      </c>
      <c r="H494" t="n">
        <v>0</v>
      </c>
      <c r="I494" t="n">
        <v>0</v>
      </c>
      <c r="J494" t="n">
        <v>0</v>
      </c>
      <c r="K494" t="n">
        <v>0</v>
      </c>
      <c r="L494" t="n">
        <v>0</v>
      </c>
      <c r="M494" t="n">
        <v>0</v>
      </c>
      <c r="N494" t="n">
        <v>0</v>
      </c>
      <c r="O494" t="n">
        <v>0</v>
      </c>
      <c r="P494" t="n">
        <v>0</v>
      </c>
      <c r="Q494" t="n">
        <v>0</v>
      </c>
      <c r="R494" s="2" t="inlineStr"/>
    </row>
    <row r="495" ht="15" customHeight="1">
      <c r="A495" t="inlineStr">
        <is>
          <t>A 30521-2024</t>
        </is>
      </c>
      <c r="B495" s="1" t="n">
        <v>45492</v>
      </c>
      <c r="C495" s="1" t="n">
        <v>45893</v>
      </c>
      <c r="D495" t="inlineStr">
        <is>
          <t>ÖSTERGÖTLANDS LÄN</t>
        </is>
      </c>
      <c r="E495" t="inlineStr">
        <is>
          <t>LINKÖPING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51191-2022</t>
        </is>
      </c>
      <c r="B496" s="1" t="n">
        <v>44865</v>
      </c>
      <c r="C496" s="1" t="n">
        <v>45893</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49088-2020</t>
        </is>
      </c>
      <c r="B497" s="1" t="n">
        <v>44104</v>
      </c>
      <c r="C497" s="1" t="n">
        <v>45893</v>
      </c>
      <c r="D497" t="inlineStr">
        <is>
          <t>ÖSTERGÖTLANDS LÄN</t>
        </is>
      </c>
      <c r="E497" t="inlineStr">
        <is>
          <t>LINKÖPING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53647-2021</t>
        </is>
      </c>
      <c r="B498" s="1" t="n">
        <v>44469</v>
      </c>
      <c r="C498" s="1" t="n">
        <v>45893</v>
      </c>
      <c r="D498" t="inlineStr">
        <is>
          <t>ÖSTERGÖTLANDS LÄN</t>
        </is>
      </c>
      <c r="E498" t="inlineStr">
        <is>
          <t>LINKÖPING</t>
        </is>
      </c>
      <c r="G498" t="n">
        <v>2.3</v>
      </c>
      <c r="H498" t="n">
        <v>0</v>
      </c>
      <c r="I498" t="n">
        <v>0</v>
      </c>
      <c r="J498" t="n">
        <v>0</v>
      </c>
      <c r="K498" t="n">
        <v>0</v>
      </c>
      <c r="L498" t="n">
        <v>0</v>
      </c>
      <c r="M498" t="n">
        <v>0</v>
      </c>
      <c r="N498" t="n">
        <v>0</v>
      </c>
      <c r="O498" t="n">
        <v>0</v>
      </c>
      <c r="P498" t="n">
        <v>0</v>
      </c>
      <c r="Q498" t="n">
        <v>0</v>
      </c>
      <c r="R498" s="2" t="inlineStr"/>
    </row>
    <row r="499" ht="15" customHeight="1">
      <c r="A499" t="inlineStr">
        <is>
          <t>A 12289-2025</t>
        </is>
      </c>
      <c r="B499" s="1" t="n">
        <v>45729</v>
      </c>
      <c r="C499" s="1" t="n">
        <v>45893</v>
      </c>
      <c r="D499" t="inlineStr">
        <is>
          <t>ÖSTERGÖTLANDS LÄN</t>
        </is>
      </c>
      <c r="E499" t="inlineStr">
        <is>
          <t>LINKÖPING</t>
        </is>
      </c>
      <c r="F499" t="inlineStr">
        <is>
          <t>Övriga statliga verk och myndigheter</t>
        </is>
      </c>
      <c r="G499" t="n">
        <v>6.5</v>
      </c>
      <c r="H499" t="n">
        <v>0</v>
      </c>
      <c r="I499" t="n">
        <v>0</v>
      </c>
      <c r="J499" t="n">
        <v>0</v>
      </c>
      <c r="K499" t="n">
        <v>0</v>
      </c>
      <c r="L499" t="n">
        <v>0</v>
      </c>
      <c r="M499" t="n">
        <v>0</v>
      </c>
      <c r="N499" t="n">
        <v>0</v>
      </c>
      <c r="O499" t="n">
        <v>0</v>
      </c>
      <c r="P499" t="n">
        <v>0</v>
      </c>
      <c r="Q499" t="n">
        <v>0</v>
      </c>
      <c r="R499" s="2" t="inlineStr"/>
    </row>
    <row r="500" ht="15" customHeight="1">
      <c r="A500" t="inlineStr">
        <is>
          <t>A 27950-2025</t>
        </is>
      </c>
      <c r="B500" s="1" t="n">
        <v>45817.52960648148</v>
      </c>
      <c r="C500" s="1" t="n">
        <v>45893</v>
      </c>
      <c r="D500" t="inlineStr">
        <is>
          <t>ÖSTERGÖTLANDS LÄN</t>
        </is>
      </c>
      <c r="E500" t="inlineStr">
        <is>
          <t>LINKÖPING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55265-2020</t>
        </is>
      </c>
      <c r="B501" s="1" t="n">
        <v>44130</v>
      </c>
      <c r="C501" s="1" t="n">
        <v>45893</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6599-2023</t>
        </is>
      </c>
      <c r="B502" s="1" t="n">
        <v>44966.52603009259</v>
      </c>
      <c r="C502" s="1" t="n">
        <v>45893</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9434-2024</t>
        </is>
      </c>
      <c r="B503" s="1" t="n">
        <v>45359</v>
      </c>
      <c r="C503" s="1" t="n">
        <v>45893</v>
      </c>
      <c r="D503" t="inlineStr">
        <is>
          <t>ÖSTERGÖTLANDS LÄN</t>
        </is>
      </c>
      <c r="E503" t="inlineStr">
        <is>
          <t>LINKÖPING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27797-2025</t>
        </is>
      </c>
      <c r="B504" s="1" t="n">
        <v>45816.80521990741</v>
      </c>
      <c r="C504" s="1" t="n">
        <v>45893</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27798-2025</t>
        </is>
      </c>
      <c r="B505" s="1" t="n">
        <v>45816.81532407407</v>
      </c>
      <c r="C505" s="1" t="n">
        <v>45893</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42054-2022</t>
        </is>
      </c>
      <c r="B506" s="1" t="n">
        <v>44830</v>
      </c>
      <c r="C506" s="1" t="n">
        <v>45893</v>
      </c>
      <c r="D506" t="inlineStr">
        <is>
          <t>ÖSTERGÖTLANDS LÄN</t>
        </is>
      </c>
      <c r="E506" t="inlineStr">
        <is>
          <t>LINKÖPING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50182-2023</t>
        </is>
      </c>
      <c r="B507" s="1" t="n">
        <v>45208</v>
      </c>
      <c r="C507" s="1" t="n">
        <v>45893</v>
      </c>
      <c r="D507" t="inlineStr">
        <is>
          <t>ÖSTERGÖTLANDS LÄN</t>
        </is>
      </c>
      <c r="E507" t="inlineStr">
        <is>
          <t>LINKÖPING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35735-2023</t>
        </is>
      </c>
      <c r="B508" s="1" t="n">
        <v>45147</v>
      </c>
      <c r="C508" s="1" t="n">
        <v>45893</v>
      </c>
      <c r="D508" t="inlineStr">
        <is>
          <t>ÖSTERGÖTLANDS LÄN</t>
        </is>
      </c>
      <c r="E508" t="inlineStr">
        <is>
          <t>LINKÖPING</t>
        </is>
      </c>
      <c r="G508" t="n">
        <v>2.8</v>
      </c>
      <c r="H508" t="n">
        <v>0</v>
      </c>
      <c r="I508" t="n">
        <v>0</v>
      </c>
      <c r="J508" t="n">
        <v>0</v>
      </c>
      <c r="K508" t="n">
        <v>0</v>
      </c>
      <c r="L508" t="n">
        <v>0</v>
      </c>
      <c r="M508" t="n">
        <v>0</v>
      </c>
      <c r="N508" t="n">
        <v>0</v>
      </c>
      <c r="O508" t="n">
        <v>0</v>
      </c>
      <c r="P508" t="n">
        <v>0</v>
      </c>
      <c r="Q508" t="n">
        <v>0</v>
      </c>
      <c r="R508" s="2" t="inlineStr"/>
    </row>
    <row r="509" ht="15" customHeight="1">
      <c r="A509" t="inlineStr">
        <is>
          <t>A 28200-2025</t>
        </is>
      </c>
      <c r="B509" s="1" t="n">
        <v>45818.4428125</v>
      </c>
      <c r="C509" s="1" t="n">
        <v>45893</v>
      </c>
      <c r="D509" t="inlineStr">
        <is>
          <t>ÖSTERGÖTLANDS LÄN</t>
        </is>
      </c>
      <c r="E509" t="inlineStr">
        <is>
          <t>LINKÖPING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45831-2024</t>
        </is>
      </c>
      <c r="B510" s="1" t="n">
        <v>45579.90508101852</v>
      </c>
      <c r="C510" s="1" t="n">
        <v>45893</v>
      </c>
      <c r="D510" t="inlineStr">
        <is>
          <t>ÖSTERGÖTLANDS LÄN</t>
        </is>
      </c>
      <c r="E510" t="inlineStr">
        <is>
          <t>LINKÖPING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28204-2025</t>
        </is>
      </c>
      <c r="B511" s="1" t="n">
        <v>45818.4477662037</v>
      </c>
      <c r="C511" s="1" t="n">
        <v>45893</v>
      </c>
      <c r="D511" t="inlineStr">
        <is>
          <t>ÖSTERGÖTLANDS LÄN</t>
        </is>
      </c>
      <c r="E511" t="inlineStr">
        <is>
          <t>LINKÖPING</t>
        </is>
      </c>
      <c r="G511" t="n">
        <v>2.9</v>
      </c>
      <c r="H511" t="n">
        <v>0</v>
      </c>
      <c r="I511" t="n">
        <v>0</v>
      </c>
      <c r="J511" t="n">
        <v>0</v>
      </c>
      <c r="K511" t="n">
        <v>0</v>
      </c>
      <c r="L511" t="n">
        <v>0</v>
      </c>
      <c r="M511" t="n">
        <v>0</v>
      </c>
      <c r="N511" t="n">
        <v>0</v>
      </c>
      <c r="O511" t="n">
        <v>0</v>
      </c>
      <c r="P511" t="n">
        <v>0</v>
      </c>
      <c r="Q511" t="n">
        <v>0</v>
      </c>
      <c r="R511" s="2" t="inlineStr"/>
    </row>
    <row r="512" ht="15" customHeight="1">
      <c r="A512" t="inlineStr">
        <is>
          <t>A 17157-2024</t>
        </is>
      </c>
      <c r="B512" s="1" t="n">
        <v>45412.70567129629</v>
      </c>
      <c r="C512" s="1" t="n">
        <v>45893</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35781-2023</t>
        </is>
      </c>
      <c r="B513" s="1" t="n">
        <v>45147</v>
      </c>
      <c r="C513" s="1" t="n">
        <v>45893</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35757-2025</t>
        </is>
      </c>
      <c r="B514" s="1" t="n">
        <v>45860.59876157407</v>
      </c>
      <c r="C514" s="1" t="n">
        <v>45893</v>
      </c>
      <c r="D514" t="inlineStr">
        <is>
          <t>ÖSTERGÖTLANDS LÄN</t>
        </is>
      </c>
      <c r="E514" t="inlineStr">
        <is>
          <t>LINKÖPING</t>
        </is>
      </c>
      <c r="G514" t="n">
        <v>5.7</v>
      </c>
      <c r="H514" t="n">
        <v>0</v>
      </c>
      <c r="I514" t="n">
        <v>0</v>
      </c>
      <c r="J514" t="n">
        <v>0</v>
      </c>
      <c r="K514" t="n">
        <v>0</v>
      </c>
      <c r="L514" t="n">
        <v>0</v>
      </c>
      <c r="M514" t="n">
        <v>0</v>
      </c>
      <c r="N514" t="n">
        <v>0</v>
      </c>
      <c r="O514" t="n">
        <v>0</v>
      </c>
      <c r="P514" t="n">
        <v>0</v>
      </c>
      <c r="Q514" t="n">
        <v>0</v>
      </c>
      <c r="R514" s="2" t="inlineStr"/>
    </row>
    <row r="515" ht="15" customHeight="1">
      <c r="A515" t="inlineStr">
        <is>
          <t>A 28416-2025</t>
        </is>
      </c>
      <c r="B515" s="1" t="n">
        <v>45819.35346064815</v>
      </c>
      <c r="C515" s="1" t="n">
        <v>45893</v>
      </c>
      <c r="D515" t="inlineStr">
        <is>
          <t>ÖSTERGÖTLANDS LÄN</t>
        </is>
      </c>
      <c r="E515" t="inlineStr">
        <is>
          <t>LINKÖPING</t>
        </is>
      </c>
      <c r="F515" t="inlineStr">
        <is>
          <t>Sveaskog</t>
        </is>
      </c>
      <c r="G515" t="n">
        <v>3.7</v>
      </c>
      <c r="H515" t="n">
        <v>0</v>
      </c>
      <c r="I515" t="n">
        <v>0</v>
      </c>
      <c r="J515" t="n">
        <v>0</v>
      </c>
      <c r="K515" t="n">
        <v>0</v>
      </c>
      <c r="L515" t="n">
        <v>0</v>
      </c>
      <c r="M515" t="n">
        <v>0</v>
      </c>
      <c r="N515" t="n">
        <v>0</v>
      </c>
      <c r="O515" t="n">
        <v>0</v>
      </c>
      <c r="P515" t="n">
        <v>0</v>
      </c>
      <c r="Q515" t="n">
        <v>0</v>
      </c>
      <c r="R515" s="2" t="inlineStr"/>
    </row>
    <row r="516" ht="15" customHeight="1">
      <c r="A516" t="inlineStr">
        <is>
          <t>A 6387-2022</t>
        </is>
      </c>
      <c r="B516" s="1" t="n">
        <v>44600</v>
      </c>
      <c r="C516" s="1" t="n">
        <v>45893</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48707-2023</t>
        </is>
      </c>
      <c r="B517" s="1" t="n">
        <v>45202</v>
      </c>
      <c r="C517" s="1" t="n">
        <v>45893</v>
      </c>
      <c r="D517" t="inlineStr">
        <is>
          <t>ÖSTERGÖTLANDS LÄN</t>
        </is>
      </c>
      <c r="E517" t="inlineStr">
        <is>
          <t>LINKÖPING</t>
        </is>
      </c>
      <c r="G517" t="n">
        <v>1.6</v>
      </c>
      <c r="H517" t="n">
        <v>0</v>
      </c>
      <c r="I517" t="n">
        <v>0</v>
      </c>
      <c r="J517" t="n">
        <v>0</v>
      </c>
      <c r="K517" t="n">
        <v>0</v>
      </c>
      <c r="L517" t="n">
        <v>0</v>
      </c>
      <c r="M517" t="n">
        <v>0</v>
      </c>
      <c r="N517" t="n">
        <v>0</v>
      </c>
      <c r="O517" t="n">
        <v>0</v>
      </c>
      <c r="P517" t="n">
        <v>0</v>
      </c>
      <c r="Q517" t="n">
        <v>0</v>
      </c>
      <c r="R517" s="2" t="inlineStr"/>
    </row>
    <row r="518" ht="15" customHeight="1">
      <c r="A518" t="inlineStr">
        <is>
          <t>A 37154-2023</t>
        </is>
      </c>
      <c r="B518" s="1" t="n">
        <v>45155</v>
      </c>
      <c r="C518" s="1" t="n">
        <v>45893</v>
      </c>
      <c r="D518" t="inlineStr">
        <is>
          <t>ÖSTERGÖTLANDS LÄN</t>
        </is>
      </c>
      <c r="E518" t="inlineStr">
        <is>
          <t>LINKÖPING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35745-2025</t>
        </is>
      </c>
      <c r="B519" s="1" t="n">
        <v>45860.54739583333</v>
      </c>
      <c r="C519" s="1" t="n">
        <v>45893</v>
      </c>
      <c r="D519" t="inlineStr">
        <is>
          <t>ÖSTERGÖTLANDS LÄN</t>
        </is>
      </c>
      <c r="E519" t="inlineStr">
        <is>
          <t>LINKÖPING</t>
        </is>
      </c>
      <c r="G519" t="n">
        <v>4.4</v>
      </c>
      <c r="H519" t="n">
        <v>0</v>
      </c>
      <c r="I519" t="n">
        <v>0</v>
      </c>
      <c r="J519" t="n">
        <v>0</v>
      </c>
      <c r="K519" t="n">
        <v>0</v>
      </c>
      <c r="L519" t="n">
        <v>0</v>
      </c>
      <c r="M519" t="n">
        <v>0</v>
      </c>
      <c r="N519" t="n">
        <v>0</v>
      </c>
      <c r="O519" t="n">
        <v>0</v>
      </c>
      <c r="P519" t="n">
        <v>0</v>
      </c>
      <c r="Q519" t="n">
        <v>0</v>
      </c>
      <c r="R519" s="2" t="inlineStr"/>
    </row>
    <row r="520" ht="15" customHeight="1">
      <c r="A520" t="inlineStr">
        <is>
          <t>A 35747-2025</t>
        </is>
      </c>
      <c r="B520" s="1" t="n">
        <v>45860.56385416666</v>
      </c>
      <c r="C520" s="1" t="n">
        <v>45893</v>
      </c>
      <c r="D520" t="inlineStr">
        <is>
          <t>ÖSTERGÖTLANDS LÄN</t>
        </is>
      </c>
      <c r="E520" t="inlineStr">
        <is>
          <t>LINKÖPING</t>
        </is>
      </c>
      <c r="G520" t="n">
        <v>2.4</v>
      </c>
      <c r="H520" t="n">
        <v>0</v>
      </c>
      <c r="I520" t="n">
        <v>0</v>
      </c>
      <c r="J520" t="n">
        <v>0</v>
      </c>
      <c r="K520" t="n">
        <v>0</v>
      </c>
      <c r="L520" t="n">
        <v>0</v>
      </c>
      <c r="M520" t="n">
        <v>0</v>
      </c>
      <c r="N520" t="n">
        <v>0</v>
      </c>
      <c r="O520" t="n">
        <v>0</v>
      </c>
      <c r="P520" t="n">
        <v>0</v>
      </c>
      <c r="Q520" t="n">
        <v>0</v>
      </c>
      <c r="R520" s="2" t="inlineStr"/>
    </row>
    <row r="521" ht="15" customHeight="1">
      <c r="A521" t="inlineStr">
        <is>
          <t>A 28398-2025</t>
        </is>
      </c>
      <c r="B521" s="1" t="n">
        <v>45819.34208333334</v>
      </c>
      <c r="C521" s="1" t="n">
        <v>45893</v>
      </c>
      <c r="D521" t="inlineStr">
        <is>
          <t>ÖSTERGÖTLANDS LÄN</t>
        </is>
      </c>
      <c r="E521" t="inlineStr">
        <is>
          <t>LINKÖPING</t>
        </is>
      </c>
      <c r="F521" t="inlineStr">
        <is>
          <t>Sveaskog</t>
        </is>
      </c>
      <c r="G521" t="n">
        <v>7.9</v>
      </c>
      <c r="H521" t="n">
        <v>0</v>
      </c>
      <c r="I521" t="n">
        <v>0</v>
      </c>
      <c r="J521" t="n">
        <v>0</v>
      </c>
      <c r="K521" t="n">
        <v>0</v>
      </c>
      <c r="L521" t="n">
        <v>0</v>
      </c>
      <c r="M521" t="n">
        <v>0</v>
      </c>
      <c r="N521" t="n">
        <v>0</v>
      </c>
      <c r="O521" t="n">
        <v>0</v>
      </c>
      <c r="P521" t="n">
        <v>0</v>
      </c>
      <c r="Q521" t="n">
        <v>0</v>
      </c>
      <c r="R521" s="2" t="inlineStr"/>
    </row>
    <row r="522" ht="15" customHeight="1">
      <c r="A522" t="inlineStr">
        <is>
          <t>A 28209-2025</t>
        </is>
      </c>
      <c r="B522" s="1" t="n">
        <v>45818.45112268518</v>
      </c>
      <c r="C522" s="1" t="n">
        <v>45893</v>
      </c>
      <c r="D522" t="inlineStr">
        <is>
          <t>ÖSTERGÖTLANDS LÄN</t>
        </is>
      </c>
      <c r="E522" t="inlineStr">
        <is>
          <t>LINKÖPING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53812-2023</t>
        </is>
      </c>
      <c r="B523" s="1" t="n">
        <v>45231.39583333334</v>
      </c>
      <c r="C523" s="1" t="n">
        <v>45893</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53830-2023</t>
        </is>
      </c>
      <c r="B524" s="1" t="n">
        <v>45230</v>
      </c>
      <c r="C524" s="1" t="n">
        <v>45893</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56841-2023</t>
        </is>
      </c>
      <c r="B525" s="1" t="n">
        <v>45244</v>
      </c>
      <c r="C525" s="1" t="n">
        <v>45893</v>
      </c>
      <c r="D525" t="inlineStr">
        <is>
          <t>ÖSTERGÖTLANDS LÄN</t>
        </is>
      </c>
      <c r="E525" t="inlineStr">
        <is>
          <t>LINKÖPING</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56741-2023</t>
        </is>
      </c>
      <c r="B526" s="1" t="n">
        <v>45244</v>
      </c>
      <c r="C526" s="1" t="n">
        <v>45893</v>
      </c>
      <c r="D526" t="inlineStr">
        <is>
          <t>ÖSTERGÖTLANDS LÄN</t>
        </is>
      </c>
      <c r="E526" t="inlineStr">
        <is>
          <t>LINKÖPING</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53816-2023</t>
        </is>
      </c>
      <c r="B527" s="1" t="n">
        <v>45231.40012731482</v>
      </c>
      <c r="C527" s="1" t="n">
        <v>45893</v>
      </c>
      <c r="D527" t="inlineStr">
        <is>
          <t>ÖSTERGÖTLANDS LÄN</t>
        </is>
      </c>
      <c r="E527" t="inlineStr">
        <is>
          <t>LINKÖPING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35759-2025</t>
        </is>
      </c>
      <c r="B528" s="1" t="n">
        <v>45860</v>
      </c>
      <c r="C528" s="1" t="n">
        <v>45893</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47876-2020</t>
        </is>
      </c>
      <c r="B529" s="1" t="n">
        <v>44099</v>
      </c>
      <c r="C529" s="1" t="n">
        <v>45893</v>
      </c>
      <c r="D529" t="inlineStr">
        <is>
          <t>ÖSTERGÖTLANDS LÄN</t>
        </is>
      </c>
      <c r="E529" t="inlineStr">
        <is>
          <t>LINKÖPING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29027-2025</t>
        </is>
      </c>
      <c r="B530" s="1" t="n">
        <v>45821.4375462963</v>
      </c>
      <c r="C530" s="1" t="n">
        <v>45893</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63935-2021</t>
        </is>
      </c>
      <c r="B531" s="1" t="n">
        <v>44509</v>
      </c>
      <c r="C531" s="1" t="n">
        <v>45893</v>
      </c>
      <c r="D531" t="inlineStr">
        <is>
          <t>ÖSTERGÖTLANDS LÄN</t>
        </is>
      </c>
      <c r="E531" t="inlineStr">
        <is>
          <t>LINKÖPING</t>
        </is>
      </c>
      <c r="F531" t="inlineStr">
        <is>
          <t>Övriga statliga verk och myndigheter</t>
        </is>
      </c>
      <c r="G531" t="n">
        <v>2.8</v>
      </c>
      <c r="H531" t="n">
        <v>0</v>
      </c>
      <c r="I531" t="n">
        <v>0</v>
      </c>
      <c r="J531" t="n">
        <v>0</v>
      </c>
      <c r="K531" t="n">
        <v>0</v>
      </c>
      <c r="L531" t="n">
        <v>0</v>
      </c>
      <c r="M531" t="n">
        <v>0</v>
      </c>
      <c r="N531" t="n">
        <v>0</v>
      </c>
      <c r="O531" t="n">
        <v>0</v>
      </c>
      <c r="P531" t="n">
        <v>0</v>
      </c>
      <c r="Q531" t="n">
        <v>0</v>
      </c>
      <c r="R531" s="2" t="inlineStr"/>
    </row>
    <row r="532" ht="15" customHeight="1">
      <c r="A532" t="inlineStr">
        <is>
          <t>A 29411-2025</t>
        </is>
      </c>
      <c r="B532" s="1" t="n">
        <v>45824.6219212963</v>
      </c>
      <c r="C532" s="1" t="n">
        <v>45893</v>
      </c>
      <c r="D532" t="inlineStr">
        <is>
          <t>ÖSTERGÖTLANDS LÄN</t>
        </is>
      </c>
      <c r="E532" t="inlineStr">
        <is>
          <t>LINKÖPING</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24765-2025</t>
        </is>
      </c>
      <c r="B533" s="1" t="n">
        <v>45799</v>
      </c>
      <c r="C533" s="1" t="n">
        <v>45893</v>
      </c>
      <c r="D533" t="inlineStr">
        <is>
          <t>ÖSTERGÖTLANDS LÄN</t>
        </is>
      </c>
      <c r="E533" t="inlineStr">
        <is>
          <t>LINKÖPING</t>
        </is>
      </c>
      <c r="G533" t="n">
        <v>4.9</v>
      </c>
      <c r="H533" t="n">
        <v>0</v>
      </c>
      <c r="I533" t="n">
        <v>0</v>
      </c>
      <c r="J533" t="n">
        <v>0</v>
      </c>
      <c r="K533" t="n">
        <v>0</v>
      </c>
      <c r="L533" t="n">
        <v>0</v>
      </c>
      <c r="M533" t="n">
        <v>0</v>
      </c>
      <c r="N533" t="n">
        <v>0</v>
      </c>
      <c r="O533" t="n">
        <v>0</v>
      </c>
      <c r="P533" t="n">
        <v>0</v>
      </c>
      <c r="Q533" t="n">
        <v>0</v>
      </c>
      <c r="R533" s="2" t="inlineStr"/>
    </row>
    <row r="534" ht="15" customHeight="1">
      <c r="A534" t="inlineStr">
        <is>
          <t>A 29393-2025</t>
        </is>
      </c>
      <c r="B534" s="1" t="n">
        <v>45824.6057175926</v>
      </c>
      <c r="C534" s="1" t="n">
        <v>45893</v>
      </c>
      <c r="D534" t="inlineStr">
        <is>
          <t>ÖSTERGÖTLANDS LÄN</t>
        </is>
      </c>
      <c r="E534" t="inlineStr">
        <is>
          <t>LINKÖPING</t>
        </is>
      </c>
      <c r="F534" t="inlineStr">
        <is>
          <t>Sveaskog</t>
        </is>
      </c>
      <c r="G534" t="n">
        <v>24.6</v>
      </c>
      <c r="H534" t="n">
        <v>0</v>
      </c>
      <c r="I534" t="n">
        <v>0</v>
      </c>
      <c r="J534" t="n">
        <v>0</v>
      </c>
      <c r="K534" t="n">
        <v>0</v>
      </c>
      <c r="L534" t="n">
        <v>0</v>
      </c>
      <c r="M534" t="n">
        <v>0</v>
      </c>
      <c r="N534" t="n">
        <v>0</v>
      </c>
      <c r="O534" t="n">
        <v>0</v>
      </c>
      <c r="P534" t="n">
        <v>0</v>
      </c>
      <c r="Q534" t="n">
        <v>0</v>
      </c>
      <c r="R534" s="2" t="inlineStr"/>
    </row>
    <row r="535" ht="15" customHeight="1">
      <c r="A535" t="inlineStr">
        <is>
          <t>A 6726-2024</t>
        </is>
      </c>
      <c r="B535" s="1" t="n">
        <v>45341</v>
      </c>
      <c r="C535" s="1" t="n">
        <v>45893</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12089-2025</t>
        </is>
      </c>
      <c r="B536" s="1" t="n">
        <v>45729</v>
      </c>
      <c r="C536" s="1" t="n">
        <v>45893</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3007-2023</t>
        </is>
      </c>
      <c r="B537" s="1" t="n">
        <v>44945</v>
      </c>
      <c r="C537" s="1" t="n">
        <v>45893</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18145-2021</t>
        </is>
      </c>
      <c r="B538" s="1" t="n">
        <v>44302</v>
      </c>
      <c r="C538" s="1" t="n">
        <v>45893</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15658-2023</t>
        </is>
      </c>
      <c r="B539" s="1" t="n">
        <v>45021.41194444444</v>
      </c>
      <c r="C539" s="1" t="n">
        <v>45893</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29309-2024</t>
        </is>
      </c>
      <c r="B540" s="1" t="n">
        <v>45483</v>
      </c>
      <c r="C540" s="1" t="n">
        <v>45893</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29599-2025</t>
        </is>
      </c>
      <c r="B541" s="1" t="n">
        <v>45825.41101851852</v>
      </c>
      <c r="C541" s="1" t="n">
        <v>45893</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55305-2020</t>
        </is>
      </c>
      <c r="B542" s="1" t="n">
        <v>44130</v>
      </c>
      <c r="C542" s="1" t="n">
        <v>45893</v>
      </c>
      <c r="D542" t="inlineStr">
        <is>
          <t>ÖSTERGÖTLANDS LÄN</t>
        </is>
      </c>
      <c r="E542" t="inlineStr">
        <is>
          <t>LINKÖPING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29293-2025</t>
        </is>
      </c>
      <c r="B543" s="1" t="n">
        <v>45824</v>
      </c>
      <c r="C543" s="1" t="n">
        <v>45893</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38886-2024</t>
        </is>
      </c>
      <c r="B544" s="1" t="n">
        <v>45547.66443287037</v>
      </c>
      <c r="C544" s="1" t="n">
        <v>45893</v>
      </c>
      <c r="D544" t="inlineStr">
        <is>
          <t>ÖSTERGÖTLANDS LÄN</t>
        </is>
      </c>
      <c r="E544" t="inlineStr">
        <is>
          <t>LINKÖPING</t>
        </is>
      </c>
      <c r="G544" t="n">
        <v>5.3</v>
      </c>
      <c r="H544" t="n">
        <v>0</v>
      </c>
      <c r="I544" t="n">
        <v>0</v>
      </c>
      <c r="J544" t="n">
        <v>0</v>
      </c>
      <c r="K544" t="n">
        <v>0</v>
      </c>
      <c r="L544" t="n">
        <v>0</v>
      </c>
      <c r="M544" t="n">
        <v>0</v>
      </c>
      <c r="N544" t="n">
        <v>0</v>
      </c>
      <c r="O544" t="n">
        <v>0</v>
      </c>
      <c r="P544" t="n">
        <v>0</v>
      </c>
      <c r="Q544" t="n">
        <v>0</v>
      </c>
      <c r="R544" s="2" t="inlineStr"/>
    </row>
    <row r="545" ht="15" customHeight="1">
      <c r="A545" t="inlineStr">
        <is>
          <t>A 51583-2024</t>
        </is>
      </c>
      <c r="B545" s="1" t="n">
        <v>45604.6397337963</v>
      </c>
      <c r="C545" s="1" t="n">
        <v>45893</v>
      </c>
      <c r="D545" t="inlineStr">
        <is>
          <t>ÖSTERGÖTLANDS LÄN</t>
        </is>
      </c>
      <c r="E545" t="inlineStr">
        <is>
          <t>LINKÖPING</t>
        </is>
      </c>
      <c r="F545" t="inlineStr">
        <is>
          <t>Övriga Aktiebolag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58714-2020</t>
        </is>
      </c>
      <c r="B546" s="1" t="n">
        <v>44146</v>
      </c>
      <c r="C546" s="1" t="n">
        <v>45893</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64694-2023</t>
        </is>
      </c>
      <c r="B547" s="1" t="n">
        <v>45281</v>
      </c>
      <c r="C547" s="1" t="n">
        <v>45893</v>
      </c>
      <c r="D547" t="inlineStr">
        <is>
          <t>ÖSTERGÖTLANDS LÄN</t>
        </is>
      </c>
      <c r="E547" t="inlineStr">
        <is>
          <t>LINKÖPING</t>
        </is>
      </c>
      <c r="F547" t="inlineStr">
        <is>
          <t>Övriga statliga verk och myndigheter</t>
        </is>
      </c>
      <c r="G547" t="n">
        <v>4.9</v>
      </c>
      <c r="H547" t="n">
        <v>0</v>
      </c>
      <c r="I547" t="n">
        <v>0</v>
      </c>
      <c r="J547" t="n">
        <v>0</v>
      </c>
      <c r="K547" t="n">
        <v>0</v>
      </c>
      <c r="L547" t="n">
        <v>0</v>
      </c>
      <c r="M547" t="n">
        <v>0</v>
      </c>
      <c r="N547" t="n">
        <v>0</v>
      </c>
      <c r="O547" t="n">
        <v>0</v>
      </c>
      <c r="P547" t="n">
        <v>0</v>
      </c>
      <c r="Q547" t="n">
        <v>0</v>
      </c>
      <c r="R547" s="2" t="inlineStr"/>
    </row>
    <row r="548" ht="15" customHeight="1">
      <c r="A548" t="inlineStr">
        <is>
          <t>A 32602-2022</t>
        </is>
      </c>
      <c r="B548" s="1" t="n">
        <v>44783.43192129629</v>
      </c>
      <c r="C548" s="1" t="n">
        <v>45893</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30355-2025</t>
        </is>
      </c>
      <c r="B549" s="1" t="n">
        <v>45827</v>
      </c>
      <c r="C549" s="1" t="n">
        <v>45893</v>
      </c>
      <c r="D549" t="inlineStr">
        <is>
          <t>ÖSTERGÖTLANDS LÄN</t>
        </is>
      </c>
      <c r="E549" t="inlineStr">
        <is>
          <t>LINKÖPING</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30353-2025</t>
        </is>
      </c>
      <c r="B550" s="1" t="n">
        <v>45827</v>
      </c>
      <c r="C550" s="1" t="n">
        <v>45893</v>
      </c>
      <c r="D550" t="inlineStr">
        <is>
          <t>ÖSTERGÖTLANDS LÄN</t>
        </is>
      </c>
      <c r="E550" t="inlineStr">
        <is>
          <t>LINKÖPING</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62321-2022</t>
        </is>
      </c>
      <c r="B551" s="1" t="n">
        <v>44916</v>
      </c>
      <c r="C551" s="1" t="n">
        <v>45893</v>
      </c>
      <c r="D551" t="inlineStr">
        <is>
          <t>ÖSTERGÖTLANDS LÄN</t>
        </is>
      </c>
      <c r="E551" t="inlineStr">
        <is>
          <t>LINKÖPING</t>
        </is>
      </c>
      <c r="F551" t="inlineStr">
        <is>
          <t>Kommuner</t>
        </is>
      </c>
      <c r="G551" t="n">
        <v>5.3</v>
      </c>
      <c r="H551" t="n">
        <v>0</v>
      </c>
      <c r="I551" t="n">
        <v>0</v>
      </c>
      <c r="J551" t="n">
        <v>0</v>
      </c>
      <c r="K551" t="n">
        <v>0</v>
      </c>
      <c r="L551" t="n">
        <v>0</v>
      </c>
      <c r="M551" t="n">
        <v>0</v>
      </c>
      <c r="N551" t="n">
        <v>0</v>
      </c>
      <c r="O551" t="n">
        <v>0</v>
      </c>
      <c r="P551" t="n">
        <v>0</v>
      </c>
      <c r="Q551" t="n">
        <v>0</v>
      </c>
      <c r="R551" s="2" t="inlineStr"/>
    </row>
    <row r="552" ht="15" customHeight="1">
      <c r="A552" t="inlineStr">
        <is>
          <t>A 53411-2023</t>
        </is>
      </c>
      <c r="B552" s="1" t="n">
        <v>45229.81049768518</v>
      </c>
      <c r="C552" s="1" t="n">
        <v>45893</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26788-2022</t>
        </is>
      </c>
      <c r="B553" s="1" t="n">
        <v>44740</v>
      </c>
      <c r="C553" s="1" t="n">
        <v>45893</v>
      </c>
      <c r="D553" t="inlineStr">
        <is>
          <t>ÖSTERGÖTLANDS LÄN</t>
        </is>
      </c>
      <c r="E553" t="inlineStr">
        <is>
          <t>LINKÖPING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1084-2023</t>
        </is>
      </c>
      <c r="B554" s="1" t="n">
        <v>44929</v>
      </c>
      <c r="C554" s="1" t="n">
        <v>45893</v>
      </c>
      <c r="D554" t="inlineStr">
        <is>
          <t>ÖSTERGÖTLANDS LÄN</t>
        </is>
      </c>
      <c r="E554" t="inlineStr">
        <is>
          <t>LINKÖPING</t>
        </is>
      </c>
      <c r="G554" t="n">
        <v>10.4</v>
      </c>
      <c r="H554" t="n">
        <v>0</v>
      </c>
      <c r="I554" t="n">
        <v>0</v>
      </c>
      <c r="J554" t="n">
        <v>0</v>
      </c>
      <c r="K554" t="n">
        <v>0</v>
      </c>
      <c r="L554" t="n">
        <v>0</v>
      </c>
      <c r="M554" t="n">
        <v>0</v>
      </c>
      <c r="N554" t="n">
        <v>0</v>
      </c>
      <c r="O554" t="n">
        <v>0</v>
      </c>
      <c r="P554" t="n">
        <v>0</v>
      </c>
      <c r="Q554" t="n">
        <v>0</v>
      </c>
      <c r="R554" s="2" t="inlineStr"/>
    </row>
    <row r="555" ht="15" customHeight="1">
      <c r="A555" t="inlineStr">
        <is>
          <t>A 267-2023</t>
        </is>
      </c>
      <c r="B555" s="1" t="n">
        <v>44928.80907407407</v>
      </c>
      <c r="C555" s="1" t="n">
        <v>45893</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940-2023</t>
        </is>
      </c>
      <c r="B556" s="1" t="n">
        <v>44933</v>
      </c>
      <c r="C556" s="1" t="n">
        <v>45893</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24462-2023</t>
        </is>
      </c>
      <c r="B557" s="1" t="n">
        <v>45082</v>
      </c>
      <c r="C557" s="1" t="n">
        <v>45893</v>
      </c>
      <c r="D557" t="inlineStr">
        <is>
          <t>ÖSTERGÖTLANDS LÄN</t>
        </is>
      </c>
      <c r="E557" t="inlineStr">
        <is>
          <t>LINKÖPING</t>
        </is>
      </c>
      <c r="G557" t="n">
        <v>3.5</v>
      </c>
      <c r="H557" t="n">
        <v>0</v>
      </c>
      <c r="I557" t="n">
        <v>0</v>
      </c>
      <c r="J557" t="n">
        <v>0</v>
      </c>
      <c r="K557" t="n">
        <v>0</v>
      </c>
      <c r="L557" t="n">
        <v>0</v>
      </c>
      <c r="M557" t="n">
        <v>0</v>
      </c>
      <c r="N557" t="n">
        <v>0</v>
      </c>
      <c r="O557" t="n">
        <v>0</v>
      </c>
      <c r="P557" t="n">
        <v>0</v>
      </c>
      <c r="Q557" t="n">
        <v>0</v>
      </c>
      <c r="R557" s="2" t="inlineStr"/>
    </row>
    <row r="558" ht="15" customHeight="1">
      <c r="A558" t="inlineStr">
        <is>
          <t>A 62015-2024</t>
        </is>
      </c>
      <c r="B558" s="1" t="n">
        <v>45655.80457175926</v>
      </c>
      <c r="C558" s="1" t="n">
        <v>45893</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6369-2023</t>
        </is>
      </c>
      <c r="B559" s="1" t="n">
        <v>44965.61106481482</v>
      </c>
      <c r="C559" s="1" t="n">
        <v>45893</v>
      </c>
      <c r="D559" t="inlineStr">
        <is>
          <t>ÖSTERGÖTLANDS LÄN</t>
        </is>
      </c>
      <c r="E559" t="inlineStr">
        <is>
          <t>LINKÖPING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30980-2022</t>
        </is>
      </c>
      <c r="B560" s="1" t="n">
        <v>44768</v>
      </c>
      <c r="C560" s="1" t="n">
        <v>45893</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60007-2022</t>
        </is>
      </c>
      <c r="B561" s="1" t="n">
        <v>44909.47282407407</v>
      </c>
      <c r="C561" s="1" t="n">
        <v>45893</v>
      </c>
      <c r="D561" t="inlineStr">
        <is>
          <t>ÖSTERGÖTLANDS LÄN</t>
        </is>
      </c>
      <c r="E561" t="inlineStr">
        <is>
          <t>LINKÖPING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50799-2022</t>
        </is>
      </c>
      <c r="B562" s="1" t="n">
        <v>44862</v>
      </c>
      <c r="C562" s="1" t="n">
        <v>45893</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10741-2023</t>
        </is>
      </c>
      <c r="B563" s="1" t="n">
        <v>44988.70084490741</v>
      </c>
      <c r="C563" s="1" t="n">
        <v>45893</v>
      </c>
      <c r="D563" t="inlineStr">
        <is>
          <t>ÖSTERGÖTLANDS LÄN</t>
        </is>
      </c>
      <c r="E563" t="inlineStr">
        <is>
          <t>LINKÖPING</t>
        </is>
      </c>
      <c r="F563" t="inlineStr">
        <is>
          <t>Allmännings- och besparingsskogar</t>
        </is>
      </c>
      <c r="G563" t="n">
        <v>11.2</v>
      </c>
      <c r="H563" t="n">
        <v>0</v>
      </c>
      <c r="I563" t="n">
        <v>0</v>
      </c>
      <c r="J563" t="n">
        <v>0</v>
      </c>
      <c r="K563" t="n">
        <v>0</v>
      </c>
      <c r="L563" t="n">
        <v>0</v>
      </c>
      <c r="M563" t="n">
        <v>0</v>
      </c>
      <c r="N563" t="n">
        <v>0</v>
      </c>
      <c r="O563" t="n">
        <v>0</v>
      </c>
      <c r="P563" t="n">
        <v>0</v>
      </c>
      <c r="Q563" t="n">
        <v>0</v>
      </c>
      <c r="R563" s="2" t="inlineStr"/>
    </row>
    <row r="564" ht="15" customHeight="1">
      <c r="A564" t="inlineStr">
        <is>
          <t>A 56064-2022</t>
        </is>
      </c>
      <c r="B564" s="1" t="n">
        <v>44889.59107638889</v>
      </c>
      <c r="C564" s="1" t="n">
        <v>45893</v>
      </c>
      <c r="D564" t="inlineStr">
        <is>
          <t>ÖSTERGÖTLANDS LÄN</t>
        </is>
      </c>
      <c r="E564" t="inlineStr">
        <is>
          <t>LINKÖPING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47703-2023</t>
        </is>
      </c>
      <c r="B565" s="1" t="n">
        <v>45203</v>
      </c>
      <c r="C565" s="1" t="n">
        <v>45893</v>
      </c>
      <c r="D565" t="inlineStr">
        <is>
          <t>ÖSTERGÖTLANDS LÄN</t>
        </is>
      </c>
      <c r="E565" t="inlineStr">
        <is>
          <t>LINKÖPING</t>
        </is>
      </c>
      <c r="G565" t="n">
        <v>4.1</v>
      </c>
      <c r="H565" t="n">
        <v>0</v>
      </c>
      <c r="I565" t="n">
        <v>0</v>
      </c>
      <c r="J565" t="n">
        <v>0</v>
      </c>
      <c r="K565" t="n">
        <v>0</v>
      </c>
      <c r="L565" t="n">
        <v>0</v>
      </c>
      <c r="M565" t="n">
        <v>0</v>
      </c>
      <c r="N565" t="n">
        <v>0</v>
      </c>
      <c r="O565" t="n">
        <v>0</v>
      </c>
      <c r="P565" t="n">
        <v>0</v>
      </c>
      <c r="Q565" t="n">
        <v>0</v>
      </c>
      <c r="R565" s="2" t="inlineStr"/>
    </row>
    <row r="566" ht="15" customHeight="1">
      <c r="A566" t="inlineStr">
        <is>
          <t>A 43473-2024</t>
        </is>
      </c>
      <c r="B566" s="1" t="n">
        <v>45568</v>
      </c>
      <c r="C566" s="1" t="n">
        <v>45893</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43475-2024</t>
        </is>
      </c>
      <c r="B567" s="1" t="n">
        <v>45568</v>
      </c>
      <c r="C567" s="1" t="n">
        <v>45893</v>
      </c>
      <c r="D567" t="inlineStr">
        <is>
          <t>ÖSTERGÖTLANDS LÄN</t>
        </is>
      </c>
      <c r="E567" t="inlineStr">
        <is>
          <t>LINKÖPING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1207-2023</t>
        </is>
      </c>
      <c r="B568" s="1" t="n">
        <v>44930</v>
      </c>
      <c r="C568" s="1" t="n">
        <v>45893</v>
      </c>
      <c r="D568" t="inlineStr">
        <is>
          <t>ÖSTERGÖTLANDS LÄN</t>
        </is>
      </c>
      <c r="E568" t="inlineStr">
        <is>
          <t>LINKÖPING</t>
        </is>
      </c>
      <c r="F568" t="inlineStr">
        <is>
          <t>Övriga statliga verk och myndigheter</t>
        </is>
      </c>
      <c r="G568" t="n">
        <v>32.8</v>
      </c>
      <c r="H568" t="n">
        <v>0</v>
      </c>
      <c r="I568" t="n">
        <v>0</v>
      </c>
      <c r="J568" t="n">
        <v>0</v>
      </c>
      <c r="K568" t="n">
        <v>0</v>
      </c>
      <c r="L568" t="n">
        <v>0</v>
      </c>
      <c r="M568" t="n">
        <v>0</v>
      </c>
      <c r="N568" t="n">
        <v>0</v>
      </c>
      <c r="O568" t="n">
        <v>0</v>
      </c>
      <c r="P568" t="n">
        <v>0</v>
      </c>
      <c r="Q568" t="n">
        <v>0</v>
      </c>
      <c r="R568" s="2" t="inlineStr"/>
    </row>
    <row r="569" ht="15" customHeight="1">
      <c r="A569" t="inlineStr">
        <is>
          <t>A 29859-2024</t>
        </is>
      </c>
      <c r="B569" s="1" t="n">
        <v>45485.6846412037</v>
      </c>
      <c r="C569" s="1" t="n">
        <v>45893</v>
      </c>
      <c r="D569" t="inlineStr">
        <is>
          <t>ÖSTERGÖTLANDS LÄN</t>
        </is>
      </c>
      <c r="E569" t="inlineStr">
        <is>
          <t>LINKÖPING</t>
        </is>
      </c>
      <c r="G569" t="n">
        <v>0.4</v>
      </c>
      <c r="H569" t="n">
        <v>0</v>
      </c>
      <c r="I569" t="n">
        <v>0</v>
      </c>
      <c r="J569" t="n">
        <v>0</v>
      </c>
      <c r="K569" t="n">
        <v>0</v>
      </c>
      <c r="L569" t="n">
        <v>0</v>
      </c>
      <c r="M569" t="n">
        <v>0</v>
      </c>
      <c r="N569" t="n">
        <v>0</v>
      </c>
      <c r="O569" t="n">
        <v>0</v>
      </c>
      <c r="P569" t="n">
        <v>0</v>
      </c>
      <c r="Q569" t="n">
        <v>0</v>
      </c>
      <c r="R569" s="2" t="inlineStr"/>
    </row>
    <row r="570" ht="15" customHeight="1">
      <c r="A570" t="inlineStr">
        <is>
          <t>A 37057-2025</t>
        </is>
      </c>
      <c r="B570" s="1" t="n">
        <v>45875.37489583333</v>
      </c>
      <c r="C570" s="1" t="n">
        <v>45893</v>
      </c>
      <c r="D570" t="inlineStr">
        <is>
          <t>ÖSTERGÖTLANDS LÄN</t>
        </is>
      </c>
      <c r="E570" t="inlineStr">
        <is>
          <t>LINKÖPING</t>
        </is>
      </c>
      <c r="G570" t="n">
        <v>3.3</v>
      </c>
      <c r="H570" t="n">
        <v>0</v>
      </c>
      <c r="I570" t="n">
        <v>0</v>
      </c>
      <c r="J570" t="n">
        <v>0</v>
      </c>
      <c r="K570" t="n">
        <v>0</v>
      </c>
      <c r="L570" t="n">
        <v>0</v>
      </c>
      <c r="M570" t="n">
        <v>0</v>
      </c>
      <c r="N570" t="n">
        <v>0</v>
      </c>
      <c r="O570" t="n">
        <v>0</v>
      </c>
      <c r="P570" t="n">
        <v>0</v>
      </c>
      <c r="Q570" t="n">
        <v>0</v>
      </c>
      <c r="R570" s="2" t="inlineStr"/>
    </row>
    <row r="571" ht="15" customHeight="1">
      <c r="A571" t="inlineStr">
        <is>
          <t>A 31581-2025</t>
        </is>
      </c>
      <c r="B571" s="1" t="n">
        <v>45833.6840162037</v>
      </c>
      <c r="C571" s="1" t="n">
        <v>45893</v>
      </c>
      <c r="D571" t="inlineStr">
        <is>
          <t>ÖSTERGÖTLANDS LÄN</t>
        </is>
      </c>
      <c r="E571" t="inlineStr">
        <is>
          <t>LINKÖPING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31585-2025</t>
        </is>
      </c>
      <c r="B572" s="1" t="n">
        <v>45833.68815972222</v>
      </c>
      <c r="C572" s="1" t="n">
        <v>45893</v>
      </c>
      <c r="D572" t="inlineStr">
        <is>
          <t>ÖSTERGÖTLANDS LÄN</t>
        </is>
      </c>
      <c r="E572" t="inlineStr">
        <is>
          <t>LINKÖPING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45819-2024</t>
        </is>
      </c>
      <c r="B573" s="1" t="n">
        <v>45579.7454050926</v>
      </c>
      <c r="C573" s="1" t="n">
        <v>45893</v>
      </c>
      <c r="D573" t="inlineStr">
        <is>
          <t>ÖSTERGÖTLANDS LÄN</t>
        </is>
      </c>
      <c r="E573" t="inlineStr">
        <is>
          <t>LINKÖPING</t>
        </is>
      </c>
      <c r="G573" t="n">
        <v>5</v>
      </c>
      <c r="H573" t="n">
        <v>0</v>
      </c>
      <c r="I573" t="n">
        <v>0</v>
      </c>
      <c r="J573" t="n">
        <v>0</v>
      </c>
      <c r="K573" t="n">
        <v>0</v>
      </c>
      <c r="L573" t="n">
        <v>0</v>
      </c>
      <c r="M573" t="n">
        <v>0</v>
      </c>
      <c r="N573" t="n">
        <v>0</v>
      </c>
      <c r="O573" t="n">
        <v>0</v>
      </c>
      <c r="P573" t="n">
        <v>0</v>
      </c>
      <c r="Q573" t="n">
        <v>0</v>
      </c>
      <c r="R573" s="2" t="inlineStr"/>
    </row>
    <row r="574" ht="15" customHeight="1">
      <c r="A574" t="inlineStr">
        <is>
          <t>A 15748-2025</t>
        </is>
      </c>
      <c r="B574" s="1" t="n">
        <v>45748.55282407408</v>
      </c>
      <c r="C574" s="1" t="n">
        <v>45893</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15754-2025</t>
        </is>
      </c>
      <c r="B575" s="1" t="n">
        <v>45748.56105324074</v>
      </c>
      <c r="C575" s="1" t="n">
        <v>45893</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30518-2024</t>
        </is>
      </c>
      <c r="B576" s="1" t="n">
        <v>45492</v>
      </c>
      <c r="C576" s="1" t="n">
        <v>45893</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25825-2025</t>
        </is>
      </c>
      <c r="B577" s="1" t="n">
        <v>45804</v>
      </c>
      <c r="C577" s="1" t="n">
        <v>45893</v>
      </c>
      <c r="D577" t="inlineStr">
        <is>
          <t>ÖSTERGÖTLANDS LÄN</t>
        </is>
      </c>
      <c r="E577" t="inlineStr">
        <is>
          <t>LINKÖPING</t>
        </is>
      </c>
      <c r="G577" t="n">
        <v>1.7</v>
      </c>
      <c r="H577" t="n">
        <v>0</v>
      </c>
      <c r="I577" t="n">
        <v>0</v>
      </c>
      <c r="J577" t="n">
        <v>0</v>
      </c>
      <c r="K577" t="n">
        <v>0</v>
      </c>
      <c r="L577" t="n">
        <v>0</v>
      </c>
      <c r="M577" t="n">
        <v>0</v>
      </c>
      <c r="N577" t="n">
        <v>0</v>
      </c>
      <c r="O577" t="n">
        <v>0</v>
      </c>
      <c r="P577" t="n">
        <v>0</v>
      </c>
      <c r="Q577" t="n">
        <v>0</v>
      </c>
      <c r="R577" s="2" t="inlineStr"/>
    </row>
    <row r="578" ht="15" customHeight="1">
      <c r="A578" t="inlineStr">
        <is>
          <t>A 16111-2022</t>
        </is>
      </c>
      <c r="B578" s="1" t="n">
        <v>44665</v>
      </c>
      <c r="C578" s="1" t="n">
        <v>45893</v>
      </c>
      <c r="D578" t="inlineStr">
        <is>
          <t>ÖSTERGÖTLANDS LÄN</t>
        </is>
      </c>
      <c r="E578" t="inlineStr">
        <is>
          <t>LINKÖPING</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53797-2023</t>
        </is>
      </c>
      <c r="B579" s="1" t="n">
        <v>45230</v>
      </c>
      <c r="C579" s="1" t="n">
        <v>45893</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48962-2022</t>
        </is>
      </c>
      <c r="B580" s="1" t="n">
        <v>44860.31635416667</v>
      </c>
      <c r="C580" s="1" t="n">
        <v>45893</v>
      </c>
      <c r="D580" t="inlineStr">
        <is>
          <t>ÖSTERGÖTLANDS LÄN</t>
        </is>
      </c>
      <c r="E580" t="inlineStr">
        <is>
          <t>LINKÖPING</t>
        </is>
      </c>
      <c r="G580" t="n">
        <v>2.9</v>
      </c>
      <c r="H580" t="n">
        <v>0</v>
      </c>
      <c r="I580" t="n">
        <v>0</v>
      </c>
      <c r="J580" t="n">
        <v>0</v>
      </c>
      <c r="K580" t="n">
        <v>0</v>
      </c>
      <c r="L580" t="n">
        <v>0</v>
      </c>
      <c r="M580" t="n">
        <v>0</v>
      </c>
      <c r="N580" t="n">
        <v>0</v>
      </c>
      <c r="O580" t="n">
        <v>0</v>
      </c>
      <c r="P580" t="n">
        <v>0</v>
      </c>
      <c r="Q580" t="n">
        <v>0</v>
      </c>
      <c r="R580" s="2" t="inlineStr"/>
    </row>
    <row r="581" ht="15" customHeight="1">
      <c r="A581" t="inlineStr">
        <is>
          <t>A 55345-2021</t>
        </is>
      </c>
      <c r="B581" s="1" t="n">
        <v>44475</v>
      </c>
      <c r="C581" s="1" t="n">
        <v>45893</v>
      </c>
      <c r="D581" t="inlineStr">
        <is>
          <t>ÖSTERGÖTLANDS LÄN</t>
        </is>
      </c>
      <c r="E581" t="inlineStr">
        <is>
          <t>LINKÖPING</t>
        </is>
      </c>
      <c r="G581" t="n">
        <v>5.7</v>
      </c>
      <c r="H581" t="n">
        <v>0</v>
      </c>
      <c r="I581" t="n">
        <v>0</v>
      </c>
      <c r="J581" t="n">
        <v>0</v>
      </c>
      <c r="K581" t="n">
        <v>0</v>
      </c>
      <c r="L581" t="n">
        <v>0</v>
      </c>
      <c r="M581" t="n">
        <v>0</v>
      </c>
      <c r="N581" t="n">
        <v>0</v>
      </c>
      <c r="O581" t="n">
        <v>0</v>
      </c>
      <c r="P581" t="n">
        <v>0</v>
      </c>
      <c r="Q581" t="n">
        <v>0</v>
      </c>
      <c r="R581" s="2" t="inlineStr"/>
    </row>
    <row r="582" ht="15" customHeight="1">
      <c r="A582" t="inlineStr">
        <is>
          <t>A 59954-2020</t>
        </is>
      </c>
      <c r="B582" s="1" t="n">
        <v>44151</v>
      </c>
      <c r="C582" s="1" t="n">
        <v>45893</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59969-2020</t>
        </is>
      </c>
      <c r="B583" s="1" t="n">
        <v>44151</v>
      </c>
      <c r="C583" s="1" t="n">
        <v>45893</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10198-2023</t>
        </is>
      </c>
      <c r="B584" s="1" t="n">
        <v>44986.54665509259</v>
      </c>
      <c r="C584" s="1" t="n">
        <v>45893</v>
      </c>
      <c r="D584" t="inlineStr">
        <is>
          <t>ÖSTERGÖTLANDS LÄN</t>
        </is>
      </c>
      <c r="E584" t="inlineStr">
        <is>
          <t>LINKÖPING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27891-2021</t>
        </is>
      </c>
      <c r="B585" s="1" t="n">
        <v>44354.65108796296</v>
      </c>
      <c r="C585" s="1" t="n">
        <v>45893</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4298-2023</t>
        </is>
      </c>
      <c r="B586" s="1" t="n">
        <v>44953</v>
      </c>
      <c r="C586" s="1" t="n">
        <v>45893</v>
      </c>
      <c r="D586" t="inlineStr">
        <is>
          <t>ÖSTERGÖTLANDS LÄN</t>
        </is>
      </c>
      <c r="E586" t="inlineStr">
        <is>
          <t>LINKÖPING</t>
        </is>
      </c>
      <c r="G586" t="n">
        <v>2.8</v>
      </c>
      <c r="H586" t="n">
        <v>0</v>
      </c>
      <c r="I586" t="n">
        <v>0</v>
      </c>
      <c r="J586" t="n">
        <v>0</v>
      </c>
      <c r="K586" t="n">
        <v>0</v>
      </c>
      <c r="L586" t="n">
        <v>0</v>
      </c>
      <c r="M586" t="n">
        <v>0</v>
      </c>
      <c r="N586" t="n">
        <v>0</v>
      </c>
      <c r="O586" t="n">
        <v>0</v>
      </c>
      <c r="P586" t="n">
        <v>0</v>
      </c>
      <c r="Q586" t="n">
        <v>0</v>
      </c>
      <c r="R586" s="2" t="inlineStr"/>
    </row>
    <row r="587" ht="15" customHeight="1">
      <c r="A587" t="inlineStr">
        <is>
          <t>A 54491-2020</t>
        </is>
      </c>
      <c r="B587" s="1" t="n">
        <v>44126.64</v>
      </c>
      <c r="C587" s="1" t="n">
        <v>45893</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12428-2024</t>
        </is>
      </c>
      <c r="B588" s="1" t="n">
        <v>45379</v>
      </c>
      <c r="C588" s="1" t="n">
        <v>45893</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26618-2023</t>
        </is>
      </c>
      <c r="B589" s="1" t="n">
        <v>45092.70306712963</v>
      </c>
      <c r="C589" s="1" t="n">
        <v>45893</v>
      </c>
      <c r="D589" t="inlineStr">
        <is>
          <t>ÖSTERGÖTLANDS LÄN</t>
        </is>
      </c>
      <c r="E589" t="inlineStr">
        <is>
          <t>LINKÖPING</t>
        </is>
      </c>
      <c r="G589" t="n">
        <v>6.9</v>
      </c>
      <c r="H589" t="n">
        <v>0</v>
      </c>
      <c r="I589" t="n">
        <v>0</v>
      </c>
      <c r="J589" t="n">
        <v>0</v>
      </c>
      <c r="K589" t="n">
        <v>0</v>
      </c>
      <c r="L589" t="n">
        <v>0</v>
      </c>
      <c r="M589" t="n">
        <v>0</v>
      </c>
      <c r="N589" t="n">
        <v>0</v>
      </c>
      <c r="O589" t="n">
        <v>0</v>
      </c>
      <c r="P589" t="n">
        <v>0</v>
      </c>
      <c r="Q589" t="n">
        <v>0</v>
      </c>
      <c r="R589" s="2" t="inlineStr"/>
    </row>
    <row r="590" ht="15" customHeight="1">
      <c r="A590" t="inlineStr">
        <is>
          <t>A 34930-2023</t>
        </is>
      </c>
      <c r="B590" s="1" t="n">
        <v>45142</v>
      </c>
      <c r="C590" s="1" t="n">
        <v>45893</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670-2024</t>
        </is>
      </c>
      <c r="B591" s="1" t="n">
        <v>45300.3408912037</v>
      </c>
      <c r="C591" s="1" t="n">
        <v>45893</v>
      </c>
      <c r="D591" t="inlineStr">
        <is>
          <t>ÖSTERGÖTLANDS LÄN</t>
        </is>
      </c>
      <c r="E591" t="inlineStr">
        <is>
          <t>LINKÖPING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63845-2021</t>
        </is>
      </c>
      <c r="B592" s="1" t="n">
        <v>44509</v>
      </c>
      <c r="C592" s="1" t="n">
        <v>45893</v>
      </c>
      <c r="D592" t="inlineStr">
        <is>
          <t>ÖSTERGÖTLANDS LÄN</t>
        </is>
      </c>
      <c r="E592" t="inlineStr">
        <is>
          <t>LINKÖPING</t>
        </is>
      </c>
      <c r="G592" t="n">
        <v>5</v>
      </c>
      <c r="H592" t="n">
        <v>0</v>
      </c>
      <c r="I592" t="n">
        <v>0</v>
      </c>
      <c r="J592" t="n">
        <v>0</v>
      </c>
      <c r="K592" t="n">
        <v>0</v>
      </c>
      <c r="L592" t="n">
        <v>0</v>
      </c>
      <c r="M592" t="n">
        <v>0</v>
      </c>
      <c r="N592" t="n">
        <v>0</v>
      </c>
      <c r="O592" t="n">
        <v>0</v>
      </c>
      <c r="P592" t="n">
        <v>0</v>
      </c>
      <c r="Q592" t="n">
        <v>0</v>
      </c>
      <c r="R592" s="2" t="inlineStr"/>
    </row>
    <row r="593" ht="15" customHeight="1">
      <c r="A593" t="inlineStr">
        <is>
          <t>A 1268-2023</t>
        </is>
      </c>
      <c r="B593" s="1" t="n">
        <v>44936</v>
      </c>
      <c r="C593" s="1" t="n">
        <v>45893</v>
      </c>
      <c r="D593" t="inlineStr">
        <is>
          <t>ÖSTERGÖTLANDS LÄN</t>
        </is>
      </c>
      <c r="E593" t="inlineStr">
        <is>
          <t>LINKÖPING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62687-2023</t>
        </is>
      </c>
      <c r="B594" s="1" t="n">
        <v>45271</v>
      </c>
      <c r="C594" s="1" t="n">
        <v>45893</v>
      </c>
      <c r="D594" t="inlineStr">
        <is>
          <t>ÖSTERGÖTLANDS LÄN</t>
        </is>
      </c>
      <c r="E594" t="inlineStr">
        <is>
          <t>LINKÖPING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54034-2022</t>
        </is>
      </c>
      <c r="B595" s="1" t="n">
        <v>44881</v>
      </c>
      <c r="C595" s="1" t="n">
        <v>45893</v>
      </c>
      <c r="D595" t="inlineStr">
        <is>
          <t>ÖSTERGÖTLANDS LÄN</t>
        </is>
      </c>
      <c r="E595" t="inlineStr">
        <is>
          <t>LINKÖPING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34641-2022</t>
        </is>
      </c>
      <c r="B596" s="1" t="n">
        <v>44795</v>
      </c>
      <c r="C596" s="1" t="n">
        <v>45893</v>
      </c>
      <c r="D596" t="inlineStr">
        <is>
          <t>ÖSTERGÖTLANDS LÄN</t>
        </is>
      </c>
      <c r="E596" t="inlineStr">
        <is>
          <t>LINKÖPING</t>
        </is>
      </c>
      <c r="G596" t="n">
        <v>2.4</v>
      </c>
      <c r="H596" t="n">
        <v>0</v>
      </c>
      <c r="I596" t="n">
        <v>0</v>
      </c>
      <c r="J596" t="n">
        <v>0</v>
      </c>
      <c r="K596" t="n">
        <v>0</v>
      </c>
      <c r="L596" t="n">
        <v>0</v>
      </c>
      <c r="M596" t="n">
        <v>0</v>
      </c>
      <c r="N596" t="n">
        <v>0</v>
      </c>
      <c r="O596" t="n">
        <v>0</v>
      </c>
      <c r="P596" t="n">
        <v>0</v>
      </c>
      <c r="Q596" t="n">
        <v>0</v>
      </c>
      <c r="R596" s="2" t="inlineStr"/>
    </row>
    <row r="597" ht="15" customHeight="1">
      <c r="A597" t="inlineStr">
        <is>
          <t>A 36336-2023</t>
        </is>
      </c>
      <c r="B597" s="1" t="n">
        <v>45152.45078703704</v>
      </c>
      <c r="C597" s="1" t="n">
        <v>45893</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938-2023</t>
        </is>
      </c>
      <c r="B598" s="1" t="n">
        <v>44933</v>
      </c>
      <c r="C598" s="1" t="n">
        <v>45893</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48829-2023</t>
        </is>
      </c>
      <c r="B599" s="1" t="n">
        <v>45209.38177083333</v>
      </c>
      <c r="C599" s="1" t="n">
        <v>45893</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2389-2023</t>
        </is>
      </c>
      <c r="B600" s="1" t="n">
        <v>44942</v>
      </c>
      <c r="C600" s="1" t="n">
        <v>45893</v>
      </c>
      <c r="D600" t="inlineStr">
        <is>
          <t>ÖSTERGÖTLANDS LÄN</t>
        </is>
      </c>
      <c r="E600" t="inlineStr">
        <is>
          <t>LINKÖPING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48-2024</t>
        </is>
      </c>
      <c r="B601" s="1" t="n">
        <v>45293</v>
      </c>
      <c r="C601" s="1" t="n">
        <v>45893</v>
      </c>
      <c r="D601" t="inlineStr">
        <is>
          <t>ÖSTERGÖTLANDS LÄN</t>
        </is>
      </c>
      <c r="E601" t="inlineStr">
        <is>
          <t>LINKÖPING</t>
        </is>
      </c>
      <c r="G601" t="n">
        <v>4.6</v>
      </c>
      <c r="H601" t="n">
        <v>0</v>
      </c>
      <c r="I601" t="n">
        <v>0</v>
      </c>
      <c r="J601" t="n">
        <v>0</v>
      </c>
      <c r="K601" t="n">
        <v>0</v>
      </c>
      <c r="L601" t="n">
        <v>0</v>
      </c>
      <c r="M601" t="n">
        <v>0</v>
      </c>
      <c r="N601" t="n">
        <v>0</v>
      </c>
      <c r="O601" t="n">
        <v>0</v>
      </c>
      <c r="P601" t="n">
        <v>0</v>
      </c>
      <c r="Q601" t="n">
        <v>0</v>
      </c>
      <c r="R601" s="2" t="inlineStr"/>
    </row>
    <row r="602" ht="15" customHeight="1">
      <c r="A602" t="inlineStr">
        <is>
          <t>A 45771-2023</t>
        </is>
      </c>
      <c r="B602" s="1" t="n">
        <v>45195.4384375</v>
      </c>
      <c r="C602" s="1" t="n">
        <v>45893</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30547-2023</t>
        </is>
      </c>
      <c r="B603" s="1" t="n">
        <v>45111.75905092592</v>
      </c>
      <c r="C603" s="1" t="n">
        <v>45893</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40502-2024</t>
        </is>
      </c>
      <c r="B604" s="1" t="n">
        <v>45555.57263888889</v>
      </c>
      <c r="C604" s="1" t="n">
        <v>45893</v>
      </c>
      <c r="D604" t="inlineStr">
        <is>
          <t>ÖSTERGÖTLANDS LÄN</t>
        </is>
      </c>
      <c r="E604" t="inlineStr">
        <is>
          <t>LINKÖPING</t>
        </is>
      </c>
      <c r="F604" t="inlineStr">
        <is>
          <t>Allmännings- och besparingsskogar</t>
        </is>
      </c>
      <c r="G604" t="n">
        <v>17.5</v>
      </c>
      <c r="H604" t="n">
        <v>0</v>
      </c>
      <c r="I604" t="n">
        <v>0</v>
      </c>
      <c r="J604" t="n">
        <v>0</v>
      </c>
      <c r="K604" t="n">
        <v>0</v>
      </c>
      <c r="L604" t="n">
        <v>0</v>
      </c>
      <c r="M604" t="n">
        <v>0</v>
      </c>
      <c r="N604" t="n">
        <v>0</v>
      </c>
      <c r="O604" t="n">
        <v>0</v>
      </c>
      <c r="P604" t="n">
        <v>0</v>
      </c>
      <c r="Q604" t="n">
        <v>0</v>
      </c>
      <c r="R604" s="2" t="inlineStr"/>
    </row>
    <row r="605" ht="15" customHeight="1">
      <c r="A605" t="inlineStr">
        <is>
          <t>A 45506-2020</t>
        </is>
      </c>
      <c r="B605" s="1" t="n">
        <v>44089</v>
      </c>
      <c r="C605" s="1" t="n">
        <v>45893</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24464-2023</t>
        </is>
      </c>
      <c r="B606" s="1" t="n">
        <v>45082.58068287037</v>
      </c>
      <c r="C606" s="1" t="n">
        <v>45893</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24467-2023</t>
        </is>
      </c>
      <c r="B607" s="1" t="n">
        <v>45082</v>
      </c>
      <c r="C607" s="1" t="n">
        <v>45893</v>
      </c>
      <c r="D607" t="inlineStr">
        <is>
          <t>ÖSTERGÖTLANDS LÄN</t>
        </is>
      </c>
      <c r="E607" t="inlineStr">
        <is>
          <t>LINKÖPING</t>
        </is>
      </c>
      <c r="G607" t="n">
        <v>2.4</v>
      </c>
      <c r="H607" t="n">
        <v>0</v>
      </c>
      <c r="I607" t="n">
        <v>0</v>
      </c>
      <c r="J607" t="n">
        <v>0</v>
      </c>
      <c r="K607" t="n">
        <v>0</v>
      </c>
      <c r="L607" t="n">
        <v>0</v>
      </c>
      <c r="M607" t="n">
        <v>0</v>
      </c>
      <c r="N607" t="n">
        <v>0</v>
      </c>
      <c r="O607" t="n">
        <v>0</v>
      </c>
      <c r="P607" t="n">
        <v>0</v>
      </c>
      <c r="Q607" t="n">
        <v>0</v>
      </c>
      <c r="R607" s="2" t="inlineStr"/>
    </row>
    <row r="608" ht="15" customHeight="1">
      <c r="A608" t="inlineStr">
        <is>
          <t>A 48389-2024</t>
        </is>
      </c>
      <c r="B608" s="1" t="n">
        <v>45590.59991898148</v>
      </c>
      <c r="C608" s="1" t="n">
        <v>45893</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56792-2023</t>
        </is>
      </c>
      <c r="B609" s="1" t="n">
        <v>45244</v>
      </c>
      <c r="C609" s="1" t="n">
        <v>45893</v>
      </c>
      <c r="D609" t="inlineStr">
        <is>
          <t>ÖSTERGÖTLANDS LÄN</t>
        </is>
      </c>
      <c r="E609" t="inlineStr">
        <is>
          <t>LINKÖPING</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32723-2025</t>
        </is>
      </c>
      <c r="B610" s="1" t="n">
        <v>45838</v>
      </c>
      <c r="C610" s="1" t="n">
        <v>45893</v>
      </c>
      <c r="D610" t="inlineStr">
        <is>
          <t>ÖSTERGÖTLANDS LÄN</t>
        </is>
      </c>
      <c r="E610" t="inlineStr">
        <is>
          <t>LINKÖPING</t>
        </is>
      </c>
      <c r="G610" t="n">
        <v>2.1</v>
      </c>
      <c r="H610" t="n">
        <v>0</v>
      </c>
      <c r="I610" t="n">
        <v>0</v>
      </c>
      <c r="J610" t="n">
        <v>0</v>
      </c>
      <c r="K610" t="n">
        <v>0</v>
      </c>
      <c r="L610" t="n">
        <v>0</v>
      </c>
      <c r="M610" t="n">
        <v>0</v>
      </c>
      <c r="N610" t="n">
        <v>0</v>
      </c>
      <c r="O610" t="n">
        <v>0</v>
      </c>
      <c r="P610" t="n">
        <v>0</v>
      </c>
      <c r="Q610" t="n">
        <v>0</v>
      </c>
      <c r="R610" s="2" t="inlineStr"/>
    </row>
    <row r="611" ht="15" customHeight="1">
      <c r="A611" t="inlineStr">
        <is>
          <t>A 48186-2022</t>
        </is>
      </c>
      <c r="B611" s="1" t="n">
        <v>44858</v>
      </c>
      <c r="C611" s="1" t="n">
        <v>45893</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63669-2023</t>
        </is>
      </c>
      <c r="B612" s="1" t="n">
        <v>45275</v>
      </c>
      <c r="C612" s="1" t="n">
        <v>45893</v>
      </c>
      <c r="D612" t="inlineStr">
        <is>
          <t>ÖSTERGÖTLANDS LÄN</t>
        </is>
      </c>
      <c r="E612" t="inlineStr">
        <is>
          <t>LINKÖPING</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24586-2024</t>
        </is>
      </c>
      <c r="B613" s="1" t="n">
        <v>45460.46664351852</v>
      </c>
      <c r="C613" s="1" t="n">
        <v>45893</v>
      </c>
      <c r="D613" t="inlineStr">
        <is>
          <t>ÖSTERGÖTLANDS LÄN</t>
        </is>
      </c>
      <c r="E613" t="inlineStr">
        <is>
          <t>LINKÖPING</t>
        </is>
      </c>
      <c r="G613" t="n">
        <v>4</v>
      </c>
      <c r="H613" t="n">
        <v>0</v>
      </c>
      <c r="I613" t="n">
        <v>0</v>
      </c>
      <c r="J613" t="n">
        <v>0</v>
      </c>
      <c r="K613" t="n">
        <v>0</v>
      </c>
      <c r="L613" t="n">
        <v>0</v>
      </c>
      <c r="M613" t="n">
        <v>0</v>
      </c>
      <c r="N613" t="n">
        <v>0</v>
      </c>
      <c r="O613" t="n">
        <v>0</v>
      </c>
      <c r="P613" t="n">
        <v>0</v>
      </c>
      <c r="Q613" t="n">
        <v>0</v>
      </c>
      <c r="R613" s="2" t="inlineStr"/>
    </row>
    <row r="614" ht="15" customHeight="1">
      <c r="A614" t="inlineStr">
        <is>
          <t>A 39017-2021</t>
        </is>
      </c>
      <c r="B614" s="1" t="n">
        <v>44412</v>
      </c>
      <c r="C614" s="1" t="n">
        <v>45893</v>
      </c>
      <c r="D614" t="inlineStr">
        <is>
          <t>ÖSTERGÖTLANDS LÄN</t>
        </is>
      </c>
      <c r="E614" t="inlineStr">
        <is>
          <t>LINKÖPING</t>
        </is>
      </c>
      <c r="F614" t="inlineStr">
        <is>
          <t>Övriga statliga verk och myndigheter</t>
        </is>
      </c>
      <c r="G614" t="n">
        <v>0.8</v>
      </c>
      <c r="H614" t="n">
        <v>0</v>
      </c>
      <c r="I614" t="n">
        <v>0</v>
      </c>
      <c r="J614" t="n">
        <v>0</v>
      </c>
      <c r="K614" t="n">
        <v>0</v>
      </c>
      <c r="L614" t="n">
        <v>0</v>
      </c>
      <c r="M614" t="n">
        <v>0</v>
      </c>
      <c r="N614" t="n">
        <v>0</v>
      </c>
      <c r="O614" t="n">
        <v>0</v>
      </c>
      <c r="P614" t="n">
        <v>0</v>
      </c>
      <c r="Q614" t="n">
        <v>0</v>
      </c>
      <c r="R614" s="2" t="inlineStr"/>
    </row>
    <row r="615" ht="15" customHeight="1">
      <c r="A615" t="inlineStr">
        <is>
          <t>A 59576-2024</t>
        </is>
      </c>
      <c r="B615" s="1" t="n">
        <v>45638.66378472222</v>
      </c>
      <c r="C615" s="1" t="n">
        <v>45893</v>
      </c>
      <c r="D615" t="inlineStr">
        <is>
          <t>ÖSTERGÖTLANDS LÄN</t>
        </is>
      </c>
      <c r="E615" t="inlineStr">
        <is>
          <t>LINKÖPING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59642-2024</t>
        </is>
      </c>
      <c r="B616" s="1" t="n">
        <v>45639.31511574074</v>
      </c>
      <c r="C616" s="1" t="n">
        <v>45893</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59674-2024</t>
        </is>
      </c>
      <c r="B617" s="1" t="n">
        <v>45639</v>
      </c>
      <c r="C617" s="1" t="n">
        <v>45893</v>
      </c>
      <c r="D617" t="inlineStr">
        <is>
          <t>ÖSTERGÖTLANDS LÄN</t>
        </is>
      </c>
      <c r="E617" t="inlineStr">
        <is>
          <t>LINKÖPING</t>
        </is>
      </c>
      <c r="G617" t="n">
        <v>6.3</v>
      </c>
      <c r="H617" t="n">
        <v>0</v>
      </c>
      <c r="I617" t="n">
        <v>0</v>
      </c>
      <c r="J617" t="n">
        <v>0</v>
      </c>
      <c r="K617" t="n">
        <v>0</v>
      </c>
      <c r="L617" t="n">
        <v>0</v>
      </c>
      <c r="M617" t="n">
        <v>0</v>
      </c>
      <c r="N617" t="n">
        <v>0</v>
      </c>
      <c r="O617" t="n">
        <v>0</v>
      </c>
      <c r="P617" t="n">
        <v>0</v>
      </c>
      <c r="Q617" t="n">
        <v>0</v>
      </c>
      <c r="R617" s="2" t="inlineStr"/>
    </row>
    <row r="618" ht="15" customHeight="1">
      <c r="A618" t="inlineStr">
        <is>
          <t>A 38046-2025</t>
        </is>
      </c>
      <c r="B618" s="1" t="n">
        <v>45882.39939814815</v>
      </c>
      <c r="C618" s="1" t="n">
        <v>45893</v>
      </c>
      <c r="D618" t="inlineStr">
        <is>
          <t>ÖSTERGÖTLANDS LÄN</t>
        </is>
      </c>
      <c r="E618" t="inlineStr">
        <is>
          <t>LINKÖPING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25292-2021</t>
        </is>
      </c>
      <c r="B619" s="1" t="n">
        <v>44342</v>
      </c>
      <c r="C619" s="1" t="n">
        <v>45893</v>
      </c>
      <c r="D619" t="inlineStr">
        <is>
          <t>ÖSTERGÖTLANDS LÄN</t>
        </is>
      </c>
      <c r="E619" t="inlineStr">
        <is>
          <t>LINKÖPING</t>
        </is>
      </c>
      <c r="F619" t="inlineStr">
        <is>
          <t>Övriga Aktiebolag</t>
        </is>
      </c>
      <c r="G619" t="n">
        <v>12.8</v>
      </c>
      <c r="H619" t="n">
        <v>0</v>
      </c>
      <c r="I619" t="n">
        <v>0</v>
      </c>
      <c r="J619" t="n">
        <v>0</v>
      </c>
      <c r="K619" t="n">
        <v>0</v>
      </c>
      <c r="L619" t="n">
        <v>0</v>
      </c>
      <c r="M619" t="n">
        <v>0</v>
      </c>
      <c r="N619" t="n">
        <v>0</v>
      </c>
      <c r="O619" t="n">
        <v>0</v>
      </c>
      <c r="P619" t="n">
        <v>0</v>
      </c>
      <c r="Q619" t="n">
        <v>0</v>
      </c>
      <c r="R619" s="2" t="inlineStr"/>
    </row>
    <row r="620" ht="15" customHeight="1">
      <c r="A620" t="inlineStr">
        <is>
          <t>A 3742-2021</t>
        </is>
      </c>
      <c r="B620" s="1" t="n">
        <v>44221</v>
      </c>
      <c r="C620" s="1" t="n">
        <v>45893</v>
      </c>
      <c r="D620" t="inlineStr">
        <is>
          <t>ÖSTERGÖTLANDS LÄN</t>
        </is>
      </c>
      <c r="E620" t="inlineStr">
        <is>
          <t>LINKÖPING</t>
        </is>
      </c>
      <c r="G620" t="n">
        <v>5.5</v>
      </c>
      <c r="H620" t="n">
        <v>0</v>
      </c>
      <c r="I620" t="n">
        <v>0</v>
      </c>
      <c r="J620" t="n">
        <v>0</v>
      </c>
      <c r="K620" t="n">
        <v>0</v>
      </c>
      <c r="L620" t="n">
        <v>0</v>
      </c>
      <c r="M620" t="n">
        <v>0</v>
      </c>
      <c r="N620" t="n">
        <v>0</v>
      </c>
      <c r="O620" t="n">
        <v>0</v>
      </c>
      <c r="P620" t="n">
        <v>0</v>
      </c>
      <c r="Q620" t="n">
        <v>0</v>
      </c>
      <c r="R620" s="2" t="inlineStr"/>
    </row>
    <row r="621" ht="15" customHeight="1">
      <c r="A621" t="inlineStr">
        <is>
          <t>A 18916-2024</t>
        </is>
      </c>
      <c r="B621" s="1" t="n">
        <v>45427.39541666667</v>
      </c>
      <c r="C621" s="1" t="n">
        <v>45893</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1260-2023</t>
        </is>
      </c>
      <c r="B622" s="1" t="n">
        <v>44936</v>
      </c>
      <c r="C622" s="1" t="n">
        <v>45893</v>
      </c>
      <c r="D622" t="inlineStr">
        <is>
          <t>ÖSTERGÖTLANDS LÄN</t>
        </is>
      </c>
      <c r="E622" t="inlineStr">
        <is>
          <t>LINKÖPING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11084-2022</t>
        </is>
      </c>
      <c r="B623" s="1" t="n">
        <v>44628</v>
      </c>
      <c r="C623" s="1" t="n">
        <v>45893</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1355-2023</t>
        </is>
      </c>
      <c r="B624" s="1" t="n">
        <v>44931</v>
      </c>
      <c r="C624" s="1" t="n">
        <v>45893</v>
      </c>
      <c r="D624" t="inlineStr">
        <is>
          <t>ÖSTERGÖTLANDS LÄN</t>
        </is>
      </c>
      <c r="E624" t="inlineStr">
        <is>
          <t>LINKÖPING</t>
        </is>
      </c>
      <c r="G624" t="n">
        <v>4</v>
      </c>
      <c r="H624" t="n">
        <v>0</v>
      </c>
      <c r="I624" t="n">
        <v>0</v>
      </c>
      <c r="J624" t="n">
        <v>0</v>
      </c>
      <c r="K624" t="n">
        <v>0</v>
      </c>
      <c r="L624" t="n">
        <v>0</v>
      </c>
      <c r="M624" t="n">
        <v>0</v>
      </c>
      <c r="N624" t="n">
        <v>0</v>
      </c>
      <c r="O624" t="n">
        <v>0</v>
      </c>
      <c r="P624" t="n">
        <v>0</v>
      </c>
      <c r="Q624" t="n">
        <v>0</v>
      </c>
      <c r="R624" s="2" t="inlineStr"/>
    </row>
    <row r="625" ht="15" customHeight="1">
      <c r="A625" t="inlineStr">
        <is>
          <t>A 3007-2025</t>
        </is>
      </c>
      <c r="B625" s="1" t="n">
        <v>45678.56328703704</v>
      </c>
      <c r="C625" s="1" t="n">
        <v>45893</v>
      </c>
      <c r="D625" t="inlineStr">
        <is>
          <t>ÖSTERGÖTLANDS LÄN</t>
        </is>
      </c>
      <c r="E625" t="inlineStr">
        <is>
          <t>LINKÖPING</t>
        </is>
      </c>
      <c r="G625" t="n">
        <v>3.1</v>
      </c>
      <c r="H625" t="n">
        <v>0</v>
      </c>
      <c r="I625" t="n">
        <v>0</v>
      </c>
      <c r="J625" t="n">
        <v>0</v>
      </c>
      <c r="K625" t="n">
        <v>0</v>
      </c>
      <c r="L625" t="n">
        <v>0</v>
      </c>
      <c r="M625" t="n">
        <v>0</v>
      </c>
      <c r="N625" t="n">
        <v>0</v>
      </c>
      <c r="O625" t="n">
        <v>0</v>
      </c>
      <c r="P625" t="n">
        <v>0</v>
      </c>
      <c r="Q625" t="n">
        <v>0</v>
      </c>
      <c r="R625" s="2" t="inlineStr"/>
    </row>
    <row r="626" ht="15" customHeight="1">
      <c r="A626" t="inlineStr">
        <is>
          <t>A 10492-2022</t>
        </is>
      </c>
      <c r="B626" s="1" t="n">
        <v>44623.6377199074</v>
      </c>
      <c r="C626" s="1" t="n">
        <v>45893</v>
      </c>
      <c r="D626" t="inlineStr">
        <is>
          <t>ÖSTERGÖTLANDS LÄN</t>
        </is>
      </c>
      <c r="E626" t="inlineStr">
        <is>
          <t>LINKÖPING</t>
        </is>
      </c>
      <c r="G626" t="n">
        <v>2.1</v>
      </c>
      <c r="H626" t="n">
        <v>0</v>
      </c>
      <c r="I626" t="n">
        <v>0</v>
      </c>
      <c r="J626" t="n">
        <v>0</v>
      </c>
      <c r="K626" t="n">
        <v>0</v>
      </c>
      <c r="L626" t="n">
        <v>0</v>
      </c>
      <c r="M626" t="n">
        <v>0</v>
      </c>
      <c r="N626" t="n">
        <v>0</v>
      </c>
      <c r="O626" t="n">
        <v>0</v>
      </c>
      <c r="P626" t="n">
        <v>0</v>
      </c>
      <c r="Q626" t="n">
        <v>0</v>
      </c>
      <c r="R626" s="2" t="inlineStr"/>
    </row>
    <row r="627" ht="15" customHeight="1">
      <c r="A627" t="inlineStr">
        <is>
          <t>A 30465-2023</t>
        </is>
      </c>
      <c r="B627" s="1" t="n">
        <v>45111</v>
      </c>
      <c r="C627" s="1" t="n">
        <v>45893</v>
      </c>
      <c r="D627" t="inlineStr">
        <is>
          <t>ÖSTERGÖTLANDS LÄN</t>
        </is>
      </c>
      <c r="E627" t="inlineStr">
        <is>
          <t>LINKÖPING</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10203-2023</t>
        </is>
      </c>
      <c r="B628" s="1" t="n">
        <v>44986.55711805556</v>
      </c>
      <c r="C628" s="1" t="n">
        <v>45893</v>
      </c>
      <c r="D628" t="inlineStr">
        <is>
          <t>ÖSTERGÖTLANDS LÄN</t>
        </is>
      </c>
      <c r="E628" t="inlineStr">
        <is>
          <t>LINKÖPING</t>
        </is>
      </c>
      <c r="G628" t="n">
        <v>3.3</v>
      </c>
      <c r="H628" t="n">
        <v>0</v>
      </c>
      <c r="I628" t="n">
        <v>0</v>
      </c>
      <c r="J628" t="n">
        <v>0</v>
      </c>
      <c r="K628" t="n">
        <v>0</v>
      </c>
      <c r="L628" t="n">
        <v>0</v>
      </c>
      <c r="M628" t="n">
        <v>0</v>
      </c>
      <c r="N628" t="n">
        <v>0</v>
      </c>
      <c r="O628" t="n">
        <v>0</v>
      </c>
      <c r="P628" t="n">
        <v>0</v>
      </c>
      <c r="Q628" t="n">
        <v>0</v>
      </c>
      <c r="R628" s="2" t="inlineStr"/>
    </row>
    <row r="629" ht="15" customHeight="1">
      <c r="A629" t="inlineStr">
        <is>
          <t>A 39021-2021</t>
        </is>
      </c>
      <c r="B629" s="1" t="n">
        <v>44412</v>
      </c>
      <c r="C629" s="1" t="n">
        <v>45893</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62353-2022</t>
        </is>
      </c>
      <c r="B630" s="1" t="n">
        <v>44923</v>
      </c>
      <c r="C630" s="1" t="n">
        <v>45893</v>
      </c>
      <c r="D630" t="inlineStr">
        <is>
          <t>ÖSTERGÖTLANDS LÄN</t>
        </is>
      </c>
      <c r="E630" t="inlineStr">
        <is>
          <t>LINKÖPING</t>
        </is>
      </c>
      <c r="F630" t="inlineStr">
        <is>
          <t>Allmännings- och besparingsskogar</t>
        </is>
      </c>
      <c r="G630" t="n">
        <v>1.7</v>
      </c>
      <c r="H630" t="n">
        <v>0</v>
      </c>
      <c r="I630" t="n">
        <v>0</v>
      </c>
      <c r="J630" t="n">
        <v>0</v>
      </c>
      <c r="K630" t="n">
        <v>0</v>
      </c>
      <c r="L630" t="n">
        <v>0</v>
      </c>
      <c r="M630" t="n">
        <v>0</v>
      </c>
      <c r="N630" t="n">
        <v>0</v>
      </c>
      <c r="O630" t="n">
        <v>0</v>
      </c>
      <c r="P630" t="n">
        <v>0</v>
      </c>
      <c r="Q630" t="n">
        <v>0</v>
      </c>
      <c r="R630" s="2" t="inlineStr"/>
    </row>
    <row r="631" ht="15" customHeight="1">
      <c r="A631" t="inlineStr">
        <is>
          <t>A 30111-2024</t>
        </is>
      </c>
      <c r="B631" s="1" t="n">
        <v>45489.46947916667</v>
      </c>
      <c r="C631" s="1" t="n">
        <v>45893</v>
      </c>
      <c r="D631" t="inlineStr">
        <is>
          <t>ÖSTERGÖTLANDS LÄN</t>
        </is>
      </c>
      <c r="E631" t="inlineStr">
        <is>
          <t>LINKÖPING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30119-2024</t>
        </is>
      </c>
      <c r="B632" s="1" t="n">
        <v>45489</v>
      </c>
      <c r="C632" s="1" t="n">
        <v>45893</v>
      </c>
      <c r="D632" t="inlineStr">
        <is>
          <t>ÖSTERGÖTLANDS LÄN</t>
        </is>
      </c>
      <c r="E632" t="inlineStr">
        <is>
          <t>LINKÖPING</t>
        </is>
      </c>
      <c r="G632" t="n">
        <v>1.7</v>
      </c>
      <c r="H632" t="n">
        <v>0</v>
      </c>
      <c r="I632" t="n">
        <v>0</v>
      </c>
      <c r="J632" t="n">
        <v>0</v>
      </c>
      <c r="K632" t="n">
        <v>0</v>
      </c>
      <c r="L632" t="n">
        <v>0</v>
      </c>
      <c r="M632" t="n">
        <v>0</v>
      </c>
      <c r="N632" t="n">
        <v>0</v>
      </c>
      <c r="O632" t="n">
        <v>0</v>
      </c>
      <c r="P632" t="n">
        <v>0</v>
      </c>
      <c r="Q632" t="n">
        <v>0</v>
      </c>
      <c r="R632" s="2" t="inlineStr"/>
    </row>
    <row r="633" ht="15" customHeight="1">
      <c r="A633" t="inlineStr">
        <is>
          <t>A 2618-2023</t>
        </is>
      </c>
      <c r="B633" s="1" t="n">
        <v>44944.35847222222</v>
      </c>
      <c r="C633" s="1" t="n">
        <v>45893</v>
      </c>
      <c r="D633" t="inlineStr">
        <is>
          <t>ÖSTERGÖTLANDS LÄN</t>
        </is>
      </c>
      <c r="E633" t="inlineStr">
        <is>
          <t>LINKÖPING</t>
        </is>
      </c>
      <c r="G633" t="n">
        <v>4.3</v>
      </c>
      <c r="H633" t="n">
        <v>0</v>
      </c>
      <c r="I633" t="n">
        <v>0</v>
      </c>
      <c r="J633" t="n">
        <v>0</v>
      </c>
      <c r="K633" t="n">
        <v>0</v>
      </c>
      <c r="L633" t="n">
        <v>0</v>
      </c>
      <c r="M633" t="n">
        <v>0</v>
      </c>
      <c r="N633" t="n">
        <v>0</v>
      </c>
      <c r="O633" t="n">
        <v>0</v>
      </c>
      <c r="P633" t="n">
        <v>0</v>
      </c>
      <c r="Q633" t="n">
        <v>0</v>
      </c>
      <c r="R633" s="2" t="inlineStr"/>
    </row>
    <row r="634" ht="15" customHeight="1">
      <c r="A634" t="inlineStr">
        <is>
          <t>A 29411-2023</t>
        </is>
      </c>
      <c r="B634" s="1" t="n">
        <v>45106.46225694445</v>
      </c>
      <c r="C634" s="1" t="n">
        <v>45893</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29412-2023</t>
        </is>
      </c>
      <c r="B635" s="1" t="n">
        <v>45106.46359953703</v>
      </c>
      <c r="C635" s="1" t="n">
        <v>45893</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33947-2025</t>
        </is>
      </c>
      <c r="B636" s="1" t="n">
        <v>45842.65444444444</v>
      </c>
      <c r="C636" s="1" t="n">
        <v>45893</v>
      </c>
      <c r="D636" t="inlineStr">
        <is>
          <t>ÖSTERGÖTLANDS LÄN</t>
        </is>
      </c>
      <c r="E636" t="inlineStr">
        <is>
          <t>LINKÖPING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53529-2024</t>
        </is>
      </c>
      <c r="B637" s="1" t="n">
        <v>45614</v>
      </c>
      <c r="C637" s="1" t="n">
        <v>45893</v>
      </c>
      <c r="D637" t="inlineStr">
        <is>
          <t>ÖSTERGÖTLANDS LÄN</t>
        </is>
      </c>
      <c r="E637" t="inlineStr">
        <is>
          <t>LINKÖPING</t>
        </is>
      </c>
      <c r="G637" t="n">
        <v>6.7</v>
      </c>
      <c r="H637" t="n">
        <v>0</v>
      </c>
      <c r="I637" t="n">
        <v>0</v>
      </c>
      <c r="J637" t="n">
        <v>0</v>
      </c>
      <c r="K637" t="n">
        <v>0</v>
      </c>
      <c r="L637" t="n">
        <v>0</v>
      </c>
      <c r="M637" t="n">
        <v>0</v>
      </c>
      <c r="N637" t="n">
        <v>0</v>
      </c>
      <c r="O637" t="n">
        <v>0</v>
      </c>
      <c r="P637" t="n">
        <v>0</v>
      </c>
      <c r="Q637" t="n">
        <v>0</v>
      </c>
      <c r="R637" s="2" t="inlineStr"/>
    </row>
    <row r="638" ht="15" customHeight="1">
      <c r="A638" t="inlineStr">
        <is>
          <t>A 62012-2024</t>
        </is>
      </c>
      <c r="B638" s="1" t="n">
        <v>45655.79679398148</v>
      </c>
      <c r="C638" s="1" t="n">
        <v>45893</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38971-2025</t>
        </is>
      </c>
      <c r="B639" s="1" t="n">
        <v>45887.71827546296</v>
      </c>
      <c r="C639" s="1" t="n">
        <v>45893</v>
      </c>
      <c r="D639" t="inlineStr">
        <is>
          <t>ÖSTERGÖTLANDS LÄN</t>
        </is>
      </c>
      <c r="E639" t="inlineStr">
        <is>
          <t>LINKÖPING</t>
        </is>
      </c>
      <c r="G639" t="n">
        <v>3.9</v>
      </c>
      <c r="H639" t="n">
        <v>0</v>
      </c>
      <c r="I639" t="n">
        <v>0</v>
      </c>
      <c r="J639" t="n">
        <v>0</v>
      </c>
      <c r="K639" t="n">
        <v>0</v>
      </c>
      <c r="L639" t="n">
        <v>0</v>
      </c>
      <c r="M639" t="n">
        <v>0</v>
      </c>
      <c r="N639" t="n">
        <v>0</v>
      </c>
      <c r="O639" t="n">
        <v>0</v>
      </c>
      <c r="P639" t="n">
        <v>0</v>
      </c>
      <c r="Q639" t="n">
        <v>0</v>
      </c>
      <c r="R639" s="2" t="inlineStr"/>
    </row>
    <row r="640" ht="15" customHeight="1">
      <c r="A640" t="inlineStr">
        <is>
          <t>A 62020-2024</t>
        </is>
      </c>
      <c r="B640" s="1" t="n">
        <v>45655.83563657408</v>
      </c>
      <c r="C640" s="1" t="n">
        <v>45893</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62021-2024</t>
        </is>
      </c>
      <c r="B641" s="1" t="n">
        <v>45655.84232638889</v>
      </c>
      <c r="C641" s="1" t="n">
        <v>45893</v>
      </c>
      <c r="D641" t="inlineStr">
        <is>
          <t>ÖSTERGÖTLANDS LÄN</t>
        </is>
      </c>
      <c r="E641" t="inlineStr">
        <is>
          <t>LINKÖPING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31792-2021</t>
        </is>
      </c>
      <c r="B642" s="1" t="n">
        <v>44369</v>
      </c>
      <c r="C642" s="1" t="n">
        <v>45893</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421-2024</t>
        </is>
      </c>
      <c r="B643" s="1" t="n">
        <v>45296.51877314815</v>
      </c>
      <c r="C643" s="1" t="n">
        <v>45893</v>
      </c>
      <c r="D643" t="inlineStr">
        <is>
          <t>ÖSTERGÖTLANDS LÄN</t>
        </is>
      </c>
      <c r="E643" t="inlineStr">
        <is>
          <t>LINKÖPING</t>
        </is>
      </c>
      <c r="G643" t="n">
        <v>3.7</v>
      </c>
      <c r="H643" t="n">
        <v>0</v>
      </c>
      <c r="I643" t="n">
        <v>0</v>
      </c>
      <c r="J643" t="n">
        <v>0</v>
      </c>
      <c r="K643" t="n">
        <v>0</v>
      </c>
      <c r="L643" t="n">
        <v>0</v>
      </c>
      <c r="M643" t="n">
        <v>0</v>
      </c>
      <c r="N643" t="n">
        <v>0</v>
      </c>
      <c r="O643" t="n">
        <v>0</v>
      </c>
      <c r="P643" t="n">
        <v>0</v>
      </c>
      <c r="Q643" t="n">
        <v>0</v>
      </c>
      <c r="R643" s="2" t="inlineStr"/>
    </row>
    <row r="644" ht="15" customHeight="1">
      <c r="A644" t="inlineStr">
        <is>
          <t>A 39457-2023</t>
        </is>
      </c>
      <c r="B644" s="1" t="n">
        <v>45166</v>
      </c>
      <c r="C644" s="1" t="n">
        <v>45893</v>
      </c>
      <c r="D644" t="inlineStr">
        <is>
          <t>ÖSTERGÖTLANDS LÄN</t>
        </is>
      </c>
      <c r="E644" t="inlineStr">
        <is>
          <t>LINKÖPING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22043-2023</t>
        </is>
      </c>
      <c r="B645" s="1" t="n">
        <v>45069.39050925926</v>
      </c>
      <c r="C645" s="1" t="n">
        <v>45893</v>
      </c>
      <c r="D645" t="inlineStr">
        <is>
          <t>ÖSTERGÖTLANDS LÄN</t>
        </is>
      </c>
      <c r="E645" t="inlineStr">
        <is>
          <t>LINKÖPING</t>
        </is>
      </c>
      <c r="G645" t="n">
        <v>5.9</v>
      </c>
      <c r="H645" t="n">
        <v>0</v>
      </c>
      <c r="I645" t="n">
        <v>0</v>
      </c>
      <c r="J645" t="n">
        <v>0</v>
      </c>
      <c r="K645" t="n">
        <v>0</v>
      </c>
      <c r="L645" t="n">
        <v>0</v>
      </c>
      <c r="M645" t="n">
        <v>0</v>
      </c>
      <c r="N645" t="n">
        <v>0</v>
      </c>
      <c r="O645" t="n">
        <v>0</v>
      </c>
      <c r="P645" t="n">
        <v>0</v>
      </c>
      <c r="Q645" t="n">
        <v>0</v>
      </c>
      <c r="R645" s="2" t="inlineStr"/>
    </row>
    <row r="646" ht="15" customHeight="1">
      <c r="A646" t="inlineStr">
        <is>
          <t>A 61532-2021</t>
        </is>
      </c>
      <c r="B646" s="1" t="n">
        <v>44501</v>
      </c>
      <c r="C646" s="1" t="n">
        <v>45893</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1362-2023</t>
        </is>
      </c>
      <c r="B647" s="1" t="n">
        <v>44931</v>
      </c>
      <c r="C647" s="1" t="n">
        <v>45893</v>
      </c>
      <c r="D647" t="inlineStr">
        <is>
          <t>ÖSTERGÖTLANDS LÄN</t>
        </is>
      </c>
      <c r="E647" t="inlineStr">
        <is>
          <t>LINKÖPING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14028-2024</t>
        </is>
      </c>
      <c r="B648" s="1" t="n">
        <v>45392</v>
      </c>
      <c r="C648" s="1" t="n">
        <v>45893</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40431-2024</t>
        </is>
      </c>
      <c r="B649" s="1" t="n">
        <v>45555.47070601852</v>
      </c>
      <c r="C649" s="1" t="n">
        <v>45893</v>
      </c>
      <c r="D649" t="inlineStr">
        <is>
          <t>ÖSTERGÖTLANDS LÄN</t>
        </is>
      </c>
      <c r="E649" t="inlineStr">
        <is>
          <t>LINKÖPING</t>
        </is>
      </c>
      <c r="F649" t="inlineStr">
        <is>
          <t>Allmännings- och besparingsskogar</t>
        </is>
      </c>
      <c r="G649" t="n">
        <v>2.9</v>
      </c>
      <c r="H649" t="n">
        <v>0</v>
      </c>
      <c r="I649" t="n">
        <v>0</v>
      </c>
      <c r="J649" t="n">
        <v>0</v>
      </c>
      <c r="K649" t="n">
        <v>0</v>
      </c>
      <c r="L649" t="n">
        <v>0</v>
      </c>
      <c r="M649" t="n">
        <v>0</v>
      </c>
      <c r="N649" t="n">
        <v>0</v>
      </c>
      <c r="O649" t="n">
        <v>0</v>
      </c>
      <c r="P649" t="n">
        <v>0</v>
      </c>
      <c r="Q649" t="n">
        <v>0</v>
      </c>
      <c r="R649" s="2" t="inlineStr"/>
    </row>
    <row r="650" ht="15" customHeight="1">
      <c r="A650" t="inlineStr">
        <is>
          <t>A 20469-2025</t>
        </is>
      </c>
      <c r="B650" s="1" t="n">
        <v>45775</v>
      </c>
      <c r="C650" s="1" t="n">
        <v>45893</v>
      </c>
      <c r="D650" t="inlineStr">
        <is>
          <t>ÖSTERGÖTLANDS LÄN</t>
        </is>
      </c>
      <c r="E650" t="inlineStr">
        <is>
          <t>LINKÖPING</t>
        </is>
      </c>
      <c r="F650" t="inlineStr">
        <is>
          <t>Kyrkan</t>
        </is>
      </c>
      <c r="G650" t="n">
        <v>6.1</v>
      </c>
      <c r="H650" t="n">
        <v>0</v>
      </c>
      <c r="I650" t="n">
        <v>0</v>
      </c>
      <c r="J650" t="n">
        <v>0</v>
      </c>
      <c r="K650" t="n">
        <v>0</v>
      </c>
      <c r="L650" t="n">
        <v>0</v>
      </c>
      <c r="M650" t="n">
        <v>0</v>
      </c>
      <c r="N650" t="n">
        <v>0</v>
      </c>
      <c r="O650" t="n">
        <v>0</v>
      </c>
      <c r="P650" t="n">
        <v>0</v>
      </c>
      <c r="Q650" t="n">
        <v>0</v>
      </c>
      <c r="R650" s="2" t="inlineStr"/>
    </row>
    <row r="651" ht="15" customHeight="1">
      <c r="A651" t="inlineStr">
        <is>
          <t>A 49928-2024</t>
        </is>
      </c>
      <c r="B651" s="1" t="n">
        <v>45597.57811342592</v>
      </c>
      <c r="C651" s="1" t="n">
        <v>45893</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39438-2025</t>
        </is>
      </c>
      <c r="B652" s="1" t="n">
        <v>45889.68641203704</v>
      </c>
      <c r="C652" s="1" t="n">
        <v>45893</v>
      </c>
      <c r="D652" t="inlineStr">
        <is>
          <t>ÖSTERGÖTLANDS LÄN</t>
        </is>
      </c>
      <c r="E652" t="inlineStr">
        <is>
          <t>LINKÖPING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3627-2023</t>
        </is>
      </c>
      <c r="B653" s="1" t="n">
        <v>44950.64782407408</v>
      </c>
      <c r="C653" s="1" t="n">
        <v>45893</v>
      </c>
      <c r="D653" t="inlineStr">
        <is>
          <t>ÖSTERGÖTLANDS LÄN</t>
        </is>
      </c>
      <c r="E653" t="inlineStr">
        <is>
          <t>LINKÖPING</t>
        </is>
      </c>
      <c r="G653" t="n">
        <v>3.1</v>
      </c>
      <c r="H653" t="n">
        <v>0</v>
      </c>
      <c r="I653" t="n">
        <v>0</v>
      </c>
      <c r="J653" t="n">
        <v>0</v>
      </c>
      <c r="K653" t="n">
        <v>0</v>
      </c>
      <c r="L653" t="n">
        <v>0</v>
      </c>
      <c r="M653" t="n">
        <v>0</v>
      </c>
      <c r="N653" t="n">
        <v>0</v>
      </c>
      <c r="O653" t="n">
        <v>0</v>
      </c>
      <c r="P653" t="n">
        <v>0</v>
      </c>
      <c r="Q653" t="n">
        <v>0</v>
      </c>
      <c r="R653" s="2" t="inlineStr"/>
    </row>
    <row r="654" ht="15" customHeight="1">
      <c r="A654" t="inlineStr">
        <is>
          <t>A 39074-2025</t>
        </is>
      </c>
      <c r="B654" s="1" t="n">
        <v>45888</v>
      </c>
      <c r="C654" s="1" t="n">
        <v>45893</v>
      </c>
      <c r="D654" t="inlineStr">
        <is>
          <t>ÖSTERGÖTLANDS LÄN</t>
        </is>
      </c>
      <c r="E654" t="inlineStr">
        <is>
          <t>LINKÖPING</t>
        </is>
      </c>
      <c r="G654" t="n">
        <v>2.9</v>
      </c>
      <c r="H654" t="n">
        <v>0</v>
      </c>
      <c r="I654" t="n">
        <v>0</v>
      </c>
      <c r="J654" t="n">
        <v>0</v>
      </c>
      <c r="K654" t="n">
        <v>0</v>
      </c>
      <c r="L654" t="n">
        <v>0</v>
      </c>
      <c r="M654" t="n">
        <v>0</v>
      </c>
      <c r="N654" t="n">
        <v>0</v>
      </c>
      <c r="O654" t="n">
        <v>0</v>
      </c>
      <c r="P654" t="n">
        <v>0</v>
      </c>
      <c r="Q654" t="n">
        <v>0</v>
      </c>
      <c r="R654" s="2" t="inlineStr"/>
    </row>
    <row r="655" ht="15" customHeight="1">
      <c r="A655" t="inlineStr">
        <is>
          <t>A 51405-2023</t>
        </is>
      </c>
      <c r="B655" s="1" t="n">
        <v>45219</v>
      </c>
      <c r="C655" s="1" t="n">
        <v>45893</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11601-2023</t>
        </is>
      </c>
      <c r="B656" s="1" t="n">
        <v>44994</v>
      </c>
      <c r="C656" s="1" t="n">
        <v>45893</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40338-2024</t>
        </is>
      </c>
      <c r="B657" s="1" t="n">
        <v>45555.32940972222</v>
      </c>
      <c r="C657" s="1" t="n">
        <v>45893</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60860-2024</t>
        </is>
      </c>
      <c r="B658" s="1" t="n">
        <v>45644.6893287037</v>
      </c>
      <c r="C658" s="1" t="n">
        <v>45893</v>
      </c>
      <c r="D658" t="inlineStr">
        <is>
          <t>ÖSTERGÖTLANDS LÄN</t>
        </is>
      </c>
      <c r="E658" t="inlineStr">
        <is>
          <t>LINKÖPING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167-2024</t>
        </is>
      </c>
      <c r="B659" s="1" t="n">
        <v>45294</v>
      </c>
      <c r="C659" s="1" t="n">
        <v>45893</v>
      </c>
      <c r="D659" t="inlineStr">
        <is>
          <t>ÖSTERGÖTLANDS LÄN</t>
        </is>
      </c>
      <c r="E659" t="inlineStr">
        <is>
          <t>LINKÖPING</t>
        </is>
      </c>
      <c r="F659" t="inlineStr">
        <is>
          <t>Allmännings- och besparingsskogar</t>
        </is>
      </c>
      <c r="G659" t="n">
        <v>11.6</v>
      </c>
      <c r="H659" t="n">
        <v>0</v>
      </c>
      <c r="I659" t="n">
        <v>0</v>
      </c>
      <c r="J659" t="n">
        <v>0</v>
      </c>
      <c r="K659" t="n">
        <v>0</v>
      </c>
      <c r="L659" t="n">
        <v>0</v>
      </c>
      <c r="M659" t="n">
        <v>0</v>
      </c>
      <c r="N659" t="n">
        <v>0</v>
      </c>
      <c r="O659" t="n">
        <v>0</v>
      </c>
      <c r="P659" t="n">
        <v>0</v>
      </c>
      <c r="Q659" t="n">
        <v>0</v>
      </c>
      <c r="R659" s="2" t="inlineStr"/>
    </row>
    <row r="660" ht="15" customHeight="1">
      <c r="A660" t="inlineStr">
        <is>
          <t>A 2697-2023</t>
        </is>
      </c>
      <c r="B660" s="1" t="n">
        <v>44944</v>
      </c>
      <c r="C660" s="1" t="n">
        <v>45893</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27186-2021</t>
        </is>
      </c>
      <c r="B661" s="1" t="n">
        <v>44350.67715277777</v>
      </c>
      <c r="C661" s="1" t="n">
        <v>45893</v>
      </c>
      <c r="D661" t="inlineStr">
        <is>
          <t>ÖSTERGÖTLANDS LÄN</t>
        </is>
      </c>
      <c r="E661" t="inlineStr">
        <is>
          <t>LINKÖPING</t>
        </is>
      </c>
      <c r="F661" t="inlineStr">
        <is>
          <t>Allmännings- och besparingsskogar</t>
        </is>
      </c>
      <c r="G661" t="n">
        <v>1.4</v>
      </c>
      <c r="H661" t="n">
        <v>0</v>
      </c>
      <c r="I661" t="n">
        <v>0</v>
      </c>
      <c r="J661" t="n">
        <v>0</v>
      </c>
      <c r="K661" t="n">
        <v>0</v>
      </c>
      <c r="L661" t="n">
        <v>0</v>
      </c>
      <c r="M661" t="n">
        <v>0</v>
      </c>
      <c r="N661" t="n">
        <v>0</v>
      </c>
      <c r="O661" t="n">
        <v>0</v>
      </c>
      <c r="P661" t="n">
        <v>0</v>
      </c>
      <c r="Q661" t="n">
        <v>0</v>
      </c>
      <c r="R661" s="2" t="inlineStr"/>
    </row>
    <row r="662" ht="15" customHeight="1">
      <c r="A662" t="inlineStr">
        <is>
          <t>A 45806-2024</t>
        </is>
      </c>
      <c r="B662" s="1" t="n">
        <v>45579.69619212963</v>
      </c>
      <c r="C662" s="1" t="n">
        <v>45893</v>
      </c>
      <c r="D662" t="inlineStr">
        <is>
          <t>ÖSTERGÖTLANDS LÄN</t>
        </is>
      </c>
      <c r="E662" t="inlineStr">
        <is>
          <t>LINKÖPING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7343-2025</t>
        </is>
      </c>
      <c r="B663" s="1" t="n">
        <v>45703.67853009259</v>
      </c>
      <c r="C663" s="1" t="n">
        <v>45893</v>
      </c>
      <c r="D663" t="inlineStr">
        <is>
          <t>ÖSTERGÖTLANDS LÄN</t>
        </is>
      </c>
      <c r="E663" t="inlineStr">
        <is>
          <t>LINKÖPING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56756-2023</t>
        </is>
      </c>
      <c r="B664" s="1" t="n">
        <v>45244</v>
      </c>
      <c r="C664" s="1" t="n">
        <v>45893</v>
      </c>
      <c r="D664" t="inlineStr">
        <is>
          <t>ÖSTERGÖTLANDS LÄN</t>
        </is>
      </c>
      <c r="E664" t="inlineStr">
        <is>
          <t>LINKÖPING</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13691-2025</t>
        </is>
      </c>
      <c r="B665" s="1" t="n">
        <v>45737.31671296297</v>
      </c>
      <c r="C665" s="1" t="n">
        <v>45893</v>
      </c>
      <c r="D665" t="inlineStr">
        <is>
          <t>ÖSTERGÖTLANDS LÄN</t>
        </is>
      </c>
      <c r="E665" t="inlineStr">
        <is>
          <t>LINKÖPING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48271-2023</t>
        </is>
      </c>
      <c r="B666" s="1" t="n">
        <v>45205</v>
      </c>
      <c r="C666" s="1" t="n">
        <v>45893</v>
      </c>
      <c r="D666" t="inlineStr">
        <is>
          <t>ÖSTERGÖTLANDS LÄN</t>
        </is>
      </c>
      <c r="E666" t="inlineStr">
        <is>
          <t>LINKÖPING</t>
        </is>
      </c>
      <c r="G666" t="n">
        <v>3</v>
      </c>
      <c r="H666" t="n">
        <v>0</v>
      </c>
      <c r="I666" t="n">
        <v>0</v>
      </c>
      <c r="J666" t="n">
        <v>0</v>
      </c>
      <c r="K666" t="n">
        <v>0</v>
      </c>
      <c r="L666" t="n">
        <v>0</v>
      </c>
      <c r="M666" t="n">
        <v>0</v>
      </c>
      <c r="N666" t="n">
        <v>0</v>
      </c>
      <c r="O666" t="n">
        <v>0</v>
      </c>
      <c r="P666" t="n">
        <v>0</v>
      </c>
      <c r="Q666" t="n">
        <v>0</v>
      </c>
      <c r="R666" s="2" t="inlineStr"/>
    </row>
    <row r="667" ht="15" customHeight="1">
      <c r="A667" t="inlineStr">
        <is>
          <t>A 12720-2022</t>
        </is>
      </c>
      <c r="B667" s="1" t="n">
        <v>44641</v>
      </c>
      <c r="C667" s="1" t="n">
        <v>45893</v>
      </c>
      <c r="D667" t="inlineStr">
        <is>
          <t>ÖSTERGÖTLANDS LÄN</t>
        </is>
      </c>
      <c r="E667" t="inlineStr">
        <is>
          <t>LINKÖPING</t>
        </is>
      </c>
      <c r="F667" t="inlineStr">
        <is>
          <t>Övriga Aktiebolag</t>
        </is>
      </c>
      <c r="G667" t="n">
        <v>2</v>
      </c>
      <c r="H667" t="n">
        <v>0</v>
      </c>
      <c r="I667" t="n">
        <v>0</v>
      </c>
      <c r="J667" t="n">
        <v>0</v>
      </c>
      <c r="K667" t="n">
        <v>0</v>
      </c>
      <c r="L667" t="n">
        <v>0</v>
      </c>
      <c r="M667" t="n">
        <v>0</v>
      </c>
      <c r="N667" t="n">
        <v>0</v>
      </c>
      <c r="O667" t="n">
        <v>0</v>
      </c>
      <c r="P667" t="n">
        <v>0</v>
      </c>
      <c r="Q667" t="n">
        <v>0</v>
      </c>
      <c r="R667" s="2" t="inlineStr"/>
    </row>
    <row r="668" ht="15" customHeight="1">
      <c r="A668" t="inlineStr">
        <is>
          <t>A 62018-2024</t>
        </is>
      </c>
      <c r="B668" s="1" t="n">
        <v>45655.81387731482</v>
      </c>
      <c r="C668" s="1" t="n">
        <v>45893</v>
      </c>
      <c r="D668" t="inlineStr">
        <is>
          <t>ÖSTERGÖTLANDS LÄN</t>
        </is>
      </c>
      <c r="E668" t="inlineStr">
        <is>
          <t>LINKÖPING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33800-2023</t>
        </is>
      </c>
      <c r="B669" s="1" t="n">
        <v>45121</v>
      </c>
      <c r="C669" s="1" t="n">
        <v>45893</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60985-2023</t>
        </is>
      </c>
      <c r="B670" s="1" t="n">
        <v>45261.48429398148</v>
      </c>
      <c r="C670" s="1" t="n">
        <v>45893</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24904-2024</t>
        </is>
      </c>
      <c r="B671" s="1" t="n">
        <v>45461</v>
      </c>
      <c r="C671" s="1" t="n">
        <v>45893</v>
      </c>
      <c r="D671" t="inlineStr">
        <is>
          <t>ÖSTERGÖTLANDS LÄN</t>
        </is>
      </c>
      <c r="E671" t="inlineStr">
        <is>
          <t>LINKÖPING</t>
        </is>
      </c>
      <c r="G671" t="n">
        <v>3.8</v>
      </c>
      <c r="H671" t="n">
        <v>0</v>
      </c>
      <c r="I671" t="n">
        <v>0</v>
      </c>
      <c r="J671" t="n">
        <v>0</v>
      </c>
      <c r="K671" t="n">
        <v>0</v>
      </c>
      <c r="L671" t="n">
        <v>0</v>
      </c>
      <c r="M671" t="n">
        <v>0</v>
      </c>
      <c r="N671" t="n">
        <v>0</v>
      </c>
      <c r="O671" t="n">
        <v>0</v>
      </c>
      <c r="P671" t="n">
        <v>0</v>
      </c>
      <c r="Q671" t="n">
        <v>0</v>
      </c>
      <c r="R671" s="2" t="inlineStr"/>
    </row>
    <row r="672" ht="15" customHeight="1">
      <c r="A672" t="inlineStr">
        <is>
          <t>A 55009-2023</t>
        </is>
      </c>
      <c r="B672" s="1" t="n">
        <v>45237</v>
      </c>
      <c r="C672" s="1" t="n">
        <v>45893</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34872-2023</t>
        </is>
      </c>
      <c r="B673" s="1" t="n">
        <v>45140</v>
      </c>
      <c r="C673" s="1" t="n">
        <v>45893</v>
      </c>
      <c r="D673" t="inlineStr">
        <is>
          <t>ÖSTERGÖTLANDS LÄN</t>
        </is>
      </c>
      <c r="E673" t="inlineStr">
        <is>
          <t>LINKÖPING</t>
        </is>
      </c>
      <c r="G673" t="n">
        <v>4.8</v>
      </c>
      <c r="H673" t="n">
        <v>0</v>
      </c>
      <c r="I673" t="n">
        <v>0</v>
      </c>
      <c r="J673" t="n">
        <v>0</v>
      </c>
      <c r="K673" t="n">
        <v>0</v>
      </c>
      <c r="L673" t="n">
        <v>0</v>
      </c>
      <c r="M673" t="n">
        <v>0</v>
      </c>
      <c r="N673" t="n">
        <v>0</v>
      </c>
      <c r="O673" t="n">
        <v>0</v>
      </c>
      <c r="P673" t="n">
        <v>0</v>
      </c>
      <c r="Q673" t="n">
        <v>0</v>
      </c>
      <c r="R673" s="2" t="inlineStr"/>
    </row>
    <row r="674" ht="15" customHeight="1">
      <c r="A674" t="inlineStr">
        <is>
          <t>A 30551-2023</t>
        </is>
      </c>
      <c r="B674" s="1" t="n">
        <v>45111</v>
      </c>
      <c r="C674" s="1" t="n">
        <v>45893</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30860-2022</t>
        </is>
      </c>
      <c r="B675" s="1" t="n">
        <v>44767</v>
      </c>
      <c r="C675" s="1" t="n">
        <v>45893</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60004-2022</t>
        </is>
      </c>
      <c r="B676" s="1" t="n">
        <v>44909.47206018519</v>
      </c>
      <c r="C676" s="1" t="n">
        <v>45893</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60010-2022</t>
        </is>
      </c>
      <c r="B677" s="1" t="n">
        <v>44909.4740625</v>
      </c>
      <c r="C677" s="1" t="n">
        <v>45893</v>
      </c>
      <c r="D677" t="inlineStr">
        <is>
          <t>ÖSTERGÖTLANDS LÄN</t>
        </is>
      </c>
      <c r="E677" t="inlineStr">
        <is>
          <t>LINKÖPING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53827-2023</t>
        </is>
      </c>
      <c r="B678" s="1" t="n">
        <v>45230</v>
      </c>
      <c r="C678" s="1" t="n">
        <v>45893</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4256-2022</t>
        </is>
      </c>
      <c r="B679" s="1" t="n">
        <v>44588</v>
      </c>
      <c r="C679" s="1" t="n">
        <v>45893</v>
      </c>
      <c r="D679" t="inlineStr">
        <is>
          <t>ÖSTERGÖTLANDS LÄN</t>
        </is>
      </c>
      <c r="E679" t="inlineStr">
        <is>
          <t>LINKÖPING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61649-2023</t>
        </is>
      </c>
      <c r="B680" s="1" t="n">
        <v>45265</v>
      </c>
      <c r="C680" s="1" t="n">
        <v>45893</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36336-2022</t>
        </is>
      </c>
      <c r="B681" s="1" t="n">
        <v>44803</v>
      </c>
      <c r="C681" s="1" t="n">
        <v>45893</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50471-2024</t>
        </is>
      </c>
      <c r="B682" s="1" t="n">
        <v>45601.47166666666</v>
      </c>
      <c r="C682" s="1" t="n">
        <v>45893</v>
      </c>
      <c r="D682" t="inlineStr">
        <is>
          <t>ÖSTERGÖTLANDS LÄN</t>
        </is>
      </c>
      <c r="E682" t="inlineStr">
        <is>
          <t>LINKÖPING</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25097-2023</t>
        </is>
      </c>
      <c r="B683" s="1" t="n">
        <v>45086</v>
      </c>
      <c r="C683" s="1" t="n">
        <v>45893</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42093-2020</t>
        </is>
      </c>
      <c r="B684" s="1" t="n">
        <v>44075</v>
      </c>
      <c r="C684" s="1" t="n">
        <v>45893</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223-2024</t>
        </is>
      </c>
      <c r="B685" s="1" t="n">
        <v>45294.72739583333</v>
      </c>
      <c r="C685" s="1" t="n">
        <v>45893</v>
      </c>
      <c r="D685" t="inlineStr">
        <is>
          <t>ÖSTERGÖTLANDS LÄN</t>
        </is>
      </c>
      <c r="E685" t="inlineStr">
        <is>
          <t>LINKÖPING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19464-2024</t>
        </is>
      </c>
      <c r="B686" s="1" t="n">
        <v>45429</v>
      </c>
      <c r="C686" s="1" t="n">
        <v>45893</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10461-2023</t>
        </is>
      </c>
      <c r="B687" s="1" t="n">
        <v>44987.5969212963</v>
      </c>
      <c r="C687" s="1" t="n">
        <v>45893</v>
      </c>
      <c r="D687" t="inlineStr">
        <is>
          <t>ÖSTERGÖTLANDS LÄN</t>
        </is>
      </c>
      <c r="E687" t="inlineStr">
        <is>
          <t>LINKÖPING</t>
        </is>
      </c>
      <c r="G687" t="n">
        <v>7.8</v>
      </c>
      <c r="H687" t="n">
        <v>0</v>
      </c>
      <c r="I687" t="n">
        <v>0</v>
      </c>
      <c r="J687" t="n">
        <v>0</v>
      </c>
      <c r="K687" t="n">
        <v>0</v>
      </c>
      <c r="L687" t="n">
        <v>0</v>
      </c>
      <c r="M687" t="n">
        <v>0</v>
      </c>
      <c r="N687" t="n">
        <v>0</v>
      </c>
      <c r="O687" t="n">
        <v>0</v>
      </c>
      <c r="P687" t="n">
        <v>0</v>
      </c>
      <c r="Q687" t="n">
        <v>0</v>
      </c>
      <c r="R687" s="2" t="inlineStr"/>
    </row>
    <row r="688" ht="15" customHeight="1">
      <c r="A688" t="inlineStr">
        <is>
          <t>A 630-2024</t>
        </is>
      </c>
      <c r="B688" s="1" t="n">
        <v>45299.67736111111</v>
      </c>
      <c r="C688" s="1" t="n">
        <v>45893</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50386-2021</t>
        </is>
      </c>
      <c r="B689" s="1" t="n">
        <v>44459</v>
      </c>
      <c r="C689" s="1" t="n">
        <v>45893</v>
      </c>
      <c r="D689" t="inlineStr">
        <is>
          <t>ÖSTERGÖTLANDS LÄN</t>
        </is>
      </c>
      <c r="E689" t="inlineStr">
        <is>
          <t>LINKÖPING</t>
        </is>
      </c>
      <c r="G689" t="n">
        <v>2.3</v>
      </c>
      <c r="H689" t="n">
        <v>0</v>
      </c>
      <c r="I689" t="n">
        <v>0</v>
      </c>
      <c r="J689" t="n">
        <v>0</v>
      </c>
      <c r="K689" t="n">
        <v>0</v>
      </c>
      <c r="L689" t="n">
        <v>0</v>
      </c>
      <c r="M689" t="n">
        <v>0</v>
      </c>
      <c r="N689" t="n">
        <v>0</v>
      </c>
      <c r="O689" t="n">
        <v>0</v>
      </c>
      <c r="P689" t="n">
        <v>0</v>
      </c>
      <c r="Q689" t="n">
        <v>0</v>
      </c>
      <c r="R689" s="2" t="inlineStr"/>
    </row>
    <row r="690" ht="15" customHeight="1">
      <c r="A690" t="inlineStr">
        <is>
          <t>A 30433-2024</t>
        </is>
      </c>
      <c r="B690" s="1" t="n">
        <v>45491.69741898148</v>
      </c>
      <c r="C690" s="1" t="n">
        <v>45893</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350-2022</t>
        </is>
      </c>
      <c r="B691" s="1" t="n">
        <v>44565</v>
      </c>
      <c r="C691" s="1" t="n">
        <v>45893</v>
      </c>
      <c r="D691" t="inlineStr">
        <is>
          <t>ÖSTERGÖTLANDS LÄN</t>
        </is>
      </c>
      <c r="E691" t="inlineStr">
        <is>
          <t>LINKÖPING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18891-2022</t>
        </is>
      </c>
      <c r="B692" s="1" t="n">
        <v>44690</v>
      </c>
      <c r="C692" s="1" t="n">
        <v>45893</v>
      </c>
      <c r="D692" t="inlineStr">
        <is>
          <t>ÖSTERGÖTLANDS LÄN</t>
        </is>
      </c>
      <c r="E692" t="inlineStr">
        <is>
          <t>LINKÖPING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30976-2022</t>
        </is>
      </c>
      <c r="B693" s="1" t="n">
        <v>44768</v>
      </c>
      <c r="C693" s="1" t="n">
        <v>45893</v>
      </c>
      <c r="D693" t="inlineStr">
        <is>
          <t>ÖSTERGÖTLANDS LÄN</t>
        </is>
      </c>
      <c r="E693" t="inlineStr">
        <is>
          <t>LINKÖPING</t>
        </is>
      </c>
      <c r="G693" t="n">
        <v>0.6</v>
      </c>
      <c r="H693" t="n">
        <v>0</v>
      </c>
      <c r="I693" t="n">
        <v>0</v>
      </c>
      <c r="J693" t="n">
        <v>0</v>
      </c>
      <c r="K693" t="n">
        <v>0</v>
      </c>
      <c r="L693" t="n">
        <v>0</v>
      </c>
      <c r="M693" t="n">
        <v>0</v>
      </c>
      <c r="N693" t="n">
        <v>0</v>
      </c>
      <c r="O693" t="n">
        <v>0</v>
      </c>
      <c r="P693" t="n">
        <v>0</v>
      </c>
      <c r="Q693" t="n">
        <v>0</v>
      </c>
      <c r="R693" s="2" t="inlineStr"/>
    </row>
    <row r="694">
      <c r="A694" t="inlineStr">
        <is>
          <t>A 55736-2022</t>
        </is>
      </c>
      <c r="B694" s="1" t="n">
        <v>44888</v>
      </c>
      <c r="C694" s="1" t="n">
        <v>45893</v>
      </c>
      <c r="D694" t="inlineStr">
        <is>
          <t>ÖSTERGÖTLANDS LÄN</t>
        </is>
      </c>
      <c r="E694" t="inlineStr">
        <is>
          <t>LINKÖPING</t>
        </is>
      </c>
      <c r="G694" t="n">
        <v>5.5</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2025-08-24T08:32:09Z</dcterms:created>
  <dcterms:modified xmlns:dcterms="http://purl.org/dc/terms/" xmlns:xsi="http://www.w3.org/2001/XMLSchema-instance" xsi:type="dcterms:W3CDTF">2025-08-24T08:32:10Z</dcterms:modified>
</cp:coreProperties>
</file>