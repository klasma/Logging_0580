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45940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45940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45940</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45940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45940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45940</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45940</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45940</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45940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45940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45940</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45940</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45940</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48329-2025</t>
        </is>
      </c>
      <c r="B15" s="1" t="n">
        <v>45932</v>
      </c>
      <c r="C15" s="1" t="n">
        <v>45940</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17502-2022</t>
        </is>
      </c>
      <c r="B16" s="1" t="n">
        <v>44679</v>
      </c>
      <c r="C16" s="1" t="n">
        <v>45940</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45940</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45940</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55341-2024</t>
        </is>
      </c>
      <c r="B19" s="1" t="n">
        <v>45621.71255787037</v>
      </c>
      <c r="C19" s="1" t="n">
        <v>45940</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45940</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45940</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20292-2025</t>
        </is>
      </c>
      <c r="B22" s="1" t="n">
        <v>45774.7449537037</v>
      </c>
      <c r="C22" s="1" t="n">
        <v>45940</v>
      </c>
      <c r="D22" t="inlineStr">
        <is>
          <t>ÖSTERGÖTLANDS LÄN</t>
        </is>
      </c>
      <c r="E22" t="inlineStr">
        <is>
          <t>LINKÖPING</t>
        </is>
      </c>
      <c r="G22" t="n">
        <v>8.4</v>
      </c>
      <c r="H22" t="n">
        <v>1</v>
      </c>
      <c r="I22" t="n">
        <v>1</v>
      </c>
      <c r="J22" t="n">
        <v>0</v>
      </c>
      <c r="K22" t="n">
        <v>0</v>
      </c>
      <c r="L22" t="n">
        <v>0</v>
      </c>
      <c r="M22" t="n">
        <v>0</v>
      </c>
      <c r="N22" t="n">
        <v>0</v>
      </c>
      <c r="O22" t="n">
        <v>0</v>
      </c>
      <c r="P22" t="n">
        <v>0</v>
      </c>
      <c r="Q22" t="n">
        <v>2</v>
      </c>
      <c r="R22" s="2" t="inlineStr">
        <is>
          <t>Blåmossa
Blåsippa</t>
        </is>
      </c>
      <c r="S22">
        <f>HYPERLINK("https://klasma.github.io/Logging_0580/artfynd/A 20292-2025 artfynd.xlsx", "A 20292-2025")</f>
        <v/>
      </c>
      <c r="T22">
        <f>HYPERLINK("https://klasma.github.io/Logging_0580/kartor/A 20292-2025 karta.png", "A 20292-2025")</f>
        <v/>
      </c>
      <c r="V22">
        <f>HYPERLINK("https://klasma.github.io/Logging_0580/klagomål/A 20292-2025 FSC-klagomål.docx", "A 20292-2025")</f>
        <v/>
      </c>
      <c r="W22">
        <f>HYPERLINK("https://klasma.github.io/Logging_0580/klagomålsmail/A 20292-2025 FSC-klagomål mail.docx", "A 20292-2025")</f>
        <v/>
      </c>
      <c r="X22">
        <f>HYPERLINK("https://klasma.github.io/Logging_0580/tillsyn/A 20292-2025 tillsynsbegäran.docx", "A 20292-2025")</f>
        <v/>
      </c>
      <c r="Y22">
        <f>HYPERLINK("https://klasma.github.io/Logging_0580/tillsynsmail/A 20292-2025 tillsynsbegäran mail.docx", "A 20292-2025")</f>
        <v/>
      </c>
    </row>
    <row r="23" ht="15" customHeight="1">
      <c r="A23" t="inlineStr">
        <is>
          <t>A 21326-2025</t>
        </is>
      </c>
      <c r="B23" s="1" t="n">
        <v>45782.35407407407</v>
      </c>
      <c r="C23" s="1" t="n">
        <v>45940</v>
      </c>
      <c r="D23" t="inlineStr">
        <is>
          <t>ÖSTERGÖTLANDS LÄN</t>
        </is>
      </c>
      <c r="E23" t="inlineStr">
        <is>
          <t>LINKÖPING</t>
        </is>
      </c>
      <c r="G23" t="n">
        <v>4.9</v>
      </c>
      <c r="H23" t="n">
        <v>2</v>
      </c>
      <c r="I23" t="n">
        <v>0</v>
      </c>
      <c r="J23" t="n">
        <v>0</v>
      </c>
      <c r="K23" t="n">
        <v>0</v>
      </c>
      <c r="L23" t="n">
        <v>0</v>
      </c>
      <c r="M23" t="n">
        <v>0</v>
      </c>
      <c r="N23" t="n">
        <v>0</v>
      </c>
      <c r="O23" t="n">
        <v>0</v>
      </c>
      <c r="P23" t="n">
        <v>0</v>
      </c>
      <c r="Q23" t="n">
        <v>2</v>
      </c>
      <c r="R23" s="2" t="inlineStr">
        <is>
          <t>Blåsippa
Revlummer</t>
        </is>
      </c>
      <c r="S23">
        <f>HYPERLINK("https://klasma.github.io/Logging_0580/artfynd/A 21326-2025 artfynd.xlsx", "A 21326-2025")</f>
        <v/>
      </c>
      <c r="T23">
        <f>HYPERLINK("https://klasma.github.io/Logging_0580/kartor/A 21326-2025 karta.png", "A 21326-2025")</f>
        <v/>
      </c>
      <c r="V23">
        <f>HYPERLINK("https://klasma.github.io/Logging_0580/klagomål/A 21326-2025 FSC-klagomål.docx", "A 21326-2025")</f>
        <v/>
      </c>
      <c r="W23">
        <f>HYPERLINK("https://klasma.github.io/Logging_0580/klagomålsmail/A 21326-2025 FSC-klagomål mail.docx", "A 21326-2025")</f>
        <v/>
      </c>
      <c r="X23">
        <f>HYPERLINK("https://klasma.github.io/Logging_0580/tillsyn/A 21326-2025 tillsynsbegäran.docx", "A 21326-2025")</f>
        <v/>
      </c>
      <c r="Y23">
        <f>HYPERLINK("https://klasma.github.io/Logging_0580/tillsynsmail/A 21326-2025 tillsynsbegäran mail.docx", "A 21326-2025")</f>
        <v/>
      </c>
    </row>
    <row r="24" ht="15" customHeight="1">
      <c r="A24" t="inlineStr">
        <is>
          <t>A 20297-2025</t>
        </is>
      </c>
      <c r="B24" s="1" t="n">
        <v>45774.74971064815</v>
      </c>
      <c r="C24" s="1" t="n">
        <v>45940</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27981-2022</t>
        </is>
      </c>
      <c r="B25" s="1" t="n">
        <v>44745</v>
      </c>
      <c r="C25" s="1" t="n">
        <v>45940</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14879-2024</t>
        </is>
      </c>
      <c r="B26" s="1" t="n">
        <v>45398</v>
      </c>
      <c r="C26" s="1" t="n">
        <v>45940</v>
      </c>
      <c r="D26" t="inlineStr">
        <is>
          <t>ÖSTERGÖTLANDS LÄN</t>
        </is>
      </c>
      <c r="E26" t="inlineStr">
        <is>
          <t>LINKÖPING</t>
        </is>
      </c>
      <c r="F26" t="inlineStr">
        <is>
          <t>Övriga Aktiebolag</t>
        </is>
      </c>
      <c r="G26" t="n">
        <v>1.7</v>
      </c>
      <c r="H26" t="n">
        <v>1</v>
      </c>
      <c r="I26" t="n">
        <v>1</v>
      </c>
      <c r="J26" t="n">
        <v>0</v>
      </c>
      <c r="K26" t="n">
        <v>0</v>
      </c>
      <c r="L26" t="n">
        <v>0</v>
      </c>
      <c r="M26" t="n">
        <v>0</v>
      </c>
      <c r="N26" t="n">
        <v>0</v>
      </c>
      <c r="O26" t="n">
        <v>0</v>
      </c>
      <c r="P26" t="n">
        <v>0</v>
      </c>
      <c r="Q26" t="n">
        <v>2</v>
      </c>
      <c r="R26" s="2" t="inlineStr">
        <is>
          <t>Svart trolldruva
Grönvit nattviol</t>
        </is>
      </c>
      <c r="S26">
        <f>HYPERLINK("https://klasma.github.io/Logging_0580/artfynd/A 14879-2024 artfynd.xlsx", "A 14879-2024")</f>
        <v/>
      </c>
      <c r="T26">
        <f>HYPERLINK("https://klasma.github.io/Logging_0580/kartor/A 14879-2024 karta.png", "A 14879-2024")</f>
        <v/>
      </c>
      <c r="V26">
        <f>HYPERLINK("https://klasma.github.io/Logging_0580/klagomål/A 14879-2024 FSC-klagomål.docx", "A 14879-2024")</f>
        <v/>
      </c>
      <c r="W26">
        <f>HYPERLINK("https://klasma.github.io/Logging_0580/klagomålsmail/A 14879-2024 FSC-klagomål mail.docx", "A 14879-2024")</f>
        <v/>
      </c>
      <c r="X26">
        <f>HYPERLINK("https://klasma.github.io/Logging_0580/tillsyn/A 14879-2024 tillsynsbegäran.docx", "A 14879-2024")</f>
        <v/>
      </c>
      <c r="Y26">
        <f>HYPERLINK("https://klasma.github.io/Logging_0580/tillsynsmail/A 14879-2024 tillsynsbegäran mail.docx", "A 14879-2024")</f>
        <v/>
      </c>
    </row>
    <row r="27" ht="15" customHeight="1">
      <c r="A27" t="inlineStr">
        <is>
          <t>A 8818-2025</t>
        </is>
      </c>
      <c r="B27" s="1" t="n">
        <v>45712</v>
      </c>
      <c r="C27" s="1" t="n">
        <v>45940</v>
      </c>
      <c r="D27" t="inlineStr">
        <is>
          <t>ÖSTERGÖTLANDS LÄN</t>
        </is>
      </c>
      <c r="E27" t="inlineStr">
        <is>
          <t>LINKÖPING</t>
        </is>
      </c>
      <c r="F27" t="inlineStr">
        <is>
          <t>Kommuner</t>
        </is>
      </c>
      <c r="G27" t="n">
        <v>0.6</v>
      </c>
      <c r="H27" t="n">
        <v>0</v>
      </c>
      <c r="I27" t="n">
        <v>0</v>
      </c>
      <c r="J27" t="n">
        <v>1</v>
      </c>
      <c r="K27" t="n">
        <v>1</v>
      </c>
      <c r="L27" t="n">
        <v>0</v>
      </c>
      <c r="M27" t="n">
        <v>0</v>
      </c>
      <c r="N27" t="n">
        <v>0</v>
      </c>
      <c r="O27" t="n">
        <v>2</v>
      </c>
      <c r="P27" t="n">
        <v>1</v>
      </c>
      <c r="Q27" t="n">
        <v>2</v>
      </c>
      <c r="R27" s="2" t="inlineStr">
        <is>
          <t>Luddvicker
Klubbsprötad bastardsvärmare</t>
        </is>
      </c>
      <c r="S27">
        <f>HYPERLINK("https://klasma.github.io/Logging_0580/artfynd/A 8818-2025 artfynd.xlsx", "A 8818-2025")</f>
        <v/>
      </c>
      <c r="T27">
        <f>HYPERLINK("https://klasma.github.io/Logging_0580/kartor/A 8818-2025 karta.png", "A 8818-2025")</f>
        <v/>
      </c>
      <c r="V27">
        <f>HYPERLINK("https://klasma.github.io/Logging_0580/klagomål/A 8818-2025 FSC-klagomål.docx", "A 8818-2025")</f>
        <v/>
      </c>
      <c r="W27">
        <f>HYPERLINK("https://klasma.github.io/Logging_0580/klagomålsmail/A 8818-2025 FSC-klagomål mail.docx", "A 8818-2025")</f>
        <v/>
      </c>
      <c r="X27">
        <f>HYPERLINK("https://klasma.github.io/Logging_0580/tillsyn/A 8818-2025 tillsynsbegäran.docx", "A 8818-2025")</f>
        <v/>
      </c>
      <c r="Y27">
        <f>HYPERLINK("https://klasma.github.io/Logging_0580/tillsynsmail/A 8818-2025 tillsynsbegäran mail.docx", "A 8818-2025")</f>
        <v/>
      </c>
    </row>
    <row r="28" ht="15" customHeight="1">
      <c r="A28" t="inlineStr">
        <is>
          <t>A 50404-2023</t>
        </is>
      </c>
      <c r="B28" s="1" t="n">
        <v>45216</v>
      </c>
      <c r="C28" s="1" t="n">
        <v>45940</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27795-2025</t>
        </is>
      </c>
      <c r="B29" s="1" t="n">
        <v>45816.7908912037</v>
      </c>
      <c r="C29" s="1" t="n">
        <v>45940</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58068-2021</t>
        </is>
      </c>
      <c r="B30" s="1" t="n">
        <v>44487</v>
      </c>
      <c r="C30" s="1" t="n">
        <v>45940</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58068-2021</t>
        </is>
      </c>
      <c r="B31" s="1" t="n">
        <v>44487</v>
      </c>
      <c r="C31" s="1" t="n">
        <v>45940</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38913-2023</t>
        </is>
      </c>
      <c r="B32" s="1" t="n">
        <v>45163</v>
      </c>
      <c r="C32" s="1" t="n">
        <v>45940</v>
      </c>
      <c r="D32" t="inlineStr">
        <is>
          <t>ÖSTERGÖTLANDS LÄN</t>
        </is>
      </c>
      <c r="E32" t="inlineStr">
        <is>
          <t>LINKÖPING</t>
        </is>
      </c>
      <c r="G32" t="n">
        <v>2.7</v>
      </c>
      <c r="H32" t="n">
        <v>1</v>
      </c>
      <c r="I32" t="n">
        <v>1</v>
      </c>
      <c r="J32" t="n">
        <v>0</v>
      </c>
      <c r="K32" t="n">
        <v>0</v>
      </c>
      <c r="L32" t="n">
        <v>0</v>
      </c>
      <c r="M32" t="n">
        <v>0</v>
      </c>
      <c r="N32" t="n">
        <v>0</v>
      </c>
      <c r="O32" t="n">
        <v>0</v>
      </c>
      <c r="P32" t="n">
        <v>0</v>
      </c>
      <c r="Q32" t="n">
        <v>2</v>
      </c>
      <c r="R32" s="2" t="inlineStr">
        <is>
          <t>Skogsbräsma
Revlummer</t>
        </is>
      </c>
      <c r="S32">
        <f>HYPERLINK("https://klasma.github.io/Logging_0580/artfynd/A 38913-2023 artfynd.xlsx", "A 38913-2023")</f>
        <v/>
      </c>
      <c r="T32">
        <f>HYPERLINK("https://klasma.github.io/Logging_0580/kartor/A 38913-2023 karta.png", "A 38913-2023")</f>
        <v/>
      </c>
      <c r="V32">
        <f>HYPERLINK("https://klasma.github.io/Logging_0580/klagomål/A 38913-2023 FSC-klagomål.docx", "A 38913-2023")</f>
        <v/>
      </c>
      <c r="W32">
        <f>HYPERLINK("https://klasma.github.io/Logging_0580/klagomålsmail/A 38913-2023 FSC-klagomål mail.docx", "A 38913-2023")</f>
        <v/>
      </c>
      <c r="X32">
        <f>HYPERLINK("https://klasma.github.io/Logging_0580/tillsyn/A 38913-2023 tillsynsbegäran.docx", "A 38913-2023")</f>
        <v/>
      </c>
      <c r="Y32">
        <f>HYPERLINK("https://klasma.github.io/Logging_0580/tillsynsmail/A 38913-2023 tillsynsbegäran mail.docx", "A 38913-2023")</f>
        <v/>
      </c>
    </row>
    <row r="33" ht="15" customHeight="1">
      <c r="A33" t="inlineStr">
        <is>
          <t>A 22040-2023</t>
        </is>
      </c>
      <c r="B33" s="1" t="n">
        <v>45068</v>
      </c>
      <c r="C33" s="1" t="n">
        <v>45940</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45940</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41751-2023</t>
        </is>
      </c>
      <c r="B35" s="1" t="n">
        <v>45176</v>
      </c>
      <c r="C35" s="1" t="n">
        <v>45940</v>
      </c>
      <c r="D35" t="inlineStr">
        <is>
          <t>ÖSTERGÖTLANDS LÄN</t>
        </is>
      </c>
      <c r="E35" t="inlineStr">
        <is>
          <t>LINKÖPING</t>
        </is>
      </c>
      <c r="G35" t="n">
        <v>1.5</v>
      </c>
      <c r="H35" t="n">
        <v>1</v>
      </c>
      <c r="I35" t="n">
        <v>0</v>
      </c>
      <c r="J35" t="n">
        <v>1</v>
      </c>
      <c r="K35" t="n">
        <v>0</v>
      </c>
      <c r="L35" t="n">
        <v>0</v>
      </c>
      <c r="M35" t="n">
        <v>0</v>
      </c>
      <c r="N35" t="n">
        <v>0</v>
      </c>
      <c r="O35" t="n">
        <v>1</v>
      </c>
      <c r="P35" t="n">
        <v>0</v>
      </c>
      <c r="Q35" t="n">
        <v>2</v>
      </c>
      <c r="R35" s="2" t="inlineStr">
        <is>
          <t>Svinrot
Grönvit nattviol</t>
        </is>
      </c>
      <c r="S35">
        <f>HYPERLINK("https://klasma.github.io/Logging_0580/artfynd/A 41751-2023 artfynd.xlsx", "A 41751-2023")</f>
        <v/>
      </c>
      <c r="T35">
        <f>HYPERLINK("https://klasma.github.io/Logging_0580/kartor/A 41751-2023 karta.png", "A 41751-2023")</f>
        <v/>
      </c>
      <c r="V35">
        <f>HYPERLINK("https://klasma.github.io/Logging_0580/klagomål/A 41751-2023 FSC-klagomål.docx", "A 41751-2023")</f>
        <v/>
      </c>
      <c r="W35">
        <f>HYPERLINK("https://klasma.github.io/Logging_0580/klagomålsmail/A 41751-2023 FSC-klagomål mail.docx", "A 41751-2023")</f>
        <v/>
      </c>
      <c r="X35">
        <f>HYPERLINK("https://klasma.github.io/Logging_0580/tillsyn/A 41751-2023 tillsynsbegäran.docx", "A 41751-2023")</f>
        <v/>
      </c>
      <c r="Y35">
        <f>HYPERLINK("https://klasma.github.io/Logging_0580/tillsynsmail/A 41751-2023 tillsynsbegäran mail.docx", "A 41751-2023")</f>
        <v/>
      </c>
    </row>
    <row r="36" ht="15" customHeight="1">
      <c r="A36" t="inlineStr">
        <is>
          <t>A 11613-2025</t>
        </is>
      </c>
      <c r="B36" s="1" t="n">
        <v>45727.44623842592</v>
      </c>
      <c r="C36" s="1" t="n">
        <v>45940</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25985-2025</t>
        </is>
      </c>
      <c r="B37" s="1" t="n">
        <v>45804.64479166667</v>
      </c>
      <c r="C37" s="1" t="n">
        <v>45940</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42858-2023</t>
        </is>
      </c>
      <c r="B38" s="1" t="n">
        <v>45177</v>
      </c>
      <c r="C38" s="1" t="n">
        <v>45940</v>
      </c>
      <c r="D38" t="inlineStr">
        <is>
          <t>ÖSTERGÖTLANDS LÄN</t>
        </is>
      </c>
      <c r="E38" t="inlineStr">
        <is>
          <t>LINKÖPING</t>
        </is>
      </c>
      <c r="G38" t="n">
        <v>5.3</v>
      </c>
      <c r="H38" t="n">
        <v>1</v>
      </c>
      <c r="I38" t="n">
        <v>0</v>
      </c>
      <c r="J38" t="n">
        <v>1</v>
      </c>
      <c r="K38" t="n">
        <v>0</v>
      </c>
      <c r="L38" t="n">
        <v>0</v>
      </c>
      <c r="M38" t="n">
        <v>0</v>
      </c>
      <c r="N38" t="n">
        <v>0</v>
      </c>
      <c r="O38" t="n">
        <v>1</v>
      </c>
      <c r="P38" t="n">
        <v>0</v>
      </c>
      <c r="Q38" t="n">
        <v>2</v>
      </c>
      <c r="R38" s="2" t="inlineStr">
        <is>
          <t>Svinrot
Skogsödla</t>
        </is>
      </c>
      <c r="S38">
        <f>HYPERLINK("https://klasma.github.io/Logging_0580/artfynd/A 42858-2023 artfynd.xlsx", "A 42858-2023")</f>
        <v/>
      </c>
      <c r="T38">
        <f>HYPERLINK("https://klasma.github.io/Logging_0580/kartor/A 42858-2023 karta.png", "A 42858-2023")</f>
        <v/>
      </c>
      <c r="V38">
        <f>HYPERLINK("https://klasma.github.io/Logging_0580/klagomål/A 42858-2023 FSC-klagomål.docx", "A 42858-2023")</f>
        <v/>
      </c>
      <c r="W38">
        <f>HYPERLINK("https://klasma.github.io/Logging_0580/klagomålsmail/A 42858-2023 FSC-klagomål mail.docx", "A 42858-2023")</f>
        <v/>
      </c>
      <c r="X38">
        <f>HYPERLINK("https://klasma.github.io/Logging_0580/tillsyn/A 42858-2023 tillsynsbegäran.docx", "A 42858-2023")</f>
        <v/>
      </c>
      <c r="Y38">
        <f>HYPERLINK("https://klasma.github.io/Logging_0580/tillsynsmail/A 42858-2023 tillsynsbegäran mail.docx", "A 42858-2023")</f>
        <v/>
      </c>
    </row>
    <row r="39" ht="15" customHeight="1">
      <c r="A39" t="inlineStr">
        <is>
          <t>A 55344-2024</t>
        </is>
      </c>
      <c r="B39" s="1" t="n">
        <v>45621.7202662037</v>
      </c>
      <c r="C39" s="1" t="n">
        <v>45940</v>
      </c>
      <c r="D39" t="inlineStr">
        <is>
          <t>ÖSTERGÖTLANDS LÄN</t>
        </is>
      </c>
      <c r="E39" t="inlineStr">
        <is>
          <t>LINKÖPING</t>
        </is>
      </c>
      <c r="G39" t="n">
        <v>6.6</v>
      </c>
      <c r="H39" t="n">
        <v>0</v>
      </c>
      <c r="I39" t="n">
        <v>0</v>
      </c>
      <c r="J39" t="n">
        <v>2</v>
      </c>
      <c r="K39" t="n">
        <v>0</v>
      </c>
      <c r="L39" t="n">
        <v>0</v>
      </c>
      <c r="M39" t="n">
        <v>0</v>
      </c>
      <c r="N39" t="n">
        <v>0</v>
      </c>
      <c r="O39" t="n">
        <v>2</v>
      </c>
      <c r="P39" t="n">
        <v>0</v>
      </c>
      <c r="Q39" t="n">
        <v>2</v>
      </c>
      <c r="R39" s="2" t="inlineStr">
        <is>
          <t>Kandelabersvamp
Stjärnnästing</t>
        </is>
      </c>
      <c r="S39">
        <f>HYPERLINK("https://klasma.github.io/Logging_0580/artfynd/A 55344-2024 artfynd.xlsx", "A 55344-2024")</f>
        <v/>
      </c>
      <c r="T39">
        <f>HYPERLINK("https://klasma.github.io/Logging_0580/kartor/A 55344-2024 karta.png", "A 55344-2024")</f>
        <v/>
      </c>
      <c r="V39">
        <f>HYPERLINK("https://klasma.github.io/Logging_0580/klagomål/A 55344-2024 FSC-klagomål.docx", "A 55344-2024")</f>
        <v/>
      </c>
      <c r="W39">
        <f>HYPERLINK("https://klasma.github.io/Logging_0580/klagomålsmail/A 55344-2024 FSC-klagomål mail.docx", "A 55344-2024")</f>
        <v/>
      </c>
      <c r="X39">
        <f>HYPERLINK("https://klasma.github.io/Logging_0580/tillsyn/A 55344-2024 tillsynsbegäran.docx", "A 55344-2024")</f>
        <v/>
      </c>
      <c r="Y39">
        <f>HYPERLINK("https://klasma.github.io/Logging_0580/tillsynsmail/A 55344-2024 tillsynsbegäran mail.docx", "A 55344-2024")</f>
        <v/>
      </c>
    </row>
    <row r="40" ht="15" customHeight="1">
      <c r="A40" t="inlineStr">
        <is>
          <t>A 38129-2021</t>
        </is>
      </c>
      <c r="B40" s="1" t="n">
        <v>44405.37199074074</v>
      </c>
      <c r="C40" s="1" t="n">
        <v>45940</v>
      </c>
      <c r="D40" t="inlineStr">
        <is>
          <t>ÖSTERGÖTLANDS LÄN</t>
        </is>
      </c>
      <c r="E40" t="inlineStr">
        <is>
          <t>LINKÖPING</t>
        </is>
      </c>
      <c r="G40" t="n">
        <v>1.8</v>
      </c>
      <c r="H40" t="n">
        <v>1</v>
      </c>
      <c r="I40" t="n">
        <v>0</v>
      </c>
      <c r="J40" t="n">
        <v>1</v>
      </c>
      <c r="K40" t="n">
        <v>0</v>
      </c>
      <c r="L40" t="n">
        <v>0</v>
      </c>
      <c r="M40" t="n">
        <v>0</v>
      </c>
      <c r="N40" t="n">
        <v>0</v>
      </c>
      <c r="O40" t="n">
        <v>1</v>
      </c>
      <c r="P40" t="n">
        <v>0</v>
      </c>
      <c r="Q40" t="n">
        <v>1</v>
      </c>
      <c r="R40" s="2" t="inlineStr">
        <is>
          <t>Spillkråka</t>
        </is>
      </c>
      <c r="S40">
        <f>HYPERLINK("https://klasma.github.io/Logging_0580/artfynd/A 38129-2021 artfynd.xlsx", "A 38129-2021")</f>
        <v/>
      </c>
      <c r="T40">
        <f>HYPERLINK("https://klasma.github.io/Logging_0580/kartor/A 38129-2021 karta.png", "A 38129-2021")</f>
        <v/>
      </c>
      <c r="V40">
        <f>HYPERLINK("https://klasma.github.io/Logging_0580/klagomål/A 38129-2021 FSC-klagomål.docx", "A 38129-2021")</f>
        <v/>
      </c>
      <c r="W40">
        <f>HYPERLINK("https://klasma.github.io/Logging_0580/klagomålsmail/A 38129-2021 FSC-klagomål mail.docx", "A 38129-2021")</f>
        <v/>
      </c>
      <c r="X40">
        <f>HYPERLINK("https://klasma.github.io/Logging_0580/tillsyn/A 38129-2021 tillsynsbegäran.docx", "A 38129-2021")</f>
        <v/>
      </c>
      <c r="Y40">
        <f>HYPERLINK("https://klasma.github.io/Logging_0580/tillsynsmail/A 38129-2021 tillsynsbegäran mail.docx", "A 38129-2021")</f>
        <v/>
      </c>
      <c r="Z40">
        <f>HYPERLINK("https://klasma.github.io/Logging_0580/fåglar/A 38129-2021 prioriterade fågelarter.docx", "A 38129-2021")</f>
        <v/>
      </c>
    </row>
    <row r="41" ht="15" customHeight="1">
      <c r="A41" t="inlineStr">
        <is>
          <t>A 46496-2022</t>
        </is>
      </c>
      <c r="B41" s="1" t="n">
        <v>44848</v>
      </c>
      <c r="C41" s="1" t="n">
        <v>45940</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14096-2021</t>
        </is>
      </c>
      <c r="B42" s="1" t="n">
        <v>44278</v>
      </c>
      <c r="C42" s="1" t="n">
        <v>45940</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17513-2022</t>
        </is>
      </c>
      <c r="B43" s="1" t="n">
        <v>44679</v>
      </c>
      <c r="C43" s="1" t="n">
        <v>45940</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56250-2021</t>
        </is>
      </c>
      <c r="B44" s="1" t="n">
        <v>44479</v>
      </c>
      <c r="C44" s="1" t="n">
        <v>45940</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43017-2021</t>
        </is>
      </c>
      <c r="B45" s="1" t="n">
        <v>44431</v>
      </c>
      <c r="C45" s="1" t="n">
        <v>45940</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71127-2021</t>
        </is>
      </c>
      <c r="B46" s="1" t="n">
        <v>44537</v>
      </c>
      <c r="C46" s="1" t="n">
        <v>45940</v>
      </c>
      <c r="D46" t="inlineStr">
        <is>
          <t>ÖSTERGÖTLANDS LÄN</t>
        </is>
      </c>
      <c r="E46" t="inlineStr">
        <is>
          <t>LINKÖPING</t>
        </is>
      </c>
      <c r="F46" t="inlineStr">
        <is>
          <t>Kommuner</t>
        </is>
      </c>
      <c r="G46" t="n">
        <v>7.2</v>
      </c>
      <c r="H46" t="n">
        <v>0</v>
      </c>
      <c r="I46" t="n">
        <v>0</v>
      </c>
      <c r="J46" t="n">
        <v>1</v>
      </c>
      <c r="K46" t="n">
        <v>0</v>
      </c>
      <c r="L46" t="n">
        <v>0</v>
      </c>
      <c r="M46" t="n">
        <v>0</v>
      </c>
      <c r="N46" t="n">
        <v>0</v>
      </c>
      <c r="O46" t="n">
        <v>1</v>
      </c>
      <c r="P46" t="n">
        <v>0</v>
      </c>
      <c r="Q46" t="n">
        <v>1</v>
      </c>
      <c r="R46" s="2" t="inlineStr">
        <is>
          <t>Svinrot</t>
        </is>
      </c>
      <c r="S46">
        <f>HYPERLINK("https://klasma.github.io/Logging_0580/artfynd/A 71127-2021 artfynd.xlsx", "A 71127-2021")</f>
        <v/>
      </c>
      <c r="T46">
        <f>HYPERLINK("https://klasma.github.io/Logging_0580/kartor/A 71127-2021 karta.png", "A 71127-2021")</f>
        <v/>
      </c>
      <c r="V46">
        <f>HYPERLINK("https://klasma.github.io/Logging_0580/klagomål/A 71127-2021 FSC-klagomål.docx", "A 71127-2021")</f>
        <v/>
      </c>
      <c r="W46">
        <f>HYPERLINK("https://klasma.github.io/Logging_0580/klagomålsmail/A 71127-2021 FSC-klagomål mail.docx", "A 71127-2021")</f>
        <v/>
      </c>
      <c r="X46">
        <f>HYPERLINK("https://klasma.github.io/Logging_0580/tillsyn/A 71127-2021 tillsynsbegäran.docx", "A 71127-2021")</f>
        <v/>
      </c>
      <c r="Y46">
        <f>HYPERLINK("https://klasma.github.io/Logging_0580/tillsynsmail/A 71127-2021 tillsynsbegäran mail.docx", "A 71127-2021")</f>
        <v/>
      </c>
    </row>
    <row r="47" ht="15" customHeight="1">
      <c r="A47" t="inlineStr">
        <is>
          <t>A 60573-2021</t>
        </is>
      </c>
      <c r="B47" s="1" t="n">
        <v>44496</v>
      </c>
      <c r="C47" s="1" t="n">
        <v>45940</v>
      </c>
      <c r="D47" t="inlineStr">
        <is>
          <t>ÖSTERGÖTLANDS LÄN</t>
        </is>
      </c>
      <c r="E47" t="inlineStr">
        <is>
          <t>LINKÖPING</t>
        </is>
      </c>
      <c r="F47" t="inlineStr">
        <is>
          <t>Övriga Aktiebolag</t>
        </is>
      </c>
      <c r="G47" t="n">
        <v>5.6</v>
      </c>
      <c r="H47" t="n">
        <v>0</v>
      </c>
      <c r="I47" t="n">
        <v>0</v>
      </c>
      <c r="J47" t="n">
        <v>1</v>
      </c>
      <c r="K47" t="n">
        <v>0</v>
      </c>
      <c r="L47" t="n">
        <v>0</v>
      </c>
      <c r="M47" t="n">
        <v>0</v>
      </c>
      <c r="N47" t="n">
        <v>0</v>
      </c>
      <c r="O47" t="n">
        <v>1</v>
      </c>
      <c r="P47" t="n">
        <v>0</v>
      </c>
      <c r="Q47" t="n">
        <v>1</v>
      </c>
      <c r="R47" s="2" t="inlineStr">
        <is>
          <t>Sommarfibbla</t>
        </is>
      </c>
      <c r="S47">
        <f>HYPERLINK("https://klasma.github.io/Logging_0580/artfynd/A 60573-2021 artfynd.xlsx", "A 60573-2021")</f>
        <v/>
      </c>
      <c r="T47">
        <f>HYPERLINK("https://klasma.github.io/Logging_0580/kartor/A 60573-2021 karta.png", "A 60573-2021")</f>
        <v/>
      </c>
      <c r="V47">
        <f>HYPERLINK("https://klasma.github.io/Logging_0580/klagomål/A 60573-2021 FSC-klagomål.docx", "A 60573-2021")</f>
        <v/>
      </c>
      <c r="W47">
        <f>HYPERLINK("https://klasma.github.io/Logging_0580/klagomålsmail/A 60573-2021 FSC-klagomål mail.docx", "A 60573-2021")</f>
        <v/>
      </c>
      <c r="X47">
        <f>HYPERLINK("https://klasma.github.io/Logging_0580/tillsyn/A 60573-2021 tillsynsbegäran.docx", "A 60573-2021")</f>
        <v/>
      </c>
      <c r="Y47">
        <f>HYPERLINK("https://klasma.github.io/Logging_0580/tillsynsmail/A 60573-2021 tillsynsbegäran mail.docx", "A 60573-2021")</f>
        <v/>
      </c>
    </row>
    <row r="48" ht="15" customHeight="1">
      <c r="A48" t="inlineStr">
        <is>
          <t>A 41749-2023</t>
        </is>
      </c>
      <c r="B48" s="1" t="n">
        <v>45176</v>
      </c>
      <c r="C48" s="1" t="n">
        <v>45940</v>
      </c>
      <c r="D48" t="inlineStr">
        <is>
          <t>ÖSTERGÖTLANDS LÄN</t>
        </is>
      </c>
      <c r="E48" t="inlineStr">
        <is>
          <t>LINKÖPING</t>
        </is>
      </c>
      <c r="G48" t="n">
        <v>3.6</v>
      </c>
      <c r="H48" t="n">
        <v>0</v>
      </c>
      <c r="I48" t="n">
        <v>0</v>
      </c>
      <c r="J48" t="n">
        <v>1</v>
      </c>
      <c r="K48" t="n">
        <v>0</v>
      </c>
      <c r="L48" t="n">
        <v>0</v>
      </c>
      <c r="M48" t="n">
        <v>0</v>
      </c>
      <c r="N48" t="n">
        <v>0</v>
      </c>
      <c r="O48" t="n">
        <v>1</v>
      </c>
      <c r="P48" t="n">
        <v>0</v>
      </c>
      <c r="Q48" t="n">
        <v>1</v>
      </c>
      <c r="R48" s="2" t="inlineStr">
        <is>
          <t>Svinrot</t>
        </is>
      </c>
      <c r="S48">
        <f>HYPERLINK("https://klasma.github.io/Logging_0580/artfynd/A 41749-2023 artfynd.xlsx", "A 41749-2023")</f>
        <v/>
      </c>
      <c r="T48">
        <f>HYPERLINK("https://klasma.github.io/Logging_0580/kartor/A 41749-2023 karta.png", "A 41749-2023")</f>
        <v/>
      </c>
      <c r="V48">
        <f>HYPERLINK("https://klasma.github.io/Logging_0580/klagomål/A 41749-2023 FSC-klagomål.docx", "A 41749-2023")</f>
        <v/>
      </c>
      <c r="W48">
        <f>HYPERLINK("https://klasma.github.io/Logging_0580/klagomålsmail/A 41749-2023 FSC-klagomål mail.docx", "A 41749-2023")</f>
        <v/>
      </c>
      <c r="X48">
        <f>HYPERLINK("https://klasma.github.io/Logging_0580/tillsyn/A 41749-2023 tillsynsbegäran.docx", "A 41749-2023")</f>
        <v/>
      </c>
      <c r="Y48">
        <f>HYPERLINK("https://klasma.github.io/Logging_0580/tillsynsmail/A 41749-2023 tillsynsbegäran mail.docx", "A 41749-2023")</f>
        <v/>
      </c>
    </row>
    <row r="49" ht="15" customHeight="1">
      <c r="A49" t="inlineStr">
        <is>
          <t>A 931-2025</t>
        </is>
      </c>
      <c r="B49" s="1" t="n">
        <v>45665.88498842593</v>
      </c>
      <c r="C49" s="1" t="n">
        <v>45940</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45940</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45940</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45940</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56651-2023</t>
        </is>
      </c>
      <c r="B53" s="1" t="n">
        <v>45243</v>
      </c>
      <c r="C53" s="1" t="n">
        <v>45940</v>
      </c>
      <c r="D53" t="inlineStr">
        <is>
          <t>ÖSTERGÖTLANDS LÄN</t>
        </is>
      </c>
      <c r="E53" t="inlineStr">
        <is>
          <t>LINKÖPING</t>
        </is>
      </c>
      <c r="F53" t="inlineStr">
        <is>
          <t>Övriga Aktiebolag</t>
        </is>
      </c>
      <c r="G53" t="n">
        <v>2.3</v>
      </c>
      <c r="H53" t="n">
        <v>0</v>
      </c>
      <c r="I53" t="n">
        <v>0</v>
      </c>
      <c r="J53" t="n">
        <v>1</v>
      </c>
      <c r="K53" t="n">
        <v>0</v>
      </c>
      <c r="L53" t="n">
        <v>0</v>
      </c>
      <c r="M53" t="n">
        <v>0</v>
      </c>
      <c r="N53" t="n">
        <v>0</v>
      </c>
      <c r="O53" t="n">
        <v>1</v>
      </c>
      <c r="P53" t="n">
        <v>0</v>
      </c>
      <c r="Q53" t="n">
        <v>1</v>
      </c>
      <c r="R53" s="2" t="inlineStr">
        <is>
          <t>Gul dropplav</t>
        </is>
      </c>
      <c r="S53">
        <f>HYPERLINK("https://klasma.github.io/Logging_0580/artfynd/A 56651-2023 artfynd.xlsx", "A 56651-2023")</f>
        <v/>
      </c>
      <c r="T53">
        <f>HYPERLINK("https://klasma.github.io/Logging_0580/kartor/A 56651-2023 karta.png", "A 56651-2023")</f>
        <v/>
      </c>
      <c r="V53">
        <f>HYPERLINK("https://klasma.github.io/Logging_0580/klagomål/A 56651-2023 FSC-klagomål.docx", "A 56651-2023")</f>
        <v/>
      </c>
      <c r="W53">
        <f>HYPERLINK("https://klasma.github.io/Logging_0580/klagomålsmail/A 56651-2023 FSC-klagomål mail.docx", "A 56651-2023")</f>
        <v/>
      </c>
      <c r="X53">
        <f>HYPERLINK("https://klasma.github.io/Logging_0580/tillsyn/A 56651-2023 tillsynsbegäran.docx", "A 56651-2023")</f>
        <v/>
      </c>
      <c r="Y53">
        <f>HYPERLINK("https://klasma.github.io/Logging_0580/tillsynsmail/A 56651-2023 tillsynsbegäran mail.docx", "A 56651-2023")</f>
        <v/>
      </c>
    </row>
    <row r="54" ht="15" customHeight="1">
      <c r="A54" t="inlineStr">
        <is>
          <t>A 17444-2025</t>
        </is>
      </c>
      <c r="B54" s="1" t="n">
        <v>45757.43452546297</v>
      </c>
      <c r="C54" s="1" t="n">
        <v>45940</v>
      </c>
      <c r="D54" t="inlineStr">
        <is>
          <t>ÖSTERGÖTLANDS LÄN</t>
        </is>
      </c>
      <c r="E54" t="inlineStr">
        <is>
          <t>LINKÖPING</t>
        </is>
      </c>
      <c r="G54" t="n">
        <v>1.3</v>
      </c>
      <c r="H54" t="n">
        <v>1</v>
      </c>
      <c r="I54" t="n">
        <v>0</v>
      </c>
      <c r="J54" t="n">
        <v>1</v>
      </c>
      <c r="K54" t="n">
        <v>0</v>
      </c>
      <c r="L54" t="n">
        <v>0</v>
      </c>
      <c r="M54" t="n">
        <v>0</v>
      </c>
      <c r="N54" t="n">
        <v>0</v>
      </c>
      <c r="O54" t="n">
        <v>1</v>
      </c>
      <c r="P54" t="n">
        <v>0</v>
      </c>
      <c r="Q54" t="n">
        <v>1</v>
      </c>
      <c r="R54" s="2" t="inlineStr">
        <is>
          <t>Dårgräsfjäril</t>
        </is>
      </c>
      <c r="S54">
        <f>HYPERLINK("https://klasma.github.io/Logging_0580/artfynd/A 17444-2025 artfynd.xlsx", "A 17444-2025")</f>
        <v/>
      </c>
      <c r="T54">
        <f>HYPERLINK("https://klasma.github.io/Logging_0580/kartor/A 17444-2025 karta.png", "A 17444-2025")</f>
        <v/>
      </c>
      <c r="V54">
        <f>HYPERLINK("https://klasma.github.io/Logging_0580/klagomål/A 17444-2025 FSC-klagomål.docx", "A 17444-2025")</f>
        <v/>
      </c>
      <c r="W54">
        <f>HYPERLINK("https://klasma.github.io/Logging_0580/klagomålsmail/A 17444-2025 FSC-klagomål mail.docx", "A 17444-2025")</f>
        <v/>
      </c>
      <c r="X54">
        <f>HYPERLINK("https://klasma.github.io/Logging_0580/tillsyn/A 17444-2025 tillsynsbegäran.docx", "A 17444-2025")</f>
        <v/>
      </c>
      <c r="Y54">
        <f>HYPERLINK("https://klasma.github.io/Logging_0580/tillsynsmail/A 17444-2025 tillsynsbegäran mail.docx", "A 17444-2025")</f>
        <v/>
      </c>
    </row>
    <row r="55" ht="15" customHeight="1">
      <c r="A55" t="inlineStr">
        <is>
          <t>A 5911-2022</t>
        </is>
      </c>
      <c r="B55" s="1" t="n">
        <v>44597</v>
      </c>
      <c r="C55" s="1" t="n">
        <v>45940</v>
      </c>
      <c r="D55" t="inlineStr">
        <is>
          <t>ÖSTERGÖTLANDS LÄN</t>
        </is>
      </c>
      <c r="E55" t="inlineStr">
        <is>
          <t>LINKÖPING</t>
        </is>
      </c>
      <c r="G55" t="n">
        <v>3.5</v>
      </c>
      <c r="H55" t="n">
        <v>0</v>
      </c>
      <c r="I55" t="n">
        <v>0</v>
      </c>
      <c r="J55" t="n">
        <v>1</v>
      </c>
      <c r="K55" t="n">
        <v>0</v>
      </c>
      <c r="L55" t="n">
        <v>0</v>
      </c>
      <c r="M55" t="n">
        <v>0</v>
      </c>
      <c r="N55" t="n">
        <v>0</v>
      </c>
      <c r="O55" t="n">
        <v>1</v>
      </c>
      <c r="P55" t="n">
        <v>0</v>
      </c>
      <c r="Q55" t="n">
        <v>1</v>
      </c>
      <c r="R55" s="2" t="inlineStr">
        <is>
          <t>Spindelört</t>
        </is>
      </c>
      <c r="S55">
        <f>HYPERLINK("https://klasma.github.io/Logging_0580/artfynd/A 5911-2022 artfynd.xlsx", "A 5911-2022")</f>
        <v/>
      </c>
      <c r="T55">
        <f>HYPERLINK("https://klasma.github.io/Logging_0580/kartor/A 5911-2022 karta.png", "A 5911-2022")</f>
        <v/>
      </c>
      <c r="V55">
        <f>HYPERLINK("https://klasma.github.io/Logging_0580/klagomål/A 5911-2022 FSC-klagomål.docx", "A 5911-2022")</f>
        <v/>
      </c>
      <c r="W55">
        <f>HYPERLINK("https://klasma.github.io/Logging_0580/klagomålsmail/A 5911-2022 FSC-klagomål mail.docx", "A 5911-2022")</f>
        <v/>
      </c>
      <c r="X55">
        <f>HYPERLINK("https://klasma.github.io/Logging_0580/tillsyn/A 5911-2022 tillsynsbegäran.docx", "A 5911-2022")</f>
        <v/>
      </c>
      <c r="Y55">
        <f>HYPERLINK("https://klasma.github.io/Logging_0580/tillsynsmail/A 5911-2022 tillsynsbegäran mail.docx", "A 5911-2022")</f>
        <v/>
      </c>
    </row>
    <row r="56" ht="15" customHeight="1">
      <c r="A56" t="inlineStr">
        <is>
          <t>A 27403-2025</t>
        </is>
      </c>
      <c r="B56" s="1" t="n">
        <v>45812.72518518518</v>
      </c>
      <c r="C56" s="1" t="n">
        <v>45940</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90-2024</t>
        </is>
      </c>
      <c r="B57" s="1" t="n">
        <v>45293</v>
      </c>
      <c r="C57" s="1" t="n">
        <v>45940</v>
      </c>
      <c r="D57" t="inlineStr">
        <is>
          <t>ÖSTERGÖTLANDS LÄN</t>
        </is>
      </c>
      <c r="E57" t="inlineStr">
        <is>
          <t>LINKÖPING</t>
        </is>
      </c>
      <c r="G57" t="n">
        <v>1.8</v>
      </c>
      <c r="H57" t="n">
        <v>0</v>
      </c>
      <c r="I57" t="n">
        <v>1</v>
      </c>
      <c r="J57" t="n">
        <v>0</v>
      </c>
      <c r="K57" t="n">
        <v>0</v>
      </c>
      <c r="L57" t="n">
        <v>0</v>
      </c>
      <c r="M57" t="n">
        <v>0</v>
      </c>
      <c r="N57" t="n">
        <v>0</v>
      </c>
      <c r="O57" t="n">
        <v>0</v>
      </c>
      <c r="P57" t="n">
        <v>0</v>
      </c>
      <c r="Q57" t="n">
        <v>1</v>
      </c>
      <c r="R57" s="2" t="inlineStr">
        <is>
          <t>Grov fjädermossa</t>
        </is>
      </c>
      <c r="S57">
        <f>HYPERLINK("https://klasma.github.io/Logging_0580/artfynd/A 90-2024 artfynd.xlsx", "A 90-2024")</f>
        <v/>
      </c>
      <c r="T57">
        <f>HYPERLINK("https://klasma.github.io/Logging_0580/kartor/A 90-2024 karta.png", "A 90-2024")</f>
        <v/>
      </c>
      <c r="V57">
        <f>HYPERLINK("https://klasma.github.io/Logging_0580/klagomål/A 90-2024 FSC-klagomål.docx", "A 90-2024")</f>
        <v/>
      </c>
      <c r="W57">
        <f>HYPERLINK("https://klasma.github.io/Logging_0580/klagomålsmail/A 90-2024 FSC-klagomål mail.docx", "A 90-2024")</f>
        <v/>
      </c>
      <c r="X57">
        <f>HYPERLINK("https://klasma.github.io/Logging_0580/tillsyn/A 90-2024 tillsynsbegäran.docx", "A 90-2024")</f>
        <v/>
      </c>
      <c r="Y57">
        <f>HYPERLINK("https://klasma.github.io/Logging_0580/tillsynsmail/A 90-2024 tillsynsbegäran mail.docx", "A 90-2024")</f>
        <v/>
      </c>
    </row>
    <row r="58" ht="15" customHeight="1">
      <c r="A58" t="inlineStr">
        <is>
          <t>A 40315-2024</t>
        </is>
      </c>
      <c r="B58" s="1" t="n">
        <v>45554.7571875</v>
      </c>
      <c r="C58" s="1" t="n">
        <v>45940</v>
      </c>
      <c r="D58" t="inlineStr">
        <is>
          <t>ÖSTERGÖTLANDS LÄN</t>
        </is>
      </c>
      <c r="E58" t="inlineStr">
        <is>
          <t>LINKÖPING</t>
        </is>
      </c>
      <c r="F58" t="inlineStr">
        <is>
          <t>Allmännings- och besparingsskogar</t>
        </is>
      </c>
      <c r="G58" t="n">
        <v>15.8</v>
      </c>
      <c r="H58" t="n">
        <v>0</v>
      </c>
      <c r="I58" t="n">
        <v>0</v>
      </c>
      <c r="J58" t="n">
        <v>0</v>
      </c>
      <c r="K58" t="n">
        <v>0</v>
      </c>
      <c r="L58" t="n">
        <v>0</v>
      </c>
      <c r="M58" t="n">
        <v>1</v>
      </c>
      <c r="N58" t="n">
        <v>0</v>
      </c>
      <c r="O58" t="n">
        <v>1</v>
      </c>
      <c r="P58" t="n">
        <v>1</v>
      </c>
      <c r="Q58" t="n">
        <v>1</v>
      </c>
      <c r="R58" s="2" t="inlineStr">
        <is>
          <t>Skogsalm</t>
        </is>
      </c>
      <c r="S58">
        <f>HYPERLINK("https://klasma.github.io/Logging_0580/artfynd/A 40315-2024 artfynd.xlsx", "A 40315-2024")</f>
        <v/>
      </c>
      <c r="T58">
        <f>HYPERLINK("https://klasma.github.io/Logging_0580/kartor/A 40315-2024 karta.png", "A 40315-2024")</f>
        <v/>
      </c>
      <c r="V58">
        <f>HYPERLINK("https://klasma.github.io/Logging_0580/klagomål/A 40315-2024 FSC-klagomål.docx", "A 40315-2024")</f>
        <v/>
      </c>
      <c r="W58">
        <f>HYPERLINK("https://klasma.github.io/Logging_0580/klagomålsmail/A 40315-2024 FSC-klagomål mail.docx", "A 40315-2024")</f>
        <v/>
      </c>
      <c r="X58">
        <f>HYPERLINK("https://klasma.github.io/Logging_0580/tillsyn/A 40315-2024 tillsynsbegäran.docx", "A 40315-2024")</f>
        <v/>
      </c>
      <c r="Y58">
        <f>HYPERLINK("https://klasma.github.io/Logging_0580/tillsynsmail/A 40315-2024 tillsynsbegäran mail.docx", "A 40315-2024")</f>
        <v/>
      </c>
    </row>
    <row r="59" ht="15" customHeight="1">
      <c r="A59" t="inlineStr">
        <is>
          <t>A 3395-2023</t>
        </is>
      </c>
      <c r="B59" s="1" t="n">
        <v>44949</v>
      </c>
      <c r="C59" s="1" t="n">
        <v>45940</v>
      </c>
      <c r="D59" t="inlineStr">
        <is>
          <t>ÖSTERGÖTLANDS LÄN</t>
        </is>
      </c>
      <c r="E59" t="inlineStr">
        <is>
          <t>LINKÖPING</t>
        </is>
      </c>
      <c r="G59" t="n">
        <v>2</v>
      </c>
      <c r="H59" t="n">
        <v>0</v>
      </c>
      <c r="I59" t="n">
        <v>0</v>
      </c>
      <c r="J59" t="n">
        <v>1</v>
      </c>
      <c r="K59" t="n">
        <v>0</v>
      </c>
      <c r="L59" t="n">
        <v>0</v>
      </c>
      <c r="M59" t="n">
        <v>0</v>
      </c>
      <c r="N59" t="n">
        <v>0</v>
      </c>
      <c r="O59" t="n">
        <v>1</v>
      </c>
      <c r="P59" t="n">
        <v>0</v>
      </c>
      <c r="Q59" t="n">
        <v>1</v>
      </c>
      <c r="R59" s="2" t="inlineStr">
        <is>
          <t>Sommarfibbla</t>
        </is>
      </c>
      <c r="S59">
        <f>HYPERLINK("https://klasma.github.io/Logging_0580/artfynd/A 3395-2023 artfynd.xlsx", "A 3395-2023")</f>
        <v/>
      </c>
      <c r="T59">
        <f>HYPERLINK("https://klasma.github.io/Logging_0580/kartor/A 3395-2023 karta.png", "A 3395-2023")</f>
        <v/>
      </c>
      <c r="V59">
        <f>HYPERLINK("https://klasma.github.io/Logging_0580/klagomål/A 3395-2023 FSC-klagomål.docx", "A 3395-2023")</f>
        <v/>
      </c>
      <c r="W59">
        <f>HYPERLINK("https://klasma.github.io/Logging_0580/klagomålsmail/A 3395-2023 FSC-klagomål mail.docx", "A 3395-2023")</f>
        <v/>
      </c>
      <c r="X59">
        <f>HYPERLINK("https://klasma.github.io/Logging_0580/tillsyn/A 3395-2023 tillsynsbegäran.docx", "A 3395-2023")</f>
        <v/>
      </c>
      <c r="Y59">
        <f>HYPERLINK("https://klasma.github.io/Logging_0580/tillsynsmail/A 3395-2023 tillsynsbegäran mail.docx", "A 3395-2023")</f>
        <v/>
      </c>
    </row>
    <row r="60" ht="15" customHeight="1">
      <c r="A60" t="inlineStr">
        <is>
          <t>A 19103-2021</t>
        </is>
      </c>
      <c r="B60" s="1" t="n">
        <v>44308</v>
      </c>
      <c r="C60" s="1" t="n">
        <v>45940</v>
      </c>
      <c r="D60" t="inlineStr">
        <is>
          <t>ÖSTERGÖTLANDS LÄN</t>
        </is>
      </c>
      <c r="E60" t="inlineStr">
        <is>
          <t>LINKÖPING</t>
        </is>
      </c>
      <c r="G60" t="n">
        <v>4.7</v>
      </c>
      <c r="H60" t="n">
        <v>0</v>
      </c>
      <c r="I60" t="n">
        <v>0</v>
      </c>
      <c r="J60" t="n">
        <v>1</v>
      </c>
      <c r="K60" t="n">
        <v>0</v>
      </c>
      <c r="L60" t="n">
        <v>0</v>
      </c>
      <c r="M60" t="n">
        <v>0</v>
      </c>
      <c r="N60" t="n">
        <v>0</v>
      </c>
      <c r="O60" t="n">
        <v>1</v>
      </c>
      <c r="P60" t="n">
        <v>0</v>
      </c>
      <c r="Q60" t="n">
        <v>1</v>
      </c>
      <c r="R60" s="2" t="inlineStr">
        <is>
          <t>Tallticka</t>
        </is>
      </c>
      <c r="S60">
        <f>HYPERLINK("https://klasma.github.io/Logging_0580/artfynd/A 19103-2021 artfynd.xlsx", "A 19103-2021")</f>
        <v/>
      </c>
      <c r="T60">
        <f>HYPERLINK("https://klasma.github.io/Logging_0580/kartor/A 19103-2021 karta.png", "A 19103-2021")</f>
        <v/>
      </c>
      <c r="V60">
        <f>HYPERLINK("https://klasma.github.io/Logging_0580/klagomål/A 19103-2021 FSC-klagomål.docx", "A 19103-2021")</f>
        <v/>
      </c>
      <c r="W60">
        <f>HYPERLINK("https://klasma.github.io/Logging_0580/klagomålsmail/A 19103-2021 FSC-klagomål mail.docx", "A 19103-2021")</f>
        <v/>
      </c>
      <c r="X60">
        <f>HYPERLINK("https://klasma.github.io/Logging_0580/tillsyn/A 19103-2021 tillsynsbegäran.docx", "A 19103-2021")</f>
        <v/>
      </c>
      <c r="Y60">
        <f>HYPERLINK("https://klasma.github.io/Logging_0580/tillsynsmail/A 19103-2021 tillsynsbegäran mail.docx", "A 19103-2021")</f>
        <v/>
      </c>
    </row>
    <row r="61" ht="15" customHeight="1">
      <c r="A61" t="inlineStr">
        <is>
          <t>A 15290-2025</t>
        </is>
      </c>
      <c r="B61" s="1" t="n">
        <v>45745.45288194445</v>
      </c>
      <c r="C61" s="1" t="n">
        <v>45940</v>
      </c>
      <c r="D61" t="inlineStr">
        <is>
          <t>ÖSTERGÖTLANDS LÄN</t>
        </is>
      </c>
      <c r="E61" t="inlineStr">
        <is>
          <t>LINKÖPING</t>
        </is>
      </c>
      <c r="G61" t="n">
        <v>18.4</v>
      </c>
      <c r="H61" t="n">
        <v>1</v>
      </c>
      <c r="I61" t="n">
        <v>0</v>
      </c>
      <c r="J61" t="n">
        <v>1</v>
      </c>
      <c r="K61" t="n">
        <v>0</v>
      </c>
      <c r="L61" t="n">
        <v>0</v>
      </c>
      <c r="M61" t="n">
        <v>0</v>
      </c>
      <c r="N61" t="n">
        <v>0</v>
      </c>
      <c r="O61" t="n">
        <v>1</v>
      </c>
      <c r="P61" t="n">
        <v>0</v>
      </c>
      <c r="Q61" t="n">
        <v>1</v>
      </c>
      <c r="R61" s="2" t="inlineStr">
        <is>
          <t>Havsörn</t>
        </is>
      </c>
      <c r="S61">
        <f>HYPERLINK("https://klasma.github.io/Logging_0580/artfynd/A 15290-2025 artfynd.xlsx", "A 15290-2025")</f>
        <v/>
      </c>
      <c r="T61">
        <f>HYPERLINK("https://klasma.github.io/Logging_0580/kartor/A 15290-2025 karta.png", "A 15290-2025")</f>
        <v/>
      </c>
      <c r="V61">
        <f>HYPERLINK("https://klasma.github.io/Logging_0580/klagomål/A 15290-2025 FSC-klagomål.docx", "A 15290-2025")</f>
        <v/>
      </c>
      <c r="W61">
        <f>HYPERLINK("https://klasma.github.io/Logging_0580/klagomålsmail/A 15290-2025 FSC-klagomål mail.docx", "A 15290-2025")</f>
        <v/>
      </c>
      <c r="X61">
        <f>HYPERLINK("https://klasma.github.io/Logging_0580/tillsyn/A 15290-2025 tillsynsbegäran.docx", "A 15290-2025")</f>
        <v/>
      </c>
      <c r="Y61">
        <f>HYPERLINK("https://klasma.github.io/Logging_0580/tillsynsmail/A 15290-2025 tillsynsbegäran mail.docx", "A 15290-2025")</f>
        <v/>
      </c>
      <c r="Z61">
        <f>HYPERLINK("https://klasma.github.io/Logging_0580/fåglar/A 15290-2025 prioriterade fågelarter.docx", "A 15290-2025")</f>
        <v/>
      </c>
    </row>
    <row r="62" ht="15" customHeight="1">
      <c r="A62" t="inlineStr">
        <is>
          <t>A 34881-2023</t>
        </is>
      </c>
      <c r="B62" s="1" t="n">
        <v>45140</v>
      </c>
      <c r="C62" s="1" t="n">
        <v>45940</v>
      </c>
      <c r="D62" t="inlineStr">
        <is>
          <t>ÖSTERGÖTLANDS LÄN</t>
        </is>
      </c>
      <c r="E62" t="inlineStr">
        <is>
          <t>LINKÖPING</t>
        </is>
      </c>
      <c r="G62" t="n">
        <v>1.9</v>
      </c>
      <c r="H62" t="n">
        <v>0</v>
      </c>
      <c r="I62" t="n">
        <v>0</v>
      </c>
      <c r="J62" t="n">
        <v>1</v>
      </c>
      <c r="K62" t="n">
        <v>0</v>
      </c>
      <c r="L62" t="n">
        <v>0</v>
      </c>
      <c r="M62" t="n">
        <v>0</v>
      </c>
      <c r="N62" t="n">
        <v>0</v>
      </c>
      <c r="O62" t="n">
        <v>1</v>
      </c>
      <c r="P62" t="n">
        <v>0</v>
      </c>
      <c r="Q62" t="n">
        <v>1</v>
      </c>
      <c r="R62" s="2" t="inlineStr">
        <is>
          <t>Tallticka</t>
        </is>
      </c>
      <c r="S62">
        <f>HYPERLINK("https://klasma.github.io/Logging_0580/artfynd/A 34881-2023 artfynd.xlsx", "A 34881-2023")</f>
        <v/>
      </c>
      <c r="T62">
        <f>HYPERLINK("https://klasma.github.io/Logging_0580/kartor/A 34881-2023 karta.png", "A 34881-2023")</f>
        <v/>
      </c>
      <c r="U62">
        <f>HYPERLINK("https://klasma.github.io/Logging_0580/knärot/A 34881-2023 karta knärot.png", "A 34881-2023")</f>
        <v/>
      </c>
      <c r="V62">
        <f>HYPERLINK("https://klasma.github.io/Logging_0580/klagomål/A 34881-2023 FSC-klagomål.docx", "A 34881-2023")</f>
        <v/>
      </c>
      <c r="W62">
        <f>HYPERLINK("https://klasma.github.io/Logging_0580/klagomålsmail/A 34881-2023 FSC-klagomål mail.docx", "A 34881-2023")</f>
        <v/>
      </c>
      <c r="X62">
        <f>HYPERLINK("https://klasma.github.io/Logging_0580/tillsyn/A 34881-2023 tillsynsbegäran.docx", "A 34881-2023")</f>
        <v/>
      </c>
      <c r="Y62">
        <f>HYPERLINK("https://klasma.github.io/Logging_0580/tillsynsmail/A 34881-2023 tillsynsbegäran mail.docx", "A 34881-2023")</f>
        <v/>
      </c>
    </row>
    <row r="63" ht="15" customHeight="1">
      <c r="A63" t="inlineStr">
        <is>
          <t>A 50806-2023</t>
        </is>
      </c>
      <c r="B63" s="1" t="n">
        <v>45217</v>
      </c>
      <c r="C63" s="1" t="n">
        <v>45940</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50471-2024</t>
        </is>
      </c>
      <c r="B64" s="1" t="n">
        <v>45601.47166666666</v>
      </c>
      <c r="C64" s="1" t="n">
        <v>45940</v>
      </c>
      <c r="D64" t="inlineStr">
        <is>
          <t>ÖSTERGÖTLANDS LÄN</t>
        </is>
      </c>
      <c r="E64" t="inlineStr">
        <is>
          <t>LINKÖPING</t>
        </is>
      </c>
      <c r="F64" t="inlineStr">
        <is>
          <t>Övriga Aktiebolag</t>
        </is>
      </c>
      <c r="G64" t="n">
        <v>2</v>
      </c>
      <c r="H64" t="n">
        <v>0</v>
      </c>
      <c r="I64" t="n">
        <v>1</v>
      </c>
      <c r="J64" t="n">
        <v>0</v>
      </c>
      <c r="K64" t="n">
        <v>0</v>
      </c>
      <c r="L64" t="n">
        <v>0</v>
      </c>
      <c r="M64" t="n">
        <v>0</v>
      </c>
      <c r="N64" t="n">
        <v>0</v>
      </c>
      <c r="O64" t="n">
        <v>0</v>
      </c>
      <c r="P64" t="n">
        <v>0</v>
      </c>
      <c r="Q64" t="n">
        <v>1</v>
      </c>
      <c r="R64" s="2" t="inlineStr">
        <is>
          <t>Västlig hakmossa</t>
        </is>
      </c>
      <c r="S64">
        <f>HYPERLINK("https://klasma.github.io/Logging_0580/artfynd/A 50471-2024 artfynd.xlsx", "A 50471-2024")</f>
        <v/>
      </c>
      <c r="T64">
        <f>HYPERLINK("https://klasma.github.io/Logging_0580/kartor/A 50471-2024 karta.png", "A 50471-2024")</f>
        <v/>
      </c>
      <c r="V64">
        <f>HYPERLINK("https://klasma.github.io/Logging_0580/klagomål/A 50471-2024 FSC-klagomål.docx", "A 50471-2024")</f>
        <v/>
      </c>
      <c r="W64">
        <f>HYPERLINK("https://klasma.github.io/Logging_0580/klagomålsmail/A 50471-2024 FSC-klagomål mail.docx", "A 50471-2024")</f>
        <v/>
      </c>
      <c r="X64">
        <f>HYPERLINK("https://klasma.github.io/Logging_0580/tillsyn/A 50471-2024 tillsynsbegäran.docx", "A 50471-2024")</f>
        <v/>
      </c>
      <c r="Y64">
        <f>HYPERLINK("https://klasma.github.io/Logging_0580/tillsynsmail/A 50471-2024 tillsynsbegäran mail.docx", "A 50471-2024")</f>
        <v/>
      </c>
    </row>
    <row r="65" ht="15" customHeight="1">
      <c r="A65" t="inlineStr">
        <is>
          <t>A 17389-2021</t>
        </is>
      </c>
      <c r="B65" s="1" t="n">
        <v>44298.96792824074</v>
      </c>
      <c r="C65" s="1" t="n">
        <v>45940</v>
      </c>
      <c r="D65" t="inlineStr">
        <is>
          <t>ÖSTERGÖTLANDS LÄN</t>
        </is>
      </c>
      <c r="E65" t="inlineStr">
        <is>
          <t>LINKÖPING</t>
        </is>
      </c>
      <c r="G65" t="n">
        <v>5.1</v>
      </c>
      <c r="H65" t="n">
        <v>0</v>
      </c>
      <c r="I65" t="n">
        <v>1</v>
      </c>
      <c r="J65" t="n">
        <v>0</v>
      </c>
      <c r="K65" t="n">
        <v>0</v>
      </c>
      <c r="L65" t="n">
        <v>0</v>
      </c>
      <c r="M65" t="n">
        <v>0</v>
      </c>
      <c r="N65" t="n">
        <v>0</v>
      </c>
      <c r="O65" t="n">
        <v>0</v>
      </c>
      <c r="P65" t="n">
        <v>0</v>
      </c>
      <c r="Q65" t="n">
        <v>1</v>
      </c>
      <c r="R65" s="2" t="inlineStr">
        <is>
          <t>Blomkålssvamp</t>
        </is>
      </c>
      <c r="S65">
        <f>HYPERLINK("https://klasma.github.io/Logging_0580/artfynd/A 17389-2021 artfynd.xlsx", "A 17389-2021")</f>
        <v/>
      </c>
      <c r="T65">
        <f>HYPERLINK("https://klasma.github.io/Logging_0580/kartor/A 17389-2021 karta.png", "A 17389-2021")</f>
        <v/>
      </c>
      <c r="V65">
        <f>HYPERLINK("https://klasma.github.io/Logging_0580/klagomål/A 17389-2021 FSC-klagomål.docx", "A 17389-2021")</f>
        <v/>
      </c>
      <c r="W65">
        <f>HYPERLINK("https://klasma.github.io/Logging_0580/klagomålsmail/A 17389-2021 FSC-klagomål mail.docx", "A 17389-2021")</f>
        <v/>
      </c>
      <c r="X65">
        <f>HYPERLINK("https://klasma.github.io/Logging_0580/tillsyn/A 17389-2021 tillsynsbegäran.docx", "A 17389-2021")</f>
        <v/>
      </c>
      <c r="Y65">
        <f>HYPERLINK("https://klasma.github.io/Logging_0580/tillsynsmail/A 17389-2021 tillsynsbegäran mail.docx", "A 17389-2021")</f>
        <v/>
      </c>
    </row>
    <row r="66" ht="15" customHeight="1">
      <c r="A66" t="inlineStr">
        <is>
          <t>A 22526-2025</t>
        </is>
      </c>
      <c r="B66" s="1" t="n">
        <v>45786.78096064815</v>
      </c>
      <c r="C66" s="1" t="n">
        <v>45940</v>
      </c>
      <c r="D66" t="inlineStr">
        <is>
          <t>ÖSTERGÖTLANDS LÄN</t>
        </is>
      </c>
      <c r="E66" t="inlineStr">
        <is>
          <t>LINKÖPING</t>
        </is>
      </c>
      <c r="G66" t="n">
        <v>1.8</v>
      </c>
      <c r="H66" t="n">
        <v>1</v>
      </c>
      <c r="I66" t="n">
        <v>0</v>
      </c>
      <c r="J66" t="n">
        <v>1</v>
      </c>
      <c r="K66" t="n">
        <v>0</v>
      </c>
      <c r="L66" t="n">
        <v>0</v>
      </c>
      <c r="M66" t="n">
        <v>0</v>
      </c>
      <c r="N66" t="n">
        <v>0</v>
      </c>
      <c r="O66" t="n">
        <v>1</v>
      </c>
      <c r="P66" t="n">
        <v>0</v>
      </c>
      <c r="Q66" t="n">
        <v>1</v>
      </c>
      <c r="R66" s="2" t="inlineStr">
        <is>
          <t>Röd skogslilja</t>
        </is>
      </c>
      <c r="S66">
        <f>HYPERLINK("https://klasma.github.io/Logging_0580/artfynd/A 22526-2025 artfynd.xlsx", "A 22526-2025")</f>
        <v/>
      </c>
      <c r="T66">
        <f>HYPERLINK("https://klasma.github.io/Logging_0580/kartor/A 22526-2025 karta.png", "A 22526-2025")</f>
        <v/>
      </c>
      <c r="V66">
        <f>HYPERLINK("https://klasma.github.io/Logging_0580/klagomål/A 22526-2025 FSC-klagomål.docx", "A 22526-2025")</f>
        <v/>
      </c>
      <c r="W66">
        <f>HYPERLINK("https://klasma.github.io/Logging_0580/klagomålsmail/A 22526-2025 FSC-klagomål mail.docx", "A 22526-2025")</f>
        <v/>
      </c>
      <c r="X66">
        <f>HYPERLINK("https://klasma.github.io/Logging_0580/tillsyn/A 22526-2025 tillsynsbegäran.docx", "A 22526-2025")</f>
        <v/>
      </c>
      <c r="Y66">
        <f>HYPERLINK("https://klasma.github.io/Logging_0580/tillsynsmail/A 22526-2025 tillsynsbegäran mail.docx", "A 22526-2025")</f>
        <v/>
      </c>
    </row>
    <row r="67" ht="15" customHeight="1">
      <c r="A67" t="inlineStr">
        <is>
          <t>A 36723-2023</t>
        </is>
      </c>
      <c r="B67" s="1" t="n">
        <v>45153</v>
      </c>
      <c r="C67" s="1" t="n">
        <v>45940</v>
      </c>
      <c r="D67" t="inlineStr">
        <is>
          <t>ÖSTERGÖTLANDS LÄN</t>
        </is>
      </c>
      <c r="E67" t="inlineStr">
        <is>
          <t>LINKÖPING</t>
        </is>
      </c>
      <c r="F67" t="inlineStr">
        <is>
          <t>Allmännings- och besparingsskogar</t>
        </is>
      </c>
      <c r="G67" t="n">
        <v>9.9</v>
      </c>
      <c r="H67" t="n">
        <v>0</v>
      </c>
      <c r="I67" t="n">
        <v>0</v>
      </c>
      <c r="J67" t="n">
        <v>0</v>
      </c>
      <c r="K67" t="n">
        <v>1</v>
      </c>
      <c r="L67" t="n">
        <v>0</v>
      </c>
      <c r="M67" t="n">
        <v>0</v>
      </c>
      <c r="N67" t="n">
        <v>0</v>
      </c>
      <c r="O67" t="n">
        <v>1</v>
      </c>
      <c r="P67" t="n">
        <v>1</v>
      </c>
      <c r="Q67" t="n">
        <v>1</v>
      </c>
      <c r="R67" s="2" t="inlineStr">
        <is>
          <t>Bitter taggsvamp</t>
        </is>
      </c>
      <c r="S67">
        <f>HYPERLINK("https://klasma.github.io/Logging_0580/artfynd/A 36723-2023 artfynd.xlsx", "A 36723-2023")</f>
        <v/>
      </c>
      <c r="T67">
        <f>HYPERLINK("https://klasma.github.io/Logging_0580/kartor/A 36723-2023 karta.png", "A 36723-2023")</f>
        <v/>
      </c>
      <c r="V67">
        <f>HYPERLINK("https://klasma.github.io/Logging_0580/klagomål/A 36723-2023 FSC-klagomål.docx", "A 36723-2023")</f>
        <v/>
      </c>
      <c r="W67">
        <f>HYPERLINK("https://klasma.github.io/Logging_0580/klagomålsmail/A 36723-2023 FSC-klagomål mail.docx", "A 36723-2023")</f>
        <v/>
      </c>
      <c r="X67">
        <f>HYPERLINK("https://klasma.github.io/Logging_0580/tillsyn/A 36723-2023 tillsynsbegäran.docx", "A 36723-2023")</f>
        <v/>
      </c>
      <c r="Y67">
        <f>HYPERLINK("https://klasma.github.io/Logging_0580/tillsynsmail/A 36723-2023 tillsynsbegäran mail.docx", "A 36723-2023")</f>
        <v/>
      </c>
    </row>
    <row r="68" ht="15" customHeight="1">
      <c r="A68" t="inlineStr">
        <is>
          <t>A 56128-2022</t>
        </is>
      </c>
      <c r="B68" s="1" t="n">
        <v>44889</v>
      </c>
      <c r="C68" s="1" t="n">
        <v>45940</v>
      </c>
      <c r="D68" t="inlineStr">
        <is>
          <t>ÖSTERGÖTLANDS LÄN</t>
        </is>
      </c>
      <c r="E68" t="inlineStr">
        <is>
          <t>LINKÖPING</t>
        </is>
      </c>
      <c r="G68" t="n">
        <v>2</v>
      </c>
      <c r="H68" t="n">
        <v>0</v>
      </c>
      <c r="I68" t="n">
        <v>1</v>
      </c>
      <c r="J68" t="n">
        <v>0</v>
      </c>
      <c r="K68" t="n">
        <v>0</v>
      </c>
      <c r="L68" t="n">
        <v>0</v>
      </c>
      <c r="M68" t="n">
        <v>0</v>
      </c>
      <c r="N68" t="n">
        <v>0</v>
      </c>
      <c r="O68" t="n">
        <v>0</v>
      </c>
      <c r="P68" t="n">
        <v>0</v>
      </c>
      <c r="Q68" t="n">
        <v>1</v>
      </c>
      <c r="R68" s="2" t="inlineStr">
        <is>
          <t>Tibast</t>
        </is>
      </c>
      <c r="S68">
        <f>HYPERLINK("https://klasma.github.io/Logging_0580/artfynd/A 56128-2022 artfynd.xlsx", "A 56128-2022")</f>
        <v/>
      </c>
      <c r="T68">
        <f>HYPERLINK("https://klasma.github.io/Logging_0580/kartor/A 56128-2022 karta.png", "A 56128-2022")</f>
        <v/>
      </c>
      <c r="V68">
        <f>HYPERLINK("https://klasma.github.io/Logging_0580/klagomål/A 56128-2022 FSC-klagomål.docx", "A 56128-2022")</f>
        <v/>
      </c>
      <c r="W68">
        <f>HYPERLINK("https://klasma.github.io/Logging_0580/klagomålsmail/A 56128-2022 FSC-klagomål mail.docx", "A 56128-2022")</f>
        <v/>
      </c>
      <c r="X68">
        <f>HYPERLINK("https://klasma.github.io/Logging_0580/tillsyn/A 56128-2022 tillsynsbegäran.docx", "A 56128-2022")</f>
        <v/>
      </c>
      <c r="Y68">
        <f>HYPERLINK("https://klasma.github.io/Logging_0580/tillsynsmail/A 56128-2022 tillsynsbegäran mail.docx", "A 56128-2022")</f>
        <v/>
      </c>
    </row>
    <row r="69" ht="15" customHeight="1">
      <c r="A69" t="inlineStr">
        <is>
          <t>A 40309-2024</t>
        </is>
      </c>
      <c r="B69" s="1" t="n">
        <v>45554.724375</v>
      </c>
      <c r="C69" s="1" t="n">
        <v>45940</v>
      </c>
      <c r="D69" t="inlineStr">
        <is>
          <t>ÖSTERGÖTLANDS LÄN</t>
        </is>
      </c>
      <c r="E69" t="inlineStr">
        <is>
          <t>LINKÖPING</t>
        </is>
      </c>
      <c r="F69" t="inlineStr">
        <is>
          <t>Allmännings- och besparingsskogar</t>
        </is>
      </c>
      <c r="G69" t="n">
        <v>6</v>
      </c>
      <c r="H69" t="n">
        <v>0</v>
      </c>
      <c r="I69" t="n">
        <v>0</v>
      </c>
      <c r="J69" t="n">
        <v>1</v>
      </c>
      <c r="K69" t="n">
        <v>0</v>
      </c>
      <c r="L69" t="n">
        <v>0</v>
      </c>
      <c r="M69" t="n">
        <v>0</v>
      </c>
      <c r="N69" t="n">
        <v>0</v>
      </c>
      <c r="O69" t="n">
        <v>1</v>
      </c>
      <c r="P69" t="n">
        <v>0</v>
      </c>
      <c r="Q69" t="n">
        <v>1</v>
      </c>
      <c r="R69" s="2" t="inlineStr">
        <is>
          <t>Garnlav</t>
        </is>
      </c>
      <c r="S69">
        <f>HYPERLINK("https://klasma.github.io/Logging_0580/artfynd/A 40309-2024 artfynd.xlsx", "A 40309-2024")</f>
        <v/>
      </c>
      <c r="T69">
        <f>HYPERLINK("https://klasma.github.io/Logging_0580/kartor/A 40309-2024 karta.png", "A 40309-2024")</f>
        <v/>
      </c>
      <c r="V69">
        <f>HYPERLINK("https://klasma.github.io/Logging_0580/klagomål/A 40309-2024 FSC-klagomål.docx", "A 40309-2024")</f>
        <v/>
      </c>
      <c r="W69">
        <f>HYPERLINK("https://klasma.github.io/Logging_0580/klagomålsmail/A 40309-2024 FSC-klagomål mail.docx", "A 40309-2024")</f>
        <v/>
      </c>
      <c r="X69">
        <f>HYPERLINK("https://klasma.github.io/Logging_0580/tillsyn/A 40309-2024 tillsynsbegäran.docx", "A 40309-2024")</f>
        <v/>
      </c>
      <c r="Y69">
        <f>HYPERLINK("https://klasma.github.io/Logging_0580/tillsynsmail/A 40309-2024 tillsynsbegäran mail.docx", "A 40309-2024")</f>
        <v/>
      </c>
    </row>
    <row r="70" ht="15" customHeight="1">
      <c r="A70" t="inlineStr">
        <is>
          <t>A 48347-2025</t>
        </is>
      </c>
      <c r="B70" s="1" t="n">
        <v>45932</v>
      </c>
      <c r="C70" s="1" t="n">
        <v>45940</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48353-2025</t>
        </is>
      </c>
      <c r="B71" s="1" t="n">
        <v>45932</v>
      </c>
      <c r="C71" s="1" t="n">
        <v>45940</v>
      </c>
      <c r="D71" t="inlineStr">
        <is>
          <t>ÖSTERGÖTLANDS LÄN</t>
        </is>
      </c>
      <c r="E71" t="inlineStr">
        <is>
          <t>LINKÖPING</t>
        </is>
      </c>
      <c r="F71" t="inlineStr">
        <is>
          <t>Övriga Aktiebolag</t>
        </is>
      </c>
      <c r="G71" t="n">
        <v>4.5</v>
      </c>
      <c r="H71" t="n">
        <v>1</v>
      </c>
      <c r="I71" t="n">
        <v>0</v>
      </c>
      <c r="J71" t="n">
        <v>1</v>
      </c>
      <c r="K71" t="n">
        <v>0</v>
      </c>
      <c r="L71" t="n">
        <v>0</v>
      </c>
      <c r="M71" t="n">
        <v>0</v>
      </c>
      <c r="N71" t="n">
        <v>0</v>
      </c>
      <c r="O71" t="n">
        <v>1</v>
      </c>
      <c r="P71" t="n">
        <v>0</v>
      </c>
      <c r="Q71" t="n">
        <v>1</v>
      </c>
      <c r="R71" s="2" t="inlineStr">
        <is>
          <t>Entita</t>
        </is>
      </c>
      <c r="S71">
        <f>HYPERLINK("https://klasma.github.io/Logging_0580/artfynd/A 48353-2025 artfynd.xlsx", "A 48353-2025")</f>
        <v/>
      </c>
      <c r="T71">
        <f>HYPERLINK("https://klasma.github.io/Logging_0580/kartor/A 48353-2025 karta.png", "A 48353-2025")</f>
        <v/>
      </c>
      <c r="V71">
        <f>HYPERLINK("https://klasma.github.io/Logging_0580/klagomål/A 48353-2025 FSC-klagomål.docx", "A 48353-2025")</f>
        <v/>
      </c>
      <c r="W71">
        <f>HYPERLINK("https://klasma.github.io/Logging_0580/klagomålsmail/A 48353-2025 FSC-klagomål mail.docx", "A 48353-2025")</f>
        <v/>
      </c>
      <c r="X71">
        <f>HYPERLINK("https://klasma.github.io/Logging_0580/tillsyn/A 48353-2025 tillsynsbegäran.docx", "A 48353-2025")</f>
        <v/>
      </c>
      <c r="Y71">
        <f>HYPERLINK("https://klasma.github.io/Logging_0580/tillsynsmail/A 48353-2025 tillsynsbegäran mail.docx", "A 48353-2025")</f>
        <v/>
      </c>
      <c r="Z71">
        <f>HYPERLINK("https://klasma.github.io/Logging_0580/fåglar/A 48353-2025 prioriterade fågelarter.docx", "A 48353-2025")</f>
        <v/>
      </c>
    </row>
    <row r="72" ht="15" customHeight="1">
      <c r="A72" t="inlineStr">
        <is>
          <t>A 48273-2025</t>
        </is>
      </c>
      <c r="B72" s="1" t="n">
        <v>45932</v>
      </c>
      <c r="C72" s="1" t="n">
        <v>45940</v>
      </c>
      <c r="D72" t="inlineStr">
        <is>
          <t>ÖSTERGÖTLANDS LÄN</t>
        </is>
      </c>
      <c r="E72" t="inlineStr">
        <is>
          <t>LINKÖPING</t>
        </is>
      </c>
      <c r="F72" t="inlineStr">
        <is>
          <t>Övriga Aktiebolag</t>
        </is>
      </c>
      <c r="G72" t="n">
        <v>4.6</v>
      </c>
      <c r="H72" t="n">
        <v>0</v>
      </c>
      <c r="I72" t="n">
        <v>0</v>
      </c>
      <c r="J72" t="n">
        <v>1</v>
      </c>
      <c r="K72" t="n">
        <v>0</v>
      </c>
      <c r="L72" t="n">
        <v>0</v>
      </c>
      <c r="M72" t="n">
        <v>0</v>
      </c>
      <c r="N72" t="n">
        <v>0</v>
      </c>
      <c r="O72" t="n">
        <v>1</v>
      </c>
      <c r="P72" t="n">
        <v>0</v>
      </c>
      <c r="Q72" t="n">
        <v>1</v>
      </c>
      <c r="R72" s="2" t="inlineStr">
        <is>
          <t>Barrviolspindling</t>
        </is>
      </c>
      <c r="S72">
        <f>HYPERLINK("https://klasma.github.io/Logging_0580/artfynd/A 48273-2025 artfynd.xlsx", "A 48273-2025")</f>
        <v/>
      </c>
      <c r="T72">
        <f>HYPERLINK("https://klasma.github.io/Logging_0580/kartor/A 48273-2025 karta.png", "A 48273-2025")</f>
        <v/>
      </c>
      <c r="V72">
        <f>HYPERLINK("https://klasma.github.io/Logging_0580/klagomål/A 48273-2025 FSC-klagomål.docx", "A 48273-2025")</f>
        <v/>
      </c>
      <c r="W72">
        <f>HYPERLINK("https://klasma.github.io/Logging_0580/klagomålsmail/A 48273-2025 FSC-klagomål mail.docx", "A 48273-2025")</f>
        <v/>
      </c>
      <c r="X72">
        <f>HYPERLINK("https://klasma.github.io/Logging_0580/tillsyn/A 48273-2025 tillsynsbegäran.docx", "A 48273-2025")</f>
        <v/>
      </c>
      <c r="Y72">
        <f>HYPERLINK("https://klasma.github.io/Logging_0580/tillsynsmail/A 48273-2025 tillsynsbegäran mail.docx", "A 48273-2025")</f>
        <v/>
      </c>
    </row>
    <row r="73" ht="15" customHeight="1">
      <c r="A73" t="inlineStr">
        <is>
          <t>A 48298-2025</t>
        </is>
      </c>
      <c r="B73" s="1" t="n">
        <v>45932</v>
      </c>
      <c r="C73" s="1" t="n">
        <v>45940</v>
      </c>
      <c r="D73" t="inlineStr">
        <is>
          <t>ÖSTERGÖTLANDS LÄN</t>
        </is>
      </c>
      <c r="E73" t="inlineStr">
        <is>
          <t>LINKÖPING</t>
        </is>
      </c>
      <c r="F73" t="inlineStr">
        <is>
          <t>Övriga Aktiebolag</t>
        </is>
      </c>
      <c r="G73" t="n">
        <v>1.7</v>
      </c>
      <c r="H73" t="n">
        <v>0</v>
      </c>
      <c r="I73" t="n">
        <v>1</v>
      </c>
      <c r="J73" t="n">
        <v>0</v>
      </c>
      <c r="K73" t="n">
        <v>0</v>
      </c>
      <c r="L73" t="n">
        <v>0</v>
      </c>
      <c r="M73" t="n">
        <v>0</v>
      </c>
      <c r="N73" t="n">
        <v>0</v>
      </c>
      <c r="O73" t="n">
        <v>0</v>
      </c>
      <c r="P73" t="n">
        <v>0</v>
      </c>
      <c r="Q73" t="n">
        <v>1</v>
      </c>
      <c r="R73" s="2" t="inlineStr">
        <is>
          <t>Västlig hakmossa</t>
        </is>
      </c>
      <c r="S73">
        <f>HYPERLINK("https://klasma.github.io/Logging_0580/artfynd/A 48298-2025 artfynd.xlsx", "A 48298-2025")</f>
        <v/>
      </c>
      <c r="T73">
        <f>HYPERLINK("https://klasma.github.io/Logging_0580/kartor/A 48298-2025 karta.png", "A 48298-2025")</f>
        <v/>
      </c>
      <c r="V73">
        <f>HYPERLINK("https://klasma.github.io/Logging_0580/klagomål/A 48298-2025 FSC-klagomål.docx", "A 48298-2025")</f>
        <v/>
      </c>
      <c r="W73">
        <f>HYPERLINK("https://klasma.github.io/Logging_0580/klagomålsmail/A 48298-2025 FSC-klagomål mail.docx", "A 48298-2025")</f>
        <v/>
      </c>
      <c r="X73">
        <f>HYPERLINK("https://klasma.github.io/Logging_0580/tillsyn/A 48298-2025 tillsynsbegäran.docx", "A 48298-2025")</f>
        <v/>
      </c>
      <c r="Y73">
        <f>HYPERLINK("https://klasma.github.io/Logging_0580/tillsynsmail/A 48298-2025 tillsynsbegäran mail.docx", "A 48298-2025")</f>
        <v/>
      </c>
    </row>
    <row r="74" ht="15" customHeight="1">
      <c r="A74" t="inlineStr">
        <is>
          <t>A 35948-2023</t>
        </is>
      </c>
      <c r="B74" s="1" t="n">
        <v>45148</v>
      </c>
      <c r="C74" s="1" t="n">
        <v>45940</v>
      </c>
      <c r="D74" t="inlineStr">
        <is>
          <t>ÖSTERGÖTLANDS LÄN</t>
        </is>
      </c>
      <c r="E74" t="inlineStr">
        <is>
          <t>LINKÖPING</t>
        </is>
      </c>
      <c r="G74" t="n">
        <v>1.9</v>
      </c>
      <c r="H74" t="n">
        <v>0</v>
      </c>
      <c r="I74" t="n">
        <v>1</v>
      </c>
      <c r="J74" t="n">
        <v>0</v>
      </c>
      <c r="K74" t="n">
        <v>0</v>
      </c>
      <c r="L74" t="n">
        <v>0</v>
      </c>
      <c r="M74" t="n">
        <v>0</v>
      </c>
      <c r="N74" t="n">
        <v>0</v>
      </c>
      <c r="O74" t="n">
        <v>0</v>
      </c>
      <c r="P74" t="n">
        <v>0</v>
      </c>
      <c r="Q74" t="n">
        <v>1</v>
      </c>
      <c r="R74" s="2" t="inlineStr">
        <is>
          <t>Brun nållav</t>
        </is>
      </c>
      <c r="S74">
        <f>HYPERLINK("https://klasma.github.io/Logging_0580/artfynd/A 35948-2023 artfynd.xlsx", "A 35948-2023")</f>
        <v/>
      </c>
      <c r="T74">
        <f>HYPERLINK("https://klasma.github.io/Logging_0580/kartor/A 35948-2023 karta.png", "A 35948-2023")</f>
        <v/>
      </c>
      <c r="V74">
        <f>HYPERLINK("https://klasma.github.io/Logging_0580/klagomål/A 35948-2023 FSC-klagomål.docx", "A 35948-2023")</f>
        <v/>
      </c>
      <c r="W74">
        <f>HYPERLINK("https://klasma.github.io/Logging_0580/klagomålsmail/A 35948-2023 FSC-klagomål mail.docx", "A 35948-2023")</f>
        <v/>
      </c>
      <c r="X74">
        <f>HYPERLINK("https://klasma.github.io/Logging_0580/tillsyn/A 35948-2023 tillsynsbegäran.docx", "A 35948-2023")</f>
        <v/>
      </c>
      <c r="Y74">
        <f>HYPERLINK("https://klasma.github.io/Logging_0580/tillsynsmail/A 35948-2023 tillsynsbegäran mail.docx", "A 35948-2023")</f>
        <v/>
      </c>
    </row>
    <row r="75" ht="15" customHeight="1">
      <c r="A75" t="inlineStr">
        <is>
          <t>A 62071-2023</t>
        </is>
      </c>
      <c r="B75" s="1" t="n">
        <v>45266.73542824074</v>
      </c>
      <c r="C75" s="1" t="n">
        <v>45940</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3397-2023</t>
        </is>
      </c>
      <c r="B76" s="1" t="n">
        <v>44949</v>
      </c>
      <c r="C76" s="1" t="n">
        <v>45940</v>
      </c>
      <c r="D76" t="inlineStr">
        <is>
          <t>ÖSTERGÖTLANDS LÄN</t>
        </is>
      </c>
      <c r="E76" t="inlineStr">
        <is>
          <t>LINKÖPING</t>
        </is>
      </c>
      <c r="G76" t="n">
        <v>4.1</v>
      </c>
      <c r="H76" t="n">
        <v>0</v>
      </c>
      <c r="I76" t="n">
        <v>0</v>
      </c>
      <c r="J76" t="n">
        <v>1</v>
      </c>
      <c r="K76" t="n">
        <v>0</v>
      </c>
      <c r="L76" t="n">
        <v>0</v>
      </c>
      <c r="M76" t="n">
        <v>0</v>
      </c>
      <c r="N76" t="n">
        <v>0</v>
      </c>
      <c r="O76" t="n">
        <v>1</v>
      </c>
      <c r="P76" t="n">
        <v>0</v>
      </c>
      <c r="Q76" t="n">
        <v>1</v>
      </c>
      <c r="R76" s="2" t="inlineStr">
        <is>
          <t>Svinrot</t>
        </is>
      </c>
      <c r="S76">
        <f>HYPERLINK("https://klasma.github.io/Logging_0580/artfynd/A 3397-2023 artfynd.xlsx", "A 3397-2023")</f>
        <v/>
      </c>
      <c r="T76">
        <f>HYPERLINK("https://klasma.github.io/Logging_0580/kartor/A 3397-2023 karta.png", "A 3397-2023")</f>
        <v/>
      </c>
      <c r="V76">
        <f>HYPERLINK("https://klasma.github.io/Logging_0580/klagomål/A 3397-2023 FSC-klagomål.docx", "A 3397-2023")</f>
        <v/>
      </c>
      <c r="W76">
        <f>HYPERLINK("https://klasma.github.io/Logging_0580/klagomålsmail/A 3397-2023 FSC-klagomål mail.docx", "A 3397-2023")</f>
        <v/>
      </c>
      <c r="X76">
        <f>HYPERLINK("https://klasma.github.io/Logging_0580/tillsyn/A 3397-2023 tillsynsbegäran.docx", "A 3397-2023")</f>
        <v/>
      </c>
      <c r="Y76">
        <f>HYPERLINK("https://klasma.github.io/Logging_0580/tillsynsmail/A 3397-2023 tillsynsbegäran mail.docx", "A 3397-2023")</f>
        <v/>
      </c>
    </row>
    <row r="77" ht="15" customHeight="1">
      <c r="A77" t="inlineStr">
        <is>
          <t>A 54835-2023</t>
        </is>
      </c>
      <c r="B77" s="1" t="n">
        <v>45236</v>
      </c>
      <c r="C77" s="1" t="n">
        <v>45940</v>
      </c>
      <c r="D77" t="inlineStr">
        <is>
          <t>ÖSTERGÖTLANDS LÄN</t>
        </is>
      </c>
      <c r="E77" t="inlineStr">
        <is>
          <t>LINKÖPING</t>
        </is>
      </c>
      <c r="G77" t="n">
        <v>2</v>
      </c>
      <c r="H77" t="n">
        <v>1</v>
      </c>
      <c r="I77" t="n">
        <v>0</v>
      </c>
      <c r="J77" t="n">
        <v>0</v>
      </c>
      <c r="K77" t="n">
        <v>0</v>
      </c>
      <c r="L77" t="n">
        <v>0</v>
      </c>
      <c r="M77" t="n">
        <v>0</v>
      </c>
      <c r="N77" t="n">
        <v>0</v>
      </c>
      <c r="O77" t="n">
        <v>0</v>
      </c>
      <c r="P77" t="n">
        <v>0</v>
      </c>
      <c r="Q77" t="n">
        <v>1</v>
      </c>
      <c r="R77" s="2" t="inlineStr">
        <is>
          <t>Sparvuggla</t>
        </is>
      </c>
      <c r="S77">
        <f>HYPERLINK("https://klasma.github.io/Logging_0580/artfynd/A 54835-2023 artfynd.xlsx", "A 54835-2023")</f>
        <v/>
      </c>
      <c r="T77">
        <f>HYPERLINK("https://klasma.github.io/Logging_0580/kartor/A 54835-2023 karta.png", "A 54835-2023")</f>
        <v/>
      </c>
      <c r="V77">
        <f>HYPERLINK("https://klasma.github.io/Logging_0580/klagomål/A 54835-2023 FSC-klagomål.docx", "A 54835-2023")</f>
        <v/>
      </c>
      <c r="W77">
        <f>HYPERLINK("https://klasma.github.io/Logging_0580/klagomålsmail/A 54835-2023 FSC-klagomål mail.docx", "A 54835-2023")</f>
        <v/>
      </c>
      <c r="X77">
        <f>HYPERLINK("https://klasma.github.io/Logging_0580/tillsyn/A 54835-2023 tillsynsbegäran.docx", "A 54835-2023")</f>
        <v/>
      </c>
      <c r="Y77">
        <f>HYPERLINK("https://klasma.github.io/Logging_0580/tillsynsmail/A 54835-2023 tillsynsbegäran mail.docx", "A 54835-2023")</f>
        <v/>
      </c>
      <c r="Z77">
        <f>HYPERLINK("https://klasma.github.io/Logging_0580/fåglar/A 54835-2023 prioriterade fågelarter.docx", "A 54835-2023")</f>
        <v/>
      </c>
    </row>
    <row r="78" ht="15" customHeight="1">
      <c r="A78" t="inlineStr">
        <is>
          <t>A 43989-2025</t>
        </is>
      </c>
      <c r="B78" s="1" t="n">
        <v>45915.44128472222</v>
      </c>
      <c r="C78" s="1" t="n">
        <v>45940</v>
      </c>
      <c r="D78" t="inlineStr">
        <is>
          <t>ÖSTERGÖTLANDS LÄN</t>
        </is>
      </c>
      <c r="E78" t="inlineStr">
        <is>
          <t>LINKÖPING</t>
        </is>
      </c>
      <c r="F78" t="inlineStr">
        <is>
          <t>Allmännings- och besparingsskogar</t>
        </is>
      </c>
      <c r="G78" t="n">
        <v>3.5</v>
      </c>
      <c r="H78" t="n">
        <v>0</v>
      </c>
      <c r="I78" t="n">
        <v>0</v>
      </c>
      <c r="J78" t="n">
        <v>1</v>
      </c>
      <c r="K78" t="n">
        <v>0</v>
      </c>
      <c r="L78" t="n">
        <v>0</v>
      </c>
      <c r="M78" t="n">
        <v>0</v>
      </c>
      <c r="N78" t="n">
        <v>0</v>
      </c>
      <c r="O78" t="n">
        <v>1</v>
      </c>
      <c r="P78" t="n">
        <v>0</v>
      </c>
      <c r="Q78" t="n">
        <v>1</v>
      </c>
      <c r="R78" s="2" t="inlineStr">
        <is>
          <t>Kavelhirs</t>
        </is>
      </c>
      <c r="S78">
        <f>HYPERLINK("https://klasma.github.io/Logging_0580/artfynd/A 43989-2025 artfynd.xlsx", "A 43989-2025")</f>
        <v/>
      </c>
      <c r="T78">
        <f>HYPERLINK("https://klasma.github.io/Logging_0580/kartor/A 43989-2025 karta.png", "A 43989-2025")</f>
        <v/>
      </c>
      <c r="V78">
        <f>HYPERLINK("https://klasma.github.io/Logging_0580/klagomål/A 43989-2025 FSC-klagomål.docx", "A 43989-2025")</f>
        <v/>
      </c>
      <c r="W78">
        <f>HYPERLINK("https://klasma.github.io/Logging_0580/klagomålsmail/A 43989-2025 FSC-klagomål mail.docx", "A 43989-2025")</f>
        <v/>
      </c>
      <c r="X78">
        <f>HYPERLINK("https://klasma.github.io/Logging_0580/tillsyn/A 43989-2025 tillsynsbegäran.docx", "A 43989-2025")</f>
        <v/>
      </c>
      <c r="Y78">
        <f>HYPERLINK("https://klasma.github.io/Logging_0580/tillsynsmail/A 43989-2025 tillsynsbegäran mail.docx", "A 43989-2025")</f>
        <v/>
      </c>
    </row>
    <row r="79" ht="15" customHeight="1">
      <c r="A79" t="inlineStr">
        <is>
          <t>A 44760-2025</t>
        </is>
      </c>
      <c r="B79" s="1" t="n">
        <v>45917.71873842592</v>
      </c>
      <c r="C79" s="1" t="n">
        <v>45940</v>
      </c>
      <c r="D79" t="inlineStr">
        <is>
          <t>ÖSTERGÖTLANDS LÄN</t>
        </is>
      </c>
      <c r="E79" t="inlineStr">
        <is>
          <t>LINKÖPING</t>
        </is>
      </c>
      <c r="G79" t="n">
        <v>0.9</v>
      </c>
      <c r="H79" t="n">
        <v>0</v>
      </c>
      <c r="I79" t="n">
        <v>0</v>
      </c>
      <c r="J79" t="n">
        <v>1</v>
      </c>
      <c r="K79" t="n">
        <v>0</v>
      </c>
      <c r="L79" t="n">
        <v>0</v>
      </c>
      <c r="M79" t="n">
        <v>0</v>
      </c>
      <c r="N79" t="n">
        <v>0</v>
      </c>
      <c r="O79" t="n">
        <v>1</v>
      </c>
      <c r="P79" t="n">
        <v>0</v>
      </c>
      <c r="Q79" t="n">
        <v>1</v>
      </c>
      <c r="R79" s="2" t="inlineStr">
        <is>
          <t>Tallticka</t>
        </is>
      </c>
      <c r="S79">
        <f>HYPERLINK("https://klasma.github.io/Logging_0580/artfynd/A 44760-2025 artfynd.xlsx", "A 44760-2025")</f>
        <v/>
      </c>
      <c r="T79">
        <f>HYPERLINK("https://klasma.github.io/Logging_0580/kartor/A 44760-2025 karta.png", "A 44760-2025")</f>
        <v/>
      </c>
      <c r="V79">
        <f>HYPERLINK("https://klasma.github.io/Logging_0580/klagomål/A 44760-2025 FSC-klagomål.docx", "A 44760-2025")</f>
        <v/>
      </c>
      <c r="W79">
        <f>HYPERLINK("https://klasma.github.io/Logging_0580/klagomålsmail/A 44760-2025 FSC-klagomål mail.docx", "A 44760-2025")</f>
        <v/>
      </c>
      <c r="X79">
        <f>HYPERLINK("https://klasma.github.io/Logging_0580/tillsyn/A 44760-2025 tillsynsbegäran.docx", "A 44760-2025")</f>
        <v/>
      </c>
      <c r="Y79">
        <f>HYPERLINK("https://klasma.github.io/Logging_0580/tillsynsmail/A 44760-2025 tillsynsbegäran mail.docx", "A 44760-2025")</f>
        <v/>
      </c>
    </row>
    <row r="80" ht="15" customHeight="1">
      <c r="A80" t="inlineStr">
        <is>
          <t>A 126-2024</t>
        </is>
      </c>
      <c r="B80" s="1" t="n">
        <v>45294</v>
      </c>
      <c r="C80" s="1" t="n">
        <v>45940</v>
      </c>
      <c r="D80" t="inlineStr">
        <is>
          <t>ÖSTERGÖTLANDS LÄN</t>
        </is>
      </c>
      <c r="E80" t="inlineStr">
        <is>
          <t>LINKÖPING</t>
        </is>
      </c>
      <c r="G80" t="n">
        <v>1</v>
      </c>
      <c r="H80" t="n">
        <v>0</v>
      </c>
      <c r="I80" t="n">
        <v>1</v>
      </c>
      <c r="J80" t="n">
        <v>0</v>
      </c>
      <c r="K80" t="n">
        <v>0</v>
      </c>
      <c r="L80" t="n">
        <v>0</v>
      </c>
      <c r="M80" t="n">
        <v>0</v>
      </c>
      <c r="N80" t="n">
        <v>0</v>
      </c>
      <c r="O80" t="n">
        <v>0</v>
      </c>
      <c r="P80" t="n">
        <v>0</v>
      </c>
      <c r="Q80" t="n">
        <v>1</v>
      </c>
      <c r="R80" s="2" t="inlineStr">
        <is>
          <t>Blåmossa</t>
        </is>
      </c>
      <c r="S80">
        <f>HYPERLINK("https://klasma.github.io/Logging_0580/artfynd/A 126-2024 artfynd.xlsx", "A 126-2024")</f>
        <v/>
      </c>
      <c r="T80">
        <f>HYPERLINK("https://klasma.github.io/Logging_0580/kartor/A 126-2024 karta.png", "A 126-2024")</f>
        <v/>
      </c>
      <c r="V80">
        <f>HYPERLINK("https://klasma.github.io/Logging_0580/klagomål/A 126-2024 FSC-klagomål.docx", "A 126-2024")</f>
        <v/>
      </c>
      <c r="W80">
        <f>HYPERLINK("https://klasma.github.io/Logging_0580/klagomålsmail/A 126-2024 FSC-klagomål mail.docx", "A 126-2024")</f>
        <v/>
      </c>
      <c r="X80">
        <f>HYPERLINK("https://klasma.github.io/Logging_0580/tillsyn/A 126-2024 tillsynsbegäran.docx", "A 126-2024")</f>
        <v/>
      </c>
      <c r="Y80">
        <f>HYPERLINK("https://klasma.github.io/Logging_0580/tillsynsmail/A 126-2024 tillsynsbegäran mail.docx", "A 126-2024")</f>
        <v/>
      </c>
    </row>
    <row r="81" ht="15" customHeight="1">
      <c r="A81" t="inlineStr">
        <is>
          <t>A 20295-2025</t>
        </is>
      </c>
      <c r="B81" s="1" t="n">
        <v>45774.74846064814</v>
      </c>
      <c r="C81" s="1" t="n">
        <v>45940</v>
      </c>
      <c r="D81" t="inlineStr">
        <is>
          <t>ÖSTERGÖTLANDS LÄN</t>
        </is>
      </c>
      <c r="E81" t="inlineStr">
        <is>
          <t>LINKÖPING</t>
        </is>
      </c>
      <c r="G81" t="n">
        <v>3</v>
      </c>
      <c r="H81" t="n">
        <v>0</v>
      </c>
      <c r="I81" t="n">
        <v>0</v>
      </c>
      <c r="J81" t="n">
        <v>1</v>
      </c>
      <c r="K81" t="n">
        <v>0</v>
      </c>
      <c r="L81" t="n">
        <v>0</v>
      </c>
      <c r="M81" t="n">
        <v>0</v>
      </c>
      <c r="N81" t="n">
        <v>0</v>
      </c>
      <c r="O81" t="n">
        <v>1</v>
      </c>
      <c r="P81" t="n">
        <v>0</v>
      </c>
      <c r="Q81" t="n">
        <v>1</v>
      </c>
      <c r="R81" s="2" t="inlineStr">
        <is>
          <t>Tallticka</t>
        </is>
      </c>
      <c r="S81">
        <f>HYPERLINK("https://klasma.github.io/Logging_0580/artfynd/A 20295-2025 artfynd.xlsx", "A 20295-2025")</f>
        <v/>
      </c>
      <c r="T81">
        <f>HYPERLINK("https://klasma.github.io/Logging_0580/kartor/A 20295-2025 karta.png", "A 20295-2025")</f>
        <v/>
      </c>
      <c r="V81">
        <f>HYPERLINK("https://klasma.github.io/Logging_0580/klagomål/A 20295-2025 FSC-klagomål.docx", "A 20295-2025")</f>
        <v/>
      </c>
      <c r="W81">
        <f>HYPERLINK("https://klasma.github.io/Logging_0580/klagomålsmail/A 20295-2025 FSC-klagomål mail.docx", "A 20295-2025")</f>
        <v/>
      </c>
      <c r="X81">
        <f>HYPERLINK("https://klasma.github.io/Logging_0580/tillsyn/A 20295-2025 tillsynsbegäran.docx", "A 20295-2025")</f>
        <v/>
      </c>
      <c r="Y81">
        <f>HYPERLINK("https://klasma.github.io/Logging_0580/tillsynsmail/A 20295-2025 tillsynsbegäran mail.docx", "A 20295-2025")</f>
        <v/>
      </c>
    </row>
    <row r="82" ht="15" customHeight="1">
      <c r="A82" t="inlineStr">
        <is>
          <t>A 38881-2021</t>
        </is>
      </c>
      <c r="B82" s="1" t="n">
        <v>44411.46893518518</v>
      </c>
      <c r="C82" s="1" t="n">
        <v>45940</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45940</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45940</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45940</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45940</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45940</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45940</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45940</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7840-2022</t>
        </is>
      </c>
      <c r="B90" s="1" t="n">
        <v>44608</v>
      </c>
      <c r="C90" s="1" t="n">
        <v>45940</v>
      </c>
      <c r="D90" t="inlineStr">
        <is>
          <t>ÖSTERGÖTLANDS LÄN</t>
        </is>
      </c>
      <c r="E90" t="inlineStr">
        <is>
          <t>LINKÖPING</t>
        </is>
      </c>
      <c r="G90" t="n">
        <v>1</v>
      </c>
      <c r="H90" t="n">
        <v>0</v>
      </c>
      <c r="I90" t="n">
        <v>0</v>
      </c>
      <c r="J90" t="n">
        <v>0</v>
      </c>
      <c r="K90" t="n">
        <v>0</v>
      </c>
      <c r="L90" t="n">
        <v>0</v>
      </c>
      <c r="M90" t="n">
        <v>0</v>
      </c>
      <c r="N90" t="n">
        <v>0</v>
      </c>
      <c r="O90" t="n">
        <v>0</v>
      </c>
      <c r="P90" t="n">
        <v>0</v>
      </c>
      <c r="Q90" t="n">
        <v>0</v>
      </c>
      <c r="R90" s="2" t="inlineStr"/>
    </row>
    <row r="91" ht="15" customHeight="1">
      <c r="A91" t="inlineStr">
        <is>
          <t>A 40506-2021</t>
        </is>
      </c>
      <c r="B91" s="1" t="n">
        <v>44420</v>
      </c>
      <c r="C91" s="1" t="n">
        <v>45940</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64269-2021</t>
        </is>
      </c>
      <c r="B92" s="1" t="n">
        <v>44510</v>
      </c>
      <c r="C92" s="1" t="n">
        <v>45940</v>
      </c>
      <c r="D92" t="inlineStr">
        <is>
          <t>ÖSTERGÖTLANDS LÄN</t>
        </is>
      </c>
      <c r="E92" t="inlineStr">
        <is>
          <t>LINKÖPING</t>
        </is>
      </c>
      <c r="G92" t="n">
        <v>1.9</v>
      </c>
      <c r="H92" t="n">
        <v>0</v>
      </c>
      <c r="I92" t="n">
        <v>0</v>
      </c>
      <c r="J92" t="n">
        <v>0</v>
      </c>
      <c r="K92" t="n">
        <v>0</v>
      </c>
      <c r="L92" t="n">
        <v>0</v>
      </c>
      <c r="M92" t="n">
        <v>0</v>
      </c>
      <c r="N92" t="n">
        <v>0</v>
      </c>
      <c r="O92" t="n">
        <v>0</v>
      </c>
      <c r="P92" t="n">
        <v>0</v>
      </c>
      <c r="Q92" t="n">
        <v>0</v>
      </c>
      <c r="R92" s="2" t="inlineStr"/>
    </row>
    <row r="93" ht="15" customHeight="1">
      <c r="A93" t="inlineStr">
        <is>
          <t>A 58407-2021</t>
        </is>
      </c>
      <c r="B93" s="1" t="n">
        <v>44488</v>
      </c>
      <c r="C93" s="1" t="n">
        <v>45940</v>
      </c>
      <c r="D93" t="inlineStr">
        <is>
          <t>ÖSTERGÖTLANDS LÄN</t>
        </is>
      </c>
      <c r="E93" t="inlineStr">
        <is>
          <t>LINKÖPING</t>
        </is>
      </c>
      <c r="G93" t="n">
        <v>1.1</v>
      </c>
      <c r="H93" t="n">
        <v>0</v>
      </c>
      <c r="I93" t="n">
        <v>0</v>
      </c>
      <c r="J93" t="n">
        <v>0</v>
      </c>
      <c r="K93" t="n">
        <v>0</v>
      </c>
      <c r="L93" t="n">
        <v>0</v>
      </c>
      <c r="M93" t="n">
        <v>0</v>
      </c>
      <c r="N93" t="n">
        <v>0</v>
      </c>
      <c r="O93" t="n">
        <v>0</v>
      </c>
      <c r="P93" t="n">
        <v>0</v>
      </c>
      <c r="Q93" t="n">
        <v>0</v>
      </c>
      <c r="R93" s="2" t="inlineStr"/>
    </row>
    <row r="94" ht="15" customHeight="1">
      <c r="A94" t="inlineStr">
        <is>
          <t>A 30800-2022</t>
        </is>
      </c>
      <c r="B94" s="1" t="n">
        <v>44764.75119212963</v>
      </c>
      <c r="C94" s="1" t="n">
        <v>45940</v>
      </c>
      <c r="D94" t="inlineStr">
        <is>
          <t>ÖSTERGÖTLANDS LÄN</t>
        </is>
      </c>
      <c r="E94" t="inlineStr">
        <is>
          <t>LINKÖPING</t>
        </is>
      </c>
      <c r="G94" t="n">
        <v>0.9</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45940</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49018-2022</t>
        </is>
      </c>
      <c r="B96" s="1" t="n">
        <v>44855</v>
      </c>
      <c r="C96" s="1" t="n">
        <v>45940</v>
      </c>
      <c r="D96" t="inlineStr">
        <is>
          <t>ÖSTERGÖTLANDS LÄN</t>
        </is>
      </c>
      <c r="E96" t="inlineStr">
        <is>
          <t>LINKÖPING</t>
        </is>
      </c>
      <c r="F96" t="inlineStr">
        <is>
          <t>Kommuner</t>
        </is>
      </c>
      <c r="G96" t="n">
        <v>0.4</v>
      </c>
      <c r="H96" t="n">
        <v>0</v>
      </c>
      <c r="I96" t="n">
        <v>0</v>
      </c>
      <c r="J96" t="n">
        <v>0</v>
      </c>
      <c r="K96" t="n">
        <v>0</v>
      </c>
      <c r="L96" t="n">
        <v>0</v>
      </c>
      <c r="M96" t="n">
        <v>0</v>
      </c>
      <c r="N96" t="n">
        <v>0</v>
      </c>
      <c r="O96" t="n">
        <v>0</v>
      </c>
      <c r="P96" t="n">
        <v>0</v>
      </c>
      <c r="Q96" t="n">
        <v>0</v>
      </c>
      <c r="R96" s="2" t="inlineStr"/>
    </row>
    <row r="97" ht="15" customHeight="1">
      <c r="A97" t="inlineStr">
        <is>
          <t>A 1581-2022</t>
        </is>
      </c>
      <c r="B97" s="1" t="n">
        <v>44573</v>
      </c>
      <c r="C97" s="1" t="n">
        <v>45940</v>
      </c>
      <c r="D97" t="inlineStr">
        <is>
          <t>ÖSTERGÖTLANDS LÄN</t>
        </is>
      </c>
      <c r="E97" t="inlineStr">
        <is>
          <t>LINKÖPING</t>
        </is>
      </c>
      <c r="G97" t="n">
        <v>1.3</v>
      </c>
      <c r="H97" t="n">
        <v>0</v>
      </c>
      <c r="I97" t="n">
        <v>0</v>
      </c>
      <c r="J97" t="n">
        <v>0</v>
      </c>
      <c r="K97" t="n">
        <v>0</v>
      </c>
      <c r="L97" t="n">
        <v>0</v>
      </c>
      <c r="M97" t="n">
        <v>0</v>
      </c>
      <c r="N97" t="n">
        <v>0</v>
      </c>
      <c r="O97" t="n">
        <v>0</v>
      </c>
      <c r="P97" t="n">
        <v>0</v>
      </c>
      <c r="Q97" t="n">
        <v>0</v>
      </c>
      <c r="R97" s="2" t="inlineStr"/>
    </row>
    <row r="98" ht="15" customHeight="1">
      <c r="A98" t="inlineStr">
        <is>
          <t>A 46234-2022</t>
        </is>
      </c>
      <c r="B98" s="1" t="n">
        <v>44846</v>
      </c>
      <c r="C98" s="1" t="n">
        <v>45940</v>
      </c>
      <c r="D98" t="inlineStr">
        <is>
          <t>ÖSTERGÖTLANDS LÄN</t>
        </is>
      </c>
      <c r="E98" t="inlineStr">
        <is>
          <t>LINKÖPING</t>
        </is>
      </c>
      <c r="G98" t="n">
        <v>3.3</v>
      </c>
      <c r="H98" t="n">
        <v>0</v>
      </c>
      <c r="I98" t="n">
        <v>0</v>
      </c>
      <c r="J98" t="n">
        <v>0</v>
      </c>
      <c r="K98" t="n">
        <v>0</v>
      </c>
      <c r="L98" t="n">
        <v>0</v>
      </c>
      <c r="M98" t="n">
        <v>0</v>
      </c>
      <c r="N98" t="n">
        <v>0</v>
      </c>
      <c r="O98" t="n">
        <v>0</v>
      </c>
      <c r="P98" t="n">
        <v>0</v>
      </c>
      <c r="Q98" t="n">
        <v>0</v>
      </c>
      <c r="R98" s="2" t="inlineStr"/>
    </row>
    <row r="99" ht="15" customHeight="1">
      <c r="A99" t="inlineStr">
        <is>
          <t>A 38961-2021</t>
        </is>
      </c>
      <c r="B99" s="1" t="n">
        <v>44411</v>
      </c>
      <c r="C99" s="1" t="n">
        <v>45940</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159-2022</t>
        </is>
      </c>
      <c r="B100" s="1" t="n">
        <v>44564</v>
      </c>
      <c r="C100" s="1" t="n">
        <v>45940</v>
      </c>
      <c r="D100" t="inlineStr">
        <is>
          <t>ÖSTERGÖTLANDS LÄN</t>
        </is>
      </c>
      <c r="E100" t="inlineStr">
        <is>
          <t>LINKÖPING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45940</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16715-2021</t>
        </is>
      </c>
      <c r="B102" s="1" t="n">
        <v>44294</v>
      </c>
      <c r="C102" s="1" t="n">
        <v>45940</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47462-2022</t>
        </is>
      </c>
      <c r="B103" s="1" t="n">
        <v>44853.62758101852</v>
      </c>
      <c r="C103" s="1" t="n">
        <v>45940</v>
      </c>
      <c r="D103" t="inlineStr">
        <is>
          <t>ÖSTERGÖTLANDS LÄN</t>
        </is>
      </c>
      <c r="E103" t="inlineStr">
        <is>
          <t>LINKÖPING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32433-2022</t>
        </is>
      </c>
      <c r="B104" s="1" t="n">
        <v>44782.48431712963</v>
      </c>
      <c r="C104" s="1" t="n">
        <v>45940</v>
      </c>
      <c r="D104" t="inlineStr">
        <is>
          <t>ÖSTERGÖTLANDS LÄN</t>
        </is>
      </c>
      <c r="E104" t="inlineStr">
        <is>
          <t>LINKÖPING</t>
        </is>
      </c>
      <c r="G104" t="n">
        <v>11.3</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45940</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45940</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261-2021</t>
        </is>
      </c>
      <c r="B107" s="1" t="n">
        <v>44200</v>
      </c>
      <c r="C107" s="1" t="n">
        <v>45940</v>
      </c>
      <c r="D107" t="inlineStr">
        <is>
          <t>ÖSTERGÖTLANDS LÄN</t>
        </is>
      </c>
      <c r="E107" t="inlineStr">
        <is>
          <t>LINKÖPING</t>
        </is>
      </c>
      <c r="G107" t="n">
        <v>3.1</v>
      </c>
      <c r="H107" t="n">
        <v>0</v>
      </c>
      <c r="I107" t="n">
        <v>0</v>
      </c>
      <c r="J107" t="n">
        <v>0</v>
      </c>
      <c r="K107" t="n">
        <v>0</v>
      </c>
      <c r="L107" t="n">
        <v>0</v>
      </c>
      <c r="M107" t="n">
        <v>0</v>
      </c>
      <c r="N107" t="n">
        <v>0</v>
      </c>
      <c r="O107" t="n">
        <v>0</v>
      </c>
      <c r="P107" t="n">
        <v>0</v>
      </c>
      <c r="Q107" t="n">
        <v>0</v>
      </c>
      <c r="R107" s="2" t="inlineStr"/>
    </row>
    <row r="108" ht="15" customHeight="1">
      <c r="A108" t="inlineStr">
        <is>
          <t>A 31703-2022</t>
        </is>
      </c>
      <c r="B108" s="1" t="n">
        <v>44776</v>
      </c>
      <c r="C108" s="1" t="n">
        <v>45940</v>
      </c>
      <c r="D108" t="inlineStr">
        <is>
          <t>ÖSTERGÖTLANDS LÄN</t>
        </is>
      </c>
      <c r="E108" t="inlineStr">
        <is>
          <t>LINKÖPING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67120-2020</t>
        </is>
      </c>
      <c r="B109" s="1" t="n">
        <v>44180</v>
      </c>
      <c r="C109" s="1" t="n">
        <v>45940</v>
      </c>
      <c r="D109" t="inlineStr">
        <is>
          <t>ÖSTERGÖTLANDS LÄN</t>
        </is>
      </c>
      <c r="E109" t="inlineStr">
        <is>
          <t>LINKÖPING</t>
        </is>
      </c>
      <c r="F109" t="inlineStr">
        <is>
          <t>Övriga statliga verk och myndigheter</t>
        </is>
      </c>
      <c r="G109" t="n">
        <v>1.4</v>
      </c>
      <c r="H109" t="n">
        <v>0</v>
      </c>
      <c r="I109" t="n">
        <v>0</v>
      </c>
      <c r="J109" t="n">
        <v>0</v>
      </c>
      <c r="K109" t="n">
        <v>0</v>
      </c>
      <c r="L109" t="n">
        <v>0</v>
      </c>
      <c r="M109" t="n">
        <v>0</v>
      </c>
      <c r="N109" t="n">
        <v>0</v>
      </c>
      <c r="O109" t="n">
        <v>0</v>
      </c>
      <c r="P109" t="n">
        <v>0</v>
      </c>
      <c r="Q109" t="n">
        <v>0</v>
      </c>
      <c r="R109" s="2" t="inlineStr"/>
    </row>
    <row r="110" ht="15" customHeight="1">
      <c r="A110" t="inlineStr">
        <is>
          <t>A 53146-2021</t>
        </is>
      </c>
      <c r="B110" s="1" t="n">
        <v>44466</v>
      </c>
      <c r="C110" s="1" t="n">
        <v>45940</v>
      </c>
      <c r="D110" t="inlineStr">
        <is>
          <t>ÖSTERGÖTLANDS LÄN</t>
        </is>
      </c>
      <c r="E110" t="inlineStr">
        <is>
          <t>LINKÖPING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44054-2021</t>
        </is>
      </c>
      <c r="B111" s="1" t="n">
        <v>44434</v>
      </c>
      <c r="C111" s="1" t="n">
        <v>45940</v>
      </c>
      <c r="D111" t="inlineStr">
        <is>
          <t>ÖSTERGÖTLANDS LÄN</t>
        </is>
      </c>
      <c r="E111" t="inlineStr">
        <is>
          <t>LINKÖPING</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3679-2021</t>
        </is>
      </c>
      <c r="B112" s="1" t="n">
        <v>44221</v>
      </c>
      <c r="C112" s="1" t="n">
        <v>45940</v>
      </c>
      <c r="D112" t="inlineStr">
        <is>
          <t>ÖSTERGÖTLANDS LÄN</t>
        </is>
      </c>
      <c r="E112" t="inlineStr">
        <is>
          <t>LINKÖPING</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40437-2021</t>
        </is>
      </c>
      <c r="B113" s="1" t="n">
        <v>44419</v>
      </c>
      <c r="C113" s="1" t="n">
        <v>45940</v>
      </c>
      <c r="D113" t="inlineStr">
        <is>
          <t>ÖSTERGÖTLANDS LÄN</t>
        </is>
      </c>
      <c r="E113" t="inlineStr">
        <is>
          <t>LINKÖPING</t>
        </is>
      </c>
      <c r="G113" t="n">
        <v>1.1</v>
      </c>
      <c r="H113" t="n">
        <v>0</v>
      </c>
      <c r="I113" t="n">
        <v>0</v>
      </c>
      <c r="J113" t="n">
        <v>0</v>
      </c>
      <c r="K113" t="n">
        <v>0</v>
      </c>
      <c r="L113" t="n">
        <v>0</v>
      </c>
      <c r="M113" t="n">
        <v>0</v>
      </c>
      <c r="N113" t="n">
        <v>0</v>
      </c>
      <c r="O113" t="n">
        <v>0</v>
      </c>
      <c r="P113" t="n">
        <v>0</v>
      </c>
      <c r="Q113" t="n">
        <v>0</v>
      </c>
      <c r="R113" s="2" t="inlineStr"/>
    </row>
    <row r="114" ht="15" customHeight="1">
      <c r="A114" t="inlineStr">
        <is>
          <t>A 17497-2022</t>
        </is>
      </c>
      <c r="B114" s="1" t="n">
        <v>44679</v>
      </c>
      <c r="C114" s="1" t="n">
        <v>45940</v>
      </c>
      <c r="D114" t="inlineStr">
        <is>
          <t>ÖSTERGÖTLANDS LÄN</t>
        </is>
      </c>
      <c r="E114" t="inlineStr">
        <is>
          <t>LINKÖPING</t>
        </is>
      </c>
      <c r="F114" t="inlineStr">
        <is>
          <t>Kommuner</t>
        </is>
      </c>
      <c r="G114" t="n">
        <v>1.4</v>
      </c>
      <c r="H114" t="n">
        <v>0</v>
      </c>
      <c r="I114" t="n">
        <v>0</v>
      </c>
      <c r="J114" t="n">
        <v>0</v>
      </c>
      <c r="K114" t="n">
        <v>0</v>
      </c>
      <c r="L114" t="n">
        <v>0</v>
      </c>
      <c r="M114" t="n">
        <v>0</v>
      </c>
      <c r="N114" t="n">
        <v>0</v>
      </c>
      <c r="O114" t="n">
        <v>0</v>
      </c>
      <c r="P114" t="n">
        <v>0</v>
      </c>
      <c r="Q114" t="n">
        <v>0</v>
      </c>
      <c r="R114" s="2" t="inlineStr"/>
    </row>
    <row r="115" ht="15" customHeight="1">
      <c r="A115" t="inlineStr">
        <is>
          <t>A 17500-2022</t>
        </is>
      </c>
      <c r="B115" s="1" t="n">
        <v>44679</v>
      </c>
      <c r="C115" s="1" t="n">
        <v>45940</v>
      </c>
      <c r="D115" t="inlineStr">
        <is>
          <t>ÖSTERGÖTLANDS LÄN</t>
        </is>
      </c>
      <c r="E115" t="inlineStr">
        <is>
          <t>LINKÖPING</t>
        </is>
      </c>
      <c r="F115" t="inlineStr">
        <is>
          <t>Kommuner</t>
        </is>
      </c>
      <c r="G115" t="n">
        <v>1.8</v>
      </c>
      <c r="H115" t="n">
        <v>0</v>
      </c>
      <c r="I115" t="n">
        <v>0</v>
      </c>
      <c r="J115" t="n">
        <v>0</v>
      </c>
      <c r="K115" t="n">
        <v>0</v>
      </c>
      <c r="L115" t="n">
        <v>0</v>
      </c>
      <c r="M115" t="n">
        <v>0</v>
      </c>
      <c r="N115" t="n">
        <v>0</v>
      </c>
      <c r="O115" t="n">
        <v>0</v>
      </c>
      <c r="P115" t="n">
        <v>0</v>
      </c>
      <c r="Q115" t="n">
        <v>0</v>
      </c>
      <c r="R115" s="2" t="inlineStr"/>
    </row>
    <row r="116" ht="15" customHeight="1">
      <c r="A116" t="inlineStr">
        <is>
          <t>A 32000-2022</t>
        </is>
      </c>
      <c r="B116" s="1" t="n">
        <v>44777</v>
      </c>
      <c r="C116" s="1" t="n">
        <v>45940</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33876-2021</t>
        </is>
      </c>
      <c r="B117" s="1" t="n">
        <v>44378</v>
      </c>
      <c r="C117" s="1" t="n">
        <v>45940</v>
      </c>
      <c r="D117" t="inlineStr">
        <is>
          <t>ÖSTERGÖTLANDS LÄN</t>
        </is>
      </c>
      <c r="E117" t="inlineStr">
        <is>
          <t>LINKÖPING</t>
        </is>
      </c>
      <c r="G117" t="n">
        <v>6.3</v>
      </c>
      <c r="H117" t="n">
        <v>0</v>
      </c>
      <c r="I117" t="n">
        <v>0</v>
      </c>
      <c r="J117" t="n">
        <v>0</v>
      </c>
      <c r="K117" t="n">
        <v>0</v>
      </c>
      <c r="L117" t="n">
        <v>0</v>
      </c>
      <c r="M117" t="n">
        <v>0</v>
      </c>
      <c r="N117" t="n">
        <v>0</v>
      </c>
      <c r="O117" t="n">
        <v>0</v>
      </c>
      <c r="P117" t="n">
        <v>0</v>
      </c>
      <c r="Q117" t="n">
        <v>0</v>
      </c>
      <c r="R117" s="2" t="inlineStr"/>
    </row>
    <row r="118" ht="15" customHeight="1">
      <c r="A118" t="inlineStr">
        <is>
          <t>A 10123-2021</t>
        </is>
      </c>
      <c r="B118" s="1" t="n">
        <v>44256</v>
      </c>
      <c r="C118" s="1" t="n">
        <v>45940</v>
      </c>
      <c r="D118" t="inlineStr">
        <is>
          <t>ÖSTERGÖTLANDS LÄN</t>
        </is>
      </c>
      <c r="E118" t="inlineStr">
        <is>
          <t>LINKÖPING</t>
        </is>
      </c>
      <c r="F118" t="inlineStr">
        <is>
          <t>Allmännings- och besparingsskogar</t>
        </is>
      </c>
      <c r="G118" t="n">
        <v>1.7</v>
      </c>
      <c r="H118" t="n">
        <v>0</v>
      </c>
      <c r="I118" t="n">
        <v>0</v>
      </c>
      <c r="J118" t="n">
        <v>0</v>
      </c>
      <c r="K118" t="n">
        <v>0</v>
      </c>
      <c r="L118" t="n">
        <v>0</v>
      </c>
      <c r="M118" t="n">
        <v>0</v>
      </c>
      <c r="N118" t="n">
        <v>0</v>
      </c>
      <c r="O118" t="n">
        <v>0</v>
      </c>
      <c r="P118" t="n">
        <v>0</v>
      </c>
      <c r="Q118" t="n">
        <v>0</v>
      </c>
      <c r="R118" s="2" t="inlineStr"/>
    </row>
    <row r="119" ht="15" customHeight="1">
      <c r="A119" t="inlineStr">
        <is>
          <t>A 3862-2021</t>
        </is>
      </c>
      <c r="B119" s="1" t="n">
        <v>44221</v>
      </c>
      <c r="C119" s="1" t="n">
        <v>45940</v>
      </c>
      <c r="D119" t="inlineStr">
        <is>
          <t>ÖSTERGÖTLANDS LÄN</t>
        </is>
      </c>
      <c r="E119" t="inlineStr">
        <is>
          <t>LINKÖPING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3961-2021</t>
        </is>
      </c>
      <c r="B120" s="1" t="n">
        <v>44222</v>
      </c>
      <c r="C120" s="1" t="n">
        <v>45940</v>
      </c>
      <c r="D120" t="inlineStr">
        <is>
          <t>ÖSTERGÖTLANDS LÄN</t>
        </is>
      </c>
      <c r="E120" t="inlineStr">
        <is>
          <t>LINKÖPING</t>
        </is>
      </c>
      <c r="G120" t="n">
        <v>3.9</v>
      </c>
      <c r="H120" t="n">
        <v>0</v>
      </c>
      <c r="I120" t="n">
        <v>0</v>
      </c>
      <c r="J120" t="n">
        <v>0</v>
      </c>
      <c r="K120" t="n">
        <v>0</v>
      </c>
      <c r="L120" t="n">
        <v>0</v>
      </c>
      <c r="M120" t="n">
        <v>0</v>
      </c>
      <c r="N120" t="n">
        <v>0</v>
      </c>
      <c r="O120" t="n">
        <v>0</v>
      </c>
      <c r="P120" t="n">
        <v>0</v>
      </c>
      <c r="Q120" t="n">
        <v>0</v>
      </c>
      <c r="R120" s="2" t="inlineStr"/>
    </row>
    <row r="121" ht="15" customHeight="1">
      <c r="A121" t="inlineStr">
        <is>
          <t>A 49791-2021</t>
        </is>
      </c>
      <c r="B121" s="1" t="n">
        <v>44455.59368055555</v>
      </c>
      <c r="C121" s="1" t="n">
        <v>45940</v>
      </c>
      <c r="D121" t="inlineStr">
        <is>
          <t>ÖSTERGÖTLANDS LÄN</t>
        </is>
      </c>
      <c r="E121" t="inlineStr">
        <is>
          <t>LINKÖPING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37012-2021</t>
        </is>
      </c>
      <c r="B122" s="1" t="n">
        <v>44393</v>
      </c>
      <c r="C122" s="1" t="n">
        <v>45940</v>
      </c>
      <c r="D122" t="inlineStr">
        <is>
          <t>ÖSTERGÖTLANDS LÄN</t>
        </is>
      </c>
      <c r="E122" t="inlineStr">
        <is>
          <t>LINKÖPING</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29470-2022</t>
        </is>
      </c>
      <c r="B123" s="1" t="n">
        <v>44753</v>
      </c>
      <c r="C123" s="1" t="n">
        <v>45940</v>
      </c>
      <c r="D123" t="inlineStr">
        <is>
          <t>ÖSTERGÖTLANDS LÄN</t>
        </is>
      </c>
      <c r="E123" t="inlineStr">
        <is>
          <t>LINKÖPING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27185-2021</t>
        </is>
      </c>
      <c r="B124" s="1" t="n">
        <v>44350</v>
      </c>
      <c r="C124" s="1" t="n">
        <v>45940</v>
      </c>
      <c r="D124" t="inlineStr">
        <is>
          <t>ÖSTERGÖTLANDS LÄN</t>
        </is>
      </c>
      <c r="E124" t="inlineStr">
        <is>
          <t>LINKÖPING</t>
        </is>
      </c>
      <c r="F124" t="inlineStr">
        <is>
          <t>Allmännings- och besparingsskogar</t>
        </is>
      </c>
      <c r="G124" t="n">
        <v>1.6</v>
      </c>
      <c r="H124" t="n">
        <v>0</v>
      </c>
      <c r="I124" t="n">
        <v>0</v>
      </c>
      <c r="J124" t="n">
        <v>0</v>
      </c>
      <c r="K124" t="n">
        <v>0</v>
      </c>
      <c r="L124" t="n">
        <v>0</v>
      </c>
      <c r="M124" t="n">
        <v>0</v>
      </c>
      <c r="N124" t="n">
        <v>0</v>
      </c>
      <c r="O124" t="n">
        <v>0</v>
      </c>
      <c r="P124" t="n">
        <v>0</v>
      </c>
      <c r="Q124" t="n">
        <v>0</v>
      </c>
      <c r="R124" s="2" t="inlineStr"/>
    </row>
    <row r="125" ht="15" customHeight="1">
      <c r="A125" t="inlineStr">
        <is>
          <t>A 46730-2021</t>
        </is>
      </c>
      <c r="B125" s="1" t="n">
        <v>44445</v>
      </c>
      <c r="C125" s="1" t="n">
        <v>45940</v>
      </c>
      <c r="D125" t="inlineStr">
        <is>
          <t>ÖSTERGÖTLANDS LÄN</t>
        </is>
      </c>
      <c r="E125" t="inlineStr">
        <is>
          <t>LINKÖPING</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26197-2021</t>
        </is>
      </c>
      <c r="B126" s="1" t="n">
        <v>44347.39319444444</v>
      </c>
      <c r="C126" s="1" t="n">
        <v>45940</v>
      </c>
      <c r="D126" t="inlineStr">
        <is>
          <t>ÖSTERGÖTLANDS LÄN</t>
        </is>
      </c>
      <c r="E126" t="inlineStr">
        <is>
          <t>LINKÖPING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34487-2021</t>
        </is>
      </c>
      <c r="B127" s="1" t="n">
        <v>44382.29873842592</v>
      </c>
      <c r="C127" s="1" t="n">
        <v>45940</v>
      </c>
      <c r="D127" t="inlineStr">
        <is>
          <t>ÖSTERGÖTLANDS LÄN</t>
        </is>
      </c>
      <c r="E127" t="inlineStr">
        <is>
          <t>LINKÖPING</t>
        </is>
      </c>
      <c r="G127" t="n">
        <v>7.5</v>
      </c>
      <c r="H127" t="n">
        <v>0</v>
      </c>
      <c r="I127" t="n">
        <v>0</v>
      </c>
      <c r="J127" t="n">
        <v>0</v>
      </c>
      <c r="K127" t="n">
        <v>0</v>
      </c>
      <c r="L127" t="n">
        <v>0</v>
      </c>
      <c r="M127" t="n">
        <v>0</v>
      </c>
      <c r="N127" t="n">
        <v>0</v>
      </c>
      <c r="O127" t="n">
        <v>0</v>
      </c>
      <c r="P127" t="n">
        <v>0</v>
      </c>
      <c r="Q127" t="n">
        <v>0</v>
      </c>
      <c r="R127" s="2" t="inlineStr"/>
    </row>
    <row r="128" ht="15" customHeight="1">
      <c r="A128" t="inlineStr">
        <is>
          <t>A 16469-2021</t>
        </is>
      </c>
      <c r="B128" s="1" t="n">
        <v>44293.54331018519</v>
      </c>
      <c r="C128" s="1" t="n">
        <v>45940</v>
      </c>
      <c r="D128" t="inlineStr">
        <is>
          <t>ÖSTERGÖTLANDS LÄN</t>
        </is>
      </c>
      <c r="E128" t="inlineStr">
        <is>
          <t>LINKÖPING</t>
        </is>
      </c>
      <c r="F128" t="inlineStr">
        <is>
          <t>Allmännings- och besparingsskogar</t>
        </is>
      </c>
      <c r="G128" t="n">
        <v>33.5</v>
      </c>
      <c r="H128" t="n">
        <v>0</v>
      </c>
      <c r="I128" t="n">
        <v>0</v>
      </c>
      <c r="J128" t="n">
        <v>0</v>
      </c>
      <c r="K128" t="n">
        <v>0</v>
      </c>
      <c r="L128" t="n">
        <v>0</v>
      </c>
      <c r="M128" t="n">
        <v>0</v>
      </c>
      <c r="N128" t="n">
        <v>0</v>
      </c>
      <c r="O128" t="n">
        <v>0</v>
      </c>
      <c r="P128" t="n">
        <v>0</v>
      </c>
      <c r="Q128" t="n">
        <v>0</v>
      </c>
      <c r="R128" s="2" t="inlineStr"/>
    </row>
    <row r="129" ht="15" customHeight="1">
      <c r="A129" t="inlineStr">
        <is>
          <t>A 27313-2021</t>
        </is>
      </c>
      <c r="B129" s="1" t="n">
        <v>44350</v>
      </c>
      <c r="C129" s="1" t="n">
        <v>45940</v>
      </c>
      <c r="D129" t="inlineStr">
        <is>
          <t>ÖSTERGÖTLANDS LÄN</t>
        </is>
      </c>
      <c r="E129" t="inlineStr">
        <is>
          <t>LINKÖPING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64195-2021</t>
        </is>
      </c>
      <c r="B130" s="1" t="n">
        <v>44510</v>
      </c>
      <c r="C130" s="1" t="n">
        <v>45940</v>
      </c>
      <c r="D130" t="inlineStr">
        <is>
          <t>ÖSTERGÖTLANDS LÄN</t>
        </is>
      </c>
      <c r="E130" t="inlineStr">
        <is>
          <t>LINKÖPING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4382-2021</t>
        </is>
      </c>
      <c r="B131" s="1" t="n">
        <v>44223</v>
      </c>
      <c r="C131" s="1" t="n">
        <v>45940</v>
      </c>
      <c r="D131" t="inlineStr">
        <is>
          <t>ÖSTERGÖTLANDS LÄN</t>
        </is>
      </c>
      <c r="E131" t="inlineStr">
        <is>
          <t>LINKÖPING</t>
        </is>
      </c>
      <c r="G131" t="n">
        <v>4.2</v>
      </c>
      <c r="H131" t="n">
        <v>0</v>
      </c>
      <c r="I131" t="n">
        <v>0</v>
      </c>
      <c r="J131" t="n">
        <v>0</v>
      </c>
      <c r="K131" t="n">
        <v>0</v>
      </c>
      <c r="L131" t="n">
        <v>0</v>
      </c>
      <c r="M131" t="n">
        <v>0</v>
      </c>
      <c r="N131" t="n">
        <v>0</v>
      </c>
      <c r="O131" t="n">
        <v>0</v>
      </c>
      <c r="P131" t="n">
        <v>0</v>
      </c>
      <c r="Q131" t="n">
        <v>0</v>
      </c>
      <c r="R131" s="2" t="inlineStr"/>
    </row>
    <row r="132" ht="15" customHeight="1">
      <c r="A132" t="inlineStr">
        <is>
          <t>A 46416-2021</t>
        </is>
      </c>
      <c r="B132" s="1" t="n">
        <v>44442</v>
      </c>
      <c r="C132" s="1" t="n">
        <v>45940</v>
      </c>
      <c r="D132" t="inlineStr">
        <is>
          <t>ÖSTERGÖTLANDS LÄN</t>
        </is>
      </c>
      <c r="E132" t="inlineStr">
        <is>
          <t>LINKÖPING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58287-2021</t>
        </is>
      </c>
      <c r="B133" s="1" t="n">
        <v>44487</v>
      </c>
      <c r="C133" s="1" t="n">
        <v>45940</v>
      </c>
      <c r="D133" t="inlineStr">
        <is>
          <t>ÖSTERGÖTLANDS LÄN</t>
        </is>
      </c>
      <c r="E133" t="inlineStr">
        <is>
          <t>LINKÖPING</t>
        </is>
      </c>
      <c r="F133" t="inlineStr">
        <is>
          <t>Övriga Aktiebolag</t>
        </is>
      </c>
      <c r="G133" t="n">
        <v>1.5</v>
      </c>
      <c r="H133" t="n">
        <v>0</v>
      </c>
      <c r="I133" t="n">
        <v>0</v>
      </c>
      <c r="J133" t="n">
        <v>0</v>
      </c>
      <c r="K133" t="n">
        <v>0</v>
      </c>
      <c r="L133" t="n">
        <v>0</v>
      </c>
      <c r="M133" t="n">
        <v>0</v>
      </c>
      <c r="N133" t="n">
        <v>0</v>
      </c>
      <c r="O133" t="n">
        <v>0</v>
      </c>
      <c r="P133" t="n">
        <v>0</v>
      </c>
      <c r="Q133" t="n">
        <v>0</v>
      </c>
      <c r="R133" s="2" t="inlineStr"/>
    </row>
    <row r="134" ht="15" customHeight="1">
      <c r="A134" t="inlineStr">
        <is>
          <t>A 53660-2021</t>
        </is>
      </c>
      <c r="B134" s="1" t="n">
        <v>44469</v>
      </c>
      <c r="C134" s="1" t="n">
        <v>45940</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52966-2021</t>
        </is>
      </c>
      <c r="B135" s="1" t="n">
        <v>44467</v>
      </c>
      <c r="C135" s="1" t="n">
        <v>45940</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25305-2021</t>
        </is>
      </c>
      <c r="B136" s="1" t="n">
        <v>44342</v>
      </c>
      <c r="C136" s="1" t="n">
        <v>45940</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45940</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384-2021</t>
        </is>
      </c>
      <c r="B138" s="1" t="n">
        <v>44201.57689814815</v>
      </c>
      <c r="C138" s="1" t="n">
        <v>45940</v>
      </c>
      <c r="D138" t="inlineStr">
        <is>
          <t>ÖSTERGÖTLANDS LÄN</t>
        </is>
      </c>
      <c r="E138" t="inlineStr">
        <is>
          <t>LINKÖPING</t>
        </is>
      </c>
      <c r="G138" t="n">
        <v>0.2</v>
      </c>
      <c r="H138" t="n">
        <v>0</v>
      </c>
      <c r="I138" t="n">
        <v>0</v>
      </c>
      <c r="J138" t="n">
        <v>0</v>
      </c>
      <c r="K138" t="n">
        <v>0</v>
      </c>
      <c r="L138" t="n">
        <v>0</v>
      </c>
      <c r="M138" t="n">
        <v>0</v>
      </c>
      <c r="N138" t="n">
        <v>0</v>
      </c>
      <c r="O138" t="n">
        <v>0</v>
      </c>
      <c r="P138" t="n">
        <v>0</v>
      </c>
      <c r="Q138" t="n">
        <v>0</v>
      </c>
      <c r="R138" s="2" t="inlineStr"/>
    </row>
    <row r="139" ht="15" customHeight="1">
      <c r="A139" t="inlineStr">
        <is>
          <t>A 38130-2021</t>
        </is>
      </c>
      <c r="B139" s="1" t="n">
        <v>44405</v>
      </c>
      <c r="C139" s="1" t="n">
        <v>45940</v>
      </c>
      <c r="D139" t="inlineStr">
        <is>
          <t>ÖSTERGÖTLANDS LÄN</t>
        </is>
      </c>
      <c r="E139" t="inlineStr">
        <is>
          <t>LINKÖPING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13922-2021</t>
        </is>
      </c>
      <c r="B140" s="1" t="n">
        <v>44277.45946759259</v>
      </c>
      <c r="C140" s="1" t="n">
        <v>45940</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45940</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45940</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1787-2022</t>
        </is>
      </c>
      <c r="B143" s="1" t="n">
        <v>44574</v>
      </c>
      <c r="C143" s="1" t="n">
        <v>45940</v>
      </c>
      <c r="D143" t="inlineStr">
        <is>
          <t>ÖSTERGÖTLANDS LÄN</t>
        </is>
      </c>
      <c r="E143" t="inlineStr">
        <is>
          <t>LINKÖPING</t>
        </is>
      </c>
      <c r="G143" t="n">
        <v>1.9</v>
      </c>
      <c r="H143" t="n">
        <v>0</v>
      </c>
      <c r="I143" t="n">
        <v>0</v>
      </c>
      <c r="J143" t="n">
        <v>0</v>
      </c>
      <c r="K143" t="n">
        <v>0</v>
      </c>
      <c r="L143" t="n">
        <v>0</v>
      </c>
      <c r="M143" t="n">
        <v>0</v>
      </c>
      <c r="N143" t="n">
        <v>0</v>
      </c>
      <c r="O143" t="n">
        <v>0</v>
      </c>
      <c r="P143" t="n">
        <v>0</v>
      </c>
      <c r="Q143" t="n">
        <v>0</v>
      </c>
      <c r="R143" s="2" t="inlineStr"/>
    </row>
    <row r="144" ht="15" customHeight="1">
      <c r="A144" t="inlineStr">
        <is>
          <t>A 23416-2022</t>
        </is>
      </c>
      <c r="B144" s="1" t="n">
        <v>44720.78243055556</v>
      </c>
      <c r="C144" s="1" t="n">
        <v>45940</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5605-2022</t>
        </is>
      </c>
      <c r="B145" s="1" t="n">
        <v>44595</v>
      </c>
      <c r="C145" s="1" t="n">
        <v>45940</v>
      </c>
      <c r="D145" t="inlineStr">
        <is>
          <t>ÖSTERGÖTLANDS LÄN</t>
        </is>
      </c>
      <c r="E145" t="inlineStr">
        <is>
          <t>LINKÖPING</t>
        </is>
      </c>
      <c r="F145" t="inlineStr">
        <is>
          <t>Övriga statliga verk och myndigheter</t>
        </is>
      </c>
      <c r="G145" t="n">
        <v>3</v>
      </c>
      <c r="H145" t="n">
        <v>0</v>
      </c>
      <c r="I145" t="n">
        <v>0</v>
      </c>
      <c r="J145" t="n">
        <v>0</v>
      </c>
      <c r="K145" t="n">
        <v>0</v>
      </c>
      <c r="L145" t="n">
        <v>0</v>
      </c>
      <c r="M145" t="n">
        <v>0</v>
      </c>
      <c r="N145" t="n">
        <v>0</v>
      </c>
      <c r="O145" t="n">
        <v>0</v>
      </c>
      <c r="P145" t="n">
        <v>0</v>
      </c>
      <c r="Q145" t="n">
        <v>0</v>
      </c>
      <c r="R145" s="2" t="inlineStr"/>
    </row>
    <row r="146" ht="15" customHeight="1">
      <c r="A146" t="inlineStr">
        <is>
          <t>A 948-2022</t>
        </is>
      </c>
      <c r="B146" s="1" t="n">
        <v>44571</v>
      </c>
      <c r="C146" s="1" t="n">
        <v>45940</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45940</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56688-2021</t>
        </is>
      </c>
      <c r="B148" s="1" t="n">
        <v>44481</v>
      </c>
      <c r="C148" s="1" t="n">
        <v>45940</v>
      </c>
      <c r="D148" t="inlineStr">
        <is>
          <t>ÖSTERGÖTLANDS LÄN</t>
        </is>
      </c>
      <c r="E148" t="inlineStr">
        <is>
          <t>LINKÖPING</t>
        </is>
      </c>
      <c r="G148" t="n">
        <v>1.1</v>
      </c>
      <c r="H148" t="n">
        <v>0</v>
      </c>
      <c r="I148" t="n">
        <v>0</v>
      </c>
      <c r="J148" t="n">
        <v>0</v>
      </c>
      <c r="K148" t="n">
        <v>0</v>
      </c>
      <c r="L148" t="n">
        <v>0</v>
      </c>
      <c r="M148" t="n">
        <v>0</v>
      </c>
      <c r="N148" t="n">
        <v>0</v>
      </c>
      <c r="O148" t="n">
        <v>0</v>
      </c>
      <c r="P148" t="n">
        <v>0</v>
      </c>
      <c r="Q148" t="n">
        <v>0</v>
      </c>
      <c r="R148" s="2" t="inlineStr"/>
    </row>
    <row r="149" ht="15" customHeight="1">
      <c r="A149" t="inlineStr">
        <is>
          <t>A 51912-2020</t>
        </is>
      </c>
      <c r="B149" s="1" t="n">
        <v>44116</v>
      </c>
      <c r="C149" s="1" t="n">
        <v>45940</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45940</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37014-2021</t>
        </is>
      </c>
      <c r="B151" s="1" t="n">
        <v>44393</v>
      </c>
      <c r="C151" s="1" t="n">
        <v>45940</v>
      </c>
      <c r="D151" t="inlineStr">
        <is>
          <t>ÖSTERGÖTLANDS LÄN</t>
        </is>
      </c>
      <c r="E151" t="inlineStr">
        <is>
          <t>LINKÖPING</t>
        </is>
      </c>
      <c r="F151" t="inlineStr">
        <is>
          <t>Allmännings- och besparingsskogar</t>
        </is>
      </c>
      <c r="G151" t="n">
        <v>7.7</v>
      </c>
      <c r="H151" t="n">
        <v>0</v>
      </c>
      <c r="I151" t="n">
        <v>0</v>
      </c>
      <c r="J151" t="n">
        <v>0</v>
      </c>
      <c r="K151" t="n">
        <v>0</v>
      </c>
      <c r="L151" t="n">
        <v>0</v>
      </c>
      <c r="M151" t="n">
        <v>0</v>
      </c>
      <c r="N151" t="n">
        <v>0</v>
      </c>
      <c r="O151" t="n">
        <v>0</v>
      </c>
      <c r="P151" t="n">
        <v>0</v>
      </c>
      <c r="Q151" t="n">
        <v>0</v>
      </c>
      <c r="R151" s="2" t="inlineStr"/>
    </row>
    <row r="152" ht="15" customHeight="1">
      <c r="A152" t="inlineStr">
        <is>
          <t>A 27769-2022</t>
        </is>
      </c>
      <c r="B152" s="1" t="n">
        <v>44743.53200231482</v>
      </c>
      <c r="C152" s="1" t="n">
        <v>45940</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30858-2022</t>
        </is>
      </c>
      <c r="B153" s="1" t="n">
        <v>44767</v>
      </c>
      <c r="C153" s="1" t="n">
        <v>45940</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38134-2021</t>
        </is>
      </c>
      <c r="B154" s="1" t="n">
        <v>44405.3794212963</v>
      </c>
      <c r="C154" s="1" t="n">
        <v>45940</v>
      </c>
      <c r="D154" t="inlineStr">
        <is>
          <t>ÖSTERGÖTLANDS LÄN</t>
        </is>
      </c>
      <c r="E154" t="inlineStr">
        <is>
          <t>LINKÖPING</t>
        </is>
      </c>
      <c r="G154" t="n">
        <v>5.1</v>
      </c>
      <c r="H154" t="n">
        <v>0</v>
      </c>
      <c r="I154" t="n">
        <v>0</v>
      </c>
      <c r="J154" t="n">
        <v>0</v>
      </c>
      <c r="K154" t="n">
        <v>0</v>
      </c>
      <c r="L154" t="n">
        <v>0</v>
      </c>
      <c r="M154" t="n">
        <v>0</v>
      </c>
      <c r="N154" t="n">
        <v>0</v>
      </c>
      <c r="O154" t="n">
        <v>0</v>
      </c>
      <c r="P154" t="n">
        <v>0</v>
      </c>
      <c r="Q154" t="n">
        <v>0</v>
      </c>
      <c r="R154" s="2" t="inlineStr"/>
    </row>
    <row r="155" ht="15" customHeight="1">
      <c r="A155" t="inlineStr">
        <is>
          <t>A 23175-2022</t>
        </is>
      </c>
      <c r="B155" s="1" t="n">
        <v>44719</v>
      </c>
      <c r="C155" s="1" t="n">
        <v>45940</v>
      </c>
      <c r="D155" t="inlineStr">
        <is>
          <t>ÖSTERGÖTLANDS LÄN</t>
        </is>
      </c>
      <c r="E155" t="inlineStr">
        <is>
          <t>LINKÖPING</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34486-2021</t>
        </is>
      </c>
      <c r="B156" s="1" t="n">
        <v>44382.29295138889</v>
      </c>
      <c r="C156" s="1" t="n">
        <v>45940</v>
      </c>
      <c r="D156" t="inlineStr">
        <is>
          <t>ÖSTERGÖTLANDS LÄN</t>
        </is>
      </c>
      <c r="E156" t="inlineStr">
        <is>
          <t>LINKÖPING</t>
        </is>
      </c>
      <c r="G156" t="n">
        <v>4.4</v>
      </c>
      <c r="H156" t="n">
        <v>0</v>
      </c>
      <c r="I156" t="n">
        <v>0</v>
      </c>
      <c r="J156" t="n">
        <v>0</v>
      </c>
      <c r="K156" t="n">
        <v>0</v>
      </c>
      <c r="L156" t="n">
        <v>0</v>
      </c>
      <c r="M156" t="n">
        <v>0</v>
      </c>
      <c r="N156" t="n">
        <v>0</v>
      </c>
      <c r="O156" t="n">
        <v>0</v>
      </c>
      <c r="P156" t="n">
        <v>0</v>
      </c>
      <c r="Q156" t="n">
        <v>0</v>
      </c>
      <c r="R156" s="2" t="inlineStr"/>
    </row>
    <row r="157" ht="15" customHeight="1">
      <c r="A157" t="inlineStr">
        <is>
          <t>A 44849-2022</t>
        </is>
      </c>
      <c r="B157" s="1" t="n">
        <v>44841</v>
      </c>
      <c r="C157" s="1" t="n">
        <v>45940</v>
      </c>
      <c r="D157" t="inlineStr">
        <is>
          <t>ÖSTERGÖTLANDS LÄN</t>
        </is>
      </c>
      <c r="E157" t="inlineStr">
        <is>
          <t>LINKÖPING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70835-2021</t>
        </is>
      </c>
      <c r="B158" s="1" t="n">
        <v>44537</v>
      </c>
      <c r="C158" s="1" t="n">
        <v>45940</v>
      </c>
      <c r="D158" t="inlineStr">
        <is>
          <t>ÖSTERGÖTLANDS LÄN</t>
        </is>
      </c>
      <c r="E158" t="inlineStr">
        <is>
          <t>LINKÖPING</t>
        </is>
      </c>
      <c r="G158" t="n">
        <v>2.3</v>
      </c>
      <c r="H158" t="n">
        <v>0</v>
      </c>
      <c r="I158" t="n">
        <v>0</v>
      </c>
      <c r="J158" t="n">
        <v>0</v>
      </c>
      <c r="K158" t="n">
        <v>0</v>
      </c>
      <c r="L158" t="n">
        <v>0</v>
      </c>
      <c r="M158" t="n">
        <v>0</v>
      </c>
      <c r="N158" t="n">
        <v>0</v>
      </c>
      <c r="O158" t="n">
        <v>0</v>
      </c>
      <c r="P158" t="n">
        <v>0</v>
      </c>
      <c r="Q158" t="n">
        <v>0</v>
      </c>
      <c r="R158" s="2" t="inlineStr"/>
    </row>
    <row r="159" ht="15" customHeight="1">
      <c r="A159" t="inlineStr">
        <is>
          <t>A 4929-2021</t>
        </is>
      </c>
      <c r="B159" s="1" t="n">
        <v>44227.57533564815</v>
      </c>
      <c r="C159" s="1" t="n">
        <v>45940</v>
      </c>
      <c r="D159" t="inlineStr">
        <is>
          <t>ÖSTERGÖTLANDS LÄN</t>
        </is>
      </c>
      <c r="E159" t="inlineStr">
        <is>
          <t>LINKÖPING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37934-2022</t>
        </is>
      </c>
      <c r="B160" s="1" t="n">
        <v>44809</v>
      </c>
      <c r="C160" s="1" t="n">
        <v>45940</v>
      </c>
      <c r="D160" t="inlineStr">
        <is>
          <t>ÖSTERGÖTLANDS LÄN</t>
        </is>
      </c>
      <c r="E160" t="inlineStr">
        <is>
          <t>LINKÖPING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33891-2021</t>
        </is>
      </c>
      <c r="B161" s="1" t="n">
        <v>44378</v>
      </c>
      <c r="C161" s="1" t="n">
        <v>45940</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58266-2021</t>
        </is>
      </c>
      <c r="B162" s="1" t="n">
        <v>44487</v>
      </c>
      <c r="C162" s="1" t="n">
        <v>45940</v>
      </c>
      <c r="D162" t="inlineStr">
        <is>
          <t>ÖSTERGÖTLANDS LÄN</t>
        </is>
      </c>
      <c r="E162" t="inlineStr">
        <is>
          <t>LINKÖPING</t>
        </is>
      </c>
      <c r="F162" t="inlineStr">
        <is>
          <t>Övriga Aktiebolag</t>
        </is>
      </c>
      <c r="G162" t="n">
        <v>3.2</v>
      </c>
      <c r="H162" t="n">
        <v>0</v>
      </c>
      <c r="I162" t="n">
        <v>0</v>
      </c>
      <c r="J162" t="n">
        <v>0</v>
      </c>
      <c r="K162" t="n">
        <v>0</v>
      </c>
      <c r="L162" t="n">
        <v>0</v>
      </c>
      <c r="M162" t="n">
        <v>0</v>
      </c>
      <c r="N162" t="n">
        <v>0</v>
      </c>
      <c r="O162" t="n">
        <v>0</v>
      </c>
      <c r="P162" t="n">
        <v>0</v>
      </c>
      <c r="Q162" t="n">
        <v>0</v>
      </c>
      <c r="R162" s="2" t="inlineStr"/>
    </row>
    <row r="163" ht="15" customHeight="1">
      <c r="A163" t="inlineStr">
        <is>
          <t>A 19254-2021</t>
        </is>
      </c>
      <c r="B163" s="1" t="n">
        <v>44309.38962962963</v>
      </c>
      <c r="C163" s="1" t="n">
        <v>45940</v>
      </c>
      <c r="D163" t="inlineStr">
        <is>
          <t>ÖSTERGÖTLANDS LÄN</t>
        </is>
      </c>
      <c r="E163" t="inlineStr">
        <is>
          <t>LINKÖPING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54854-2022</t>
        </is>
      </c>
      <c r="B164" s="1" t="n">
        <v>44884</v>
      </c>
      <c r="C164" s="1" t="n">
        <v>45940</v>
      </c>
      <c r="D164" t="inlineStr">
        <is>
          <t>ÖSTERGÖTLANDS LÄN</t>
        </is>
      </c>
      <c r="E164" t="inlineStr">
        <is>
          <t>LINKÖPING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54855-2022</t>
        </is>
      </c>
      <c r="B165" s="1" t="n">
        <v>44884.59502314815</v>
      </c>
      <c r="C165" s="1" t="n">
        <v>45940</v>
      </c>
      <c r="D165" t="inlineStr">
        <is>
          <t>ÖSTERGÖTLANDS LÄN</t>
        </is>
      </c>
      <c r="E165" t="inlineStr">
        <is>
          <t>LINKÖPING</t>
        </is>
      </c>
      <c r="G165" t="n">
        <v>2.9</v>
      </c>
      <c r="H165" t="n">
        <v>0</v>
      </c>
      <c r="I165" t="n">
        <v>0</v>
      </c>
      <c r="J165" t="n">
        <v>0</v>
      </c>
      <c r="K165" t="n">
        <v>0</v>
      </c>
      <c r="L165" t="n">
        <v>0</v>
      </c>
      <c r="M165" t="n">
        <v>0</v>
      </c>
      <c r="N165" t="n">
        <v>0</v>
      </c>
      <c r="O165" t="n">
        <v>0</v>
      </c>
      <c r="P165" t="n">
        <v>0</v>
      </c>
      <c r="Q165" t="n">
        <v>0</v>
      </c>
      <c r="R165" s="2" t="inlineStr"/>
    </row>
    <row r="166" ht="15" customHeight="1">
      <c r="A166" t="inlineStr">
        <is>
          <t>A 28447-2021</t>
        </is>
      </c>
      <c r="B166" s="1" t="n">
        <v>44356</v>
      </c>
      <c r="C166" s="1" t="n">
        <v>45940</v>
      </c>
      <c r="D166" t="inlineStr">
        <is>
          <t>ÖSTERGÖTLANDS LÄN</t>
        </is>
      </c>
      <c r="E166" t="inlineStr">
        <is>
          <t>LINKÖPING</t>
        </is>
      </c>
      <c r="G166" t="n">
        <v>2</v>
      </c>
      <c r="H166" t="n">
        <v>0</v>
      </c>
      <c r="I166" t="n">
        <v>0</v>
      </c>
      <c r="J166" t="n">
        <v>0</v>
      </c>
      <c r="K166" t="n">
        <v>0</v>
      </c>
      <c r="L166" t="n">
        <v>0</v>
      </c>
      <c r="M166" t="n">
        <v>0</v>
      </c>
      <c r="N166" t="n">
        <v>0</v>
      </c>
      <c r="O166" t="n">
        <v>0</v>
      </c>
      <c r="P166" t="n">
        <v>0</v>
      </c>
      <c r="Q166" t="n">
        <v>0</v>
      </c>
      <c r="R166" s="2" t="inlineStr"/>
    </row>
    <row r="167" ht="15" customHeight="1">
      <c r="A167" t="inlineStr">
        <is>
          <t>A 60129-2020</t>
        </is>
      </c>
      <c r="B167" s="1" t="n">
        <v>44152</v>
      </c>
      <c r="C167" s="1" t="n">
        <v>45940</v>
      </c>
      <c r="D167" t="inlineStr">
        <is>
          <t>ÖSTERGÖTLANDS LÄN</t>
        </is>
      </c>
      <c r="E167" t="inlineStr">
        <is>
          <t>LINKÖPING</t>
        </is>
      </c>
      <c r="F167" t="inlineStr">
        <is>
          <t>Övriga statliga verk och myndigheter</t>
        </is>
      </c>
      <c r="G167" t="n">
        <v>2.5</v>
      </c>
      <c r="H167" t="n">
        <v>0</v>
      </c>
      <c r="I167" t="n">
        <v>0</v>
      </c>
      <c r="J167" t="n">
        <v>0</v>
      </c>
      <c r="K167" t="n">
        <v>0</v>
      </c>
      <c r="L167" t="n">
        <v>0</v>
      </c>
      <c r="M167" t="n">
        <v>0</v>
      </c>
      <c r="N167" t="n">
        <v>0</v>
      </c>
      <c r="O167" t="n">
        <v>0</v>
      </c>
      <c r="P167" t="n">
        <v>0</v>
      </c>
      <c r="Q167" t="n">
        <v>0</v>
      </c>
      <c r="R167" s="2" t="inlineStr"/>
    </row>
    <row r="168" ht="15" customHeight="1">
      <c r="A168" t="inlineStr">
        <is>
          <t>A 31732-2022</t>
        </is>
      </c>
      <c r="B168" s="1" t="n">
        <v>44776.49267361111</v>
      </c>
      <c r="C168" s="1" t="n">
        <v>45940</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9935-2021</t>
        </is>
      </c>
      <c r="B169" s="1" t="n">
        <v>44253</v>
      </c>
      <c r="C169" s="1" t="n">
        <v>45940</v>
      </c>
      <c r="D169" t="inlineStr">
        <is>
          <t>ÖSTERGÖTLANDS LÄN</t>
        </is>
      </c>
      <c r="E169" t="inlineStr">
        <is>
          <t>LINKÖPING</t>
        </is>
      </c>
      <c r="G169" t="n">
        <v>4.5</v>
      </c>
      <c r="H169" t="n">
        <v>0</v>
      </c>
      <c r="I169" t="n">
        <v>0</v>
      </c>
      <c r="J169" t="n">
        <v>0</v>
      </c>
      <c r="K169" t="n">
        <v>0</v>
      </c>
      <c r="L169" t="n">
        <v>0</v>
      </c>
      <c r="M169" t="n">
        <v>0</v>
      </c>
      <c r="N169" t="n">
        <v>0</v>
      </c>
      <c r="O169" t="n">
        <v>0</v>
      </c>
      <c r="P169" t="n">
        <v>0</v>
      </c>
      <c r="Q169" t="n">
        <v>0</v>
      </c>
      <c r="R169" s="2" t="inlineStr"/>
    </row>
    <row r="170" ht="15" customHeight="1">
      <c r="A170" t="inlineStr">
        <is>
          <t>A 31705-2022</t>
        </is>
      </c>
      <c r="B170" s="1" t="n">
        <v>44776.43607638889</v>
      </c>
      <c r="C170" s="1" t="n">
        <v>45940</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4377-2021</t>
        </is>
      </c>
      <c r="B171" s="1" t="n">
        <v>44223</v>
      </c>
      <c r="C171" s="1" t="n">
        <v>45940</v>
      </c>
      <c r="D171" t="inlineStr">
        <is>
          <t>ÖSTERGÖTLANDS LÄN</t>
        </is>
      </c>
      <c r="E171" t="inlineStr">
        <is>
          <t>LINKÖPING</t>
        </is>
      </c>
      <c r="G171" t="n">
        <v>1.3</v>
      </c>
      <c r="H171" t="n">
        <v>0</v>
      </c>
      <c r="I171" t="n">
        <v>0</v>
      </c>
      <c r="J171" t="n">
        <v>0</v>
      </c>
      <c r="K171" t="n">
        <v>0</v>
      </c>
      <c r="L171" t="n">
        <v>0</v>
      </c>
      <c r="M171" t="n">
        <v>0</v>
      </c>
      <c r="N171" t="n">
        <v>0</v>
      </c>
      <c r="O171" t="n">
        <v>0</v>
      </c>
      <c r="P171" t="n">
        <v>0</v>
      </c>
      <c r="Q171" t="n">
        <v>0</v>
      </c>
      <c r="R171" s="2" t="inlineStr"/>
    </row>
    <row r="172" ht="15" customHeight="1">
      <c r="A172" t="inlineStr">
        <is>
          <t>A 19318-2022</t>
        </is>
      </c>
      <c r="B172" s="1" t="n">
        <v>44692.5827662037</v>
      </c>
      <c r="C172" s="1" t="n">
        <v>45940</v>
      </c>
      <c r="D172" t="inlineStr">
        <is>
          <t>ÖSTERGÖTLANDS LÄN</t>
        </is>
      </c>
      <c r="E172" t="inlineStr">
        <is>
          <t>LINKÖPING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11079-2022</t>
        </is>
      </c>
      <c r="B173" s="1" t="n">
        <v>44628</v>
      </c>
      <c r="C173" s="1" t="n">
        <v>45940</v>
      </c>
      <c r="D173" t="inlineStr">
        <is>
          <t>ÖSTERGÖTLANDS LÄN</t>
        </is>
      </c>
      <c r="E173" t="inlineStr">
        <is>
          <t>LINKÖPING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20901-2021</t>
        </is>
      </c>
      <c r="B174" s="1" t="n">
        <v>44319</v>
      </c>
      <c r="C174" s="1" t="n">
        <v>45940</v>
      </c>
      <c r="D174" t="inlineStr">
        <is>
          <t>ÖSTERGÖTLANDS LÄN</t>
        </is>
      </c>
      <c r="E174" t="inlineStr">
        <is>
          <t>LINKÖPING</t>
        </is>
      </c>
      <c r="G174" t="n">
        <v>1.4</v>
      </c>
      <c r="H174" t="n">
        <v>0</v>
      </c>
      <c r="I174" t="n">
        <v>0</v>
      </c>
      <c r="J174" t="n">
        <v>0</v>
      </c>
      <c r="K174" t="n">
        <v>0</v>
      </c>
      <c r="L174" t="n">
        <v>0</v>
      </c>
      <c r="M174" t="n">
        <v>0</v>
      </c>
      <c r="N174" t="n">
        <v>0</v>
      </c>
      <c r="O174" t="n">
        <v>0</v>
      </c>
      <c r="P174" t="n">
        <v>0</v>
      </c>
      <c r="Q174" t="n">
        <v>0</v>
      </c>
      <c r="R174" s="2" t="inlineStr"/>
    </row>
    <row r="175" ht="15" customHeight="1">
      <c r="A175" t="inlineStr">
        <is>
          <t>A 61153-2021</t>
        </is>
      </c>
      <c r="B175" s="1" t="n">
        <v>44497</v>
      </c>
      <c r="C175" s="1" t="n">
        <v>45940</v>
      </c>
      <c r="D175" t="inlineStr">
        <is>
          <t>ÖSTERGÖTLANDS LÄN</t>
        </is>
      </c>
      <c r="E175" t="inlineStr">
        <is>
          <t>LINKÖPING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33885-2021</t>
        </is>
      </c>
      <c r="B176" s="1" t="n">
        <v>44378</v>
      </c>
      <c r="C176" s="1" t="n">
        <v>45940</v>
      </c>
      <c r="D176" t="inlineStr">
        <is>
          <t>ÖSTERGÖTLANDS LÄN</t>
        </is>
      </c>
      <c r="E176" t="inlineStr">
        <is>
          <t>LINKÖPING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45940</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61302-2021</t>
        </is>
      </c>
      <c r="B178" s="1" t="n">
        <v>44498.63189814815</v>
      </c>
      <c r="C178" s="1" t="n">
        <v>45940</v>
      </c>
      <c r="D178" t="inlineStr">
        <is>
          <t>ÖSTERGÖTLANDS LÄN</t>
        </is>
      </c>
      <c r="E178" t="inlineStr">
        <is>
          <t>LINKÖPING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54467-2022</t>
        </is>
      </c>
      <c r="B179" s="1" t="n">
        <v>44882</v>
      </c>
      <c r="C179" s="1" t="n">
        <v>45940</v>
      </c>
      <c r="D179" t="inlineStr">
        <is>
          <t>ÖSTERGÖTLANDS LÄN</t>
        </is>
      </c>
      <c r="E179" t="inlineStr">
        <is>
          <t>LINKÖPING</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36341-2022</t>
        </is>
      </c>
      <c r="B180" s="1" t="n">
        <v>44803</v>
      </c>
      <c r="C180" s="1" t="n">
        <v>45940</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65398-2021</t>
        </is>
      </c>
      <c r="B181" s="1" t="n">
        <v>44515</v>
      </c>
      <c r="C181" s="1" t="n">
        <v>45940</v>
      </c>
      <c r="D181" t="inlineStr">
        <is>
          <t>ÖSTERGÖTLANDS LÄN</t>
        </is>
      </c>
      <c r="E181" t="inlineStr">
        <is>
          <t>LINKÖPING</t>
        </is>
      </c>
      <c r="F181" t="inlineStr">
        <is>
          <t>Övriga statliga verk och myndigheter</t>
        </is>
      </c>
      <c r="G181" t="n">
        <v>2.4</v>
      </c>
      <c r="H181" t="n">
        <v>0</v>
      </c>
      <c r="I181" t="n">
        <v>0</v>
      </c>
      <c r="J181" t="n">
        <v>0</v>
      </c>
      <c r="K181" t="n">
        <v>0</v>
      </c>
      <c r="L181" t="n">
        <v>0</v>
      </c>
      <c r="M181" t="n">
        <v>0</v>
      </c>
      <c r="N181" t="n">
        <v>0</v>
      </c>
      <c r="O181" t="n">
        <v>0</v>
      </c>
      <c r="P181" t="n">
        <v>0</v>
      </c>
      <c r="Q181" t="n">
        <v>0</v>
      </c>
      <c r="R181" s="2" t="inlineStr"/>
    </row>
    <row r="182" ht="15" customHeight="1">
      <c r="A182" t="inlineStr">
        <is>
          <t>A 46490-2022</t>
        </is>
      </c>
      <c r="B182" s="1" t="n">
        <v>44848</v>
      </c>
      <c r="C182" s="1" t="n">
        <v>45940</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67912-2021</t>
        </is>
      </c>
      <c r="B183" s="1" t="n">
        <v>44525</v>
      </c>
      <c r="C183" s="1" t="n">
        <v>45940</v>
      </c>
      <c r="D183" t="inlineStr">
        <is>
          <t>ÖSTERGÖTLANDS LÄN</t>
        </is>
      </c>
      <c r="E183" t="inlineStr">
        <is>
          <t>LINKÖPING</t>
        </is>
      </c>
      <c r="G183" t="n">
        <v>2.4</v>
      </c>
      <c r="H183" t="n">
        <v>0</v>
      </c>
      <c r="I183" t="n">
        <v>0</v>
      </c>
      <c r="J183" t="n">
        <v>0</v>
      </c>
      <c r="K183" t="n">
        <v>0</v>
      </c>
      <c r="L183" t="n">
        <v>0</v>
      </c>
      <c r="M183" t="n">
        <v>0</v>
      </c>
      <c r="N183" t="n">
        <v>0</v>
      </c>
      <c r="O183" t="n">
        <v>0</v>
      </c>
      <c r="P183" t="n">
        <v>0</v>
      </c>
      <c r="Q183" t="n">
        <v>0</v>
      </c>
      <c r="R183" s="2" t="inlineStr"/>
    </row>
    <row r="184" ht="15" customHeight="1">
      <c r="A184" t="inlineStr">
        <is>
          <t>A 67940-2021</t>
        </is>
      </c>
      <c r="B184" s="1" t="n">
        <v>44525.62849537037</v>
      </c>
      <c r="C184" s="1" t="n">
        <v>45940</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41426-2022</t>
        </is>
      </c>
      <c r="B185" s="1" t="n">
        <v>44826</v>
      </c>
      <c r="C185" s="1" t="n">
        <v>45940</v>
      </c>
      <c r="D185" t="inlineStr">
        <is>
          <t>ÖSTERGÖTLANDS LÄN</t>
        </is>
      </c>
      <c r="E185" t="inlineStr">
        <is>
          <t>LINKÖPING</t>
        </is>
      </c>
      <c r="G185" t="n">
        <v>3</v>
      </c>
      <c r="H185" t="n">
        <v>0</v>
      </c>
      <c r="I185" t="n">
        <v>0</v>
      </c>
      <c r="J185" t="n">
        <v>0</v>
      </c>
      <c r="K185" t="n">
        <v>0</v>
      </c>
      <c r="L185" t="n">
        <v>0</v>
      </c>
      <c r="M185" t="n">
        <v>0</v>
      </c>
      <c r="N185" t="n">
        <v>0</v>
      </c>
      <c r="O185" t="n">
        <v>0</v>
      </c>
      <c r="P185" t="n">
        <v>0</v>
      </c>
      <c r="Q185" t="n">
        <v>0</v>
      </c>
      <c r="R185" s="2" t="inlineStr"/>
    </row>
    <row r="186" ht="15" customHeight="1">
      <c r="A186" t="inlineStr">
        <is>
          <t>A 34162-2022</t>
        </is>
      </c>
      <c r="B186" s="1" t="n">
        <v>44791</v>
      </c>
      <c r="C186" s="1" t="n">
        <v>45940</v>
      </c>
      <c r="D186" t="inlineStr">
        <is>
          <t>ÖSTERGÖTLANDS LÄN</t>
        </is>
      </c>
      <c r="E186" t="inlineStr">
        <is>
          <t>LINKÖPING</t>
        </is>
      </c>
      <c r="G186" t="n">
        <v>3</v>
      </c>
      <c r="H186" t="n">
        <v>0</v>
      </c>
      <c r="I186" t="n">
        <v>0</v>
      </c>
      <c r="J186" t="n">
        <v>0</v>
      </c>
      <c r="K186" t="n">
        <v>0</v>
      </c>
      <c r="L186" t="n">
        <v>0</v>
      </c>
      <c r="M186" t="n">
        <v>0</v>
      </c>
      <c r="N186" t="n">
        <v>0</v>
      </c>
      <c r="O186" t="n">
        <v>0</v>
      </c>
      <c r="P186" t="n">
        <v>0</v>
      </c>
      <c r="Q186" t="n">
        <v>0</v>
      </c>
      <c r="R186" s="2" t="inlineStr"/>
    </row>
    <row r="187" ht="15" customHeight="1">
      <c r="A187" t="inlineStr">
        <is>
          <t>A 61298-2021</t>
        </is>
      </c>
      <c r="B187" s="1" t="n">
        <v>44498.62533564815</v>
      </c>
      <c r="C187" s="1" t="n">
        <v>45940</v>
      </c>
      <c r="D187" t="inlineStr">
        <is>
          <t>ÖSTERGÖTLANDS LÄN</t>
        </is>
      </c>
      <c r="E187" t="inlineStr">
        <is>
          <t>LINKÖPING</t>
        </is>
      </c>
      <c r="G187" t="n">
        <v>4.3</v>
      </c>
      <c r="H187" t="n">
        <v>0</v>
      </c>
      <c r="I187" t="n">
        <v>0</v>
      </c>
      <c r="J187" t="n">
        <v>0</v>
      </c>
      <c r="K187" t="n">
        <v>0</v>
      </c>
      <c r="L187" t="n">
        <v>0</v>
      </c>
      <c r="M187" t="n">
        <v>0</v>
      </c>
      <c r="N187" t="n">
        <v>0</v>
      </c>
      <c r="O187" t="n">
        <v>0</v>
      </c>
      <c r="P187" t="n">
        <v>0</v>
      </c>
      <c r="Q187" t="n">
        <v>0</v>
      </c>
      <c r="R187" s="2" t="inlineStr"/>
    </row>
    <row r="188" ht="15" customHeight="1">
      <c r="A188" t="inlineStr">
        <is>
          <t>A 61333-2021</t>
        </is>
      </c>
      <c r="B188" s="1" t="n">
        <v>44498.6764699074</v>
      </c>
      <c r="C188" s="1" t="n">
        <v>45940</v>
      </c>
      <c r="D188" t="inlineStr">
        <is>
          <t>ÖSTERGÖTLANDS LÄN</t>
        </is>
      </c>
      <c r="E188" t="inlineStr">
        <is>
          <t>LINKÖPING</t>
        </is>
      </c>
      <c r="G188" t="n">
        <v>7.5</v>
      </c>
      <c r="H188" t="n">
        <v>0</v>
      </c>
      <c r="I188" t="n">
        <v>0</v>
      </c>
      <c r="J188" t="n">
        <v>0</v>
      </c>
      <c r="K188" t="n">
        <v>0</v>
      </c>
      <c r="L188" t="n">
        <v>0</v>
      </c>
      <c r="M188" t="n">
        <v>0</v>
      </c>
      <c r="N188" t="n">
        <v>0</v>
      </c>
      <c r="O188" t="n">
        <v>0</v>
      </c>
      <c r="P188" t="n">
        <v>0</v>
      </c>
      <c r="Q188" t="n">
        <v>0</v>
      </c>
      <c r="R188" s="2" t="inlineStr"/>
    </row>
    <row r="189" ht="15" customHeight="1">
      <c r="A189" t="inlineStr">
        <is>
          <t>A 10951-2022</t>
        </is>
      </c>
      <c r="B189" s="1" t="n">
        <v>44627</v>
      </c>
      <c r="C189" s="1" t="n">
        <v>45940</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12412-2022</t>
        </is>
      </c>
      <c r="B190" s="1" t="n">
        <v>44638</v>
      </c>
      <c r="C190" s="1" t="n">
        <v>45940</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33134-2022</t>
        </is>
      </c>
      <c r="B191" s="1" t="n">
        <v>44785</v>
      </c>
      <c r="C191" s="1" t="n">
        <v>45940</v>
      </c>
      <c r="D191" t="inlineStr">
        <is>
          <t>ÖSTERGÖTLANDS LÄN</t>
        </is>
      </c>
      <c r="E191" t="inlineStr">
        <is>
          <t>LINKÖPING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59948-2022</t>
        </is>
      </c>
      <c r="B192" s="1" t="n">
        <v>44909</v>
      </c>
      <c r="C192" s="1" t="n">
        <v>45940</v>
      </c>
      <c r="D192" t="inlineStr">
        <is>
          <t>ÖSTERGÖTLANDS LÄN</t>
        </is>
      </c>
      <c r="E192" t="inlineStr">
        <is>
          <t>LINKÖPING</t>
        </is>
      </c>
      <c r="G192" t="n">
        <v>6.7</v>
      </c>
      <c r="H192" t="n">
        <v>0</v>
      </c>
      <c r="I192" t="n">
        <v>0</v>
      </c>
      <c r="J192" t="n">
        <v>0</v>
      </c>
      <c r="K192" t="n">
        <v>0</v>
      </c>
      <c r="L192" t="n">
        <v>0</v>
      </c>
      <c r="M192" t="n">
        <v>0</v>
      </c>
      <c r="N192" t="n">
        <v>0</v>
      </c>
      <c r="O192" t="n">
        <v>0</v>
      </c>
      <c r="P192" t="n">
        <v>0</v>
      </c>
      <c r="Q192" t="n">
        <v>0</v>
      </c>
      <c r="R192" s="2" t="inlineStr"/>
    </row>
    <row r="193" ht="15" customHeight="1">
      <c r="A193" t="inlineStr">
        <is>
          <t>A 60001-2022</t>
        </is>
      </c>
      <c r="B193" s="1" t="n">
        <v>44909.47087962963</v>
      </c>
      <c r="C193" s="1" t="n">
        <v>45940</v>
      </c>
      <c r="D193" t="inlineStr">
        <is>
          <t>ÖSTERGÖTLANDS LÄN</t>
        </is>
      </c>
      <c r="E193" t="inlineStr">
        <is>
          <t>LINKÖPING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60013-2022</t>
        </is>
      </c>
      <c r="B194" s="1" t="n">
        <v>44909.47482638889</v>
      </c>
      <c r="C194" s="1" t="n">
        <v>45940</v>
      </c>
      <c r="D194" t="inlineStr">
        <is>
          <t>ÖSTERGÖTLANDS LÄN</t>
        </is>
      </c>
      <c r="E194" t="inlineStr">
        <is>
          <t>LINKÖPING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1211-2023</t>
        </is>
      </c>
      <c r="B195" s="1" t="n">
        <v>44930</v>
      </c>
      <c r="C195" s="1" t="n">
        <v>45940</v>
      </c>
      <c r="D195" t="inlineStr">
        <is>
          <t>ÖSTERGÖTLANDS LÄN</t>
        </is>
      </c>
      <c r="E195" t="inlineStr">
        <is>
          <t>LINKÖPING</t>
        </is>
      </c>
      <c r="F195" t="inlineStr">
        <is>
          <t>Övriga statliga verk och myndigheter</t>
        </is>
      </c>
      <c r="G195" t="n">
        <v>7.9</v>
      </c>
      <c r="H195" t="n">
        <v>0</v>
      </c>
      <c r="I195" t="n">
        <v>0</v>
      </c>
      <c r="J195" t="n">
        <v>0</v>
      </c>
      <c r="K195" t="n">
        <v>0</v>
      </c>
      <c r="L195" t="n">
        <v>0</v>
      </c>
      <c r="M195" t="n">
        <v>0</v>
      </c>
      <c r="N195" t="n">
        <v>0</v>
      </c>
      <c r="O195" t="n">
        <v>0</v>
      </c>
      <c r="P195" t="n">
        <v>0</v>
      </c>
      <c r="Q195" t="n">
        <v>0</v>
      </c>
      <c r="R195" s="2" t="inlineStr"/>
    </row>
    <row r="196" ht="15" customHeight="1">
      <c r="A196" t="inlineStr">
        <is>
          <t>A 13075-2022</t>
        </is>
      </c>
      <c r="B196" s="1" t="n">
        <v>44643</v>
      </c>
      <c r="C196" s="1" t="n">
        <v>45940</v>
      </c>
      <c r="D196" t="inlineStr">
        <is>
          <t>ÖSTERGÖTLANDS LÄN</t>
        </is>
      </c>
      <c r="E196" t="inlineStr">
        <is>
          <t>LINKÖPING</t>
        </is>
      </c>
      <c r="G196" t="n">
        <v>2.2</v>
      </c>
      <c r="H196" t="n">
        <v>0</v>
      </c>
      <c r="I196" t="n">
        <v>0</v>
      </c>
      <c r="J196" t="n">
        <v>0</v>
      </c>
      <c r="K196" t="n">
        <v>0</v>
      </c>
      <c r="L196" t="n">
        <v>0</v>
      </c>
      <c r="M196" t="n">
        <v>0</v>
      </c>
      <c r="N196" t="n">
        <v>0</v>
      </c>
      <c r="O196" t="n">
        <v>0</v>
      </c>
      <c r="P196" t="n">
        <v>0</v>
      </c>
      <c r="Q196" t="n">
        <v>0</v>
      </c>
      <c r="R196" s="2" t="inlineStr"/>
    </row>
    <row r="197" ht="15" customHeight="1">
      <c r="A197" t="inlineStr">
        <is>
          <t>A 38136-2023</t>
        </is>
      </c>
      <c r="B197" s="1" t="n">
        <v>45161.37310185185</v>
      </c>
      <c r="C197" s="1" t="n">
        <v>45940</v>
      </c>
      <c r="D197" t="inlineStr">
        <is>
          <t>ÖSTERGÖTLANDS LÄN</t>
        </is>
      </c>
      <c r="E197" t="inlineStr">
        <is>
          <t>LINKÖPING</t>
        </is>
      </c>
      <c r="G197" t="n">
        <v>5.6</v>
      </c>
      <c r="H197" t="n">
        <v>0</v>
      </c>
      <c r="I197" t="n">
        <v>0</v>
      </c>
      <c r="J197" t="n">
        <v>0</v>
      </c>
      <c r="K197" t="n">
        <v>0</v>
      </c>
      <c r="L197" t="n">
        <v>0</v>
      </c>
      <c r="M197" t="n">
        <v>0</v>
      </c>
      <c r="N197" t="n">
        <v>0</v>
      </c>
      <c r="O197" t="n">
        <v>0</v>
      </c>
      <c r="P197" t="n">
        <v>0</v>
      </c>
      <c r="Q197" t="n">
        <v>0</v>
      </c>
      <c r="R197" s="2" t="inlineStr"/>
    </row>
    <row r="198" ht="15" customHeight="1">
      <c r="A198" t="inlineStr">
        <is>
          <t>A 62374-2020</t>
        </is>
      </c>
      <c r="B198" s="1" t="n">
        <v>44159</v>
      </c>
      <c r="C198" s="1" t="n">
        <v>45940</v>
      </c>
      <c r="D198" t="inlineStr">
        <is>
          <t>ÖSTERGÖTLANDS LÄN</t>
        </is>
      </c>
      <c r="E198" t="inlineStr">
        <is>
          <t>LINKÖPING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4240-2022</t>
        </is>
      </c>
      <c r="B199" s="1" t="n">
        <v>44588</v>
      </c>
      <c r="C199" s="1" t="n">
        <v>45940</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16462-2021</t>
        </is>
      </c>
      <c r="B200" s="1" t="n">
        <v>44293</v>
      </c>
      <c r="C200" s="1" t="n">
        <v>45940</v>
      </c>
      <c r="D200" t="inlineStr">
        <is>
          <t>ÖSTERGÖTLANDS LÄN</t>
        </is>
      </c>
      <c r="E200" t="inlineStr">
        <is>
          <t>LINKÖPING</t>
        </is>
      </c>
      <c r="F200" t="inlineStr">
        <is>
          <t>Allmännings- och besparingsskogar</t>
        </is>
      </c>
      <c r="G200" t="n">
        <v>24.7</v>
      </c>
      <c r="H200" t="n">
        <v>0</v>
      </c>
      <c r="I200" t="n">
        <v>0</v>
      </c>
      <c r="J200" t="n">
        <v>0</v>
      </c>
      <c r="K200" t="n">
        <v>0</v>
      </c>
      <c r="L200" t="n">
        <v>0</v>
      </c>
      <c r="M200" t="n">
        <v>0</v>
      </c>
      <c r="N200" t="n">
        <v>0</v>
      </c>
      <c r="O200" t="n">
        <v>0</v>
      </c>
      <c r="P200" t="n">
        <v>0</v>
      </c>
      <c r="Q200" t="n">
        <v>0</v>
      </c>
      <c r="R200" s="2" t="inlineStr"/>
    </row>
    <row r="201" ht="15" customHeight="1">
      <c r="A201" t="inlineStr">
        <is>
          <t>A 46891-2021</t>
        </is>
      </c>
      <c r="B201" s="1" t="n">
        <v>44446.44587962963</v>
      </c>
      <c r="C201" s="1" t="n">
        <v>45940</v>
      </c>
      <c r="D201" t="inlineStr">
        <is>
          <t>ÖSTERGÖTLANDS LÄN</t>
        </is>
      </c>
      <c r="E201" t="inlineStr">
        <is>
          <t>LINKÖPING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12317-2025</t>
        </is>
      </c>
      <c r="B202" s="1" t="n">
        <v>45729.8487037037</v>
      </c>
      <c r="C202" s="1" t="n">
        <v>45940</v>
      </c>
      <c r="D202" t="inlineStr">
        <is>
          <t>ÖSTERGÖTLANDS LÄN</t>
        </is>
      </c>
      <c r="E202" t="inlineStr">
        <is>
          <t>LINKÖPING</t>
        </is>
      </c>
      <c r="G202" t="n">
        <v>8</v>
      </c>
      <c r="H202" t="n">
        <v>0</v>
      </c>
      <c r="I202" t="n">
        <v>0</v>
      </c>
      <c r="J202" t="n">
        <v>0</v>
      </c>
      <c r="K202" t="n">
        <v>0</v>
      </c>
      <c r="L202" t="n">
        <v>0</v>
      </c>
      <c r="M202" t="n">
        <v>0</v>
      </c>
      <c r="N202" t="n">
        <v>0</v>
      </c>
      <c r="O202" t="n">
        <v>0</v>
      </c>
      <c r="P202" t="n">
        <v>0</v>
      </c>
      <c r="Q202" t="n">
        <v>0</v>
      </c>
      <c r="R202" s="2" t="inlineStr"/>
    </row>
    <row r="203" ht="15" customHeight="1">
      <c r="A203" t="inlineStr">
        <is>
          <t>A 36557-2023</t>
        </is>
      </c>
      <c r="B203" s="1" t="n">
        <v>45153</v>
      </c>
      <c r="C203" s="1" t="n">
        <v>45940</v>
      </c>
      <c r="D203" t="inlineStr">
        <is>
          <t>ÖSTERGÖTLANDS LÄN</t>
        </is>
      </c>
      <c r="E203" t="inlineStr">
        <is>
          <t>LINKÖPING</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2085-2024</t>
        </is>
      </c>
      <c r="B204" s="1" t="n">
        <v>45309</v>
      </c>
      <c r="C204" s="1" t="n">
        <v>45940</v>
      </c>
      <c r="D204" t="inlineStr">
        <is>
          <t>ÖSTERGÖTLANDS LÄN</t>
        </is>
      </c>
      <c r="E204" t="inlineStr">
        <is>
          <t>LINKÖPING</t>
        </is>
      </c>
      <c r="G204" t="n">
        <v>4.5</v>
      </c>
      <c r="H204" t="n">
        <v>0</v>
      </c>
      <c r="I204" t="n">
        <v>0</v>
      </c>
      <c r="J204" t="n">
        <v>0</v>
      </c>
      <c r="K204" t="n">
        <v>0</v>
      </c>
      <c r="L204" t="n">
        <v>0</v>
      </c>
      <c r="M204" t="n">
        <v>0</v>
      </c>
      <c r="N204" t="n">
        <v>0</v>
      </c>
      <c r="O204" t="n">
        <v>0</v>
      </c>
      <c r="P204" t="n">
        <v>0</v>
      </c>
      <c r="Q204" t="n">
        <v>0</v>
      </c>
      <c r="R204" s="2" t="inlineStr"/>
    </row>
    <row r="205" ht="15" customHeight="1">
      <c r="A205" t="inlineStr">
        <is>
          <t>A 30468-2023</t>
        </is>
      </c>
      <c r="B205" s="1" t="n">
        <v>45111.58732638889</v>
      </c>
      <c r="C205" s="1" t="n">
        <v>45940</v>
      </c>
      <c r="D205" t="inlineStr">
        <is>
          <t>ÖSTERGÖTLANDS LÄN</t>
        </is>
      </c>
      <c r="E205" t="inlineStr">
        <is>
          <t>LINKÖPING</t>
        </is>
      </c>
      <c r="G205" t="n">
        <v>10.1</v>
      </c>
      <c r="H205" t="n">
        <v>0</v>
      </c>
      <c r="I205" t="n">
        <v>0</v>
      </c>
      <c r="J205" t="n">
        <v>0</v>
      </c>
      <c r="K205" t="n">
        <v>0</v>
      </c>
      <c r="L205" t="n">
        <v>0</v>
      </c>
      <c r="M205" t="n">
        <v>0</v>
      </c>
      <c r="N205" t="n">
        <v>0</v>
      </c>
      <c r="O205" t="n">
        <v>0</v>
      </c>
      <c r="P205" t="n">
        <v>0</v>
      </c>
      <c r="Q205" t="n">
        <v>0</v>
      </c>
      <c r="R205" s="2" t="inlineStr"/>
    </row>
    <row r="206" ht="15" customHeight="1">
      <c r="A206" t="inlineStr">
        <is>
          <t>A 38715-2023</t>
        </is>
      </c>
      <c r="B206" s="1" t="n">
        <v>45160</v>
      </c>
      <c r="C206" s="1" t="n">
        <v>45940</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27666-2022</t>
        </is>
      </c>
      <c r="B207" s="1" t="n">
        <v>44743.39017361111</v>
      </c>
      <c r="C207" s="1" t="n">
        <v>45940</v>
      </c>
      <c r="D207" t="inlineStr">
        <is>
          <t>ÖSTERGÖTLANDS LÄN</t>
        </is>
      </c>
      <c r="E207" t="inlineStr">
        <is>
          <t>LINKÖPING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19183-2021</t>
        </is>
      </c>
      <c r="B208" s="1" t="n">
        <v>44308.73248842593</v>
      </c>
      <c r="C208" s="1" t="n">
        <v>45940</v>
      </c>
      <c r="D208" t="inlineStr">
        <is>
          <t>ÖSTERGÖTLANDS LÄN</t>
        </is>
      </c>
      <c r="E208" t="inlineStr">
        <is>
          <t>LINKÖPING</t>
        </is>
      </c>
      <c r="F208" t="inlineStr">
        <is>
          <t>Allmännings- och besparingsskogar</t>
        </is>
      </c>
      <c r="G208" t="n">
        <v>4.6</v>
      </c>
      <c r="H208" t="n">
        <v>0</v>
      </c>
      <c r="I208" t="n">
        <v>0</v>
      </c>
      <c r="J208" t="n">
        <v>0</v>
      </c>
      <c r="K208" t="n">
        <v>0</v>
      </c>
      <c r="L208" t="n">
        <v>0</v>
      </c>
      <c r="M208" t="n">
        <v>0</v>
      </c>
      <c r="N208" t="n">
        <v>0</v>
      </c>
      <c r="O208" t="n">
        <v>0</v>
      </c>
      <c r="P208" t="n">
        <v>0</v>
      </c>
      <c r="Q208" t="n">
        <v>0</v>
      </c>
      <c r="R208" s="2" t="inlineStr"/>
    </row>
    <row r="209" ht="15" customHeight="1">
      <c r="A209" t="inlineStr">
        <is>
          <t>A 63554-2023</t>
        </is>
      </c>
      <c r="B209" s="1" t="n">
        <v>45275</v>
      </c>
      <c r="C209" s="1" t="n">
        <v>45940</v>
      </c>
      <c r="D209" t="inlineStr">
        <is>
          <t>ÖSTERGÖTLANDS LÄN</t>
        </is>
      </c>
      <c r="E209" t="inlineStr">
        <is>
          <t>LINKÖPING</t>
        </is>
      </c>
      <c r="G209" t="n">
        <v>4.3</v>
      </c>
      <c r="H209" t="n">
        <v>0</v>
      </c>
      <c r="I209" t="n">
        <v>0</v>
      </c>
      <c r="J209" t="n">
        <v>0</v>
      </c>
      <c r="K209" t="n">
        <v>0</v>
      </c>
      <c r="L209" t="n">
        <v>0</v>
      </c>
      <c r="M209" t="n">
        <v>0</v>
      </c>
      <c r="N209" t="n">
        <v>0</v>
      </c>
      <c r="O209" t="n">
        <v>0</v>
      </c>
      <c r="P209" t="n">
        <v>0</v>
      </c>
      <c r="Q209" t="n">
        <v>0</v>
      </c>
      <c r="R209" s="2" t="inlineStr"/>
    </row>
    <row r="210" ht="15" customHeight="1">
      <c r="A210" t="inlineStr">
        <is>
          <t>A 34864-2023</t>
        </is>
      </c>
      <c r="B210" s="1" t="n">
        <v>45141</v>
      </c>
      <c r="C210" s="1" t="n">
        <v>45940</v>
      </c>
      <c r="D210" t="inlineStr">
        <is>
          <t>ÖSTERGÖTLANDS LÄN</t>
        </is>
      </c>
      <c r="E210" t="inlineStr">
        <is>
          <t>LINKÖPING</t>
        </is>
      </c>
      <c r="G210" t="n">
        <v>3.3</v>
      </c>
      <c r="H210" t="n">
        <v>0</v>
      </c>
      <c r="I210" t="n">
        <v>0</v>
      </c>
      <c r="J210" t="n">
        <v>0</v>
      </c>
      <c r="K210" t="n">
        <v>0</v>
      </c>
      <c r="L210" t="n">
        <v>0</v>
      </c>
      <c r="M210" t="n">
        <v>0</v>
      </c>
      <c r="N210" t="n">
        <v>0</v>
      </c>
      <c r="O210" t="n">
        <v>0</v>
      </c>
      <c r="P210" t="n">
        <v>0</v>
      </c>
      <c r="Q210" t="n">
        <v>0</v>
      </c>
      <c r="R210" s="2" t="inlineStr"/>
    </row>
    <row r="211" ht="15" customHeight="1">
      <c r="A211" t="inlineStr">
        <is>
          <t>A 59288-2020</t>
        </is>
      </c>
      <c r="B211" s="1" t="n">
        <v>44147</v>
      </c>
      <c r="C211" s="1" t="n">
        <v>45940</v>
      </c>
      <c r="D211" t="inlineStr">
        <is>
          <t>ÖSTERGÖTLANDS LÄN</t>
        </is>
      </c>
      <c r="E211" t="inlineStr">
        <is>
          <t>LINKÖPING</t>
        </is>
      </c>
      <c r="G211" t="n">
        <v>2.8</v>
      </c>
      <c r="H211" t="n">
        <v>0</v>
      </c>
      <c r="I211" t="n">
        <v>0</v>
      </c>
      <c r="J211" t="n">
        <v>0</v>
      </c>
      <c r="K211" t="n">
        <v>0</v>
      </c>
      <c r="L211" t="n">
        <v>0</v>
      </c>
      <c r="M211" t="n">
        <v>0</v>
      </c>
      <c r="N211" t="n">
        <v>0</v>
      </c>
      <c r="O211" t="n">
        <v>0</v>
      </c>
      <c r="P211" t="n">
        <v>0</v>
      </c>
      <c r="Q211" t="n">
        <v>0</v>
      </c>
      <c r="R211" s="2" t="inlineStr"/>
    </row>
    <row r="212" ht="15" customHeight="1">
      <c r="A212" t="inlineStr">
        <is>
          <t>A 32255-2021</t>
        </is>
      </c>
      <c r="B212" s="1" t="n">
        <v>44371.45949074074</v>
      </c>
      <c r="C212" s="1" t="n">
        <v>45940</v>
      </c>
      <c r="D212" t="inlineStr">
        <is>
          <t>ÖSTERGÖTLANDS LÄN</t>
        </is>
      </c>
      <c r="E212" t="inlineStr">
        <is>
          <t>LINKÖPING</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46687-2021</t>
        </is>
      </c>
      <c r="B213" s="1" t="n">
        <v>44445</v>
      </c>
      <c r="C213" s="1" t="n">
        <v>45940</v>
      </c>
      <c r="D213" t="inlineStr">
        <is>
          <t>ÖSTERGÖTLANDS LÄN</t>
        </is>
      </c>
      <c r="E213" t="inlineStr">
        <is>
          <t>LINKÖPING</t>
        </is>
      </c>
      <c r="F213" t="inlineStr">
        <is>
          <t>Övriga statliga verk och myndigheter</t>
        </is>
      </c>
      <c r="G213" t="n">
        <v>2.3</v>
      </c>
      <c r="H213" t="n">
        <v>0</v>
      </c>
      <c r="I213" t="n">
        <v>0</v>
      </c>
      <c r="J213" t="n">
        <v>0</v>
      </c>
      <c r="K213" t="n">
        <v>0</v>
      </c>
      <c r="L213" t="n">
        <v>0</v>
      </c>
      <c r="M213" t="n">
        <v>0</v>
      </c>
      <c r="N213" t="n">
        <v>0</v>
      </c>
      <c r="O213" t="n">
        <v>0</v>
      </c>
      <c r="P213" t="n">
        <v>0</v>
      </c>
      <c r="Q213" t="n">
        <v>0</v>
      </c>
      <c r="R213" s="2" t="inlineStr"/>
    </row>
    <row r="214" ht="15" customHeight="1">
      <c r="A214" t="inlineStr">
        <is>
          <t>A 17103-2025</t>
        </is>
      </c>
      <c r="B214" s="1" t="n">
        <v>45755.66143518518</v>
      </c>
      <c r="C214" s="1" t="n">
        <v>45940</v>
      </c>
      <c r="D214" t="inlineStr">
        <is>
          <t>ÖSTERGÖTLANDS LÄN</t>
        </is>
      </c>
      <c r="E214" t="inlineStr">
        <is>
          <t>LINKÖPING</t>
        </is>
      </c>
      <c r="G214" t="n">
        <v>1.9</v>
      </c>
      <c r="H214" t="n">
        <v>0</v>
      </c>
      <c r="I214" t="n">
        <v>0</v>
      </c>
      <c r="J214" t="n">
        <v>0</v>
      </c>
      <c r="K214" t="n">
        <v>0</v>
      </c>
      <c r="L214" t="n">
        <v>0</v>
      </c>
      <c r="M214" t="n">
        <v>0</v>
      </c>
      <c r="N214" t="n">
        <v>0</v>
      </c>
      <c r="O214" t="n">
        <v>0</v>
      </c>
      <c r="P214" t="n">
        <v>0</v>
      </c>
      <c r="Q214" t="n">
        <v>0</v>
      </c>
      <c r="R214" s="2" t="inlineStr"/>
    </row>
    <row r="215" ht="15" customHeight="1">
      <c r="A215" t="inlineStr">
        <is>
          <t>A 63678-2023</t>
        </is>
      </c>
      <c r="B215" s="1" t="n">
        <v>45275.64769675926</v>
      </c>
      <c r="C215" s="1" t="n">
        <v>45940</v>
      </c>
      <c r="D215" t="inlineStr">
        <is>
          <t>ÖSTERGÖTLANDS LÄN</t>
        </is>
      </c>
      <c r="E215" t="inlineStr">
        <is>
          <t>LINKÖPING</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63638-2023</t>
        </is>
      </c>
      <c r="B216" s="1" t="n">
        <v>45275</v>
      </c>
      <c r="C216" s="1" t="n">
        <v>45940</v>
      </c>
      <c r="D216" t="inlineStr">
        <is>
          <t>ÖSTERGÖTLANDS LÄN</t>
        </is>
      </c>
      <c r="E216" t="inlineStr">
        <is>
          <t>LINKÖPING</t>
        </is>
      </c>
      <c r="F216" t="inlineStr">
        <is>
          <t>Övriga Aktiebolag</t>
        </is>
      </c>
      <c r="G216" t="n">
        <v>2.4</v>
      </c>
      <c r="H216" t="n">
        <v>0</v>
      </c>
      <c r="I216" t="n">
        <v>0</v>
      </c>
      <c r="J216" t="n">
        <v>0</v>
      </c>
      <c r="K216" t="n">
        <v>0</v>
      </c>
      <c r="L216" t="n">
        <v>0</v>
      </c>
      <c r="M216" t="n">
        <v>0</v>
      </c>
      <c r="N216" t="n">
        <v>0</v>
      </c>
      <c r="O216" t="n">
        <v>0</v>
      </c>
      <c r="P216" t="n">
        <v>0</v>
      </c>
      <c r="Q216" t="n">
        <v>0</v>
      </c>
      <c r="R216" s="2" t="inlineStr"/>
    </row>
    <row r="217" ht="15" customHeight="1">
      <c r="A217" t="inlineStr">
        <is>
          <t>A 63658-2023</t>
        </is>
      </c>
      <c r="B217" s="1" t="n">
        <v>45275</v>
      </c>
      <c r="C217" s="1" t="n">
        <v>45940</v>
      </c>
      <c r="D217" t="inlineStr">
        <is>
          <t>ÖSTERGÖTLANDS LÄN</t>
        </is>
      </c>
      <c r="E217" t="inlineStr">
        <is>
          <t>LINKÖPING</t>
        </is>
      </c>
      <c r="F217" t="inlineStr">
        <is>
          <t>Övriga Aktiebolag</t>
        </is>
      </c>
      <c r="G217" t="n">
        <v>1.5</v>
      </c>
      <c r="H217" t="n">
        <v>0</v>
      </c>
      <c r="I217" t="n">
        <v>0</v>
      </c>
      <c r="J217" t="n">
        <v>0</v>
      </c>
      <c r="K217" t="n">
        <v>0</v>
      </c>
      <c r="L217" t="n">
        <v>0</v>
      </c>
      <c r="M217" t="n">
        <v>0</v>
      </c>
      <c r="N217" t="n">
        <v>0</v>
      </c>
      <c r="O217" t="n">
        <v>0</v>
      </c>
      <c r="P217" t="n">
        <v>0</v>
      </c>
      <c r="Q217" t="n">
        <v>0</v>
      </c>
      <c r="R217" s="2" t="inlineStr"/>
    </row>
    <row r="218" ht="15" customHeight="1">
      <c r="A218" t="inlineStr">
        <is>
          <t>A 38235-2022</t>
        </is>
      </c>
      <c r="B218" s="1" t="n">
        <v>44812</v>
      </c>
      <c r="C218" s="1" t="n">
        <v>45940</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40618-2021</t>
        </is>
      </c>
      <c r="B219" s="1" t="n">
        <v>44420.49575231481</v>
      </c>
      <c r="C219" s="1" t="n">
        <v>45940</v>
      </c>
      <c r="D219" t="inlineStr">
        <is>
          <t>ÖSTERGÖTLANDS LÄN</t>
        </is>
      </c>
      <c r="E219" t="inlineStr">
        <is>
          <t>LINKÖPING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1844-2025</t>
        </is>
      </c>
      <c r="B220" s="1" t="n">
        <v>45671.57730324074</v>
      </c>
      <c r="C220" s="1" t="n">
        <v>45940</v>
      </c>
      <c r="D220" t="inlineStr">
        <is>
          <t>ÖSTERGÖTLANDS LÄN</t>
        </is>
      </c>
      <c r="E220" t="inlineStr">
        <is>
          <t>LINKÖPING</t>
        </is>
      </c>
      <c r="G220" t="n">
        <v>2</v>
      </c>
      <c r="H220" t="n">
        <v>0</v>
      </c>
      <c r="I220" t="n">
        <v>0</v>
      </c>
      <c r="J220" t="n">
        <v>0</v>
      </c>
      <c r="K220" t="n">
        <v>0</v>
      </c>
      <c r="L220" t="n">
        <v>0</v>
      </c>
      <c r="M220" t="n">
        <v>0</v>
      </c>
      <c r="N220" t="n">
        <v>0</v>
      </c>
      <c r="O220" t="n">
        <v>0</v>
      </c>
      <c r="P220" t="n">
        <v>0</v>
      </c>
      <c r="Q220" t="n">
        <v>0</v>
      </c>
      <c r="R220" s="2" t="inlineStr"/>
    </row>
    <row r="221" ht="15" customHeight="1">
      <c r="A221" t="inlineStr">
        <is>
          <t>A 56180-2024</t>
        </is>
      </c>
      <c r="B221" s="1" t="n">
        <v>45624.56611111111</v>
      </c>
      <c r="C221" s="1" t="n">
        <v>45940</v>
      </c>
      <c r="D221" t="inlineStr">
        <is>
          <t>ÖSTERGÖTLANDS LÄN</t>
        </is>
      </c>
      <c r="E221" t="inlineStr">
        <is>
          <t>LINKÖPING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34880-2022</t>
        </is>
      </c>
      <c r="B222" s="1" t="n">
        <v>44796</v>
      </c>
      <c r="C222" s="1" t="n">
        <v>45940</v>
      </c>
      <c r="D222" t="inlineStr">
        <is>
          <t>ÖSTERGÖTLANDS LÄN</t>
        </is>
      </c>
      <c r="E222" t="inlineStr">
        <is>
          <t>LINKÖPING</t>
        </is>
      </c>
      <c r="F222" t="inlineStr">
        <is>
          <t>Övriga statliga verk och myndigheter</t>
        </is>
      </c>
      <c r="G222" t="n">
        <v>4</v>
      </c>
      <c r="H222" t="n">
        <v>0</v>
      </c>
      <c r="I222" t="n">
        <v>0</v>
      </c>
      <c r="J222" t="n">
        <v>0</v>
      </c>
      <c r="K222" t="n">
        <v>0</v>
      </c>
      <c r="L222" t="n">
        <v>0</v>
      </c>
      <c r="M222" t="n">
        <v>0</v>
      </c>
      <c r="N222" t="n">
        <v>0</v>
      </c>
      <c r="O222" t="n">
        <v>0</v>
      </c>
      <c r="P222" t="n">
        <v>0</v>
      </c>
      <c r="Q222" t="n">
        <v>0</v>
      </c>
      <c r="R222" s="2" t="inlineStr"/>
    </row>
    <row r="223" ht="15" customHeight="1">
      <c r="A223" t="inlineStr">
        <is>
          <t>A 48042-2022</t>
        </is>
      </c>
      <c r="B223" s="1" t="n">
        <v>44855</v>
      </c>
      <c r="C223" s="1" t="n">
        <v>45940</v>
      </c>
      <c r="D223" t="inlineStr">
        <is>
          <t>ÖSTERGÖTLANDS LÄN</t>
        </is>
      </c>
      <c r="E223" t="inlineStr">
        <is>
          <t>LINKÖPING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16820-2024</t>
        </is>
      </c>
      <c r="B224" s="1" t="n">
        <v>45411.46809027778</v>
      </c>
      <c r="C224" s="1" t="n">
        <v>45940</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4456-2024</t>
        </is>
      </c>
      <c r="B225" s="1" t="n">
        <v>45327.52847222222</v>
      </c>
      <c r="C225" s="1" t="n">
        <v>45940</v>
      </c>
      <c r="D225" t="inlineStr">
        <is>
          <t>ÖSTERGÖTLANDS LÄN</t>
        </is>
      </c>
      <c r="E225" t="inlineStr">
        <is>
          <t>LINKÖPING</t>
        </is>
      </c>
      <c r="G225" t="n">
        <v>2.7</v>
      </c>
      <c r="H225" t="n">
        <v>0</v>
      </c>
      <c r="I225" t="n">
        <v>0</v>
      </c>
      <c r="J225" t="n">
        <v>0</v>
      </c>
      <c r="K225" t="n">
        <v>0</v>
      </c>
      <c r="L225" t="n">
        <v>0</v>
      </c>
      <c r="M225" t="n">
        <v>0</v>
      </c>
      <c r="N225" t="n">
        <v>0</v>
      </c>
      <c r="O225" t="n">
        <v>0</v>
      </c>
      <c r="P225" t="n">
        <v>0</v>
      </c>
      <c r="Q225" t="n">
        <v>0</v>
      </c>
      <c r="R225" s="2" t="inlineStr"/>
    </row>
    <row r="226" ht="15" customHeight="1">
      <c r="A226" t="inlineStr">
        <is>
          <t>A 30471-2023</t>
        </is>
      </c>
      <c r="B226" s="1" t="n">
        <v>45111.58931712963</v>
      </c>
      <c r="C226" s="1" t="n">
        <v>45940</v>
      </c>
      <c r="D226" t="inlineStr">
        <is>
          <t>ÖSTERGÖTLANDS LÄN</t>
        </is>
      </c>
      <c r="E226" t="inlineStr">
        <is>
          <t>LINKÖPING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20298-2025</t>
        </is>
      </c>
      <c r="B227" s="1" t="n">
        <v>45774.75024305555</v>
      </c>
      <c r="C227" s="1" t="n">
        <v>45940</v>
      </c>
      <c r="D227" t="inlineStr">
        <is>
          <t>ÖSTERGÖTLANDS LÄN</t>
        </is>
      </c>
      <c r="E227" t="inlineStr">
        <is>
          <t>LINKÖPING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227-2024</t>
        </is>
      </c>
      <c r="B228" s="1" t="n">
        <v>45294.73603009259</v>
      </c>
      <c r="C228" s="1" t="n">
        <v>45940</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3008-2023</t>
        </is>
      </c>
      <c r="B229" s="1" t="n">
        <v>44945.79784722222</v>
      </c>
      <c r="C229" s="1" t="n">
        <v>45940</v>
      </c>
      <c r="D229" t="inlineStr">
        <is>
          <t>ÖSTERGÖTLANDS LÄN</t>
        </is>
      </c>
      <c r="E229" t="inlineStr">
        <is>
          <t>LINKÖPING</t>
        </is>
      </c>
      <c r="G229" t="n">
        <v>19.3</v>
      </c>
      <c r="H229" t="n">
        <v>0</v>
      </c>
      <c r="I229" t="n">
        <v>0</v>
      </c>
      <c r="J229" t="n">
        <v>0</v>
      </c>
      <c r="K229" t="n">
        <v>0</v>
      </c>
      <c r="L229" t="n">
        <v>0</v>
      </c>
      <c r="M229" t="n">
        <v>0</v>
      </c>
      <c r="N229" t="n">
        <v>0</v>
      </c>
      <c r="O229" t="n">
        <v>0</v>
      </c>
      <c r="P229" t="n">
        <v>0</v>
      </c>
      <c r="Q229" t="n">
        <v>0</v>
      </c>
      <c r="R229" s="2" t="inlineStr"/>
    </row>
    <row r="230" ht="15" customHeight="1">
      <c r="A230" t="inlineStr">
        <is>
          <t>A 12035-2025</t>
        </is>
      </c>
      <c r="B230" s="1" t="n">
        <v>45728.64946759259</v>
      </c>
      <c r="C230" s="1" t="n">
        <v>45940</v>
      </c>
      <c r="D230" t="inlineStr">
        <is>
          <t>ÖSTERGÖTLANDS LÄN</t>
        </is>
      </c>
      <c r="E230" t="inlineStr">
        <is>
          <t>LINKÖPING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15121-2022</t>
        </is>
      </c>
      <c r="B231" s="1" t="n">
        <v>44658</v>
      </c>
      <c r="C231" s="1" t="n">
        <v>45940</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50743-2023</t>
        </is>
      </c>
      <c r="B232" s="1" t="n">
        <v>45217</v>
      </c>
      <c r="C232" s="1" t="n">
        <v>45940</v>
      </c>
      <c r="D232" t="inlineStr">
        <is>
          <t>ÖSTERGÖTLANDS LÄN</t>
        </is>
      </c>
      <c r="E232" t="inlineStr">
        <is>
          <t>LINKÖPING</t>
        </is>
      </c>
      <c r="G232" t="n">
        <v>2.7</v>
      </c>
      <c r="H232" t="n">
        <v>0</v>
      </c>
      <c r="I232" t="n">
        <v>0</v>
      </c>
      <c r="J232" t="n">
        <v>0</v>
      </c>
      <c r="K232" t="n">
        <v>0</v>
      </c>
      <c r="L232" t="n">
        <v>0</v>
      </c>
      <c r="M232" t="n">
        <v>0</v>
      </c>
      <c r="N232" t="n">
        <v>0</v>
      </c>
      <c r="O232" t="n">
        <v>0</v>
      </c>
      <c r="P232" t="n">
        <v>0</v>
      </c>
      <c r="Q232" t="n">
        <v>0</v>
      </c>
      <c r="R232" s="2" t="inlineStr"/>
    </row>
    <row r="233" ht="15" customHeight="1">
      <c r="A233" t="inlineStr">
        <is>
          <t>A 21165-2025</t>
        </is>
      </c>
      <c r="B233" s="1" t="n">
        <v>45779.39417824074</v>
      </c>
      <c r="C233" s="1" t="n">
        <v>45940</v>
      </c>
      <c r="D233" t="inlineStr">
        <is>
          <t>ÖSTERGÖTLANDS LÄN</t>
        </is>
      </c>
      <c r="E233" t="inlineStr">
        <is>
          <t>LINKÖPING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21155-2025</t>
        </is>
      </c>
      <c r="B234" s="1" t="n">
        <v>45779.37586805555</v>
      </c>
      <c r="C234" s="1" t="n">
        <v>45940</v>
      </c>
      <c r="D234" t="inlineStr">
        <is>
          <t>ÖSTERGÖTLANDS LÄN</t>
        </is>
      </c>
      <c r="E234" t="inlineStr">
        <is>
          <t>LINKÖPING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34558-2022</t>
        </is>
      </c>
      <c r="B235" s="1" t="n">
        <v>44794.57594907407</v>
      </c>
      <c r="C235" s="1" t="n">
        <v>45940</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63489-2023</t>
        </is>
      </c>
      <c r="B236" s="1" t="n">
        <v>45274.66761574074</v>
      </c>
      <c r="C236" s="1" t="n">
        <v>45940</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28266-2024</t>
        </is>
      </c>
      <c r="B237" s="1" t="n">
        <v>45477.43600694444</v>
      </c>
      <c r="C237" s="1" t="n">
        <v>45940</v>
      </c>
      <c r="D237" t="inlineStr">
        <is>
          <t>ÖSTERGÖTLANDS LÄN</t>
        </is>
      </c>
      <c r="E237" t="inlineStr">
        <is>
          <t>LINKÖPING</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1440-2021</t>
        </is>
      </c>
      <c r="B238" s="1" t="n">
        <v>44208</v>
      </c>
      <c r="C238" s="1" t="n">
        <v>45940</v>
      </c>
      <c r="D238" t="inlineStr">
        <is>
          <t>ÖSTERGÖTLANDS LÄN</t>
        </is>
      </c>
      <c r="E238" t="inlineStr">
        <is>
          <t>LINKÖPING</t>
        </is>
      </c>
      <c r="G238" t="n">
        <v>8.4</v>
      </c>
      <c r="H238" t="n">
        <v>0</v>
      </c>
      <c r="I238" t="n">
        <v>0</v>
      </c>
      <c r="J238" t="n">
        <v>0</v>
      </c>
      <c r="K238" t="n">
        <v>0</v>
      </c>
      <c r="L238" t="n">
        <v>0</v>
      </c>
      <c r="M238" t="n">
        <v>0</v>
      </c>
      <c r="N238" t="n">
        <v>0</v>
      </c>
      <c r="O238" t="n">
        <v>0</v>
      </c>
      <c r="P238" t="n">
        <v>0</v>
      </c>
      <c r="Q238" t="n">
        <v>0</v>
      </c>
      <c r="R238" s="2" t="inlineStr"/>
    </row>
    <row r="239" ht="15" customHeight="1">
      <c r="A239" t="inlineStr">
        <is>
          <t>A 44155-2024</t>
        </is>
      </c>
      <c r="B239" s="1" t="n">
        <v>45572.68226851852</v>
      </c>
      <c r="C239" s="1" t="n">
        <v>45940</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13687-2025</t>
        </is>
      </c>
      <c r="B240" s="1" t="n">
        <v>45737.31425925926</v>
      </c>
      <c r="C240" s="1" t="n">
        <v>45940</v>
      </c>
      <c r="D240" t="inlineStr">
        <is>
          <t>ÖSTERGÖTLANDS LÄN</t>
        </is>
      </c>
      <c r="E240" t="inlineStr">
        <is>
          <t>LINKÖPING</t>
        </is>
      </c>
      <c r="G240" t="n">
        <v>2.7</v>
      </c>
      <c r="H240" t="n">
        <v>0</v>
      </c>
      <c r="I240" t="n">
        <v>0</v>
      </c>
      <c r="J240" t="n">
        <v>0</v>
      </c>
      <c r="K240" t="n">
        <v>0</v>
      </c>
      <c r="L240" t="n">
        <v>0</v>
      </c>
      <c r="M240" t="n">
        <v>0</v>
      </c>
      <c r="N240" t="n">
        <v>0</v>
      </c>
      <c r="O240" t="n">
        <v>0</v>
      </c>
      <c r="P240" t="n">
        <v>0</v>
      </c>
      <c r="Q240" t="n">
        <v>0</v>
      </c>
      <c r="R240" s="2" t="inlineStr"/>
    </row>
    <row r="241" ht="15" customHeight="1">
      <c r="A241" t="inlineStr">
        <is>
          <t>A 13695-2025</t>
        </is>
      </c>
      <c r="B241" s="1" t="n">
        <v>45737.32219907407</v>
      </c>
      <c r="C241" s="1" t="n">
        <v>45940</v>
      </c>
      <c r="D241" t="inlineStr">
        <is>
          <t>ÖSTERGÖTLANDS LÄN</t>
        </is>
      </c>
      <c r="E241" t="inlineStr">
        <is>
          <t>LINKÖPING</t>
        </is>
      </c>
      <c r="G241" t="n">
        <v>5.3</v>
      </c>
      <c r="H241" t="n">
        <v>0</v>
      </c>
      <c r="I241" t="n">
        <v>0</v>
      </c>
      <c r="J241" t="n">
        <v>0</v>
      </c>
      <c r="K241" t="n">
        <v>0</v>
      </c>
      <c r="L241" t="n">
        <v>0</v>
      </c>
      <c r="M241" t="n">
        <v>0</v>
      </c>
      <c r="N241" t="n">
        <v>0</v>
      </c>
      <c r="O241" t="n">
        <v>0</v>
      </c>
      <c r="P241" t="n">
        <v>0</v>
      </c>
      <c r="Q241" t="n">
        <v>0</v>
      </c>
      <c r="R241" s="2" t="inlineStr"/>
    </row>
    <row r="242" ht="15" customHeight="1">
      <c r="A242" t="inlineStr">
        <is>
          <t>A 25418-2023</t>
        </is>
      </c>
      <c r="B242" s="1" t="n">
        <v>45089</v>
      </c>
      <c r="C242" s="1" t="n">
        <v>45940</v>
      </c>
      <c r="D242" t="inlineStr">
        <is>
          <t>ÖSTERGÖTLANDS LÄN</t>
        </is>
      </c>
      <c r="E242" t="inlineStr">
        <is>
          <t>LINKÖPING</t>
        </is>
      </c>
      <c r="F242" t="inlineStr">
        <is>
          <t>Övriga Aktiebolag</t>
        </is>
      </c>
      <c r="G242" t="n">
        <v>2.4</v>
      </c>
      <c r="H242" t="n">
        <v>0</v>
      </c>
      <c r="I242" t="n">
        <v>0</v>
      </c>
      <c r="J242" t="n">
        <v>0</v>
      </c>
      <c r="K242" t="n">
        <v>0</v>
      </c>
      <c r="L242" t="n">
        <v>0</v>
      </c>
      <c r="M242" t="n">
        <v>0</v>
      </c>
      <c r="N242" t="n">
        <v>0</v>
      </c>
      <c r="O242" t="n">
        <v>0</v>
      </c>
      <c r="P242" t="n">
        <v>0</v>
      </c>
      <c r="Q242" t="n">
        <v>0</v>
      </c>
      <c r="R242" s="2" t="inlineStr"/>
    </row>
    <row r="243" ht="15" customHeight="1">
      <c r="A243" t="inlineStr">
        <is>
          <t>A 30434-2024</t>
        </is>
      </c>
      <c r="B243" s="1" t="n">
        <v>45491.69811342593</v>
      </c>
      <c r="C243" s="1" t="n">
        <v>45940</v>
      </c>
      <c r="D243" t="inlineStr">
        <is>
          <t>ÖSTERGÖTLANDS LÄN</t>
        </is>
      </c>
      <c r="E243" t="inlineStr">
        <is>
          <t>LINKÖPING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56917-2022</t>
        </is>
      </c>
      <c r="B244" s="1" t="n">
        <v>44894</v>
      </c>
      <c r="C244" s="1" t="n">
        <v>45940</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22772-2024</t>
        </is>
      </c>
      <c r="B245" s="1" t="n">
        <v>45448.46712962963</v>
      </c>
      <c r="C245" s="1" t="n">
        <v>45940</v>
      </c>
      <c r="D245" t="inlineStr">
        <is>
          <t>ÖSTERGÖTLANDS LÄN</t>
        </is>
      </c>
      <c r="E245" t="inlineStr">
        <is>
          <t>LINKÖPING</t>
        </is>
      </c>
      <c r="F245" t="inlineStr">
        <is>
          <t>Sveaskog</t>
        </is>
      </c>
      <c r="G245" t="n">
        <v>3</v>
      </c>
      <c r="H245" t="n">
        <v>0</v>
      </c>
      <c r="I245" t="n">
        <v>0</v>
      </c>
      <c r="J245" t="n">
        <v>0</v>
      </c>
      <c r="K245" t="n">
        <v>0</v>
      </c>
      <c r="L245" t="n">
        <v>0</v>
      </c>
      <c r="M245" t="n">
        <v>0</v>
      </c>
      <c r="N245" t="n">
        <v>0</v>
      </c>
      <c r="O245" t="n">
        <v>0</v>
      </c>
      <c r="P245" t="n">
        <v>0</v>
      </c>
      <c r="Q245" t="n">
        <v>0</v>
      </c>
      <c r="R245" s="2" t="inlineStr"/>
    </row>
    <row r="246" ht="15" customHeight="1">
      <c r="A246" t="inlineStr">
        <is>
          <t>A 57766-2023</t>
        </is>
      </c>
      <c r="B246" s="1" t="n">
        <v>45246</v>
      </c>
      <c r="C246" s="1" t="n">
        <v>45940</v>
      </c>
      <c r="D246" t="inlineStr">
        <is>
          <t>ÖSTERGÖTLANDS LÄN</t>
        </is>
      </c>
      <c r="E246" t="inlineStr">
        <is>
          <t>LINKÖPING</t>
        </is>
      </c>
      <c r="F246" t="inlineStr">
        <is>
          <t>Allmännings- och besparingsskogar</t>
        </is>
      </c>
      <c r="G246" t="n">
        <v>12.8</v>
      </c>
      <c r="H246" t="n">
        <v>0</v>
      </c>
      <c r="I246" t="n">
        <v>0</v>
      </c>
      <c r="J246" t="n">
        <v>0</v>
      </c>
      <c r="K246" t="n">
        <v>0</v>
      </c>
      <c r="L246" t="n">
        <v>0</v>
      </c>
      <c r="M246" t="n">
        <v>0</v>
      </c>
      <c r="N246" t="n">
        <v>0</v>
      </c>
      <c r="O246" t="n">
        <v>0</v>
      </c>
      <c r="P246" t="n">
        <v>0</v>
      </c>
      <c r="Q246" t="n">
        <v>0</v>
      </c>
      <c r="R246" s="2" t="inlineStr"/>
    </row>
    <row r="247" ht="15" customHeight="1">
      <c r="A247" t="inlineStr">
        <is>
          <t>A 20294-2025</t>
        </is>
      </c>
      <c r="B247" s="1" t="n">
        <v>45774.74667824074</v>
      </c>
      <c r="C247" s="1" t="n">
        <v>45940</v>
      </c>
      <c r="D247" t="inlineStr">
        <is>
          <t>ÖSTERGÖTLANDS LÄN</t>
        </is>
      </c>
      <c r="E247" t="inlineStr">
        <is>
          <t>LINKÖPING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20455-2024</t>
        </is>
      </c>
      <c r="B248" s="1" t="n">
        <v>45435.65314814815</v>
      </c>
      <c r="C248" s="1" t="n">
        <v>45940</v>
      </c>
      <c r="D248" t="inlineStr">
        <is>
          <t>ÖSTERGÖTLANDS LÄN</t>
        </is>
      </c>
      <c r="E248" t="inlineStr">
        <is>
          <t>LINKÖPING</t>
        </is>
      </c>
      <c r="G248" t="n">
        <v>2.6</v>
      </c>
      <c r="H248" t="n">
        <v>0</v>
      </c>
      <c r="I248" t="n">
        <v>0</v>
      </c>
      <c r="J248" t="n">
        <v>0</v>
      </c>
      <c r="K248" t="n">
        <v>0</v>
      </c>
      <c r="L248" t="n">
        <v>0</v>
      </c>
      <c r="M248" t="n">
        <v>0</v>
      </c>
      <c r="N248" t="n">
        <v>0</v>
      </c>
      <c r="O248" t="n">
        <v>0</v>
      </c>
      <c r="P248" t="n">
        <v>0</v>
      </c>
      <c r="Q248" t="n">
        <v>0</v>
      </c>
      <c r="R248" s="2" t="inlineStr"/>
    </row>
    <row r="249" ht="15" customHeight="1">
      <c r="A249" t="inlineStr">
        <is>
          <t>A 224-2024</t>
        </is>
      </c>
      <c r="B249" s="1" t="n">
        <v>45294</v>
      </c>
      <c r="C249" s="1" t="n">
        <v>45940</v>
      </c>
      <c r="D249" t="inlineStr">
        <is>
          <t>ÖSTERGÖTLANDS LÄN</t>
        </is>
      </c>
      <c r="E249" t="inlineStr">
        <is>
          <t>LINKÖPING</t>
        </is>
      </c>
      <c r="G249" t="n">
        <v>2.8</v>
      </c>
      <c r="H249" t="n">
        <v>0</v>
      </c>
      <c r="I249" t="n">
        <v>0</v>
      </c>
      <c r="J249" t="n">
        <v>0</v>
      </c>
      <c r="K249" t="n">
        <v>0</v>
      </c>
      <c r="L249" t="n">
        <v>0</v>
      </c>
      <c r="M249" t="n">
        <v>0</v>
      </c>
      <c r="N249" t="n">
        <v>0</v>
      </c>
      <c r="O249" t="n">
        <v>0</v>
      </c>
      <c r="P249" t="n">
        <v>0</v>
      </c>
      <c r="Q249" t="n">
        <v>0</v>
      </c>
      <c r="R249" s="2" t="inlineStr"/>
    </row>
    <row r="250" ht="15" customHeight="1">
      <c r="A250" t="inlineStr">
        <is>
          <t>A 17128-2025</t>
        </is>
      </c>
      <c r="B250" s="1" t="n">
        <v>45755.72622685185</v>
      </c>
      <c r="C250" s="1" t="n">
        <v>45940</v>
      </c>
      <c r="D250" t="inlineStr">
        <is>
          <t>ÖSTERGÖTLANDS LÄN</t>
        </is>
      </c>
      <c r="E250" t="inlineStr">
        <is>
          <t>LINKÖPING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52125-2022</t>
        </is>
      </c>
      <c r="B251" s="1" t="n">
        <v>44873</v>
      </c>
      <c r="C251" s="1" t="n">
        <v>45940</v>
      </c>
      <c r="D251" t="inlineStr">
        <is>
          <t>ÖSTERGÖTLANDS LÄN</t>
        </is>
      </c>
      <c r="E251" t="inlineStr">
        <is>
          <t>LINKÖPING</t>
        </is>
      </c>
      <c r="F251" t="inlineStr">
        <is>
          <t>Övriga Aktiebolag</t>
        </is>
      </c>
      <c r="G251" t="n">
        <v>0.7</v>
      </c>
      <c r="H251" t="n">
        <v>0</v>
      </c>
      <c r="I251" t="n">
        <v>0</v>
      </c>
      <c r="J251" t="n">
        <v>0</v>
      </c>
      <c r="K251" t="n">
        <v>0</v>
      </c>
      <c r="L251" t="n">
        <v>0</v>
      </c>
      <c r="M251" t="n">
        <v>0</v>
      </c>
      <c r="N251" t="n">
        <v>0</v>
      </c>
      <c r="O251" t="n">
        <v>0</v>
      </c>
      <c r="P251" t="n">
        <v>0</v>
      </c>
      <c r="Q251" t="n">
        <v>0</v>
      </c>
      <c r="R251" s="2" t="inlineStr"/>
    </row>
    <row r="252" ht="15" customHeight="1">
      <c r="A252" t="inlineStr">
        <is>
          <t>A 54845-2023</t>
        </is>
      </c>
      <c r="B252" s="1" t="n">
        <v>45236</v>
      </c>
      <c r="C252" s="1" t="n">
        <v>45940</v>
      </c>
      <c r="D252" t="inlineStr">
        <is>
          <t>ÖSTERGÖTLANDS LÄN</t>
        </is>
      </c>
      <c r="E252" t="inlineStr">
        <is>
          <t>LINKÖPING</t>
        </is>
      </c>
      <c r="F252" t="inlineStr">
        <is>
          <t>Övriga Aktiebolag</t>
        </is>
      </c>
      <c r="G252" t="n">
        <v>5.7</v>
      </c>
      <c r="H252" t="n">
        <v>0</v>
      </c>
      <c r="I252" t="n">
        <v>0</v>
      </c>
      <c r="J252" t="n">
        <v>0</v>
      </c>
      <c r="K252" t="n">
        <v>0</v>
      </c>
      <c r="L252" t="n">
        <v>0</v>
      </c>
      <c r="M252" t="n">
        <v>0</v>
      </c>
      <c r="N252" t="n">
        <v>0</v>
      </c>
      <c r="O252" t="n">
        <v>0</v>
      </c>
      <c r="P252" t="n">
        <v>0</v>
      </c>
      <c r="Q252" t="n">
        <v>0</v>
      </c>
      <c r="R252" s="2" t="inlineStr"/>
    </row>
    <row r="253" ht="15" customHeight="1">
      <c r="A253" t="inlineStr">
        <is>
          <t>A 62488-2023</t>
        </is>
      </c>
      <c r="B253" s="1" t="n">
        <v>45268.5847337963</v>
      </c>
      <c r="C253" s="1" t="n">
        <v>45940</v>
      </c>
      <c r="D253" t="inlineStr">
        <is>
          <t>ÖSTERGÖTLANDS LÄN</t>
        </is>
      </c>
      <c r="E253" t="inlineStr">
        <is>
          <t>LINKÖPING</t>
        </is>
      </c>
      <c r="G253" t="n">
        <v>4.1</v>
      </c>
      <c r="H253" t="n">
        <v>0</v>
      </c>
      <c r="I253" t="n">
        <v>0</v>
      </c>
      <c r="J253" t="n">
        <v>0</v>
      </c>
      <c r="K253" t="n">
        <v>0</v>
      </c>
      <c r="L253" t="n">
        <v>0</v>
      </c>
      <c r="M253" t="n">
        <v>0</v>
      </c>
      <c r="N253" t="n">
        <v>0</v>
      </c>
      <c r="O253" t="n">
        <v>0</v>
      </c>
      <c r="P253" t="n">
        <v>0</v>
      </c>
      <c r="Q253" t="n">
        <v>0</v>
      </c>
      <c r="R253" s="2" t="inlineStr"/>
    </row>
    <row r="254" ht="15" customHeight="1">
      <c r="A254" t="inlineStr">
        <is>
          <t>A 24351-2024</t>
        </is>
      </c>
      <c r="B254" s="1" t="n">
        <v>45457.59011574074</v>
      </c>
      <c r="C254" s="1" t="n">
        <v>45940</v>
      </c>
      <c r="D254" t="inlineStr">
        <is>
          <t>ÖSTERGÖTLANDS LÄN</t>
        </is>
      </c>
      <c r="E254" t="inlineStr">
        <is>
          <t>LINKÖPING</t>
        </is>
      </c>
      <c r="G254" t="n">
        <v>11.9</v>
      </c>
      <c r="H254" t="n">
        <v>0</v>
      </c>
      <c r="I254" t="n">
        <v>0</v>
      </c>
      <c r="J254" t="n">
        <v>0</v>
      </c>
      <c r="K254" t="n">
        <v>0</v>
      </c>
      <c r="L254" t="n">
        <v>0</v>
      </c>
      <c r="M254" t="n">
        <v>0</v>
      </c>
      <c r="N254" t="n">
        <v>0</v>
      </c>
      <c r="O254" t="n">
        <v>0</v>
      </c>
      <c r="P254" t="n">
        <v>0</v>
      </c>
      <c r="Q254" t="n">
        <v>0</v>
      </c>
      <c r="R254" s="2" t="inlineStr"/>
    </row>
    <row r="255" ht="15" customHeight="1">
      <c r="A255" t="inlineStr">
        <is>
          <t>A 27343-2023</t>
        </is>
      </c>
      <c r="B255" s="1" t="n">
        <v>45096</v>
      </c>
      <c r="C255" s="1" t="n">
        <v>45940</v>
      </c>
      <c r="D255" t="inlineStr">
        <is>
          <t>ÖSTERGÖTLANDS LÄN</t>
        </is>
      </c>
      <c r="E255" t="inlineStr">
        <is>
          <t>LINKÖPING</t>
        </is>
      </c>
      <c r="F255" t="inlineStr">
        <is>
          <t>Allmännings- och besparingsskogar</t>
        </is>
      </c>
      <c r="G255" t="n">
        <v>6.9</v>
      </c>
      <c r="H255" t="n">
        <v>0</v>
      </c>
      <c r="I255" t="n">
        <v>0</v>
      </c>
      <c r="J255" t="n">
        <v>0</v>
      </c>
      <c r="K255" t="n">
        <v>0</v>
      </c>
      <c r="L255" t="n">
        <v>0</v>
      </c>
      <c r="M255" t="n">
        <v>0</v>
      </c>
      <c r="N255" t="n">
        <v>0</v>
      </c>
      <c r="O255" t="n">
        <v>0</v>
      </c>
      <c r="P255" t="n">
        <v>0</v>
      </c>
      <c r="Q255" t="n">
        <v>0</v>
      </c>
      <c r="R255" s="2" t="inlineStr"/>
    </row>
    <row r="256" ht="15" customHeight="1">
      <c r="A256" t="inlineStr">
        <is>
          <t>A 22264-2025</t>
        </is>
      </c>
      <c r="B256" s="1" t="n">
        <v>45785</v>
      </c>
      <c r="C256" s="1" t="n">
        <v>45940</v>
      </c>
      <c r="D256" t="inlineStr">
        <is>
          <t>ÖSTERGÖTLANDS LÄN</t>
        </is>
      </c>
      <c r="E256" t="inlineStr">
        <is>
          <t>LINKÖPING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25568-2024</t>
        </is>
      </c>
      <c r="B257" s="1" t="n">
        <v>45463.58699074074</v>
      </c>
      <c r="C257" s="1" t="n">
        <v>45940</v>
      </c>
      <c r="D257" t="inlineStr">
        <is>
          <t>ÖSTERGÖTLANDS LÄN</t>
        </is>
      </c>
      <c r="E257" t="inlineStr">
        <is>
          <t>LINKÖPING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52796-2023</t>
        </is>
      </c>
      <c r="B258" s="1" t="n">
        <v>45219</v>
      </c>
      <c r="C258" s="1" t="n">
        <v>45940</v>
      </c>
      <c r="D258" t="inlineStr">
        <is>
          <t>ÖSTERGÖTLANDS LÄN</t>
        </is>
      </c>
      <c r="E258" t="inlineStr">
        <is>
          <t>LINKÖPING</t>
        </is>
      </c>
      <c r="F258" t="inlineStr">
        <is>
          <t>Övriga statliga verk och myndigheter</t>
        </is>
      </c>
      <c r="G258" t="n">
        <v>3.9</v>
      </c>
      <c r="H258" t="n">
        <v>0</v>
      </c>
      <c r="I258" t="n">
        <v>0</v>
      </c>
      <c r="J258" t="n">
        <v>0</v>
      </c>
      <c r="K258" t="n">
        <v>0</v>
      </c>
      <c r="L258" t="n">
        <v>0</v>
      </c>
      <c r="M258" t="n">
        <v>0</v>
      </c>
      <c r="N258" t="n">
        <v>0</v>
      </c>
      <c r="O258" t="n">
        <v>0</v>
      </c>
      <c r="P258" t="n">
        <v>0</v>
      </c>
      <c r="Q258" t="n">
        <v>0</v>
      </c>
      <c r="R258" s="2" t="inlineStr"/>
    </row>
    <row r="259" ht="15" customHeight="1">
      <c r="A259" t="inlineStr">
        <is>
          <t>A 22842-2023</t>
        </is>
      </c>
      <c r="B259" s="1" t="n">
        <v>45071</v>
      </c>
      <c r="C259" s="1" t="n">
        <v>45940</v>
      </c>
      <c r="D259" t="inlineStr">
        <is>
          <t>ÖSTERGÖTLANDS LÄN</t>
        </is>
      </c>
      <c r="E259" t="inlineStr">
        <is>
          <t>LINKÖPING</t>
        </is>
      </c>
      <c r="F259" t="inlineStr">
        <is>
          <t>Kommuner</t>
        </is>
      </c>
      <c r="G259" t="n">
        <v>1.3</v>
      </c>
      <c r="H259" t="n">
        <v>0</v>
      </c>
      <c r="I259" t="n">
        <v>0</v>
      </c>
      <c r="J259" t="n">
        <v>0</v>
      </c>
      <c r="K259" t="n">
        <v>0</v>
      </c>
      <c r="L259" t="n">
        <v>0</v>
      </c>
      <c r="M259" t="n">
        <v>0</v>
      </c>
      <c r="N259" t="n">
        <v>0</v>
      </c>
      <c r="O259" t="n">
        <v>0</v>
      </c>
      <c r="P259" t="n">
        <v>0</v>
      </c>
      <c r="Q259" t="n">
        <v>0</v>
      </c>
      <c r="R259" s="2" t="inlineStr"/>
    </row>
    <row r="260" ht="15" customHeight="1">
      <c r="A260" t="inlineStr">
        <is>
          <t>A 30855-2022</t>
        </is>
      </c>
      <c r="B260" s="1" t="n">
        <v>44767</v>
      </c>
      <c r="C260" s="1" t="n">
        <v>45940</v>
      </c>
      <c r="D260" t="inlineStr">
        <is>
          <t>ÖSTERGÖTLANDS LÄN</t>
        </is>
      </c>
      <c r="E260" t="inlineStr">
        <is>
          <t>LINKÖPING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34877-2023</t>
        </is>
      </c>
      <c r="B261" s="1" t="n">
        <v>45140</v>
      </c>
      <c r="C261" s="1" t="n">
        <v>45940</v>
      </c>
      <c r="D261" t="inlineStr">
        <is>
          <t>ÖSTERGÖTLANDS LÄN</t>
        </is>
      </c>
      <c r="E261" t="inlineStr">
        <is>
          <t>LINKÖPING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22833-2023</t>
        </is>
      </c>
      <c r="B262" s="1" t="n">
        <v>45071</v>
      </c>
      <c r="C262" s="1" t="n">
        <v>45940</v>
      </c>
      <c r="D262" t="inlineStr">
        <is>
          <t>ÖSTERGÖTLANDS LÄN</t>
        </is>
      </c>
      <c r="E262" t="inlineStr">
        <is>
          <t>LINKÖPING</t>
        </is>
      </c>
      <c r="F262" t="inlineStr">
        <is>
          <t>Kommuner</t>
        </is>
      </c>
      <c r="G262" t="n">
        <v>1</v>
      </c>
      <c r="H262" t="n">
        <v>0</v>
      </c>
      <c r="I262" t="n">
        <v>0</v>
      </c>
      <c r="J262" t="n">
        <v>0</v>
      </c>
      <c r="K262" t="n">
        <v>0</v>
      </c>
      <c r="L262" t="n">
        <v>0</v>
      </c>
      <c r="M262" t="n">
        <v>0</v>
      </c>
      <c r="N262" t="n">
        <v>0</v>
      </c>
      <c r="O262" t="n">
        <v>0</v>
      </c>
      <c r="P262" t="n">
        <v>0</v>
      </c>
      <c r="Q262" t="n">
        <v>0</v>
      </c>
      <c r="R262" s="2" t="inlineStr"/>
    </row>
    <row r="263" ht="15" customHeight="1">
      <c r="A263" t="inlineStr">
        <is>
          <t>A 9473-2024</t>
        </is>
      </c>
      <c r="B263" s="1" t="n">
        <v>45359.55474537037</v>
      </c>
      <c r="C263" s="1" t="n">
        <v>45940</v>
      </c>
      <c r="D263" t="inlineStr">
        <is>
          <t>ÖSTERGÖTLANDS LÄN</t>
        </is>
      </c>
      <c r="E263" t="inlineStr">
        <is>
          <t>LINKÖPING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30856-2022</t>
        </is>
      </c>
      <c r="B264" s="1" t="n">
        <v>44767</v>
      </c>
      <c r="C264" s="1" t="n">
        <v>45940</v>
      </c>
      <c r="D264" t="inlineStr">
        <is>
          <t>ÖSTERGÖTLANDS LÄN</t>
        </is>
      </c>
      <c r="E264" t="inlineStr">
        <is>
          <t>LINKÖPING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14520-2025</t>
        </is>
      </c>
      <c r="B265" s="1" t="n">
        <v>45741</v>
      </c>
      <c r="C265" s="1" t="n">
        <v>45940</v>
      </c>
      <c r="D265" t="inlineStr">
        <is>
          <t>ÖSTERGÖTLANDS LÄN</t>
        </is>
      </c>
      <c r="E265" t="inlineStr">
        <is>
          <t>LINKÖPING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31548-2022</t>
        </is>
      </c>
      <c r="B266" s="1" t="n">
        <v>44775.39832175926</v>
      </c>
      <c r="C266" s="1" t="n">
        <v>45940</v>
      </c>
      <c r="D266" t="inlineStr">
        <is>
          <t>ÖSTERGÖTLANDS LÄN</t>
        </is>
      </c>
      <c r="E266" t="inlineStr">
        <is>
          <t>LINKÖPING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6859-2024</t>
        </is>
      </c>
      <c r="B267" s="1" t="n">
        <v>45342</v>
      </c>
      <c r="C267" s="1" t="n">
        <v>45940</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44287-2024</t>
        </is>
      </c>
      <c r="B268" s="1" t="n">
        <v>45573.50582175926</v>
      </c>
      <c r="C268" s="1" t="n">
        <v>45940</v>
      </c>
      <c r="D268" t="inlineStr">
        <is>
          <t>ÖSTERGÖTLANDS LÄN</t>
        </is>
      </c>
      <c r="E268" t="inlineStr">
        <is>
          <t>LINKÖPING</t>
        </is>
      </c>
      <c r="G268" t="n">
        <v>12.7</v>
      </c>
      <c r="H268" t="n">
        <v>0</v>
      </c>
      <c r="I268" t="n">
        <v>0</v>
      </c>
      <c r="J268" t="n">
        <v>0</v>
      </c>
      <c r="K268" t="n">
        <v>0</v>
      </c>
      <c r="L268" t="n">
        <v>0</v>
      </c>
      <c r="M268" t="n">
        <v>0</v>
      </c>
      <c r="N268" t="n">
        <v>0</v>
      </c>
      <c r="O268" t="n">
        <v>0</v>
      </c>
      <c r="P268" t="n">
        <v>0</v>
      </c>
      <c r="Q268" t="n">
        <v>0</v>
      </c>
      <c r="R268" s="2" t="inlineStr"/>
    </row>
    <row r="269" ht="15" customHeight="1">
      <c r="A269" t="inlineStr">
        <is>
          <t>A 62017-2024</t>
        </is>
      </c>
      <c r="B269" s="1" t="n">
        <v>45655.81140046296</v>
      </c>
      <c r="C269" s="1" t="n">
        <v>45940</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17785-2023</t>
        </is>
      </c>
      <c r="B270" s="1" t="n">
        <v>45037.55094907407</v>
      </c>
      <c r="C270" s="1" t="n">
        <v>45940</v>
      </c>
      <c r="D270" t="inlineStr">
        <is>
          <t>ÖSTERGÖTLANDS LÄN</t>
        </is>
      </c>
      <c r="E270" t="inlineStr">
        <is>
          <t>LINKÖPING</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22364-2025</t>
        </is>
      </c>
      <c r="B271" s="1" t="n">
        <v>45786.46930555555</v>
      </c>
      <c r="C271" s="1" t="n">
        <v>45940</v>
      </c>
      <c r="D271" t="inlineStr">
        <is>
          <t>ÖSTERGÖTLANDS LÄN</t>
        </is>
      </c>
      <c r="E271" t="inlineStr">
        <is>
          <t>LINKÖPING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2997-2025</t>
        </is>
      </c>
      <c r="B272" s="1" t="n">
        <v>45678.54631944445</v>
      </c>
      <c r="C272" s="1" t="n">
        <v>45940</v>
      </c>
      <c r="D272" t="inlineStr">
        <is>
          <t>ÖSTERGÖTLANDS LÄN</t>
        </is>
      </c>
      <c r="E272" t="inlineStr">
        <is>
          <t>LINKÖPING</t>
        </is>
      </c>
      <c r="G272" t="n">
        <v>2.7</v>
      </c>
      <c r="H272" t="n">
        <v>0</v>
      </c>
      <c r="I272" t="n">
        <v>0</v>
      </c>
      <c r="J272" t="n">
        <v>0</v>
      </c>
      <c r="K272" t="n">
        <v>0</v>
      </c>
      <c r="L272" t="n">
        <v>0</v>
      </c>
      <c r="M272" t="n">
        <v>0</v>
      </c>
      <c r="N272" t="n">
        <v>0</v>
      </c>
      <c r="O272" t="n">
        <v>0</v>
      </c>
      <c r="P272" t="n">
        <v>0</v>
      </c>
      <c r="Q272" t="n">
        <v>0</v>
      </c>
      <c r="R272" s="2" t="inlineStr"/>
    </row>
    <row r="273" ht="15" customHeight="1">
      <c r="A273" t="inlineStr">
        <is>
          <t>A 62686-2023</t>
        </is>
      </c>
      <c r="B273" s="1" t="n">
        <v>45271</v>
      </c>
      <c r="C273" s="1" t="n">
        <v>45940</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57745-2022</t>
        </is>
      </c>
      <c r="B274" s="1" t="n">
        <v>44897.58119212963</v>
      </c>
      <c r="C274" s="1" t="n">
        <v>45940</v>
      </c>
      <c r="D274" t="inlineStr">
        <is>
          <t>ÖSTERGÖTLANDS LÄN</t>
        </is>
      </c>
      <c r="E274" t="inlineStr">
        <is>
          <t>LINKÖPING</t>
        </is>
      </c>
      <c r="F274" t="inlineStr">
        <is>
          <t>Sveaskog</t>
        </is>
      </c>
      <c r="G274" t="n">
        <v>3.1</v>
      </c>
      <c r="H274" t="n">
        <v>0</v>
      </c>
      <c r="I274" t="n">
        <v>0</v>
      </c>
      <c r="J274" t="n">
        <v>0</v>
      </c>
      <c r="K274" t="n">
        <v>0</v>
      </c>
      <c r="L274" t="n">
        <v>0</v>
      </c>
      <c r="M274" t="n">
        <v>0</v>
      </c>
      <c r="N274" t="n">
        <v>0</v>
      </c>
      <c r="O274" t="n">
        <v>0</v>
      </c>
      <c r="P274" t="n">
        <v>0</v>
      </c>
      <c r="Q274" t="n">
        <v>0</v>
      </c>
      <c r="R274" s="2" t="inlineStr"/>
    </row>
    <row r="275" ht="15" customHeight="1">
      <c r="A275" t="inlineStr">
        <is>
          <t>A 42044-2023</t>
        </is>
      </c>
      <c r="B275" s="1" t="n">
        <v>45177</v>
      </c>
      <c r="C275" s="1" t="n">
        <v>45940</v>
      </c>
      <c r="D275" t="inlineStr">
        <is>
          <t>ÖSTERGÖTLANDS LÄN</t>
        </is>
      </c>
      <c r="E275" t="inlineStr">
        <is>
          <t>LINKÖPING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34889-2023</t>
        </is>
      </c>
      <c r="B276" s="1" t="n">
        <v>45140</v>
      </c>
      <c r="C276" s="1" t="n">
        <v>45940</v>
      </c>
      <c r="D276" t="inlineStr">
        <is>
          <t>ÖSTERGÖTLANDS LÄN</t>
        </is>
      </c>
      <c r="E276" t="inlineStr">
        <is>
          <t>LINKÖPING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41345-2021</t>
        </is>
      </c>
      <c r="B277" s="1" t="n">
        <v>44424.61851851852</v>
      </c>
      <c r="C277" s="1" t="n">
        <v>45940</v>
      </c>
      <c r="D277" t="inlineStr">
        <is>
          <t>ÖSTERGÖTLANDS LÄN</t>
        </is>
      </c>
      <c r="E277" t="inlineStr">
        <is>
          <t>LINKÖPING</t>
        </is>
      </c>
      <c r="F277" t="inlineStr">
        <is>
          <t>Sveaskog</t>
        </is>
      </c>
      <c r="G277" t="n">
        <v>6.3</v>
      </c>
      <c r="H277" t="n">
        <v>0</v>
      </c>
      <c r="I277" t="n">
        <v>0</v>
      </c>
      <c r="J277" t="n">
        <v>0</v>
      </c>
      <c r="K277" t="n">
        <v>0</v>
      </c>
      <c r="L277" t="n">
        <v>0</v>
      </c>
      <c r="M277" t="n">
        <v>0</v>
      </c>
      <c r="N277" t="n">
        <v>0</v>
      </c>
      <c r="O277" t="n">
        <v>0</v>
      </c>
      <c r="P277" t="n">
        <v>0</v>
      </c>
      <c r="Q277" t="n">
        <v>0</v>
      </c>
      <c r="R277" s="2" t="inlineStr"/>
    </row>
    <row r="278" ht="15" customHeight="1">
      <c r="A278" t="inlineStr">
        <is>
          <t>A 5314-2021</t>
        </is>
      </c>
      <c r="B278" s="1" t="n">
        <v>44229</v>
      </c>
      <c r="C278" s="1" t="n">
        <v>45940</v>
      </c>
      <c r="D278" t="inlineStr">
        <is>
          <t>ÖSTERGÖTLANDS LÄN</t>
        </is>
      </c>
      <c r="E278" t="inlineStr">
        <is>
          <t>LINKÖPING</t>
        </is>
      </c>
      <c r="G278" t="n">
        <v>6.2</v>
      </c>
      <c r="H278" t="n">
        <v>0</v>
      </c>
      <c r="I278" t="n">
        <v>0</v>
      </c>
      <c r="J278" t="n">
        <v>0</v>
      </c>
      <c r="K278" t="n">
        <v>0</v>
      </c>
      <c r="L278" t="n">
        <v>0</v>
      </c>
      <c r="M278" t="n">
        <v>0</v>
      </c>
      <c r="N278" t="n">
        <v>0</v>
      </c>
      <c r="O278" t="n">
        <v>0</v>
      </c>
      <c r="P278" t="n">
        <v>0</v>
      </c>
      <c r="Q278" t="n">
        <v>0</v>
      </c>
      <c r="R278" s="2" t="inlineStr"/>
    </row>
    <row r="279" ht="15" customHeight="1">
      <c r="A279" t="inlineStr">
        <is>
          <t>A 13266-2025</t>
        </is>
      </c>
      <c r="B279" s="1" t="n">
        <v>45735.53318287037</v>
      </c>
      <c r="C279" s="1" t="n">
        <v>45940</v>
      </c>
      <c r="D279" t="inlineStr">
        <is>
          <t>ÖSTERGÖTLANDS LÄN</t>
        </is>
      </c>
      <c r="E279" t="inlineStr">
        <is>
          <t>LINKÖPING</t>
        </is>
      </c>
      <c r="G279" t="n">
        <v>3.1</v>
      </c>
      <c r="H279" t="n">
        <v>0</v>
      </c>
      <c r="I279" t="n">
        <v>0</v>
      </c>
      <c r="J279" t="n">
        <v>0</v>
      </c>
      <c r="K279" t="n">
        <v>0</v>
      </c>
      <c r="L279" t="n">
        <v>0</v>
      </c>
      <c r="M279" t="n">
        <v>0</v>
      </c>
      <c r="N279" t="n">
        <v>0</v>
      </c>
      <c r="O279" t="n">
        <v>0</v>
      </c>
      <c r="P279" t="n">
        <v>0</v>
      </c>
      <c r="Q279" t="n">
        <v>0</v>
      </c>
      <c r="R279" s="2" t="inlineStr"/>
    </row>
    <row r="280" ht="15" customHeight="1">
      <c r="A280" t="inlineStr">
        <is>
          <t>A 572-2025</t>
        </is>
      </c>
      <c r="B280" s="1" t="n">
        <v>45664.56349537037</v>
      </c>
      <c r="C280" s="1" t="n">
        <v>45940</v>
      </c>
      <c r="D280" t="inlineStr">
        <is>
          <t>ÖSTERGÖTLANDS LÄN</t>
        </is>
      </c>
      <c r="E280" t="inlineStr">
        <is>
          <t>LINKÖPING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1993-2023</t>
        </is>
      </c>
      <c r="B281" s="1" t="n">
        <v>44939</v>
      </c>
      <c r="C281" s="1" t="n">
        <v>45940</v>
      </c>
      <c r="D281" t="inlineStr">
        <is>
          <t>ÖSTERGÖTLANDS LÄN</t>
        </is>
      </c>
      <c r="E281" t="inlineStr">
        <is>
          <t>LINKÖPING</t>
        </is>
      </c>
      <c r="G281" t="n">
        <v>3.7</v>
      </c>
      <c r="H281" t="n">
        <v>0</v>
      </c>
      <c r="I281" t="n">
        <v>0</v>
      </c>
      <c r="J281" t="n">
        <v>0</v>
      </c>
      <c r="K281" t="n">
        <v>0</v>
      </c>
      <c r="L281" t="n">
        <v>0</v>
      </c>
      <c r="M281" t="n">
        <v>0</v>
      </c>
      <c r="N281" t="n">
        <v>0</v>
      </c>
      <c r="O281" t="n">
        <v>0</v>
      </c>
      <c r="P281" t="n">
        <v>0</v>
      </c>
      <c r="Q281" t="n">
        <v>0</v>
      </c>
      <c r="R281" s="2" t="inlineStr"/>
    </row>
    <row r="282" ht="15" customHeight="1">
      <c r="A282" t="inlineStr">
        <is>
          <t>A 53616-2020</t>
        </is>
      </c>
      <c r="B282" s="1" t="n">
        <v>44123</v>
      </c>
      <c r="C282" s="1" t="n">
        <v>45940</v>
      </c>
      <c r="D282" t="inlineStr">
        <is>
          <t>ÖSTERGÖTLANDS LÄN</t>
        </is>
      </c>
      <c r="E282" t="inlineStr">
        <is>
          <t>LINKÖPING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16213-2025</t>
        </is>
      </c>
      <c r="B283" s="1" t="n">
        <v>45750.62740740741</v>
      </c>
      <c r="C283" s="1" t="n">
        <v>45940</v>
      </c>
      <c r="D283" t="inlineStr">
        <is>
          <t>ÖSTERGÖTLANDS LÄN</t>
        </is>
      </c>
      <c r="E283" t="inlineStr">
        <is>
          <t>LINKÖPING</t>
        </is>
      </c>
      <c r="G283" t="n">
        <v>3.4</v>
      </c>
      <c r="H283" t="n">
        <v>0</v>
      </c>
      <c r="I283" t="n">
        <v>0</v>
      </c>
      <c r="J283" t="n">
        <v>0</v>
      </c>
      <c r="K283" t="n">
        <v>0</v>
      </c>
      <c r="L283" t="n">
        <v>0</v>
      </c>
      <c r="M283" t="n">
        <v>0</v>
      </c>
      <c r="N283" t="n">
        <v>0</v>
      </c>
      <c r="O283" t="n">
        <v>0</v>
      </c>
      <c r="P283" t="n">
        <v>0</v>
      </c>
      <c r="Q283" t="n">
        <v>0</v>
      </c>
      <c r="R283" s="2" t="inlineStr"/>
    </row>
    <row r="284" ht="15" customHeight="1">
      <c r="A284" t="inlineStr">
        <is>
          <t>A 10797-2024</t>
        </is>
      </c>
      <c r="B284" s="1" t="n">
        <v>45369.6190162037</v>
      </c>
      <c r="C284" s="1" t="n">
        <v>45940</v>
      </c>
      <c r="D284" t="inlineStr">
        <is>
          <t>ÖSTERGÖTLANDS LÄN</t>
        </is>
      </c>
      <c r="E284" t="inlineStr">
        <is>
          <t>LINKÖPING</t>
        </is>
      </c>
      <c r="G284" t="n">
        <v>1.5</v>
      </c>
      <c r="H284" t="n">
        <v>0</v>
      </c>
      <c r="I284" t="n">
        <v>0</v>
      </c>
      <c r="J284" t="n">
        <v>0</v>
      </c>
      <c r="K284" t="n">
        <v>0</v>
      </c>
      <c r="L284" t="n">
        <v>0</v>
      </c>
      <c r="M284" t="n">
        <v>0</v>
      </c>
      <c r="N284" t="n">
        <v>0</v>
      </c>
      <c r="O284" t="n">
        <v>0</v>
      </c>
      <c r="P284" t="n">
        <v>0</v>
      </c>
      <c r="Q284" t="n">
        <v>0</v>
      </c>
      <c r="R284" s="2" t="inlineStr"/>
    </row>
    <row r="285" ht="15" customHeight="1">
      <c r="A285" t="inlineStr">
        <is>
          <t>A 38580-2024</t>
        </is>
      </c>
      <c r="B285" s="1" t="n">
        <v>45546.64825231482</v>
      </c>
      <c r="C285" s="1" t="n">
        <v>45940</v>
      </c>
      <c r="D285" t="inlineStr">
        <is>
          <t>ÖSTERGÖTLANDS LÄN</t>
        </is>
      </c>
      <c r="E285" t="inlineStr">
        <is>
          <t>LINKÖPING</t>
        </is>
      </c>
      <c r="G285" t="n">
        <v>4.8</v>
      </c>
      <c r="H285" t="n">
        <v>0</v>
      </c>
      <c r="I285" t="n">
        <v>0</v>
      </c>
      <c r="J285" t="n">
        <v>0</v>
      </c>
      <c r="K285" t="n">
        <v>0</v>
      </c>
      <c r="L285" t="n">
        <v>0</v>
      </c>
      <c r="M285" t="n">
        <v>0</v>
      </c>
      <c r="N285" t="n">
        <v>0</v>
      </c>
      <c r="O285" t="n">
        <v>0</v>
      </c>
      <c r="P285" t="n">
        <v>0</v>
      </c>
      <c r="Q285" t="n">
        <v>0</v>
      </c>
      <c r="R285" s="2" t="inlineStr"/>
    </row>
    <row r="286" ht="15" customHeight="1">
      <c r="A286" t="inlineStr">
        <is>
          <t>A 49656-2021</t>
        </is>
      </c>
      <c r="B286" s="1" t="n">
        <v>44454</v>
      </c>
      <c r="C286" s="1" t="n">
        <v>45940</v>
      </c>
      <c r="D286" t="inlineStr">
        <is>
          <t>ÖSTERGÖTLANDS LÄN</t>
        </is>
      </c>
      <c r="E286" t="inlineStr">
        <is>
          <t>LINKÖPING</t>
        </is>
      </c>
      <c r="G286" t="n">
        <v>2.3</v>
      </c>
      <c r="H286" t="n">
        <v>0</v>
      </c>
      <c r="I286" t="n">
        <v>0</v>
      </c>
      <c r="J286" t="n">
        <v>0</v>
      </c>
      <c r="K286" t="n">
        <v>0</v>
      </c>
      <c r="L286" t="n">
        <v>0</v>
      </c>
      <c r="M286" t="n">
        <v>0</v>
      </c>
      <c r="N286" t="n">
        <v>0</v>
      </c>
      <c r="O286" t="n">
        <v>0</v>
      </c>
      <c r="P286" t="n">
        <v>0</v>
      </c>
      <c r="Q286" t="n">
        <v>0</v>
      </c>
      <c r="R286" s="2" t="inlineStr"/>
    </row>
    <row r="287" ht="15" customHeight="1">
      <c r="A287" t="inlineStr">
        <is>
          <t>A 57752-2023</t>
        </is>
      </c>
      <c r="B287" s="1" t="n">
        <v>45246.78474537037</v>
      </c>
      <c r="C287" s="1" t="n">
        <v>45940</v>
      </c>
      <c r="D287" t="inlineStr">
        <is>
          <t>ÖSTERGÖTLANDS LÄN</t>
        </is>
      </c>
      <c r="E287" t="inlineStr">
        <is>
          <t>LINKÖPING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37683-2024</t>
        </is>
      </c>
      <c r="B288" s="1" t="n">
        <v>45541.59120370371</v>
      </c>
      <c r="C288" s="1" t="n">
        <v>45940</v>
      </c>
      <c r="D288" t="inlineStr">
        <is>
          <t>ÖSTERGÖTLANDS LÄN</t>
        </is>
      </c>
      <c r="E288" t="inlineStr">
        <is>
          <t>LINKÖPING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46225-2021</t>
        </is>
      </c>
      <c r="B289" s="1" t="n">
        <v>44442</v>
      </c>
      <c r="C289" s="1" t="n">
        <v>45940</v>
      </c>
      <c r="D289" t="inlineStr">
        <is>
          <t>ÖSTERGÖTLANDS LÄN</t>
        </is>
      </c>
      <c r="E289" t="inlineStr">
        <is>
          <t>LINKÖPING</t>
        </is>
      </c>
      <c r="G289" t="n">
        <v>2.9</v>
      </c>
      <c r="H289" t="n">
        <v>0</v>
      </c>
      <c r="I289" t="n">
        <v>0</v>
      </c>
      <c r="J289" t="n">
        <v>0</v>
      </c>
      <c r="K289" t="n">
        <v>0</v>
      </c>
      <c r="L289" t="n">
        <v>0</v>
      </c>
      <c r="M289" t="n">
        <v>0</v>
      </c>
      <c r="N289" t="n">
        <v>0</v>
      </c>
      <c r="O289" t="n">
        <v>0</v>
      </c>
      <c r="P289" t="n">
        <v>0</v>
      </c>
      <c r="Q289" t="n">
        <v>0</v>
      </c>
      <c r="R289" s="2" t="inlineStr"/>
    </row>
    <row r="290" ht="15" customHeight="1">
      <c r="A290" t="inlineStr">
        <is>
          <t>A 25776-2021</t>
        </is>
      </c>
      <c r="B290" s="1" t="n">
        <v>44343</v>
      </c>
      <c r="C290" s="1" t="n">
        <v>45940</v>
      </c>
      <c r="D290" t="inlineStr">
        <is>
          <t>ÖSTERGÖTLANDS LÄN</t>
        </is>
      </c>
      <c r="E290" t="inlineStr">
        <is>
          <t>LINKÖPING</t>
        </is>
      </c>
      <c r="G290" t="n">
        <v>2.6</v>
      </c>
      <c r="H290" t="n">
        <v>0</v>
      </c>
      <c r="I290" t="n">
        <v>0</v>
      </c>
      <c r="J290" t="n">
        <v>0</v>
      </c>
      <c r="K290" t="n">
        <v>0</v>
      </c>
      <c r="L290" t="n">
        <v>0</v>
      </c>
      <c r="M290" t="n">
        <v>0</v>
      </c>
      <c r="N290" t="n">
        <v>0</v>
      </c>
      <c r="O290" t="n">
        <v>0</v>
      </c>
      <c r="P290" t="n">
        <v>0</v>
      </c>
      <c r="Q290" t="n">
        <v>0</v>
      </c>
      <c r="R290" s="2" t="inlineStr"/>
    </row>
    <row r="291" ht="15" customHeight="1">
      <c r="A291" t="inlineStr">
        <is>
          <t>A 22771-2024</t>
        </is>
      </c>
      <c r="B291" s="1" t="n">
        <v>45448.46574074074</v>
      </c>
      <c r="C291" s="1" t="n">
        <v>45940</v>
      </c>
      <c r="D291" t="inlineStr">
        <is>
          <t>ÖSTERGÖTLANDS LÄN</t>
        </is>
      </c>
      <c r="E291" t="inlineStr">
        <is>
          <t>LINKÖPING</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51484-2023</t>
        </is>
      </c>
      <c r="B292" s="1" t="n">
        <v>45222</v>
      </c>
      <c r="C292" s="1" t="n">
        <v>45940</v>
      </c>
      <c r="D292" t="inlineStr">
        <is>
          <t>ÖSTERGÖTLANDS LÄN</t>
        </is>
      </c>
      <c r="E292" t="inlineStr">
        <is>
          <t>LINKÖPING</t>
        </is>
      </c>
      <c r="F292" t="inlineStr">
        <is>
          <t>Övriga Aktiebolag</t>
        </is>
      </c>
      <c r="G292" t="n">
        <v>7.7</v>
      </c>
      <c r="H292" t="n">
        <v>0</v>
      </c>
      <c r="I292" t="n">
        <v>0</v>
      </c>
      <c r="J292" t="n">
        <v>0</v>
      </c>
      <c r="K292" t="n">
        <v>0</v>
      </c>
      <c r="L292" t="n">
        <v>0</v>
      </c>
      <c r="M292" t="n">
        <v>0</v>
      </c>
      <c r="N292" t="n">
        <v>0</v>
      </c>
      <c r="O292" t="n">
        <v>0</v>
      </c>
      <c r="P292" t="n">
        <v>0</v>
      </c>
      <c r="Q292" t="n">
        <v>0</v>
      </c>
      <c r="R292" s="2" t="inlineStr"/>
    </row>
    <row r="293" ht="15" customHeight="1">
      <c r="A293" t="inlineStr">
        <is>
          <t>A 29312-2024</t>
        </is>
      </c>
      <c r="B293" s="1" t="n">
        <v>45483</v>
      </c>
      <c r="C293" s="1" t="n">
        <v>45940</v>
      </c>
      <c r="D293" t="inlineStr">
        <is>
          <t>ÖSTERGÖTLANDS LÄN</t>
        </is>
      </c>
      <c r="E293" t="inlineStr">
        <is>
          <t>LINKÖPING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52220-2023</t>
        </is>
      </c>
      <c r="B294" s="1" t="n">
        <v>45217</v>
      </c>
      <c r="C294" s="1" t="n">
        <v>45940</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52225-2023</t>
        </is>
      </c>
      <c r="B295" s="1" t="n">
        <v>45217</v>
      </c>
      <c r="C295" s="1" t="n">
        <v>45940</v>
      </c>
      <c r="D295" t="inlineStr">
        <is>
          <t>ÖSTERGÖTLANDS LÄN</t>
        </is>
      </c>
      <c r="E295" t="inlineStr">
        <is>
          <t>LINKÖPING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23120-2025</t>
        </is>
      </c>
      <c r="B296" s="1" t="n">
        <v>45791.37481481482</v>
      </c>
      <c r="C296" s="1" t="n">
        <v>45940</v>
      </c>
      <c r="D296" t="inlineStr">
        <is>
          <t>ÖSTERGÖTLANDS LÄN</t>
        </is>
      </c>
      <c r="E296" t="inlineStr">
        <is>
          <t>LINKÖPING</t>
        </is>
      </c>
      <c r="G296" t="n">
        <v>2.9</v>
      </c>
      <c r="H296" t="n">
        <v>0</v>
      </c>
      <c r="I296" t="n">
        <v>0</v>
      </c>
      <c r="J296" t="n">
        <v>0</v>
      </c>
      <c r="K296" t="n">
        <v>0</v>
      </c>
      <c r="L296" t="n">
        <v>0</v>
      </c>
      <c r="M296" t="n">
        <v>0</v>
      </c>
      <c r="N296" t="n">
        <v>0</v>
      </c>
      <c r="O296" t="n">
        <v>0</v>
      </c>
      <c r="P296" t="n">
        <v>0</v>
      </c>
      <c r="Q296" t="n">
        <v>0</v>
      </c>
      <c r="R296" s="2" t="inlineStr"/>
    </row>
    <row r="297" ht="15" customHeight="1">
      <c r="A297" t="inlineStr">
        <is>
          <t>A 38230-2023</t>
        </is>
      </c>
      <c r="B297" s="1" t="n">
        <v>45161.55373842592</v>
      </c>
      <c r="C297" s="1" t="n">
        <v>45940</v>
      </c>
      <c r="D297" t="inlineStr">
        <is>
          <t>ÖSTERGÖTLANDS LÄN</t>
        </is>
      </c>
      <c r="E297" t="inlineStr">
        <is>
          <t>LINKÖPING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42832-2023</t>
        </is>
      </c>
      <c r="B298" s="1" t="n">
        <v>45182.38091435185</v>
      </c>
      <c r="C298" s="1" t="n">
        <v>45940</v>
      </c>
      <c r="D298" t="inlineStr">
        <is>
          <t>ÖSTERGÖTLANDS LÄN</t>
        </is>
      </c>
      <c r="E298" t="inlineStr">
        <is>
          <t>LINKÖPING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45442-2024</t>
        </is>
      </c>
      <c r="B299" s="1" t="n">
        <v>45576.64189814815</v>
      </c>
      <c r="C299" s="1" t="n">
        <v>45940</v>
      </c>
      <c r="D299" t="inlineStr">
        <is>
          <t>ÖSTERGÖTLANDS LÄN</t>
        </is>
      </c>
      <c r="E299" t="inlineStr">
        <is>
          <t>LINKÖPING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56560-2023</t>
        </is>
      </c>
      <c r="B300" s="1" t="n">
        <v>45238</v>
      </c>
      <c r="C300" s="1" t="n">
        <v>45940</v>
      </c>
      <c r="D300" t="inlineStr">
        <is>
          <t>ÖSTERGÖTLANDS LÄN</t>
        </is>
      </c>
      <c r="E300" t="inlineStr">
        <is>
          <t>LINKÖPING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52412-2023</t>
        </is>
      </c>
      <c r="B301" s="1" t="n">
        <v>45225.27888888889</v>
      </c>
      <c r="C301" s="1" t="n">
        <v>45940</v>
      </c>
      <c r="D301" t="inlineStr">
        <is>
          <t>ÖSTERGÖTLANDS LÄN</t>
        </is>
      </c>
      <c r="E301" t="inlineStr">
        <is>
          <t>LINKÖPING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52413-2023</t>
        </is>
      </c>
      <c r="B302" s="1" t="n">
        <v>45225.27950231481</v>
      </c>
      <c r="C302" s="1" t="n">
        <v>45940</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17898-2022</t>
        </is>
      </c>
      <c r="B303" s="1" t="n">
        <v>44683</v>
      </c>
      <c r="C303" s="1" t="n">
        <v>45940</v>
      </c>
      <c r="D303" t="inlineStr">
        <is>
          <t>ÖSTERGÖTLANDS LÄN</t>
        </is>
      </c>
      <c r="E303" t="inlineStr">
        <is>
          <t>LINKÖPING</t>
        </is>
      </c>
      <c r="G303" t="n">
        <v>1.1</v>
      </c>
      <c r="H303" t="n">
        <v>0</v>
      </c>
      <c r="I303" t="n">
        <v>0</v>
      </c>
      <c r="J303" t="n">
        <v>0</v>
      </c>
      <c r="K303" t="n">
        <v>0</v>
      </c>
      <c r="L303" t="n">
        <v>0</v>
      </c>
      <c r="M303" t="n">
        <v>0</v>
      </c>
      <c r="N303" t="n">
        <v>0</v>
      </c>
      <c r="O303" t="n">
        <v>0</v>
      </c>
      <c r="P303" t="n">
        <v>0</v>
      </c>
      <c r="Q303" t="n">
        <v>0</v>
      </c>
      <c r="R303" s="2" t="inlineStr"/>
    </row>
    <row r="304" ht="15" customHeight="1">
      <c r="A304" t="inlineStr">
        <is>
          <t>A 7354-2025</t>
        </is>
      </c>
      <c r="B304" s="1" t="n">
        <v>45704.41174768518</v>
      </c>
      <c r="C304" s="1" t="n">
        <v>45940</v>
      </c>
      <c r="D304" t="inlineStr">
        <is>
          <t>ÖSTERGÖTLANDS LÄN</t>
        </is>
      </c>
      <c r="E304" t="inlineStr">
        <is>
          <t>LINKÖPING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4908-2023</t>
        </is>
      </c>
      <c r="B305" s="1" t="n">
        <v>44958</v>
      </c>
      <c r="C305" s="1" t="n">
        <v>45940</v>
      </c>
      <c r="D305" t="inlineStr">
        <is>
          <t>ÖSTERGÖTLANDS LÄN</t>
        </is>
      </c>
      <c r="E305" t="inlineStr">
        <is>
          <t>LINKÖPING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1265-2023</t>
        </is>
      </c>
      <c r="B306" s="1" t="n">
        <v>44936</v>
      </c>
      <c r="C306" s="1" t="n">
        <v>45940</v>
      </c>
      <c r="D306" t="inlineStr">
        <is>
          <t>ÖSTERGÖTLANDS LÄN</t>
        </is>
      </c>
      <c r="E306" t="inlineStr">
        <is>
          <t>LINKÖPING</t>
        </is>
      </c>
      <c r="G306" t="n">
        <v>2.3</v>
      </c>
      <c r="H306" t="n">
        <v>0</v>
      </c>
      <c r="I306" t="n">
        <v>0</v>
      </c>
      <c r="J306" t="n">
        <v>0</v>
      </c>
      <c r="K306" t="n">
        <v>0</v>
      </c>
      <c r="L306" t="n">
        <v>0</v>
      </c>
      <c r="M306" t="n">
        <v>0</v>
      </c>
      <c r="N306" t="n">
        <v>0</v>
      </c>
      <c r="O306" t="n">
        <v>0</v>
      </c>
      <c r="P306" t="n">
        <v>0</v>
      </c>
      <c r="Q306" t="n">
        <v>0</v>
      </c>
      <c r="R306" s="2" t="inlineStr"/>
    </row>
    <row r="307" ht="15" customHeight="1">
      <c r="A307" t="inlineStr">
        <is>
          <t>A 63487-2023</t>
        </is>
      </c>
      <c r="B307" s="1" t="n">
        <v>45274.66712962963</v>
      </c>
      <c r="C307" s="1" t="n">
        <v>45940</v>
      </c>
      <c r="D307" t="inlineStr">
        <is>
          <t>ÖSTERGÖTLANDS LÄN</t>
        </is>
      </c>
      <c r="E307" t="inlineStr">
        <is>
          <t>LINKÖPING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35463-2023</t>
        </is>
      </c>
      <c r="B308" s="1" t="n">
        <v>45146</v>
      </c>
      <c r="C308" s="1" t="n">
        <v>45940</v>
      </c>
      <c r="D308" t="inlineStr">
        <is>
          <t>ÖSTERGÖTLANDS LÄN</t>
        </is>
      </c>
      <c r="E308" t="inlineStr">
        <is>
          <t>LINKÖPING</t>
        </is>
      </c>
      <c r="F308" t="inlineStr">
        <is>
          <t>Övriga Aktiebolag</t>
        </is>
      </c>
      <c r="G308" t="n">
        <v>1.8</v>
      </c>
      <c r="H308" t="n">
        <v>0</v>
      </c>
      <c r="I308" t="n">
        <v>0</v>
      </c>
      <c r="J308" t="n">
        <v>0</v>
      </c>
      <c r="K308" t="n">
        <v>0</v>
      </c>
      <c r="L308" t="n">
        <v>0</v>
      </c>
      <c r="M308" t="n">
        <v>0</v>
      </c>
      <c r="N308" t="n">
        <v>0</v>
      </c>
      <c r="O308" t="n">
        <v>0</v>
      </c>
      <c r="P308" t="n">
        <v>0</v>
      </c>
      <c r="Q308" t="n">
        <v>0</v>
      </c>
      <c r="R308" s="2" t="inlineStr"/>
    </row>
    <row r="309" ht="15" customHeight="1">
      <c r="A309" t="inlineStr">
        <is>
          <t>A 23768-2025</t>
        </is>
      </c>
      <c r="B309" s="1" t="n">
        <v>45793.47493055555</v>
      </c>
      <c r="C309" s="1" t="n">
        <v>45940</v>
      </c>
      <c r="D309" t="inlineStr">
        <is>
          <t>ÖSTERGÖTLANDS LÄN</t>
        </is>
      </c>
      <c r="E309" t="inlineStr">
        <is>
          <t>LINKÖPING</t>
        </is>
      </c>
      <c r="G309" t="n">
        <v>3.4</v>
      </c>
      <c r="H309" t="n">
        <v>0</v>
      </c>
      <c r="I309" t="n">
        <v>0</v>
      </c>
      <c r="J309" t="n">
        <v>0</v>
      </c>
      <c r="K309" t="n">
        <v>0</v>
      </c>
      <c r="L309" t="n">
        <v>0</v>
      </c>
      <c r="M309" t="n">
        <v>0</v>
      </c>
      <c r="N309" t="n">
        <v>0</v>
      </c>
      <c r="O309" t="n">
        <v>0</v>
      </c>
      <c r="P309" t="n">
        <v>0</v>
      </c>
      <c r="Q309" t="n">
        <v>0</v>
      </c>
      <c r="R309" s="2" t="inlineStr"/>
    </row>
    <row r="310" ht="15" customHeight="1">
      <c r="A310" t="inlineStr">
        <is>
          <t>A 55632-2022</t>
        </is>
      </c>
      <c r="B310" s="1" t="n">
        <v>44888</v>
      </c>
      <c r="C310" s="1" t="n">
        <v>45940</v>
      </c>
      <c r="D310" t="inlineStr">
        <is>
          <t>ÖSTERGÖTLANDS LÄN</t>
        </is>
      </c>
      <c r="E310" t="inlineStr">
        <is>
          <t>LINKÖPING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63559-2023</t>
        </is>
      </c>
      <c r="B311" s="1" t="n">
        <v>45275.35924768518</v>
      </c>
      <c r="C311" s="1" t="n">
        <v>45940</v>
      </c>
      <c r="D311" t="inlineStr">
        <is>
          <t>ÖSTERGÖTLANDS LÄN</t>
        </is>
      </c>
      <c r="E311" t="inlineStr">
        <is>
          <t>LINKÖPING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12411-2022</t>
        </is>
      </c>
      <c r="B312" s="1" t="n">
        <v>44638.21601851852</v>
      </c>
      <c r="C312" s="1" t="n">
        <v>45940</v>
      </c>
      <c r="D312" t="inlineStr">
        <is>
          <t>ÖSTERGÖTLANDS LÄN</t>
        </is>
      </c>
      <c r="E312" t="inlineStr">
        <is>
          <t>LINKÖPING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58114-2021</t>
        </is>
      </c>
      <c r="B313" s="1" t="n">
        <v>44487</v>
      </c>
      <c r="C313" s="1" t="n">
        <v>45940</v>
      </c>
      <c r="D313" t="inlineStr">
        <is>
          <t>ÖSTERGÖTLANDS LÄN</t>
        </is>
      </c>
      <c r="E313" t="inlineStr">
        <is>
          <t>LINKÖPING</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48699-2024</t>
        </is>
      </c>
      <c r="B314" s="1" t="n">
        <v>45593.52091435185</v>
      </c>
      <c r="C314" s="1" t="n">
        <v>45940</v>
      </c>
      <c r="D314" t="inlineStr">
        <is>
          <t>ÖSTERGÖTLANDS LÄN</t>
        </is>
      </c>
      <c r="E314" t="inlineStr">
        <is>
          <t>LINKÖPING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55945-2024</t>
        </is>
      </c>
      <c r="B315" s="1" t="n">
        <v>45623.61754629629</v>
      </c>
      <c r="C315" s="1" t="n">
        <v>45940</v>
      </c>
      <c r="D315" t="inlineStr">
        <is>
          <t>ÖSTERGÖTLANDS LÄN</t>
        </is>
      </c>
      <c r="E315" t="inlineStr">
        <is>
          <t>LINKÖPING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34928-2023</t>
        </is>
      </c>
      <c r="B316" s="1" t="n">
        <v>45142</v>
      </c>
      <c r="C316" s="1" t="n">
        <v>45940</v>
      </c>
      <c r="D316" t="inlineStr">
        <is>
          <t>ÖSTERGÖTLANDS LÄN</t>
        </is>
      </c>
      <c r="E316" t="inlineStr">
        <is>
          <t>LINKÖPING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55944-2024</t>
        </is>
      </c>
      <c r="B317" s="1" t="n">
        <v>45623.61640046296</v>
      </c>
      <c r="C317" s="1" t="n">
        <v>45940</v>
      </c>
      <c r="D317" t="inlineStr">
        <is>
          <t>ÖSTERGÖTLANDS LÄN</t>
        </is>
      </c>
      <c r="E317" t="inlineStr">
        <is>
          <t>LINKÖPING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55947-2024</t>
        </is>
      </c>
      <c r="B318" s="1" t="n">
        <v>45623</v>
      </c>
      <c r="C318" s="1" t="n">
        <v>45940</v>
      </c>
      <c r="D318" t="inlineStr">
        <is>
          <t>ÖSTERGÖTLANDS LÄN</t>
        </is>
      </c>
      <c r="E318" t="inlineStr">
        <is>
          <t>LINKÖPING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1263-2024</t>
        </is>
      </c>
      <c r="B319" s="1" t="n">
        <v>45302</v>
      </c>
      <c r="C319" s="1" t="n">
        <v>45940</v>
      </c>
      <c r="D319" t="inlineStr">
        <is>
          <t>ÖSTERGÖTLANDS LÄN</t>
        </is>
      </c>
      <c r="E319" t="inlineStr">
        <is>
          <t>LINKÖPING</t>
        </is>
      </c>
      <c r="G319" t="n">
        <v>1.8</v>
      </c>
      <c r="H319" t="n">
        <v>0</v>
      </c>
      <c r="I319" t="n">
        <v>0</v>
      </c>
      <c r="J319" t="n">
        <v>0</v>
      </c>
      <c r="K319" t="n">
        <v>0</v>
      </c>
      <c r="L319" t="n">
        <v>0</v>
      </c>
      <c r="M319" t="n">
        <v>0</v>
      </c>
      <c r="N319" t="n">
        <v>0</v>
      </c>
      <c r="O319" t="n">
        <v>0</v>
      </c>
      <c r="P319" t="n">
        <v>0</v>
      </c>
      <c r="Q319" t="n">
        <v>0</v>
      </c>
      <c r="R319" s="2" t="inlineStr"/>
    </row>
    <row r="320" ht="15" customHeight="1">
      <c r="A320" t="inlineStr">
        <is>
          <t>A 3374-2023</t>
        </is>
      </c>
      <c r="B320" s="1" t="n">
        <v>44949</v>
      </c>
      <c r="C320" s="1" t="n">
        <v>45940</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52531-2023</t>
        </is>
      </c>
      <c r="B321" s="1" t="n">
        <v>45225</v>
      </c>
      <c r="C321" s="1" t="n">
        <v>45940</v>
      </c>
      <c r="D321" t="inlineStr">
        <is>
          <t>ÖSTERGÖTLANDS LÄN</t>
        </is>
      </c>
      <c r="E321" t="inlineStr">
        <is>
          <t>LINKÖPING</t>
        </is>
      </c>
      <c r="F321" t="inlineStr">
        <is>
          <t>Övriga Aktiebolag</t>
        </is>
      </c>
      <c r="G321" t="n">
        <v>1</v>
      </c>
      <c r="H321" t="n">
        <v>0</v>
      </c>
      <c r="I321" t="n">
        <v>0</v>
      </c>
      <c r="J321" t="n">
        <v>0</v>
      </c>
      <c r="K321" t="n">
        <v>0</v>
      </c>
      <c r="L321" t="n">
        <v>0</v>
      </c>
      <c r="M321" t="n">
        <v>0</v>
      </c>
      <c r="N321" t="n">
        <v>0</v>
      </c>
      <c r="O321" t="n">
        <v>0</v>
      </c>
      <c r="P321" t="n">
        <v>0</v>
      </c>
      <c r="Q321" t="n">
        <v>0</v>
      </c>
      <c r="R321" s="2" t="inlineStr"/>
    </row>
    <row r="322" ht="15" customHeight="1">
      <c r="A322" t="inlineStr">
        <is>
          <t>A 24151-2024</t>
        </is>
      </c>
      <c r="B322" s="1" t="n">
        <v>45456.67717592593</v>
      </c>
      <c r="C322" s="1" t="n">
        <v>45940</v>
      </c>
      <c r="D322" t="inlineStr">
        <is>
          <t>ÖSTERGÖTLANDS LÄN</t>
        </is>
      </c>
      <c r="E322" t="inlineStr">
        <is>
          <t>LINKÖPING</t>
        </is>
      </c>
      <c r="G322" t="n">
        <v>2.1</v>
      </c>
      <c r="H322" t="n">
        <v>0</v>
      </c>
      <c r="I322" t="n">
        <v>0</v>
      </c>
      <c r="J322" t="n">
        <v>0</v>
      </c>
      <c r="K322" t="n">
        <v>0</v>
      </c>
      <c r="L322" t="n">
        <v>0</v>
      </c>
      <c r="M322" t="n">
        <v>0</v>
      </c>
      <c r="N322" t="n">
        <v>0</v>
      </c>
      <c r="O322" t="n">
        <v>0</v>
      </c>
      <c r="P322" t="n">
        <v>0</v>
      </c>
      <c r="Q322" t="n">
        <v>0</v>
      </c>
      <c r="R322" s="2" t="inlineStr"/>
    </row>
    <row r="323" ht="15" customHeight="1">
      <c r="A323" t="inlineStr">
        <is>
          <t>A 23491-2024</t>
        </is>
      </c>
      <c r="B323" s="1" t="n">
        <v>45453</v>
      </c>
      <c r="C323" s="1" t="n">
        <v>45940</v>
      </c>
      <c r="D323" t="inlineStr">
        <is>
          <t>ÖSTERGÖTLANDS LÄN</t>
        </is>
      </c>
      <c r="E323" t="inlineStr">
        <is>
          <t>LINKÖPING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70-2024</t>
        </is>
      </c>
      <c r="B324" s="1" t="n">
        <v>45293</v>
      </c>
      <c r="C324" s="1" t="n">
        <v>45940</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6054-2022</t>
        </is>
      </c>
      <c r="B325" s="1" t="n">
        <v>44599.53623842593</v>
      </c>
      <c r="C325" s="1" t="n">
        <v>45940</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31725-2022</t>
        </is>
      </c>
      <c r="B326" s="1" t="n">
        <v>44776.48541666667</v>
      </c>
      <c r="C326" s="1" t="n">
        <v>45940</v>
      </c>
      <c r="D326" t="inlineStr">
        <is>
          <t>ÖSTERGÖTLANDS LÄN</t>
        </is>
      </c>
      <c r="E326" t="inlineStr">
        <is>
          <t>LINKÖPING</t>
        </is>
      </c>
      <c r="G326" t="n">
        <v>2.6</v>
      </c>
      <c r="H326" t="n">
        <v>0</v>
      </c>
      <c r="I326" t="n">
        <v>0</v>
      </c>
      <c r="J326" t="n">
        <v>0</v>
      </c>
      <c r="K326" t="n">
        <v>0</v>
      </c>
      <c r="L326" t="n">
        <v>0</v>
      </c>
      <c r="M326" t="n">
        <v>0</v>
      </c>
      <c r="N326" t="n">
        <v>0</v>
      </c>
      <c r="O326" t="n">
        <v>0</v>
      </c>
      <c r="P326" t="n">
        <v>0</v>
      </c>
      <c r="Q326" t="n">
        <v>0</v>
      </c>
      <c r="R326" s="2" t="inlineStr"/>
    </row>
    <row r="327" ht="15" customHeight="1">
      <c r="A327" t="inlineStr">
        <is>
          <t>A 20291-2025</t>
        </is>
      </c>
      <c r="B327" s="1" t="n">
        <v>45774.74288194445</v>
      </c>
      <c r="C327" s="1" t="n">
        <v>45940</v>
      </c>
      <c r="D327" t="inlineStr">
        <is>
          <t>ÖSTERGÖTLANDS LÄN</t>
        </is>
      </c>
      <c r="E327" t="inlineStr">
        <is>
          <t>LINKÖPING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20293-2025</t>
        </is>
      </c>
      <c r="B328" s="1" t="n">
        <v>45774.74611111111</v>
      </c>
      <c r="C328" s="1" t="n">
        <v>45940</v>
      </c>
      <c r="D328" t="inlineStr">
        <is>
          <t>ÖSTERGÖTLANDS LÄN</t>
        </is>
      </c>
      <c r="E328" t="inlineStr">
        <is>
          <t>LINKÖPING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67123-2020</t>
        </is>
      </c>
      <c r="B329" s="1" t="n">
        <v>44180</v>
      </c>
      <c r="C329" s="1" t="n">
        <v>45940</v>
      </c>
      <c r="D329" t="inlineStr">
        <is>
          <t>ÖSTERGÖTLANDS LÄN</t>
        </is>
      </c>
      <c r="E329" t="inlineStr">
        <is>
          <t>LINKÖPING</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13911-2025</t>
        </is>
      </c>
      <c r="B330" s="1" t="n">
        <v>45737.64784722222</v>
      </c>
      <c r="C330" s="1" t="n">
        <v>45940</v>
      </c>
      <c r="D330" t="inlineStr">
        <is>
          <t>ÖSTERGÖTLANDS LÄN</t>
        </is>
      </c>
      <c r="E330" t="inlineStr">
        <is>
          <t>LINKÖPING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14576-2023</t>
        </is>
      </c>
      <c r="B331" s="1" t="n">
        <v>45013</v>
      </c>
      <c r="C331" s="1" t="n">
        <v>45940</v>
      </c>
      <c r="D331" t="inlineStr">
        <is>
          <t>ÖSTERGÖTLANDS LÄN</t>
        </is>
      </c>
      <c r="E331" t="inlineStr">
        <is>
          <t>LINKÖPING</t>
        </is>
      </c>
      <c r="G331" t="n">
        <v>3.2</v>
      </c>
      <c r="H331" t="n">
        <v>0</v>
      </c>
      <c r="I331" t="n">
        <v>0</v>
      </c>
      <c r="J331" t="n">
        <v>0</v>
      </c>
      <c r="K331" t="n">
        <v>0</v>
      </c>
      <c r="L331" t="n">
        <v>0</v>
      </c>
      <c r="M331" t="n">
        <v>0</v>
      </c>
      <c r="N331" t="n">
        <v>0</v>
      </c>
      <c r="O331" t="n">
        <v>0</v>
      </c>
      <c r="P331" t="n">
        <v>0</v>
      </c>
      <c r="Q331" t="n">
        <v>0</v>
      </c>
      <c r="R331" s="2" t="inlineStr"/>
    </row>
    <row r="332" ht="15" customHeight="1">
      <c r="A332" t="inlineStr">
        <is>
          <t>A 44280-2024</t>
        </is>
      </c>
      <c r="B332" s="1" t="n">
        <v>45573.49461805556</v>
      </c>
      <c r="C332" s="1" t="n">
        <v>45940</v>
      </c>
      <c r="D332" t="inlineStr">
        <is>
          <t>ÖSTERGÖTLANDS LÄN</t>
        </is>
      </c>
      <c r="E332" t="inlineStr">
        <is>
          <t>LINKÖPING</t>
        </is>
      </c>
      <c r="G332" t="n">
        <v>5.3</v>
      </c>
      <c r="H332" t="n">
        <v>0</v>
      </c>
      <c r="I332" t="n">
        <v>0</v>
      </c>
      <c r="J332" t="n">
        <v>0</v>
      </c>
      <c r="K332" t="n">
        <v>0</v>
      </c>
      <c r="L332" t="n">
        <v>0</v>
      </c>
      <c r="M332" t="n">
        <v>0</v>
      </c>
      <c r="N332" t="n">
        <v>0</v>
      </c>
      <c r="O332" t="n">
        <v>0</v>
      </c>
      <c r="P332" t="n">
        <v>0</v>
      </c>
      <c r="Q332" t="n">
        <v>0</v>
      </c>
      <c r="R332" s="2" t="inlineStr"/>
    </row>
    <row r="333" ht="15" customHeight="1">
      <c r="A333" t="inlineStr">
        <is>
          <t>A 3041-2024</t>
        </is>
      </c>
      <c r="B333" s="1" t="n">
        <v>45316.34875</v>
      </c>
      <c r="C333" s="1" t="n">
        <v>45940</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3043-2024</t>
        </is>
      </c>
      <c r="B334" s="1" t="n">
        <v>45316</v>
      </c>
      <c r="C334" s="1" t="n">
        <v>45940</v>
      </c>
      <c r="D334" t="inlineStr">
        <is>
          <t>ÖSTERGÖTLANDS LÄN</t>
        </is>
      </c>
      <c r="E334" t="inlineStr">
        <is>
          <t>LINKÖPING</t>
        </is>
      </c>
      <c r="G334" t="n">
        <v>0.9</v>
      </c>
      <c r="H334" t="n">
        <v>0</v>
      </c>
      <c r="I334" t="n">
        <v>0</v>
      </c>
      <c r="J334" t="n">
        <v>0</v>
      </c>
      <c r="K334" t="n">
        <v>0</v>
      </c>
      <c r="L334" t="n">
        <v>0</v>
      </c>
      <c r="M334" t="n">
        <v>0</v>
      </c>
      <c r="N334" t="n">
        <v>0</v>
      </c>
      <c r="O334" t="n">
        <v>0</v>
      </c>
      <c r="P334" t="n">
        <v>0</v>
      </c>
      <c r="Q334" t="n">
        <v>0</v>
      </c>
      <c r="R334" s="2" t="inlineStr"/>
    </row>
    <row r="335" ht="15" customHeight="1">
      <c r="A335" t="inlineStr">
        <is>
          <t>A 74160-2021</t>
        </is>
      </c>
      <c r="B335" s="1" t="n">
        <v>44558</v>
      </c>
      <c r="C335" s="1" t="n">
        <v>45940</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50963-2021</t>
        </is>
      </c>
      <c r="B336" s="1" t="n">
        <v>44460</v>
      </c>
      <c r="C336" s="1" t="n">
        <v>45940</v>
      </c>
      <c r="D336" t="inlineStr">
        <is>
          <t>ÖSTERGÖTLANDS LÄN</t>
        </is>
      </c>
      <c r="E336" t="inlineStr">
        <is>
          <t>LINKÖPING</t>
        </is>
      </c>
      <c r="G336" t="n">
        <v>4.4</v>
      </c>
      <c r="H336" t="n">
        <v>0</v>
      </c>
      <c r="I336" t="n">
        <v>0</v>
      </c>
      <c r="J336" t="n">
        <v>0</v>
      </c>
      <c r="K336" t="n">
        <v>0</v>
      </c>
      <c r="L336" t="n">
        <v>0</v>
      </c>
      <c r="M336" t="n">
        <v>0</v>
      </c>
      <c r="N336" t="n">
        <v>0</v>
      </c>
      <c r="O336" t="n">
        <v>0</v>
      </c>
      <c r="P336" t="n">
        <v>0</v>
      </c>
      <c r="Q336" t="n">
        <v>0</v>
      </c>
      <c r="R336" s="2" t="inlineStr"/>
    </row>
    <row r="337" ht="15" customHeight="1">
      <c r="A337" t="inlineStr">
        <is>
          <t>A 61307-2021</t>
        </is>
      </c>
      <c r="B337" s="1" t="n">
        <v>44498.63928240741</v>
      </c>
      <c r="C337" s="1" t="n">
        <v>45940</v>
      </c>
      <c r="D337" t="inlineStr">
        <is>
          <t>ÖSTERGÖTLANDS LÄN</t>
        </is>
      </c>
      <c r="E337" t="inlineStr">
        <is>
          <t>LINKÖPING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61325-2021</t>
        </is>
      </c>
      <c r="B338" s="1" t="n">
        <v>44498.66814814815</v>
      </c>
      <c r="C338" s="1" t="n">
        <v>45940</v>
      </c>
      <c r="D338" t="inlineStr">
        <is>
          <t>ÖSTERGÖTLANDS LÄN</t>
        </is>
      </c>
      <c r="E338" t="inlineStr">
        <is>
          <t>LINKÖPING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63665-2023</t>
        </is>
      </c>
      <c r="B339" s="1" t="n">
        <v>45275</v>
      </c>
      <c r="C339" s="1" t="n">
        <v>45940</v>
      </c>
      <c r="D339" t="inlineStr">
        <is>
          <t>ÖSTERGÖTLANDS LÄN</t>
        </is>
      </c>
      <c r="E339" t="inlineStr">
        <is>
          <t>LINKÖPING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33867-2023</t>
        </is>
      </c>
      <c r="B340" s="1" t="n">
        <v>45133.94640046296</v>
      </c>
      <c r="C340" s="1" t="n">
        <v>45940</v>
      </c>
      <c r="D340" t="inlineStr">
        <is>
          <t>ÖSTERGÖTLANDS LÄN</t>
        </is>
      </c>
      <c r="E340" t="inlineStr">
        <is>
          <t>LINKÖPING</t>
        </is>
      </c>
      <c r="G340" t="n">
        <v>2.3</v>
      </c>
      <c r="H340" t="n">
        <v>0</v>
      </c>
      <c r="I340" t="n">
        <v>0</v>
      </c>
      <c r="J340" t="n">
        <v>0</v>
      </c>
      <c r="K340" t="n">
        <v>0</v>
      </c>
      <c r="L340" t="n">
        <v>0</v>
      </c>
      <c r="M340" t="n">
        <v>0</v>
      </c>
      <c r="N340" t="n">
        <v>0</v>
      </c>
      <c r="O340" t="n">
        <v>0</v>
      </c>
      <c r="P340" t="n">
        <v>0</v>
      </c>
      <c r="Q340" t="n">
        <v>0</v>
      </c>
      <c r="R340" s="2" t="inlineStr"/>
    </row>
    <row r="341" ht="15" customHeight="1">
      <c r="A341" t="inlineStr">
        <is>
          <t>A 57391-2023</t>
        </is>
      </c>
      <c r="B341" s="1" t="n">
        <v>45245</v>
      </c>
      <c r="C341" s="1" t="n">
        <v>45940</v>
      </c>
      <c r="D341" t="inlineStr">
        <is>
          <t>ÖSTERGÖTLANDS LÄN</t>
        </is>
      </c>
      <c r="E341" t="inlineStr">
        <is>
          <t>LINKÖPING</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7992-2023</t>
        </is>
      </c>
      <c r="B342" s="1" t="n">
        <v>44970</v>
      </c>
      <c r="C342" s="1" t="n">
        <v>45940</v>
      </c>
      <c r="D342" t="inlineStr">
        <is>
          <t>ÖSTERGÖTLANDS LÄN</t>
        </is>
      </c>
      <c r="E342" t="inlineStr">
        <is>
          <t>LINKÖPING</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3042-2024</t>
        </is>
      </c>
      <c r="B343" s="1" t="n">
        <v>45316.35028935185</v>
      </c>
      <c r="C343" s="1" t="n">
        <v>45940</v>
      </c>
      <c r="D343" t="inlineStr">
        <is>
          <t>ÖSTERGÖTLANDS LÄN</t>
        </is>
      </c>
      <c r="E343" t="inlineStr">
        <is>
          <t>LINKÖPING</t>
        </is>
      </c>
      <c r="G343" t="n">
        <v>3.1</v>
      </c>
      <c r="H343" t="n">
        <v>0</v>
      </c>
      <c r="I343" t="n">
        <v>0</v>
      </c>
      <c r="J343" t="n">
        <v>0</v>
      </c>
      <c r="K343" t="n">
        <v>0</v>
      </c>
      <c r="L343" t="n">
        <v>0</v>
      </c>
      <c r="M343" t="n">
        <v>0</v>
      </c>
      <c r="N343" t="n">
        <v>0</v>
      </c>
      <c r="O343" t="n">
        <v>0</v>
      </c>
      <c r="P343" t="n">
        <v>0</v>
      </c>
      <c r="Q343" t="n">
        <v>0</v>
      </c>
      <c r="R343" s="2" t="inlineStr"/>
    </row>
    <row r="344" ht="15" customHeight="1">
      <c r="A344" t="inlineStr">
        <is>
          <t>A 27766-2022</t>
        </is>
      </c>
      <c r="B344" s="1" t="n">
        <v>44743.53112268518</v>
      </c>
      <c r="C344" s="1" t="n">
        <v>45940</v>
      </c>
      <c r="D344" t="inlineStr">
        <is>
          <t>ÖSTERGÖTLANDS LÄN</t>
        </is>
      </c>
      <c r="E344" t="inlineStr">
        <is>
          <t>LINKÖPING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30985-2022</t>
        </is>
      </c>
      <c r="B345" s="1" t="n">
        <v>44768</v>
      </c>
      <c r="C345" s="1" t="n">
        <v>45940</v>
      </c>
      <c r="D345" t="inlineStr">
        <is>
          <t>ÖSTERGÖTLANDS LÄN</t>
        </is>
      </c>
      <c r="E345" t="inlineStr">
        <is>
          <t>LINKÖPING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38317-2024</t>
        </is>
      </c>
      <c r="B346" s="1" t="n">
        <v>45545.65766203704</v>
      </c>
      <c r="C346" s="1" t="n">
        <v>45940</v>
      </c>
      <c r="D346" t="inlineStr">
        <is>
          <t>ÖSTERGÖTLANDS LÄN</t>
        </is>
      </c>
      <c r="E346" t="inlineStr">
        <is>
          <t>LINKÖPING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13689-2025</t>
        </is>
      </c>
      <c r="B347" s="1" t="n">
        <v>45737.31590277778</v>
      </c>
      <c r="C347" s="1" t="n">
        <v>45940</v>
      </c>
      <c r="D347" t="inlineStr">
        <is>
          <t>ÖSTERGÖTLANDS LÄN</t>
        </is>
      </c>
      <c r="E347" t="inlineStr">
        <is>
          <t>LINKÖPING</t>
        </is>
      </c>
      <c r="G347" t="n">
        <v>0.8</v>
      </c>
      <c r="H347" t="n">
        <v>0</v>
      </c>
      <c r="I347" t="n">
        <v>0</v>
      </c>
      <c r="J347" t="n">
        <v>0</v>
      </c>
      <c r="K347" t="n">
        <v>0</v>
      </c>
      <c r="L347" t="n">
        <v>0</v>
      </c>
      <c r="M347" t="n">
        <v>0</v>
      </c>
      <c r="N347" t="n">
        <v>0</v>
      </c>
      <c r="O347" t="n">
        <v>0</v>
      </c>
      <c r="P347" t="n">
        <v>0</v>
      </c>
      <c r="Q347" t="n">
        <v>0</v>
      </c>
      <c r="R347" s="2" t="inlineStr"/>
    </row>
    <row r="348" ht="15" customHeight="1">
      <c r="A348" t="inlineStr">
        <is>
          <t>A 13696-2025</t>
        </is>
      </c>
      <c r="B348" s="1" t="n">
        <v>45737.32273148148</v>
      </c>
      <c r="C348" s="1" t="n">
        <v>45940</v>
      </c>
      <c r="D348" t="inlineStr">
        <is>
          <t>ÖSTERGÖTLANDS LÄN</t>
        </is>
      </c>
      <c r="E348" t="inlineStr">
        <is>
          <t>LINKÖPING</t>
        </is>
      </c>
      <c r="G348" t="n">
        <v>3.5</v>
      </c>
      <c r="H348" t="n">
        <v>0</v>
      </c>
      <c r="I348" t="n">
        <v>0</v>
      </c>
      <c r="J348" t="n">
        <v>0</v>
      </c>
      <c r="K348" t="n">
        <v>0</v>
      </c>
      <c r="L348" t="n">
        <v>0</v>
      </c>
      <c r="M348" t="n">
        <v>0</v>
      </c>
      <c r="N348" t="n">
        <v>0</v>
      </c>
      <c r="O348" t="n">
        <v>0</v>
      </c>
      <c r="P348" t="n">
        <v>0</v>
      </c>
      <c r="Q348" t="n">
        <v>0</v>
      </c>
      <c r="R348" s="2" t="inlineStr"/>
    </row>
    <row r="349" ht="15" customHeight="1">
      <c r="A349" t="inlineStr">
        <is>
          <t>A 61227-2024</t>
        </is>
      </c>
      <c r="B349" s="1" t="n">
        <v>45645.66853009259</v>
      </c>
      <c r="C349" s="1" t="n">
        <v>45940</v>
      </c>
      <c r="D349" t="inlineStr">
        <is>
          <t>ÖSTERGÖTLANDS LÄN</t>
        </is>
      </c>
      <c r="E349" t="inlineStr">
        <is>
          <t>LINKÖPING</t>
        </is>
      </c>
      <c r="G349" t="n">
        <v>6</v>
      </c>
      <c r="H349" t="n">
        <v>0</v>
      </c>
      <c r="I349" t="n">
        <v>0</v>
      </c>
      <c r="J349" t="n">
        <v>0</v>
      </c>
      <c r="K349" t="n">
        <v>0</v>
      </c>
      <c r="L349" t="n">
        <v>0</v>
      </c>
      <c r="M349" t="n">
        <v>0</v>
      </c>
      <c r="N349" t="n">
        <v>0</v>
      </c>
      <c r="O349" t="n">
        <v>0</v>
      </c>
      <c r="P349" t="n">
        <v>0</v>
      </c>
      <c r="Q349" t="n">
        <v>0</v>
      </c>
      <c r="R349" s="2" t="inlineStr"/>
    </row>
    <row r="350" ht="15" customHeight="1">
      <c r="A350" t="inlineStr">
        <is>
          <t>A 1924-2024</t>
        </is>
      </c>
      <c r="B350" s="1" t="n">
        <v>45308</v>
      </c>
      <c r="C350" s="1" t="n">
        <v>45940</v>
      </c>
      <c r="D350" t="inlineStr">
        <is>
          <t>ÖSTERGÖTLANDS LÄN</t>
        </is>
      </c>
      <c r="E350" t="inlineStr">
        <is>
          <t>LINKÖPING</t>
        </is>
      </c>
      <c r="F350" t="inlineStr">
        <is>
          <t>Övriga Aktiebolag</t>
        </is>
      </c>
      <c r="G350" t="n">
        <v>0.5</v>
      </c>
      <c r="H350" t="n">
        <v>0</v>
      </c>
      <c r="I350" t="n">
        <v>0</v>
      </c>
      <c r="J350" t="n">
        <v>0</v>
      </c>
      <c r="K350" t="n">
        <v>0</v>
      </c>
      <c r="L350" t="n">
        <v>0</v>
      </c>
      <c r="M350" t="n">
        <v>0</v>
      </c>
      <c r="N350" t="n">
        <v>0</v>
      </c>
      <c r="O350" t="n">
        <v>0</v>
      </c>
      <c r="P350" t="n">
        <v>0</v>
      </c>
      <c r="Q350" t="n">
        <v>0</v>
      </c>
      <c r="R350" s="2" t="inlineStr"/>
    </row>
    <row r="351" ht="15" customHeight="1">
      <c r="A351" t="inlineStr">
        <is>
          <t>A 26002-2025</t>
        </is>
      </c>
      <c r="B351" s="1" t="n">
        <v>45804.66534722222</v>
      </c>
      <c r="C351" s="1" t="n">
        <v>45940</v>
      </c>
      <c r="D351" t="inlineStr">
        <is>
          <t>ÖSTERGÖTLANDS LÄN</t>
        </is>
      </c>
      <c r="E351" t="inlineStr">
        <is>
          <t>LINKÖPING</t>
        </is>
      </c>
      <c r="G351" t="n">
        <v>2.5</v>
      </c>
      <c r="H351" t="n">
        <v>0</v>
      </c>
      <c r="I351" t="n">
        <v>0</v>
      </c>
      <c r="J351" t="n">
        <v>0</v>
      </c>
      <c r="K351" t="n">
        <v>0</v>
      </c>
      <c r="L351" t="n">
        <v>0</v>
      </c>
      <c r="M351" t="n">
        <v>0</v>
      </c>
      <c r="N351" t="n">
        <v>0</v>
      </c>
      <c r="O351" t="n">
        <v>0</v>
      </c>
      <c r="P351" t="n">
        <v>0</v>
      </c>
      <c r="Q351" t="n">
        <v>0</v>
      </c>
      <c r="R351" s="2" t="inlineStr"/>
    </row>
    <row r="352" ht="15" customHeight="1">
      <c r="A352" t="inlineStr">
        <is>
          <t>A 53641-2023</t>
        </is>
      </c>
      <c r="B352" s="1" t="n">
        <v>45230</v>
      </c>
      <c r="C352" s="1" t="n">
        <v>45940</v>
      </c>
      <c r="D352" t="inlineStr">
        <is>
          <t>ÖSTERGÖTLANDS LÄN</t>
        </is>
      </c>
      <c r="E352" t="inlineStr">
        <is>
          <t>LINKÖPING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33000-2023</t>
        </is>
      </c>
      <c r="B353" s="1" t="n">
        <v>45125</v>
      </c>
      <c r="C353" s="1" t="n">
        <v>45940</v>
      </c>
      <c r="D353" t="inlineStr">
        <is>
          <t>ÖSTERGÖTLANDS LÄN</t>
        </is>
      </c>
      <c r="E353" t="inlineStr">
        <is>
          <t>LINKÖPING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52892-2024</t>
        </is>
      </c>
      <c r="B354" s="1" t="n">
        <v>45610</v>
      </c>
      <c r="C354" s="1" t="n">
        <v>45940</v>
      </c>
      <c r="D354" t="inlineStr">
        <is>
          <t>ÖSTERGÖTLANDS LÄN</t>
        </is>
      </c>
      <c r="E354" t="inlineStr">
        <is>
          <t>LINKÖPING</t>
        </is>
      </c>
      <c r="G354" t="n">
        <v>4.2</v>
      </c>
      <c r="H354" t="n">
        <v>0</v>
      </c>
      <c r="I354" t="n">
        <v>0</v>
      </c>
      <c r="J354" t="n">
        <v>0</v>
      </c>
      <c r="K354" t="n">
        <v>0</v>
      </c>
      <c r="L354" t="n">
        <v>0</v>
      </c>
      <c r="M354" t="n">
        <v>0</v>
      </c>
      <c r="N354" t="n">
        <v>0</v>
      </c>
      <c r="O354" t="n">
        <v>0</v>
      </c>
      <c r="P354" t="n">
        <v>0</v>
      </c>
      <c r="Q354" t="n">
        <v>0</v>
      </c>
      <c r="R354" s="2" t="inlineStr"/>
    </row>
    <row r="355" ht="15" customHeight="1">
      <c r="A355" t="inlineStr">
        <is>
          <t>A 32346-2023</t>
        </is>
      </c>
      <c r="B355" s="1" t="n">
        <v>45120</v>
      </c>
      <c r="C355" s="1" t="n">
        <v>45940</v>
      </c>
      <c r="D355" t="inlineStr">
        <is>
          <t>ÖSTERGÖTLANDS LÄN</t>
        </is>
      </c>
      <c r="E355" t="inlineStr">
        <is>
          <t>LINKÖPING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58947-2022</t>
        </is>
      </c>
      <c r="B356" s="1" t="n">
        <v>44903.64769675926</v>
      </c>
      <c r="C356" s="1" t="n">
        <v>45940</v>
      </c>
      <c r="D356" t="inlineStr">
        <is>
          <t>ÖSTERGÖTLANDS LÄN</t>
        </is>
      </c>
      <c r="E356" t="inlineStr">
        <is>
          <t>LINKÖPING</t>
        </is>
      </c>
      <c r="G356" t="n">
        <v>4</v>
      </c>
      <c r="H356" t="n">
        <v>0</v>
      </c>
      <c r="I356" t="n">
        <v>0</v>
      </c>
      <c r="J356" t="n">
        <v>0</v>
      </c>
      <c r="K356" t="n">
        <v>0</v>
      </c>
      <c r="L356" t="n">
        <v>0</v>
      </c>
      <c r="M356" t="n">
        <v>0</v>
      </c>
      <c r="N356" t="n">
        <v>0</v>
      </c>
      <c r="O356" t="n">
        <v>0</v>
      </c>
      <c r="P356" t="n">
        <v>0</v>
      </c>
      <c r="Q356" t="n">
        <v>0</v>
      </c>
      <c r="R356" s="2" t="inlineStr"/>
    </row>
    <row r="357" ht="15" customHeight="1">
      <c r="A357" t="inlineStr">
        <is>
          <t>A 50508-2024</t>
        </is>
      </c>
      <c r="B357" s="1" t="n">
        <v>45601.53907407408</v>
      </c>
      <c r="C357" s="1" t="n">
        <v>45940</v>
      </c>
      <c r="D357" t="inlineStr">
        <is>
          <t>ÖSTERGÖTLANDS LÄN</t>
        </is>
      </c>
      <c r="E357" t="inlineStr">
        <is>
          <t>LINKÖPING</t>
        </is>
      </c>
      <c r="F357" t="inlineStr">
        <is>
          <t>Övriga Aktiebolag</t>
        </is>
      </c>
      <c r="G357" t="n">
        <v>2</v>
      </c>
      <c r="H357" t="n">
        <v>0</v>
      </c>
      <c r="I357" t="n">
        <v>0</v>
      </c>
      <c r="J357" t="n">
        <v>0</v>
      </c>
      <c r="K357" t="n">
        <v>0</v>
      </c>
      <c r="L357" t="n">
        <v>0</v>
      </c>
      <c r="M357" t="n">
        <v>0</v>
      </c>
      <c r="N357" t="n">
        <v>0</v>
      </c>
      <c r="O357" t="n">
        <v>0</v>
      </c>
      <c r="P357" t="n">
        <v>0</v>
      </c>
      <c r="Q357" t="n">
        <v>0</v>
      </c>
      <c r="R357" s="2" t="inlineStr"/>
    </row>
    <row r="358" ht="15" customHeight="1">
      <c r="A358" t="inlineStr">
        <is>
          <t>A 7808-2022</t>
        </is>
      </c>
      <c r="B358" s="1" t="n">
        <v>44608</v>
      </c>
      <c r="C358" s="1" t="n">
        <v>45940</v>
      </c>
      <c r="D358" t="inlineStr">
        <is>
          <t>ÖSTERGÖTLANDS LÄN</t>
        </is>
      </c>
      <c r="E358" t="inlineStr">
        <is>
          <t>LINKÖPING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30521-2024</t>
        </is>
      </c>
      <c r="B359" s="1" t="n">
        <v>45492</v>
      </c>
      <c r="C359" s="1" t="n">
        <v>45940</v>
      </c>
      <c r="D359" t="inlineStr">
        <is>
          <t>ÖSTERGÖTLANDS LÄN</t>
        </is>
      </c>
      <c r="E359" t="inlineStr">
        <is>
          <t>LINKÖPING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51191-2022</t>
        </is>
      </c>
      <c r="B360" s="1" t="n">
        <v>44865</v>
      </c>
      <c r="C360" s="1" t="n">
        <v>45940</v>
      </c>
      <c r="D360" t="inlineStr">
        <is>
          <t>ÖSTERGÖTLANDS LÄN</t>
        </is>
      </c>
      <c r="E360" t="inlineStr">
        <is>
          <t>LINKÖPING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27844-2024</t>
        </is>
      </c>
      <c r="B361" s="1" t="n">
        <v>45475.63047453704</v>
      </c>
      <c r="C361" s="1" t="n">
        <v>45940</v>
      </c>
      <c r="D361" t="inlineStr">
        <is>
          <t>ÖSTERGÖTLANDS LÄN</t>
        </is>
      </c>
      <c r="E361" t="inlineStr">
        <is>
          <t>LINKÖPING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16665-2023</t>
        </is>
      </c>
      <c r="B362" s="1" t="n">
        <v>45030.5583912037</v>
      </c>
      <c r="C362" s="1" t="n">
        <v>45940</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40810-2022</t>
        </is>
      </c>
      <c r="B363" s="1" t="n">
        <v>44824</v>
      </c>
      <c r="C363" s="1" t="n">
        <v>45940</v>
      </c>
      <c r="D363" t="inlineStr">
        <is>
          <t>ÖSTERGÖTLANDS LÄN</t>
        </is>
      </c>
      <c r="E363" t="inlineStr">
        <is>
          <t>LINKÖPING</t>
        </is>
      </c>
      <c r="G363" t="n">
        <v>2.8</v>
      </c>
      <c r="H363" t="n">
        <v>0</v>
      </c>
      <c r="I363" t="n">
        <v>0</v>
      </c>
      <c r="J363" t="n">
        <v>0</v>
      </c>
      <c r="K363" t="n">
        <v>0</v>
      </c>
      <c r="L363" t="n">
        <v>0</v>
      </c>
      <c r="M363" t="n">
        <v>0</v>
      </c>
      <c r="N363" t="n">
        <v>0</v>
      </c>
      <c r="O363" t="n">
        <v>0</v>
      </c>
      <c r="P363" t="n">
        <v>0</v>
      </c>
      <c r="Q363" t="n">
        <v>0</v>
      </c>
      <c r="R363" s="2" t="inlineStr"/>
    </row>
    <row r="364" ht="15" customHeight="1">
      <c r="A364" t="inlineStr">
        <is>
          <t>A 12289-2025</t>
        </is>
      </c>
      <c r="B364" s="1" t="n">
        <v>45729</v>
      </c>
      <c r="C364" s="1" t="n">
        <v>45940</v>
      </c>
      <c r="D364" t="inlineStr">
        <is>
          <t>ÖSTERGÖTLANDS LÄN</t>
        </is>
      </c>
      <c r="E364" t="inlineStr">
        <is>
          <t>LINKÖPING</t>
        </is>
      </c>
      <c r="F364" t="inlineStr">
        <is>
          <t>Övriga statliga verk och myndigheter</t>
        </is>
      </c>
      <c r="G364" t="n">
        <v>6.5</v>
      </c>
      <c r="H364" t="n">
        <v>0</v>
      </c>
      <c r="I364" t="n">
        <v>0</v>
      </c>
      <c r="J364" t="n">
        <v>0</v>
      </c>
      <c r="K364" t="n">
        <v>0</v>
      </c>
      <c r="L364" t="n">
        <v>0</v>
      </c>
      <c r="M364" t="n">
        <v>0</v>
      </c>
      <c r="N364" t="n">
        <v>0</v>
      </c>
      <c r="O364" t="n">
        <v>0</v>
      </c>
      <c r="P364" t="n">
        <v>0</v>
      </c>
      <c r="Q364" t="n">
        <v>0</v>
      </c>
      <c r="R364" s="2" t="inlineStr"/>
    </row>
    <row r="365" ht="15" customHeight="1">
      <c r="A365" t="inlineStr">
        <is>
          <t>A 9434-2024</t>
        </is>
      </c>
      <c r="B365" s="1" t="n">
        <v>45359</v>
      </c>
      <c r="C365" s="1" t="n">
        <v>45940</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25996-2025</t>
        </is>
      </c>
      <c r="B366" s="1" t="n">
        <v>45804.65851851852</v>
      </c>
      <c r="C366" s="1" t="n">
        <v>45940</v>
      </c>
      <c r="D366" t="inlineStr">
        <is>
          <t>ÖSTERGÖTLANDS LÄN</t>
        </is>
      </c>
      <c r="E366" t="inlineStr">
        <is>
          <t>LINKÖPING</t>
        </is>
      </c>
      <c r="G366" t="n">
        <v>3.2</v>
      </c>
      <c r="H366" t="n">
        <v>0</v>
      </c>
      <c r="I366" t="n">
        <v>0</v>
      </c>
      <c r="J366" t="n">
        <v>0</v>
      </c>
      <c r="K366" t="n">
        <v>0</v>
      </c>
      <c r="L366" t="n">
        <v>0</v>
      </c>
      <c r="M366" t="n">
        <v>0</v>
      </c>
      <c r="N366" t="n">
        <v>0</v>
      </c>
      <c r="O366" t="n">
        <v>0</v>
      </c>
      <c r="P366" t="n">
        <v>0</v>
      </c>
      <c r="Q366" t="n">
        <v>0</v>
      </c>
      <c r="R366" s="2" t="inlineStr"/>
    </row>
    <row r="367" ht="15" customHeight="1">
      <c r="A367" t="inlineStr">
        <is>
          <t>A 42054-2022</t>
        </is>
      </c>
      <c r="B367" s="1" t="n">
        <v>44830</v>
      </c>
      <c r="C367" s="1" t="n">
        <v>45940</v>
      </c>
      <c r="D367" t="inlineStr">
        <is>
          <t>ÖSTERGÖTLANDS LÄN</t>
        </is>
      </c>
      <c r="E367" t="inlineStr">
        <is>
          <t>LINKÖPING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51559-2024</t>
        </is>
      </c>
      <c r="B368" s="1" t="n">
        <v>45604.61431712963</v>
      </c>
      <c r="C368" s="1" t="n">
        <v>45940</v>
      </c>
      <c r="D368" t="inlineStr">
        <is>
          <t>ÖSTERGÖTLANDS LÄN</t>
        </is>
      </c>
      <c r="E368" t="inlineStr">
        <is>
          <t>LINKÖPING</t>
        </is>
      </c>
      <c r="F368" t="inlineStr">
        <is>
          <t>Övriga Aktiebolag</t>
        </is>
      </c>
      <c r="G368" t="n">
        <v>2.4</v>
      </c>
      <c r="H368" t="n">
        <v>0</v>
      </c>
      <c r="I368" t="n">
        <v>0</v>
      </c>
      <c r="J368" t="n">
        <v>0</v>
      </c>
      <c r="K368" t="n">
        <v>0</v>
      </c>
      <c r="L368" t="n">
        <v>0</v>
      </c>
      <c r="M368" t="n">
        <v>0</v>
      </c>
      <c r="N368" t="n">
        <v>0</v>
      </c>
      <c r="O368" t="n">
        <v>0</v>
      </c>
      <c r="P368" t="n">
        <v>0</v>
      </c>
      <c r="Q368" t="n">
        <v>0</v>
      </c>
      <c r="R368" s="2" t="inlineStr"/>
    </row>
    <row r="369" ht="15" customHeight="1">
      <c r="A369" t="inlineStr">
        <is>
          <t>A 50182-2023</t>
        </is>
      </c>
      <c r="B369" s="1" t="n">
        <v>45208</v>
      </c>
      <c r="C369" s="1" t="n">
        <v>45940</v>
      </c>
      <c r="D369" t="inlineStr">
        <is>
          <t>ÖSTERGÖTLANDS LÄN</t>
        </is>
      </c>
      <c r="E369" t="inlineStr">
        <is>
          <t>LINKÖPING</t>
        </is>
      </c>
      <c r="G369" t="n">
        <v>2.5</v>
      </c>
      <c r="H369" t="n">
        <v>0</v>
      </c>
      <c r="I369" t="n">
        <v>0</v>
      </c>
      <c r="J369" t="n">
        <v>0</v>
      </c>
      <c r="K369" t="n">
        <v>0</v>
      </c>
      <c r="L369" t="n">
        <v>0</v>
      </c>
      <c r="M369" t="n">
        <v>0</v>
      </c>
      <c r="N369" t="n">
        <v>0</v>
      </c>
      <c r="O369" t="n">
        <v>0</v>
      </c>
      <c r="P369" t="n">
        <v>0</v>
      </c>
      <c r="Q369" t="n">
        <v>0</v>
      </c>
      <c r="R369" s="2" t="inlineStr"/>
    </row>
    <row r="370" ht="15" customHeight="1">
      <c r="A370" t="inlineStr">
        <is>
          <t>A 49979-2022</t>
        </is>
      </c>
      <c r="B370" s="1" t="n">
        <v>44865</v>
      </c>
      <c r="C370" s="1" t="n">
        <v>45940</v>
      </c>
      <c r="D370" t="inlineStr">
        <is>
          <t>ÖSTERGÖTLANDS LÄN</t>
        </is>
      </c>
      <c r="E370" t="inlineStr">
        <is>
          <t>LINKÖPING</t>
        </is>
      </c>
      <c r="F370" t="inlineStr">
        <is>
          <t>Övriga Aktiebolag</t>
        </is>
      </c>
      <c r="G370" t="n">
        <v>11.4</v>
      </c>
      <c r="H370" t="n">
        <v>0</v>
      </c>
      <c r="I370" t="n">
        <v>0</v>
      </c>
      <c r="J370" t="n">
        <v>0</v>
      </c>
      <c r="K370" t="n">
        <v>0</v>
      </c>
      <c r="L370" t="n">
        <v>0</v>
      </c>
      <c r="M370" t="n">
        <v>0</v>
      </c>
      <c r="N370" t="n">
        <v>0</v>
      </c>
      <c r="O370" t="n">
        <v>0</v>
      </c>
      <c r="P370" t="n">
        <v>0</v>
      </c>
      <c r="Q370" t="n">
        <v>0</v>
      </c>
      <c r="R370" s="2" t="inlineStr"/>
    </row>
    <row r="371" ht="15" customHeight="1">
      <c r="A371" t="inlineStr">
        <is>
          <t>A 39219-2021</t>
        </is>
      </c>
      <c r="B371" s="1" t="n">
        <v>44413</v>
      </c>
      <c r="C371" s="1" t="n">
        <v>45940</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39224-2021</t>
        </is>
      </c>
      <c r="B372" s="1" t="n">
        <v>44413</v>
      </c>
      <c r="C372" s="1" t="n">
        <v>45940</v>
      </c>
      <c r="D372" t="inlineStr">
        <is>
          <t>ÖSTERGÖTLANDS LÄN</t>
        </is>
      </c>
      <c r="E372" t="inlineStr">
        <is>
          <t>LINKÖPING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62495-2023</t>
        </is>
      </c>
      <c r="B373" s="1" t="n">
        <v>45268.59717592593</v>
      </c>
      <c r="C373" s="1" t="n">
        <v>45940</v>
      </c>
      <c r="D373" t="inlineStr">
        <is>
          <t>ÖSTERGÖTLANDS LÄN</t>
        </is>
      </c>
      <c r="E373" t="inlineStr">
        <is>
          <t>LINKÖPING</t>
        </is>
      </c>
      <c r="G373" t="n">
        <v>4.1</v>
      </c>
      <c r="H373" t="n">
        <v>0</v>
      </c>
      <c r="I373" t="n">
        <v>0</v>
      </c>
      <c r="J373" t="n">
        <v>0</v>
      </c>
      <c r="K373" t="n">
        <v>0</v>
      </c>
      <c r="L373" t="n">
        <v>0</v>
      </c>
      <c r="M373" t="n">
        <v>0</v>
      </c>
      <c r="N373" t="n">
        <v>0</v>
      </c>
      <c r="O373" t="n">
        <v>0</v>
      </c>
      <c r="P373" t="n">
        <v>0</v>
      </c>
      <c r="Q373" t="n">
        <v>0</v>
      </c>
      <c r="R373" s="2" t="inlineStr"/>
    </row>
    <row r="374" ht="15" customHeight="1">
      <c r="A374" t="inlineStr">
        <is>
          <t>A 35781-2023</t>
        </is>
      </c>
      <c r="B374" s="1" t="n">
        <v>45147</v>
      </c>
      <c r="C374" s="1" t="n">
        <v>45940</v>
      </c>
      <c r="D374" t="inlineStr">
        <is>
          <t>ÖSTERGÖTLANDS LÄN</t>
        </is>
      </c>
      <c r="E374" t="inlineStr">
        <is>
          <t>LINKÖPING</t>
        </is>
      </c>
      <c r="G374" t="n">
        <v>1.6</v>
      </c>
      <c r="H374" t="n">
        <v>0</v>
      </c>
      <c r="I374" t="n">
        <v>0</v>
      </c>
      <c r="J374" t="n">
        <v>0</v>
      </c>
      <c r="K374" t="n">
        <v>0</v>
      </c>
      <c r="L374" t="n">
        <v>0</v>
      </c>
      <c r="M374" t="n">
        <v>0</v>
      </c>
      <c r="N374" t="n">
        <v>0</v>
      </c>
      <c r="O374" t="n">
        <v>0</v>
      </c>
      <c r="P374" t="n">
        <v>0</v>
      </c>
      <c r="Q374" t="n">
        <v>0</v>
      </c>
      <c r="R374" s="2" t="inlineStr"/>
    </row>
    <row r="375" ht="15" customHeight="1">
      <c r="A375" t="inlineStr">
        <is>
          <t>A 29413-2023</t>
        </is>
      </c>
      <c r="B375" s="1" t="n">
        <v>45106.46465277778</v>
      </c>
      <c r="C375" s="1" t="n">
        <v>45940</v>
      </c>
      <c r="D375" t="inlineStr">
        <is>
          <t>ÖSTERGÖTLANDS LÄN</t>
        </is>
      </c>
      <c r="E375" t="inlineStr">
        <is>
          <t>LINKÖPING</t>
        </is>
      </c>
      <c r="G375" t="n">
        <v>8</v>
      </c>
      <c r="H375" t="n">
        <v>0</v>
      </c>
      <c r="I375" t="n">
        <v>0</v>
      </c>
      <c r="J375" t="n">
        <v>0</v>
      </c>
      <c r="K375" t="n">
        <v>0</v>
      </c>
      <c r="L375" t="n">
        <v>0</v>
      </c>
      <c r="M375" t="n">
        <v>0</v>
      </c>
      <c r="N375" t="n">
        <v>0</v>
      </c>
      <c r="O375" t="n">
        <v>0</v>
      </c>
      <c r="P375" t="n">
        <v>0</v>
      </c>
      <c r="Q375" t="n">
        <v>0</v>
      </c>
      <c r="R375" s="2" t="inlineStr"/>
    </row>
    <row r="376" ht="15" customHeight="1">
      <c r="A376" t="inlineStr">
        <is>
          <t>A 6387-2022</t>
        </is>
      </c>
      <c r="B376" s="1" t="n">
        <v>44600</v>
      </c>
      <c r="C376" s="1" t="n">
        <v>45940</v>
      </c>
      <c r="D376" t="inlineStr">
        <is>
          <t>ÖSTERGÖTLANDS LÄN</t>
        </is>
      </c>
      <c r="E376" t="inlineStr">
        <is>
          <t>LINKÖPING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48707-2023</t>
        </is>
      </c>
      <c r="B377" s="1" t="n">
        <v>45202</v>
      </c>
      <c r="C377" s="1" t="n">
        <v>45940</v>
      </c>
      <c r="D377" t="inlineStr">
        <is>
          <t>ÖSTERGÖTLANDS LÄN</t>
        </is>
      </c>
      <c r="E377" t="inlineStr">
        <is>
          <t>LINKÖPING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25948-2023</t>
        </is>
      </c>
      <c r="B378" s="1" t="n">
        <v>45090</v>
      </c>
      <c r="C378" s="1" t="n">
        <v>45940</v>
      </c>
      <c r="D378" t="inlineStr">
        <is>
          <t>ÖSTERGÖTLANDS LÄN</t>
        </is>
      </c>
      <c r="E378" t="inlineStr">
        <is>
          <t>LINKÖPING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1627-2023</t>
        </is>
      </c>
      <c r="B379" s="1" t="n">
        <v>44937</v>
      </c>
      <c r="C379" s="1" t="n">
        <v>45940</v>
      </c>
      <c r="D379" t="inlineStr">
        <is>
          <t>ÖSTERGÖTLANDS LÄN</t>
        </is>
      </c>
      <c r="E379" t="inlineStr">
        <is>
          <t>LINKÖPING</t>
        </is>
      </c>
      <c r="G379" t="n">
        <v>10.8</v>
      </c>
      <c r="H379" t="n">
        <v>0</v>
      </c>
      <c r="I379" t="n">
        <v>0</v>
      </c>
      <c r="J379" t="n">
        <v>0</v>
      </c>
      <c r="K379" t="n">
        <v>0</v>
      </c>
      <c r="L379" t="n">
        <v>0</v>
      </c>
      <c r="M379" t="n">
        <v>0</v>
      </c>
      <c r="N379" t="n">
        <v>0</v>
      </c>
      <c r="O379" t="n">
        <v>0</v>
      </c>
      <c r="P379" t="n">
        <v>0</v>
      </c>
      <c r="Q379" t="n">
        <v>0</v>
      </c>
      <c r="R379" s="2" t="inlineStr"/>
    </row>
    <row r="380" ht="15" customHeight="1">
      <c r="A380" t="inlineStr">
        <is>
          <t>A 30481-2023</t>
        </is>
      </c>
      <c r="B380" s="1" t="n">
        <v>45111</v>
      </c>
      <c r="C380" s="1" t="n">
        <v>45940</v>
      </c>
      <c r="D380" t="inlineStr">
        <is>
          <t>ÖSTERGÖTLANDS LÄN</t>
        </is>
      </c>
      <c r="E380" t="inlineStr">
        <is>
          <t>LINKÖPING</t>
        </is>
      </c>
      <c r="F380" t="inlineStr">
        <is>
          <t>Övriga Aktiebolag</t>
        </is>
      </c>
      <c r="G380" t="n">
        <v>2</v>
      </c>
      <c r="H380" t="n">
        <v>0</v>
      </c>
      <c r="I380" t="n">
        <v>0</v>
      </c>
      <c r="J380" t="n">
        <v>0</v>
      </c>
      <c r="K380" t="n">
        <v>0</v>
      </c>
      <c r="L380" t="n">
        <v>0</v>
      </c>
      <c r="M380" t="n">
        <v>0</v>
      </c>
      <c r="N380" t="n">
        <v>0</v>
      </c>
      <c r="O380" t="n">
        <v>0</v>
      </c>
      <c r="P380" t="n">
        <v>0</v>
      </c>
      <c r="Q380" t="n">
        <v>0</v>
      </c>
      <c r="R380" s="2" t="inlineStr"/>
    </row>
    <row r="381" ht="15" customHeight="1">
      <c r="A381" t="inlineStr">
        <is>
          <t>A 21782-2024</t>
        </is>
      </c>
      <c r="B381" s="1" t="n">
        <v>45442.63368055555</v>
      </c>
      <c r="C381" s="1" t="n">
        <v>45940</v>
      </c>
      <c r="D381" t="inlineStr">
        <is>
          <t>ÖSTERGÖTLANDS LÄN</t>
        </is>
      </c>
      <c r="E381" t="inlineStr">
        <is>
          <t>LINKÖPING</t>
        </is>
      </c>
      <c r="G381" t="n">
        <v>1.4</v>
      </c>
      <c r="H381" t="n">
        <v>0</v>
      </c>
      <c r="I381" t="n">
        <v>0</v>
      </c>
      <c r="J381" t="n">
        <v>0</v>
      </c>
      <c r="K381" t="n">
        <v>0</v>
      </c>
      <c r="L381" t="n">
        <v>0</v>
      </c>
      <c r="M381" t="n">
        <v>0</v>
      </c>
      <c r="N381" t="n">
        <v>0</v>
      </c>
      <c r="O381" t="n">
        <v>0</v>
      </c>
      <c r="P381" t="n">
        <v>0</v>
      </c>
      <c r="Q381" t="n">
        <v>0</v>
      </c>
      <c r="R381" s="2" t="inlineStr"/>
    </row>
    <row r="382" ht="15" customHeight="1">
      <c r="A382" t="inlineStr">
        <is>
          <t>A 11671-2023</t>
        </is>
      </c>
      <c r="B382" s="1" t="n">
        <v>44994.48125</v>
      </c>
      <c r="C382" s="1" t="n">
        <v>45940</v>
      </c>
      <c r="D382" t="inlineStr">
        <is>
          <t>ÖSTERGÖTLANDS LÄN</t>
        </is>
      </c>
      <c r="E382" t="inlineStr">
        <is>
          <t>LINKÖPING</t>
        </is>
      </c>
      <c r="G382" t="n">
        <v>2.6</v>
      </c>
      <c r="H382" t="n">
        <v>0</v>
      </c>
      <c r="I382" t="n">
        <v>0</v>
      </c>
      <c r="J382" t="n">
        <v>0</v>
      </c>
      <c r="K382" t="n">
        <v>0</v>
      </c>
      <c r="L382" t="n">
        <v>0</v>
      </c>
      <c r="M382" t="n">
        <v>0</v>
      </c>
      <c r="N382" t="n">
        <v>0</v>
      </c>
      <c r="O382" t="n">
        <v>0</v>
      </c>
      <c r="P382" t="n">
        <v>0</v>
      </c>
      <c r="Q382" t="n">
        <v>0</v>
      </c>
      <c r="R382" s="2" t="inlineStr"/>
    </row>
    <row r="383" ht="15" customHeight="1">
      <c r="A383" t="inlineStr">
        <is>
          <t>A 3013-2023</t>
        </is>
      </c>
      <c r="B383" s="1" t="n">
        <v>44945.8092824074</v>
      </c>
      <c r="C383" s="1" t="n">
        <v>45940</v>
      </c>
      <c r="D383" t="inlineStr">
        <is>
          <t>ÖSTERGÖTLANDS LÄN</t>
        </is>
      </c>
      <c r="E383" t="inlineStr">
        <is>
          <t>LINKÖPING</t>
        </is>
      </c>
      <c r="G383" t="n">
        <v>5.2</v>
      </c>
      <c r="H383" t="n">
        <v>0</v>
      </c>
      <c r="I383" t="n">
        <v>0</v>
      </c>
      <c r="J383" t="n">
        <v>0</v>
      </c>
      <c r="K383" t="n">
        <v>0</v>
      </c>
      <c r="L383" t="n">
        <v>0</v>
      </c>
      <c r="M383" t="n">
        <v>0</v>
      </c>
      <c r="N383" t="n">
        <v>0</v>
      </c>
      <c r="O383" t="n">
        <v>0</v>
      </c>
      <c r="P383" t="n">
        <v>0</v>
      </c>
      <c r="Q383" t="n">
        <v>0</v>
      </c>
      <c r="R383" s="2" t="inlineStr"/>
    </row>
    <row r="384" ht="15" customHeight="1">
      <c r="A384" t="inlineStr">
        <is>
          <t>A 49747-2024</t>
        </is>
      </c>
      <c r="B384" s="1" t="n">
        <v>45596</v>
      </c>
      <c r="C384" s="1" t="n">
        <v>45940</v>
      </c>
      <c r="D384" t="inlineStr">
        <is>
          <t>ÖSTERGÖTLANDS LÄN</t>
        </is>
      </c>
      <c r="E384" t="inlineStr">
        <is>
          <t>LINKÖPING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42997-2021</t>
        </is>
      </c>
      <c r="B385" s="1" t="n">
        <v>44431.45556712963</v>
      </c>
      <c r="C385" s="1" t="n">
        <v>45940</v>
      </c>
      <c r="D385" t="inlineStr">
        <is>
          <t>ÖSTERGÖTLANDS LÄN</t>
        </is>
      </c>
      <c r="E385" t="inlineStr">
        <is>
          <t>LINKÖPING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12089-2025</t>
        </is>
      </c>
      <c r="B386" s="1" t="n">
        <v>45729</v>
      </c>
      <c r="C386" s="1" t="n">
        <v>45940</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15658-2023</t>
        </is>
      </c>
      <c r="B387" s="1" t="n">
        <v>45021.41194444444</v>
      </c>
      <c r="C387" s="1" t="n">
        <v>45940</v>
      </c>
      <c r="D387" t="inlineStr">
        <is>
          <t>ÖSTERGÖTLANDS LÄN</t>
        </is>
      </c>
      <c r="E387" t="inlineStr">
        <is>
          <t>LINKÖPING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55305-2020</t>
        </is>
      </c>
      <c r="B388" s="1" t="n">
        <v>44130</v>
      </c>
      <c r="C388" s="1" t="n">
        <v>45940</v>
      </c>
      <c r="D388" t="inlineStr">
        <is>
          <t>ÖSTERGÖTLANDS LÄN</t>
        </is>
      </c>
      <c r="E388" t="inlineStr">
        <is>
          <t>LINKÖPING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3011-2023</t>
        </is>
      </c>
      <c r="B389" s="1" t="n">
        <v>44945</v>
      </c>
      <c r="C389" s="1" t="n">
        <v>45940</v>
      </c>
      <c r="D389" t="inlineStr">
        <is>
          <t>ÖSTERGÖTLANDS LÄN</t>
        </is>
      </c>
      <c r="E389" t="inlineStr">
        <is>
          <t>LINKÖPING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23735-2023</t>
        </is>
      </c>
      <c r="B390" s="1" t="n">
        <v>45077</v>
      </c>
      <c r="C390" s="1" t="n">
        <v>45940</v>
      </c>
      <c r="D390" t="inlineStr">
        <is>
          <t>ÖSTERGÖTLANDS LÄN</t>
        </is>
      </c>
      <c r="E390" t="inlineStr">
        <is>
          <t>LINKÖPING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38886-2024</t>
        </is>
      </c>
      <c r="B391" s="1" t="n">
        <v>45547.66443287037</v>
      </c>
      <c r="C391" s="1" t="n">
        <v>45940</v>
      </c>
      <c r="D391" t="inlineStr">
        <is>
          <t>ÖSTERGÖTLANDS LÄN</t>
        </is>
      </c>
      <c r="E391" t="inlineStr">
        <is>
          <t>LINKÖPING</t>
        </is>
      </c>
      <c r="G391" t="n">
        <v>5.3</v>
      </c>
      <c r="H391" t="n">
        <v>0</v>
      </c>
      <c r="I391" t="n">
        <v>0</v>
      </c>
      <c r="J391" t="n">
        <v>0</v>
      </c>
      <c r="K391" t="n">
        <v>0</v>
      </c>
      <c r="L391" t="n">
        <v>0</v>
      </c>
      <c r="M391" t="n">
        <v>0</v>
      </c>
      <c r="N391" t="n">
        <v>0</v>
      </c>
      <c r="O391" t="n">
        <v>0</v>
      </c>
      <c r="P391" t="n">
        <v>0</v>
      </c>
      <c r="Q391" t="n">
        <v>0</v>
      </c>
      <c r="R391" s="2" t="inlineStr"/>
    </row>
    <row r="392" ht="15" customHeight="1">
      <c r="A392" t="inlineStr">
        <is>
          <t>A 51583-2024</t>
        </is>
      </c>
      <c r="B392" s="1" t="n">
        <v>45604.6397337963</v>
      </c>
      <c r="C392" s="1" t="n">
        <v>45940</v>
      </c>
      <c r="D392" t="inlineStr">
        <is>
          <t>ÖSTERGÖTLANDS LÄN</t>
        </is>
      </c>
      <c r="E392" t="inlineStr">
        <is>
          <t>LINKÖPING</t>
        </is>
      </c>
      <c r="F392" t="inlineStr">
        <is>
          <t>Övriga Aktiebolag</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45821-2024</t>
        </is>
      </c>
      <c r="B393" s="1" t="n">
        <v>45579.75803240741</v>
      </c>
      <c r="C393" s="1" t="n">
        <v>45940</v>
      </c>
      <c r="D393" t="inlineStr">
        <is>
          <t>ÖSTERGÖTLANDS LÄN</t>
        </is>
      </c>
      <c r="E393" t="inlineStr">
        <is>
          <t>LINKÖPING</t>
        </is>
      </c>
      <c r="G393" t="n">
        <v>1.5</v>
      </c>
      <c r="H393" t="n">
        <v>0</v>
      </c>
      <c r="I393" t="n">
        <v>0</v>
      </c>
      <c r="J393" t="n">
        <v>0</v>
      </c>
      <c r="K393" t="n">
        <v>0</v>
      </c>
      <c r="L393" t="n">
        <v>0</v>
      </c>
      <c r="M393" t="n">
        <v>0</v>
      </c>
      <c r="N393" t="n">
        <v>0</v>
      </c>
      <c r="O393" t="n">
        <v>0</v>
      </c>
      <c r="P393" t="n">
        <v>0</v>
      </c>
      <c r="Q393" t="n">
        <v>0</v>
      </c>
      <c r="R393" s="2" t="inlineStr"/>
    </row>
    <row r="394" ht="15" customHeight="1">
      <c r="A394" t="inlineStr">
        <is>
          <t>A 58714-2020</t>
        </is>
      </c>
      <c r="B394" s="1" t="n">
        <v>44146</v>
      </c>
      <c r="C394" s="1" t="n">
        <v>45940</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64694-2023</t>
        </is>
      </c>
      <c r="B395" s="1" t="n">
        <v>45281</v>
      </c>
      <c r="C395" s="1" t="n">
        <v>45940</v>
      </c>
      <c r="D395" t="inlineStr">
        <is>
          <t>ÖSTERGÖTLANDS LÄN</t>
        </is>
      </c>
      <c r="E395" t="inlineStr">
        <is>
          <t>LINKÖPING</t>
        </is>
      </c>
      <c r="F395" t="inlineStr">
        <is>
          <t>Övriga statliga verk och myndigheter</t>
        </is>
      </c>
      <c r="G395" t="n">
        <v>4.9</v>
      </c>
      <c r="H395" t="n">
        <v>0</v>
      </c>
      <c r="I395" t="n">
        <v>0</v>
      </c>
      <c r="J395" t="n">
        <v>0</v>
      </c>
      <c r="K395" t="n">
        <v>0</v>
      </c>
      <c r="L395" t="n">
        <v>0</v>
      </c>
      <c r="M395" t="n">
        <v>0</v>
      </c>
      <c r="N395" t="n">
        <v>0</v>
      </c>
      <c r="O395" t="n">
        <v>0</v>
      </c>
      <c r="P395" t="n">
        <v>0</v>
      </c>
      <c r="Q395" t="n">
        <v>0</v>
      </c>
      <c r="R395" s="2" t="inlineStr"/>
    </row>
    <row r="396" ht="15" customHeight="1">
      <c r="A396" t="inlineStr">
        <is>
          <t>A 32602-2022</t>
        </is>
      </c>
      <c r="B396" s="1" t="n">
        <v>44783.43192129629</v>
      </c>
      <c r="C396" s="1" t="n">
        <v>45940</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62321-2022</t>
        </is>
      </c>
      <c r="B397" s="1" t="n">
        <v>44916</v>
      </c>
      <c r="C397" s="1" t="n">
        <v>45940</v>
      </c>
      <c r="D397" t="inlineStr">
        <is>
          <t>ÖSTERGÖTLANDS LÄN</t>
        </is>
      </c>
      <c r="E397" t="inlineStr">
        <is>
          <t>LINKÖPING</t>
        </is>
      </c>
      <c r="F397" t="inlineStr">
        <is>
          <t>Kommuner</t>
        </is>
      </c>
      <c r="G397" t="n">
        <v>5.3</v>
      </c>
      <c r="H397" t="n">
        <v>0</v>
      </c>
      <c r="I397" t="n">
        <v>0</v>
      </c>
      <c r="J397" t="n">
        <v>0</v>
      </c>
      <c r="K397" t="n">
        <v>0</v>
      </c>
      <c r="L397" t="n">
        <v>0</v>
      </c>
      <c r="M397" t="n">
        <v>0</v>
      </c>
      <c r="N397" t="n">
        <v>0</v>
      </c>
      <c r="O397" t="n">
        <v>0</v>
      </c>
      <c r="P397" t="n">
        <v>0</v>
      </c>
      <c r="Q397" t="n">
        <v>0</v>
      </c>
      <c r="R397" s="2" t="inlineStr"/>
    </row>
    <row r="398" ht="15" customHeight="1">
      <c r="A398" t="inlineStr">
        <is>
          <t>A 27950-2025</t>
        </is>
      </c>
      <c r="B398" s="1" t="n">
        <v>45817.52960648148</v>
      </c>
      <c r="C398" s="1" t="n">
        <v>45940</v>
      </c>
      <c r="D398" t="inlineStr">
        <is>
          <t>ÖSTERGÖTLANDS LÄN</t>
        </is>
      </c>
      <c r="E398" t="inlineStr">
        <is>
          <t>LINKÖPING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61281-2021</t>
        </is>
      </c>
      <c r="B399" s="1" t="n">
        <v>44498.60736111111</v>
      </c>
      <c r="C399" s="1" t="n">
        <v>45940</v>
      </c>
      <c r="D399" t="inlineStr">
        <is>
          <t>ÖSTERGÖTLANDS LÄN</t>
        </is>
      </c>
      <c r="E399" t="inlineStr">
        <is>
          <t>LINKÖPING</t>
        </is>
      </c>
      <c r="G399" t="n">
        <v>4.5</v>
      </c>
      <c r="H399" t="n">
        <v>0</v>
      </c>
      <c r="I399" t="n">
        <v>0</v>
      </c>
      <c r="J399" t="n">
        <v>0</v>
      </c>
      <c r="K399" t="n">
        <v>0</v>
      </c>
      <c r="L399" t="n">
        <v>0</v>
      </c>
      <c r="M399" t="n">
        <v>0</v>
      </c>
      <c r="N399" t="n">
        <v>0</v>
      </c>
      <c r="O399" t="n">
        <v>0</v>
      </c>
      <c r="P399" t="n">
        <v>0</v>
      </c>
      <c r="Q399" t="n">
        <v>0</v>
      </c>
      <c r="R399" s="2" t="inlineStr"/>
    </row>
    <row r="400" ht="15" customHeight="1">
      <c r="A400" t="inlineStr">
        <is>
          <t>A 1084-2023</t>
        </is>
      </c>
      <c r="B400" s="1" t="n">
        <v>44929</v>
      </c>
      <c r="C400" s="1" t="n">
        <v>45940</v>
      </c>
      <c r="D400" t="inlineStr">
        <is>
          <t>ÖSTERGÖTLANDS LÄN</t>
        </is>
      </c>
      <c r="E400" t="inlineStr">
        <is>
          <t>LINKÖPING</t>
        </is>
      </c>
      <c r="G400" t="n">
        <v>10.4</v>
      </c>
      <c r="H400" t="n">
        <v>0</v>
      </c>
      <c r="I400" t="n">
        <v>0</v>
      </c>
      <c r="J400" t="n">
        <v>0</v>
      </c>
      <c r="K400" t="n">
        <v>0</v>
      </c>
      <c r="L400" t="n">
        <v>0</v>
      </c>
      <c r="M400" t="n">
        <v>0</v>
      </c>
      <c r="N400" t="n">
        <v>0</v>
      </c>
      <c r="O400" t="n">
        <v>0</v>
      </c>
      <c r="P400" t="n">
        <v>0</v>
      </c>
      <c r="Q400" t="n">
        <v>0</v>
      </c>
      <c r="R400" s="2" t="inlineStr"/>
    </row>
    <row r="401" ht="15" customHeight="1">
      <c r="A401" t="inlineStr">
        <is>
          <t>A 267-2023</t>
        </is>
      </c>
      <c r="B401" s="1" t="n">
        <v>44928.80907407407</v>
      </c>
      <c r="C401" s="1" t="n">
        <v>45940</v>
      </c>
      <c r="D401" t="inlineStr">
        <is>
          <t>ÖSTERGÖTLANDS LÄN</t>
        </is>
      </c>
      <c r="E401" t="inlineStr">
        <is>
          <t>LINKÖPING</t>
        </is>
      </c>
      <c r="G401" t="n">
        <v>2.7</v>
      </c>
      <c r="H401" t="n">
        <v>0</v>
      </c>
      <c r="I401" t="n">
        <v>0</v>
      </c>
      <c r="J401" t="n">
        <v>0</v>
      </c>
      <c r="K401" t="n">
        <v>0</v>
      </c>
      <c r="L401" t="n">
        <v>0</v>
      </c>
      <c r="M401" t="n">
        <v>0</v>
      </c>
      <c r="N401" t="n">
        <v>0</v>
      </c>
      <c r="O401" t="n">
        <v>0</v>
      </c>
      <c r="P401" t="n">
        <v>0</v>
      </c>
      <c r="Q401" t="n">
        <v>0</v>
      </c>
      <c r="R401" s="2" t="inlineStr"/>
    </row>
    <row r="402" ht="15" customHeight="1">
      <c r="A402" t="inlineStr">
        <is>
          <t>A 940-2023</t>
        </is>
      </c>
      <c r="B402" s="1" t="n">
        <v>44933</v>
      </c>
      <c r="C402" s="1" t="n">
        <v>45940</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25292-2021</t>
        </is>
      </c>
      <c r="B403" s="1" t="n">
        <v>44342</v>
      </c>
      <c r="C403" s="1" t="n">
        <v>45940</v>
      </c>
      <c r="D403" t="inlineStr">
        <is>
          <t>ÖSTERGÖTLANDS LÄN</t>
        </is>
      </c>
      <c r="E403" t="inlineStr">
        <is>
          <t>LINKÖPING</t>
        </is>
      </c>
      <c r="F403" t="inlineStr">
        <is>
          <t>Övriga Aktiebolag</t>
        </is>
      </c>
      <c r="G403" t="n">
        <v>12.8</v>
      </c>
      <c r="H403" t="n">
        <v>0</v>
      </c>
      <c r="I403" t="n">
        <v>0</v>
      </c>
      <c r="J403" t="n">
        <v>0</v>
      </c>
      <c r="K403" t="n">
        <v>0</v>
      </c>
      <c r="L403" t="n">
        <v>0</v>
      </c>
      <c r="M403" t="n">
        <v>0</v>
      </c>
      <c r="N403" t="n">
        <v>0</v>
      </c>
      <c r="O403" t="n">
        <v>0</v>
      </c>
      <c r="P403" t="n">
        <v>0</v>
      </c>
      <c r="Q403" t="n">
        <v>0</v>
      </c>
      <c r="R403" s="2" t="inlineStr"/>
    </row>
    <row r="404" ht="15" customHeight="1">
      <c r="A404" t="inlineStr">
        <is>
          <t>A 6369-2023</t>
        </is>
      </c>
      <c r="B404" s="1" t="n">
        <v>44965.61106481482</v>
      </c>
      <c r="C404" s="1" t="n">
        <v>45940</v>
      </c>
      <c r="D404" t="inlineStr">
        <is>
          <t>ÖSTERGÖTLANDS LÄN</t>
        </is>
      </c>
      <c r="E404" t="inlineStr">
        <is>
          <t>LINKÖPING</t>
        </is>
      </c>
      <c r="G404" t="n">
        <v>4</v>
      </c>
      <c r="H404" t="n">
        <v>0</v>
      </c>
      <c r="I404" t="n">
        <v>0</v>
      </c>
      <c r="J404" t="n">
        <v>0</v>
      </c>
      <c r="K404" t="n">
        <v>0</v>
      </c>
      <c r="L404" t="n">
        <v>0</v>
      </c>
      <c r="M404" t="n">
        <v>0</v>
      </c>
      <c r="N404" t="n">
        <v>0</v>
      </c>
      <c r="O404" t="n">
        <v>0</v>
      </c>
      <c r="P404" t="n">
        <v>0</v>
      </c>
      <c r="Q404" t="n">
        <v>0</v>
      </c>
      <c r="R404" s="2" t="inlineStr"/>
    </row>
    <row r="405" ht="15" customHeight="1">
      <c r="A405" t="inlineStr">
        <is>
          <t>A 27797-2025</t>
        </is>
      </c>
      <c r="B405" s="1" t="n">
        <v>45816.80521990741</v>
      </c>
      <c r="C405" s="1" t="n">
        <v>45940</v>
      </c>
      <c r="D405" t="inlineStr">
        <is>
          <t>ÖSTERGÖTLANDS LÄN</t>
        </is>
      </c>
      <c r="E405" t="inlineStr">
        <is>
          <t>LINKÖPING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27798-2025</t>
        </is>
      </c>
      <c r="B406" s="1" t="n">
        <v>45816.81532407407</v>
      </c>
      <c r="C406" s="1" t="n">
        <v>45940</v>
      </c>
      <c r="D406" t="inlineStr">
        <is>
          <t>ÖSTERGÖTLANDS LÄN</t>
        </is>
      </c>
      <c r="E406" t="inlineStr">
        <is>
          <t>LINKÖPING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63935-2021</t>
        </is>
      </c>
      <c r="B407" s="1" t="n">
        <v>44509</v>
      </c>
      <c r="C407" s="1" t="n">
        <v>45940</v>
      </c>
      <c r="D407" t="inlineStr">
        <is>
          <t>ÖSTERGÖTLANDS LÄN</t>
        </is>
      </c>
      <c r="E407" t="inlineStr">
        <is>
          <t>LINKÖPING</t>
        </is>
      </c>
      <c r="F407" t="inlineStr">
        <is>
          <t>Övriga statliga verk och myndigheter</t>
        </is>
      </c>
      <c r="G407" t="n">
        <v>2.8</v>
      </c>
      <c r="H407" t="n">
        <v>0</v>
      </c>
      <c r="I407" t="n">
        <v>0</v>
      </c>
      <c r="J407" t="n">
        <v>0</v>
      </c>
      <c r="K407" t="n">
        <v>0</v>
      </c>
      <c r="L407" t="n">
        <v>0</v>
      </c>
      <c r="M407" t="n">
        <v>0</v>
      </c>
      <c r="N407" t="n">
        <v>0</v>
      </c>
      <c r="O407" t="n">
        <v>0</v>
      </c>
      <c r="P407" t="n">
        <v>0</v>
      </c>
      <c r="Q407" t="n">
        <v>0</v>
      </c>
      <c r="R407" s="2" t="inlineStr"/>
    </row>
    <row r="408" ht="15" customHeight="1">
      <c r="A408" t="inlineStr">
        <is>
          <t>A 53647-2021</t>
        </is>
      </c>
      <c r="B408" s="1" t="n">
        <v>44469</v>
      </c>
      <c r="C408" s="1" t="n">
        <v>45940</v>
      </c>
      <c r="D408" t="inlineStr">
        <is>
          <t>ÖSTERGÖTLANDS LÄN</t>
        </is>
      </c>
      <c r="E408" t="inlineStr">
        <is>
          <t>LINKÖPING</t>
        </is>
      </c>
      <c r="G408" t="n">
        <v>2.3</v>
      </c>
      <c r="H408" t="n">
        <v>0</v>
      </c>
      <c r="I408" t="n">
        <v>0</v>
      </c>
      <c r="J408" t="n">
        <v>0</v>
      </c>
      <c r="K408" t="n">
        <v>0</v>
      </c>
      <c r="L408" t="n">
        <v>0</v>
      </c>
      <c r="M408" t="n">
        <v>0</v>
      </c>
      <c r="N408" t="n">
        <v>0</v>
      </c>
      <c r="O408" t="n">
        <v>0</v>
      </c>
      <c r="P408" t="n">
        <v>0</v>
      </c>
      <c r="Q408" t="n">
        <v>0</v>
      </c>
      <c r="R408" s="2" t="inlineStr"/>
    </row>
    <row r="409" ht="15" customHeight="1">
      <c r="A409" t="inlineStr">
        <is>
          <t>A 30980-2022</t>
        </is>
      </c>
      <c r="B409" s="1" t="n">
        <v>44768</v>
      </c>
      <c r="C409" s="1" t="n">
        <v>45940</v>
      </c>
      <c r="D409" t="inlineStr">
        <is>
          <t>ÖSTERGÖTLANDS LÄN</t>
        </is>
      </c>
      <c r="E409" t="inlineStr">
        <is>
          <t>LINKÖPING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38971-2025</t>
        </is>
      </c>
      <c r="B410" s="1" t="n">
        <v>45887.71827546296</v>
      </c>
      <c r="C410" s="1" t="n">
        <v>45940</v>
      </c>
      <c r="D410" t="inlineStr">
        <is>
          <t>ÖSTERGÖTLANDS LÄN</t>
        </is>
      </c>
      <c r="E410" t="inlineStr">
        <is>
          <t>LINKÖPING</t>
        </is>
      </c>
      <c r="G410" t="n">
        <v>3.9</v>
      </c>
      <c r="H410" t="n">
        <v>0</v>
      </c>
      <c r="I410" t="n">
        <v>0</v>
      </c>
      <c r="J410" t="n">
        <v>0</v>
      </c>
      <c r="K410" t="n">
        <v>0</v>
      </c>
      <c r="L410" t="n">
        <v>0</v>
      </c>
      <c r="M410" t="n">
        <v>0</v>
      </c>
      <c r="N410" t="n">
        <v>0</v>
      </c>
      <c r="O410" t="n">
        <v>0</v>
      </c>
      <c r="P410" t="n">
        <v>0</v>
      </c>
      <c r="Q410" t="n">
        <v>0</v>
      </c>
      <c r="R410" s="2" t="inlineStr"/>
    </row>
    <row r="411" ht="15" customHeight="1">
      <c r="A411" t="inlineStr">
        <is>
          <t>A 60007-2022</t>
        </is>
      </c>
      <c r="B411" s="1" t="n">
        <v>44909.47282407407</v>
      </c>
      <c r="C411" s="1" t="n">
        <v>45940</v>
      </c>
      <c r="D411" t="inlineStr">
        <is>
          <t>ÖSTERGÖTLANDS LÄN</t>
        </is>
      </c>
      <c r="E411" t="inlineStr">
        <is>
          <t>LINKÖPING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28200-2025</t>
        </is>
      </c>
      <c r="B412" s="1" t="n">
        <v>45818.4428125</v>
      </c>
      <c r="C412" s="1" t="n">
        <v>45940</v>
      </c>
      <c r="D412" t="inlineStr">
        <is>
          <t>ÖSTERGÖTLANDS LÄN</t>
        </is>
      </c>
      <c r="E412" t="inlineStr">
        <is>
          <t>LINKÖPING</t>
        </is>
      </c>
      <c r="G412" t="n">
        <v>1.4</v>
      </c>
      <c r="H412" t="n">
        <v>0</v>
      </c>
      <c r="I412" t="n">
        <v>0</v>
      </c>
      <c r="J412" t="n">
        <v>0</v>
      </c>
      <c r="K412" t="n">
        <v>0</v>
      </c>
      <c r="L412" t="n">
        <v>0</v>
      </c>
      <c r="M412" t="n">
        <v>0</v>
      </c>
      <c r="N412" t="n">
        <v>0</v>
      </c>
      <c r="O412" t="n">
        <v>0</v>
      </c>
      <c r="P412" t="n">
        <v>0</v>
      </c>
      <c r="Q412" t="n">
        <v>0</v>
      </c>
      <c r="R412" s="2" t="inlineStr"/>
    </row>
    <row r="413" ht="15" customHeight="1">
      <c r="A413" t="inlineStr">
        <is>
          <t>A 50799-2022</t>
        </is>
      </c>
      <c r="B413" s="1" t="n">
        <v>44862</v>
      </c>
      <c r="C413" s="1" t="n">
        <v>45940</v>
      </c>
      <c r="D413" t="inlineStr">
        <is>
          <t>ÖSTERGÖTLANDS LÄN</t>
        </is>
      </c>
      <c r="E413" t="inlineStr">
        <is>
          <t>LINKÖPING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28204-2025</t>
        </is>
      </c>
      <c r="B414" s="1" t="n">
        <v>45818.4477662037</v>
      </c>
      <c r="C414" s="1" t="n">
        <v>45940</v>
      </c>
      <c r="D414" t="inlineStr">
        <is>
          <t>ÖSTERGÖTLANDS LÄN</t>
        </is>
      </c>
      <c r="E414" t="inlineStr">
        <is>
          <t>LINKÖPING</t>
        </is>
      </c>
      <c r="G414" t="n">
        <v>2.9</v>
      </c>
      <c r="H414" t="n">
        <v>0</v>
      </c>
      <c r="I414" t="n">
        <v>0</v>
      </c>
      <c r="J414" t="n">
        <v>0</v>
      </c>
      <c r="K414" t="n">
        <v>0</v>
      </c>
      <c r="L414" t="n">
        <v>0</v>
      </c>
      <c r="M414" t="n">
        <v>0</v>
      </c>
      <c r="N414" t="n">
        <v>0</v>
      </c>
      <c r="O414" t="n">
        <v>0</v>
      </c>
      <c r="P414" t="n">
        <v>0</v>
      </c>
      <c r="Q414" t="n">
        <v>0</v>
      </c>
      <c r="R414" s="2" t="inlineStr"/>
    </row>
    <row r="415" ht="15" customHeight="1">
      <c r="A415" t="inlineStr">
        <is>
          <t>A 28416-2025</t>
        </is>
      </c>
      <c r="B415" s="1" t="n">
        <v>45819.35346064815</v>
      </c>
      <c r="C415" s="1" t="n">
        <v>45940</v>
      </c>
      <c r="D415" t="inlineStr">
        <is>
          <t>ÖSTERGÖTLANDS LÄN</t>
        </is>
      </c>
      <c r="E415" t="inlineStr">
        <is>
          <t>LINKÖPING</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55345-2021</t>
        </is>
      </c>
      <c r="B416" s="1" t="n">
        <v>44475</v>
      </c>
      <c r="C416" s="1" t="n">
        <v>45940</v>
      </c>
      <c r="D416" t="inlineStr">
        <is>
          <t>ÖSTERGÖTLANDS LÄN</t>
        </is>
      </c>
      <c r="E416" t="inlineStr">
        <is>
          <t>LINKÖPING</t>
        </is>
      </c>
      <c r="G416" t="n">
        <v>5.7</v>
      </c>
      <c r="H416" t="n">
        <v>0</v>
      </c>
      <c r="I416" t="n">
        <v>0</v>
      </c>
      <c r="J416" t="n">
        <v>0</v>
      </c>
      <c r="K416" t="n">
        <v>0</v>
      </c>
      <c r="L416" t="n">
        <v>0</v>
      </c>
      <c r="M416" t="n">
        <v>0</v>
      </c>
      <c r="N416" t="n">
        <v>0</v>
      </c>
      <c r="O416" t="n">
        <v>0</v>
      </c>
      <c r="P416" t="n">
        <v>0</v>
      </c>
      <c r="Q416" t="n">
        <v>0</v>
      </c>
      <c r="R416" s="2" t="inlineStr"/>
    </row>
    <row r="417" ht="15" customHeight="1">
      <c r="A417" t="inlineStr">
        <is>
          <t>A 55265-2020</t>
        </is>
      </c>
      <c r="B417" s="1" t="n">
        <v>44130</v>
      </c>
      <c r="C417" s="1" t="n">
        <v>45940</v>
      </c>
      <c r="D417" t="inlineStr">
        <is>
          <t>ÖSTERGÖTLANDS LÄN</t>
        </is>
      </c>
      <c r="E417" t="inlineStr">
        <is>
          <t>LINKÖPING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6599-2023</t>
        </is>
      </c>
      <c r="B418" s="1" t="n">
        <v>44966.52603009259</v>
      </c>
      <c r="C418" s="1" t="n">
        <v>45940</v>
      </c>
      <c r="D418" t="inlineStr">
        <is>
          <t>ÖSTERGÖTLANDS LÄN</t>
        </is>
      </c>
      <c r="E418" t="inlineStr">
        <is>
          <t>LINKÖPING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56064-2022</t>
        </is>
      </c>
      <c r="B419" s="1" t="n">
        <v>44889.59107638889</v>
      </c>
      <c r="C419" s="1" t="n">
        <v>45940</v>
      </c>
      <c r="D419" t="inlineStr">
        <is>
          <t>ÖSTERGÖTLANDS LÄN</t>
        </is>
      </c>
      <c r="E419" t="inlineStr">
        <is>
          <t>LINKÖPING</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35735-2023</t>
        </is>
      </c>
      <c r="B420" s="1" t="n">
        <v>45147</v>
      </c>
      <c r="C420" s="1" t="n">
        <v>45940</v>
      </c>
      <c r="D420" t="inlineStr">
        <is>
          <t>ÖSTERGÖTLANDS LÄN</t>
        </is>
      </c>
      <c r="E420" t="inlineStr">
        <is>
          <t>LINKÖPING</t>
        </is>
      </c>
      <c r="G420" t="n">
        <v>2.8</v>
      </c>
      <c r="H420" t="n">
        <v>0</v>
      </c>
      <c r="I420" t="n">
        <v>0</v>
      </c>
      <c r="J420" t="n">
        <v>0</v>
      </c>
      <c r="K420" t="n">
        <v>0</v>
      </c>
      <c r="L420" t="n">
        <v>0</v>
      </c>
      <c r="M420" t="n">
        <v>0</v>
      </c>
      <c r="N420" t="n">
        <v>0</v>
      </c>
      <c r="O420" t="n">
        <v>0</v>
      </c>
      <c r="P420" t="n">
        <v>0</v>
      </c>
      <c r="Q420" t="n">
        <v>0</v>
      </c>
      <c r="R420" s="2" t="inlineStr"/>
    </row>
    <row r="421" ht="15" customHeight="1">
      <c r="A421" t="inlineStr">
        <is>
          <t>A 47703-2023</t>
        </is>
      </c>
      <c r="B421" s="1" t="n">
        <v>45203</v>
      </c>
      <c r="C421" s="1" t="n">
        <v>45940</v>
      </c>
      <c r="D421" t="inlineStr">
        <is>
          <t>ÖSTERGÖTLANDS LÄN</t>
        </is>
      </c>
      <c r="E421" t="inlineStr">
        <is>
          <t>LINKÖPING</t>
        </is>
      </c>
      <c r="G421" t="n">
        <v>4.1</v>
      </c>
      <c r="H421" t="n">
        <v>0</v>
      </c>
      <c r="I421" t="n">
        <v>0</v>
      </c>
      <c r="J421" t="n">
        <v>0</v>
      </c>
      <c r="K421" t="n">
        <v>0</v>
      </c>
      <c r="L421" t="n">
        <v>0</v>
      </c>
      <c r="M421" t="n">
        <v>0</v>
      </c>
      <c r="N421" t="n">
        <v>0</v>
      </c>
      <c r="O421" t="n">
        <v>0</v>
      </c>
      <c r="P421" t="n">
        <v>0</v>
      </c>
      <c r="Q421" t="n">
        <v>0</v>
      </c>
      <c r="R421" s="2" t="inlineStr"/>
    </row>
    <row r="422" ht="15" customHeight="1">
      <c r="A422" t="inlineStr">
        <is>
          <t>A 45831-2024</t>
        </is>
      </c>
      <c r="B422" s="1" t="n">
        <v>45579.90508101852</v>
      </c>
      <c r="C422" s="1" t="n">
        <v>45940</v>
      </c>
      <c r="D422" t="inlineStr">
        <is>
          <t>ÖSTERGÖTLANDS LÄN</t>
        </is>
      </c>
      <c r="E422" t="inlineStr">
        <is>
          <t>LINKÖPING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17157-2024</t>
        </is>
      </c>
      <c r="B423" s="1" t="n">
        <v>45412.70567129629</v>
      </c>
      <c r="C423" s="1" t="n">
        <v>45940</v>
      </c>
      <c r="D423" t="inlineStr">
        <is>
          <t>ÖSTERGÖTLANDS LÄN</t>
        </is>
      </c>
      <c r="E423" t="inlineStr">
        <is>
          <t>LINKÖPING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37154-2023</t>
        </is>
      </c>
      <c r="B424" s="1" t="n">
        <v>45155</v>
      </c>
      <c r="C424" s="1" t="n">
        <v>45940</v>
      </c>
      <c r="D424" t="inlineStr">
        <is>
          <t>ÖSTERGÖTLANDS LÄN</t>
        </is>
      </c>
      <c r="E424" t="inlineStr">
        <is>
          <t>LINKÖPING</t>
        </is>
      </c>
      <c r="G424" t="n">
        <v>1.7</v>
      </c>
      <c r="H424" t="n">
        <v>0</v>
      </c>
      <c r="I424" t="n">
        <v>0</v>
      </c>
      <c r="J424" t="n">
        <v>0</v>
      </c>
      <c r="K424" t="n">
        <v>0</v>
      </c>
      <c r="L424" t="n">
        <v>0</v>
      </c>
      <c r="M424" t="n">
        <v>0</v>
      </c>
      <c r="N424" t="n">
        <v>0</v>
      </c>
      <c r="O424" t="n">
        <v>0</v>
      </c>
      <c r="P424" t="n">
        <v>0</v>
      </c>
      <c r="Q424" t="n">
        <v>0</v>
      </c>
      <c r="R424" s="2" t="inlineStr"/>
    </row>
    <row r="425" ht="15" customHeight="1">
      <c r="A425" t="inlineStr">
        <is>
          <t>A 16111-2022</t>
        </is>
      </c>
      <c r="B425" s="1" t="n">
        <v>44665</v>
      </c>
      <c r="C425" s="1" t="n">
        <v>45940</v>
      </c>
      <c r="D425" t="inlineStr">
        <is>
          <t>ÖSTERGÖTLANDS LÄN</t>
        </is>
      </c>
      <c r="E425" t="inlineStr">
        <is>
          <t>LINKÖPING</t>
        </is>
      </c>
      <c r="F425" t="inlineStr">
        <is>
          <t>Övriga Aktiebolag</t>
        </is>
      </c>
      <c r="G425" t="n">
        <v>2.9</v>
      </c>
      <c r="H425" t="n">
        <v>0</v>
      </c>
      <c r="I425" t="n">
        <v>0</v>
      </c>
      <c r="J425" t="n">
        <v>0</v>
      </c>
      <c r="K425" t="n">
        <v>0</v>
      </c>
      <c r="L425" t="n">
        <v>0</v>
      </c>
      <c r="M425" t="n">
        <v>0</v>
      </c>
      <c r="N425" t="n">
        <v>0</v>
      </c>
      <c r="O425" t="n">
        <v>0</v>
      </c>
      <c r="P425" t="n">
        <v>0</v>
      </c>
      <c r="Q425" t="n">
        <v>0</v>
      </c>
      <c r="R425" s="2" t="inlineStr"/>
    </row>
    <row r="426" ht="15" customHeight="1">
      <c r="A426" t="inlineStr">
        <is>
          <t>A 53812-2023</t>
        </is>
      </c>
      <c r="B426" s="1" t="n">
        <v>45231.39583333334</v>
      </c>
      <c r="C426" s="1" t="n">
        <v>45940</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53830-2023</t>
        </is>
      </c>
      <c r="B427" s="1" t="n">
        <v>45230</v>
      </c>
      <c r="C427" s="1" t="n">
        <v>45940</v>
      </c>
      <c r="D427" t="inlineStr">
        <is>
          <t>ÖSTERGÖTLANDS LÄN</t>
        </is>
      </c>
      <c r="E427" t="inlineStr">
        <is>
          <t>LINKÖPING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48962-2022</t>
        </is>
      </c>
      <c r="B428" s="1" t="n">
        <v>44860.31635416667</v>
      </c>
      <c r="C428" s="1" t="n">
        <v>45940</v>
      </c>
      <c r="D428" t="inlineStr">
        <is>
          <t>ÖSTERGÖTLANDS LÄN</t>
        </is>
      </c>
      <c r="E428" t="inlineStr">
        <is>
          <t>LINKÖPING</t>
        </is>
      </c>
      <c r="G428" t="n">
        <v>2.9</v>
      </c>
      <c r="H428" t="n">
        <v>0</v>
      </c>
      <c r="I428" t="n">
        <v>0</v>
      </c>
      <c r="J428" t="n">
        <v>0</v>
      </c>
      <c r="K428" t="n">
        <v>0</v>
      </c>
      <c r="L428" t="n">
        <v>0</v>
      </c>
      <c r="M428" t="n">
        <v>0</v>
      </c>
      <c r="N428" t="n">
        <v>0</v>
      </c>
      <c r="O428" t="n">
        <v>0</v>
      </c>
      <c r="P428" t="n">
        <v>0</v>
      </c>
      <c r="Q428" t="n">
        <v>0</v>
      </c>
      <c r="R428" s="2" t="inlineStr"/>
    </row>
    <row r="429" ht="15" customHeight="1">
      <c r="A429" t="inlineStr">
        <is>
          <t>A 56841-2023</t>
        </is>
      </c>
      <c r="B429" s="1" t="n">
        <v>45244</v>
      </c>
      <c r="C429" s="1" t="n">
        <v>45940</v>
      </c>
      <c r="D429" t="inlineStr">
        <is>
          <t>ÖSTERGÖTLANDS LÄN</t>
        </is>
      </c>
      <c r="E429" t="inlineStr">
        <is>
          <t>LINKÖPING</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56741-2023</t>
        </is>
      </c>
      <c r="B430" s="1" t="n">
        <v>45244</v>
      </c>
      <c r="C430" s="1" t="n">
        <v>45940</v>
      </c>
      <c r="D430" t="inlineStr">
        <is>
          <t>ÖSTERGÖTLANDS LÄN</t>
        </is>
      </c>
      <c r="E430" t="inlineStr">
        <is>
          <t>LINKÖPING</t>
        </is>
      </c>
      <c r="F430" t="inlineStr">
        <is>
          <t>Övriga Aktiebolag</t>
        </is>
      </c>
      <c r="G430" t="n">
        <v>1.1</v>
      </c>
      <c r="H430" t="n">
        <v>0</v>
      </c>
      <c r="I430" t="n">
        <v>0</v>
      </c>
      <c r="J430" t="n">
        <v>0</v>
      </c>
      <c r="K430" t="n">
        <v>0</v>
      </c>
      <c r="L430" t="n">
        <v>0</v>
      </c>
      <c r="M430" t="n">
        <v>0</v>
      </c>
      <c r="N430" t="n">
        <v>0</v>
      </c>
      <c r="O430" t="n">
        <v>0</v>
      </c>
      <c r="P430" t="n">
        <v>0</v>
      </c>
      <c r="Q430" t="n">
        <v>0</v>
      </c>
      <c r="R430" s="2" t="inlineStr"/>
    </row>
    <row r="431" ht="15" customHeight="1">
      <c r="A431" t="inlineStr">
        <is>
          <t>A 53816-2023</t>
        </is>
      </c>
      <c r="B431" s="1" t="n">
        <v>45231.40012731482</v>
      </c>
      <c r="C431" s="1" t="n">
        <v>45940</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63935-2021</t>
        </is>
      </c>
      <c r="B432" s="1" t="n">
        <v>44509</v>
      </c>
      <c r="C432" s="1" t="n">
        <v>45940</v>
      </c>
      <c r="D432" t="inlineStr">
        <is>
          <t>ÖSTERGÖTLANDS LÄN</t>
        </is>
      </c>
      <c r="E432" t="inlineStr">
        <is>
          <t>LINKÖPING</t>
        </is>
      </c>
      <c r="F432" t="inlineStr">
        <is>
          <t>Övriga statliga verk och myndigheter</t>
        </is>
      </c>
      <c r="G432" t="n">
        <v>2.8</v>
      </c>
      <c r="H432" t="n">
        <v>0</v>
      </c>
      <c r="I432" t="n">
        <v>0</v>
      </c>
      <c r="J432" t="n">
        <v>0</v>
      </c>
      <c r="K432" t="n">
        <v>0</v>
      </c>
      <c r="L432" t="n">
        <v>0</v>
      </c>
      <c r="M432" t="n">
        <v>0</v>
      </c>
      <c r="N432" t="n">
        <v>0</v>
      </c>
      <c r="O432" t="n">
        <v>0</v>
      </c>
      <c r="P432" t="n">
        <v>0</v>
      </c>
      <c r="Q432" t="n">
        <v>0</v>
      </c>
      <c r="R432" s="2" t="inlineStr"/>
    </row>
    <row r="433" ht="15" customHeight="1">
      <c r="A433" t="inlineStr">
        <is>
          <t>A 27891-2021</t>
        </is>
      </c>
      <c r="B433" s="1" t="n">
        <v>44354.65108796296</v>
      </c>
      <c r="C433" s="1" t="n">
        <v>45940</v>
      </c>
      <c r="D433" t="inlineStr">
        <is>
          <t>ÖSTERGÖTLANDS LÄN</t>
        </is>
      </c>
      <c r="E433" t="inlineStr">
        <is>
          <t>LINKÖPING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54491-2020</t>
        </is>
      </c>
      <c r="B434" s="1" t="n">
        <v>44126.64</v>
      </c>
      <c r="C434" s="1" t="n">
        <v>45940</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28398-2025</t>
        </is>
      </c>
      <c r="B435" s="1" t="n">
        <v>45819.34208333334</v>
      </c>
      <c r="C435" s="1" t="n">
        <v>45940</v>
      </c>
      <c r="D435" t="inlineStr">
        <is>
          <t>ÖSTERGÖTLANDS LÄN</t>
        </is>
      </c>
      <c r="E435" t="inlineStr">
        <is>
          <t>LINKÖPING</t>
        </is>
      </c>
      <c r="F435" t="inlineStr">
        <is>
          <t>Sveaskog</t>
        </is>
      </c>
      <c r="G435" t="n">
        <v>7.9</v>
      </c>
      <c r="H435" t="n">
        <v>0</v>
      </c>
      <c r="I435" t="n">
        <v>0</v>
      </c>
      <c r="J435" t="n">
        <v>0</v>
      </c>
      <c r="K435" t="n">
        <v>0</v>
      </c>
      <c r="L435" t="n">
        <v>0</v>
      </c>
      <c r="M435" t="n">
        <v>0</v>
      </c>
      <c r="N435" t="n">
        <v>0</v>
      </c>
      <c r="O435" t="n">
        <v>0</v>
      </c>
      <c r="P435" t="n">
        <v>0</v>
      </c>
      <c r="Q435" t="n">
        <v>0</v>
      </c>
      <c r="R435" s="2" t="inlineStr"/>
    </row>
    <row r="436" ht="15" customHeight="1">
      <c r="A436" t="inlineStr">
        <is>
          <t>A 28209-2025</t>
        </is>
      </c>
      <c r="B436" s="1" t="n">
        <v>45818.45112268518</v>
      </c>
      <c r="C436" s="1" t="n">
        <v>45940</v>
      </c>
      <c r="D436" t="inlineStr">
        <is>
          <t>ÖSTERGÖTLANDS LÄN</t>
        </is>
      </c>
      <c r="E436" t="inlineStr">
        <is>
          <t>LINKÖPING</t>
        </is>
      </c>
      <c r="G436" t="n">
        <v>4.2</v>
      </c>
      <c r="H436" t="n">
        <v>0</v>
      </c>
      <c r="I436" t="n">
        <v>0</v>
      </c>
      <c r="J436" t="n">
        <v>0</v>
      </c>
      <c r="K436" t="n">
        <v>0</v>
      </c>
      <c r="L436" t="n">
        <v>0</v>
      </c>
      <c r="M436" t="n">
        <v>0</v>
      </c>
      <c r="N436" t="n">
        <v>0</v>
      </c>
      <c r="O436" t="n">
        <v>0</v>
      </c>
      <c r="P436" t="n">
        <v>0</v>
      </c>
      <c r="Q436" t="n">
        <v>0</v>
      </c>
      <c r="R436" s="2" t="inlineStr"/>
    </row>
    <row r="437" ht="15" customHeight="1">
      <c r="A437" t="inlineStr">
        <is>
          <t>A 6726-2024</t>
        </is>
      </c>
      <c r="B437" s="1" t="n">
        <v>45341</v>
      </c>
      <c r="C437" s="1" t="n">
        <v>45940</v>
      </c>
      <c r="D437" t="inlineStr">
        <is>
          <t>ÖSTERGÖTLANDS LÄN</t>
        </is>
      </c>
      <c r="E437" t="inlineStr">
        <is>
          <t>LINKÖPING</t>
        </is>
      </c>
      <c r="G437" t="n">
        <v>2.7</v>
      </c>
      <c r="H437" t="n">
        <v>0</v>
      </c>
      <c r="I437" t="n">
        <v>0</v>
      </c>
      <c r="J437" t="n">
        <v>0</v>
      </c>
      <c r="K437" t="n">
        <v>0</v>
      </c>
      <c r="L437" t="n">
        <v>0</v>
      </c>
      <c r="M437" t="n">
        <v>0</v>
      </c>
      <c r="N437" t="n">
        <v>0</v>
      </c>
      <c r="O437" t="n">
        <v>0</v>
      </c>
      <c r="P437" t="n">
        <v>0</v>
      </c>
      <c r="Q437" t="n">
        <v>0</v>
      </c>
      <c r="R437" s="2" t="inlineStr"/>
    </row>
    <row r="438" ht="15" customHeight="1">
      <c r="A438" t="inlineStr">
        <is>
          <t>A 3007-2023</t>
        </is>
      </c>
      <c r="B438" s="1" t="n">
        <v>44945</v>
      </c>
      <c r="C438" s="1" t="n">
        <v>45940</v>
      </c>
      <c r="D438" t="inlineStr">
        <is>
          <t>ÖSTERGÖTLANDS LÄN</t>
        </is>
      </c>
      <c r="E438" t="inlineStr">
        <is>
          <t>LINKÖPING</t>
        </is>
      </c>
      <c r="G438" t="n">
        <v>2.6</v>
      </c>
      <c r="H438" t="n">
        <v>0</v>
      </c>
      <c r="I438" t="n">
        <v>0</v>
      </c>
      <c r="J438" t="n">
        <v>0</v>
      </c>
      <c r="K438" t="n">
        <v>0</v>
      </c>
      <c r="L438" t="n">
        <v>0</v>
      </c>
      <c r="M438" t="n">
        <v>0</v>
      </c>
      <c r="N438" t="n">
        <v>0</v>
      </c>
      <c r="O438" t="n">
        <v>0</v>
      </c>
      <c r="P438" t="n">
        <v>0</v>
      </c>
      <c r="Q438" t="n">
        <v>0</v>
      </c>
      <c r="R438" s="2" t="inlineStr"/>
    </row>
    <row r="439" ht="15" customHeight="1">
      <c r="A439" t="inlineStr">
        <is>
          <t>A 18145-2021</t>
        </is>
      </c>
      <c r="B439" s="1" t="n">
        <v>44302</v>
      </c>
      <c r="C439" s="1" t="n">
        <v>45940</v>
      </c>
      <c r="D439" t="inlineStr">
        <is>
          <t>ÖSTERGÖTLANDS LÄN</t>
        </is>
      </c>
      <c r="E439" t="inlineStr">
        <is>
          <t>LINKÖPING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29027-2025</t>
        </is>
      </c>
      <c r="B440" s="1" t="n">
        <v>45821.4375462963</v>
      </c>
      <c r="C440" s="1" t="n">
        <v>45940</v>
      </c>
      <c r="D440" t="inlineStr">
        <is>
          <t>ÖSTERGÖTLANDS LÄN</t>
        </is>
      </c>
      <c r="E440" t="inlineStr">
        <is>
          <t>LINKÖPING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1268-2023</t>
        </is>
      </c>
      <c r="B441" s="1" t="n">
        <v>44936</v>
      </c>
      <c r="C441" s="1" t="n">
        <v>45940</v>
      </c>
      <c r="D441" t="inlineStr">
        <is>
          <t>ÖSTERGÖTLANDS LÄN</t>
        </is>
      </c>
      <c r="E441" t="inlineStr">
        <is>
          <t>LINKÖPING</t>
        </is>
      </c>
      <c r="G441" t="n">
        <v>4.6</v>
      </c>
      <c r="H441" t="n">
        <v>0</v>
      </c>
      <c r="I441" t="n">
        <v>0</v>
      </c>
      <c r="J441" t="n">
        <v>0</v>
      </c>
      <c r="K441" t="n">
        <v>0</v>
      </c>
      <c r="L441" t="n">
        <v>0</v>
      </c>
      <c r="M441" t="n">
        <v>0</v>
      </c>
      <c r="N441" t="n">
        <v>0</v>
      </c>
      <c r="O441" t="n">
        <v>0</v>
      </c>
      <c r="P441" t="n">
        <v>0</v>
      </c>
      <c r="Q441" t="n">
        <v>0</v>
      </c>
      <c r="R441" s="2" t="inlineStr"/>
    </row>
    <row r="442" ht="15" customHeight="1">
      <c r="A442" t="inlineStr">
        <is>
          <t>A 29411-2025</t>
        </is>
      </c>
      <c r="B442" s="1" t="n">
        <v>45824.6219212963</v>
      </c>
      <c r="C442" s="1" t="n">
        <v>45940</v>
      </c>
      <c r="D442" t="inlineStr">
        <is>
          <t>ÖSTERGÖTLANDS LÄN</t>
        </is>
      </c>
      <c r="E442" t="inlineStr">
        <is>
          <t>LINKÖPING</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62687-2023</t>
        </is>
      </c>
      <c r="B443" s="1" t="n">
        <v>45271</v>
      </c>
      <c r="C443" s="1" t="n">
        <v>45940</v>
      </c>
      <c r="D443" t="inlineStr">
        <is>
          <t>ÖSTERGÖTLANDS LÄN</t>
        </is>
      </c>
      <c r="E443" t="inlineStr">
        <is>
          <t>LINKÖPING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29309-2024</t>
        </is>
      </c>
      <c r="B444" s="1" t="n">
        <v>45483</v>
      </c>
      <c r="C444" s="1" t="n">
        <v>45940</v>
      </c>
      <c r="D444" t="inlineStr">
        <is>
          <t>ÖSTERGÖTLANDS LÄN</t>
        </is>
      </c>
      <c r="E444" t="inlineStr">
        <is>
          <t>LINKÖPING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29393-2025</t>
        </is>
      </c>
      <c r="B445" s="1" t="n">
        <v>45824.6057175926</v>
      </c>
      <c r="C445" s="1" t="n">
        <v>45940</v>
      </c>
      <c r="D445" t="inlineStr">
        <is>
          <t>ÖSTERGÖTLANDS LÄN</t>
        </is>
      </c>
      <c r="E445" t="inlineStr">
        <is>
          <t>LINKÖPING</t>
        </is>
      </c>
      <c r="F445" t="inlineStr">
        <is>
          <t>Sveaskog</t>
        </is>
      </c>
      <c r="G445" t="n">
        <v>24.6</v>
      </c>
      <c r="H445" t="n">
        <v>0</v>
      </c>
      <c r="I445" t="n">
        <v>0</v>
      </c>
      <c r="J445" t="n">
        <v>0</v>
      </c>
      <c r="K445" t="n">
        <v>0</v>
      </c>
      <c r="L445" t="n">
        <v>0</v>
      </c>
      <c r="M445" t="n">
        <v>0</v>
      </c>
      <c r="N445" t="n">
        <v>0</v>
      </c>
      <c r="O445" t="n">
        <v>0</v>
      </c>
      <c r="P445" t="n">
        <v>0</v>
      </c>
      <c r="Q445" t="n">
        <v>0</v>
      </c>
      <c r="R445" s="2" t="inlineStr"/>
    </row>
    <row r="446" ht="15" customHeight="1">
      <c r="A446" t="inlineStr">
        <is>
          <t>A 34641-2022</t>
        </is>
      </c>
      <c r="B446" s="1" t="n">
        <v>44795</v>
      </c>
      <c r="C446" s="1" t="n">
        <v>45940</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938-2023</t>
        </is>
      </c>
      <c r="B447" s="1" t="n">
        <v>44933</v>
      </c>
      <c r="C447" s="1" t="n">
        <v>45940</v>
      </c>
      <c r="D447" t="inlineStr">
        <is>
          <t>ÖSTERGÖTLANDS LÄN</t>
        </is>
      </c>
      <c r="E447" t="inlineStr">
        <is>
          <t>LINKÖPING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2389-2023</t>
        </is>
      </c>
      <c r="B448" s="1" t="n">
        <v>44942</v>
      </c>
      <c r="C448" s="1" t="n">
        <v>45940</v>
      </c>
      <c r="D448" t="inlineStr">
        <is>
          <t>ÖSTERGÖTLANDS LÄN</t>
        </is>
      </c>
      <c r="E448" t="inlineStr">
        <is>
          <t>LINKÖPING</t>
        </is>
      </c>
      <c r="G448" t="n">
        <v>3.3</v>
      </c>
      <c r="H448" t="n">
        <v>0</v>
      </c>
      <c r="I448" t="n">
        <v>0</v>
      </c>
      <c r="J448" t="n">
        <v>0</v>
      </c>
      <c r="K448" t="n">
        <v>0</v>
      </c>
      <c r="L448" t="n">
        <v>0</v>
      </c>
      <c r="M448" t="n">
        <v>0</v>
      </c>
      <c r="N448" t="n">
        <v>0</v>
      </c>
      <c r="O448" t="n">
        <v>0</v>
      </c>
      <c r="P448" t="n">
        <v>0</v>
      </c>
      <c r="Q448" t="n">
        <v>0</v>
      </c>
      <c r="R448" s="2" t="inlineStr"/>
    </row>
    <row r="449" ht="15" customHeight="1">
      <c r="A449" t="inlineStr">
        <is>
          <t>A 29599-2025</t>
        </is>
      </c>
      <c r="B449" s="1" t="n">
        <v>45825.41101851852</v>
      </c>
      <c r="C449" s="1" t="n">
        <v>45940</v>
      </c>
      <c r="D449" t="inlineStr">
        <is>
          <t>ÖSTERGÖTLANDS LÄN</t>
        </is>
      </c>
      <c r="E449" t="inlineStr">
        <is>
          <t>LINKÖPING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48-2024</t>
        </is>
      </c>
      <c r="B450" s="1" t="n">
        <v>45293</v>
      </c>
      <c r="C450" s="1" t="n">
        <v>45940</v>
      </c>
      <c r="D450" t="inlineStr">
        <is>
          <t>ÖSTERGÖTLANDS LÄN</t>
        </is>
      </c>
      <c r="E450" t="inlineStr">
        <is>
          <t>LINKÖPING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45771-2023</t>
        </is>
      </c>
      <c r="B451" s="1" t="n">
        <v>45195.4384375</v>
      </c>
      <c r="C451" s="1" t="n">
        <v>45940</v>
      </c>
      <c r="D451" t="inlineStr">
        <is>
          <t>ÖSTERGÖTLANDS LÄN</t>
        </is>
      </c>
      <c r="E451" t="inlineStr">
        <is>
          <t>LINKÖPING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30547-2023</t>
        </is>
      </c>
      <c r="B452" s="1" t="n">
        <v>45111.75905092592</v>
      </c>
      <c r="C452" s="1" t="n">
        <v>45940</v>
      </c>
      <c r="D452" t="inlineStr">
        <is>
          <t>ÖSTERGÖTLANDS LÄN</t>
        </is>
      </c>
      <c r="E452" t="inlineStr">
        <is>
          <t>LINKÖPING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40502-2024</t>
        </is>
      </c>
      <c r="B453" s="1" t="n">
        <v>45555.57263888889</v>
      </c>
      <c r="C453" s="1" t="n">
        <v>45940</v>
      </c>
      <c r="D453" t="inlineStr">
        <is>
          <t>ÖSTERGÖTLANDS LÄN</t>
        </is>
      </c>
      <c r="E453" t="inlineStr">
        <is>
          <t>LINKÖPING</t>
        </is>
      </c>
      <c r="F453" t="inlineStr">
        <is>
          <t>Allmännings- och besparingsskogar</t>
        </is>
      </c>
      <c r="G453" t="n">
        <v>17.5</v>
      </c>
      <c r="H453" t="n">
        <v>0</v>
      </c>
      <c r="I453" t="n">
        <v>0</v>
      </c>
      <c r="J453" t="n">
        <v>0</v>
      </c>
      <c r="K453" t="n">
        <v>0</v>
      </c>
      <c r="L453" t="n">
        <v>0</v>
      </c>
      <c r="M453" t="n">
        <v>0</v>
      </c>
      <c r="N453" t="n">
        <v>0</v>
      </c>
      <c r="O453" t="n">
        <v>0</v>
      </c>
      <c r="P453" t="n">
        <v>0</v>
      </c>
      <c r="Q453" t="n">
        <v>0</v>
      </c>
      <c r="R453" s="2" t="inlineStr"/>
    </row>
    <row r="454" ht="15" customHeight="1">
      <c r="A454" t="inlineStr">
        <is>
          <t>A 24464-2023</t>
        </is>
      </c>
      <c r="B454" s="1" t="n">
        <v>45082.58068287037</v>
      </c>
      <c r="C454" s="1" t="n">
        <v>45940</v>
      </c>
      <c r="D454" t="inlineStr">
        <is>
          <t>ÖSTERGÖTLANDS LÄN</t>
        </is>
      </c>
      <c r="E454" t="inlineStr">
        <is>
          <t>LINKÖPING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24467-2023</t>
        </is>
      </c>
      <c r="B455" s="1" t="n">
        <v>45082</v>
      </c>
      <c r="C455" s="1" t="n">
        <v>45940</v>
      </c>
      <c r="D455" t="inlineStr">
        <is>
          <t>ÖSTERGÖTLANDS LÄN</t>
        </is>
      </c>
      <c r="E455" t="inlineStr">
        <is>
          <t>LINKÖPING</t>
        </is>
      </c>
      <c r="G455" t="n">
        <v>2.4</v>
      </c>
      <c r="H455" t="n">
        <v>0</v>
      </c>
      <c r="I455" t="n">
        <v>0</v>
      </c>
      <c r="J455" t="n">
        <v>0</v>
      </c>
      <c r="K455" t="n">
        <v>0</v>
      </c>
      <c r="L455" t="n">
        <v>0</v>
      </c>
      <c r="M455" t="n">
        <v>0</v>
      </c>
      <c r="N455" t="n">
        <v>0</v>
      </c>
      <c r="O455" t="n">
        <v>0</v>
      </c>
      <c r="P455" t="n">
        <v>0</v>
      </c>
      <c r="Q455" t="n">
        <v>0</v>
      </c>
      <c r="R455" s="2" t="inlineStr"/>
    </row>
    <row r="456" ht="15" customHeight="1">
      <c r="A456" t="inlineStr">
        <is>
          <t>A 30355-2025</t>
        </is>
      </c>
      <c r="B456" s="1" t="n">
        <v>45827</v>
      </c>
      <c r="C456" s="1" t="n">
        <v>45940</v>
      </c>
      <c r="D456" t="inlineStr">
        <is>
          <t>ÖSTERGÖTLANDS LÄN</t>
        </is>
      </c>
      <c r="E456" t="inlineStr">
        <is>
          <t>LINKÖPING</t>
        </is>
      </c>
      <c r="F456" t="inlineStr">
        <is>
          <t>Sveaskog</t>
        </is>
      </c>
      <c r="G456" t="n">
        <v>3.1</v>
      </c>
      <c r="H456" t="n">
        <v>0</v>
      </c>
      <c r="I456" t="n">
        <v>0</v>
      </c>
      <c r="J456" t="n">
        <v>0</v>
      </c>
      <c r="K456" t="n">
        <v>0</v>
      </c>
      <c r="L456" t="n">
        <v>0</v>
      </c>
      <c r="M456" t="n">
        <v>0</v>
      </c>
      <c r="N456" t="n">
        <v>0</v>
      </c>
      <c r="O456" t="n">
        <v>0</v>
      </c>
      <c r="P456" t="n">
        <v>0</v>
      </c>
      <c r="Q456" t="n">
        <v>0</v>
      </c>
      <c r="R456" s="2" t="inlineStr"/>
    </row>
    <row r="457" ht="15" customHeight="1">
      <c r="A457" t="inlineStr">
        <is>
          <t>A 48389-2024</t>
        </is>
      </c>
      <c r="B457" s="1" t="n">
        <v>45590.59991898148</v>
      </c>
      <c r="C457" s="1" t="n">
        <v>45940</v>
      </c>
      <c r="D457" t="inlineStr">
        <is>
          <t>ÖSTERGÖTLANDS LÄN</t>
        </is>
      </c>
      <c r="E457" t="inlineStr">
        <is>
          <t>LINKÖPING</t>
        </is>
      </c>
      <c r="G457" t="n">
        <v>2.6</v>
      </c>
      <c r="H457" t="n">
        <v>0</v>
      </c>
      <c r="I457" t="n">
        <v>0</v>
      </c>
      <c r="J457" t="n">
        <v>0</v>
      </c>
      <c r="K457" t="n">
        <v>0</v>
      </c>
      <c r="L457" t="n">
        <v>0</v>
      </c>
      <c r="M457" t="n">
        <v>0</v>
      </c>
      <c r="N457" t="n">
        <v>0</v>
      </c>
      <c r="O457" t="n">
        <v>0</v>
      </c>
      <c r="P457" t="n">
        <v>0</v>
      </c>
      <c r="Q457" t="n">
        <v>0</v>
      </c>
      <c r="R457" s="2" t="inlineStr"/>
    </row>
    <row r="458" ht="15" customHeight="1">
      <c r="A458" t="inlineStr">
        <is>
          <t>A 30353-2025</t>
        </is>
      </c>
      <c r="B458" s="1" t="n">
        <v>45827</v>
      </c>
      <c r="C458" s="1" t="n">
        <v>45940</v>
      </c>
      <c r="D458" t="inlineStr">
        <is>
          <t>ÖSTERGÖTLANDS LÄN</t>
        </is>
      </c>
      <c r="E458" t="inlineStr">
        <is>
          <t>LINKÖPING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56792-2023</t>
        </is>
      </c>
      <c r="B459" s="1" t="n">
        <v>45244</v>
      </c>
      <c r="C459" s="1" t="n">
        <v>45940</v>
      </c>
      <c r="D459" t="inlineStr">
        <is>
          <t>ÖSTERGÖTLANDS LÄN</t>
        </is>
      </c>
      <c r="E459" t="inlineStr">
        <is>
          <t>LINKÖPING</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53411-2023</t>
        </is>
      </c>
      <c r="B460" s="1" t="n">
        <v>45229.81049768518</v>
      </c>
      <c r="C460" s="1" t="n">
        <v>45940</v>
      </c>
      <c r="D460" t="inlineStr">
        <is>
          <t>ÖSTERGÖTLANDS LÄN</t>
        </is>
      </c>
      <c r="E460" t="inlineStr">
        <is>
          <t>LINKÖPING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26788-2022</t>
        </is>
      </c>
      <c r="B461" s="1" t="n">
        <v>44740</v>
      </c>
      <c r="C461" s="1" t="n">
        <v>45940</v>
      </c>
      <c r="D461" t="inlineStr">
        <is>
          <t>ÖSTERGÖTLANDS LÄN</t>
        </is>
      </c>
      <c r="E461" t="inlineStr">
        <is>
          <t>LINKÖPING</t>
        </is>
      </c>
      <c r="G461" t="n">
        <v>3.2</v>
      </c>
      <c r="H461" t="n">
        <v>0</v>
      </c>
      <c r="I461" t="n">
        <v>0</v>
      </c>
      <c r="J461" t="n">
        <v>0</v>
      </c>
      <c r="K461" t="n">
        <v>0</v>
      </c>
      <c r="L461" t="n">
        <v>0</v>
      </c>
      <c r="M461" t="n">
        <v>0</v>
      </c>
      <c r="N461" t="n">
        <v>0</v>
      </c>
      <c r="O461" t="n">
        <v>0</v>
      </c>
      <c r="P461" t="n">
        <v>0</v>
      </c>
      <c r="Q461" t="n">
        <v>0</v>
      </c>
      <c r="R461" s="2" t="inlineStr"/>
    </row>
    <row r="462" ht="15" customHeight="1">
      <c r="A462" t="inlineStr">
        <is>
          <t>A 39017-2021</t>
        </is>
      </c>
      <c r="B462" s="1" t="n">
        <v>44412</v>
      </c>
      <c r="C462" s="1" t="n">
        <v>45940</v>
      </c>
      <c r="D462" t="inlineStr">
        <is>
          <t>ÖSTERGÖTLANDS LÄN</t>
        </is>
      </c>
      <c r="E462" t="inlineStr">
        <is>
          <t>LINKÖPING</t>
        </is>
      </c>
      <c r="F462" t="inlineStr">
        <is>
          <t>Övriga statliga verk och myndigheter</t>
        </is>
      </c>
      <c r="G462" t="n">
        <v>0.8</v>
      </c>
      <c r="H462" t="n">
        <v>0</v>
      </c>
      <c r="I462" t="n">
        <v>0</v>
      </c>
      <c r="J462" t="n">
        <v>0</v>
      </c>
      <c r="K462" t="n">
        <v>0</v>
      </c>
      <c r="L462" t="n">
        <v>0</v>
      </c>
      <c r="M462" t="n">
        <v>0</v>
      </c>
      <c r="N462" t="n">
        <v>0</v>
      </c>
      <c r="O462" t="n">
        <v>0</v>
      </c>
      <c r="P462" t="n">
        <v>0</v>
      </c>
      <c r="Q462" t="n">
        <v>0</v>
      </c>
      <c r="R462" s="2" t="inlineStr"/>
    </row>
    <row r="463" ht="15" customHeight="1">
      <c r="A463" t="inlineStr">
        <is>
          <t>A 24462-2023</t>
        </is>
      </c>
      <c r="B463" s="1" t="n">
        <v>45082</v>
      </c>
      <c r="C463" s="1" t="n">
        <v>45940</v>
      </c>
      <c r="D463" t="inlineStr">
        <is>
          <t>ÖSTERGÖTLANDS LÄN</t>
        </is>
      </c>
      <c r="E463" t="inlineStr">
        <is>
          <t>LINKÖPING</t>
        </is>
      </c>
      <c r="G463" t="n">
        <v>3.5</v>
      </c>
      <c r="H463" t="n">
        <v>0</v>
      </c>
      <c r="I463" t="n">
        <v>0</v>
      </c>
      <c r="J463" t="n">
        <v>0</v>
      </c>
      <c r="K463" t="n">
        <v>0</v>
      </c>
      <c r="L463" t="n">
        <v>0</v>
      </c>
      <c r="M463" t="n">
        <v>0</v>
      </c>
      <c r="N463" t="n">
        <v>0</v>
      </c>
      <c r="O463" t="n">
        <v>0</v>
      </c>
      <c r="P463" t="n">
        <v>0</v>
      </c>
      <c r="Q463" t="n">
        <v>0</v>
      </c>
      <c r="R463" s="2" t="inlineStr"/>
    </row>
    <row r="464" ht="15" customHeight="1">
      <c r="A464" t="inlineStr">
        <is>
          <t>A 62015-2024</t>
        </is>
      </c>
      <c r="B464" s="1" t="n">
        <v>45655.80457175926</v>
      </c>
      <c r="C464" s="1" t="n">
        <v>45940</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10741-2023</t>
        </is>
      </c>
      <c r="B465" s="1" t="n">
        <v>44988.70084490741</v>
      </c>
      <c r="C465" s="1" t="n">
        <v>45940</v>
      </c>
      <c r="D465" t="inlineStr">
        <is>
          <t>ÖSTERGÖTLANDS LÄN</t>
        </is>
      </c>
      <c r="E465" t="inlineStr">
        <is>
          <t>LINKÖPING</t>
        </is>
      </c>
      <c r="F465" t="inlineStr">
        <is>
          <t>Allmännings- och besparingsskogar</t>
        </is>
      </c>
      <c r="G465" t="n">
        <v>11.2</v>
      </c>
      <c r="H465" t="n">
        <v>0</v>
      </c>
      <c r="I465" t="n">
        <v>0</v>
      </c>
      <c r="J465" t="n">
        <v>0</v>
      </c>
      <c r="K465" t="n">
        <v>0</v>
      </c>
      <c r="L465" t="n">
        <v>0</v>
      </c>
      <c r="M465" t="n">
        <v>0</v>
      </c>
      <c r="N465" t="n">
        <v>0</v>
      </c>
      <c r="O465" t="n">
        <v>0</v>
      </c>
      <c r="P465" t="n">
        <v>0</v>
      </c>
      <c r="Q465" t="n">
        <v>0</v>
      </c>
      <c r="R465" s="2" t="inlineStr"/>
    </row>
    <row r="466" ht="15" customHeight="1">
      <c r="A466" t="inlineStr">
        <is>
          <t>A 1260-2023</t>
        </is>
      </c>
      <c r="B466" s="1" t="n">
        <v>44936</v>
      </c>
      <c r="C466" s="1" t="n">
        <v>45940</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1355-2023</t>
        </is>
      </c>
      <c r="B467" s="1" t="n">
        <v>44931</v>
      </c>
      <c r="C467" s="1" t="n">
        <v>45940</v>
      </c>
      <c r="D467" t="inlineStr">
        <is>
          <t>ÖSTERGÖTLANDS LÄN</t>
        </is>
      </c>
      <c r="E467" t="inlineStr">
        <is>
          <t>LINKÖPING</t>
        </is>
      </c>
      <c r="G467" t="n">
        <v>4</v>
      </c>
      <c r="H467" t="n">
        <v>0</v>
      </c>
      <c r="I467" t="n">
        <v>0</v>
      </c>
      <c r="J467" t="n">
        <v>0</v>
      </c>
      <c r="K467" t="n">
        <v>0</v>
      </c>
      <c r="L467" t="n">
        <v>0</v>
      </c>
      <c r="M467" t="n">
        <v>0</v>
      </c>
      <c r="N467" t="n">
        <v>0</v>
      </c>
      <c r="O467" t="n">
        <v>0</v>
      </c>
      <c r="P467" t="n">
        <v>0</v>
      </c>
      <c r="Q467" t="n">
        <v>0</v>
      </c>
      <c r="R467" s="2" t="inlineStr"/>
    </row>
    <row r="468" ht="15" customHeight="1">
      <c r="A468" t="inlineStr">
        <is>
          <t>A 43473-2024</t>
        </is>
      </c>
      <c r="B468" s="1" t="n">
        <v>45568</v>
      </c>
      <c r="C468" s="1" t="n">
        <v>45940</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43475-2024</t>
        </is>
      </c>
      <c r="B469" s="1" t="n">
        <v>45568</v>
      </c>
      <c r="C469" s="1" t="n">
        <v>45940</v>
      </c>
      <c r="D469" t="inlineStr">
        <is>
          <t>ÖSTERGÖTLANDS LÄN</t>
        </is>
      </c>
      <c r="E469" t="inlineStr">
        <is>
          <t>LINKÖPING</t>
        </is>
      </c>
      <c r="G469" t="n">
        <v>3.2</v>
      </c>
      <c r="H469" t="n">
        <v>0</v>
      </c>
      <c r="I469" t="n">
        <v>0</v>
      </c>
      <c r="J469" t="n">
        <v>0</v>
      </c>
      <c r="K469" t="n">
        <v>0</v>
      </c>
      <c r="L469" t="n">
        <v>0</v>
      </c>
      <c r="M469" t="n">
        <v>0</v>
      </c>
      <c r="N469" t="n">
        <v>0</v>
      </c>
      <c r="O469" t="n">
        <v>0</v>
      </c>
      <c r="P469" t="n">
        <v>0</v>
      </c>
      <c r="Q469" t="n">
        <v>0</v>
      </c>
      <c r="R469" s="2" t="inlineStr"/>
    </row>
    <row r="470" ht="15" customHeight="1">
      <c r="A470" t="inlineStr">
        <is>
          <t>A 1207-2023</t>
        </is>
      </c>
      <c r="B470" s="1" t="n">
        <v>44930</v>
      </c>
      <c r="C470" s="1" t="n">
        <v>45940</v>
      </c>
      <c r="D470" t="inlineStr">
        <is>
          <t>ÖSTERGÖTLANDS LÄN</t>
        </is>
      </c>
      <c r="E470" t="inlineStr">
        <is>
          <t>LINKÖPING</t>
        </is>
      </c>
      <c r="F470" t="inlineStr">
        <is>
          <t>Övriga statliga verk och myndigheter</t>
        </is>
      </c>
      <c r="G470" t="n">
        <v>32.8</v>
      </c>
      <c r="H470" t="n">
        <v>0</v>
      </c>
      <c r="I470" t="n">
        <v>0</v>
      </c>
      <c r="J470" t="n">
        <v>0</v>
      </c>
      <c r="K470" t="n">
        <v>0</v>
      </c>
      <c r="L470" t="n">
        <v>0</v>
      </c>
      <c r="M470" t="n">
        <v>0</v>
      </c>
      <c r="N470" t="n">
        <v>0</v>
      </c>
      <c r="O470" t="n">
        <v>0</v>
      </c>
      <c r="P470" t="n">
        <v>0</v>
      </c>
      <c r="Q470" t="n">
        <v>0</v>
      </c>
      <c r="R470" s="2" t="inlineStr"/>
    </row>
    <row r="471" ht="15" customHeight="1">
      <c r="A471" t="inlineStr">
        <is>
          <t>A 29859-2024</t>
        </is>
      </c>
      <c r="B471" s="1" t="n">
        <v>45485.6846412037</v>
      </c>
      <c r="C471" s="1" t="n">
        <v>45940</v>
      </c>
      <c r="D471" t="inlineStr">
        <is>
          <t>ÖSTERGÖTLANDS LÄN</t>
        </is>
      </c>
      <c r="E471" t="inlineStr">
        <is>
          <t>LINKÖPING</t>
        </is>
      </c>
      <c r="G471" t="n">
        <v>0.4</v>
      </c>
      <c r="H471" t="n">
        <v>0</v>
      </c>
      <c r="I471" t="n">
        <v>0</v>
      </c>
      <c r="J471" t="n">
        <v>0</v>
      </c>
      <c r="K471" t="n">
        <v>0</v>
      </c>
      <c r="L471" t="n">
        <v>0</v>
      </c>
      <c r="M471" t="n">
        <v>0</v>
      </c>
      <c r="N471" t="n">
        <v>0</v>
      </c>
      <c r="O471" t="n">
        <v>0</v>
      </c>
      <c r="P471" t="n">
        <v>0</v>
      </c>
      <c r="Q471" t="n">
        <v>0</v>
      </c>
      <c r="R471" s="2" t="inlineStr"/>
    </row>
    <row r="472" ht="15" customHeight="1">
      <c r="A472" t="inlineStr">
        <is>
          <t>A 45819-2024</t>
        </is>
      </c>
      <c r="B472" s="1" t="n">
        <v>45579.7454050926</v>
      </c>
      <c r="C472" s="1" t="n">
        <v>45940</v>
      </c>
      <c r="D472" t="inlineStr">
        <is>
          <t>ÖSTERGÖTLANDS LÄN</t>
        </is>
      </c>
      <c r="E472" t="inlineStr">
        <is>
          <t>LINKÖPING</t>
        </is>
      </c>
      <c r="G472" t="n">
        <v>5</v>
      </c>
      <c r="H472" t="n">
        <v>0</v>
      </c>
      <c r="I472" t="n">
        <v>0</v>
      </c>
      <c r="J472" t="n">
        <v>0</v>
      </c>
      <c r="K472" t="n">
        <v>0</v>
      </c>
      <c r="L472" t="n">
        <v>0</v>
      </c>
      <c r="M472" t="n">
        <v>0</v>
      </c>
      <c r="N472" t="n">
        <v>0</v>
      </c>
      <c r="O472" t="n">
        <v>0</v>
      </c>
      <c r="P472" t="n">
        <v>0</v>
      </c>
      <c r="Q472" t="n">
        <v>0</v>
      </c>
      <c r="R472" s="2" t="inlineStr"/>
    </row>
    <row r="473" ht="15" customHeight="1">
      <c r="A473" t="inlineStr">
        <is>
          <t>A 15748-2025</t>
        </is>
      </c>
      <c r="B473" s="1" t="n">
        <v>45748.55282407408</v>
      </c>
      <c r="C473" s="1" t="n">
        <v>45940</v>
      </c>
      <c r="D473" t="inlineStr">
        <is>
          <t>ÖSTERGÖTLANDS LÄN</t>
        </is>
      </c>
      <c r="E473" t="inlineStr">
        <is>
          <t>LINKÖPING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15754-2025</t>
        </is>
      </c>
      <c r="B474" s="1" t="n">
        <v>45748.56105324074</v>
      </c>
      <c r="C474" s="1" t="n">
        <v>45940</v>
      </c>
      <c r="D474" t="inlineStr">
        <is>
          <t>ÖSTERGÖTLANDS LÄN</t>
        </is>
      </c>
      <c r="E474" t="inlineStr">
        <is>
          <t>LINKÖPING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30518-2024</t>
        </is>
      </c>
      <c r="B475" s="1" t="n">
        <v>45492</v>
      </c>
      <c r="C475" s="1" t="n">
        <v>45940</v>
      </c>
      <c r="D475" t="inlineStr">
        <is>
          <t>ÖSTERGÖTLANDS LÄN</t>
        </is>
      </c>
      <c r="E475" t="inlineStr">
        <is>
          <t>LINKÖPING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3007-2025</t>
        </is>
      </c>
      <c r="B476" s="1" t="n">
        <v>45678.56328703704</v>
      </c>
      <c r="C476" s="1" t="n">
        <v>45940</v>
      </c>
      <c r="D476" t="inlineStr">
        <is>
          <t>ÖSTERGÖTLANDS LÄN</t>
        </is>
      </c>
      <c r="E476" t="inlineStr">
        <is>
          <t>LINKÖPING</t>
        </is>
      </c>
      <c r="G476" t="n">
        <v>3.1</v>
      </c>
      <c r="H476" t="n">
        <v>0</v>
      </c>
      <c r="I476" t="n">
        <v>0</v>
      </c>
      <c r="J476" t="n">
        <v>0</v>
      </c>
      <c r="K476" t="n">
        <v>0</v>
      </c>
      <c r="L476" t="n">
        <v>0</v>
      </c>
      <c r="M476" t="n">
        <v>0</v>
      </c>
      <c r="N476" t="n">
        <v>0</v>
      </c>
      <c r="O476" t="n">
        <v>0</v>
      </c>
      <c r="P476" t="n">
        <v>0</v>
      </c>
      <c r="Q476" t="n">
        <v>0</v>
      </c>
      <c r="R476" s="2" t="inlineStr"/>
    </row>
    <row r="477" ht="15" customHeight="1">
      <c r="A477" t="inlineStr">
        <is>
          <t>A 10492-2022</t>
        </is>
      </c>
      <c r="B477" s="1" t="n">
        <v>44623.6377199074</v>
      </c>
      <c r="C477" s="1" t="n">
        <v>45940</v>
      </c>
      <c r="D477" t="inlineStr">
        <is>
          <t>ÖSTERGÖTLANDS LÄN</t>
        </is>
      </c>
      <c r="E477" t="inlineStr">
        <is>
          <t>LINKÖPING</t>
        </is>
      </c>
      <c r="G477" t="n">
        <v>2.1</v>
      </c>
      <c r="H477" t="n">
        <v>0</v>
      </c>
      <c r="I477" t="n">
        <v>0</v>
      </c>
      <c r="J477" t="n">
        <v>0</v>
      </c>
      <c r="K477" t="n">
        <v>0</v>
      </c>
      <c r="L477" t="n">
        <v>0</v>
      </c>
      <c r="M477" t="n">
        <v>0</v>
      </c>
      <c r="N477" t="n">
        <v>0</v>
      </c>
      <c r="O477" t="n">
        <v>0</v>
      </c>
      <c r="P477" t="n">
        <v>0</v>
      </c>
      <c r="Q477" t="n">
        <v>0</v>
      </c>
      <c r="R477" s="2" t="inlineStr"/>
    </row>
    <row r="478" ht="15" customHeight="1">
      <c r="A478" t="inlineStr">
        <is>
          <t>A 53797-2023</t>
        </is>
      </c>
      <c r="B478" s="1" t="n">
        <v>45230</v>
      </c>
      <c r="C478" s="1" t="n">
        <v>45940</v>
      </c>
      <c r="D478" t="inlineStr">
        <is>
          <t>ÖSTERGÖTLANDS LÄN</t>
        </is>
      </c>
      <c r="E478" t="inlineStr">
        <is>
          <t>LINKÖPING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55345-2021</t>
        </is>
      </c>
      <c r="B479" s="1" t="n">
        <v>44475</v>
      </c>
      <c r="C479" s="1" t="n">
        <v>45940</v>
      </c>
      <c r="D479" t="inlineStr">
        <is>
          <t>ÖSTERGÖTLANDS LÄN</t>
        </is>
      </c>
      <c r="E479" t="inlineStr">
        <is>
          <t>LINKÖPING</t>
        </is>
      </c>
      <c r="G479" t="n">
        <v>5.7</v>
      </c>
      <c r="H479" t="n">
        <v>0</v>
      </c>
      <c r="I479" t="n">
        <v>0</v>
      </c>
      <c r="J479" t="n">
        <v>0</v>
      </c>
      <c r="K479" t="n">
        <v>0</v>
      </c>
      <c r="L479" t="n">
        <v>0</v>
      </c>
      <c r="M479" t="n">
        <v>0</v>
      </c>
      <c r="N479" t="n">
        <v>0</v>
      </c>
      <c r="O479" t="n">
        <v>0</v>
      </c>
      <c r="P479" t="n">
        <v>0</v>
      </c>
      <c r="Q479" t="n">
        <v>0</v>
      </c>
      <c r="R479" s="2" t="inlineStr"/>
    </row>
    <row r="480" ht="15" customHeight="1">
      <c r="A480" t="inlineStr">
        <is>
          <t>A 59954-2020</t>
        </is>
      </c>
      <c r="B480" s="1" t="n">
        <v>44151</v>
      </c>
      <c r="C480" s="1" t="n">
        <v>45940</v>
      </c>
      <c r="D480" t="inlineStr">
        <is>
          <t>ÖSTERGÖTLANDS LÄN</t>
        </is>
      </c>
      <c r="E480" t="inlineStr">
        <is>
          <t>LINKÖPING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59969-2020</t>
        </is>
      </c>
      <c r="B481" s="1" t="n">
        <v>44151</v>
      </c>
      <c r="C481" s="1" t="n">
        <v>45940</v>
      </c>
      <c r="D481" t="inlineStr">
        <is>
          <t>ÖSTERGÖTLANDS LÄN</t>
        </is>
      </c>
      <c r="E481" t="inlineStr">
        <is>
          <t>LINKÖPING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30465-2023</t>
        </is>
      </c>
      <c r="B482" s="1" t="n">
        <v>45111</v>
      </c>
      <c r="C482" s="1" t="n">
        <v>45940</v>
      </c>
      <c r="D482" t="inlineStr">
        <is>
          <t>ÖSTERGÖTLANDS LÄN</t>
        </is>
      </c>
      <c r="E482" t="inlineStr">
        <is>
          <t>LINKÖPING</t>
        </is>
      </c>
      <c r="F482" t="inlineStr">
        <is>
          <t>Övriga Aktiebolag</t>
        </is>
      </c>
      <c r="G482" t="n">
        <v>0.7</v>
      </c>
      <c r="H482" t="n">
        <v>0</v>
      </c>
      <c r="I482" t="n">
        <v>0</v>
      </c>
      <c r="J482" t="n">
        <v>0</v>
      </c>
      <c r="K482" t="n">
        <v>0</v>
      </c>
      <c r="L482" t="n">
        <v>0</v>
      </c>
      <c r="M482" t="n">
        <v>0</v>
      </c>
      <c r="N482" t="n">
        <v>0</v>
      </c>
      <c r="O482" t="n">
        <v>0</v>
      </c>
      <c r="P482" t="n">
        <v>0</v>
      </c>
      <c r="Q482" t="n">
        <v>0</v>
      </c>
      <c r="R482" s="2" t="inlineStr"/>
    </row>
    <row r="483" ht="15" customHeight="1">
      <c r="A483" t="inlineStr">
        <is>
          <t>A 10198-2023</t>
        </is>
      </c>
      <c r="B483" s="1" t="n">
        <v>44986.54665509259</v>
      </c>
      <c r="C483" s="1" t="n">
        <v>45940</v>
      </c>
      <c r="D483" t="inlineStr">
        <is>
          <t>ÖSTERGÖTLANDS LÄN</t>
        </is>
      </c>
      <c r="E483" t="inlineStr">
        <is>
          <t>LINKÖPING</t>
        </is>
      </c>
      <c r="G483" t="n">
        <v>4.6</v>
      </c>
      <c r="H483" t="n">
        <v>0</v>
      </c>
      <c r="I483" t="n">
        <v>0</v>
      </c>
      <c r="J483" t="n">
        <v>0</v>
      </c>
      <c r="K483" t="n">
        <v>0</v>
      </c>
      <c r="L483" t="n">
        <v>0</v>
      </c>
      <c r="M483" t="n">
        <v>0</v>
      </c>
      <c r="N483" t="n">
        <v>0</v>
      </c>
      <c r="O483" t="n">
        <v>0</v>
      </c>
      <c r="P483" t="n">
        <v>0</v>
      </c>
      <c r="Q483" t="n">
        <v>0</v>
      </c>
      <c r="R483" s="2" t="inlineStr"/>
    </row>
    <row r="484" ht="15" customHeight="1">
      <c r="A484" t="inlineStr">
        <is>
          <t>A 39021-2021</t>
        </is>
      </c>
      <c r="B484" s="1" t="n">
        <v>44412</v>
      </c>
      <c r="C484" s="1" t="n">
        <v>45940</v>
      </c>
      <c r="D484" t="inlineStr">
        <is>
          <t>ÖSTERGÖTLANDS LÄN</t>
        </is>
      </c>
      <c r="E484" t="inlineStr">
        <is>
          <t>LINKÖPING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4298-2023</t>
        </is>
      </c>
      <c r="B485" s="1" t="n">
        <v>44953</v>
      </c>
      <c r="C485" s="1" t="n">
        <v>45940</v>
      </c>
      <c r="D485" t="inlineStr">
        <is>
          <t>ÖSTERGÖTLANDS LÄN</t>
        </is>
      </c>
      <c r="E485" t="inlineStr">
        <is>
          <t>LINKÖPING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62353-2022</t>
        </is>
      </c>
      <c r="B486" s="1" t="n">
        <v>44923</v>
      </c>
      <c r="C486" s="1" t="n">
        <v>45940</v>
      </c>
      <c r="D486" t="inlineStr">
        <is>
          <t>ÖSTERGÖTLANDS LÄN</t>
        </is>
      </c>
      <c r="E486" t="inlineStr">
        <is>
          <t>LINKÖPING</t>
        </is>
      </c>
      <c r="F486" t="inlineStr">
        <is>
          <t>Allmännings- och besparingsskogar</t>
        </is>
      </c>
      <c r="G486" t="n">
        <v>1.7</v>
      </c>
      <c r="H486" t="n">
        <v>0</v>
      </c>
      <c r="I486" t="n">
        <v>0</v>
      </c>
      <c r="J486" t="n">
        <v>0</v>
      </c>
      <c r="K486" t="n">
        <v>0</v>
      </c>
      <c r="L486" t="n">
        <v>0</v>
      </c>
      <c r="M486" t="n">
        <v>0</v>
      </c>
      <c r="N486" t="n">
        <v>0</v>
      </c>
      <c r="O486" t="n">
        <v>0</v>
      </c>
      <c r="P486" t="n">
        <v>0</v>
      </c>
      <c r="Q486" t="n">
        <v>0</v>
      </c>
      <c r="R486" s="2" t="inlineStr"/>
    </row>
    <row r="487" ht="15" customHeight="1">
      <c r="A487" t="inlineStr">
        <is>
          <t>A 30111-2024</t>
        </is>
      </c>
      <c r="B487" s="1" t="n">
        <v>45489.46947916667</v>
      </c>
      <c r="C487" s="1" t="n">
        <v>45940</v>
      </c>
      <c r="D487" t="inlineStr">
        <is>
          <t>ÖSTERGÖTLANDS LÄN</t>
        </is>
      </c>
      <c r="E487" t="inlineStr">
        <is>
          <t>LINKÖPING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30119-2024</t>
        </is>
      </c>
      <c r="B488" s="1" t="n">
        <v>45489</v>
      </c>
      <c r="C488" s="1" t="n">
        <v>45940</v>
      </c>
      <c r="D488" t="inlineStr">
        <is>
          <t>ÖSTERGÖTLANDS LÄN</t>
        </is>
      </c>
      <c r="E488" t="inlineStr">
        <is>
          <t>LINKÖPING</t>
        </is>
      </c>
      <c r="G488" t="n">
        <v>1.7</v>
      </c>
      <c r="H488" t="n">
        <v>0</v>
      </c>
      <c r="I488" t="n">
        <v>0</v>
      </c>
      <c r="J488" t="n">
        <v>0</v>
      </c>
      <c r="K488" t="n">
        <v>0</v>
      </c>
      <c r="L488" t="n">
        <v>0</v>
      </c>
      <c r="M488" t="n">
        <v>0</v>
      </c>
      <c r="N488" t="n">
        <v>0</v>
      </c>
      <c r="O488" t="n">
        <v>0</v>
      </c>
      <c r="P488" t="n">
        <v>0</v>
      </c>
      <c r="Q488" t="n">
        <v>0</v>
      </c>
      <c r="R488" s="2" t="inlineStr"/>
    </row>
    <row r="489" ht="15" customHeight="1">
      <c r="A489" t="inlineStr">
        <is>
          <t>A 31581-2025</t>
        </is>
      </c>
      <c r="B489" s="1" t="n">
        <v>45833.6840162037</v>
      </c>
      <c r="C489" s="1" t="n">
        <v>45940</v>
      </c>
      <c r="D489" t="inlineStr">
        <is>
          <t>ÖSTERGÖTLANDS LÄN</t>
        </is>
      </c>
      <c r="E489" t="inlineStr">
        <is>
          <t>LINKÖPING</t>
        </is>
      </c>
      <c r="G489" t="n">
        <v>2.6</v>
      </c>
      <c r="H489" t="n">
        <v>0</v>
      </c>
      <c r="I489" t="n">
        <v>0</v>
      </c>
      <c r="J489" t="n">
        <v>0</v>
      </c>
      <c r="K489" t="n">
        <v>0</v>
      </c>
      <c r="L489" t="n">
        <v>0</v>
      </c>
      <c r="M489" t="n">
        <v>0</v>
      </c>
      <c r="N489" t="n">
        <v>0</v>
      </c>
      <c r="O489" t="n">
        <v>0</v>
      </c>
      <c r="P489" t="n">
        <v>0</v>
      </c>
      <c r="Q489" t="n">
        <v>0</v>
      </c>
      <c r="R489" s="2" t="inlineStr"/>
    </row>
    <row r="490" ht="15" customHeight="1">
      <c r="A490" t="inlineStr">
        <is>
          <t>A 31585-2025</t>
        </is>
      </c>
      <c r="B490" s="1" t="n">
        <v>45833.68815972222</v>
      </c>
      <c r="C490" s="1" t="n">
        <v>45940</v>
      </c>
      <c r="D490" t="inlineStr">
        <is>
          <t>ÖSTERGÖTLANDS LÄN</t>
        </is>
      </c>
      <c r="E490" t="inlineStr">
        <is>
          <t>LINKÖPING</t>
        </is>
      </c>
      <c r="G490" t="n">
        <v>1.6</v>
      </c>
      <c r="H490" t="n">
        <v>0</v>
      </c>
      <c r="I490" t="n">
        <v>0</v>
      </c>
      <c r="J490" t="n">
        <v>0</v>
      </c>
      <c r="K490" t="n">
        <v>0</v>
      </c>
      <c r="L490" t="n">
        <v>0</v>
      </c>
      <c r="M490" t="n">
        <v>0</v>
      </c>
      <c r="N490" t="n">
        <v>0</v>
      </c>
      <c r="O490" t="n">
        <v>0</v>
      </c>
      <c r="P490" t="n">
        <v>0</v>
      </c>
      <c r="Q490" t="n">
        <v>0</v>
      </c>
      <c r="R490" s="2" t="inlineStr"/>
    </row>
    <row r="491" ht="15" customHeight="1">
      <c r="A491" t="inlineStr">
        <is>
          <t>A 29411-2023</t>
        </is>
      </c>
      <c r="B491" s="1" t="n">
        <v>45106.46225694445</v>
      </c>
      <c r="C491" s="1" t="n">
        <v>45940</v>
      </c>
      <c r="D491" t="inlineStr">
        <is>
          <t>ÖSTERGÖTLANDS LÄN</t>
        </is>
      </c>
      <c r="E491" t="inlineStr">
        <is>
          <t>LINKÖPING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29412-2023</t>
        </is>
      </c>
      <c r="B492" s="1" t="n">
        <v>45106.46359953703</v>
      </c>
      <c r="C492" s="1" t="n">
        <v>45940</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31792-2021</t>
        </is>
      </c>
      <c r="B493" s="1" t="n">
        <v>44369</v>
      </c>
      <c r="C493" s="1" t="n">
        <v>45940</v>
      </c>
      <c r="D493" t="inlineStr">
        <is>
          <t>ÖSTERGÖTLANDS LÄN</t>
        </is>
      </c>
      <c r="E493" t="inlineStr">
        <is>
          <t>LINKÖPING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12428-2024</t>
        </is>
      </c>
      <c r="B494" s="1" t="n">
        <v>45379</v>
      </c>
      <c r="C494" s="1" t="n">
        <v>45940</v>
      </c>
      <c r="D494" t="inlineStr">
        <is>
          <t>ÖSTERGÖTLANDS LÄN</t>
        </is>
      </c>
      <c r="E494" t="inlineStr">
        <is>
          <t>LINKÖPING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421-2024</t>
        </is>
      </c>
      <c r="B495" s="1" t="n">
        <v>45296.51877314815</v>
      </c>
      <c r="C495" s="1" t="n">
        <v>45940</v>
      </c>
      <c r="D495" t="inlineStr">
        <is>
          <t>ÖSTERGÖTLANDS LÄN</t>
        </is>
      </c>
      <c r="E495" t="inlineStr">
        <is>
          <t>LINKÖPING</t>
        </is>
      </c>
      <c r="G495" t="n">
        <v>3.7</v>
      </c>
      <c r="H495" t="n">
        <v>0</v>
      </c>
      <c r="I495" t="n">
        <v>0</v>
      </c>
      <c r="J495" t="n">
        <v>0</v>
      </c>
      <c r="K495" t="n">
        <v>0</v>
      </c>
      <c r="L495" t="n">
        <v>0</v>
      </c>
      <c r="M495" t="n">
        <v>0</v>
      </c>
      <c r="N495" t="n">
        <v>0</v>
      </c>
      <c r="O495" t="n">
        <v>0</v>
      </c>
      <c r="P495" t="n">
        <v>0</v>
      </c>
      <c r="Q495" t="n">
        <v>0</v>
      </c>
      <c r="R495" s="2" t="inlineStr"/>
    </row>
    <row r="496" ht="15" customHeight="1">
      <c r="A496" t="inlineStr">
        <is>
          <t>A 26618-2023</t>
        </is>
      </c>
      <c r="B496" s="1" t="n">
        <v>45092.70306712963</v>
      </c>
      <c r="C496" s="1" t="n">
        <v>45940</v>
      </c>
      <c r="D496" t="inlineStr">
        <is>
          <t>ÖSTERGÖTLANDS LÄN</t>
        </is>
      </c>
      <c r="E496" t="inlineStr">
        <is>
          <t>LINKÖPING</t>
        </is>
      </c>
      <c r="G496" t="n">
        <v>6.9</v>
      </c>
      <c r="H496" t="n">
        <v>0</v>
      </c>
      <c r="I496" t="n">
        <v>0</v>
      </c>
      <c r="J496" t="n">
        <v>0</v>
      </c>
      <c r="K496" t="n">
        <v>0</v>
      </c>
      <c r="L496" t="n">
        <v>0</v>
      </c>
      <c r="M496" t="n">
        <v>0</v>
      </c>
      <c r="N496" t="n">
        <v>0</v>
      </c>
      <c r="O496" t="n">
        <v>0</v>
      </c>
      <c r="P496" t="n">
        <v>0</v>
      </c>
      <c r="Q496" t="n">
        <v>0</v>
      </c>
      <c r="R496" s="2" t="inlineStr"/>
    </row>
    <row r="497" ht="15" customHeight="1">
      <c r="A497" t="inlineStr">
        <is>
          <t>A 22043-2023</t>
        </is>
      </c>
      <c r="B497" s="1" t="n">
        <v>45069.39050925926</v>
      </c>
      <c r="C497" s="1" t="n">
        <v>45940</v>
      </c>
      <c r="D497" t="inlineStr">
        <is>
          <t>ÖSTERGÖTLANDS LÄN</t>
        </is>
      </c>
      <c r="E497" t="inlineStr">
        <is>
          <t>LINKÖPING</t>
        </is>
      </c>
      <c r="G497" t="n">
        <v>5.9</v>
      </c>
      <c r="H497" t="n">
        <v>0</v>
      </c>
      <c r="I497" t="n">
        <v>0</v>
      </c>
      <c r="J497" t="n">
        <v>0</v>
      </c>
      <c r="K497" t="n">
        <v>0</v>
      </c>
      <c r="L497" t="n">
        <v>0</v>
      </c>
      <c r="M497" t="n">
        <v>0</v>
      </c>
      <c r="N497" t="n">
        <v>0</v>
      </c>
      <c r="O497" t="n">
        <v>0</v>
      </c>
      <c r="P497" t="n">
        <v>0</v>
      </c>
      <c r="Q497" t="n">
        <v>0</v>
      </c>
      <c r="R497" s="2" t="inlineStr"/>
    </row>
    <row r="498" ht="15" customHeight="1">
      <c r="A498" t="inlineStr">
        <is>
          <t>A 34930-2023</t>
        </is>
      </c>
      <c r="B498" s="1" t="n">
        <v>45142</v>
      </c>
      <c r="C498" s="1" t="n">
        <v>45940</v>
      </c>
      <c r="D498" t="inlineStr">
        <is>
          <t>ÖSTERGÖTLANDS LÄN</t>
        </is>
      </c>
      <c r="E498" t="inlineStr">
        <is>
          <t>LINKÖPING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670-2024</t>
        </is>
      </c>
      <c r="B499" s="1" t="n">
        <v>45300.3408912037</v>
      </c>
      <c r="C499" s="1" t="n">
        <v>45940</v>
      </c>
      <c r="D499" t="inlineStr">
        <is>
          <t>ÖSTERGÖTLANDS LÄN</t>
        </is>
      </c>
      <c r="E499" t="inlineStr">
        <is>
          <t>LINKÖPING</t>
        </is>
      </c>
      <c r="F499" t="inlineStr">
        <is>
          <t>Sveaskog</t>
        </is>
      </c>
      <c r="G499" t="n">
        <v>2.3</v>
      </c>
      <c r="H499" t="n">
        <v>0</v>
      </c>
      <c r="I499" t="n">
        <v>0</v>
      </c>
      <c r="J499" t="n">
        <v>0</v>
      </c>
      <c r="K499" t="n">
        <v>0</v>
      </c>
      <c r="L499" t="n">
        <v>0</v>
      </c>
      <c r="M499" t="n">
        <v>0</v>
      </c>
      <c r="N499" t="n">
        <v>0</v>
      </c>
      <c r="O499" t="n">
        <v>0</v>
      </c>
      <c r="P499" t="n">
        <v>0</v>
      </c>
      <c r="Q499" t="n">
        <v>0</v>
      </c>
      <c r="R499" s="2" t="inlineStr"/>
    </row>
    <row r="500" ht="15" customHeight="1">
      <c r="A500" t="inlineStr">
        <is>
          <t>A 61532-2021</t>
        </is>
      </c>
      <c r="B500" s="1" t="n">
        <v>44501</v>
      </c>
      <c r="C500" s="1" t="n">
        <v>45940</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14028-2024</t>
        </is>
      </c>
      <c r="B501" s="1" t="n">
        <v>45392</v>
      </c>
      <c r="C501" s="1" t="n">
        <v>45940</v>
      </c>
      <c r="D501" t="inlineStr">
        <is>
          <t>ÖSTERGÖTLANDS LÄN</t>
        </is>
      </c>
      <c r="E501" t="inlineStr">
        <is>
          <t>LINKÖPING</t>
        </is>
      </c>
      <c r="G501" t="n">
        <v>1.7</v>
      </c>
      <c r="H501" t="n">
        <v>0</v>
      </c>
      <c r="I501" t="n">
        <v>0</v>
      </c>
      <c r="J501" t="n">
        <v>0</v>
      </c>
      <c r="K501" t="n">
        <v>0</v>
      </c>
      <c r="L501" t="n">
        <v>0</v>
      </c>
      <c r="M501" t="n">
        <v>0</v>
      </c>
      <c r="N501" t="n">
        <v>0</v>
      </c>
      <c r="O501" t="n">
        <v>0</v>
      </c>
      <c r="P501" t="n">
        <v>0</v>
      </c>
      <c r="Q501" t="n">
        <v>0</v>
      </c>
      <c r="R501" s="2" t="inlineStr"/>
    </row>
    <row r="502" ht="15" customHeight="1">
      <c r="A502" t="inlineStr">
        <is>
          <t>A 40431-2024</t>
        </is>
      </c>
      <c r="B502" s="1" t="n">
        <v>45555.47070601852</v>
      </c>
      <c r="C502" s="1" t="n">
        <v>45940</v>
      </c>
      <c r="D502" t="inlineStr">
        <is>
          <t>ÖSTERGÖTLANDS LÄN</t>
        </is>
      </c>
      <c r="E502" t="inlineStr">
        <is>
          <t>LINKÖPING</t>
        </is>
      </c>
      <c r="F502" t="inlineStr">
        <is>
          <t>Allmännings- och besparingsskogar</t>
        </is>
      </c>
      <c r="G502" t="n">
        <v>2.9</v>
      </c>
      <c r="H502" t="n">
        <v>0</v>
      </c>
      <c r="I502" t="n">
        <v>0</v>
      </c>
      <c r="J502" t="n">
        <v>0</v>
      </c>
      <c r="K502" t="n">
        <v>0</v>
      </c>
      <c r="L502" t="n">
        <v>0</v>
      </c>
      <c r="M502" t="n">
        <v>0</v>
      </c>
      <c r="N502" t="n">
        <v>0</v>
      </c>
      <c r="O502" t="n">
        <v>0</v>
      </c>
      <c r="P502" t="n">
        <v>0</v>
      </c>
      <c r="Q502" t="n">
        <v>0</v>
      </c>
      <c r="R502" s="2" t="inlineStr"/>
    </row>
    <row r="503" ht="15" customHeight="1">
      <c r="A503" t="inlineStr">
        <is>
          <t>A 63845-2021</t>
        </is>
      </c>
      <c r="B503" s="1" t="n">
        <v>44509</v>
      </c>
      <c r="C503" s="1" t="n">
        <v>45940</v>
      </c>
      <c r="D503" t="inlineStr">
        <is>
          <t>ÖSTERGÖTLANDS LÄN</t>
        </is>
      </c>
      <c r="E503" t="inlineStr">
        <is>
          <t>LINKÖPING</t>
        </is>
      </c>
      <c r="G503" t="n">
        <v>5</v>
      </c>
      <c r="H503" t="n">
        <v>0</v>
      </c>
      <c r="I503" t="n">
        <v>0</v>
      </c>
      <c r="J503" t="n">
        <v>0</v>
      </c>
      <c r="K503" t="n">
        <v>0</v>
      </c>
      <c r="L503" t="n">
        <v>0</v>
      </c>
      <c r="M503" t="n">
        <v>0</v>
      </c>
      <c r="N503" t="n">
        <v>0</v>
      </c>
      <c r="O503" t="n">
        <v>0</v>
      </c>
      <c r="P503" t="n">
        <v>0</v>
      </c>
      <c r="Q503" t="n">
        <v>0</v>
      </c>
      <c r="R503" s="2" t="inlineStr"/>
    </row>
    <row r="504" ht="15" customHeight="1">
      <c r="A504" t="inlineStr">
        <is>
          <t>A 54034-2022</t>
        </is>
      </c>
      <c r="B504" s="1" t="n">
        <v>44881</v>
      </c>
      <c r="C504" s="1" t="n">
        <v>45940</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60860-2024</t>
        </is>
      </c>
      <c r="B505" s="1" t="n">
        <v>45644.6893287037</v>
      </c>
      <c r="C505" s="1" t="n">
        <v>45940</v>
      </c>
      <c r="D505" t="inlineStr">
        <is>
          <t>ÖSTERGÖTLANDS LÄN</t>
        </is>
      </c>
      <c r="E505" t="inlineStr">
        <is>
          <t>LINKÖPING</t>
        </is>
      </c>
      <c r="G505" t="n">
        <v>1.3</v>
      </c>
      <c r="H505" t="n">
        <v>0</v>
      </c>
      <c r="I505" t="n">
        <v>0</v>
      </c>
      <c r="J505" t="n">
        <v>0</v>
      </c>
      <c r="K505" t="n">
        <v>0</v>
      </c>
      <c r="L505" t="n">
        <v>0</v>
      </c>
      <c r="M505" t="n">
        <v>0</v>
      </c>
      <c r="N505" t="n">
        <v>0</v>
      </c>
      <c r="O505" t="n">
        <v>0</v>
      </c>
      <c r="P505" t="n">
        <v>0</v>
      </c>
      <c r="Q505" t="n">
        <v>0</v>
      </c>
      <c r="R505" s="2" t="inlineStr"/>
    </row>
    <row r="506" ht="15" customHeight="1">
      <c r="A506" t="inlineStr">
        <is>
          <t>A 2697-2023</t>
        </is>
      </c>
      <c r="B506" s="1" t="n">
        <v>44944</v>
      </c>
      <c r="C506" s="1" t="n">
        <v>45940</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32723-2025</t>
        </is>
      </c>
      <c r="B507" s="1" t="n">
        <v>45838</v>
      </c>
      <c r="C507" s="1" t="n">
        <v>45940</v>
      </c>
      <c r="D507" t="inlineStr">
        <is>
          <t>ÖSTERGÖTLANDS LÄN</t>
        </is>
      </c>
      <c r="E507" t="inlineStr">
        <is>
          <t>LINKÖPING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36336-2023</t>
        </is>
      </c>
      <c r="B508" s="1" t="n">
        <v>45152.45078703704</v>
      </c>
      <c r="C508" s="1" t="n">
        <v>45940</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48829-2023</t>
        </is>
      </c>
      <c r="B509" s="1" t="n">
        <v>45209.38177083333</v>
      </c>
      <c r="C509" s="1" t="n">
        <v>45940</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45806-2024</t>
        </is>
      </c>
      <c r="B510" s="1" t="n">
        <v>45579.69619212963</v>
      </c>
      <c r="C510" s="1" t="n">
        <v>45940</v>
      </c>
      <c r="D510" t="inlineStr">
        <is>
          <t>ÖSTERGÖTLANDS LÄN</t>
        </is>
      </c>
      <c r="E510" t="inlineStr">
        <is>
          <t>LINKÖPING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56756-2023</t>
        </is>
      </c>
      <c r="B511" s="1" t="n">
        <v>45244</v>
      </c>
      <c r="C511" s="1" t="n">
        <v>45940</v>
      </c>
      <c r="D511" t="inlineStr">
        <is>
          <t>ÖSTERGÖTLANDS LÄN</t>
        </is>
      </c>
      <c r="E511" t="inlineStr">
        <is>
          <t>LINKÖPING</t>
        </is>
      </c>
      <c r="F511" t="inlineStr">
        <is>
          <t>Övriga Aktiebolag</t>
        </is>
      </c>
      <c r="G511" t="n">
        <v>0.8</v>
      </c>
      <c r="H511" t="n">
        <v>0</v>
      </c>
      <c r="I511" t="n">
        <v>0</v>
      </c>
      <c r="J511" t="n">
        <v>0</v>
      </c>
      <c r="K511" t="n">
        <v>0</v>
      </c>
      <c r="L511" t="n">
        <v>0</v>
      </c>
      <c r="M511" t="n">
        <v>0</v>
      </c>
      <c r="N511" t="n">
        <v>0</v>
      </c>
      <c r="O511" t="n">
        <v>0</v>
      </c>
      <c r="P511" t="n">
        <v>0</v>
      </c>
      <c r="Q511" t="n">
        <v>0</v>
      </c>
      <c r="R511" s="2" t="inlineStr"/>
    </row>
    <row r="512" ht="15" customHeight="1">
      <c r="A512" t="inlineStr">
        <is>
          <t>A 60985-2023</t>
        </is>
      </c>
      <c r="B512" s="1" t="n">
        <v>45261.48429398148</v>
      </c>
      <c r="C512" s="1" t="n">
        <v>45940</v>
      </c>
      <c r="D512" t="inlineStr">
        <is>
          <t>ÖSTERGÖTLANDS LÄN</t>
        </is>
      </c>
      <c r="E512" t="inlineStr">
        <is>
          <t>LINKÖPING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24904-2024</t>
        </is>
      </c>
      <c r="B513" s="1" t="n">
        <v>45461</v>
      </c>
      <c r="C513" s="1" t="n">
        <v>45940</v>
      </c>
      <c r="D513" t="inlineStr">
        <is>
          <t>ÖSTERGÖTLANDS LÄN</t>
        </is>
      </c>
      <c r="E513" t="inlineStr">
        <is>
          <t>LINKÖPING</t>
        </is>
      </c>
      <c r="G513" t="n">
        <v>3.8</v>
      </c>
      <c r="H513" t="n">
        <v>0</v>
      </c>
      <c r="I513" t="n">
        <v>0</v>
      </c>
      <c r="J513" t="n">
        <v>0</v>
      </c>
      <c r="K513" t="n">
        <v>0</v>
      </c>
      <c r="L513" t="n">
        <v>0</v>
      </c>
      <c r="M513" t="n">
        <v>0</v>
      </c>
      <c r="N513" t="n">
        <v>0</v>
      </c>
      <c r="O513" t="n">
        <v>0</v>
      </c>
      <c r="P513" t="n">
        <v>0</v>
      </c>
      <c r="Q513" t="n">
        <v>0</v>
      </c>
      <c r="R513" s="2" t="inlineStr"/>
    </row>
    <row r="514" ht="15" customHeight="1">
      <c r="A514" t="inlineStr">
        <is>
          <t>A 55009-2023</t>
        </is>
      </c>
      <c r="B514" s="1" t="n">
        <v>45237</v>
      </c>
      <c r="C514" s="1" t="n">
        <v>45940</v>
      </c>
      <c r="D514" t="inlineStr">
        <is>
          <t>ÖSTERGÖTLANDS LÄN</t>
        </is>
      </c>
      <c r="E514" t="inlineStr">
        <is>
          <t>LINKÖPING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34872-2023</t>
        </is>
      </c>
      <c r="B515" s="1" t="n">
        <v>45140</v>
      </c>
      <c r="C515" s="1" t="n">
        <v>45940</v>
      </c>
      <c r="D515" t="inlineStr">
        <is>
          <t>ÖSTERGÖTLANDS LÄN</t>
        </is>
      </c>
      <c r="E515" t="inlineStr">
        <is>
          <t>LINKÖPING</t>
        </is>
      </c>
      <c r="G515" t="n">
        <v>4.8</v>
      </c>
      <c r="H515" t="n">
        <v>0</v>
      </c>
      <c r="I515" t="n">
        <v>0</v>
      </c>
      <c r="J515" t="n">
        <v>0</v>
      </c>
      <c r="K515" t="n">
        <v>0</v>
      </c>
      <c r="L515" t="n">
        <v>0</v>
      </c>
      <c r="M515" t="n">
        <v>0</v>
      </c>
      <c r="N515" t="n">
        <v>0</v>
      </c>
      <c r="O515" t="n">
        <v>0</v>
      </c>
      <c r="P515" t="n">
        <v>0</v>
      </c>
      <c r="Q515" t="n">
        <v>0</v>
      </c>
      <c r="R515" s="2" t="inlineStr"/>
    </row>
    <row r="516" ht="15" customHeight="1">
      <c r="A516" t="inlineStr">
        <is>
          <t>A 48186-2022</t>
        </is>
      </c>
      <c r="B516" s="1" t="n">
        <v>44858</v>
      </c>
      <c r="C516" s="1" t="n">
        <v>45940</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63669-2023</t>
        </is>
      </c>
      <c r="B517" s="1" t="n">
        <v>45275</v>
      </c>
      <c r="C517" s="1" t="n">
        <v>45940</v>
      </c>
      <c r="D517" t="inlineStr">
        <is>
          <t>ÖSTERGÖTLANDS LÄN</t>
        </is>
      </c>
      <c r="E517" t="inlineStr">
        <is>
          <t>LINKÖPING</t>
        </is>
      </c>
      <c r="F517" t="inlineStr">
        <is>
          <t>Övriga Aktiebolag</t>
        </is>
      </c>
      <c r="G517" t="n">
        <v>3</v>
      </c>
      <c r="H517" t="n">
        <v>0</v>
      </c>
      <c r="I517" t="n">
        <v>0</v>
      </c>
      <c r="J517" t="n">
        <v>0</v>
      </c>
      <c r="K517" t="n">
        <v>0</v>
      </c>
      <c r="L517" t="n">
        <v>0</v>
      </c>
      <c r="M517" t="n">
        <v>0</v>
      </c>
      <c r="N517" t="n">
        <v>0</v>
      </c>
      <c r="O517" t="n">
        <v>0</v>
      </c>
      <c r="P517" t="n">
        <v>0</v>
      </c>
      <c r="Q517" t="n">
        <v>0</v>
      </c>
      <c r="R517" s="2" t="inlineStr"/>
    </row>
    <row r="518" ht="15" customHeight="1">
      <c r="A518" t="inlineStr">
        <is>
          <t>A 24586-2024</t>
        </is>
      </c>
      <c r="B518" s="1" t="n">
        <v>45460.46664351852</v>
      </c>
      <c r="C518" s="1" t="n">
        <v>45940</v>
      </c>
      <c r="D518" t="inlineStr">
        <is>
          <t>ÖSTERGÖTLANDS LÄN</t>
        </is>
      </c>
      <c r="E518" t="inlineStr">
        <is>
          <t>LINKÖPING</t>
        </is>
      </c>
      <c r="G518" t="n">
        <v>4</v>
      </c>
      <c r="H518" t="n">
        <v>0</v>
      </c>
      <c r="I518" t="n">
        <v>0</v>
      </c>
      <c r="J518" t="n">
        <v>0</v>
      </c>
      <c r="K518" t="n">
        <v>0</v>
      </c>
      <c r="L518" t="n">
        <v>0</v>
      </c>
      <c r="M518" t="n">
        <v>0</v>
      </c>
      <c r="N518" t="n">
        <v>0</v>
      </c>
      <c r="O518" t="n">
        <v>0</v>
      </c>
      <c r="P518" t="n">
        <v>0</v>
      </c>
      <c r="Q518" t="n">
        <v>0</v>
      </c>
      <c r="R518" s="2" t="inlineStr"/>
    </row>
    <row r="519" ht="15" customHeight="1">
      <c r="A519" t="inlineStr">
        <is>
          <t>A 59576-2024</t>
        </is>
      </c>
      <c r="B519" s="1" t="n">
        <v>45638.66378472222</v>
      </c>
      <c r="C519" s="1" t="n">
        <v>45940</v>
      </c>
      <c r="D519" t="inlineStr">
        <is>
          <t>ÖSTERGÖTLANDS LÄN</t>
        </is>
      </c>
      <c r="E519" t="inlineStr">
        <is>
          <t>LINKÖPING</t>
        </is>
      </c>
      <c r="G519" t="n">
        <v>1.6</v>
      </c>
      <c r="H519" t="n">
        <v>0</v>
      </c>
      <c r="I519" t="n">
        <v>0</v>
      </c>
      <c r="J519" t="n">
        <v>0</v>
      </c>
      <c r="K519" t="n">
        <v>0</v>
      </c>
      <c r="L519" t="n">
        <v>0</v>
      </c>
      <c r="M519" t="n">
        <v>0</v>
      </c>
      <c r="N519" t="n">
        <v>0</v>
      </c>
      <c r="O519" t="n">
        <v>0</v>
      </c>
      <c r="P519" t="n">
        <v>0</v>
      </c>
      <c r="Q519" t="n">
        <v>0</v>
      </c>
      <c r="R519" s="2" t="inlineStr"/>
    </row>
    <row r="520" ht="15" customHeight="1">
      <c r="A520" t="inlineStr">
        <is>
          <t>A 59642-2024</t>
        </is>
      </c>
      <c r="B520" s="1" t="n">
        <v>45639.31511574074</v>
      </c>
      <c r="C520" s="1" t="n">
        <v>45940</v>
      </c>
      <c r="D520" t="inlineStr">
        <is>
          <t>ÖSTERGÖTLANDS LÄN</t>
        </is>
      </c>
      <c r="E520" t="inlineStr">
        <is>
          <t>LINKÖPING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59674-2024</t>
        </is>
      </c>
      <c r="B521" s="1" t="n">
        <v>45639</v>
      </c>
      <c r="C521" s="1" t="n">
        <v>45940</v>
      </c>
      <c r="D521" t="inlineStr">
        <is>
          <t>ÖSTERGÖTLANDS LÄN</t>
        </is>
      </c>
      <c r="E521" t="inlineStr">
        <is>
          <t>LINKÖPING</t>
        </is>
      </c>
      <c r="G521" t="n">
        <v>6.3</v>
      </c>
      <c r="H521" t="n">
        <v>0</v>
      </c>
      <c r="I521" t="n">
        <v>0</v>
      </c>
      <c r="J521" t="n">
        <v>0</v>
      </c>
      <c r="K521" t="n">
        <v>0</v>
      </c>
      <c r="L521" t="n">
        <v>0</v>
      </c>
      <c r="M521" t="n">
        <v>0</v>
      </c>
      <c r="N521" t="n">
        <v>0</v>
      </c>
      <c r="O521" t="n">
        <v>0</v>
      </c>
      <c r="P521" t="n">
        <v>0</v>
      </c>
      <c r="Q521" t="n">
        <v>0</v>
      </c>
      <c r="R521" s="2" t="inlineStr"/>
    </row>
    <row r="522" ht="15" customHeight="1">
      <c r="A522" t="inlineStr">
        <is>
          <t>A 3742-2021</t>
        </is>
      </c>
      <c r="B522" s="1" t="n">
        <v>44221</v>
      </c>
      <c r="C522" s="1" t="n">
        <v>45940</v>
      </c>
      <c r="D522" t="inlineStr">
        <is>
          <t>ÖSTERGÖTLANDS LÄN</t>
        </is>
      </c>
      <c r="E522" t="inlineStr">
        <is>
          <t>LINKÖPING</t>
        </is>
      </c>
      <c r="G522" t="n">
        <v>5.5</v>
      </c>
      <c r="H522" t="n">
        <v>0</v>
      </c>
      <c r="I522" t="n">
        <v>0</v>
      </c>
      <c r="J522" t="n">
        <v>0</v>
      </c>
      <c r="K522" t="n">
        <v>0</v>
      </c>
      <c r="L522" t="n">
        <v>0</v>
      </c>
      <c r="M522" t="n">
        <v>0</v>
      </c>
      <c r="N522" t="n">
        <v>0</v>
      </c>
      <c r="O522" t="n">
        <v>0</v>
      </c>
      <c r="P522" t="n">
        <v>0</v>
      </c>
      <c r="Q522" t="n">
        <v>0</v>
      </c>
      <c r="R522" s="2" t="inlineStr"/>
    </row>
    <row r="523" ht="15" customHeight="1">
      <c r="A523" t="inlineStr">
        <is>
          <t>A 18916-2024</t>
        </is>
      </c>
      <c r="B523" s="1" t="n">
        <v>45427.39541666667</v>
      </c>
      <c r="C523" s="1" t="n">
        <v>45940</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11084-2022</t>
        </is>
      </c>
      <c r="B524" s="1" t="n">
        <v>44628</v>
      </c>
      <c r="C524" s="1" t="n">
        <v>45940</v>
      </c>
      <c r="D524" t="inlineStr">
        <is>
          <t>ÖSTERGÖTLANDS LÄN</t>
        </is>
      </c>
      <c r="E524" t="inlineStr">
        <is>
          <t>LINKÖPING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36336-2022</t>
        </is>
      </c>
      <c r="B525" s="1" t="n">
        <v>44803</v>
      </c>
      <c r="C525" s="1" t="n">
        <v>45940</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33947-2025</t>
        </is>
      </c>
      <c r="B526" s="1" t="n">
        <v>45842.65444444444</v>
      </c>
      <c r="C526" s="1" t="n">
        <v>45940</v>
      </c>
      <c r="D526" t="inlineStr">
        <is>
          <t>ÖSTERGÖTLANDS LÄN</t>
        </is>
      </c>
      <c r="E526" t="inlineStr">
        <is>
          <t>LINKÖPING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53529-2024</t>
        </is>
      </c>
      <c r="B527" s="1" t="n">
        <v>45614</v>
      </c>
      <c r="C527" s="1" t="n">
        <v>45940</v>
      </c>
      <c r="D527" t="inlineStr">
        <is>
          <t>ÖSTERGÖTLANDS LÄN</t>
        </is>
      </c>
      <c r="E527" t="inlineStr">
        <is>
          <t>LINKÖPING</t>
        </is>
      </c>
      <c r="G527" t="n">
        <v>6.7</v>
      </c>
      <c r="H527" t="n">
        <v>0</v>
      </c>
      <c r="I527" t="n">
        <v>0</v>
      </c>
      <c r="J527" t="n">
        <v>0</v>
      </c>
      <c r="K527" t="n">
        <v>0</v>
      </c>
      <c r="L527" t="n">
        <v>0</v>
      </c>
      <c r="M527" t="n">
        <v>0</v>
      </c>
      <c r="N527" t="n">
        <v>0</v>
      </c>
      <c r="O527" t="n">
        <v>0</v>
      </c>
      <c r="P527" t="n">
        <v>0</v>
      </c>
      <c r="Q527" t="n">
        <v>0</v>
      </c>
      <c r="R527" s="2" t="inlineStr"/>
    </row>
    <row r="528" ht="15" customHeight="1">
      <c r="A528" t="inlineStr">
        <is>
          <t>A 62012-2024</t>
        </is>
      </c>
      <c r="B528" s="1" t="n">
        <v>45655.79679398148</v>
      </c>
      <c r="C528" s="1" t="n">
        <v>45940</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46847-2025</t>
        </is>
      </c>
      <c r="B529" s="1" t="n">
        <v>45928.69971064815</v>
      </c>
      <c r="C529" s="1" t="n">
        <v>45940</v>
      </c>
      <c r="D529" t="inlineStr">
        <is>
          <t>ÖSTERGÖTLANDS LÄN</t>
        </is>
      </c>
      <c r="E529" t="inlineStr">
        <is>
          <t>LINKÖPING</t>
        </is>
      </c>
      <c r="G529" t="n">
        <v>4.6</v>
      </c>
      <c r="H529" t="n">
        <v>0</v>
      </c>
      <c r="I529" t="n">
        <v>0</v>
      </c>
      <c r="J529" t="n">
        <v>0</v>
      </c>
      <c r="K529" t="n">
        <v>0</v>
      </c>
      <c r="L529" t="n">
        <v>0</v>
      </c>
      <c r="M529" t="n">
        <v>0</v>
      </c>
      <c r="N529" t="n">
        <v>0</v>
      </c>
      <c r="O529" t="n">
        <v>0</v>
      </c>
      <c r="P529" t="n">
        <v>0</v>
      </c>
      <c r="Q529" t="n">
        <v>0</v>
      </c>
      <c r="R529" s="2" t="inlineStr"/>
    </row>
    <row r="530" ht="15" customHeight="1">
      <c r="A530" t="inlineStr">
        <is>
          <t>A 10203-2023</t>
        </is>
      </c>
      <c r="B530" s="1" t="n">
        <v>44986.55711805556</v>
      </c>
      <c r="C530" s="1" t="n">
        <v>45940</v>
      </c>
      <c r="D530" t="inlineStr">
        <is>
          <t>ÖSTERGÖTLANDS LÄN</t>
        </is>
      </c>
      <c r="E530" t="inlineStr">
        <is>
          <t>LINKÖPING</t>
        </is>
      </c>
      <c r="G530" t="n">
        <v>3.3</v>
      </c>
      <c r="H530" t="n">
        <v>0</v>
      </c>
      <c r="I530" t="n">
        <v>0</v>
      </c>
      <c r="J530" t="n">
        <v>0</v>
      </c>
      <c r="K530" t="n">
        <v>0</v>
      </c>
      <c r="L530" t="n">
        <v>0</v>
      </c>
      <c r="M530" t="n">
        <v>0</v>
      </c>
      <c r="N530" t="n">
        <v>0</v>
      </c>
      <c r="O530" t="n">
        <v>0</v>
      </c>
      <c r="P530" t="n">
        <v>0</v>
      </c>
      <c r="Q530" t="n">
        <v>0</v>
      </c>
      <c r="R530" s="2" t="inlineStr"/>
    </row>
    <row r="531" ht="15" customHeight="1">
      <c r="A531" t="inlineStr">
        <is>
          <t>A 3008-2023</t>
        </is>
      </c>
      <c r="B531" s="1" t="n">
        <v>44945.79784722222</v>
      </c>
      <c r="C531" s="1" t="n">
        <v>45940</v>
      </c>
      <c r="D531" t="inlineStr">
        <is>
          <t>ÖSTERGÖTLANDS LÄN</t>
        </is>
      </c>
      <c r="E531" t="inlineStr">
        <is>
          <t>LINKÖPING</t>
        </is>
      </c>
      <c r="G531" t="n">
        <v>19.3</v>
      </c>
      <c r="H531" t="n">
        <v>0</v>
      </c>
      <c r="I531" t="n">
        <v>0</v>
      </c>
      <c r="J531" t="n">
        <v>0</v>
      </c>
      <c r="K531" t="n">
        <v>0</v>
      </c>
      <c r="L531" t="n">
        <v>0</v>
      </c>
      <c r="M531" t="n">
        <v>0</v>
      </c>
      <c r="N531" t="n">
        <v>0</v>
      </c>
      <c r="O531" t="n">
        <v>0</v>
      </c>
      <c r="P531" t="n">
        <v>0</v>
      </c>
      <c r="Q531" t="n">
        <v>0</v>
      </c>
      <c r="R531" s="2" t="inlineStr"/>
    </row>
    <row r="532" ht="15" customHeight="1">
      <c r="A532" t="inlineStr">
        <is>
          <t>A 25097-2023</t>
        </is>
      </c>
      <c r="B532" s="1" t="n">
        <v>45086</v>
      </c>
      <c r="C532" s="1" t="n">
        <v>45940</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20469-2025</t>
        </is>
      </c>
      <c r="B533" s="1" t="n">
        <v>45775</v>
      </c>
      <c r="C533" s="1" t="n">
        <v>45940</v>
      </c>
      <c r="D533" t="inlineStr">
        <is>
          <t>ÖSTERGÖTLANDS LÄN</t>
        </is>
      </c>
      <c r="E533" t="inlineStr">
        <is>
          <t>LINKÖPING</t>
        </is>
      </c>
      <c r="F533" t="inlineStr">
        <is>
          <t>Kyrkan</t>
        </is>
      </c>
      <c r="G533" t="n">
        <v>6.1</v>
      </c>
      <c r="H533" t="n">
        <v>0</v>
      </c>
      <c r="I533" t="n">
        <v>0</v>
      </c>
      <c r="J533" t="n">
        <v>0</v>
      </c>
      <c r="K533" t="n">
        <v>0</v>
      </c>
      <c r="L533" t="n">
        <v>0</v>
      </c>
      <c r="M533" t="n">
        <v>0</v>
      </c>
      <c r="N533" t="n">
        <v>0</v>
      </c>
      <c r="O533" t="n">
        <v>0</v>
      </c>
      <c r="P533" t="n">
        <v>0</v>
      </c>
      <c r="Q533" t="n">
        <v>0</v>
      </c>
      <c r="R533" s="2" t="inlineStr"/>
    </row>
    <row r="534" ht="15" customHeight="1">
      <c r="A534" t="inlineStr">
        <is>
          <t>A 2618-2023</t>
        </is>
      </c>
      <c r="B534" s="1" t="n">
        <v>44944.35847222222</v>
      </c>
      <c r="C534" s="1" t="n">
        <v>45940</v>
      </c>
      <c r="D534" t="inlineStr">
        <is>
          <t>ÖSTERGÖTLANDS LÄN</t>
        </is>
      </c>
      <c r="E534" t="inlineStr">
        <is>
          <t>LINKÖPING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10461-2023</t>
        </is>
      </c>
      <c r="B535" s="1" t="n">
        <v>44987.5969212963</v>
      </c>
      <c r="C535" s="1" t="n">
        <v>45940</v>
      </c>
      <c r="D535" t="inlineStr">
        <is>
          <t>ÖSTERGÖTLANDS LÄN</t>
        </is>
      </c>
      <c r="E535" t="inlineStr">
        <is>
          <t>LINKÖPING</t>
        </is>
      </c>
      <c r="G535" t="n">
        <v>7.8</v>
      </c>
      <c r="H535" t="n">
        <v>0</v>
      </c>
      <c r="I535" t="n">
        <v>0</v>
      </c>
      <c r="J535" t="n">
        <v>0</v>
      </c>
      <c r="K535" t="n">
        <v>0</v>
      </c>
      <c r="L535" t="n">
        <v>0</v>
      </c>
      <c r="M535" t="n">
        <v>0</v>
      </c>
      <c r="N535" t="n">
        <v>0</v>
      </c>
      <c r="O535" t="n">
        <v>0</v>
      </c>
      <c r="P535" t="n">
        <v>0</v>
      </c>
      <c r="Q535" t="n">
        <v>0</v>
      </c>
      <c r="R535" s="2" t="inlineStr"/>
    </row>
    <row r="536" ht="15" customHeight="1">
      <c r="A536" t="inlineStr">
        <is>
          <t>A 62020-2024</t>
        </is>
      </c>
      <c r="B536" s="1" t="n">
        <v>45655.83563657408</v>
      </c>
      <c r="C536" s="1" t="n">
        <v>45940</v>
      </c>
      <c r="D536" t="inlineStr">
        <is>
          <t>ÖSTERGÖTLANDS LÄN</t>
        </is>
      </c>
      <c r="E536" t="inlineStr">
        <is>
          <t>LINKÖPING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62021-2024</t>
        </is>
      </c>
      <c r="B537" s="1" t="n">
        <v>45655.84232638889</v>
      </c>
      <c r="C537" s="1" t="n">
        <v>45940</v>
      </c>
      <c r="D537" t="inlineStr">
        <is>
          <t>ÖSTERGÖTLANDS LÄN</t>
        </is>
      </c>
      <c r="E537" t="inlineStr">
        <is>
          <t>LINKÖPING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50386-2021</t>
        </is>
      </c>
      <c r="B538" s="1" t="n">
        <v>44459</v>
      </c>
      <c r="C538" s="1" t="n">
        <v>45940</v>
      </c>
      <c r="D538" t="inlineStr">
        <is>
          <t>ÖSTERGÖTLANDS LÄN</t>
        </is>
      </c>
      <c r="E538" t="inlineStr">
        <is>
          <t>LINKÖPING</t>
        </is>
      </c>
      <c r="G538" t="n">
        <v>2.3</v>
      </c>
      <c r="H538" t="n">
        <v>0</v>
      </c>
      <c r="I538" t="n">
        <v>0</v>
      </c>
      <c r="J538" t="n">
        <v>0</v>
      </c>
      <c r="K538" t="n">
        <v>0</v>
      </c>
      <c r="L538" t="n">
        <v>0</v>
      </c>
      <c r="M538" t="n">
        <v>0</v>
      </c>
      <c r="N538" t="n">
        <v>0</v>
      </c>
      <c r="O538" t="n">
        <v>0</v>
      </c>
      <c r="P538" t="n">
        <v>0</v>
      </c>
      <c r="Q538" t="n">
        <v>0</v>
      </c>
      <c r="R538" s="2" t="inlineStr"/>
    </row>
    <row r="539" ht="15" customHeight="1">
      <c r="A539" t="inlineStr">
        <is>
          <t>A 350-2022</t>
        </is>
      </c>
      <c r="B539" s="1" t="n">
        <v>44565</v>
      </c>
      <c r="C539" s="1" t="n">
        <v>45940</v>
      </c>
      <c r="D539" t="inlineStr">
        <is>
          <t>ÖSTERGÖTLANDS LÄN</t>
        </is>
      </c>
      <c r="E539" t="inlineStr">
        <is>
          <t>LINKÖPING</t>
        </is>
      </c>
      <c r="G539" t="n">
        <v>1.2</v>
      </c>
      <c r="H539" t="n">
        <v>0</v>
      </c>
      <c r="I539" t="n">
        <v>0</v>
      </c>
      <c r="J539" t="n">
        <v>0</v>
      </c>
      <c r="K539" t="n">
        <v>0</v>
      </c>
      <c r="L539" t="n">
        <v>0</v>
      </c>
      <c r="M539" t="n">
        <v>0</v>
      </c>
      <c r="N539" t="n">
        <v>0</v>
      </c>
      <c r="O539" t="n">
        <v>0</v>
      </c>
      <c r="P539" t="n">
        <v>0</v>
      </c>
      <c r="Q539" t="n">
        <v>0</v>
      </c>
      <c r="R539" s="2" t="inlineStr"/>
    </row>
    <row r="540" ht="15" customHeight="1">
      <c r="A540" t="inlineStr">
        <is>
          <t>A 39457-2023</t>
        </is>
      </c>
      <c r="B540" s="1" t="n">
        <v>45166</v>
      </c>
      <c r="C540" s="1" t="n">
        <v>45940</v>
      </c>
      <c r="D540" t="inlineStr">
        <is>
          <t>ÖSTERGÖTLANDS LÄN</t>
        </is>
      </c>
      <c r="E540" t="inlineStr">
        <is>
          <t>LINKÖPING</t>
        </is>
      </c>
      <c r="G540" t="n">
        <v>2.1</v>
      </c>
      <c r="H540" t="n">
        <v>0</v>
      </c>
      <c r="I540" t="n">
        <v>0</v>
      </c>
      <c r="J540" t="n">
        <v>0</v>
      </c>
      <c r="K540" t="n">
        <v>0</v>
      </c>
      <c r="L540" t="n">
        <v>0</v>
      </c>
      <c r="M540" t="n">
        <v>0</v>
      </c>
      <c r="N540" t="n">
        <v>0</v>
      </c>
      <c r="O540" t="n">
        <v>0</v>
      </c>
      <c r="P540" t="n">
        <v>0</v>
      </c>
      <c r="Q540" t="n">
        <v>0</v>
      </c>
      <c r="R540" s="2" t="inlineStr"/>
    </row>
    <row r="541" ht="15" customHeight="1">
      <c r="A541" t="inlineStr">
        <is>
          <t>A 18891-2022</t>
        </is>
      </c>
      <c r="B541" s="1" t="n">
        <v>44690</v>
      </c>
      <c r="C541" s="1" t="n">
        <v>45940</v>
      </c>
      <c r="D541" t="inlineStr">
        <is>
          <t>ÖSTERGÖTLANDS LÄN</t>
        </is>
      </c>
      <c r="E541" t="inlineStr">
        <is>
          <t>LINKÖPING</t>
        </is>
      </c>
      <c r="G541" t="n">
        <v>1.2</v>
      </c>
      <c r="H541" t="n">
        <v>0</v>
      </c>
      <c r="I541" t="n">
        <v>0</v>
      </c>
      <c r="J541" t="n">
        <v>0</v>
      </c>
      <c r="K541" t="n">
        <v>0</v>
      </c>
      <c r="L541" t="n">
        <v>0</v>
      </c>
      <c r="M541" t="n">
        <v>0</v>
      </c>
      <c r="N541" t="n">
        <v>0</v>
      </c>
      <c r="O541" t="n">
        <v>0</v>
      </c>
      <c r="P541" t="n">
        <v>0</v>
      </c>
      <c r="Q541" t="n">
        <v>0</v>
      </c>
      <c r="R541" s="2" t="inlineStr"/>
    </row>
    <row r="542" ht="15" customHeight="1">
      <c r="A542" t="inlineStr">
        <is>
          <t>A 47606-2025</t>
        </is>
      </c>
      <c r="B542" s="1" t="n">
        <v>45931.46402777778</v>
      </c>
      <c r="C542" s="1" t="n">
        <v>45940</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29293-2025</t>
        </is>
      </c>
      <c r="B543" s="1" t="n">
        <v>45824</v>
      </c>
      <c r="C543" s="1" t="n">
        <v>45940</v>
      </c>
      <c r="D543" t="inlineStr">
        <is>
          <t>ÖSTERGÖTLANDS LÄN</t>
        </is>
      </c>
      <c r="E543" t="inlineStr">
        <is>
          <t>LINKÖPING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47233-2025</t>
        </is>
      </c>
      <c r="B544" s="1" t="n">
        <v>45930.40612268518</v>
      </c>
      <c r="C544" s="1" t="n">
        <v>45940</v>
      </c>
      <c r="D544" t="inlineStr">
        <is>
          <t>ÖSTERGÖTLANDS LÄN</t>
        </is>
      </c>
      <c r="E544" t="inlineStr">
        <is>
          <t>LINKÖPING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1362-2023</t>
        </is>
      </c>
      <c r="B545" s="1" t="n">
        <v>44931</v>
      </c>
      <c r="C545" s="1" t="n">
        <v>45940</v>
      </c>
      <c r="D545" t="inlineStr">
        <is>
          <t>ÖSTERGÖTLANDS LÄN</t>
        </is>
      </c>
      <c r="E545" t="inlineStr">
        <is>
          <t>LINKÖPING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39438-2025</t>
        </is>
      </c>
      <c r="B546" s="1" t="n">
        <v>45889.68641203704</v>
      </c>
      <c r="C546" s="1" t="n">
        <v>45940</v>
      </c>
      <c r="D546" t="inlineStr">
        <is>
          <t>ÖSTERGÖTLANDS LÄN</t>
        </is>
      </c>
      <c r="E546" t="inlineStr">
        <is>
          <t>LINKÖPING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47304-2025</t>
        </is>
      </c>
      <c r="B547" s="1" t="n">
        <v>45930.52037037037</v>
      </c>
      <c r="C547" s="1" t="n">
        <v>45940</v>
      </c>
      <c r="D547" t="inlineStr">
        <is>
          <t>ÖSTERGÖTLANDS LÄN</t>
        </is>
      </c>
      <c r="E547" t="inlineStr">
        <is>
          <t>LINKÖPING</t>
        </is>
      </c>
      <c r="G547" t="n">
        <v>2.7</v>
      </c>
      <c r="H547" t="n">
        <v>0</v>
      </c>
      <c r="I547" t="n">
        <v>0</v>
      </c>
      <c r="J547" t="n">
        <v>0</v>
      </c>
      <c r="K547" t="n">
        <v>0</v>
      </c>
      <c r="L547" t="n">
        <v>0</v>
      </c>
      <c r="M547" t="n">
        <v>0</v>
      </c>
      <c r="N547" t="n">
        <v>0</v>
      </c>
      <c r="O547" t="n">
        <v>0</v>
      </c>
      <c r="P547" t="n">
        <v>0</v>
      </c>
      <c r="Q547" t="n">
        <v>0</v>
      </c>
      <c r="R547" s="2" t="inlineStr"/>
    </row>
    <row r="548" ht="15" customHeight="1">
      <c r="A548" t="inlineStr">
        <is>
          <t>A 33800-2023</t>
        </is>
      </c>
      <c r="B548" s="1" t="n">
        <v>45121</v>
      </c>
      <c r="C548" s="1" t="n">
        <v>45940</v>
      </c>
      <c r="D548" t="inlineStr">
        <is>
          <t>ÖSTERGÖTLANDS LÄN</t>
        </is>
      </c>
      <c r="E548" t="inlineStr">
        <is>
          <t>LINKÖPING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30976-2022</t>
        </is>
      </c>
      <c r="B549" s="1" t="n">
        <v>44768</v>
      </c>
      <c r="C549" s="1" t="n">
        <v>45940</v>
      </c>
      <c r="D549" t="inlineStr">
        <is>
          <t>ÖSTERGÖTLANDS LÄN</t>
        </is>
      </c>
      <c r="E549" t="inlineStr">
        <is>
          <t>LINKÖPING</t>
        </is>
      </c>
      <c r="G549" t="n">
        <v>0.6</v>
      </c>
      <c r="H549" t="n">
        <v>0</v>
      </c>
      <c r="I549" t="n">
        <v>0</v>
      </c>
      <c r="J549" t="n">
        <v>0</v>
      </c>
      <c r="K549" t="n">
        <v>0</v>
      </c>
      <c r="L549" t="n">
        <v>0</v>
      </c>
      <c r="M549" t="n">
        <v>0</v>
      </c>
      <c r="N549" t="n">
        <v>0</v>
      </c>
      <c r="O549" t="n">
        <v>0</v>
      </c>
      <c r="P549" t="n">
        <v>0</v>
      </c>
      <c r="Q549" t="n">
        <v>0</v>
      </c>
      <c r="R549" s="2" t="inlineStr"/>
    </row>
    <row r="550" ht="15" customHeight="1">
      <c r="A550" t="inlineStr">
        <is>
          <t>A 26007-2025</t>
        </is>
      </c>
      <c r="B550" s="1" t="n">
        <v>45804.67081018518</v>
      </c>
      <c r="C550" s="1" t="n">
        <v>45940</v>
      </c>
      <c r="D550" t="inlineStr">
        <is>
          <t>ÖSTERGÖTLANDS LÄN</t>
        </is>
      </c>
      <c r="E550" t="inlineStr">
        <is>
          <t>LINKÖPING</t>
        </is>
      </c>
      <c r="G550" t="n">
        <v>1.5</v>
      </c>
      <c r="H550" t="n">
        <v>0</v>
      </c>
      <c r="I550" t="n">
        <v>0</v>
      </c>
      <c r="J550" t="n">
        <v>0</v>
      </c>
      <c r="K550" t="n">
        <v>0</v>
      </c>
      <c r="L550" t="n">
        <v>0</v>
      </c>
      <c r="M550" t="n">
        <v>0</v>
      </c>
      <c r="N550" t="n">
        <v>0</v>
      </c>
      <c r="O550" t="n">
        <v>0</v>
      </c>
      <c r="P550" t="n">
        <v>0</v>
      </c>
      <c r="Q550" t="n">
        <v>0</v>
      </c>
      <c r="R550" s="2" t="inlineStr"/>
    </row>
    <row r="551" ht="15" customHeight="1">
      <c r="A551" t="inlineStr">
        <is>
          <t>A 35174-2025</t>
        </is>
      </c>
      <c r="B551" s="1" t="n">
        <v>45852.90648148148</v>
      </c>
      <c r="C551" s="1" t="n">
        <v>45940</v>
      </c>
      <c r="D551" t="inlineStr">
        <is>
          <t>ÖSTERGÖTLANDS LÄN</t>
        </is>
      </c>
      <c r="E551" t="inlineStr">
        <is>
          <t>LINKÖPING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27264-2025</t>
        </is>
      </c>
      <c r="B552" s="1" t="n">
        <v>45812.4794212963</v>
      </c>
      <c r="C552" s="1" t="n">
        <v>45940</v>
      </c>
      <c r="D552" t="inlineStr">
        <is>
          <t>ÖSTERGÖTLANDS LÄN</t>
        </is>
      </c>
      <c r="E552" t="inlineStr">
        <is>
          <t>LINKÖPING</t>
        </is>
      </c>
      <c r="G552" t="n">
        <v>2.6</v>
      </c>
      <c r="H552" t="n">
        <v>0</v>
      </c>
      <c r="I552" t="n">
        <v>0</v>
      </c>
      <c r="J552" t="n">
        <v>0</v>
      </c>
      <c r="K552" t="n">
        <v>0</v>
      </c>
      <c r="L552" t="n">
        <v>0</v>
      </c>
      <c r="M552" t="n">
        <v>0</v>
      </c>
      <c r="N552" t="n">
        <v>0</v>
      </c>
      <c r="O552" t="n">
        <v>0</v>
      </c>
      <c r="P552" t="n">
        <v>0</v>
      </c>
      <c r="Q552" t="n">
        <v>0</v>
      </c>
      <c r="R552" s="2" t="inlineStr"/>
    </row>
    <row r="553" ht="15" customHeight="1">
      <c r="A553" t="inlineStr">
        <is>
          <t>A 47991-2023</t>
        </is>
      </c>
      <c r="B553" s="1" t="n">
        <v>45204.62655092592</v>
      </c>
      <c r="C553" s="1" t="n">
        <v>45940</v>
      </c>
      <c r="D553" t="inlineStr">
        <is>
          <t>ÖSTERGÖTLANDS LÄN</t>
        </is>
      </c>
      <c r="E553" t="inlineStr">
        <is>
          <t>LINKÖPING</t>
        </is>
      </c>
      <c r="F553" t="inlineStr">
        <is>
          <t>Allmännings- och besparingsskogar</t>
        </is>
      </c>
      <c r="G553" t="n">
        <v>7.3</v>
      </c>
      <c r="H553" t="n">
        <v>0</v>
      </c>
      <c r="I553" t="n">
        <v>0</v>
      </c>
      <c r="J553" t="n">
        <v>0</v>
      </c>
      <c r="K553" t="n">
        <v>0</v>
      </c>
      <c r="L553" t="n">
        <v>0</v>
      </c>
      <c r="M553" t="n">
        <v>0</v>
      </c>
      <c r="N553" t="n">
        <v>0</v>
      </c>
      <c r="O553" t="n">
        <v>0</v>
      </c>
      <c r="P553" t="n">
        <v>0</v>
      </c>
      <c r="Q553" t="n">
        <v>0</v>
      </c>
      <c r="R553" s="2" t="inlineStr"/>
    </row>
    <row r="554" ht="15" customHeight="1">
      <c r="A554" t="inlineStr">
        <is>
          <t>A 35179-2025</t>
        </is>
      </c>
      <c r="B554" s="1" t="n">
        <v>45852.93737268518</v>
      </c>
      <c r="C554" s="1" t="n">
        <v>45940</v>
      </c>
      <c r="D554" t="inlineStr">
        <is>
          <t>ÖSTERGÖTLANDS LÄN</t>
        </is>
      </c>
      <c r="E554" t="inlineStr">
        <is>
          <t>LINKÖPING</t>
        </is>
      </c>
      <c r="G554" t="n">
        <v>2.2</v>
      </c>
      <c r="H554" t="n">
        <v>0</v>
      </c>
      <c r="I554" t="n">
        <v>0</v>
      </c>
      <c r="J554" t="n">
        <v>0</v>
      </c>
      <c r="K554" t="n">
        <v>0</v>
      </c>
      <c r="L554" t="n">
        <v>0</v>
      </c>
      <c r="M554" t="n">
        <v>0</v>
      </c>
      <c r="N554" t="n">
        <v>0</v>
      </c>
      <c r="O554" t="n">
        <v>0</v>
      </c>
      <c r="P554" t="n">
        <v>0</v>
      </c>
      <c r="Q554" t="n">
        <v>0</v>
      </c>
      <c r="R554" s="2" t="inlineStr"/>
    </row>
    <row r="555" ht="15" customHeight="1">
      <c r="A555" t="inlineStr">
        <is>
          <t>A 35180-2025</t>
        </is>
      </c>
      <c r="B555" s="1" t="n">
        <v>45852.9413425926</v>
      </c>
      <c r="C555" s="1" t="n">
        <v>45940</v>
      </c>
      <c r="D555" t="inlineStr">
        <is>
          <t>ÖSTERGÖTLANDS LÄN</t>
        </is>
      </c>
      <c r="E555" t="inlineStr">
        <is>
          <t>LINKÖPING</t>
        </is>
      </c>
      <c r="G555" t="n">
        <v>1.9</v>
      </c>
      <c r="H555" t="n">
        <v>0</v>
      </c>
      <c r="I555" t="n">
        <v>0</v>
      </c>
      <c r="J555" t="n">
        <v>0</v>
      </c>
      <c r="K555" t="n">
        <v>0</v>
      </c>
      <c r="L555" t="n">
        <v>0</v>
      </c>
      <c r="M555" t="n">
        <v>0</v>
      </c>
      <c r="N555" t="n">
        <v>0</v>
      </c>
      <c r="O555" t="n">
        <v>0</v>
      </c>
      <c r="P555" t="n">
        <v>0</v>
      </c>
      <c r="Q555" t="n">
        <v>0</v>
      </c>
      <c r="R555" s="2" t="inlineStr"/>
    </row>
    <row r="556" ht="15" customHeight="1">
      <c r="A556" t="inlineStr">
        <is>
          <t>A 55736-2022</t>
        </is>
      </c>
      <c r="B556" s="1" t="n">
        <v>44888</v>
      </c>
      <c r="C556" s="1" t="n">
        <v>45940</v>
      </c>
      <c r="D556" t="inlineStr">
        <is>
          <t>ÖSTERGÖTLANDS LÄN</t>
        </is>
      </c>
      <c r="E556" t="inlineStr">
        <is>
          <t>LINKÖPING</t>
        </is>
      </c>
      <c r="G556" t="n">
        <v>5.5</v>
      </c>
      <c r="H556" t="n">
        <v>0</v>
      </c>
      <c r="I556" t="n">
        <v>0</v>
      </c>
      <c r="J556" t="n">
        <v>0</v>
      </c>
      <c r="K556" t="n">
        <v>0</v>
      </c>
      <c r="L556" t="n">
        <v>0</v>
      </c>
      <c r="M556" t="n">
        <v>0</v>
      </c>
      <c r="N556" t="n">
        <v>0</v>
      </c>
      <c r="O556" t="n">
        <v>0</v>
      </c>
      <c r="P556" t="n">
        <v>0</v>
      </c>
      <c r="Q556" t="n">
        <v>0</v>
      </c>
      <c r="R556" s="2" t="inlineStr"/>
    </row>
    <row r="557" ht="15" customHeight="1">
      <c r="A557" t="inlineStr">
        <is>
          <t>A 35178-2025</t>
        </is>
      </c>
      <c r="B557" s="1" t="n">
        <v>45852.91939814815</v>
      </c>
      <c r="C557" s="1" t="n">
        <v>45940</v>
      </c>
      <c r="D557" t="inlineStr">
        <is>
          <t>ÖSTERGÖTLANDS LÄN</t>
        </is>
      </c>
      <c r="E557" t="inlineStr">
        <is>
          <t>LINKÖPING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49928-2024</t>
        </is>
      </c>
      <c r="B558" s="1" t="n">
        <v>45597.57811342592</v>
      </c>
      <c r="C558" s="1" t="n">
        <v>45940</v>
      </c>
      <c r="D558" t="inlineStr">
        <is>
          <t>ÖSTERGÖTLANDS LÄN</t>
        </is>
      </c>
      <c r="E558" t="inlineStr">
        <is>
          <t>LINKÖPING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3627-2023</t>
        </is>
      </c>
      <c r="B559" s="1" t="n">
        <v>44950.64782407408</v>
      </c>
      <c r="C559" s="1" t="n">
        <v>45940</v>
      </c>
      <c r="D559" t="inlineStr">
        <is>
          <t>ÖSTERGÖTLANDS LÄN</t>
        </is>
      </c>
      <c r="E559" t="inlineStr">
        <is>
          <t>LINKÖPING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51405-2023</t>
        </is>
      </c>
      <c r="B560" s="1" t="n">
        <v>45219</v>
      </c>
      <c r="C560" s="1" t="n">
        <v>45940</v>
      </c>
      <c r="D560" t="inlineStr">
        <is>
          <t>ÖSTERGÖTLANDS LÄN</t>
        </is>
      </c>
      <c r="E560" t="inlineStr">
        <is>
          <t>LINKÖPING</t>
        </is>
      </c>
      <c r="F560" t="inlineStr">
        <is>
          <t>Övriga Aktiebolag</t>
        </is>
      </c>
      <c r="G560" t="n">
        <v>3</v>
      </c>
      <c r="H560" t="n">
        <v>0</v>
      </c>
      <c r="I560" t="n">
        <v>0</v>
      </c>
      <c r="J560" t="n">
        <v>0</v>
      </c>
      <c r="K560" t="n">
        <v>0</v>
      </c>
      <c r="L560" t="n">
        <v>0</v>
      </c>
      <c r="M560" t="n">
        <v>0</v>
      </c>
      <c r="N560" t="n">
        <v>0</v>
      </c>
      <c r="O560" t="n">
        <v>0</v>
      </c>
      <c r="P560" t="n">
        <v>0</v>
      </c>
      <c r="Q560" t="n">
        <v>0</v>
      </c>
      <c r="R560" s="2" t="inlineStr"/>
    </row>
    <row r="561" ht="15" customHeight="1">
      <c r="A561" t="inlineStr">
        <is>
          <t>A 11601-2023</t>
        </is>
      </c>
      <c r="B561" s="1" t="n">
        <v>44994</v>
      </c>
      <c r="C561" s="1" t="n">
        <v>45940</v>
      </c>
      <c r="D561" t="inlineStr">
        <is>
          <t>ÖSTERGÖTLANDS LÄN</t>
        </is>
      </c>
      <c r="E561" t="inlineStr">
        <is>
          <t>LINKÖPING</t>
        </is>
      </c>
      <c r="G561" t="n">
        <v>1.7</v>
      </c>
      <c r="H561" t="n">
        <v>0</v>
      </c>
      <c r="I561" t="n">
        <v>0</v>
      </c>
      <c r="J561" t="n">
        <v>0</v>
      </c>
      <c r="K561" t="n">
        <v>0</v>
      </c>
      <c r="L561" t="n">
        <v>0</v>
      </c>
      <c r="M561" t="n">
        <v>0</v>
      </c>
      <c r="N561" t="n">
        <v>0</v>
      </c>
      <c r="O561" t="n">
        <v>0</v>
      </c>
      <c r="P561" t="n">
        <v>0</v>
      </c>
      <c r="Q561" t="n">
        <v>0</v>
      </c>
      <c r="R561" s="2" t="inlineStr"/>
    </row>
    <row r="562" ht="15" customHeight="1">
      <c r="A562" t="inlineStr">
        <is>
          <t>A 40338-2024</t>
        </is>
      </c>
      <c r="B562" s="1" t="n">
        <v>45555.32940972222</v>
      </c>
      <c r="C562" s="1" t="n">
        <v>45940</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10194-2023</t>
        </is>
      </c>
      <c r="B563" s="1" t="n">
        <v>44986.52277777778</v>
      </c>
      <c r="C563" s="1" t="n">
        <v>45940</v>
      </c>
      <c r="D563" t="inlineStr">
        <is>
          <t>ÖSTERGÖTLANDS LÄN</t>
        </is>
      </c>
      <c r="E563" t="inlineStr">
        <is>
          <t>LINKÖPING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16200-2025</t>
        </is>
      </c>
      <c r="B564" s="1" t="n">
        <v>45750.61050925926</v>
      </c>
      <c r="C564" s="1" t="n">
        <v>45940</v>
      </c>
      <c r="D564" t="inlineStr">
        <is>
          <t>ÖSTERGÖTLANDS LÄN</t>
        </is>
      </c>
      <c r="E564" t="inlineStr">
        <is>
          <t>LINKÖPING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41511-2025</t>
        </is>
      </c>
      <c r="B565" s="1" t="n">
        <v>45901.53839120371</v>
      </c>
      <c r="C565" s="1" t="n">
        <v>45940</v>
      </c>
      <c r="D565" t="inlineStr">
        <is>
          <t>ÖSTERGÖTLANDS LÄN</t>
        </is>
      </c>
      <c r="E565" t="inlineStr">
        <is>
          <t>LINKÖPING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167-2024</t>
        </is>
      </c>
      <c r="B566" s="1" t="n">
        <v>45294</v>
      </c>
      <c r="C566" s="1" t="n">
        <v>45940</v>
      </c>
      <c r="D566" t="inlineStr">
        <is>
          <t>ÖSTERGÖTLANDS LÄN</t>
        </is>
      </c>
      <c r="E566" t="inlineStr">
        <is>
          <t>LINKÖPING</t>
        </is>
      </c>
      <c r="F566" t="inlineStr">
        <is>
          <t>Allmännings- och besparingsskogar</t>
        </is>
      </c>
      <c r="G566" t="n">
        <v>11.6</v>
      </c>
      <c r="H566" t="n">
        <v>0</v>
      </c>
      <c r="I566" t="n">
        <v>0</v>
      </c>
      <c r="J566" t="n">
        <v>0</v>
      </c>
      <c r="K566" t="n">
        <v>0</v>
      </c>
      <c r="L566" t="n">
        <v>0</v>
      </c>
      <c r="M566" t="n">
        <v>0</v>
      </c>
      <c r="N566" t="n">
        <v>0</v>
      </c>
      <c r="O566" t="n">
        <v>0</v>
      </c>
      <c r="P566" t="n">
        <v>0</v>
      </c>
      <c r="Q566" t="n">
        <v>0</v>
      </c>
      <c r="R566" s="2" t="inlineStr"/>
    </row>
    <row r="567" ht="15" customHeight="1">
      <c r="A567" t="inlineStr">
        <is>
          <t>A 39074-2025</t>
        </is>
      </c>
      <c r="B567" s="1" t="n">
        <v>45888</v>
      </c>
      <c r="C567" s="1" t="n">
        <v>45940</v>
      </c>
      <c r="D567" t="inlineStr">
        <is>
          <t>ÖSTERGÖTLANDS LÄN</t>
        </is>
      </c>
      <c r="E567" t="inlineStr">
        <is>
          <t>LINKÖPING</t>
        </is>
      </c>
      <c r="G567" t="n">
        <v>2.9</v>
      </c>
      <c r="H567" t="n">
        <v>0</v>
      </c>
      <c r="I567" t="n">
        <v>0</v>
      </c>
      <c r="J567" t="n">
        <v>0</v>
      </c>
      <c r="K567" t="n">
        <v>0</v>
      </c>
      <c r="L567" t="n">
        <v>0</v>
      </c>
      <c r="M567" t="n">
        <v>0</v>
      </c>
      <c r="N567" t="n">
        <v>0</v>
      </c>
      <c r="O567" t="n">
        <v>0</v>
      </c>
      <c r="P567" t="n">
        <v>0</v>
      </c>
      <c r="Q567" t="n">
        <v>0</v>
      </c>
      <c r="R567" s="2" t="inlineStr"/>
    </row>
    <row r="568" ht="15" customHeight="1">
      <c r="A568" t="inlineStr">
        <is>
          <t>A 72567-2021</t>
        </is>
      </c>
      <c r="B568" s="1" t="n">
        <v>44546.45023148148</v>
      </c>
      <c r="C568" s="1" t="n">
        <v>45940</v>
      </c>
      <c r="D568" t="inlineStr">
        <is>
          <t>ÖSTERGÖTLANDS LÄN</t>
        </is>
      </c>
      <c r="E568" t="inlineStr">
        <is>
          <t>LINKÖPING</t>
        </is>
      </c>
      <c r="G568" t="n">
        <v>1.6</v>
      </c>
      <c r="H568" t="n">
        <v>0</v>
      </c>
      <c r="I568" t="n">
        <v>0</v>
      </c>
      <c r="J568" t="n">
        <v>0</v>
      </c>
      <c r="K568" t="n">
        <v>0</v>
      </c>
      <c r="L568" t="n">
        <v>0</v>
      </c>
      <c r="M568" t="n">
        <v>0</v>
      </c>
      <c r="N568" t="n">
        <v>0</v>
      </c>
      <c r="O568" t="n">
        <v>0</v>
      </c>
      <c r="P568" t="n">
        <v>0</v>
      </c>
      <c r="Q568" t="n">
        <v>0</v>
      </c>
      <c r="R568" s="2" t="inlineStr"/>
    </row>
    <row r="569" ht="15" customHeight="1">
      <c r="A569" t="inlineStr">
        <is>
          <t>A 27186-2021</t>
        </is>
      </c>
      <c r="B569" s="1" t="n">
        <v>44350.67715277777</v>
      </c>
      <c r="C569" s="1" t="n">
        <v>45940</v>
      </c>
      <c r="D569" t="inlineStr">
        <is>
          <t>ÖSTERGÖTLANDS LÄN</t>
        </is>
      </c>
      <c r="E569" t="inlineStr">
        <is>
          <t>LINKÖPING</t>
        </is>
      </c>
      <c r="F569" t="inlineStr">
        <is>
          <t>Allmännings- och besparingsskogar</t>
        </is>
      </c>
      <c r="G569" t="n">
        <v>1.4</v>
      </c>
      <c r="H569" t="n">
        <v>0</v>
      </c>
      <c r="I569" t="n">
        <v>0</v>
      </c>
      <c r="J569" t="n">
        <v>0</v>
      </c>
      <c r="K569" t="n">
        <v>0</v>
      </c>
      <c r="L569" t="n">
        <v>0</v>
      </c>
      <c r="M569" t="n">
        <v>0</v>
      </c>
      <c r="N569" t="n">
        <v>0</v>
      </c>
      <c r="O569" t="n">
        <v>0</v>
      </c>
      <c r="P569" t="n">
        <v>0</v>
      </c>
      <c r="Q569" t="n">
        <v>0</v>
      </c>
      <c r="R569" s="2" t="inlineStr"/>
    </row>
    <row r="570" ht="15" customHeight="1">
      <c r="A570" t="inlineStr">
        <is>
          <t>A 45112-2025</t>
        </is>
      </c>
      <c r="B570" s="1" t="n">
        <v>45919</v>
      </c>
      <c r="C570" s="1" t="n">
        <v>45940</v>
      </c>
      <c r="D570" t="inlineStr">
        <is>
          <t>ÖSTERGÖTLANDS LÄN</t>
        </is>
      </c>
      <c r="E570" t="inlineStr">
        <is>
          <t>LINKÖPING</t>
        </is>
      </c>
      <c r="G570" t="n">
        <v>3.5</v>
      </c>
      <c r="H570" t="n">
        <v>0</v>
      </c>
      <c r="I570" t="n">
        <v>0</v>
      </c>
      <c r="J570" t="n">
        <v>0</v>
      </c>
      <c r="K570" t="n">
        <v>0</v>
      </c>
      <c r="L570" t="n">
        <v>0</v>
      </c>
      <c r="M570" t="n">
        <v>0</v>
      </c>
      <c r="N570" t="n">
        <v>0</v>
      </c>
      <c r="O570" t="n">
        <v>0</v>
      </c>
      <c r="P570" t="n">
        <v>0</v>
      </c>
      <c r="Q570" t="n">
        <v>0</v>
      </c>
      <c r="R570" s="2" t="inlineStr"/>
    </row>
    <row r="571" ht="15" customHeight="1">
      <c r="A571" t="inlineStr">
        <is>
          <t>A 7343-2025</t>
        </is>
      </c>
      <c r="B571" s="1" t="n">
        <v>45703.67853009259</v>
      </c>
      <c r="C571" s="1" t="n">
        <v>45940</v>
      </c>
      <c r="D571" t="inlineStr">
        <is>
          <t>ÖSTERGÖTLANDS LÄN</t>
        </is>
      </c>
      <c r="E571" t="inlineStr">
        <is>
          <t>LINKÖPING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48343-2025</t>
        </is>
      </c>
      <c r="B572" s="1" t="n">
        <v>45932</v>
      </c>
      <c r="C572" s="1" t="n">
        <v>45940</v>
      </c>
      <c r="D572" t="inlineStr">
        <is>
          <t>ÖSTERGÖTLANDS LÄN</t>
        </is>
      </c>
      <c r="E572" t="inlineStr">
        <is>
          <t>LINKÖPING</t>
        </is>
      </c>
      <c r="F572" t="inlineStr">
        <is>
          <t>Övriga Aktiebolag</t>
        </is>
      </c>
      <c r="G572" t="n">
        <v>2</v>
      </c>
      <c r="H572" t="n">
        <v>0</v>
      </c>
      <c r="I572" t="n">
        <v>0</v>
      </c>
      <c r="J572" t="n">
        <v>0</v>
      </c>
      <c r="K572" t="n">
        <v>0</v>
      </c>
      <c r="L572" t="n">
        <v>0</v>
      </c>
      <c r="M572" t="n">
        <v>0</v>
      </c>
      <c r="N572" t="n">
        <v>0</v>
      </c>
      <c r="O572" t="n">
        <v>0</v>
      </c>
      <c r="P572" t="n">
        <v>0</v>
      </c>
      <c r="Q572" t="n">
        <v>0</v>
      </c>
      <c r="R572" s="2" t="inlineStr"/>
    </row>
    <row r="573" ht="15" customHeight="1">
      <c r="A573" t="inlineStr">
        <is>
          <t>A 35757-2025</t>
        </is>
      </c>
      <c r="B573" s="1" t="n">
        <v>45860.59876157407</v>
      </c>
      <c r="C573" s="1" t="n">
        <v>45940</v>
      </c>
      <c r="D573" t="inlineStr">
        <is>
          <t>ÖSTERGÖTLANDS LÄN</t>
        </is>
      </c>
      <c r="E573" t="inlineStr">
        <is>
          <t>LINKÖPING</t>
        </is>
      </c>
      <c r="G573" t="n">
        <v>5.7</v>
      </c>
      <c r="H573" t="n">
        <v>0</v>
      </c>
      <c r="I573" t="n">
        <v>0</v>
      </c>
      <c r="J573" t="n">
        <v>0</v>
      </c>
      <c r="K573" t="n">
        <v>0</v>
      </c>
      <c r="L573" t="n">
        <v>0</v>
      </c>
      <c r="M573" t="n">
        <v>0</v>
      </c>
      <c r="N573" t="n">
        <v>0</v>
      </c>
      <c r="O573" t="n">
        <v>0</v>
      </c>
      <c r="P573" t="n">
        <v>0</v>
      </c>
      <c r="Q573" t="n">
        <v>0</v>
      </c>
      <c r="R573" s="2" t="inlineStr"/>
    </row>
    <row r="574" ht="15" customHeight="1">
      <c r="A574" t="inlineStr">
        <is>
          <t>A 48271-2023</t>
        </is>
      </c>
      <c r="B574" s="1" t="n">
        <v>45205</v>
      </c>
      <c r="C574" s="1" t="n">
        <v>45940</v>
      </c>
      <c r="D574" t="inlineStr">
        <is>
          <t>ÖSTERGÖTLANDS LÄN</t>
        </is>
      </c>
      <c r="E574" t="inlineStr">
        <is>
          <t>LINKÖPING</t>
        </is>
      </c>
      <c r="G574" t="n">
        <v>3</v>
      </c>
      <c r="H574" t="n">
        <v>0</v>
      </c>
      <c r="I574" t="n">
        <v>0</v>
      </c>
      <c r="J574" t="n">
        <v>0</v>
      </c>
      <c r="K574" t="n">
        <v>0</v>
      </c>
      <c r="L574" t="n">
        <v>0</v>
      </c>
      <c r="M574" t="n">
        <v>0</v>
      </c>
      <c r="N574" t="n">
        <v>0</v>
      </c>
      <c r="O574" t="n">
        <v>0</v>
      </c>
      <c r="P574" t="n">
        <v>0</v>
      </c>
      <c r="Q574" t="n">
        <v>0</v>
      </c>
      <c r="R574" s="2" t="inlineStr"/>
    </row>
    <row r="575" ht="15" customHeight="1">
      <c r="A575" t="inlineStr">
        <is>
          <t>A 35745-2025</t>
        </is>
      </c>
      <c r="B575" s="1" t="n">
        <v>45860.54739583333</v>
      </c>
      <c r="C575" s="1" t="n">
        <v>45940</v>
      </c>
      <c r="D575" t="inlineStr">
        <is>
          <t>ÖSTERGÖTLANDS LÄN</t>
        </is>
      </c>
      <c r="E575" t="inlineStr">
        <is>
          <t>LINKÖPING</t>
        </is>
      </c>
      <c r="G575" t="n">
        <v>4.4</v>
      </c>
      <c r="H575" t="n">
        <v>0</v>
      </c>
      <c r="I575" t="n">
        <v>0</v>
      </c>
      <c r="J575" t="n">
        <v>0</v>
      </c>
      <c r="K575" t="n">
        <v>0</v>
      </c>
      <c r="L575" t="n">
        <v>0</v>
      </c>
      <c r="M575" t="n">
        <v>0</v>
      </c>
      <c r="N575" t="n">
        <v>0</v>
      </c>
      <c r="O575" t="n">
        <v>0</v>
      </c>
      <c r="P575" t="n">
        <v>0</v>
      </c>
      <c r="Q575" t="n">
        <v>0</v>
      </c>
      <c r="R575" s="2" t="inlineStr"/>
    </row>
    <row r="576" ht="15" customHeight="1">
      <c r="A576" t="inlineStr">
        <is>
          <t>A 48266-2025</t>
        </is>
      </c>
      <c r="B576" s="1" t="n">
        <v>45932</v>
      </c>
      <c r="C576" s="1" t="n">
        <v>45940</v>
      </c>
      <c r="D576" t="inlineStr">
        <is>
          <t>ÖSTERGÖTLANDS LÄN</t>
        </is>
      </c>
      <c r="E576" t="inlineStr">
        <is>
          <t>LINKÖPING</t>
        </is>
      </c>
      <c r="F576" t="inlineStr">
        <is>
          <t>Övriga Aktiebolag</t>
        </is>
      </c>
      <c r="G576" t="n">
        <v>0.5</v>
      </c>
      <c r="H576" t="n">
        <v>0</v>
      </c>
      <c r="I576" t="n">
        <v>0</v>
      </c>
      <c r="J576" t="n">
        <v>0</v>
      </c>
      <c r="K576" t="n">
        <v>0</v>
      </c>
      <c r="L576" t="n">
        <v>0</v>
      </c>
      <c r="M576" t="n">
        <v>0</v>
      </c>
      <c r="N576" t="n">
        <v>0</v>
      </c>
      <c r="O576" t="n">
        <v>0</v>
      </c>
      <c r="P576" t="n">
        <v>0</v>
      </c>
      <c r="Q576" t="n">
        <v>0</v>
      </c>
      <c r="R576" s="2" t="inlineStr"/>
    </row>
    <row r="577" ht="15" customHeight="1">
      <c r="A577" t="inlineStr">
        <is>
          <t>A 35747-2025</t>
        </is>
      </c>
      <c r="B577" s="1" t="n">
        <v>45860.56385416666</v>
      </c>
      <c r="C577" s="1" t="n">
        <v>45940</v>
      </c>
      <c r="D577" t="inlineStr">
        <is>
          <t>ÖSTERGÖTLANDS LÄN</t>
        </is>
      </c>
      <c r="E577" t="inlineStr">
        <is>
          <t>LINKÖPING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12720-2022</t>
        </is>
      </c>
      <c r="B578" s="1" t="n">
        <v>44641</v>
      </c>
      <c r="C578" s="1" t="n">
        <v>45940</v>
      </c>
      <c r="D578" t="inlineStr">
        <is>
          <t>ÖSTERGÖTLANDS LÄN</t>
        </is>
      </c>
      <c r="E578" t="inlineStr">
        <is>
          <t>LINKÖPING</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7702-2023</t>
        </is>
      </c>
      <c r="B579" s="1" t="n">
        <v>44967</v>
      </c>
      <c r="C579" s="1" t="n">
        <v>45940</v>
      </c>
      <c r="D579" t="inlineStr">
        <is>
          <t>ÖSTERGÖTLANDS LÄN</t>
        </is>
      </c>
      <c r="E579" t="inlineStr">
        <is>
          <t>LINKÖPING</t>
        </is>
      </c>
      <c r="F579" t="inlineStr">
        <is>
          <t>Övriga statliga verk och myndigheter</t>
        </is>
      </c>
      <c r="G579" t="n">
        <v>8</v>
      </c>
      <c r="H579" t="n">
        <v>0</v>
      </c>
      <c r="I579" t="n">
        <v>0</v>
      </c>
      <c r="J579" t="n">
        <v>0</v>
      </c>
      <c r="K579" t="n">
        <v>0</v>
      </c>
      <c r="L579" t="n">
        <v>0</v>
      </c>
      <c r="M579" t="n">
        <v>0</v>
      </c>
      <c r="N579" t="n">
        <v>0</v>
      </c>
      <c r="O579" t="n">
        <v>0</v>
      </c>
      <c r="P579" t="n">
        <v>0</v>
      </c>
      <c r="Q579" t="n">
        <v>0</v>
      </c>
      <c r="R579" s="2" t="inlineStr"/>
    </row>
    <row r="580" ht="15" customHeight="1">
      <c r="A580" t="inlineStr">
        <is>
          <t>A 35759-2025</t>
        </is>
      </c>
      <c r="B580" s="1" t="n">
        <v>45860</v>
      </c>
      <c r="C580" s="1" t="n">
        <v>45940</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62018-2024</t>
        </is>
      </c>
      <c r="B581" s="1" t="n">
        <v>45655.81387731482</v>
      </c>
      <c r="C581" s="1" t="n">
        <v>45940</v>
      </c>
      <c r="D581" t="inlineStr">
        <is>
          <t>ÖSTERGÖTLANDS LÄN</t>
        </is>
      </c>
      <c r="E581" t="inlineStr">
        <is>
          <t>LINKÖPING</t>
        </is>
      </c>
      <c r="G581" t="n">
        <v>1.3</v>
      </c>
      <c r="H581" t="n">
        <v>0</v>
      </c>
      <c r="I581" t="n">
        <v>0</v>
      </c>
      <c r="J581" t="n">
        <v>0</v>
      </c>
      <c r="K581" t="n">
        <v>0</v>
      </c>
      <c r="L581" t="n">
        <v>0</v>
      </c>
      <c r="M581" t="n">
        <v>0</v>
      </c>
      <c r="N581" t="n">
        <v>0</v>
      </c>
      <c r="O581" t="n">
        <v>0</v>
      </c>
      <c r="P581" t="n">
        <v>0</v>
      </c>
      <c r="Q581" t="n">
        <v>0</v>
      </c>
      <c r="R581" s="2" t="inlineStr"/>
    </row>
    <row r="582" ht="15" customHeight="1">
      <c r="A582" t="inlineStr">
        <is>
          <t>A 41706-2025</t>
        </is>
      </c>
      <c r="B582" s="1" t="n">
        <v>45902.42209490741</v>
      </c>
      <c r="C582" s="1" t="n">
        <v>45940</v>
      </c>
      <c r="D582" t="inlineStr">
        <is>
          <t>ÖSTERGÖTLANDS LÄN</t>
        </is>
      </c>
      <c r="E582" t="inlineStr">
        <is>
          <t>LINKÖPING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42000-2023</t>
        </is>
      </c>
      <c r="B583" s="1" t="n">
        <v>45177</v>
      </c>
      <c r="C583" s="1" t="n">
        <v>45940</v>
      </c>
      <c r="D583" t="inlineStr">
        <is>
          <t>ÖSTERGÖTLANDS LÄN</t>
        </is>
      </c>
      <c r="E583" t="inlineStr">
        <is>
          <t>LINKÖPING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48254-2025</t>
        </is>
      </c>
      <c r="B584" s="1" t="n">
        <v>45932</v>
      </c>
      <c r="C584" s="1" t="n">
        <v>45940</v>
      </c>
      <c r="D584" t="inlineStr">
        <is>
          <t>ÖSTERGÖTLANDS LÄN</t>
        </is>
      </c>
      <c r="E584" t="inlineStr">
        <is>
          <t>LINKÖPING</t>
        </is>
      </c>
      <c r="F584" t="inlineStr">
        <is>
          <t>Övriga Aktiebolag</t>
        </is>
      </c>
      <c r="G584" t="n">
        <v>0.8</v>
      </c>
      <c r="H584" t="n">
        <v>0</v>
      </c>
      <c r="I584" t="n">
        <v>0</v>
      </c>
      <c r="J584" t="n">
        <v>0</v>
      </c>
      <c r="K584" t="n">
        <v>0</v>
      </c>
      <c r="L584" t="n">
        <v>0</v>
      </c>
      <c r="M584" t="n">
        <v>0</v>
      </c>
      <c r="N584" t="n">
        <v>0</v>
      </c>
      <c r="O584" t="n">
        <v>0</v>
      </c>
      <c r="P584" t="n">
        <v>0</v>
      </c>
      <c r="Q584" t="n">
        <v>0</v>
      </c>
      <c r="R584" s="2" t="inlineStr"/>
    </row>
    <row r="585" ht="15" customHeight="1">
      <c r="A585" t="inlineStr">
        <is>
          <t>A 31534-2023</t>
        </is>
      </c>
      <c r="B585" s="1" t="n">
        <v>45116</v>
      </c>
      <c r="C585" s="1" t="n">
        <v>45940</v>
      </c>
      <c r="D585" t="inlineStr">
        <is>
          <t>ÖSTERGÖTLANDS LÄN</t>
        </is>
      </c>
      <c r="E585" t="inlineStr">
        <is>
          <t>LINKÖPING</t>
        </is>
      </c>
      <c r="G585" t="n">
        <v>1.5</v>
      </c>
      <c r="H585" t="n">
        <v>0</v>
      </c>
      <c r="I585" t="n">
        <v>0</v>
      </c>
      <c r="J585" t="n">
        <v>0</v>
      </c>
      <c r="K585" t="n">
        <v>0</v>
      </c>
      <c r="L585" t="n">
        <v>0</v>
      </c>
      <c r="M585" t="n">
        <v>0</v>
      </c>
      <c r="N585" t="n">
        <v>0</v>
      </c>
      <c r="O585" t="n">
        <v>0</v>
      </c>
      <c r="P585" t="n">
        <v>0</v>
      </c>
      <c r="Q585" t="n">
        <v>0</v>
      </c>
      <c r="R585" s="2" t="inlineStr"/>
    </row>
    <row r="586" ht="15" customHeight="1">
      <c r="A586" t="inlineStr">
        <is>
          <t>A 35427-2023</t>
        </is>
      </c>
      <c r="B586" s="1" t="n">
        <v>45146</v>
      </c>
      <c r="C586" s="1" t="n">
        <v>45940</v>
      </c>
      <c r="D586" t="inlineStr">
        <is>
          <t>ÖSTERGÖTLANDS LÄN</t>
        </is>
      </c>
      <c r="E586" t="inlineStr">
        <is>
          <t>LINKÖPING</t>
        </is>
      </c>
      <c r="F586" t="inlineStr">
        <is>
          <t>Övriga Aktiebolag</t>
        </is>
      </c>
      <c r="G586" t="n">
        <v>2.5</v>
      </c>
      <c r="H586" t="n">
        <v>0</v>
      </c>
      <c r="I586" t="n">
        <v>0</v>
      </c>
      <c r="J586" t="n">
        <v>0</v>
      </c>
      <c r="K586" t="n">
        <v>0</v>
      </c>
      <c r="L586" t="n">
        <v>0</v>
      </c>
      <c r="M586" t="n">
        <v>0</v>
      </c>
      <c r="N586" t="n">
        <v>0</v>
      </c>
      <c r="O586" t="n">
        <v>0</v>
      </c>
      <c r="P586" t="n">
        <v>0</v>
      </c>
      <c r="Q586" t="n">
        <v>0</v>
      </c>
      <c r="R586" s="2" t="inlineStr"/>
    </row>
    <row r="587" ht="15" customHeight="1">
      <c r="A587" t="inlineStr">
        <is>
          <t>A 36725-2023</t>
        </is>
      </c>
      <c r="B587" s="1" t="n">
        <v>45153.68471064815</v>
      </c>
      <c r="C587" s="1" t="n">
        <v>45940</v>
      </c>
      <c r="D587" t="inlineStr">
        <is>
          <t>ÖSTERGÖTLANDS LÄN</t>
        </is>
      </c>
      <c r="E587" t="inlineStr">
        <is>
          <t>LINKÖPING</t>
        </is>
      </c>
      <c r="F587" t="inlineStr">
        <is>
          <t>Allmännings- och besparingsskogar</t>
        </is>
      </c>
      <c r="G587" t="n">
        <v>2.6</v>
      </c>
      <c r="H587" t="n">
        <v>0</v>
      </c>
      <c r="I587" t="n">
        <v>0</v>
      </c>
      <c r="J587" t="n">
        <v>0</v>
      </c>
      <c r="K587" t="n">
        <v>0</v>
      </c>
      <c r="L587" t="n">
        <v>0</v>
      </c>
      <c r="M587" t="n">
        <v>0</v>
      </c>
      <c r="N587" t="n">
        <v>0</v>
      </c>
      <c r="O587" t="n">
        <v>0</v>
      </c>
      <c r="P587" t="n">
        <v>0</v>
      </c>
      <c r="Q587" t="n">
        <v>0</v>
      </c>
      <c r="R587" s="2" t="inlineStr"/>
    </row>
    <row r="588" ht="15" customHeight="1">
      <c r="A588" t="inlineStr">
        <is>
          <t>A 40169-2025</t>
        </is>
      </c>
      <c r="B588" s="1" t="n">
        <v>45894.62824074074</v>
      </c>
      <c r="C588" s="1" t="n">
        <v>45940</v>
      </c>
      <c r="D588" t="inlineStr">
        <is>
          <t>ÖSTERGÖTLANDS LÄN</t>
        </is>
      </c>
      <c r="E588" t="inlineStr">
        <is>
          <t>LINKÖPING</t>
        </is>
      </c>
      <c r="G588" t="n">
        <v>2.8</v>
      </c>
      <c r="H588" t="n">
        <v>0</v>
      </c>
      <c r="I588" t="n">
        <v>0</v>
      </c>
      <c r="J588" t="n">
        <v>0</v>
      </c>
      <c r="K588" t="n">
        <v>0</v>
      </c>
      <c r="L588" t="n">
        <v>0</v>
      </c>
      <c r="M588" t="n">
        <v>0</v>
      </c>
      <c r="N588" t="n">
        <v>0</v>
      </c>
      <c r="O588" t="n">
        <v>0</v>
      </c>
      <c r="P588" t="n">
        <v>0</v>
      </c>
      <c r="Q588" t="n">
        <v>0</v>
      </c>
      <c r="R588" s="2" t="inlineStr"/>
    </row>
    <row r="589" ht="15" customHeight="1">
      <c r="A589" t="inlineStr">
        <is>
          <t>A 30551-2023</t>
        </is>
      </c>
      <c r="B589" s="1" t="n">
        <v>45111</v>
      </c>
      <c r="C589" s="1" t="n">
        <v>45940</v>
      </c>
      <c r="D589" t="inlineStr">
        <is>
          <t>ÖSTERGÖTLANDS LÄN</t>
        </is>
      </c>
      <c r="E589" t="inlineStr">
        <is>
          <t>LINKÖPING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30860-2022</t>
        </is>
      </c>
      <c r="B590" s="1" t="n">
        <v>44767</v>
      </c>
      <c r="C590" s="1" t="n">
        <v>45940</v>
      </c>
      <c r="D590" t="inlineStr">
        <is>
          <t>ÖSTERGÖTLANDS LÄN</t>
        </is>
      </c>
      <c r="E590" t="inlineStr">
        <is>
          <t>LINKÖPING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60004-2022</t>
        </is>
      </c>
      <c r="B591" s="1" t="n">
        <v>44909.47206018519</v>
      </c>
      <c r="C591" s="1" t="n">
        <v>45940</v>
      </c>
      <c r="D591" t="inlineStr">
        <is>
          <t>ÖSTERGÖTLANDS LÄN</t>
        </is>
      </c>
      <c r="E591" t="inlineStr">
        <is>
          <t>LINKÖPING</t>
        </is>
      </c>
      <c r="G591" t="n">
        <v>2.2</v>
      </c>
      <c r="H591" t="n">
        <v>0</v>
      </c>
      <c r="I591" t="n">
        <v>0</v>
      </c>
      <c r="J591" t="n">
        <v>0</v>
      </c>
      <c r="K591" t="n">
        <v>0</v>
      </c>
      <c r="L591" t="n">
        <v>0</v>
      </c>
      <c r="M591" t="n">
        <v>0</v>
      </c>
      <c r="N591" t="n">
        <v>0</v>
      </c>
      <c r="O591" t="n">
        <v>0</v>
      </c>
      <c r="P591" t="n">
        <v>0</v>
      </c>
      <c r="Q591" t="n">
        <v>0</v>
      </c>
      <c r="R591" s="2" t="inlineStr"/>
    </row>
    <row r="592" ht="15" customHeight="1">
      <c r="A592" t="inlineStr">
        <is>
          <t>A 60010-2022</t>
        </is>
      </c>
      <c r="B592" s="1" t="n">
        <v>44909.4740625</v>
      </c>
      <c r="C592" s="1" t="n">
        <v>45940</v>
      </c>
      <c r="D592" t="inlineStr">
        <is>
          <t>ÖSTERGÖTLANDS LÄN</t>
        </is>
      </c>
      <c r="E592" t="inlineStr">
        <is>
          <t>LINKÖPING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53827-2023</t>
        </is>
      </c>
      <c r="B593" s="1" t="n">
        <v>45230</v>
      </c>
      <c r="C593" s="1" t="n">
        <v>45940</v>
      </c>
      <c r="D593" t="inlineStr">
        <is>
          <t>ÖSTERGÖTLANDS LÄN</t>
        </is>
      </c>
      <c r="E593" t="inlineStr">
        <is>
          <t>LINKÖPING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4256-2022</t>
        </is>
      </c>
      <c r="B594" s="1" t="n">
        <v>44588</v>
      </c>
      <c r="C594" s="1" t="n">
        <v>45940</v>
      </c>
      <c r="D594" t="inlineStr">
        <is>
          <t>ÖSTERGÖTLANDS LÄN</t>
        </is>
      </c>
      <c r="E594" t="inlineStr">
        <is>
          <t>LINKÖPING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61649-2023</t>
        </is>
      </c>
      <c r="B595" s="1" t="n">
        <v>45265</v>
      </c>
      <c r="C595" s="1" t="n">
        <v>45940</v>
      </c>
      <c r="D595" t="inlineStr">
        <is>
          <t>ÖSTERGÖTLANDS LÄN</t>
        </is>
      </c>
      <c r="E595" t="inlineStr">
        <is>
          <t>LINKÖPING</t>
        </is>
      </c>
      <c r="G595" t="n">
        <v>0.7</v>
      </c>
      <c r="H595" t="n">
        <v>0</v>
      </c>
      <c r="I595" t="n">
        <v>0</v>
      </c>
      <c r="J595" t="n">
        <v>0</v>
      </c>
      <c r="K595" t="n">
        <v>0</v>
      </c>
      <c r="L595" t="n">
        <v>0</v>
      </c>
      <c r="M595" t="n">
        <v>0</v>
      </c>
      <c r="N595" t="n">
        <v>0</v>
      </c>
      <c r="O595" t="n">
        <v>0</v>
      </c>
      <c r="P595" t="n">
        <v>0</v>
      </c>
      <c r="Q595" t="n">
        <v>0</v>
      </c>
      <c r="R595" s="2" t="inlineStr"/>
    </row>
    <row r="596" ht="15" customHeight="1">
      <c r="A596" t="inlineStr">
        <is>
          <t>A 53639-2023</t>
        </is>
      </c>
      <c r="B596" s="1" t="n">
        <v>45230.59686342593</v>
      </c>
      <c r="C596" s="1" t="n">
        <v>45940</v>
      </c>
      <c r="D596" t="inlineStr">
        <is>
          <t>ÖSTERGÖTLANDS LÄN</t>
        </is>
      </c>
      <c r="E596" t="inlineStr">
        <is>
          <t>LINKÖPING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1657-2024</t>
        </is>
      </c>
      <c r="B597" s="1" t="n">
        <v>45306.82501157407</v>
      </c>
      <c r="C597" s="1" t="n">
        <v>45940</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50784-2022</t>
        </is>
      </c>
      <c r="B598" s="1" t="n">
        <v>44862</v>
      </c>
      <c r="C598" s="1" t="n">
        <v>45940</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223-2024</t>
        </is>
      </c>
      <c r="B599" s="1" t="n">
        <v>45294.72739583333</v>
      </c>
      <c r="C599" s="1" t="n">
        <v>45940</v>
      </c>
      <c r="D599" t="inlineStr">
        <is>
          <t>ÖSTERGÖTLANDS LÄN</t>
        </is>
      </c>
      <c r="E599" t="inlineStr">
        <is>
          <t>LINKÖPING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26803-2024</t>
        </is>
      </c>
      <c r="B600" s="1" t="n">
        <v>45470</v>
      </c>
      <c r="C600" s="1" t="n">
        <v>45940</v>
      </c>
      <c r="D600" t="inlineStr">
        <is>
          <t>ÖSTERGÖTLANDS LÄN</t>
        </is>
      </c>
      <c r="E600" t="inlineStr">
        <is>
          <t>LINKÖPING</t>
        </is>
      </c>
      <c r="F600" t="inlineStr">
        <is>
          <t>Allmännings- och besparingsskogar</t>
        </is>
      </c>
      <c r="G600" t="n">
        <v>4.5</v>
      </c>
      <c r="H600" t="n">
        <v>0</v>
      </c>
      <c r="I600" t="n">
        <v>0</v>
      </c>
      <c r="J600" t="n">
        <v>0</v>
      </c>
      <c r="K600" t="n">
        <v>0</v>
      </c>
      <c r="L600" t="n">
        <v>0</v>
      </c>
      <c r="M600" t="n">
        <v>0</v>
      </c>
      <c r="N600" t="n">
        <v>0</v>
      </c>
      <c r="O600" t="n">
        <v>0</v>
      </c>
      <c r="P600" t="n">
        <v>0</v>
      </c>
      <c r="Q600" t="n">
        <v>0</v>
      </c>
      <c r="R600" s="2" t="inlineStr"/>
    </row>
    <row r="601" ht="15" customHeight="1">
      <c r="A601" t="inlineStr">
        <is>
          <t>A 19464-2024</t>
        </is>
      </c>
      <c r="B601" s="1" t="n">
        <v>45429</v>
      </c>
      <c r="C601" s="1" t="n">
        <v>45940</v>
      </c>
      <c r="D601" t="inlineStr">
        <is>
          <t>ÖSTERGÖTLANDS LÄN</t>
        </is>
      </c>
      <c r="E601" t="inlineStr">
        <is>
          <t>LINKÖPING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19187-2021</t>
        </is>
      </c>
      <c r="B602" s="1" t="n">
        <v>44308</v>
      </c>
      <c r="C602" s="1" t="n">
        <v>45940</v>
      </c>
      <c r="D602" t="inlineStr">
        <is>
          <t>ÖSTERGÖTLANDS LÄN</t>
        </is>
      </c>
      <c r="E602" t="inlineStr">
        <is>
          <t>LINKÖPING</t>
        </is>
      </c>
      <c r="F602" t="inlineStr">
        <is>
          <t>Allmännings- och besparingsskogar</t>
        </is>
      </c>
      <c r="G602" t="n">
        <v>20</v>
      </c>
      <c r="H602" t="n">
        <v>0</v>
      </c>
      <c r="I602" t="n">
        <v>0</v>
      </c>
      <c r="J602" t="n">
        <v>0</v>
      </c>
      <c r="K602" t="n">
        <v>0</v>
      </c>
      <c r="L602" t="n">
        <v>0</v>
      </c>
      <c r="M602" t="n">
        <v>0</v>
      </c>
      <c r="N602" t="n">
        <v>0</v>
      </c>
      <c r="O602" t="n">
        <v>0</v>
      </c>
      <c r="P602" t="n">
        <v>0</v>
      </c>
      <c r="Q602" t="n">
        <v>0</v>
      </c>
      <c r="R602" s="2" t="inlineStr"/>
    </row>
    <row r="603" ht="15" customHeight="1">
      <c r="A603" t="inlineStr">
        <is>
          <t>A 42624-2025</t>
        </is>
      </c>
      <c r="B603" s="1" t="n">
        <v>45905</v>
      </c>
      <c r="C603" s="1" t="n">
        <v>45940</v>
      </c>
      <c r="D603" t="inlineStr">
        <is>
          <t>ÖSTERGÖTLANDS LÄN</t>
        </is>
      </c>
      <c r="E603" t="inlineStr">
        <is>
          <t>LINKÖPING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60472-2022</t>
        </is>
      </c>
      <c r="B604" s="1" t="n">
        <v>44911.41037037037</v>
      </c>
      <c r="C604" s="1" t="n">
        <v>45940</v>
      </c>
      <c r="D604" t="inlineStr">
        <is>
          <t>ÖSTERGÖTLANDS LÄN</t>
        </is>
      </c>
      <c r="E604" t="inlineStr">
        <is>
          <t>LINKÖPING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630-2024</t>
        </is>
      </c>
      <c r="B605" s="1" t="n">
        <v>45299.67736111111</v>
      </c>
      <c r="C605" s="1" t="n">
        <v>45940</v>
      </c>
      <c r="D605" t="inlineStr">
        <is>
          <t>ÖSTERGÖTLANDS LÄN</t>
        </is>
      </c>
      <c r="E605" t="inlineStr">
        <is>
          <t>LINKÖPING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43934-2023</t>
        </is>
      </c>
      <c r="B606" s="1" t="n">
        <v>45187</v>
      </c>
      <c r="C606" s="1" t="n">
        <v>45940</v>
      </c>
      <c r="D606" t="inlineStr">
        <is>
          <t>ÖSTERGÖTLANDS LÄN</t>
        </is>
      </c>
      <c r="E606" t="inlineStr">
        <is>
          <t>LINKÖPING</t>
        </is>
      </c>
      <c r="F606" t="inlineStr">
        <is>
          <t>Övriga Aktiebolag</t>
        </is>
      </c>
      <c r="G606" t="n">
        <v>3.8</v>
      </c>
      <c r="H606" t="n">
        <v>0</v>
      </c>
      <c r="I606" t="n">
        <v>0</v>
      </c>
      <c r="J606" t="n">
        <v>0</v>
      </c>
      <c r="K606" t="n">
        <v>0</v>
      </c>
      <c r="L606" t="n">
        <v>0</v>
      </c>
      <c r="M606" t="n">
        <v>0</v>
      </c>
      <c r="N606" t="n">
        <v>0</v>
      </c>
      <c r="O606" t="n">
        <v>0</v>
      </c>
      <c r="P606" t="n">
        <v>0</v>
      </c>
      <c r="Q606" t="n">
        <v>0</v>
      </c>
      <c r="R606" s="2" t="inlineStr"/>
    </row>
    <row r="607" ht="15" customHeight="1">
      <c r="A607" t="inlineStr">
        <is>
          <t>A 42623-2025</t>
        </is>
      </c>
      <c r="B607" s="1" t="n">
        <v>45905</v>
      </c>
      <c r="C607" s="1" t="n">
        <v>45940</v>
      </c>
      <c r="D607" t="inlineStr">
        <is>
          <t>ÖSTERGÖTLANDS LÄN</t>
        </is>
      </c>
      <c r="E607" t="inlineStr">
        <is>
          <t>LINKÖPING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42626-2025</t>
        </is>
      </c>
      <c r="B608" s="1" t="n">
        <v>45905</v>
      </c>
      <c r="C608" s="1" t="n">
        <v>45940</v>
      </c>
      <c r="D608" t="inlineStr">
        <is>
          <t>ÖSTERGÖTLANDS LÄN</t>
        </is>
      </c>
      <c r="E608" t="inlineStr">
        <is>
          <t>LINKÖPING</t>
        </is>
      </c>
      <c r="G608" t="n">
        <v>3.6</v>
      </c>
      <c r="H608" t="n">
        <v>0</v>
      </c>
      <c r="I608" t="n">
        <v>0</v>
      </c>
      <c r="J608" t="n">
        <v>0</v>
      </c>
      <c r="K608" t="n">
        <v>0</v>
      </c>
      <c r="L608" t="n">
        <v>0</v>
      </c>
      <c r="M608" t="n">
        <v>0</v>
      </c>
      <c r="N608" t="n">
        <v>0</v>
      </c>
      <c r="O608" t="n">
        <v>0</v>
      </c>
      <c r="P608" t="n">
        <v>0</v>
      </c>
      <c r="Q608" t="n">
        <v>0</v>
      </c>
      <c r="R608" s="2" t="inlineStr"/>
    </row>
    <row r="609" ht="15" customHeight="1">
      <c r="A609" t="inlineStr">
        <is>
          <t>A 22774-2024</t>
        </is>
      </c>
      <c r="B609" s="1" t="n">
        <v>45448.46924768519</v>
      </c>
      <c r="C609" s="1" t="n">
        <v>45940</v>
      </c>
      <c r="D609" t="inlineStr">
        <is>
          <t>ÖSTERGÖTLANDS LÄN</t>
        </is>
      </c>
      <c r="E609" t="inlineStr">
        <is>
          <t>LINKÖPING</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22778-2024</t>
        </is>
      </c>
      <c r="B610" s="1" t="n">
        <v>45448.47233796296</v>
      </c>
      <c r="C610" s="1" t="n">
        <v>45940</v>
      </c>
      <c r="D610" t="inlineStr">
        <is>
          <t>ÖSTERGÖTLANDS LÄN</t>
        </is>
      </c>
      <c r="E610" t="inlineStr">
        <is>
          <t>LINKÖPING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49615-2025</t>
        </is>
      </c>
      <c r="B611" s="1" t="n">
        <v>45938</v>
      </c>
      <c r="C611" s="1" t="n">
        <v>45940</v>
      </c>
      <c r="D611" t="inlineStr">
        <is>
          <t>ÖSTERGÖTLANDS LÄN</t>
        </is>
      </c>
      <c r="E611" t="inlineStr">
        <is>
          <t>LINKÖPING</t>
        </is>
      </c>
      <c r="F611" t="inlineStr">
        <is>
          <t>Övriga Aktiebolag</t>
        </is>
      </c>
      <c r="G611" t="n">
        <v>1.6</v>
      </c>
      <c r="H611" t="n">
        <v>0</v>
      </c>
      <c r="I611" t="n">
        <v>0</v>
      </c>
      <c r="J611" t="n">
        <v>0</v>
      </c>
      <c r="K611" t="n">
        <v>0</v>
      </c>
      <c r="L611" t="n">
        <v>0</v>
      </c>
      <c r="M611" t="n">
        <v>0</v>
      </c>
      <c r="N611" t="n">
        <v>0</v>
      </c>
      <c r="O611" t="n">
        <v>0</v>
      </c>
      <c r="P611" t="n">
        <v>0</v>
      </c>
      <c r="Q611" t="n">
        <v>0</v>
      </c>
      <c r="R611" s="2" t="inlineStr"/>
    </row>
    <row r="612" ht="15" customHeight="1">
      <c r="A612" t="inlineStr">
        <is>
          <t>A 49619-2025</t>
        </is>
      </c>
      <c r="B612" s="1" t="n">
        <v>45938</v>
      </c>
      <c r="C612" s="1" t="n">
        <v>45940</v>
      </c>
      <c r="D612" t="inlineStr">
        <is>
          <t>ÖSTERGÖTLANDS LÄN</t>
        </is>
      </c>
      <c r="E612" t="inlineStr">
        <is>
          <t>LINKÖPING</t>
        </is>
      </c>
      <c r="F612" t="inlineStr">
        <is>
          <t>Övriga Aktiebolag</t>
        </is>
      </c>
      <c r="G612" t="n">
        <v>2.3</v>
      </c>
      <c r="H612" t="n">
        <v>0</v>
      </c>
      <c r="I612" t="n">
        <v>0</v>
      </c>
      <c r="J612" t="n">
        <v>0</v>
      </c>
      <c r="K612" t="n">
        <v>0</v>
      </c>
      <c r="L612" t="n">
        <v>0</v>
      </c>
      <c r="M612" t="n">
        <v>0</v>
      </c>
      <c r="N612" t="n">
        <v>0</v>
      </c>
      <c r="O612" t="n">
        <v>0</v>
      </c>
      <c r="P612" t="n">
        <v>0</v>
      </c>
      <c r="Q612" t="n">
        <v>0</v>
      </c>
      <c r="R612" s="2" t="inlineStr"/>
    </row>
    <row r="613" ht="15" customHeight="1">
      <c r="A613" t="inlineStr">
        <is>
          <t>A 49629-2025</t>
        </is>
      </c>
      <c r="B613" s="1" t="n">
        <v>45938</v>
      </c>
      <c r="C613" s="1" t="n">
        <v>45940</v>
      </c>
      <c r="D613" t="inlineStr">
        <is>
          <t>ÖSTERGÖTLANDS LÄN</t>
        </is>
      </c>
      <c r="E613" t="inlineStr">
        <is>
          <t>LINKÖPING</t>
        </is>
      </c>
      <c r="F613" t="inlineStr">
        <is>
          <t>Övriga Aktiebolag</t>
        </is>
      </c>
      <c r="G613" t="n">
        <v>4.5</v>
      </c>
      <c r="H613" t="n">
        <v>0</v>
      </c>
      <c r="I613" t="n">
        <v>0</v>
      </c>
      <c r="J613" t="n">
        <v>0</v>
      </c>
      <c r="K613" t="n">
        <v>0</v>
      </c>
      <c r="L613" t="n">
        <v>0</v>
      </c>
      <c r="M613" t="n">
        <v>0</v>
      </c>
      <c r="N613" t="n">
        <v>0</v>
      </c>
      <c r="O613" t="n">
        <v>0</v>
      </c>
      <c r="P613" t="n">
        <v>0</v>
      </c>
      <c r="Q613" t="n">
        <v>0</v>
      </c>
      <c r="R613" s="2" t="inlineStr"/>
    </row>
    <row r="614" ht="15" customHeight="1">
      <c r="A614" t="inlineStr">
        <is>
          <t>A 49633-2025</t>
        </is>
      </c>
      <c r="B614" s="1" t="n">
        <v>45938</v>
      </c>
      <c r="C614" s="1" t="n">
        <v>45940</v>
      </c>
      <c r="D614" t="inlineStr">
        <is>
          <t>ÖSTERGÖTLANDS LÄN</t>
        </is>
      </c>
      <c r="E614" t="inlineStr">
        <is>
          <t>LINKÖPING</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49455-2025</t>
        </is>
      </c>
      <c r="B615" s="1" t="n">
        <v>45938</v>
      </c>
      <c r="C615" s="1" t="n">
        <v>45940</v>
      </c>
      <c r="D615" t="inlineStr">
        <is>
          <t>ÖSTERGÖTLANDS LÄN</t>
        </is>
      </c>
      <c r="E615" t="inlineStr">
        <is>
          <t>LINKÖPING</t>
        </is>
      </c>
      <c r="F615" t="inlineStr">
        <is>
          <t>Övriga Aktiebolag</t>
        </is>
      </c>
      <c r="G615" t="n">
        <v>5.9</v>
      </c>
      <c r="H615" t="n">
        <v>0</v>
      </c>
      <c r="I615" t="n">
        <v>0</v>
      </c>
      <c r="J615" t="n">
        <v>0</v>
      </c>
      <c r="K615" t="n">
        <v>0</v>
      </c>
      <c r="L615" t="n">
        <v>0</v>
      </c>
      <c r="M615" t="n">
        <v>0</v>
      </c>
      <c r="N615" t="n">
        <v>0</v>
      </c>
      <c r="O615" t="n">
        <v>0</v>
      </c>
      <c r="P615" t="n">
        <v>0</v>
      </c>
      <c r="Q615" t="n">
        <v>0</v>
      </c>
      <c r="R615" s="2" t="inlineStr"/>
    </row>
    <row r="616" ht="15" customHeight="1">
      <c r="A616" t="inlineStr">
        <is>
          <t>A 1209-2023</t>
        </is>
      </c>
      <c r="B616" s="1" t="n">
        <v>44930</v>
      </c>
      <c r="C616" s="1" t="n">
        <v>45940</v>
      </c>
      <c r="D616" t="inlineStr">
        <is>
          <t>ÖSTERGÖTLANDS LÄN</t>
        </is>
      </c>
      <c r="E616" t="inlineStr">
        <is>
          <t>LINKÖPING</t>
        </is>
      </c>
      <c r="F616" t="inlineStr">
        <is>
          <t>Övriga statliga verk och myndigheter</t>
        </is>
      </c>
      <c r="G616" t="n">
        <v>25.8</v>
      </c>
      <c r="H616" t="n">
        <v>0</v>
      </c>
      <c r="I616" t="n">
        <v>0</v>
      </c>
      <c r="J616" t="n">
        <v>0</v>
      </c>
      <c r="K616" t="n">
        <v>0</v>
      </c>
      <c r="L616" t="n">
        <v>0</v>
      </c>
      <c r="M616" t="n">
        <v>0</v>
      </c>
      <c r="N616" t="n">
        <v>0</v>
      </c>
      <c r="O616" t="n">
        <v>0</v>
      </c>
      <c r="P616" t="n">
        <v>0</v>
      </c>
      <c r="Q616" t="n">
        <v>0</v>
      </c>
      <c r="R616" s="2" t="inlineStr"/>
    </row>
    <row r="617" ht="15" customHeight="1">
      <c r="A617" t="inlineStr">
        <is>
          <t>A 30433-2024</t>
        </is>
      </c>
      <c r="B617" s="1" t="n">
        <v>45491.69741898148</v>
      </c>
      <c r="C617" s="1" t="n">
        <v>45940</v>
      </c>
      <c r="D617" t="inlineStr">
        <is>
          <t>ÖSTERGÖTLANDS LÄN</t>
        </is>
      </c>
      <c r="E617" t="inlineStr">
        <is>
          <t>LINKÖPING</t>
        </is>
      </c>
      <c r="G617" t="n">
        <v>1.7</v>
      </c>
      <c r="H617" t="n">
        <v>0</v>
      </c>
      <c r="I617" t="n">
        <v>0</v>
      </c>
      <c r="J617" t="n">
        <v>0</v>
      </c>
      <c r="K617" t="n">
        <v>0</v>
      </c>
      <c r="L617" t="n">
        <v>0</v>
      </c>
      <c r="M617" t="n">
        <v>0</v>
      </c>
      <c r="N617" t="n">
        <v>0</v>
      </c>
      <c r="O617" t="n">
        <v>0</v>
      </c>
      <c r="P617" t="n">
        <v>0</v>
      </c>
      <c r="Q617" t="n">
        <v>0</v>
      </c>
      <c r="R617" s="2" t="inlineStr"/>
    </row>
    <row r="618" ht="15" customHeight="1">
      <c r="A618" t="inlineStr">
        <is>
          <t>A 49647-2025</t>
        </is>
      </c>
      <c r="B618" s="1" t="n">
        <v>45938</v>
      </c>
      <c r="C618" s="1" t="n">
        <v>45940</v>
      </c>
      <c r="D618" t="inlineStr">
        <is>
          <t>ÖSTERGÖTLANDS LÄN</t>
        </is>
      </c>
      <c r="E618" t="inlineStr">
        <is>
          <t>LINKÖPING</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49650-2025</t>
        </is>
      </c>
      <c r="B619" s="1" t="n">
        <v>45938</v>
      </c>
      <c r="C619" s="1" t="n">
        <v>45940</v>
      </c>
      <c r="D619" t="inlineStr">
        <is>
          <t>ÖSTERGÖTLANDS LÄN</t>
        </is>
      </c>
      <c r="E619" t="inlineStr">
        <is>
          <t>LINKÖPING</t>
        </is>
      </c>
      <c r="F619" t="inlineStr">
        <is>
          <t>Övriga Aktiebolag</t>
        </is>
      </c>
      <c r="G619" t="n">
        <v>1.5</v>
      </c>
      <c r="H619" t="n">
        <v>0</v>
      </c>
      <c r="I619" t="n">
        <v>0</v>
      </c>
      <c r="J619" t="n">
        <v>0</v>
      </c>
      <c r="K619" t="n">
        <v>0</v>
      </c>
      <c r="L619" t="n">
        <v>0</v>
      </c>
      <c r="M619" t="n">
        <v>0</v>
      </c>
      <c r="N619" t="n">
        <v>0</v>
      </c>
      <c r="O619" t="n">
        <v>0</v>
      </c>
      <c r="P619" t="n">
        <v>0</v>
      </c>
      <c r="Q619" t="n">
        <v>0</v>
      </c>
      <c r="R619" s="2" t="inlineStr"/>
    </row>
    <row r="620" ht="15" customHeight="1">
      <c r="A620" t="inlineStr">
        <is>
          <t>A 49652-2025</t>
        </is>
      </c>
      <c r="B620" s="1" t="n">
        <v>45938</v>
      </c>
      <c r="C620" s="1" t="n">
        <v>45940</v>
      </c>
      <c r="D620" t="inlineStr">
        <is>
          <t>ÖSTERGÖTLANDS LÄN</t>
        </is>
      </c>
      <c r="E620" t="inlineStr">
        <is>
          <t>LINKÖPING</t>
        </is>
      </c>
      <c r="F620" t="inlineStr">
        <is>
          <t>Övriga Aktiebolag</t>
        </is>
      </c>
      <c r="G620" t="n">
        <v>1.8</v>
      </c>
      <c r="H620" t="n">
        <v>0</v>
      </c>
      <c r="I620" t="n">
        <v>0</v>
      </c>
      <c r="J620" t="n">
        <v>0</v>
      </c>
      <c r="K620" t="n">
        <v>0</v>
      </c>
      <c r="L620" t="n">
        <v>0</v>
      </c>
      <c r="M620" t="n">
        <v>0</v>
      </c>
      <c r="N620" t="n">
        <v>0</v>
      </c>
      <c r="O620" t="n">
        <v>0</v>
      </c>
      <c r="P620" t="n">
        <v>0</v>
      </c>
      <c r="Q620" t="n">
        <v>0</v>
      </c>
      <c r="R620" s="2" t="inlineStr"/>
    </row>
    <row r="621" ht="15" customHeight="1">
      <c r="A621" t="inlineStr">
        <is>
          <t>A 10407-2025</t>
        </is>
      </c>
      <c r="B621" s="1" t="n">
        <v>45720.62863425926</v>
      </c>
      <c r="C621" s="1" t="n">
        <v>45940</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49663-2025</t>
        </is>
      </c>
      <c r="B622" s="1" t="n">
        <v>45938</v>
      </c>
      <c r="C622" s="1" t="n">
        <v>45940</v>
      </c>
      <c r="D622" t="inlineStr">
        <is>
          <t>ÖSTERGÖTLANDS LÄN</t>
        </is>
      </c>
      <c r="E622" t="inlineStr">
        <is>
          <t>LINKÖPING</t>
        </is>
      </c>
      <c r="F622" t="inlineStr">
        <is>
          <t>Övriga Aktiebolag</t>
        </is>
      </c>
      <c r="G622" t="n">
        <v>1.2</v>
      </c>
      <c r="H622" t="n">
        <v>0</v>
      </c>
      <c r="I622" t="n">
        <v>0</v>
      </c>
      <c r="J622" t="n">
        <v>0</v>
      </c>
      <c r="K622" t="n">
        <v>0</v>
      </c>
      <c r="L622" t="n">
        <v>0</v>
      </c>
      <c r="M622" t="n">
        <v>0</v>
      </c>
      <c r="N622" t="n">
        <v>0</v>
      </c>
      <c r="O622" t="n">
        <v>0</v>
      </c>
      <c r="P622" t="n">
        <v>0</v>
      </c>
      <c r="Q622" t="n">
        <v>0</v>
      </c>
      <c r="R622" s="2" t="inlineStr"/>
    </row>
    <row r="623" ht="15" customHeight="1">
      <c r="A623" t="inlineStr">
        <is>
          <t>A 11590-2023</t>
        </is>
      </c>
      <c r="B623" s="1" t="n">
        <v>44994.36689814815</v>
      </c>
      <c r="C623" s="1" t="n">
        <v>45940</v>
      </c>
      <c r="D623" t="inlineStr">
        <is>
          <t>ÖSTERGÖTLANDS LÄN</t>
        </is>
      </c>
      <c r="E623" t="inlineStr">
        <is>
          <t>LINKÖPING</t>
        </is>
      </c>
      <c r="G623" t="n">
        <v>3.1</v>
      </c>
      <c r="H623" t="n">
        <v>0</v>
      </c>
      <c r="I623" t="n">
        <v>0</v>
      </c>
      <c r="J623" t="n">
        <v>0</v>
      </c>
      <c r="K623" t="n">
        <v>0</v>
      </c>
      <c r="L623" t="n">
        <v>0</v>
      </c>
      <c r="M623" t="n">
        <v>0</v>
      </c>
      <c r="N623" t="n">
        <v>0</v>
      </c>
      <c r="O623" t="n">
        <v>0</v>
      </c>
      <c r="P623" t="n">
        <v>0</v>
      </c>
      <c r="Q623" t="n">
        <v>0</v>
      </c>
      <c r="R623" s="2" t="inlineStr"/>
    </row>
    <row r="624" ht="15" customHeight="1">
      <c r="A624" t="inlineStr">
        <is>
          <t>A 19169-2023</t>
        </is>
      </c>
      <c r="B624" s="1" t="n">
        <v>45044</v>
      </c>
      <c r="C624" s="1" t="n">
        <v>45940</v>
      </c>
      <c r="D624" t="inlineStr">
        <is>
          <t>ÖSTERGÖTLANDS LÄN</t>
        </is>
      </c>
      <c r="E624" t="inlineStr">
        <is>
          <t>LINKÖPING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49632-2025</t>
        </is>
      </c>
      <c r="B625" s="1" t="n">
        <v>45938</v>
      </c>
      <c r="C625" s="1" t="n">
        <v>45940</v>
      </c>
      <c r="D625" t="inlineStr">
        <is>
          <t>ÖSTERGÖTLANDS LÄN</t>
        </is>
      </c>
      <c r="E625" t="inlineStr">
        <is>
          <t>LINKÖPING</t>
        </is>
      </c>
      <c r="F625" t="inlineStr">
        <is>
          <t>Övriga Aktiebolag</t>
        </is>
      </c>
      <c r="G625" t="n">
        <v>1.6</v>
      </c>
      <c r="H625" t="n">
        <v>0</v>
      </c>
      <c r="I625" t="n">
        <v>0</v>
      </c>
      <c r="J625" t="n">
        <v>0</v>
      </c>
      <c r="K625" t="n">
        <v>0</v>
      </c>
      <c r="L625" t="n">
        <v>0</v>
      </c>
      <c r="M625" t="n">
        <v>0</v>
      </c>
      <c r="N625" t="n">
        <v>0</v>
      </c>
      <c r="O625" t="n">
        <v>0</v>
      </c>
      <c r="P625" t="n">
        <v>0</v>
      </c>
      <c r="Q625" t="n">
        <v>0</v>
      </c>
      <c r="R625" s="2" t="inlineStr"/>
    </row>
    <row r="626" ht="15" customHeight="1">
      <c r="A626" t="inlineStr">
        <is>
          <t>A 49654-2025</t>
        </is>
      </c>
      <c r="B626" s="1" t="n">
        <v>45938</v>
      </c>
      <c r="C626" s="1" t="n">
        <v>45940</v>
      </c>
      <c r="D626" t="inlineStr">
        <is>
          <t>ÖSTERGÖTLANDS LÄN</t>
        </is>
      </c>
      <c r="E626" t="inlineStr">
        <is>
          <t>LINKÖPING</t>
        </is>
      </c>
      <c r="F626" t="inlineStr">
        <is>
          <t>Övriga Aktiebolag</t>
        </is>
      </c>
      <c r="G626" t="n">
        <v>3.1</v>
      </c>
      <c r="H626" t="n">
        <v>0</v>
      </c>
      <c r="I626" t="n">
        <v>0</v>
      </c>
      <c r="J626" t="n">
        <v>0</v>
      </c>
      <c r="K626" t="n">
        <v>0</v>
      </c>
      <c r="L626" t="n">
        <v>0</v>
      </c>
      <c r="M626" t="n">
        <v>0</v>
      </c>
      <c r="N626" t="n">
        <v>0</v>
      </c>
      <c r="O626" t="n">
        <v>0</v>
      </c>
      <c r="P626" t="n">
        <v>0</v>
      </c>
      <c r="Q626" t="n">
        <v>0</v>
      </c>
      <c r="R626" s="2" t="inlineStr"/>
    </row>
    <row r="627" ht="15" customHeight="1">
      <c r="A627" t="inlineStr">
        <is>
          <t>A 49605-2025</t>
        </is>
      </c>
      <c r="B627" s="1" t="n">
        <v>45938</v>
      </c>
      <c r="C627" s="1" t="n">
        <v>45940</v>
      </c>
      <c r="D627" t="inlineStr">
        <is>
          <t>ÖSTERGÖTLANDS LÄN</t>
        </is>
      </c>
      <c r="E627" t="inlineStr">
        <is>
          <t>LINKÖPING</t>
        </is>
      </c>
      <c r="F627" t="inlineStr">
        <is>
          <t>Övriga Aktiebolag</t>
        </is>
      </c>
      <c r="G627" t="n">
        <v>3.3</v>
      </c>
      <c r="H627" t="n">
        <v>0</v>
      </c>
      <c r="I627" t="n">
        <v>0</v>
      </c>
      <c r="J627" t="n">
        <v>0</v>
      </c>
      <c r="K627" t="n">
        <v>0</v>
      </c>
      <c r="L627" t="n">
        <v>0</v>
      </c>
      <c r="M627" t="n">
        <v>0</v>
      </c>
      <c r="N627" t="n">
        <v>0</v>
      </c>
      <c r="O627" t="n">
        <v>0</v>
      </c>
      <c r="P627" t="n">
        <v>0</v>
      </c>
      <c r="Q627" t="n">
        <v>0</v>
      </c>
      <c r="R627" s="2" t="inlineStr"/>
    </row>
    <row r="628" ht="15" customHeight="1">
      <c r="A628" t="inlineStr">
        <is>
          <t>A 672-2024</t>
        </is>
      </c>
      <c r="B628" s="1" t="n">
        <v>45300</v>
      </c>
      <c r="C628" s="1" t="n">
        <v>45940</v>
      </c>
      <c r="D628" t="inlineStr">
        <is>
          <t>ÖSTERGÖTLANDS LÄN</t>
        </is>
      </c>
      <c r="E628" t="inlineStr">
        <is>
          <t>LINKÖPING</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55493-2021</t>
        </is>
      </c>
      <c r="B629" s="1" t="n">
        <v>44475.61988425926</v>
      </c>
      <c r="C629" s="1" t="n">
        <v>45940</v>
      </c>
      <c r="D629" t="inlineStr">
        <is>
          <t>ÖSTERGÖTLANDS LÄN</t>
        </is>
      </c>
      <c r="E629" t="inlineStr">
        <is>
          <t>LINKÖPING</t>
        </is>
      </c>
      <c r="G629" t="n">
        <v>1.5</v>
      </c>
      <c r="H629" t="n">
        <v>0</v>
      </c>
      <c r="I629" t="n">
        <v>0</v>
      </c>
      <c r="J629" t="n">
        <v>0</v>
      </c>
      <c r="K629" t="n">
        <v>0</v>
      </c>
      <c r="L629" t="n">
        <v>0</v>
      </c>
      <c r="M629" t="n">
        <v>0</v>
      </c>
      <c r="N629" t="n">
        <v>0</v>
      </c>
      <c r="O629" t="n">
        <v>0</v>
      </c>
      <c r="P629" t="n">
        <v>0</v>
      </c>
      <c r="Q629" t="n">
        <v>0</v>
      </c>
      <c r="R629" s="2" t="inlineStr"/>
    </row>
    <row r="630" ht="15" customHeight="1">
      <c r="A630" t="inlineStr">
        <is>
          <t>A 63528-2023</t>
        </is>
      </c>
      <c r="B630" s="1" t="n">
        <v>45274.94810185185</v>
      </c>
      <c r="C630" s="1" t="n">
        <v>45940</v>
      </c>
      <c r="D630" t="inlineStr">
        <is>
          <t>ÖSTERGÖTLANDS LÄN</t>
        </is>
      </c>
      <c r="E630" t="inlineStr">
        <is>
          <t>LINKÖPING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14093-2024</t>
        </is>
      </c>
      <c r="B631" s="1" t="n">
        <v>45392.60278935185</v>
      </c>
      <c r="C631" s="1" t="n">
        <v>45940</v>
      </c>
      <c r="D631" t="inlineStr">
        <is>
          <t>ÖSTERGÖTLANDS LÄN</t>
        </is>
      </c>
      <c r="E631" t="inlineStr">
        <is>
          <t>LINKÖPING</t>
        </is>
      </c>
      <c r="F631" t="inlineStr">
        <is>
          <t>Övriga Aktiebolag</t>
        </is>
      </c>
      <c r="G631" t="n">
        <v>0.6</v>
      </c>
      <c r="H631" t="n">
        <v>0</v>
      </c>
      <c r="I631" t="n">
        <v>0</v>
      </c>
      <c r="J631" t="n">
        <v>0</v>
      </c>
      <c r="K631" t="n">
        <v>0</v>
      </c>
      <c r="L631" t="n">
        <v>0</v>
      </c>
      <c r="M631" t="n">
        <v>0</v>
      </c>
      <c r="N631" t="n">
        <v>0</v>
      </c>
      <c r="O631" t="n">
        <v>0</v>
      </c>
      <c r="P631" t="n">
        <v>0</v>
      </c>
      <c r="Q631" t="n">
        <v>0</v>
      </c>
      <c r="R631" s="2" t="inlineStr"/>
    </row>
    <row r="632" ht="15" customHeight="1">
      <c r="A632" t="inlineStr">
        <is>
          <t>A 61936-2023</t>
        </is>
      </c>
      <c r="B632" s="1" t="n">
        <v>45266.54534722222</v>
      </c>
      <c r="C632" s="1" t="n">
        <v>45940</v>
      </c>
      <c r="D632" t="inlineStr">
        <is>
          <t>ÖSTERGÖTLANDS LÄN</t>
        </is>
      </c>
      <c r="E632" t="inlineStr">
        <is>
          <t>LINKÖPING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62019-2024</t>
        </is>
      </c>
      <c r="B633" s="1" t="n">
        <v>45655.82</v>
      </c>
      <c r="C633" s="1" t="n">
        <v>45940</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62492-2023</t>
        </is>
      </c>
      <c r="B634" s="1" t="n">
        <v>45268.58987268519</v>
      </c>
      <c r="C634" s="1" t="n">
        <v>45940</v>
      </c>
      <c r="D634" t="inlineStr">
        <is>
          <t>ÖSTERGÖTLANDS LÄN</t>
        </is>
      </c>
      <c r="E634" t="inlineStr">
        <is>
          <t>LINKÖPING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10253-2022</t>
        </is>
      </c>
      <c r="B635" s="1" t="n">
        <v>44622</v>
      </c>
      <c r="C635" s="1" t="n">
        <v>45940</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44170-2025</t>
        </is>
      </c>
      <c r="B636" s="1" t="n">
        <v>45915.59864583334</v>
      </c>
      <c r="C636" s="1" t="n">
        <v>45940</v>
      </c>
      <c r="D636" t="inlineStr">
        <is>
          <t>ÖSTERGÖTLANDS LÄN</t>
        </is>
      </c>
      <c r="E636" t="inlineStr">
        <is>
          <t>LINKÖPING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25119-2023</t>
        </is>
      </c>
      <c r="B637" s="1" t="n">
        <v>45086.42326388889</v>
      </c>
      <c r="C637" s="1" t="n">
        <v>45940</v>
      </c>
      <c r="D637" t="inlineStr">
        <is>
          <t>ÖSTERGÖTLANDS LÄN</t>
        </is>
      </c>
      <c r="E637" t="inlineStr">
        <is>
          <t>LINKÖPING</t>
        </is>
      </c>
      <c r="G637" t="n">
        <v>3.2</v>
      </c>
      <c r="H637" t="n">
        <v>0</v>
      </c>
      <c r="I637" t="n">
        <v>0</v>
      </c>
      <c r="J637" t="n">
        <v>0</v>
      </c>
      <c r="K637" t="n">
        <v>0</v>
      </c>
      <c r="L637" t="n">
        <v>0</v>
      </c>
      <c r="M637" t="n">
        <v>0</v>
      </c>
      <c r="N637" t="n">
        <v>0</v>
      </c>
      <c r="O637" t="n">
        <v>0</v>
      </c>
      <c r="P637" t="n">
        <v>0</v>
      </c>
      <c r="Q637" t="n">
        <v>0</v>
      </c>
      <c r="R637" s="2" t="inlineStr"/>
    </row>
    <row r="638" ht="15" customHeight="1">
      <c r="A638" t="inlineStr">
        <is>
          <t>A 43753-2025</t>
        </is>
      </c>
      <c r="B638" s="1" t="n">
        <v>45912.4715625</v>
      </c>
      <c r="C638" s="1" t="n">
        <v>45940</v>
      </c>
      <c r="D638" t="inlineStr">
        <is>
          <t>ÖSTERGÖTLANDS LÄN</t>
        </is>
      </c>
      <c r="E638" t="inlineStr">
        <is>
          <t>LINKÖPING</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43755-2025</t>
        </is>
      </c>
      <c r="B639" s="1" t="n">
        <v>45912.47329861111</v>
      </c>
      <c r="C639" s="1" t="n">
        <v>45940</v>
      </c>
      <c r="D639" t="inlineStr">
        <is>
          <t>ÖSTERGÖTLANDS LÄN</t>
        </is>
      </c>
      <c r="E639" t="inlineStr">
        <is>
          <t>LINKÖPING</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43758-2025</t>
        </is>
      </c>
      <c r="B640" s="1" t="n">
        <v>45912.47711805555</v>
      </c>
      <c r="C640" s="1" t="n">
        <v>45940</v>
      </c>
      <c r="D640" t="inlineStr">
        <is>
          <t>ÖSTERGÖTLANDS LÄN</t>
        </is>
      </c>
      <c r="E640" t="inlineStr">
        <is>
          <t>LINKÖPING</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674-2024</t>
        </is>
      </c>
      <c r="B641" s="1" t="n">
        <v>45300.34408564815</v>
      </c>
      <c r="C641" s="1" t="n">
        <v>45940</v>
      </c>
      <c r="D641" t="inlineStr">
        <is>
          <t>ÖSTERGÖTLANDS LÄN</t>
        </is>
      </c>
      <c r="E641" t="inlineStr">
        <is>
          <t>LINKÖPING</t>
        </is>
      </c>
      <c r="F641" t="inlineStr">
        <is>
          <t>Sveaskog</t>
        </is>
      </c>
      <c r="G641" t="n">
        <v>2.9</v>
      </c>
      <c r="H641" t="n">
        <v>0</v>
      </c>
      <c r="I641" t="n">
        <v>0</v>
      </c>
      <c r="J641" t="n">
        <v>0</v>
      </c>
      <c r="K641" t="n">
        <v>0</v>
      </c>
      <c r="L641" t="n">
        <v>0</v>
      </c>
      <c r="M641" t="n">
        <v>0</v>
      </c>
      <c r="N641" t="n">
        <v>0</v>
      </c>
      <c r="O641" t="n">
        <v>0</v>
      </c>
      <c r="P641" t="n">
        <v>0</v>
      </c>
      <c r="Q641" t="n">
        <v>0</v>
      </c>
      <c r="R641" s="2" t="inlineStr"/>
    </row>
    <row r="642" ht="15" customHeight="1">
      <c r="A642" t="inlineStr">
        <is>
          <t>A 57396-2021</t>
        </is>
      </c>
      <c r="B642" s="1" t="n">
        <v>44483.56151620371</v>
      </c>
      <c r="C642" s="1" t="n">
        <v>45940</v>
      </c>
      <c r="D642" t="inlineStr">
        <is>
          <t>ÖSTERGÖTLANDS LÄN</t>
        </is>
      </c>
      <c r="E642" t="inlineStr">
        <is>
          <t>LINKÖPING</t>
        </is>
      </c>
      <c r="G642" t="n">
        <v>1.1</v>
      </c>
      <c r="H642" t="n">
        <v>0</v>
      </c>
      <c r="I642" t="n">
        <v>0</v>
      </c>
      <c r="J642" t="n">
        <v>0</v>
      </c>
      <c r="K642" t="n">
        <v>0</v>
      </c>
      <c r="L642" t="n">
        <v>0</v>
      </c>
      <c r="M642" t="n">
        <v>0</v>
      </c>
      <c r="N642" t="n">
        <v>0</v>
      </c>
      <c r="O642" t="n">
        <v>0</v>
      </c>
      <c r="P642" t="n">
        <v>0</v>
      </c>
      <c r="Q642" t="n">
        <v>0</v>
      </c>
      <c r="R642" s="2" t="inlineStr"/>
    </row>
    <row r="643" ht="15" customHeight="1">
      <c r="A643" t="inlineStr">
        <is>
          <t>A 51571-2024</t>
        </is>
      </c>
      <c r="B643" s="1" t="n">
        <v>45604</v>
      </c>
      <c r="C643" s="1" t="n">
        <v>45940</v>
      </c>
      <c r="D643" t="inlineStr">
        <is>
          <t>ÖSTERGÖTLANDS LÄN</t>
        </is>
      </c>
      <c r="E643" t="inlineStr">
        <is>
          <t>LINKÖPING</t>
        </is>
      </c>
      <c r="F643" t="inlineStr">
        <is>
          <t>Övriga Aktiebolag</t>
        </is>
      </c>
      <c r="G643" t="n">
        <v>1.4</v>
      </c>
      <c r="H643" t="n">
        <v>0</v>
      </c>
      <c r="I643" t="n">
        <v>0</v>
      </c>
      <c r="J643" t="n">
        <v>0</v>
      </c>
      <c r="K643" t="n">
        <v>0</v>
      </c>
      <c r="L643" t="n">
        <v>0</v>
      </c>
      <c r="M643" t="n">
        <v>0</v>
      </c>
      <c r="N643" t="n">
        <v>0</v>
      </c>
      <c r="O643" t="n">
        <v>0</v>
      </c>
      <c r="P643" t="n">
        <v>0</v>
      </c>
      <c r="Q643" t="n">
        <v>0</v>
      </c>
      <c r="R643" s="2" t="inlineStr"/>
    </row>
    <row r="644" ht="15" customHeight="1">
      <c r="A644" t="inlineStr">
        <is>
          <t>A 17143-2025</t>
        </is>
      </c>
      <c r="B644" s="1" t="n">
        <v>45755.92731481481</v>
      </c>
      <c r="C644" s="1" t="n">
        <v>45940</v>
      </c>
      <c r="D644" t="inlineStr">
        <is>
          <t>ÖSTERGÖTLANDS LÄN</t>
        </is>
      </c>
      <c r="E644" t="inlineStr">
        <is>
          <t>LINKÖPING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6782-2024</t>
        </is>
      </c>
      <c r="B645" s="1" t="n">
        <v>45342</v>
      </c>
      <c r="C645" s="1" t="n">
        <v>45940</v>
      </c>
      <c r="D645" t="inlineStr">
        <is>
          <t>ÖSTERGÖTLANDS LÄN</t>
        </is>
      </c>
      <c r="E645" t="inlineStr">
        <is>
          <t>LINKÖPING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37057-2025</t>
        </is>
      </c>
      <c r="B646" s="1" t="n">
        <v>45875.37489583333</v>
      </c>
      <c r="C646" s="1" t="n">
        <v>45940</v>
      </c>
      <c r="D646" t="inlineStr">
        <is>
          <t>ÖSTERGÖTLANDS LÄN</t>
        </is>
      </c>
      <c r="E646" t="inlineStr">
        <is>
          <t>LINKÖPING</t>
        </is>
      </c>
      <c r="G646" t="n">
        <v>3.3</v>
      </c>
      <c r="H646" t="n">
        <v>0</v>
      </c>
      <c r="I646" t="n">
        <v>0</v>
      </c>
      <c r="J646" t="n">
        <v>0</v>
      </c>
      <c r="K646" t="n">
        <v>0</v>
      </c>
      <c r="L646" t="n">
        <v>0</v>
      </c>
      <c r="M646" t="n">
        <v>0</v>
      </c>
      <c r="N646" t="n">
        <v>0</v>
      </c>
      <c r="O646" t="n">
        <v>0</v>
      </c>
      <c r="P646" t="n">
        <v>0</v>
      </c>
      <c r="Q646" t="n">
        <v>0</v>
      </c>
      <c r="R646" s="2" t="inlineStr"/>
    </row>
    <row r="647" ht="15" customHeight="1">
      <c r="A647" t="inlineStr">
        <is>
          <t>A 17124-2025</t>
        </is>
      </c>
      <c r="B647" s="1" t="n">
        <v>45755.69678240741</v>
      </c>
      <c r="C647" s="1" t="n">
        <v>45940</v>
      </c>
      <c r="D647" t="inlineStr">
        <is>
          <t>ÖSTERGÖTLANDS LÄN</t>
        </is>
      </c>
      <c r="E647" t="inlineStr">
        <is>
          <t>LINKÖPING</t>
        </is>
      </c>
      <c r="G647" t="n">
        <v>1.2</v>
      </c>
      <c r="H647" t="n">
        <v>0</v>
      </c>
      <c r="I647" t="n">
        <v>0</v>
      </c>
      <c r="J647" t="n">
        <v>0</v>
      </c>
      <c r="K647" t="n">
        <v>0</v>
      </c>
      <c r="L647" t="n">
        <v>0</v>
      </c>
      <c r="M647" t="n">
        <v>0</v>
      </c>
      <c r="N647" t="n">
        <v>0</v>
      </c>
      <c r="O647" t="n">
        <v>0</v>
      </c>
      <c r="P647" t="n">
        <v>0</v>
      </c>
      <c r="Q647" t="n">
        <v>0</v>
      </c>
      <c r="R647" s="2" t="inlineStr"/>
    </row>
    <row r="648" ht="15" customHeight="1">
      <c r="A648" t="inlineStr">
        <is>
          <t>A 17126-2025</t>
        </is>
      </c>
      <c r="B648" s="1" t="n">
        <v>45755.70814814815</v>
      </c>
      <c r="C648" s="1" t="n">
        <v>45940</v>
      </c>
      <c r="D648" t="inlineStr">
        <is>
          <t>ÖSTERGÖTLANDS LÄN</t>
        </is>
      </c>
      <c r="E648" t="inlineStr">
        <is>
          <t>LINKÖPING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10094-2024</t>
        </is>
      </c>
      <c r="B649" s="1" t="n">
        <v>45364</v>
      </c>
      <c r="C649" s="1" t="n">
        <v>45940</v>
      </c>
      <c r="D649" t="inlineStr">
        <is>
          <t>ÖSTERGÖTLANDS LÄN</t>
        </is>
      </c>
      <c r="E649" t="inlineStr">
        <is>
          <t>LINKÖPING</t>
        </is>
      </c>
      <c r="F649" t="inlineStr">
        <is>
          <t>Övriga Aktiebolag</t>
        </is>
      </c>
      <c r="G649" t="n">
        <v>1.9</v>
      </c>
      <c r="H649" t="n">
        <v>0</v>
      </c>
      <c r="I649" t="n">
        <v>0</v>
      </c>
      <c r="J649" t="n">
        <v>0</v>
      </c>
      <c r="K649" t="n">
        <v>0</v>
      </c>
      <c r="L649" t="n">
        <v>0</v>
      </c>
      <c r="M649" t="n">
        <v>0</v>
      </c>
      <c r="N649" t="n">
        <v>0</v>
      </c>
      <c r="O649" t="n">
        <v>0</v>
      </c>
      <c r="P649" t="n">
        <v>0</v>
      </c>
      <c r="Q649" t="n">
        <v>0</v>
      </c>
      <c r="R649" s="2" t="inlineStr"/>
    </row>
    <row r="650" ht="15" customHeight="1">
      <c r="A650" t="inlineStr">
        <is>
          <t>A 44759-2025</t>
        </is>
      </c>
      <c r="B650" s="1" t="n">
        <v>45917.7152662037</v>
      </c>
      <c r="C650" s="1" t="n">
        <v>45940</v>
      </c>
      <c r="D650" t="inlineStr">
        <is>
          <t>ÖSTERGÖTLANDS LÄN</t>
        </is>
      </c>
      <c r="E650" t="inlineStr">
        <is>
          <t>LINKÖPING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31640-2023</t>
        </is>
      </c>
      <c r="B651" s="1" t="n">
        <v>45117</v>
      </c>
      <c r="C651" s="1" t="n">
        <v>45940</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63684-2023</t>
        </is>
      </c>
      <c r="B652" s="1" t="n">
        <v>45275</v>
      </c>
      <c r="C652" s="1" t="n">
        <v>45940</v>
      </c>
      <c r="D652" t="inlineStr">
        <is>
          <t>ÖSTERGÖTLANDS LÄN</t>
        </is>
      </c>
      <c r="E652" t="inlineStr">
        <is>
          <t>LINKÖPING</t>
        </is>
      </c>
      <c r="G652" t="n">
        <v>0.4</v>
      </c>
      <c r="H652" t="n">
        <v>0</v>
      </c>
      <c r="I652" t="n">
        <v>0</v>
      </c>
      <c r="J652" t="n">
        <v>0</v>
      </c>
      <c r="K652" t="n">
        <v>0</v>
      </c>
      <c r="L652" t="n">
        <v>0</v>
      </c>
      <c r="M652" t="n">
        <v>0</v>
      </c>
      <c r="N652" t="n">
        <v>0</v>
      </c>
      <c r="O652" t="n">
        <v>0</v>
      </c>
      <c r="P652" t="n">
        <v>0</v>
      </c>
      <c r="Q652" t="n">
        <v>0</v>
      </c>
      <c r="R652" s="2" t="inlineStr"/>
    </row>
    <row r="653" ht="15" customHeight="1">
      <c r="A653" t="inlineStr">
        <is>
          <t>A 63688-2023</t>
        </is>
      </c>
      <c r="B653" s="1" t="n">
        <v>45275</v>
      </c>
      <c r="C653" s="1" t="n">
        <v>45940</v>
      </c>
      <c r="D653" t="inlineStr">
        <is>
          <t>ÖSTERGÖTLANDS LÄN</t>
        </is>
      </c>
      <c r="E653" t="inlineStr">
        <is>
          <t>LINKÖPING</t>
        </is>
      </c>
      <c r="F653" t="inlineStr">
        <is>
          <t>Övriga Aktiebolag</t>
        </is>
      </c>
      <c r="G653" t="n">
        <v>2.4</v>
      </c>
      <c r="H653" t="n">
        <v>0</v>
      </c>
      <c r="I653" t="n">
        <v>0</v>
      </c>
      <c r="J653" t="n">
        <v>0</v>
      </c>
      <c r="K653" t="n">
        <v>0</v>
      </c>
      <c r="L653" t="n">
        <v>0</v>
      </c>
      <c r="M653" t="n">
        <v>0</v>
      </c>
      <c r="N653" t="n">
        <v>0</v>
      </c>
      <c r="O653" t="n">
        <v>0</v>
      </c>
      <c r="P653" t="n">
        <v>0</v>
      </c>
      <c r="Q653" t="n">
        <v>0</v>
      </c>
      <c r="R653" s="2" t="inlineStr"/>
    </row>
    <row r="654" ht="15" customHeight="1">
      <c r="A654" t="inlineStr">
        <is>
          <t>A 63691-2023</t>
        </is>
      </c>
      <c r="B654" s="1" t="n">
        <v>45275</v>
      </c>
      <c r="C654" s="1" t="n">
        <v>45940</v>
      </c>
      <c r="D654" t="inlineStr">
        <is>
          <t>ÖSTERGÖTLANDS LÄN</t>
        </is>
      </c>
      <c r="E654" t="inlineStr">
        <is>
          <t>LINKÖPING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36657-2023</t>
        </is>
      </c>
      <c r="B655" s="1" t="n">
        <v>45153.5702662037</v>
      </c>
      <c r="C655" s="1" t="n">
        <v>45940</v>
      </c>
      <c r="D655" t="inlineStr">
        <is>
          <t>ÖSTERGÖTLANDS LÄN</t>
        </is>
      </c>
      <c r="E655" t="inlineStr">
        <is>
          <t>LINKÖPING</t>
        </is>
      </c>
      <c r="F655" t="inlineStr">
        <is>
          <t>Allmännings- och besparingsskogar</t>
        </is>
      </c>
      <c r="G655" t="n">
        <v>2</v>
      </c>
      <c r="H655" t="n">
        <v>0</v>
      </c>
      <c r="I655" t="n">
        <v>0</v>
      </c>
      <c r="J655" t="n">
        <v>0</v>
      </c>
      <c r="K655" t="n">
        <v>0</v>
      </c>
      <c r="L655" t="n">
        <v>0</v>
      </c>
      <c r="M655" t="n">
        <v>0</v>
      </c>
      <c r="N655" t="n">
        <v>0</v>
      </c>
      <c r="O655" t="n">
        <v>0</v>
      </c>
      <c r="P655" t="n">
        <v>0</v>
      </c>
      <c r="Q655" t="n">
        <v>0</v>
      </c>
      <c r="R655" s="2" t="inlineStr"/>
    </row>
    <row r="656" ht="15" customHeight="1">
      <c r="A656" t="inlineStr">
        <is>
          <t>A 44764-2025</t>
        </is>
      </c>
      <c r="B656" s="1" t="n">
        <v>45917.72821759259</v>
      </c>
      <c r="C656" s="1" t="n">
        <v>45940</v>
      </c>
      <c r="D656" t="inlineStr">
        <is>
          <t>ÖSTERGÖTLANDS LÄN</t>
        </is>
      </c>
      <c r="E656" t="inlineStr">
        <is>
          <t>LINKÖPING</t>
        </is>
      </c>
      <c r="G656" t="n">
        <v>0.9</v>
      </c>
      <c r="H656" t="n">
        <v>0</v>
      </c>
      <c r="I656" t="n">
        <v>0</v>
      </c>
      <c r="J656" t="n">
        <v>0</v>
      </c>
      <c r="K656" t="n">
        <v>0</v>
      </c>
      <c r="L656" t="n">
        <v>0</v>
      </c>
      <c r="M656" t="n">
        <v>0</v>
      </c>
      <c r="N656" t="n">
        <v>0</v>
      </c>
      <c r="O656" t="n">
        <v>0</v>
      </c>
      <c r="P656" t="n">
        <v>0</v>
      </c>
      <c r="Q656" t="n">
        <v>0</v>
      </c>
      <c r="R656" s="2" t="inlineStr"/>
    </row>
    <row r="657" ht="15" customHeight="1">
      <c r="A657" t="inlineStr">
        <is>
          <t>A 14667-2024</t>
        </is>
      </c>
      <c r="B657" s="1" t="n">
        <v>45397.42005787037</v>
      </c>
      <c r="C657" s="1" t="n">
        <v>45940</v>
      </c>
      <c r="D657" t="inlineStr">
        <is>
          <t>ÖSTERGÖTLANDS LÄN</t>
        </is>
      </c>
      <c r="E657" t="inlineStr">
        <is>
          <t>LINKÖPING</t>
        </is>
      </c>
      <c r="G657" t="n">
        <v>2.3</v>
      </c>
      <c r="H657" t="n">
        <v>0</v>
      </c>
      <c r="I657" t="n">
        <v>0</v>
      </c>
      <c r="J657" t="n">
        <v>0</v>
      </c>
      <c r="K657" t="n">
        <v>0</v>
      </c>
      <c r="L657" t="n">
        <v>0</v>
      </c>
      <c r="M657" t="n">
        <v>0</v>
      </c>
      <c r="N657" t="n">
        <v>0</v>
      </c>
      <c r="O657" t="n">
        <v>0</v>
      </c>
      <c r="P657" t="n">
        <v>0</v>
      </c>
      <c r="Q657" t="n">
        <v>0</v>
      </c>
      <c r="R657" s="2" t="inlineStr"/>
    </row>
    <row r="658" ht="15" customHeight="1">
      <c r="A658" t="inlineStr">
        <is>
          <t>A 11790-2024</t>
        </is>
      </c>
      <c r="B658" s="1" t="n">
        <v>45374</v>
      </c>
      <c r="C658" s="1" t="n">
        <v>45940</v>
      </c>
      <c r="D658" t="inlineStr">
        <is>
          <t>ÖSTERGÖTLANDS LÄN</t>
        </is>
      </c>
      <c r="E658" t="inlineStr">
        <is>
          <t>LINKÖPING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61281-2021</t>
        </is>
      </c>
      <c r="B659" s="1" t="n">
        <v>44498.60736111111</v>
      </c>
      <c r="C659" s="1" t="n">
        <v>45940</v>
      </c>
      <c r="D659" t="inlineStr">
        <is>
          <t>ÖSTERGÖTLANDS LÄN</t>
        </is>
      </c>
      <c r="E659" t="inlineStr">
        <is>
          <t>LINKÖPING</t>
        </is>
      </c>
      <c r="G659" t="n">
        <v>4.5</v>
      </c>
      <c r="H659" t="n">
        <v>0</v>
      </c>
      <c r="I659" t="n">
        <v>0</v>
      </c>
      <c r="J659" t="n">
        <v>0</v>
      </c>
      <c r="K659" t="n">
        <v>0</v>
      </c>
      <c r="L659" t="n">
        <v>0</v>
      </c>
      <c r="M659" t="n">
        <v>0</v>
      </c>
      <c r="N659" t="n">
        <v>0</v>
      </c>
      <c r="O659" t="n">
        <v>0</v>
      </c>
      <c r="P659" t="n">
        <v>0</v>
      </c>
      <c r="Q659" t="n">
        <v>0</v>
      </c>
      <c r="R659" s="2" t="inlineStr"/>
    </row>
    <row r="660" ht="15" customHeight="1">
      <c r="A660" t="inlineStr">
        <is>
          <t>A 6206-2024</t>
        </is>
      </c>
      <c r="B660" s="1" t="n">
        <v>45337.5977662037</v>
      </c>
      <c r="C660" s="1" t="n">
        <v>45940</v>
      </c>
      <c r="D660" t="inlineStr">
        <is>
          <t>ÖSTERGÖTLANDS LÄN</t>
        </is>
      </c>
      <c r="E660" t="inlineStr">
        <is>
          <t>LINKÖPING</t>
        </is>
      </c>
      <c r="G660" t="n">
        <v>2</v>
      </c>
      <c r="H660" t="n">
        <v>0</v>
      </c>
      <c r="I660" t="n">
        <v>0</v>
      </c>
      <c r="J660" t="n">
        <v>0</v>
      </c>
      <c r="K660" t="n">
        <v>0</v>
      </c>
      <c r="L660" t="n">
        <v>0</v>
      </c>
      <c r="M660" t="n">
        <v>0</v>
      </c>
      <c r="N660" t="n">
        <v>0</v>
      </c>
      <c r="O660" t="n">
        <v>0</v>
      </c>
      <c r="P660" t="n">
        <v>0</v>
      </c>
      <c r="Q660" t="n">
        <v>0</v>
      </c>
      <c r="R660" s="2" t="inlineStr"/>
    </row>
    <row r="661" ht="15" customHeight="1">
      <c r="A661" t="inlineStr">
        <is>
          <t>A 15714-2024</t>
        </is>
      </c>
      <c r="B661" s="1" t="n">
        <v>45404.48288194444</v>
      </c>
      <c r="C661" s="1" t="n">
        <v>45940</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168-2024</t>
        </is>
      </c>
      <c r="B662" s="1" t="n">
        <v>45294</v>
      </c>
      <c r="C662" s="1" t="n">
        <v>45940</v>
      </c>
      <c r="D662" t="inlineStr">
        <is>
          <t>ÖSTERGÖTLANDS LÄN</t>
        </is>
      </c>
      <c r="E662" t="inlineStr">
        <is>
          <t>LINKÖPING</t>
        </is>
      </c>
      <c r="F662" t="inlineStr">
        <is>
          <t>Allmännings- och besparingsskogar</t>
        </is>
      </c>
      <c r="G662" t="n">
        <v>8.9</v>
      </c>
      <c r="H662" t="n">
        <v>0</v>
      </c>
      <c r="I662" t="n">
        <v>0</v>
      </c>
      <c r="J662" t="n">
        <v>0</v>
      </c>
      <c r="K662" t="n">
        <v>0</v>
      </c>
      <c r="L662" t="n">
        <v>0</v>
      </c>
      <c r="M662" t="n">
        <v>0</v>
      </c>
      <c r="N662" t="n">
        <v>0</v>
      </c>
      <c r="O662" t="n">
        <v>0</v>
      </c>
      <c r="P662" t="n">
        <v>0</v>
      </c>
      <c r="Q662" t="n">
        <v>0</v>
      </c>
      <c r="R662" s="2" t="inlineStr"/>
    </row>
    <row r="663" ht="15" customHeight="1">
      <c r="A663" t="inlineStr">
        <is>
          <t>A 45792-2025</t>
        </is>
      </c>
      <c r="B663" s="1" t="n">
        <v>45923.56998842592</v>
      </c>
      <c r="C663" s="1" t="n">
        <v>45940</v>
      </c>
      <c r="D663" t="inlineStr">
        <is>
          <t>ÖSTERGÖTLANDS LÄN</t>
        </is>
      </c>
      <c r="E663" t="inlineStr">
        <is>
          <t>LINKÖPING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45804-2025</t>
        </is>
      </c>
      <c r="B664" s="1" t="n">
        <v>45923.5819675926</v>
      </c>
      <c r="C664" s="1" t="n">
        <v>45940</v>
      </c>
      <c r="D664" t="inlineStr">
        <is>
          <t>ÖSTERGÖTLANDS LÄN</t>
        </is>
      </c>
      <c r="E664" t="inlineStr">
        <is>
          <t>LINKÖPING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37715-2022</t>
        </is>
      </c>
      <c r="B665" s="1" t="n">
        <v>44810</v>
      </c>
      <c r="C665" s="1" t="n">
        <v>45940</v>
      </c>
      <c r="D665" t="inlineStr">
        <is>
          <t>ÖSTERGÖTLANDS LÄN</t>
        </is>
      </c>
      <c r="E665" t="inlineStr">
        <is>
          <t>LINKÖPING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51919-2024</t>
        </is>
      </c>
      <c r="B666" s="1" t="n">
        <v>45607.60791666667</v>
      </c>
      <c r="C666" s="1" t="n">
        <v>45940</v>
      </c>
      <c r="D666" t="inlineStr">
        <is>
          <t>ÖSTERGÖTLANDS LÄN</t>
        </is>
      </c>
      <c r="E666" t="inlineStr">
        <is>
          <t>LINKÖPING</t>
        </is>
      </c>
      <c r="G666" t="n">
        <v>2.5</v>
      </c>
      <c r="H666" t="n">
        <v>0</v>
      </c>
      <c r="I666" t="n">
        <v>0</v>
      </c>
      <c r="J666" t="n">
        <v>0</v>
      </c>
      <c r="K666" t="n">
        <v>0</v>
      </c>
      <c r="L666" t="n">
        <v>0</v>
      </c>
      <c r="M666" t="n">
        <v>0</v>
      </c>
      <c r="N666" t="n">
        <v>0</v>
      </c>
      <c r="O666" t="n">
        <v>0</v>
      </c>
      <c r="P666" t="n">
        <v>0</v>
      </c>
      <c r="Q666" t="n">
        <v>0</v>
      </c>
      <c r="R666" s="2" t="inlineStr"/>
    </row>
    <row r="667" ht="15" customHeight="1">
      <c r="A667" t="inlineStr">
        <is>
          <t>A 56623-2024</t>
        </is>
      </c>
      <c r="B667" s="1" t="n">
        <v>45625</v>
      </c>
      <c r="C667" s="1" t="n">
        <v>45940</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11330-2023</t>
        </is>
      </c>
      <c r="B668" s="1" t="n">
        <v>44993.24648148148</v>
      </c>
      <c r="C668" s="1" t="n">
        <v>45940</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63304-2021</t>
        </is>
      </c>
      <c r="B669" s="1" t="n">
        <v>44508.4396412037</v>
      </c>
      <c r="C669" s="1" t="n">
        <v>45940</v>
      </c>
      <c r="D669" t="inlineStr">
        <is>
          <t>ÖSTERGÖTLANDS LÄN</t>
        </is>
      </c>
      <c r="E669" t="inlineStr">
        <is>
          <t>LINKÖPING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14528-2025</t>
        </is>
      </c>
      <c r="B670" s="1" t="n">
        <v>45741</v>
      </c>
      <c r="C670" s="1" t="n">
        <v>45940</v>
      </c>
      <c r="D670" t="inlineStr">
        <is>
          <t>ÖSTERGÖTLANDS LÄN</t>
        </is>
      </c>
      <c r="E670" t="inlineStr">
        <is>
          <t>LINKÖPING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30429-2024</t>
        </is>
      </c>
      <c r="B671" s="1" t="n">
        <v>45491.68972222223</v>
      </c>
      <c r="C671" s="1" t="n">
        <v>45940</v>
      </c>
      <c r="D671" t="inlineStr">
        <is>
          <t>ÖSTERGÖTLANDS LÄN</t>
        </is>
      </c>
      <c r="E671" t="inlineStr">
        <is>
          <t>LINKÖPING</t>
        </is>
      </c>
      <c r="G671" t="n">
        <v>2.2</v>
      </c>
      <c r="H671" t="n">
        <v>0</v>
      </c>
      <c r="I671" t="n">
        <v>0</v>
      </c>
      <c r="J671" t="n">
        <v>0</v>
      </c>
      <c r="K671" t="n">
        <v>0</v>
      </c>
      <c r="L671" t="n">
        <v>0</v>
      </c>
      <c r="M671" t="n">
        <v>0</v>
      </c>
      <c r="N671" t="n">
        <v>0</v>
      </c>
      <c r="O671" t="n">
        <v>0</v>
      </c>
      <c r="P671" t="n">
        <v>0</v>
      </c>
      <c r="Q671" t="n">
        <v>0</v>
      </c>
      <c r="R671" s="2" t="inlineStr"/>
    </row>
    <row r="672" ht="15" customHeight="1">
      <c r="A672" t="inlineStr">
        <is>
          <t>A 45634-2025</t>
        </is>
      </c>
      <c r="B672" s="1" t="n">
        <v>45922.85089120371</v>
      </c>
      <c r="C672" s="1" t="n">
        <v>45940</v>
      </c>
      <c r="D672" t="inlineStr">
        <is>
          <t>ÖSTERGÖTLANDS LÄN</t>
        </is>
      </c>
      <c r="E672" t="inlineStr">
        <is>
          <t>LINKÖPING</t>
        </is>
      </c>
      <c r="F672" t="inlineStr">
        <is>
          <t>Övriga Aktiebolag</t>
        </is>
      </c>
      <c r="G672" t="n">
        <v>0.3</v>
      </c>
      <c r="H672" t="n">
        <v>0</v>
      </c>
      <c r="I672" t="n">
        <v>0</v>
      </c>
      <c r="J672" t="n">
        <v>0</v>
      </c>
      <c r="K672" t="n">
        <v>0</v>
      </c>
      <c r="L672" t="n">
        <v>0</v>
      </c>
      <c r="M672" t="n">
        <v>0</v>
      </c>
      <c r="N672" t="n">
        <v>0</v>
      </c>
      <c r="O672" t="n">
        <v>0</v>
      </c>
      <c r="P672" t="n">
        <v>0</v>
      </c>
      <c r="Q672" t="n">
        <v>0</v>
      </c>
      <c r="R672" s="2" t="inlineStr"/>
    </row>
    <row r="673" ht="15" customHeight="1">
      <c r="A673" t="inlineStr">
        <is>
          <t>A 30435-2024</t>
        </is>
      </c>
      <c r="B673" s="1" t="n">
        <v>45491.69962962963</v>
      </c>
      <c r="C673" s="1" t="n">
        <v>45940</v>
      </c>
      <c r="D673" t="inlineStr">
        <is>
          <t>ÖSTERGÖTLANDS LÄN</t>
        </is>
      </c>
      <c r="E673" t="inlineStr">
        <is>
          <t>LINKÖPING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3530-2024</t>
        </is>
      </c>
      <c r="B674" s="1" t="n">
        <v>45320.54717592592</v>
      </c>
      <c r="C674" s="1" t="n">
        <v>45940</v>
      </c>
      <c r="D674" t="inlineStr">
        <is>
          <t>ÖSTERGÖTLANDS LÄN</t>
        </is>
      </c>
      <c r="E674" t="inlineStr">
        <is>
          <t>LINKÖPING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62073-2023</t>
        </is>
      </c>
      <c r="B675" s="1" t="n">
        <v>45266.73844907407</v>
      </c>
      <c r="C675" s="1" t="n">
        <v>45940</v>
      </c>
      <c r="D675" t="inlineStr">
        <is>
          <t>ÖSTERGÖTLANDS LÄN</t>
        </is>
      </c>
      <c r="E675" t="inlineStr">
        <is>
          <t>LINKÖPING</t>
        </is>
      </c>
      <c r="F675" t="inlineStr">
        <is>
          <t>Allmännings- och besparingsskogar</t>
        </is>
      </c>
      <c r="G675" t="n">
        <v>1.8</v>
      </c>
      <c r="H675" t="n">
        <v>0</v>
      </c>
      <c r="I675" t="n">
        <v>0</v>
      </c>
      <c r="J675" t="n">
        <v>0</v>
      </c>
      <c r="K675" t="n">
        <v>0</v>
      </c>
      <c r="L675" t="n">
        <v>0</v>
      </c>
      <c r="M675" t="n">
        <v>0</v>
      </c>
      <c r="N675" t="n">
        <v>0</v>
      </c>
      <c r="O675" t="n">
        <v>0</v>
      </c>
      <c r="P675" t="n">
        <v>0</v>
      </c>
      <c r="Q675" t="n">
        <v>0</v>
      </c>
      <c r="R675" s="2" t="inlineStr"/>
    </row>
    <row r="676" ht="15" customHeight="1">
      <c r="A676" t="inlineStr">
        <is>
          <t>A 25829-2025</t>
        </is>
      </c>
      <c r="B676" s="1" t="n">
        <v>45804.44505787037</v>
      </c>
      <c r="C676" s="1" t="n">
        <v>45940</v>
      </c>
      <c r="D676" t="inlineStr">
        <is>
          <t>ÖSTERGÖTLANDS LÄN</t>
        </is>
      </c>
      <c r="E676" t="inlineStr">
        <is>
          <t>LINKÖPING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5872-2025</t>
        </is>
      </c>
      <c r="B677" s="1" t="n">
        <v>45695.36659722222</v>
      </c>
      <c r="C677" s="1" t="n">
        <v>45940</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38046-2025</t>
        </is>
      </c>
      <c r="B678" s="1" t="n">
        <v>45882.39939814815</v>
      </c>
      <c r="C678" s="1" t="n">
        <v>45940</v>
      </c>
      <c r="D678" t="inlineStr">
        <is>
          <t>ÖSTERGÖTLANDS LÄN</t>
        </is>
      </c>
      <c r="E678" t="inlineStr">
        <is>
          <t>LINKÖPING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4927-2021</t>
        </is>
      </c>
      <c r="B679" s="1" t="n">
        <v>44227.57215277778</v>
      </c>
      <c r="C679" s="1" t="n">
        <v>45940</v>
      </c>
      <c r="D679" t="inlineStr">
        <is>
          <t>ÖSTERGÖTLANDS LÄN</t>
        </is>
      </c>
      <c r="E679" t="inlineStr">
        <is>
          <t>LINKÖPING</t>
        </is>
      </c>
      <c r="G679" t="n">
        <v>0.3</v>
      </c>
      <c r="H679" t="n">
        <v>0</v>
      </c>
      <c r="I679" t="n">
        <v>0</v>
      </c>
      <c r="J679" t="n">
        <v>0</v>
      </c>
      <c r="K679" t="n">
        <v>0</v>
      </c>
      <c r="L679" t="n">
        <v>0</v>
      </c>
      <c r="M679" t="n">
        <v>0</v>
      </c>
      <c r="N679" t="n">
        <v>0</v>
      </c>
      <c r="O679" t="n">
        <v>0</v>
      </c>
      <c r="P679" t="n">
        <v>0</v>
      </c>
      <c r="Q679" t="n">
        <v>0</v>
      </c>
      <c r="R679" s="2" t="inlineStr"/>
    </row>
    <row r="680" ht="15" customHeight="1">
      <c r="A680" t="inlineStr">
        <is>
          <t>A 53814-2023</t>
        </is>
      </c>
      <c r="B680" s="1" t="n">
        <v>45231</v>
      </c>
      <c r="C680" s="1" t="n">
        <v>45940</v>
      </c>
      <c r="D680" t="inlineStr">
        <is>
          <t>ÖSTERGÖTLANDS LÄN</t>
        </is>
      </c>
      <c r="E680" t="inlineStr">
        <is>
          <t>LINKÖPING</t>
        </is>
      </c>
      <c r="G680" t="n">
        <v>1.1</v>
      </c>
      <c r="H680" t="n">
        <v>0</v>
      </c>
      <c r="I680" t="n">
        <v>0</v>
      </c>
      <c r="J680" t="n">
        <v>0</v>
      </c>
      <c r="K680" t="n">
        <v>0</v>
      </c>
      <c r="L680" t="n">
        <v>0</v>
      </c>
      <c r="M680" t="n">
        <v>0</v>
      </c>
      <c r="N680" t="n">
        <v>0</v>
      </c>
      <c r="O680" t="n">
        <v>0</v>
      </c>
      <c r="P680" t="n">
        <v>0</v>
      </c>
      <c r="Q680" t="n">
        <v>0</v>
      </c>
      <c r="R680" s="2" t="inlineStr"/>
    </row>
    <row r="681" ht="15" customHeight="1">
      <c r="A681" t="inlineStr">
        <is>
          <t>A 3432-2023</t>
        </is>
      </c>
      <c r="B681" s="1" t="n">
        <v>44949</v>
      </c>
      <c r="C681" s="1" t="n">
        <v>45940</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38231-2022</t>
        </is>
      </c>
      <c r="B682" s="1" t="n">
        <v>44812</v>
      </c>
      <c r="C682" s="1" t="n">
        <v>45940</v>
      </c>
      <c r="D682" t="inlineStr">
        <is>
          <t>ÖSTERGÖTLANDS LÄN</t>
        </is>
      </c>
      <c r="E682" t="inlineStr">
        <is>
          <t>LINKÖPING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34557-2022</t>
        </is>
      </c>
      <c r="B683" s="1" t="n">
        <v>44794.57074074074</v>
      </c>
      <c r="C683" s="1" t="n">
        <v>45940</v>
      </c>
      <c r="D683" t="inlineStr">
        <is>
          <t>ÖSTERGÖTLANDS LÄN</t>
        </is>
      </c>
      <c r="E683" t="inlineStr">
        <is>
          <t>LINKÖPING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13011-2022</t>
        </is>
      </c>
      <c r="B684" s="1" t="n">
        <v>44643</v>
      </c>
      <c r="C684" s="1" t="n">
        <v>45940</v>
      </c>
      <c r="D684" t="inlineStr">
        <is>
          <t>ÖSTERGÖTLANDS LÄN</t>
        </is>
      </c>
      <c r="E684" t="inlineStr">
        <is>
          <t>LINKÖPING</t>
        </is>
      </c>
      <c r="G684" t="n">
        <v>3.7</v>
      </c>
      <c r="H684" t="n">
        <v>0</v>
      </c>
      <c r="I684" t="n">
        <v>0</v>
      </c>
      <c r="J684" t="n">
        <v>0</v>
      </c>
      <c r="K684" t="n">
        <v>0</v>
      </c>
      <c r="L684" t="n">
        <v>0</v>
      </c>
      <c r="M684" t="n">
        <v>0</v>
      </c>
      <c r="N684" t="n">
        <v>0</v>
      </c>
      <c r="O684" t="n">
        <v>0</v>
      </c>
      <c r="P684" t="n">
        <v>0</v>
      </c>
      <c r="Q684" t="n">
        <v>0</v>
      </c>
      <c r="R684" s="2" t="inlineStr"/>
    </row>
    <row r="685" ht="15" customHeight="1">
      <c r="A685" t="inlineStr">
        <is>
          <t>A 54425-2022</t>
        </is>
      </c>
      <c r="B685" s="1" t="n">
        <v>44882.57453703704</v>
      </c>
      <c r="C685" s="1" t="n">
        <v>45940</v>
      </c>
      <c r="D685" t="inlineStr">
        <is>
          <t>ÖSTERGÖTLANDS LÄN</t>
        </is>
      </c>
      <c r="E685" t="inlineStr">
        <is>
          <t>LINKÖPING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54428-2022</t>
        </is>
      </c>
      <c r="B686" s="1" t="n">
        <v>44882.57643518518</v>
      </c>
      <c r="C686" s="1" t="n">
        <v>45940</v>
      </c>
      <c r="D686" t="inlineStr">
        <is>
          <t>ÖSTERGÖTLANDS LÄN</t>
        </is>
      </c>
      <c r="E686" t="inlineStr">
        <is>
          <t>LINKÖPING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46426-2025</t>
        </is>
      </c>
      <c r="B687" s="1" t="n">
        <v>45925.6012962963</v>
      </c>
      <c r="C687" s="1" t="n">
        <v>45940</v>
      </c>
      <c r="D687" t="inlineStr">
        <is>
          <t>ÖSTERGÖTLANDS LÄN</t>
        </is>
      </c>
      <c r="E687" t="inlineStr">
        <is>
          <t>LINKÖPING</t>
        </is>
      </c>
      <c r="G687" t="n">
        <v>4.4</v>
      </c>
      <c r="H687" t="n">
        <v>0</v>
      </c>
      <c r="I687" t="n">
        <v>0</v>
      </c>
      <c r="J687" t="n">
        <v>0</v>
      </c>
      <c r="K687" t="n">
        <v>0</v>
      </c>
      <c r="L687" t="n">
        <v>0</v>
      </c>
      <c r="M687" t="n">
        <v>0</v>
      </c>
      <c r="N687" t="n">
        <v>0</v>
      </c>
      <c r="O687" t="n">
        <v>0</v>
      </c>
      <c r="P687" t="n">
        <v>0</v>
      </c>
      <c r="Q687" t="n">
        <v>0</v>
      </c>
      <c r="R687" s="2" t="inlineStr"/>
    </row>
    <row r="688" ht="15" customHeight="1">
      <c r="A688" t="inlineStr">
        <is>
          <t>A 46377-2025</t>
        </is>
      </c>
      <c r="B688" s="1" t="n">
        <v>45925.51773148148</v>
      </c>
      <c r="C688" s="1" t="n">
        <v>45940</v>
      </c>
      <c r="D688" t="inlineStr">
        <is>
          <t>ÖSTERGÖTLANDS LÄN</t>
        </is>
      </c>
      <c r="E688" t="inlineStr">
        <is>
          <t>LINKÖPING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46428-2025</t>
        </is>
      </c>
      <c r="B689" s="1" t="n">
        <v>45925.60758101852</v>
      </c>
      <c r="C689" s="1" t="n">
        <v>45940</v>
      </c>
      <c r="D689" t="inlineStr">
        <is>
          <t>ÖSTERGÖTLANDS LÄN</t>
        </is>
      </c>
      <c r="E689" t="inlineStr">
        <is>
          <t>LINKÖPING</t>
        </is>
      </c>
      <c r="G689" t="n">
        <v>3</v>
      </c>
      <c r="H689" t="n">
        <v>0</v>
      </c>
      <c r="I689" t="n">
        <v>0</v>
      </c>
      <c r="J689" t="n">
        <v>0</v>
      </c>
      <c r="K689" t="n">
        <v>0</v>
      </c>
      <c r="L689" t="n">
        <v>0</v>
      </c>
      <c r="M689" t="n">
        <v>0</v>
      </c>
      <c r="N689" t="n">
        <v>0</v>
      </c>
      <c r="O689" t="n">
        <v>0</v>
      </c>
      <c r="P689" t="n">
        <v>0</v>
      </c>
      <c r="Q689" t="n">
        <v>0</v>
      </c>
      <c r="R689" s="2" t="inlineStr"/>
    </row>
    <row r="690" ht="15" customHeight="1">
      <c r="A690" t="inlineStr">
        <is>
          <t>A 617-2024</t>
        </is>
      </c>
      <c r="B690" s="1" t="n">
        <v>45299.66028935185</v>
      </c>
      <c r="C690" s="1" t="n">
        <v>45940</v>
      </c>
      <c r="D690" t="inlineStr">
        <is>
          <t>ÖSTERGÖTLANDS LÄN</t>
        </is>
      </c>
      <c r="E690" t="inlineStr">
        <is>
          <t>LINKÖPING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46194-2025</t>
        </is>
      </c>
      <c r="B691" s="1" t="n">
        <v>45924.68075231482</v>
      </c>
      <c r="C691" s="1" t="n">
        <v>45940</v>
      </c>
      <c r="D691" t="inlineStr">
        <is>
          <t>ÖSTERGÖTLANDS LÄN</t>
        </is>
      </c>
      <c r="E691" t="inlineStr">
        <is>
          <t>LINKÖPING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19362-2023</t>
        </is>
      </c>
      <c r="B692" s="1" t="n">
        <v>45049</v>
      </c>
      <c r="C692" s="1" t="n">
        <v>45940</v>
      </c>
      <c r="D692" t="inlineStr">
        <is>
          <t>ÖSTERGÖTLANDS LÄN</t>
        </is>
      </c>
      <c r="E692" t="inlineStr">
        <is>
          <t>LINKÖPING</t>
        </is>
      </c>
      <c r="G692" t="n">
        <v>0.1</v>
      </c>
      <c r="H692" t="n">
        <v>0</v>
      </c>
      <c r="I692" t="n">
        <v>0</v>
      </c>
      <c r="J692" t="n">
        <v>0</v>
      </c>
      <c r="K692" t="n">
        <v>0</v>
      </c>
      <c r="L692" t="n">
        <v>0</v>
      </c>
      <c r="M692" t="n">
        <v>0</v>
      </c>
      <c r="N692" t="n">
        <v>0</v>
      </c>
      <c r="O692" t="n">
        <v>0</v>
      </c>
      <c r="P692" t="n">
        <v>0</v>
      </c>
      <c r="Q692" t="n">
        <v>0</v>
      </c>
      <c r="R692" s="2" t="inlineStr"/>
    </row>
    <row r="693" ht="15" customHeight="1">
      <c r="A693" t="inlineStr">
        <is>
          <t>A 660-2023</t>
        </is>
      </c>
      <c r="B693" s="1" t="n">
        <v>44930</v>
      </c>
      <c r="C693" s="1" t="n">
        <v>45940</v>
      </c>
      <c r="D693" t="inlineStr">
        <is>
          <t>ÖSTERGÖTLANDS LÄN</t>
        </is>
      </c>
      <c r="E693" t="inlineStr">
        <is>
          <t>LINKÖPING</t>
        </is>
      </c>
      <c r="F693" t="inlineStr">
        <is>
          <t>Kyrkan</t>
        </is>
      </c>
      <c r="G693" t="n">
        <v>1.6</v>
      </c>
      <c r="H693" t="n">
        <v>0</v>
      </c>
      <c r="I693" t="n">
        <v>0</v>
      </c>
      <c r="J693" t="n">
        <v>0</v>
      </c>
      <c r="K693" t="n">
        <v>0</v>
      </c>
      <c r="L693" t="n">
        <v>0</v>
      </c>
      <c r="M693" t="n">
        <v>0</v>
      </c>
      <c r="N693" t="n">
        <v>0</v>
      </c>
      <c r="O693" t="n">
        <v>0</v>
      </c>
      <c r="P693" t="n">
        <v>0</v>
      </c>
      <c r="Q693" t="n">
        <v>0</v>
      </c>
      <c r="R693" s="2" t="inlineStr"/>
    </row>
    <row r="694" ht="15" customHeight="1">
      <c r="A694" t="inlineStr">
        <is>
          <t>A 62501-2023</t>
        </is>
      </c>
      <c r="B694" s="1" t="n">
        <v>45268</v>
      </c>
      <c r="C694" s="1" t="n">
        <v>45940</v>
      </c>
      <c r="D694" t="inlineStr">
        <is>
          <t>ÖSTERGÖTLANDS LÄN</t>
        </is>
      </c>
      <c r="E694" t="inlineStr">
        <is>
          <t>LINKÖPING</t>
        </is>
      </c>
      <c r="G694" t="n">
        <v>7.4</v>
      </c>
      <c r="H694" t="n">
        <v>0</v>
      </c>
      <c r="I694" t="n">
        <v>0</v>
      </c>
      <c r="J694" t="n">
        <v>0</v>
      </c>
      <c r="K694" t="n">
        <v>0</v>
      </c>
      <c r="L694" t="n">
        <v>0</v>
      </c>
      <c r="M694" t="n">
        <v>0</v>
      </c>
      <c r="N694" t="n">
        <v>0</v>
      </c>
      <c r="O694" t="n">
        <v>0</v>
      </c>
      <c r="P694" t="n">
        <v>0</v>
      </c>
      <c r="Q694" t="n">
        <v>0</v>
      </c>
      <c r="R694" s="2" t="inlineStr"/>
    </row>
    <row r="695" ht="15" customHeight="1">
      <c r="A695" t="inlineStr">
        <is>
          <t>A 13413-2023</t>
        </is>
      </c>
      <c r="B695" s="1" t="n">
        <v>45005.58341435185</v>
      </c>
      <c r="C695" s="1" t="n">
        <v>45940</v>
      </c>
      <c r="D695" t="inlineStr">
        <is>
          <t>ÖSTERGÖTLANDS LÄN</t>
        </is>
      </c>
      <c r="E695" t="inlineStr">
        <is>
          <t>LINKÖPING</t>
        </is>
      </c>
      <c r="G695" t="n">
        <v>2.4</v>
      </c>
      <c r="H695" t="n">
        <v>0</v>
      </c>
      <c r="I695" t="n">
        <v>0</v>
      </c>
      <c r="J695" t="n">
        <v>0</v>
      </c>
      <c r="K695" t="n">
        <v>0</v>
      </c>
      <c r="L695" t="n">
        <v>0</v>
      </c>
      <c r="M695" t="n">
        <v>0</v>
      </c>
      <c r="N695" t="n">
        <v>0</v>
      </c>
      <c r="O695" t="n">
        <v>0</v>
      </c>
      <c r="P695" t="n">
        <v>0</v>
      </c>
      <c r="Q695" t="n">
        <v>0</v>
      </c>
      <c r="R695" s="2" t="inlineStr"/>
    </row>
    <row r="696" ht="15" customHeight="1">
      <c r="A696" t="inlineStr">
        <is>
          <t>A 26620-2023</t>
        </is>
      </c>
      <c r="B696" s="1" t="n">
        <v>45092.70390046296</v>
      </c>
      <c r="C696" s="1" t="n">
        <v>45940</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19132-2023</t>
        </is>
      </c>
      <c r="B697" s="1" t="n">
        <v>45048.54754629629</v>
      </c>
      <c r="C697" s="1" t="n">
        <v>45940</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31635-2023</t>
        </is>
      </c>
      <c r="B698" s="1" t="n">
        <v>45105</v>
      </c>
      <c r="C698" s="1" t="n">
        <v>45940</v>
      </c>
      <c r="D698" t="inlineStr">
        <is>
          <t>ÖSTERGÖTLANDS LÄN</t>
        </is>
      </c>
      <c r="E698" t="inlineStr">
        <is>
          <t>LINKÖPING</t>
        </is>
      </c>
      <c r="F698" t="inlineStr">
        <is>
          <t>Övriga statliga verk och myndigheter</t>
        </is>
      </c>
      <c r="G698" t="n">
        <v>4.6</v>
      </c>
      <c r="H698" t="n">
        <v>0</v>
      </c>
      <c r="I698" t="n">
        <v>0</v>
      </c>
      <c r="J698" t="n">
        <v>0</v>
      </c>
      <c r="K698" t="n">
        <v>0</v>
      </c>
      <c r="L698" t="n">
        <v>0</v>
      </c>
      <c r="M698" t="n">
        <v>0</v>
      </c>
      <c r="N698" t="n">
        <v>0</v>
      </c>
      <c r="O698" t="n">
        <v>0</v>
      </c>
      <c r="P698" t="n">
        <v>0</v>
      </c>
      <c r="Q698" t="n">
        <v>0</v>
      </c>
      <c r="R698" s="2" t="inlineStr"/>
    </row>
    <row r="699" ht="15" customHeight="1">
      <c r="A699" t="inlineStr">
        <is>
          <t>A 20296-2025</t>
        </is>
      </c>
      <c r="B699" s="1" t="n">
        <v>45774.74922453704</v>
      </c>
      <c r="C699" s="1" t="n">
        <v>45940</v>
      </c>
      <c r="D699" t="inlineStr">
        <is>
          <t>ÖSTERGÖTLANDS LÄN</t>
        </is>
      </c>
      <c r="E699" t="inlineStr">
        <is>
          <t>LINKÖPING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67129-2020</t>
        </is>
      </c>
      <c r="B700" s="1" t="n">
        <v>44180</v>
      </c>
      <c r="C700" s="1" t="n">
        <v>45940</v>
      </c>
      <c r="D700" t="inlineStr">
        <is>
          <t>ÖSTERGÖTLANDS LÄN</t>
        </is>
      </c>
      <c r="E700" t="inlineStr">
        <is>
          <t>LINKÖPING</t>
        </is>
      </c>
      <c r="F700" t="inlineStr">
        <is>
          <t>Övriga statliga verk och myndigheter</t>
        </is>
      </c>
      <c r="G700" t="n">
        <v>2.7</v>
      </c>
      <c r="H700" t="n">
        <v>0</v>
      </c>
      <c r="I700" t="n">
        <v>0</v>
      </c>
      <c r="J700" t="n">
        <v>0</v>
      </c>
      <c r="K700" t="n">
        <v>0</v>
      </c>
      <c r="L700" t="n">
        <v>0</v>
      </c>
      <c r="M700" t="n">
        <v>0</v>
      </c>
      <c r="N700" t="n">
        <v>0</v>
      </c>
      <c r="O700" t="n">
        <v>0</v>
      </c>
      <c r="P700" t="n">
        <v>0</v>
      </c>
      <c r="Q700" t="n">
        <v>0</v>
      </c>
      <c r="R700" s="2" t="inlineStr"/>
    </row>
    <row r="701" ht="15" customHeight="1">
      <c r="A701" t="inlineStr">
        <is>
          <t>A 22770-2024</t>
        </is>
      </c>
      <c r="B701" s="1" t="n">
        <v>45448.4634375</v>
      </c>
      <c r="C701" s="1" t="n">
        <v>45940</v>
      </c>
      <c r="D701" t="inlineStr">
        <is>
          <t>ÖSTERGÖTLANDS LÄN</t>
        </is>
      </c>
      <c r="E701" t="inlineStr">
        <is>
          <t>LINKÖPING</t>
        </is>
      </c>
      <c r="F701" t="inlineStr">
        <is>
          <t>Sveaskog</t>
        </is>
      </c>
      <c r="G701" t="n">
        <v>3.4</v>
      </c>
      <c r="H701" t="n">
        <v>0</v>
      </c>
      <c r="I701" t="n">
        <v>0</v>
      </c>
      <c r="J701" t="n">
        <v>0</v>
      </c>
      <c r="K701" t="n">
        <v>0</v>
      </c>
      <c r="L701" t="n">
        <v>0</v>
      </c>
      <c r="M701" t="n">
        <v>0</v>
      </c>
      <c r="N701" t="n">
        <v>0</v>
      </c>
      <c r="O701" t="n">
        <v>0</v>
      </c>
      <c r="P701" t="n">
        <v>0</v>
      </c>
      <c r="Q701" t="n">
        <v>0</v>
      </c>
      <c r="R701" s="2" t="inlineStr"/>
    </row>
    <row r="702" ht="15" customHeight="1">
      <c r="A702" t="inlineStr">
        <is>
          <t>A 11595-2025</t>
        </is>
      </c>
      <c r="B702" s="1" t="n">
        <v>45727.41893518518</v>
      </c>
      <c r="C702" s="1" t="n">
        <v>45940</v>
      </c>
      <c r="D702" t="inlineStr">
        <is>
          <t>ÖSTERGÖTLANDS LÄN</t>
        </is>
      </c>
      <c r="E702" t="inlineStr">
        <is>
          <t>LINKÖPING</t>
        </is>
      </c>
      <c r="G702" t="n">
        <v>6.6</v>
      </c>
      <c r="H702" t="n">
        <v>0</v>
      </c>
      <c r="I702" t="n">
        <v>0</v>
      </c>
      <c r="J702" t="n">
        <v>0</v>
      </c>
      <c r="K702" t="n">
        <v>0</v>
      </c>
      <c r="L702" t="n">
        <v>0</v>
      </c>
      <c r="M702" t="n">
        <v>0</v>
      </c>
      <c r="N702" t="n">
        <v>0</v>
      </c>
      <c r="O702" t="n">
        <v>0</v>
      </c>
      <c r="P702" t="n">
        <v>0</v>
      </c>
      <c r="Q702" t="n">
        <v>0</v>
      </c>
      <c r="R702" s="2" t="inlineStr"/>
    </row>
    <row r="703" ht="15" customHeight="1">
      <c r="A703" t="inlineStr">
        <is>
          <t>A 48839-2022</t>
        </is>
      </c>
      <c r="B703" s="1" t="n">
        <v>44859</v>
      </c>
      <c r="C703" s="1" t="n">
        <v>45940</v>
      </c>
      <c r="D703" t="inlineStr">
        <is>
          <t>ÖSTERGÖTLANDS LÄN</t>
        </is>
      </c>
      <c r="E703" t="inlineStr">
        <is>
          <t>LINKÖPING</t>
        </is>
      </c>
      <c r="F703" t="inlineStr">
        <is>
          <t>Övriga Aktiebolag</t>
        </is>
      </c>
      <c r="G703" t="n">
        <v>0.6</v>
      </c>
      <c r="H703" t="n">
        <v>0</v>
      </c>
      <c r="I703" t="n">
        <v>0</v>
      </c>
      <c r="J703" t="n">
        <v>0</v>
      </c>
      <c r="K703" t="n">
        <v>0</v>
      </c>
      <c r="L703" t="n">
        <v>0</v>
      </c>
      <c r="M703" t="n">
        <v>0</v>
      </c>
      <c r="N703" t="n">
        <v>0</v>
      </c>
      <c r="O703" t="n">
        <v>0</v>
      </c>
      <c r="P703" t="n">
        <v>0</v>
      </c>
      <c r="Q703" t="n">
        <v>0</v>
      </c>
      <c r="R703" s="2" t="inlineStr"/>
    </row>
    <row r="704">
      <c r="A704" t="inlineStr">
        <is>
          <t>A 8967-2025</t>
        </is>
      </c>
      <c r="B704" s="1" t="n">
        <v>45712</v>
      </c>
      <c r="C704" s="1" t="n">
        <v>45940</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2025-10-10T12:41:46Z</dcterms:created>
  <dcterms:modified xmlns:dcterms="http://purl.org/dc/terms/" xmlns:xsi="http://www.w3.org/2001/XMLSchema-instance" xsi:type="dcterms:W3CDTF">2025-10-10T12:41:47Z</dcterms:modified>
</cp:coreProperties>
</file>