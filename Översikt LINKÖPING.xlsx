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45690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45690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45690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45690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45690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45690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45690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45690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45690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45690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55341-2024</t>
        </is>
      </c>
      <c r="B25" s="1" t="n">
        <v>45621</v>
      </c>
      <c r="C25" s="1" t="n">
        <v>45690</v>
      </c>
      <c r="D25" t="inlineStr">
        <is>
          <t>ÖSTERGÖTLANDS LÄN</t>
        </is>
      </c>
      <c r="E25" t="inlineStr">
        <is>
          <t>LINKÖPING</t>
        </is>
      </c>
      <c r="G25" t="n">
        <v>4.3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Rynkskinn
Barkticka
Smal svampklubba</t>
        </is>
      </c>
      <c r="S25">
        <f>HYPERLINK("https://klasma.github.io/Logging_0580/artfynd/A 55341-2024 artfynd.xlsx", "A 55341-2024")</f>
        <v/>
      </c>
      <c r="T25">
        <f>HYPERLINK("https://klasma.github.io/Logging_0580/kartor/A 55341-2024 karta.png", "A 55341-2024")</f>
        <v/>
      </c>
      <c r="V25">
        <f>HYPERLINK("https://klasma.github.io/Logging_0580/klagomål/A 55341-2024 FSC-klagomål.docx", "A 55341-2024")</f>
        <v/>
      </c>
      <c r="W25">
        <f>HYPERLINK("https://klasma.github.io/Logging_0580/klagomålsmail/A 55341-2024 FSC-klagomål mail.docx", "A 55341-2024")</f>
        <v/>
      </c>
      <c r="X25">
        <f>HYPERLINK("https://klasma.github.io/Logging_0580/tillsyn/A 55341-2024 tillsynsbegäran.docx", "A 55341-2024")</f>
        <v/>
      </c>
      <c r="Y25">
        <f>HYPERLINK("https://klasma.github.io/Logging_0580/tillsynsmail/A 55341-2024 tillsynsbegäran mail.docx", "A 55341-2024")</f>
        <v/>
      </c>
    </row>
    <row r="26" ht="15" customHeight="1">
      <c r="A26" t="inlineStr">
        <is>
          <t>A 577-2025</t>
        </is>
      </c>
      <c r="B26" s="1" t="n">
        <v>45664</v>
      </c>
      <c r="C26" s="1" t="n">
        <v>45690</v>
      </c>
      <c r="D26" t="inlineStr">
        <is>
          <t>ÖSTERGÖTLANDS LÄN</t>
        </is>
      </c>
      <c r="E26" t="inlineStr">
        <is>
          <t>LINKÖPING</t>
        </is>
      </c>
      <c r="G26" t="n">
        <v>3.7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Brunlångöra
Dvärgpipistrell
Större brunfladdermus</t>
        </is>
      </c>
      <c r="S26">
        <f>HYPERLINK("https://klasma.github.io/Logging_0580/artfynd/A 577-2025 artfynd.xlsx", "A 577-2025")</f>
        <v/>
      </c>
      <c r="T26">
        <f>HYPERLINK("https://klasma.github.io/Logging_0580/kartor/A 577-2025 karta.png", "A 577-2025")</f>
        <v/>
      </c>
      <c r="V26">
        <f>HYPERLINK("https://klasma.github.io/Logging_0580/klagomål/A 577-2025 FSC-klagomål.docx", "A 577-2025")</f>
        <v/>
      </c>
      <c r="W26">
        <f>HYPERLINK("https://klasma.github.io/Logging_0580/klagomålsmail/A 577-2025 FSC-klagomål mail.docx", "A 577-2025")</f>
        <v/>
      </c>
      <c r="X26">
        <f>HYPERLINK("https://klasma.github.io/Logging_0580/tillsyn/A 577-2025 tillsynsbegäran.docx", "A 577-2025")</f>
        <v/>
      </c>
      <c r="Y26">
        <f>HYPERLINK("https://klasma.github.io/Logging_0580/tillsynsmail/A 577-2025 tillsynsbegäran mail.docx", "A 577-2025")</f>
        <v/>
      </c>
    </row>
    <row r="27" ht="15" customHeight="1">
      <c r="A27" t="inlineStr">
        <is>
          <t>A 39326-2019</t>
        </is>
      </c>
      <c r="B27" s="1" t="n">
        <v>43690</v>
      </c>
      <c r="C27" s="1" t="n">
        <v>45690</v>
      </c>
      <c r="D27" t="inlineStr">
        <is>
          <t>ÖSTERGÖTLANDS LÄN</t>
        </is>
      </c>
      <c r="E27" t="inlineStr">
        <is>
          <t>LINKÖPING</t>
        </is>
      </c>
      <c r="G27" t="n">
        <v>0.8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Säfferot</t>
        </is>
      </c>
      <c r="S27">
        <f>HYPERLINK("https://klasma.github.io/Logging_0580/artfynd/A 39326-2019 artfynd.xlsx", "A 39326-2019")</f>
        <v/>
      </c>
      <c r="T27">
        <f>HYPERLINK("https://klasma.github.io/Logging_0580/kartor/A 39326-2019 karta.png", "A 39326-2019")</f>
        <v/>
      </c>
      <c r="V27">
        <f>HYPERLINK("https://klasma.github.io/Logging_0580/klagomål/A 39326-2019 FSC-klagomål.docx", "A 39326-2019")</f>
        <v/>
      </c>
      <c r="W27">
        <f>HYPERLINK("https://klasma.github.io/Logging_0580/klagomålsmail/A 39326-2019 FSC-klagomål mail.docx", "A 39326-2019")</f>
        <v/>
      </c>
      <c r="X27">
        <f>HYPERLINK("https://klasma.github.io/Logging_0580/tillsyn/A 39326-2019 tillsynsbegäran.docx", "A 39326-2019")</f>
        <v/>
      </c>
      <c r="Y27">
        <f>HYPERLINK("https://klasma.github.io/Logging_0580/tillsynsmail/A 39326-2019 tillsynsbegäran mail.docx", "A 39326-2019")</f>
        <v/>
      </c>
    </row>
    <row r="28" ht="15" customHeight="1">
      <c r="A28" t="inlineStr">
        <is>
          <t>A 45531-2019</t>
        </is>
      </c>
      <c r="B28" s="1" t="n">
        <v>43714</v>
      </c>
      <c r="C28" s="1" t="n">
        <v>45690</v>
      </c>
      <c r="D28" t="inlineStr">
        <is>
          <t>ÖSTERGÖTLANDS LÄN</t>
        </is>
      </c>
      <c r="E28" t="inlineStr">
        <is>
          <t>LINKÖPING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Ängsskära
Grönvit nattviol</t>
        </is>
      </c>
      <c r="S28">
        <f>HYPERLINK("https://klasma.github.io/Logging_0580/artfynd/A 45531-2019 artfynd.xlsx", "A 45531-2019")</f>
        <v/>
      </c>
      <c r="T28">
        <f>HYPERLINK("https://klasma.github.io/Logging_0580/kartor/A 45531-2019 karta.png", "A 45531-2019")</f>
        <v/>
      </c>
      <c r="V28">
        <f>HYPERLINK("https://klasma.github.io/Logging_0580/klagomål/A 45531-2019 FSC-klagomål.docx", "A 45531-2019")</f>
        <v/>
      </c>
      <c r="W28">
        <f>HYPERLINK("https://klasma.github.io/Logging_0580/klagomålsmail/A 45531-2019 FSC-klagomål mail.docx", "A 45531-2019")</f>
        <v/>
      </c>
      <c r="X28">
        <f>HYPERLINK("https://klasma.github.io/Logging_0580/tillsyn/A 45531-2019 tillsynsbegäran.docx", "A 45531-2019")</f>
        <v/>
      </c>
      <c r="Y28">
        <f>HYPERLINK("https://klasma.github.io/Logging_0580/tillsynsmail/A 45531-2019 tillsynsbegäran mail.docx", "A 45531-2019")</f>
        <v/>
      </c>
    </row>
    <row r="29" ht="15" customHeight="1">
      <c r="A29" t="inlineStr">
        <is>
          <t>A 22939-2020</t>
        </is>
      </c>
      <c r="B29" s="1" t="n">
        <v>43965</v>
      </c>
      <c r="C29" s="1" t="n">
        <v>45690</v>
      </c>
      <c r="D29" t="inlineStr">
        <is>
          <t>ÖSTERGÖTLANDS LÄN</t>
        </is>
      </c>
      <c r="E29" t="inlineStr">
        <is>
          <t>LINKÖPING</t>
        </is>
      </c>
      <c r="G29" t="n">
        <v>3.4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Rödlånke
Svartvit flugsnappare</t>
        </is>
      </c>
      <c r="S29">
        <f>HYPERLINK("https://klasma.github.io/Logging_0580/artfynd/A 22939-2020 artfynd.xlsx", "A 22939-2020")</f>
        <v/>
      </c>
      <c r="T29">
        <f>HYPERLINK("https://klasma.github.io/Logging_0580/kartor/A 22939-2020 karta.png", "A 22939-2020")</f>
        <v/>
      </c>
      <c r="V29">
        <f>HYPERLINK("https://klasma.github.io/Logging_0580/klagomål/A 22939-2020 FSC-klagomål.docx", "A 22939-2020")</f>
        <v/>
      </c>
      <c r="W29">
        <f>HYPERLINK("https://klasma.github.io/Logging_0580/klagomålsmail/A 22939-2020 FSC-klagomål mail.docx", "A 22939-2020")</f>
        <v/>
      </c>
      <c r="X29">
        <f>HYPERLINK("https://klasma.github.io/Logging_0580/tillsyn/A 22939-2020 tillsynsbegäran.docx", "A 22939-2020")</f>
        <v/>
      </c>
      <c r="Y29">
        <f>HYPERLINK("https://klasma.github.io/Logging_0580/tillsynsmail/A 22939-2020 tillsynsbegäran mail.docx", "A 22939-2020")</f>
        <v/>
      </c>
      <c r="Z29">
        <f>HYPERLINK("https://klasma.github.io/Logging_0580/fåglar/A 22939-2020 prioriterade fågelarter.docx", "A 22939-2020")</f>
        <v/>
      </c>
    </row>
    <row r="30" ht="15" customHeight="1">
      <c r="A30" t="inlineStr">
        <is>
          <t>A 16760-2021</t>
        </is>
      </c>
      <c r="B30" s="1" t="n">
        <v>44294</v>
      </c>
      <c r="C30" s="1" t="n">
        <v>45690</v>
      </c>
      <c r="D30" t="inlineStr">
        <is>
          <t>ÖSTERGÖTLANDS LÄN</t>
        </is>
      </c>
      <c r="E30" t="inlineStr">
        <is>
          <t>LINKÖPING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Blekticka
Skuggorangelav</t>
        </is>
      </c>
      <c r="S30">
        <f>HYPERLINK("https://klasma.github.io/Logging_0580/artfynd/A 16760-2021 artfynd.xlsx", "A 16760-2021")</f>
        <v/>
      </c>
      <c r="T30">
        <f>HYPERLINK("https://klasma.github.io/Logging_0580/kartor/A 16760-2021 karta.png", "A 16760-2021")</f>
        <v/>
      </c>
      <c r="V30">
        <f>HYPERLINK("https://klasma.github.io/Logging_0580/klagomål/A 16760-2021 FSC-klagomål.docx", "A 16760-2021")</f>
        <v/>
      </c>
      <c r="W30">
        <f>HYPERLINK("https://klasma.github.io/Logging_0580/klagomålsmail/A 16760-2021 FSC-klagomål mail.docx", "A 16760-2021")</f>
        <v/>
      </c>
      <c r="X30">
        <f>HYPERLINK("https://klasma.github.io/Logging_0580/tillsyn/A 16760-2021 tillsynsbegäran.docx", "A 16760-2021")</f>
        <v/>
      </c>
      <c r="Y30">
        <f>HYPERLINK("https://klasma.github.io/Logging_0580/tillsynsmail/A 16760-2021 tillsynsbegäran mail.docx", "A 16760-2021")</f>
        <v/>
      </c>
    </row>
    <row r="31" ht="15" customHeight="1">
      <c r="A31" t="inlineStr">
        <is>
          <t>A 38137-2021</t>
        </is>
      </c>
      <c r="B31" s="1" t="n">
        <v>44405</v>
      </c>
      <c r="C31" s="1" t="n">
        <v>45690</v>
      </c>
      <c r="D31" t="inlineStr">
        <is>
          <t>ÖSTERGÖTLANDS LÄN</t>
        </is>
      </c>
      <c r="E31" t="inlineStr">
        <is>
          <t>LINKÖPING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Mandelriska</t>
        </is>
      </c>
      <c r="S31">
        <f>HYPERLINK("https://klasma.github.io/Logging_0580/artfynd/A 38137-2021 artfynd.xlsx", "A 38137-2021")</f>
        <v/>
      </c>
      <c r="T31">
        <f>HYPERLINK("https://klasma.github.io/Logging_0580/kartor/A 38137-2021 karta.png", "A 38137-2021")</f>
        <v/>
      </c>
      <c r="V31">
        <f>HYPERLINK("https://klasma.github.io/Logging_0580/klagomål/A 38137-2021 FSC-klagomål.docx", "A 38137-2021")</f>
        <v/>
      </c>
      <c r="W31">
        <f>HYPERLINK("https://klasma.github.io/Logging_0580/klagomålsmail/A 38137-2021 FSC-klagomål mail.docx", "A 38137-2021")</f>
        <v/>
      </c>
      <c r="X31">
        <f>HYPERLINK("https://klasma.github.io/Logging_0580/tillsyn/A 38137-2021 tillsynsbegäran.docx", "A 38137-2021")</f>
        <v/>
      </c>
      <c r="Y31">
        <f>HYPERLINK("https://klasma.github.io/Logging_0580/tillsynsmail/A 38137-2021 tillsynsbegäran mail.docx", "A 38137-2021")</f>
        <v/>
      </c>
    </row>
    <row r="32" ht="15" customHeight="1">
      <c r="A32" t="inlineStr">
        <is>
          <t>A 58068-2021</t>
        </is>
      </c>
      <c r="B32" s="1" t="n">
        <v>44487</v>
      </c>
      <c r="C32" s="1" t="n">
        <v>45690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Rödbrun blekspik
Skuggorangelav</t>
        </is>
      </c>
      <c r="S32">
        <f>HYPERLINK("https://klasma.github.io/Logging_0580/artfynd/A 58068-2021 artfynd.xlsx", "A 58068-2021")</f>
        <v/>
      </c>
      <c r="T32">
        <f>HYPERLINK("https://klasma.github.io/Logging_0580/kartor/A 58068-2021 karta.png", "A 58068-2021")</f>
        <v/>
      </c>
      <c r="V32">
        <f>HYPERLINK("https://klasma.github.io/Logging_0580/klagomål/A 58068-2021 FSC-klagomål.docx", "A 58068-2021")</f>
        <v/>
      </c>
      <c r="W32">
        <f>HYPERLINK("https://klasma.github.io/Logging_0580/klagomålsmail/A 58068-2021 FSC-klagomål mail.docx", "A 58068-2021")</f>
        <v/>
      </c>
      <c r="X32">
        <f>HYPERLINK("https://klasma.github.io/Logging_0580/tillsyn/A 58068-2021 tillsynsbegäran.docx", "A 58068-2021")</f>
        <v/>
      </c>
      <c r="Y32">
        <f>HYPERLINK("https://klasma.github.io/Logging_0580/tillsynsmail/A 58068-2021 tillsynsbegäran mail.docx", "A 58068-2021")</f>
        <v/>
      </c>
    </row>
    <row r="33" ht="15" customHeight="1">
      <c r="A33" t="inlineStr">
        <is>
          <t>A 17520-2022</t>
        </is>
      </c>
      <c r="B33" s="1" t="n">
        <v>44679</v>
      </c>
      <c r="C33" s="1" t="n">
        <v>45690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Kommuner</t>
        </is>
      </c>
      <c r="G33" t="n">
        <v>4.6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Trådticka</t>
        </is>
      </c>
      <c r="S33">
        <f>HYPERLINK("https://klasma.github.io/Logging_0580/artfynd/A 17520-2022 artfynd.xlsx", "A 17520-2022")</f>
        <v/>
      </c>
      <c r="T33">
        <f>HYPERLINK("https://klasma.github.io/Logging_0580/kartor/A 17520-2022 karta.png", "A 17520-2022")</f>
        <v/>
      </c>
      <c r="V33">
        <f>HYPERLINK("https://klasma.github.io/Logging_0580/klagomål/A 17520-2022 FSC-klagomål.docx", "A 17520-2022")</f>
        <v/>
      </c>
      <c r="W33">
        <f>HYPERLINK("https://klasma.github.io/Logging_0580/klagomålsmail/A 17520-2022 FSC-klagomål mail.docx", "A 17520-2022")</f>
        <v/>
      </c>
      <c r="X33">
        <f>HYPERLINK("https://klasma.github.io/Logging_0580/tillsyn/A 17520-2022 tillsynsbegäran.docx", "A 17520-2022")</f>
        <v/>
      </c>
      <c r="Y33">
        <f>HYPERLINK("https://klasma.github.io/Logging_0580/tillsynsmail/A 17520-2022 tillsynsbegäran mail.docx", "A 17520-2022")</f>
        <v/>
      </c>
    </row>
    <row r="34" ht="15" customHeight="1">
      <c r="A34" t="inlineStr">
        <is>
          <t>A 27981-2022</t>
        </is>
      </c>
      <c r="B34" s="1" t="n">
        <v>44745</v>
      </c>
      <c r="C34" s="1" t="n">
        <v>45690</v>
      </c>
      <c r="D34" t="inlineStr">
        <is>
          <t>ÖSTERGÖTLANDS LÄN</t>
        </is>
      </c>
      <c r="E34" t="inlineStr">
        <is>
          <t>LINKÖPING</t>
        </is>
      </c>
      <c r="G34" t="n">
        <v>8.4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Solvända
Svinrot</t>
        </is>
      </c>
      <c r="S34">
        <f>HYPERLINK("https://klasma.github.io/Logging_0580/artfynd/A 27981-2022 artfynd.xlsx", "A 27981-2022")</f>
        <v/>
      </c>
      <c r="T34">
        <f>HYPERLINK("https://klasma.github.io/Logging_0580/kartor/A 27981-2022 karta.png", "A 27981-2022")</f>
        <v/>
      </c>
      <c r="V34">
        <f>HYPERLINK("https://klasma.github.io/Logging_0580/klagomål/A 27981-2022 FSC-klagomål.docx", "A 27981-2022")</f>
        <v/>
      </c>
      <c r="W34">
        <f>HYPERLINK("https://klasma.github.io/Logging_0580/klagomålsmail/A 27981-2022 FSC-klagomål mail.docx", "A 27981-2022")</f>
        <v/>
      </c>
      <c r="X34">
        <f>HYPERLINK("https://klasma.github.io/Logging_0580/tillsyn/A 27981-2022 tillsynsbegäran.docx", "A 27981-2022")</f>
        <v/>
      </c>
      <c r="Y34">
        <f>HYPERLINK("https://klasma.github.io/Logging_0580/tillsynsmail/A 27981-2022 tillsynsbegäran mail.docx", "A 27981-2022")</f>
        <v/>
      </c>
    </row>
    <row r="35" ht="15" customHeight="1">
      <c r="A35" t="inlineStr">
        <is>
          <t>A 8446-2023</t>
        </is>
      </c>
      <c r="B35" s="1" t="n">
        <v>44977</v>
      </c>
      <c r="C35" s="1" t="n">
        <v>45690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Sveaskog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Tibast</t>
        </is>
      </c>
      <c r="S35">
        <f>HYPERLINK("https://klasma.github.io/Logging_0580/artfynd/A 8446-2023 artfynd.xlsx", "A 8446-2023")</f>
        <v/>
      </c>
      <c r="T35">
        <f>HYPERLINK("https://klasma.github.io/Logging_0580/kartor/A 8446-2023 karta.png", "A 8446-2023")</f>
        <v/>
      </c>
      <c r="V35">
        <f>HYPERLINK("https://klasma.github.io/Logging_0580/klagomål/A 8446-2023 FSC-klagomål.docx", "A 8446-2023")</f>
        <v/>
      </c>
      <c r="W35">
        <f>HYPERLINK("https://klasma.github.io/Logging_0580/klagomålsmail/A 8446-2023 FSC-klagomål mail.docx", "A 8446-2023")</f>
        <v/>
      </c>
      <c r="X35">
        <f>HYPERLINK("https://klasma.github.io/Logging_0580/tillsyn/A 8446-2023 tillsynsbegäran.docx", "A 8446-2023")</f>
        <v/>
      </c>
      <c r="Y35">
        <f>HYPERLINK("https://klasma.github.io/Logging_0580/tillsynsmail/A 8446-2023 tillsynsbegäran mail.docx", "A 8446-2023")</f>
        <v/>
      </c>
    </row>
    <row r="36" ht="15" customHeight="1">
      <c r="A36" t="inlineStr">
        <is>
          <t>A 11362-2023</t>
        </is>
      </c>
      <c r="B36" s="1" t="n">
        <v>44993</v>
      </c>
      <c r="C36" s="1" t="n">
        <v>45690</v>
      </c>
      <c r="D36" t="inlineStr">
        <is>
          <t>ÖSTERGÖTLANDS LÄN</t>
        </is>
      </c>
      <c r="E36" t="inlineStr">
        <is>
          <t>LINKÖPING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Gulbrunt nejlikfly
Glimfältmätare</t>
        </is>
      </c>
      <c r="S36">
        <f>HYPERLINK("https://klasma.github.io/Logging_0580/artfynd/A 11362-2023 artfynd.xlsx", "A 11362-2023")</f>
        <v/>
      </c>
      <c r="T36">
        <f>HYPERLINK("https://klasma.github.io/Logging_0580/kartor/A 11362-2023 karta.png", "A 11362-2023")</f>
        <v/>
      </c>
      <c r="V36">
        <f>HYPERLINK("https://klasma.github.io/Logging_0580/klagomål/A 11362-2023 FSC-klagomål.docx", "A 11362-2023")</f>
        <v/>
      </c>
      <c r="W36">
        <f>HYPERLINK("https://klasma.github.io/Logging_0580/klagomålsmail/A 11362-2023 FSC-klagomål mail.docx", "A 11362-2023")</f>
        <v/>
      </c>
      <c r="X36">
        <f>HYPERLINK("https://klasma.github.io/Logging_0580/tillsyn/A 11362-2023 tillsynsbegäran.docx", "A 11362-2023")</f>
        <v/>
      </c>
      <c r="Y36">
        <f>HYPERLINK("https://klasma.github.io/Logging_0580/tillsynsmail/A 11362-2023 tillsynsbegäran mail.docx", "A 11362-2023")</f>
        <v/>
      </c>
    </row>
    <row r="37" ht="15" customHeight="1">
      <c r="A37" t="inlineStr">
        <is>
          <t>A 38913-2023</t>
        </is>
      </c>
      <c r="B37" s="1" t="n">
        <v>45163</v>
      </c>
      <c r="C37" s="1" t="n">
        <v>45690</v>
      </c>
      <c r="D37" t="inlineStr">
        <is>
          <t>ÖSTERGÖTLANDS LÄN</t>
        </is>
      </c>
      <c r="E37" t="inlineStr">
        <is>
          <t>LINKÖPING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Revlummer</t>
        </is>
      </c>
      <c r="S37">
        <f>HYPERLINK("https://klasma.github.io/Logging_0580/artfynd/A 38913-2023 artfynd.xlsx", "A 38913-2023")</f>
        <v/>
      </c>
      <c r="T37">
        <f>HYPERLINK("https://klasma.github.io/Logging_0580/kartor/A 38913-2023 karta.png", "A 38913-2023")</f>
        <v/>
      </c>
      <c r="V37">
        <f>HYPERLINK("https://klasma.github.io/Logging_0580/klagomål/A 38913-2023 FSC-klagomål.docx", "A 38913-2023")</f>
        <v/>
      </c>
      <c r="W37">
        <f>HYPERLINK("https://klasma.github.io/Logging_0580/klagomålsmail/A 38913-2023 FSC-klagomål mail.docx", "A 38913-2023")</f>
        <v/>
      </c>
      <c r="X37">
        <f>HYPERLINK("https://klasma.github.io/Logging_0580/tillsyn/A 38913-2023 tillsynsbegäran.docx", "A 38913-2023")</f>
        <v/>
      </c>
      <c r="Y37">
        <f>HYPERLINK("https://klasma.github.io/Logging_0580/tillsynsmail/A 38913-2023 tillsynsbegäran mail.docx", "A 38913-2023")</f>
        <v/>
      </c>
    </row>
    <row r="38" ht="15" customHeight="1">
      <c r="A38" t="inlineStr">
        <is>
          <t>A 41751-2023</t>
        </is>
      </c>
      <c r="B38" s="1" t="n">
        <v>45176</v>
      </c>
      <c r="C38" s="1" t="n">
        <v>45690</v>
      </c>
      <c r="D38" t="inlineStr">
        <is>
          <t>ÖSTERGÖTLANDS LÄN</t>
        </is>
      </c>
      <c r="E38" t="inlineStr">
        <is>
          <t>LINKÖPING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Grönvit nattviol</t>
        </is>
      </c>
      <c r="S38">
        <f>HYPERLINK("https://klasma.github.io/Logging_0580/artfynd/A 41751-2023 artfynd.xlsx", "A 41751-2023")</f>
        <v/>
      </c>
      <c r="T38">
        <f>HYPERLINK("https://klasma.github.io/Logging_0580/kartor/A 41751-2023 karta.png", "A 41751-2023")</f>
        <v/>
      </c>
      <c r="V38">
        <f>HYPERLINK("https://klasma.github.io/Logging_0580/klagomål/A 41751-2023 FSC-klagomål.docx", "A 41751-2023")</f>
        <v/>
      </c>
      <c r="W38">
        <f>HYPERLINK("https://klasma.github.io/Logging_0580/klagomålsmail/A 41751-2023 FSC-klagomål mail.docx", "A 41751-2023")</f>
        <v/>
      </c>
      <c r="X38">
        <f>HYPERLINK("https://klasma.github.io/Logging_0580/tillsyn/A 41751-2023 tillsynsbegäran.docx", "A 41751-2023")</f>
        <v/>
      </c>
      <c r="Y38">
        <f>HYPERLINK("https://klasma.github.io/Logging_0580/tillsynsmail/A 41751-2023 tillsynsbegäran mail.docx", "A 41751-2023")</f>
        <v/>
      </c>
    </row>
    <row r="39" ht="15" customHeight="1">
      <c r="A39" t="inlineStr">
        <is>
          <t>A 42858-2023</t>
        </is>
      </c>
      <c r="B39" s="1" t="n">
        <v>45177</v>
      </c>
      <c r="C39" s="1" t="n">
        <v>45690</v>
      </c>
      <c r="D39" t="inlineStr">
        <is>
          <t>ÖSTERGÖTLANDS LÄN</t>
        </is>
      </c>
      <c r="E39" t="inlineStr">
        <is>
          <t>LINKÖPING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Skogsödla</t>
        </is>
      </c>
      <c r="S39">
        <f>HYPERLINK("https://klasma.github.io/Logging_0580/artfynd/A 42858-2023 artfynd.xlsx", "A 42858-2023")</f>
        <v/>
      </c>
      <c r="T39">
        <f>HYPERLINK("https://klasma.github.io/Logging_0580/kartor/A 42858-2023 karta.png", "A 42858-2023")</f>
        <v/>
      </c>
      <c r="V39">
        <f>HYPERLINK("https://klasma.github.io/Logging_0580/klagomål/A 42858-2023 FSC-klagomål.docx", "A 42858-2023")</f>
        <v/>
      </c>
      <c r="W39">
        <f>HYPERLINK("https://klasma.github.io/Logging_0580/klagomålsmail/A 42858-2023 FSC-klagomål mail.docx", "A 42858-2023")</f>
        <v/>
      </c>
      <c r="X39">
        <f>HYPERLINK("https://klasma.github.io/Logging_0580/tillsyn/A 42858-2023 tillsynsbegäran.docx", "A 42858-2023")</f>
        <v/>
      </c>
      <c r="Y39">
        <f>HYPERLINK("https://klasma.github.io/Logging_0580/tillsynsmail/A 42858-2023 tillsynsbegäran mail.docx", "A 42858-2023")</f>
        <v/>
      </c>
    </row>
    <row r="40" ht="15" customHeight="1">
      <c r="A40" t="inlineStr">
        <is>
          <t>A 50404-2023</t>
        </is>
      </c>
      <c r="B40" s="1" t="n">
        <v>45216</v>
      </c>
      <c r="C40" s="1" t="n">
        <v>45690</v>
      </c>
      <c r="D40" t="inlineStr">
        <is>
          <t>ÖSTERGÖTLANDS LÄN</t>
        </is>
      </c>
      <c r="E40" t="inlineStr">
        <is>
          <t>LINKÖPING</t>
        </is>
      </c>
      <c r="G40" t="n">
        <v>1.2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Hasselticka
Gullviva</t>
        </is>
      </c>
      <c r="S40">
        <f>HYPERLINK("https://klasma.github.io/Logging_0580/artfynd/A 50404-2023 artfynd.xlsx", "A 50404-2023")</f>
        <v/>
      </c>
      <c r="T40">
        <f>HYPERLINK("https://klasma.github.io/Logging_0580/kartor/A 50404-2023 karta.png", "A 50404-2023")</f>
        <v/>
      </c>
      <c r="V40">
        <f>HYPERLINK("https://klasma.github.io/Logging_0580/klagomål/A 50404-2023 FSC-klagomål.docx", "A 50404-2023")</f>
        <v/>
      </c>
      <c r="W40">
        <f>HYPERLINK("https://klasma.github.io/Logging_0580/klagomålsmail/A 50404-2023 FSC-klagomål mail.docx", "A 50404-2023")</f>
        <v/>
      </c>
      <c r="X40">
        <f>HYPERLINK("https://klasma.github.io/Logging_0580/tillsyn/A 50404-2023 tillsynsbegäran.docx", "A 50404-2023")</f>
        <v/>
      </c>
      <c r="Y40">
        <f>HYPERLINK("https://klasma.github.io/Logging_0580/tillsynsmail/A 50404-2023 tillsynsbegäran mail.docx", "A 50404-2023")</f>
        <v/>
      </c>
    </row>
    <row r="41" ht="15" customHeight="1">
      <c r="A41" t="inlineStr">
        <is>
          <t>A 3078-2024</t>
        </is>
      </c>
      <c r="B41" s="1" t="n">
        <v>45316</v>
      </c>
      <c r="C41" s="1" t="n">
        <v>45690</v>
      </c>
      <c r="D41" t="inlineStr">
        <is>
          <t>ÖSTERGÖTLANDS LÄN</t>
        </is>
      </c>
      <c r="E41" t="inlineStr">
        <is>
          <t>LINKÖPING</t>
        </is>
      </c>
      <c r="G41" t="n">
        <v>12.6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Fällmossa</t>
        </is>
      </c>
      <c r="S41">
        <f>HYPERLINK("https://klasma.github.io/Logging_0580/artfynd/A 3078-2024 artfynd.xlsx", "A 3078-2024")</f>
        <v/>
      </c>
      <c r="T41">
        <f>HYPERLINK("https://klasma.github.io/Logging_0580/kartor/A 3078-2024 karta.png", "A 3078-2024")</f>
        <v/>
      </c>
      <c r="V41">
        <f>HYPERLINK("https://klasma.github.io/Logging_0580/klagomål/A 3078-2024 FSC-klagomål.docx", "A 3078-2024")</f>
        <v/>
      </c>
      <c r="W41">
        <f>HYPERLINK("https://klasma.github.io/Logging_0580/klagomålsmail/A 3078-2024 FSC-klagomål mail.docx", "A 3078-2024")</f>
        <v/>
      </c>
      <c r="X41">
        <f>HYPERLINK("https://klasma.github.io/Logging_0580/tillsyn/A 3078-2024 tillsynsbegäran.docx", "A 3078-2024")</f>
        <v/>
      </c>
      <c r="Y41">
        <f>HYPERLINK("https://klasma.github.io/Logging_0580/tillsynsmail/A 3078-2024 tillsynsbegäran mail.docx", "A 3078-2024")</f>
        <v/>
      </c>
    </row>
    <row r="42" ht="15" customHeight="1">
      <c r="A42" t="inlineStr">
        <is>
          <t>A 8914-2024</t>
        </is>
      </c>
      <c r="B42" s="1" t="n">
        <v>45355</v>
      </c>
      <c r="C42" s="1" t="n">
        <v>45690</v>
      </c>
      <c r="D42" t="inlineStr">
        <is>
          <t>ÖSTERGÖTLANDS LÄN</t>
        </is>
      </c>
      <c r="E42" t="inlineStr">
        <is>
          <t>LINKÖPING</t>
        </is>
      </c>
      <c r="G42" t="n">
        <v>3.7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Björksplintborre</t>
        </is>
      </c>
      <c r="S42">
        <f>HYPERLINK("https://klasma.github.io/Logging_0580/artfynd/A 8914-2024 artfynd.xlsx", "A 8914-2024")</f>
        <v/>
      </c>
      <c r="T42">
        <f>HYPERLINK("https://klasma.github.io/Logging_0580/kartor/A 8914-2024 karta.png", "A 8914-2024")</f>
        <v/>
      </c>
      <c r="U42">
        <f>HYPERLINK("https://klasma.github.io/Logging_0580/knärot/A 8914-2024 karta knärot.png", "A 8914-2024")</f>
        <v/>
      </c>
      <c r="V42">
        <f>HYPERLINK("https://klasma.github.io/Logging_0580/klagomål/A 8914-2024 FSC-klagomål.docx", "A 8914-2024")</f>
        <v/>
      </c>
      <c r="W42">
        <f>HYPERLINK("https://klasma.github.io/Logging_0580/klagomålsmail/A 8914-2024 FSC-klagomål mail.docx", "A 8914-2024")</f>
        <v/>
      </c>
      <c r="X42">
        <f>HYPERLINK("https://klasma.github.io/Logging_0580/tillsyn/A 8914-2024 tillsynsbegäran.docx", "A 8914-2024")</f>
        <v/>
      </c>
      <c r="Y42">
        <f>HYPERLINK("https://klasma.github.io/Logging_0580/tillsynsmail/A 8914-2024 tillsynsbegäran mail.docx", "A 8914-2024")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45690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45690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45690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45690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45690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45690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45690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45690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45690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45690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45690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45690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45690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45690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45690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45690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45690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45690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45690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45690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45690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45690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45690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45690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45690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45690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45690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45690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45690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45690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45690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45690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45690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45690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45690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45690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45690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45690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45690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45690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45690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45690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45690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45690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45690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45690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45690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45690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45690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45690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45690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45690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45690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45690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45690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45690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45690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45690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45690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45690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45690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45690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45690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45690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45690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45690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45690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45690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45690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45690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45690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45690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45690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45690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45690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45690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45690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45690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45690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45690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45690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45690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45690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45690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45690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45690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45690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45690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45690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45690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45690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45690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45690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45690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45690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45690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45690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45690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45690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45690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45690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45690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45690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45690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45690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45690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45690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45690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45690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45690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45690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45690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45690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45690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45690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45690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45690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45690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45690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45690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45690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45690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45690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45690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45690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45690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45690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45690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45690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45690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45690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45690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45690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45690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45690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45690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45690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45690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45690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45690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45690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45690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45690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45690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45690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45690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45690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45690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45690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45690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45690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45690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45690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45690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45690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45690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45690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45690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45690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45690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45690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45690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45690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45690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45690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45690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45690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45690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45690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45690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45690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45690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45690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45690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45690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45690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45690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45690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45690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45690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45690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45690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45690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45690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45690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45690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45690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45690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45690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45690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45690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45690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45690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45690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45690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45690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45690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45690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45690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45690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45690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45690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45690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45690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45690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45690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45690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45690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45690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45690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45690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45690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45690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45690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45690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45690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45690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45690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45690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45690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45690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45690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45690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45690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45690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45690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45690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45690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45690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45690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45690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45690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45690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45690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45690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45690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45690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45690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45690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45690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45690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45690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45690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45690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45690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45690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45690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45690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45690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45690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45690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45690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45690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45690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45690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45690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45690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45690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45690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45690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45690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45690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45690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45690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45690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45690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45690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45690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45690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45690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45690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45690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45690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45690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45690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45690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45690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45690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45690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45690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45690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45690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45690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45690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45690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45690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45690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45690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45690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45690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45690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45690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45690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45690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45690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45690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45690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45690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45690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45690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45690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45690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45690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45690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45690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45690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45690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45690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45690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45690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45690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45690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45690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45690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45690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45690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45690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45690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45690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45690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45690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45690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45690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45690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45690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45690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45690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45690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45690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45690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45690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45690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45690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45690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45690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45690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45690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45690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45690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45690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45690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45690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45690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45690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45690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45690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45690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45690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45690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45690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45690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45690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45690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45690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45690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45690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45690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45690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45690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45690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45690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45690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45690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45690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45690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45690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45690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45690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45690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45690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45690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45690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45690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45690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45690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45690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45690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45690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45690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45690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45690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45690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45690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45690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45690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45690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45690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45690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45690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45690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45690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45690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45690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45690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45690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45690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45690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45690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45690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45690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45690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45690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45690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45690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45690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45690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45690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45690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45690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45690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45690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45690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45690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45690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45690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45690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45690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45690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45690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45690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45690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45690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45690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45690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45690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45690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45690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45690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45690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45690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45690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45690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45690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45690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45690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45690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45690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45690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45690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45690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45690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45690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45690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45690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45690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45690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45690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45690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45690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45690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45690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45690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45690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45690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45690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45690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45690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45690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45690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45690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45690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45690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45690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45690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45690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45690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45690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45690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45690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45690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45690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45690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45690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45690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45690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45690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45690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45690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45690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45690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45690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45690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45690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45690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45690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45690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45690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45690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45690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45690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45690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45690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45690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45690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45690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45690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45690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45690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45690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45690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45690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45690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45690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45690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45690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45690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45690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45690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45690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45690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45690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45690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45690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45690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45690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45690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45690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45690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45690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45690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45690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45690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45690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45690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45690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45690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45690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45690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45690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45690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45690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45690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45690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45690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45690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45690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45690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45690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45690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45690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45690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45690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45690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45690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45690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45690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45690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45690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45690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45690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45690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45690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45690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45690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45690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45690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45690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45690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45690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45690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45690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45690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45690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45690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45690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45690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45690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45690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45690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45690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45690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45690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45690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45690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45690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45690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45690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45690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45690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45690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45690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45690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45690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45690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45690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45690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45690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45690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45690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45690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45690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45690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45690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45690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45690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45690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45690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45690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45690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45690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45690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45690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45690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45690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45690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45690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45690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45690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45690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45690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45690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45690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45690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45690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45690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45690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45690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45690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45690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45690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45690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45690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45690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45690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45690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45690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45690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45690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45690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45690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45690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45690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45690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45690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45690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45690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45690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45690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45690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45690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45690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45690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45690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45690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45690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45690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45690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45690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45690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45690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45690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45690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45690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45690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45690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45690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45690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45690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45690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45690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45690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45690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45690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45690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45690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45690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45690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45690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45690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45690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45690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45690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45690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45690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45690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45690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45690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45690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45690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45690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45690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45690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45690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45690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45690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45690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45690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45690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45690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45690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45690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45690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45690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45690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45690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45690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45690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45690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45690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45690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45690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45690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45690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45690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45690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45690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45690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45690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45690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45690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45690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45690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45690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45690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45690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45690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45690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45690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45690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45690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45690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45690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45690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45690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45690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45690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45690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45690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45690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45690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45690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45690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45690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45690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45690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45690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45690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45690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45690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45690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45690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45690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45690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45690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45690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45690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45690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45690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45690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45690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45690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45690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45690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45690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45690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45690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45690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45690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45690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45690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45690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45690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45690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45690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45690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45690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45690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45690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45690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45690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45690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45690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45690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45690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45690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45690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45690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45690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45690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45690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45690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45690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45690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45690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45690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45690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45690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45690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45690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45690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45690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45690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45690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45690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45690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45690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45690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45690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45690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45690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45690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45690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45690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45690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45690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45690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45690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45690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45690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45690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45690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45690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45690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45690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45690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45690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45690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45690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45690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45690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45690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45690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45690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45690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45690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45690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45690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45690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45690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45690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45690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45690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45690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45690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45690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45690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45690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45690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45690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45690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45690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45690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45690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45690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45690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45690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45690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45690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45690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45690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45690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45690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45690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45690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45690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45690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45690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45690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45690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45690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45690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45690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45690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45690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45690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45690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45690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45690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45690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45690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45690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45690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45690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45690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45690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45690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45690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45690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45690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45690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45690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45690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45690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45690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45690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45690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45690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45690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45690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45690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45690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45690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45690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45690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45690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45690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45690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45690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45690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45690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45690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45690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45690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45690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45690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45690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45690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45690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45690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45690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45690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45690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45690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45690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45690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45690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45690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45690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45690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45690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45690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45690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45690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45690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45690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45690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45690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45690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45690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45690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45690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45690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45690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45690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45690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45690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45690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45690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45690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45690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45690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45690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45690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45690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45690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45690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45690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45690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45690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45690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45690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45690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45690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45690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45690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45690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45690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45690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45690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45690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45690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45690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45690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45690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45690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45690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45690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45690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45690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45690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45690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45690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45690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45690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45690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45690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45690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45690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45690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45690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45690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45690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45690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45690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45690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45690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45690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45690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45690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45690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45690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45690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45690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45690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45690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45690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45690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45690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45690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45690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45690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45690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45690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45690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45690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45690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45690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45690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45690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45690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45690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45690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45690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45690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45690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45690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45690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45690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45690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45690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45690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45690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45690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45690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45690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45690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45690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45690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45690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45690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45690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45690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45690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567-2025</t>
        </is>
      </c>
      <c r="B1314" s="1" t="n">
        <v>45664</v>
      </c>
      <c r="C1314" s="1" t="n">
        <v>45690</v>
      </c>
      <c r="D1314" t="inlineStr">
        <is>
          <t>ÖSTERGÖTLANDS LÄN</t>
        </is>
      </c>
      <c r="E1314" t="inlineStr">
        <is>
          <t>LINKÖPING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45690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45690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45690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45690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45690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45690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45690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45690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3010-2025</t>
        </is>
      </c>
      <c r="B1323" s="1" t="n">
        <v>45678</v>
      </c>
      <c r="C1323" s="1" t="n">
        <v>45690</v>
      </c>
      <c r="D1323" t="inlineStr">
        <is>
          <t>ÖSTERGÖTLANDS LÄN</t>
        </is>
      </c>
      <c r="E1323" t="inlineStr">
        <is>
          <t>LINKÖPING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45690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3127-2025</t>
        </is>
      </c>
      <c r="B1325" s="1" t="n">
        <v>45678</v>
      </c>
      <c r="C1325" s="1" t="n">
        <v>45690</v>
      </c>
      <c r="D1325" t="inlineStr">
        <is>
          <t>ÖSTERGÖTLANDS LÄN</t>
        </is>
      </c>
      <c r="E1325" t="inlineStr">
        <is>
          <t>LINKÖPING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2997-2025</t>
        </is>
      </c>
      <c r="B1326" s="1" t="n">
        <v>45678</v>
      </c>
      <c r="C1326" s="1" t="n">
        <v>45690</v>
      </c>
      <c r="D1326" t="inlineStr">
        <is>
          <t>ÖSTERGÖTLANDS LÄN</t>
        </is>
      </c>
      <c r="E1326" t="inlineStr">
        <is>
          <t>LINKÖPING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3007-2025</t>
        </is>
      </c>
      <c r="B1327" s="1" t="n">
        <v>45678</v>
      </c>
      <c r="C1327" s="1" t="n">
        <v>45690</v>
      </c>
      <c r="D1327" t="inlineStr">
        <is>
          <t>ÖSTERGÖTLANDS LÄN</t>
        </is>
      </c>
      <c r="E1327" t="inlineStr">
        <is>
          <t>LINKÖPING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45690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4960-2025</t>
        </is>
      </c>
      <c r="B1329" s="1" t="n">
        <v>45689</v>
      </c>
      <c r="C1329" s="1" t="n">
        <v>45690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2025-02-02T16:29:56Z</dcterms:created>
  <dcterms:modified xmlns:dcterms="http://purl.org/dc/terms/" xmlns:xsi="http://www.w3.org/2001/XMLSchema-instance" xsi:type="dcterms:W3CDTF">2025-02-02T16:29:57Z</dcterms:modified>
</cp:coreProperties>
</file>