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46178</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46178</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46178</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46178</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46178</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46178</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46178</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6353-2026</t>
        </is>
      </c>
      <c r="B16" s="1" t="n">
        <v>46055.61385416667</v>
      </c>
      <c r="C16" s="1" t="n">
        <v>46178</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11048-2026</t>
        </is>
      </c>
      <c r="B17" s="1" t="n">
        <v>46079.58841435185</v>
      </c>
      <c r="C17" s="1" t="n">
        <v>46178</v>
      </c>
      <c r="D17" t="inlineStr">
        <is>
          <t>ÖSTERGÖTLANDS LÄN</t>
        </is>
      </c>
      <c r="E17" t="inlineStr">
        <is>
          <t>LINKÖPING</t>
        </is>
      </c>
      <c r="G17" t="n">
        <v>4.1</v>
      </c>
      <c r="H17" t="n">
        <v>0</v>
      </c>
      <c r="I17" t="n">
        <v>3</v>
      </c>
      <c r="J17" t="n">
        <v>0</v>
      </c>
      <c r="K17" t="n">
        <v>0</v>
      </c>
      <c r="L17" t="n">
        <v>0</v>
      </c>
      <c r="M17" t="n">
        <v>0</v>
      </c>
      <c r="N17" t="n">
        <v>0</v>
      </c>
      <c r="O17" t="n">
        <v>0</v>
      </c>
      <c r="P17" t="n">
        <v>0</v>
      </c>
      <c r="Q17" t="n">
        <v>3</v>
      </c>
      <c r="R17" s="2" t="inlineStr">
        <is>
          <t>Svart trolldruva
Sårläka
Tibast</t>
        </is>
      </c>
      <c r="S17">
        <f>HYPERLINK("https://klasma.github.io/Logging_0580/artfynd/A 11048-2026 artfynd.xlsx", "A 11048-2026")</f>
        <v/>
      </c>
      <c r="T17">
        <f>HYPERLINK("https://klasma.github.io/Logging_0580/kartor/A 11048-2026 karta.png", "A 11048-2026")</f>
        <v/>
      </c>
      <c r="V17">
        <f>HYPERLINK("https://klasma.github.io/Logging_0580/klagomål/A 11048-2026 FSC-klagomål.docx", "A 11048-2026")</f>
        <v/>
      </c>
      <c r="W17">
        <f>HYPERLINK("https://klasma.github.io/Logging_0580/klagomålsmail/A 11048-2026 FSC-klagomål mail.docx", "A 11048-2026")</f>
        <v/>
      </c>
      <c r="X17">
        <f>HYPERLINK("https://klasma.github.io/Logging_0580/tillsyn/A 11048-2026 tillsynsbegäran.docx", "A 11048-2026")</f>
        <v/>
      </c>
      <c r="Y17">
        <f>HYPERLINK("https://klasma.github.io/Logging_0580/tillsynsmail/A 11048-2026 tillsynsbegäran mail.docx", "A 11048-2026")</f>
        <v/>
      </c>
    </row>
    <row r="18" ht="15" customHeight="1">
      <c r="A18" t="inlineStr">
        <is>
          <t>A 11097-2026</t>
        </is>
      </c>
      <c r="B18" s="1" t="n">
        <v>46079.64511574074</v>
      </c>
      <c r="C18" s="1" t="n">
        <v>46178</v>
      </c>
      <c r="D18" t="inlineStr">
        <is>
          <t>ÖSTERGÖTLANDS LÄN</t>
        </is>
      </c>
      <c r="E18" t="inlineStr">
        <is>
          <t>LINKÖPING</t>
        </is>
      </c>
      <c r="G18" t="n">
        <v>3.7</v>
      </c>
      <c r="H18" t="n">
        <v>0</v>
      </c>
      <c r="I18" t="n">
        <v>1</v>
      </c>
      <c r="J18" t="n">
        <v>2</v>
      </c>
      <c r="K18" t="n">
        <v>0</v>
      </c>
      <c r="L18" t="n">
        <v>0</v>
      </c>
      <c r="M18" t="n">
        <v>0</v>
      </c>
      <c r="N18" t="n">
        <v>0</v>
      </c>
      <c r="O18" t="n">
        <v>2</v>
      </c>
      <c r="P18" t="n">
        <v>0</v>
      </c>
      <c r="Q18" t="n">
        <v>3</v>
      </c>
      <c r="R18" s="2" t="inlineStr">
        <is>
          <t>Bäcksidenmossa
Vedtrappmossa
Trubbfjädermossa</t>
        </is>
      </c>
      <c r="S18">
        <f>HYPERLINK("https://klasma.github.io/Logging_0580/artfynd/A 11097-2026 artfynd.xlsx", "A 11097-2026")</f>
        <v/>
      </c>
      <c r="T18">
        <f>HYPERLINK("https://klasma.github.io/Logging_0580/kartor/A 11097-2026 karta.png", "A 11097-2026")</f>
        <v/>
      </c>
      <c r="V18">
        <f>HYPERLINK("https://klasma.github.io/Logging_0580/klagomål/A 11097-2026 FSC-klagomål.docx", "A 11097-2026")</f>
        <v/>
      </c>
      <c r="W18">
        <f>HYPERLINK("https://klasma.github.io/Logging_0580/klagomålsmail/A 11097-2026 FSC-klagomål mail.docx", "A 11097-2026")</f>
        <v/>
      </c>
      <c r="X18">
        <f>HYPERLINK("https://klasma.github.io/Logging_0580/tillsyn/A 11097-2026 tillsynsbegäran.docx", "A 11097-2026")</f>
        <v/>
      </c>
      <c r="Y18">
        <f>HYPERLINK("https://klasma.github.io/Logging_0580/tillsynsmail/A 11097-2026 tillsynsbegäran mail.docx", "A 11097-2026")</f>
        <v/>
      </c>
    </row>
    <row r="19" ht="15" customHeight="1">
      <c r="A19" t="inlineStr">
        <is>
          <t>A 49999-2025</t>
        </is>
      </c>
      <c r="B19" s="1" t="n">
        <v>45943.30185185185</v>
      </c>
      <c r="C19" s="1" t="n">
        <v>46178</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12494-2026</t>
        </is>
      </c>
      <c r="B20" s="1" t="n">
        <v>46090.56896990741</v>
      </c>
      <c r="C20" s="1" t="n">
        <v>46178</v>
      </c>
      <c r="D20" t="inlineStr">
        <is>
          <t>ÖSTERGÖTLANDS LÄN</t>
        </is>
      </c>
      <c r="E20" t="inlineStr">
        <is>
          <t>LINKÖPING</t>
        </is>
      </c>
      <c r="G20" t="n">
        <v>3.4</v>
      </c>
      <c r="H20" t="n">
        <v>1</v>
      </c>
      <c r="I20" t="n">
        <v>0</v>
      </c>
      <c r="J20" t="n">
        <v>1</v>
      </c>
      <c r="K20" t="n">
        <v>1</v>
      </c>
      <c r="L20" t="n">
        <v>0</v>
      </c>
      <c r="M20" t="n">
        <v>0</v>
      </c>
      <c r="N20" t="n">
        <v>0</v>
      </c>
      <c r="O20" t="n">
        <v>2</v>
      </c>
      <c r="P20" t="n">
        <v>1</v>
      </c>
      <c r="Q20" t="n">
        <v>3</v>
      </c>
      <c r="R20" s="2" t="inlineStr">
        <is>
          <t>Slåttergubbe
Svinrot
Blåsippa</t>
        </is>
      </c>
      <c r="S20">
        <f>HYPERLINK("https://klasma.github.io/Logging_0580/artfynd/A 12494-2026 artfynd.xlsx", "A 12494-2026")</f>
        <v/>
      </c>
      <c r="T20">
        <f>HYPERLINK("https://klasma.github.io/Logging_0580/kartor/A 12494-2026 karta.png", "A 12494-2026")</f>
        <v/>
      </c>
      <c r="V20">
        <f>HYPERLINK("https://klasma.github.io/Logging_0580/klagomål/A 12494-2026 FSC-klagomål.docx", "A 12494-2026")</f>
        <v/>
      </c>
      <c r="W20">
        <f>HYPERLINK("https://klasma.github.io/Logging_0580/klagomålsmail/A 12494-2026 FSC-klagomål mail.docx", "A 12494-2026")</f>
        <v/>
      </c>
      <c r="X20">
        <f>HYPERLINK("https://klasma.github.io/Logging_0580/tillsyn/A 12494-2026 tillsynsbegäran.docx", "A 12494-2026")</f>
        <v/>
      </c>
      <c r="Y20">
        <f>HYPERLINK("https://klasma.github.io/Logging_0580/tillsynsmail/A 12494-2026 tillsynsbegäran mail.docx", "A 12494-2026")</f>
        <v/>
      </c>
    </row>
    <row r="21" ht="15" customHeight="1">
      <c r="A21" t="inlineStr">
        <is>
          <t>A 17275-2025</t>
        </is>
      </c>
      <c r="B21" s="1" t="n">
        <v>45756.55734953703</v>
      </c>
      <c r="C21" s="1" t="n">
        <v>46178</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38913-2023</t>
        </is>
      </c>
      <c r="B22" s="1" t="n">
        <v>45163</v>
      </c>
      <c r="C22" s="1" t="n">
        <v>46178</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4256-2022</t>
        </is>
      </c>
      <c r="B23" s="1" t="n">
        <v>44588</v>
      </c>
      <c r="C23" s="1" t="n">
        <v>46178</v>
      </c>
      <c r="D23" t="inlineStr">
        <is>
          <t>ÖSTERGÖTLANDS LÄN</t>
        </is>
      </c>
      <c r="E23" t="inlineStr">
        <is>
          <t>LINKÖPING</t>
        </is>
      </c>
      <c r="G23" t="n">
        <v>1.4</v>
      </c>
      <c r="H23" t="n">
        <v>2</v>
      </c>
      <c r="I23" t="n">
        <v>0</v>
      </c>
      <c r="J23" t="n">
        <v>2</v>
      </c>
      <c r="K23" t="n">
        <v>1</v>
      </c>
      <c r="L23" t="n">
        <v>0</v>
      </c>
      <c r="M23" t="n">
        <v>0</v>
      </c>
      <c r="N23" t="n">
        <v>0</v>
      </c>
      <c r="O23" t="n">
        <v>3</v>
      </c>
      <c r="P23" t="n">
        <v>1</v>
      </c>
      <c r="Q23" t="n">
        <v>3</v>
      </c>
      <c r="R23" s="2" t="inlineStr">
        <is>
          <t>Stare
Asksolvecklare
Gulsparv</t>
        </is>
      </c>
      <c r="S23">
        <f>HYPERLINK("https://klasma.github.io/Logging_0580/artfynd/A 4256-2022 artfynd.xlsx", "A 4256-2022")</f>
        <v/>
      </c>
      <c r="T23">
        <f>HYPERLINK("https://klasma.github.io/Logging_0580/kartor/A 4256-2022 karta.png", "A 4256-2022")</f>
        <v/>
      </c>
      <c r="V23">
        <f>HYPERLINK("https://klasma.github.io/Logging_0580/klagomål/A 4256-2022 FSC-klagomål.docx", "A 4256-2022")</f>
        <v/>
      </c>
      <c r="W23">
        <f>HYPERLINK("https://klasma.github.io/Logging_0580/klagomålsmail/A 4256-2022 FSC-klagomål mail.docx", "A 4256-2022")</f>
        <v/>
      </c>
      <c r="X23">
        <f>HYPERLINK("https://klasma.github.io/Logging_0580/tillsyn/A 4256-2022 tillsynsbegäran.docx", "A 4256-2022")</f>
        <v/>
      </c>
      <c r="Y23">
        <f>HYPERLINK("https://klasma.github.io/Logging_0580/tillsynsmail/A 4256-2022 tillsynsbegäran mail.docx", "A 4256-2022")</f>
        <v/>
      </c>
      <c r="Z23">
        <f>HYPERLINK("https://klasma.github.io/Logging_0580/fåglar/A 4256-2022 prioriterade fågelarter.docx", "A 4256-2022")</f>
        <v/>
      </c>
    </row>
    <row r="24" ht="15" customHeight="1">
      <c r="A24" t="inlineStr">
        <is>
          <t>A 55341-2024</t>
        </is>
      </c>
      <c r="B24" s="1" t="n">
        <v>45621.71255787037</v>
      </c>
      <c r="C24" s="1" t="n">
        <v>46178</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46178</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46178</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46178</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46178</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46178</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46178</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3912-2026</t>
        </is>
      </c>
      <c r="B31" s="1" t="n">
        <v>46043.71958333333</v>
      </c>
      <c r="C31" s="1" t="n">
        <v>46178</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8818-2025</t>
        </is>
      </c>
      <c r="B32" s="1" t="n">
        <v>45712</v>
      </c>
      <c r="C32" s="1" t="n">
        <v>46178</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25985-2025</t>
        </is>
      </c>
      <c r="B33" s="1" t="n">
        <v>45804.64479166667</v>
      </c>
      <c r="C33" s="1" t="n">
        <v>46178</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50048-2025</t>
        </is>
      </c>
      <c r="B34" s="1" t="n">
        <v>45941</v>
      </c>
      <c r="C34" s="1" t="n">
        <v>46178</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12247-2026</t>
        </is>
      </c>
      <c r="B35" s="1" t="n">
        <v>46087.44436342592</v>
      </c>
      <c r="C35" s="1" t="n">
        <v>46178</v>
      </c>
      <c r="D35" t="inlineStr">
        <is>
          <t>ÖSTERGÖTLANDS LÄN</t>
        </is>
      </c>
      <c r="E35" t="inlineStr">
        <is>
          <t>LINKÖPING</t>
        </is>
      </c>
      <c r="G35" t="n">
        <v>0.9</v>
      </c>
      <c r="H35" t="n">
        <v>1</v>
      </c>
      <c r="I35" t="n">
        <v>0</v>
      </c>
      <c r="J35" t="n">
        <v>2</v>
      </c>
      <c r="K35" t="n">
        <v>0</v>
      </c>
      <c r="L35" t="n">
        <v>0</v>
      </c>
      <c r="M35" t="n">
        <v>0</v>
      </c>
      <c r="N35" t="n">
        <v>0</v>
      </c>
      <c r="O35" t="n">
        <v>2</v>
      </c>
      <c r="P35" t="n">
        <v>0</v>
      </c>
      <c r="Q35" t="n">
        <v>2</v>
      </c>
      <c r="R35" s="2" t="inlineStr">
        <is>
          <t>Spillkråka
Vedtrappmossa</t>
        </is>
      </c>
      <c r="S35">
        <f>HYPERLINK("https://klasma.github.io/Logging_0580/artfynd/A 12247-2026 artfynd.xlsx", "A 12247-2026")</f>
        <v/>
      </c>
      <c r="T35">
        <f>HYPERLINK("https://klasma.github.io/Logging_0580/kartor/A 12247-2026 karta.png", "A 12247-2026")</f>
        <v/>
      </c>
      <c r="V35">
        <f>HYPERLINK("https://klasma.github.io/Logging_0580/klagomål/A 12247-2026 FSC-klagomål.docx", "A 12247-2026")</f>
        <v/>
      </c>
      <c r="W35">
        <f>HYPERLINK("https://klasma.github.io/Logging_0580/klagomålsmail/A 12247-2026 FSC-klagomål mail.docx", "A 12247-2026")</f>
        <v/>
      </c>
      <c r="X35">
        <f>HYPERLINK("https://klasma.github.io/Logging_0580/tillsyn/A 12247-2026 tillsynsbegäran.docx", "A 12247-2026")</f>
        <v/>
      </c>
      <c r="Y35">
        <f>HYPERLINK("https://klasma.github.io/Logging_0580/tillsynsmail/A 12247-2026 tillsynsbegäran mail.docx", "A 12247-2026")</f>
        <v/>
      </c>
      <c r="Z35">
        <f>HYPERLINK("https://klasma.github.io/Logging_0580/fåglar/A 12247-2026 prioriterade fågelarter.docx", "A 12247-2026")</f>
        <v/>
      </c>
    </row>
    <row r="36" ht="15" customHeight="1">
      <c r="A36" t="inlineStr">
        <is>
          <t>A 58068-2021</t>
        </is>
      </c>
      <c r="B36" s="1" t="n">
        <v>44487</v>
      </c>
      <c r="C36" s="1" t="n">
        <v>46178</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58068-2021</t>
        </is>
      </c>
      <c r="B37" s="1" t="n">
        <v>44487</v>
      </c>
      <c r="C37" s="1" t="n">
        <v>46178</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21228-2026</t>
        </is>
      </c>
      <c r="B38" s="1" t="n">
        <v>46146.7919212963</v>
      </c>
      <c r="C38" s="1" t="n">
        <v>46178</v>
      </c>
      <c r="D38" t="inlineStr">
        <is>
          <t>ÖSTERGÖTLANDS LÄN</t>
        </is>
      </c>
      <c r="E38" t="inlineStr">
        <is>
          <t>LINKÖPING</t>
        </is>
      </c>
      <c r="G38" t="n">
        <v>2.5</v>
      </c>
      <c r="H38" t="n">
        <v>2</v>
      </c>
      <c r="I38" t="n">
        <v>0</v>
      </c>
      <c r="J38" t="n">
        <v>0</v>
      </c>
      <c r="K38" t="n">
        <v>0</v>
      </c>
      <c r="L38" t="n">
        <v>0</v>
      </c>
      <c r="M38" t="n">
        <v>0</v>
      </c>
      <c r="N38" t="n">
        <v>0</v>
      </c>
      <c r="O38" t="n">
        <v>0</v>
      </c>
      <c r="P38" t="n">
        <v>0</v>
      </c>
      <c r="Q38" t="n">
        <v>2</v>
      </c>
      <c r="R38" s="2" t="inlineStr">
        <is>
          <t>Kungsfågel
Vanlig groda</t>
        </is>
      </c>
      <c r="S38">
        <f>HYPERLINK("https://klasma.github.io/Logging_0580/artfynd/A 21228-2026 artfynd.xlsx", "A 21228-2026")</f>
        <v/>
      </c>
      <c r="T38">
        <f>HYPERLINK("https://klasma.github.io/Logging_0580/kartor/A 21228-2026 karta.png", "A 21228-2026")</f>
        <v/>
      </c>
      <c r="V38">
        <f>HYPERLINK("https://klasma.github.io/Logging_0580/klagomål/A 21228-2026 FSC-klagomål.docx", "A 21228-2026")</f>
        <v/>
      </c>
      <c r="W38">
        <f>HYPERLINK("https://klasma.github.io/Logging_0580/klagomålsmail/A 21228-2026 FSC-klagomål mail.docx", "A 21228-2026")</f>
        <v/>
      </c>
      <c r="X38">
        <f>HYPERLINK("https://klasma.github.io/Logging_0580/tillsyn/A 21228-2026 tillsynsbegäran.docx", "A 21228-2026")</f>
        <v/>
      </c>
      <c r="Y38">
        <f>HYPERLINK("https://klasma.github.io/Logging_0580/tillsynsmail/A 21228-2026 tillsynsbegäran mail.docx", "A 21228-2026")</f>
        <v/>
      </c>
      <c r="Z38">
        <f>HYPERLINK("https://klasma.github.io/Logging_0580/fåglar/A 21228-2026 prioriterade fågelarter.docx", "A 21228-2026")</f>
        <v/>
      </c>
    </row>
    <row r="39" ht="15" customHeight="1">
      <c r="A39" t="inlineStr">
        <is>
          <t>A 15856-2026</t>
        </is>
      </c>
      <c r="B39" s="1" t="n">
        <v>46107.57620370371</v>
      </c>
      <c r="C39" s="1" t="n">
        <v>46178</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15844-2026</t>
        </is>
      </c>
      <c r="B40" s="1" t="n">
        <v>46107.56542824074</v>
      </c>
      <c r="C40" s="1" t="n">
        <v>46178</v>
      </c>
      <c r="D40" t="inlineStr">
        <is>
          <t>ÖSTERGÖTLANDS LÄN</t>
        </is>
      </c>
      <c r="E40" t="inlineStr">
        <is>
          <t>LINKÖPING</t>
        </is>
      </c>
      <c r="F40" t="inlineStr">
        <is>
          <t>Sveaskog</t>
        </is>
      </c>
      <c r="G40" t="n">
        <v>10.6</v>
      </c>
      <c r="H40" t="n">
        <v>0</v>
      </c>
      <c r="I40" t="n">
        <v>2</v>
      </c>
      <c r="J40" t="n">
        <v>0</v>
      </c>
      <c r="K40" t="n">
        <v>0</v>
      </c>
      <c r="L40" t="n">
        <v>0</v>
      </c>
      <c r="M40" t="n">
        <v>0</v>
      </c>
      <c r="N40" t="n">
        <v>0</v>
      </c>
      <c r="O40" t="n">
        <v>0</v>
      </c>
      <c r="P40" t="n">
        <v>0</v>
      </c>
      <c r="Q40" t="n">
        <v>2</v>
      </c>
      <c r="R40" s="2" t="inlineStr">
        <is>
          <t>Fällmossa
Toppvaxing</t>
        </is>
      </c>
      <c r="S40">
        <f>HYPERLINK("https://klasma.github.io/Logging_0580/artfynd/A 15844-2026 artfynd.xlsx", "A 15844-2026")</f>
        <v/>
      </c>
      <c r="T40">
        <f>HYPERLINK("https://klasma.github.io/Logging_0580/kartor/A 15844-2026 karta.png", "A 15844-2026")</f>
        <v/>
      </c>
      <c r="V40">
        <f>HYPERLINK("https://klasma.github.io/Logging_0580/klagomål/A 15844-2026 FSC-klagomål.docx", "A 15844-2026")</f>
        <v/>
      </c>
      <c r="W40">
        <f>HYPERLINK("https://klasma.github.io/Logging_0580/klagomålsmail/A 15844-2026 FSC-klagomål mail.docx", "A 15844-2026")</f>
        <v/>
      </c>
      <c r="X40">
        <f>HYPERLINK("https://klasma.github.io/Logging_0580/tillsyn/A 15844-2026 tillsynsbegäran.docx", "A 15844-2026")</f>
        <v/>
      </c>
      <c r="Y40">
        <f>HYPERLINK("https://klasma.github.io/Logging_0580/tillsynsmail/A 15844-2026 tillsynsbegäran mail.docx", "A 15844-2026")</f>
        <v/>
      </c>
    </row>
    <row r="41" ht="15" customHeight="1">
      <c r="A41" t="inlineStr">
        <is>
          <t>A 22074-2026</t>
        </is>
      </c>
      <c r="B41" s="1" t="n">
        <v>46153.50032407408</v>
      </c>
      <c r="C41" s="1" t="n">
        <v>46178</v>
      </c>
      <c r="D41" t="inlineStr">
        <is>
          <t>ÖSTERGÖTLANDS LÄN</t>
        </is>
      </c>
      <c r="E41" t="inlineStr">
        <is>
          <t>LINKÖPING</t>
        </is>
      </c>
      <c r="G41" t="n">
        <v>1.9</v>
      </c>
      <c r="H41" t="n">
        <v>0</v>
      </c>
      <c r="I41" t="n">
        <v>2</v>
      </c>
      <c r="J41" t="n">
        <v>0</v>
      </c>
      <c r="K41" t="n">
        <v>0</v>
      </c>
      <c r="L41" t="n">
        <v>0</v>
      </c>
      <c r="M41" t="n">
        <v>0</v>
      </c>
      <c r="N41" t="n">
        <v>0</v>
      </c>
      <c r="O41" t="n">
        <v>0</v>
      </c>
      <c r="P41" t="n">
        <v>0</v>
      </c>
      <c r="Q41" t="n">
        <v>2</v>
      </c>
      <c r="R41" s="2" t="inlineStr">
        <is>
          <t>Blomkålssvamp
Mandelriska</t>
        </is>
      </c>
      <c r="S41">
        <f>HYPERLINK("https://klasma.github.io/Logging_0580/artfynd/A 22074-2026 artfynd.xlsx", "A 22074-2026")</f>
        <v/>
      </c>
      <c r="T41">
        <f>HYPERLINK("https://klasma.github.io/Logging_0580/kartor/A 22074-2026 karta.png", "A 22074-2026")</f>
        <v/>
      </c>
      <c r="V41">
        <f>HYPERLINK("https://klasma.github.io/Logging_0580/klagomål/A 22074-2026 FSC-klagomål.docx", "A 22074-2026")</f>
        <v/>
      </c>
      <c r="W41">
        <f>HYPERLINK("https://klasma.github.io/Logging_0580/klagomålsmail/A 22074-2026 FSC-klagomål mail.docx", "A 22074-2026")</f>
        <v/>
      </c>
      <c r="X41">
        <f>HYPERLINK("https://klasma.github.io/Logging_0580/tillsyn/A 22074-2026 tillsynsbegäran.docx", "A 22074-2026")</f>
        <v/>
      </c>
      <c r="Y41">
        <f>HYPERLINK("https://klasma.github.io/Logging_0580/tillsynsmail/A 22074-2026 tillsynsbegäran mail.docx", "A 22074-2026")</f>
        <v/>
      </c>
    </row>
    <row r="42" ht="15" customHeight="1">
      <c r="A42" t="inlineStr">
        <is>
          <t>A 22040-2023</t>
        </is>
      </c>
      <c r="B42" s="1" t="n">
        <v>45068</v>
      </c>
      <c r="C42" s="1" t="n">
        <v>46178</v>
      </c>
      <c r="D42" t="inlineStr">
        <is>
          <t>ÖSTERGÖTLANDS LÄN</t>
        </is>
      </c>
      <c r="E42" t="inlineStr">
        <is>
          <t>LINKÖPING</t>
        </is>
      </c>
      <c r="F42" t="inlineStr">
        <is>
          <t>Kommuner</t>
        </is>
      </c>
      <c r="G42" t="n">
        <v>1</v>
      </c>
      <c r="H42" t="n">
        <v>1</v>
      </c>
      <c r="I42" t="n">
        <v>1</v>
      </c>
      <c r="J42" t="n">
        <v>0</v>
      </c>
      <c r="K42" t="n">
        <v>1</v>
      </c>
      <c r="L42" t="n">
        <v>0</v>
      </c>
      <c r="M42" t="n">
        <v>0</v>
      </c>
      <c r="N42" t="n">
        <v>0</v>
      </c>
      <c r="O42" t="n">
        <v>1</v>
      </c>
      <c r="P42" t="n">
        <v>1</v>
      </c>
      <c r="Q42" t="n">
        <v>2</v>
      </c>
      <c r="R42" s="2" t="inlineStr">
        <is>
          <t>Bombmurkla
Skarp dropptaggsvamp</t>
        </is>
      </c>
      <c r="S42">
        <f>HYPERLINK("https://klasma.github.io/Logging_0580/artfynd/A 22040-2023 artfynd.xlsx", "A 22040-2023")</f>
        <v/>
      </c>
      <c r="T42">
        <f>HYPERLINK("https://klasma.github.io/Logging_0580/kartor/A 22040-2023 karta.png", "A 22040-2023")</f>
        <v/>
      </c>
      <c r="V42">
        <f>HYPERLINK("https://klasma.github.io/Logging_0580/klagomål/A 22040-2023 FSC-klagomål.docx", "A 22040-2023")</f>
        <v/>
      </c>
      <c r="W42">
        <f>HYPERLINK("https://klasma.github.io/Logging_0580/klagomålsmail/A 22040-2023 FSC-klagomål mail.docx", "A 22040-2023")</f>
        <v/>
      </c>
      <c r="X42">
        <f>HYPERLINK("https://klasma.github.io/Logging_0580/tillsyn/A 22040-2023 tillsynsbegäran.docx", "A 22040-2023")</f>
        <v/>
      </c>
      <c r="Y42">
        <f>HYPERLINK("https://klasma.github.io/Logging_0580/tillsynsmail/A 22040-2023 tillsynsbegäran mail.docx", "A 22040-2023")</f>
        <v/>
      </c>
    </row>
    <row r="43" ht="15" customHeight="1">
      <c r="A43" t="inlineStr">
        <is>
          <t>A 49188-2024</t>
        </is>
      </c>
      <c r="B43" s="1" t="n">
        <v>45595</v>
      </c>
      <c r="C43" s="1" t="n">
        <v>46178</v>
      </c>
      <c r="D43" t="inlineStr">
        <is>
          <t>ÖSTERGÖTLANDS LÄN</t>
        </is>
      </c>
      <c r="E43" t="inlineStr">
        <is>
          <t>LINKÖPING</t>
        </is>
      </c>
      <c r="G43" t="n">
        <v>3.1</v>
      </c>
      <c r="H43" t="n">
        <v>0</v>
      </c>
      <c r="I43" t="n">
        <v>0</v>
      </c>
      <c r="J43" t="n">
        <v>0</v>
      </c>
      <c r="K43" t="n">
        <v>0</v>
      </c>
      <c r="L43" t="n">
        <v>1</v>
      </c>
      <c r="M43" t="n">
        <v>1</v>
      </c>
      <c r="N43" t="n">
        <v>0</v>
      </c>
      <c r="O43" t="n">
        <v>2</v>
      </c>
      <c r="P43" t="n">
        <v>2</v>
      </c>
      <c r="Q43" t="n">
        <v>2</v>
      </c>
      <c r="R43" s="2" t="inlineStr">
        <is>
          <t>Skogsalm
Ask</t>
        </is>
      </c>
      <c r="S43">
        <f>HYPERLINK("https://klasma.github.io/Logging_0580/artfynd/A 49188-2024 artfynd.xlsx", "A 49188-2024")</f>
        <v/>
      </c>
      <c r="T43">
        <f>HYPERLINK("https://klasma.github.io/Logging_0580/kartor/A 49188-2024 karta.png", "A 49188-2024")</f>
        <v/>
      </c>
      <c r="V43">
        <f>HYPERLINK("https://klasma.github.io/Logging_0580/klagomål/A 49188-2024 FSC-klagomål.docx", "A 49188-2024")</f>
        <v/>
      </c>
      <c r="W43">
        <f>HYPERLINK("https://klasma.github.io/Logging_0580/klagomålsmail/A 49188-2024 FSC-klagomål mail.docx", "A 49188-2024")</f>
        <v/>
      </c>
      <c r="X43">
        <f>HYPERLINK("https://klasma.github.io/Logging_0580/tillsyn/A 49188-2024 tillsynsbegäran.docx", "A 49188-2024")</f>
        <v/>
      </c>
      <c r="Y43">
        <f>HYPERLINK("https://klasma.github.io/Logging_0580/tillsynsmail/A 49188-2024 tillsynsbegäran mail.docx", "A 49188-2024")</f>
        <v/>
      </c>
    </row>
    <row r="44" ht="15" customHeight="1">
      <c r="A44" t="inlineStr">
        <is>
          <t>A 20292-2025</t>
        </is>
      </c>
      <c r="B44" s="1" t="n">
        <v>45774.7449537037</v>
      </c>
      <c r="C44" s="1" t="n">
        <v>46178</v>
      </c>
      <c r="D44" t="inlineStr">
        <is>
          <t>ÖSTERGÖTLANDS LÄN</t>
        </is>
      </c>
      <c r="E44" t="inlineStr">
        <is>
          <t>LINKÖPING</t>
        </is>
      </c>
      <c r="G44" t="n">
        <v>8.4</v>
      </c>
      <c r="H44" t="n">
        <v>1</v>
      </c>
      <c r="I44" t="n">
        <v>1</v>
      </c>
      <c r="J44" t="n">
        <v>0</v>
      </c>
      <c r="K44" t="n">
        <v>0</v>
      </c>
      <c r="L44" t="n">
        <v>0</v>
      </c>
      <c r="M44" t="n">
        <v>0</v>
      </c>
      <c r="N44" t="n">
        <v>0</v>
      </c>
      <c r="O44" t="n">
        <v>0</v>
      </c>
      <c r="P44" t="n">
        <v>0</v>
      </c>
      <c r="Q44" t="n">
        <v>2</v>
      </c>
      <c r="R44" s="2" t="inlineStr">
        <is>
          <t>Blåmossa
Blåsippa</t>
        </is>
      </c>
      <c r="S44">
        <f>HYPERLINK("https://klasma.github.io/Logging_0580/artfynd/A 20292-2025 artfynd.xlsx", "A 20292-2025")</f>
        <v/>
      </c>
      <c r="T44">
        <f>HYPERLINK("https://klasma.github.io/Logging_0580/kartor/A 20292-2025 karta.png", "A 20292-2025")</f>
        <v/>
      </c>
      <c r="V44">
        <f>HYPERLINK("https://klasma.github.io/Logging_0580/klagomål/A 20292-2025 FSC-klagomål.docx", "A 20292-2025")</f>
        <v/>
      </c>
      <c r="W44">
        <f>HYPERLINK("https://klasma.github.io/Logging_0580/klagomålsmail/A 20292-2025 FSC-klagomål mail.docx", "A 20292-2025")</f>
        <v/>
      </c>
      <c r="X44">
        <f>HYPERLINK("https://klasma.github.io/Logging_0580/tillsyn/A 20292-2025 tillsynsbegäran.docx", "A 20292-2025")</f>
        <v/>
      </c>
      <c r="Y44">
        <f>HYPERLINK("https://klasma.github.io/Logging_0580/tillsynsmail/A 20292-2025 tillsynsbegäran mail.docx", "A 20292-2025")</f>
        <v/>
      </c>
    </row>
    <row r="45" ht="15" customHeight="1">
      <c r="A45" t="inlineStr">
        <is>
          <t>A 11613-2025</t>
        </is>
      </c>
      <c r="B45" s="1" t="n">
        <v>45727.44623842592</v>
      </c>
      <c r="C45" s="1" t="n">
        <v>46178</v>
      </c>
      <c r="D45" t="inlineStr">
        <is>
          <t>ÖSTERGÖTLANDS LÄN</t>
        </is>
      </c>
      <c r="E45" t="inlineStr">
        <is>
          <t>LINKÖPING</t>
        </is>
      </c>
      <c r="G45" t="n">
        <v>5.7</v>
      </c>
      <c r="H45" t="n">
        <v>1</v>
      </c>
      <c r="I45" t="n">
        <v>1</v>
      </c>
      <c r="J45" t="n">
        <v>0</v>
      </c>
      <c r="K45" t="n">
        <v>1</v>
      </c>
      <c r="L45" t="n">
        <v>0</v>
      </c>
      <c r="M45" t="n">
        <v>0</v>
      </c>
      <c r="N45" t="n">
        <v>0</v>
      </c>
      <c r="O45" t="n">
        <v>1</v>
      </c>
      <c r="P45" t="n">
        <v>1</v>
      </c>
      <c r="Q45" t="n">
        <v>2</v>
      </c>
      <c r="R45" s="2" t="inlineStr">
        <is>
          <t>Knärot
Grönpyrola</t>
        </is>
      </c>
      <c r="S45">
        <f>HYPERLINK("https://klasma.github.io/Logging_0580/artfynd/A 11613-2025 artfynd.xlsx", "A 11613-2025")</f>
        <v/>
      </c>
      <c r="T45">
        <f>HYPERLINK("https://klasma.github.io/Logging_0580/kartor/A 11613-2025 karta.png", "A 11613-2025")</f>
        <v/>
      </c>
      <c r="U45">
        <f>HYPERLINK("https://klasma.github.io/Logging_0580/knärot/A 11613-2025 karta knärot.png", "A 11613-2025")</f>
        <v/>
      </c>
      <c r="V45">
        <f>HYPERLINK("https://klasma.github.io/Logging_0580/klagomål/A 11613-2025 FSC-klagomål.docx", "A 11613-2025")</f>
        <v/>
      </c>
      <c r="W45">
        <f>HYPERLINK("https://klasma.github.io/Logging_0580/klagomålsmail/A 11613-2025 FSC-klagomål mail.docx", "A 11613-2025")</f>
        <v/>
      </c>
      <c r="X45">
        <f>HYPERLINK("https://klasma.github.io/Logging_0580/tillsyn/A 11613-2025 tillsynsbegäran.docx", "A 11613-2025")</f>
        <v/>
      </c>
      <c r="Y45">
        <f>HYPERLINK("https://klasma.github.io/Logging_0580/tillsynsmail/A 11613-2025 tillsynsbegäran mail.docx", "A 11613-2025")</f>
        <v/>
      </c>
    </row>
    <row r="46" ht="15" customHeight="1">
      <c r="A46" t="inlineStr">
        <is>
          <t>A 20297-2025</t>
        </is>
      </c>
      <c r="B46" s="1" t="n">
        <v>45774.74971064815</v>
      </c>
      <c r="C46" s="1" t="n">
        <v>46178</v>
      </c>
      <c r="D46" t="inlineStr">
        <is>
          <t>ÖSTERGÖTLANDS LÄN</t>
        </is>
      </c>
      <c r="E46" t="inlineStr">
        <is>
          <t>LINKÖPING</t>
        </is>
      </c>
      <c r="G46" t="n">
        <v>1.5</v>
      </c>
      <c r="H46" t="n">
        <v>1</v>
      </c>
      <c r="I46" t="n">
        <v>1</v>
      </c>
      <c r="J46" t="n">
        <v>0</v>
      </c>
      <c r="K46" t="n">
        <v>0</v>
      </c>
      <c r="L46" t="n">
        <v>0</v>
      </c>
      <c r="M46" t="n">
        <v>0</v>
      </c>
      <c r="N46" t="n">
        <v>0</v>
      </c>
      <c r="O46" t="n">
        <v>0</v>
      </c>
      <c r="P46" t="n">
        <v>0</v>
      </c>
      <c r="Q46" t="n">
        <v>2</v>
      </c>
      <c r="R46" s="2" t="inlineStr">
        <is>
          <t>Blanksvart trämyra
Blåsippa</t>
        </is>
      </c>
      <c r="S46">
        <f>HYPERLINK("https://klasma.github.io/Logging_0580/artfynd/A 20297-2025 artfynd.xlsx", "A 20297-2025")</f>
        <v/>
      </c>
      <c r="T46">
        <f>HYPERLINK("https://klasma.github.io/Logging_0580/kartor/A 20297-2025 karta.png", "A 20297-2025")</f>
        <v/>
      </c>
      <c r="V46">
        <f>HYPERLINK("https://klasma.github.io/Logging_0580/klagomål/A 20297-2025 FSC-klagomål.docx", "A 20297-2025")</f>
        <v/>
      </c>
      <c r="W46">
        <f>HYPERLINK("https://klasma.github.io/Logging_0580/klagomålsmail/A 20297-2025 FSC-klagomål mail.docx", "A 20297-2025")</f>
        <v/>
      </c>
      <c r="X46">
        <f>HYPERLINK("https://klasma.github.io/Logging_0580/tillsyn/A 20297-2025 tillsynsbegäran.docx", "A 20297-2025")</f>
        <v/>
      </c>
      <c r="Y46">
        <f>HYPERLINK("https://klasma.github.io/Logging_0580/tillsynsmail/A 20297-2025 tillsynsbegäran mail.docx", "A 20297-2025")</f>
        <v/>
      </c>
    </row>
    <row r="47" ht="15" customHeight="1">
      <c r="A47" t="inlineStr">
        <is>
          <t>A 41751-2023</t>
        </is>
      </c>
      <c r="B47" s="1" t="n">
        <v>45176</v>
      </c>
      <c r="C47" s="1" t="n">
        <v>46178</v>
      </c>
      <c r="D47" t="inlineStr">
        <is>
          <t>ÖSTERGÖTLANDS LÄN</t>
        </is>
      </c>
      <c r="E47" t="inlineStr">
        <is>
          <t>LINKÖPING</t>
        </is>
      </c>
      <c r="G47" t="n">
        <v>1.5</v>
      </c>
      <c r="H47" t="n">
        <v>1</v>
      </c>
      <c r="I47" t="n">
        <v>0</v>
      </c>
      <c r="J47" t="n">
        <v>1</v>
      </c>
      <c r="K47" t="n">
        <v>0</v>
      </c>
      <c r="L47" t="n">
        <v>0</v>
      </c>
      <c r="M47" t="n">
        <v>0</v>
      </c>
      <c r="N47" t="n">
        <v>0</v>
      </c>
      <c r="O47" t="n">
        <v>1</v>
      </c>
      <c r="P47" t="n">
        <v>0</v>
      </c>
      <c r="Q47" t="n">
        <v>2</v>
      </c>
      <c r="R47" s="2" t="inlineStr">
        <is>
          <t>Svinrot
Grönvit nattviol</t>
        </is>
      </c>
      <c r="S47">
        <f>HYPERLINK("https://klasma.github.io/Logging_0580/artfynd/A 41751-2023 artfynd.xlsx", "A 41751-2023")</f>
        <v/>
      </c>
      <c r="T47">
        <f>HYPERLINK("https://klasma.github.io/Logging_0580/kartor/A 41751-2023 karta.png", "A 41751-2023")</f>
        <v/>
      </c>
      <c r="V47">
        <f>HYPERLINK("https://klasma.github.io/Logging_0580/klagomål/A 41751-2023 FSC-klagomål.docx", "A 41751-2023")</f>
        <v/>
      </c>
      <c r="W47">
        <f>HYPERLINK("https://klasma.github.io/Logging_0580/klagomålsmail/A 41751-2023 FSC-klagomål mail.docx", "A 41751-2023")</f>
        <v/>
      </c>
      <c r="X47">
        <f>HYPERLINK("https://klasma.github.io/Logging_0580/tillsyn/A 41751-2023 tillsynsbegäran.docx", "A 41751-2023")</f>
        <v/>
      </c>
      <c r="Y47">
        <f>HYPERLINK("https://klasma.github.io/Logging_0580/tillsynsmail/A 41751-2023 tillsynsbegäran mail.docx", "A 41751-2023")</f>
        <v/>
      </c>
    </row>
    <row r="48" ht="15" customHeight="1">
      <c r="A48" t="inlineStr">
        <is>
          <t>A 42858-2023</t>
        </is>
      </c>
      <c r="B48" s="1" t="n">
        <v>45177</v>
      </c>
      <c r="C48" s="1" t="n">
        <v>46178</v>
      </c>
      <c r="D48" t="inlineStr">
        <is>
          <t>ÖSTERGÖTLANDS LÄN</t>
        </is>
      </c>
      <c r="E48" t="inlineStr">
        <is>
          <t>LINKÖPING</t>
        </is>
      </c>
      <c r="G48" t="n">
        <v>5.3</v>
      </c>
      <c r="H48" t="n">
        <v>1</v>
      </c>
      <c r="I48" t="n">
        <v>0</v>
      </c>
      <c r="J48" t="n">
        <v>1</v>
      </c>
      <c r="K48" t="n">
        <v>0</v>
      </c>
      <c r="L48" t="n">
        <v>0</v>
      </c>
      <c r="M48" t="n">
        <v>0</v>
      </c>
      <c r="N48" t="n">
        <v>0</v>
      </c>
      <c r="O48" t="n">
        <v>1</v>
      </c>
      <c r="P48" t="n">
        <v>0</v>
      </c>
      <c r="Q48" t="n">
        <v>2</v>
      </c>
      <c r="R48" s="2" t="inlineStr">
        <is>
          <t>Svinrot
Skogsödla</t>
        </is>
      </c>
      <c r="S48">
        <f>HYPERLINK("https://klasma.github.io/Logging_0580/artfynd/A 42858-2023 artfynd.xlsx", "A 42858-2023")</f>
        <v/>
      </c>
      <c r="T48">
        <f>HYPERLINK("https://klasma.github.io/Logging_0580/kartor/A 42858-2023 karta.png", "A 42858-2023")</f>
        <v/>
      </c>
      <c r="V48">
        <f>HYPERLINK("https://klasma.github.io/Logging_0580/klagomål/A 42858-2023 FSC-klagomål.docx", "A 42858-2023")</f>
        <v/>
      </c>
      <c r="W48">
        <f>HYPERLINK("https://klasma.github.io/Logging_0580/klagomålsmail/A 42858-2023 FSC-klagomål mail.docx", "A 42858-2023")</f>
        <v/>
      </c>
      <c r="X48">
        <f>HYPERLINK("https://klasma.github.io/Logging_0580/tillsyn/A 42858-2023 tillsynsbegäran.docx", "A 42858-2023")</f>
        <v/>
      </c>
      <c r="Y48">
        <f>HYPERLINK("https://klasma.github.io/Logging_0580/tillsynsmail/A 42858-2023 tillsynsbegäran mail.docx", "A 42858-2023")</f>
        <v/>
      </c>
    </row>
    <row r="49" ht="15" customHeight="1">
      <c r="A49" t="inlineStr">
        <is>
          <t>A 55344-2024</t>
        </is>
      </c>
      <c r="B49" s="1" t="n">
        <v>45621.7202662037</v>
      </c>
      <c r="C49" s="1" t="n">
        <v>46178</v>
      </c>
      <c r="D49" t="inlineStr">
        <is>
          <t>ÖSTERGÖTLANDS LÄN</t>
        </is>
      </c>
      <c r="E49" t="inlineStr">
        <is>
          <t>LINKÖPING</t>
        </is>
      </c>
      <c r="G49" t="n">
        <v>6.6</v>
      </c>
      <c r="H49" t="n">
        <v>0</v>
      </c>
      <c r="I49" t="n">
        <v>0</v>
      </c>
      <c r="J49" t="n">
        <v>2</v>
      </c>
      <c r="K49" t="n">
        <v>0</v>
      </c>
      <c r="L49" t="n">
        <v>0</v>
      </c>
      <c r="M49" t="n">
        <v>0</v>
      </c>
      <c r="N49" t="n">
        <v>0</v>
      </c>
      <c r="O49" t="n">
        <v>2</v>
      </c>
      <c r="P49" t="n">
        <v>0</v>
      </c>
      <c r="Q49" t="n">
        <v>2</v>
      </c>
      <c r="R49" s="2" t="inlineStr">
        <is>
          <t>Kandelabersvamp
Stjärnnästing</t>
        </is>
      </c>
      <c r="S49">
        <f>HYPERLINK("https://klasma.github.io/Logging_0580/artfynd/A 55344-2024 artfynd.xlsx", "A 55344-2024")</f>
        <v/>
      </c>
      <c r="T49">
        <f>HYPERLINK("https://klasma.github.io/Logging_0580/kartor/A 55344-2024 karta.png", "A 55344-2024")</f>
        <v/>
      </c>
      <c r="V49">
        <f>HYPERLINK("https://klasma.github.io/Logging_0580/klagomål/A 55344-2024 FSC-klagomål.docx", "A 55344-2024")</f>
        <v/>
      </c>
      <c r="W49">
        <f>HYPERLINK("https://klasma.github.io/Logging_0580/klagomålsmail/A 55344-2024 FSC-klagomål mail.docx", "A 55344-2024")</f>
        <v/>
      </c>
      <c r="X49">
        <f>HYPERLINK("https://klasma.github.io/Logging_0580/tillsyn/A 55344-2024 tillsynsbegäran.docx", "A 55344-2024")</f>
        <v/>
      </c>
      <c r="Y49">
        <f>HYPERLINK("https://klasma.github.io/Logging_0580/tillsynsmail/A 55344-2024 tillsynsbegäran mail.docx", "A 55344-2024")</f>
        <v/>
      </c>
    </row>
    <row r="50" ht="15" customHeight="1">
      <c r="A50" t="inlineStr">
        <is>
          <t>A 21326-2025</t>
        </is>
      </c>
      <c r="B50" s="1" t="n">
        <v>45782.35407407407</v>
      </c>
      <c r="C50" s="1" t="n">
        <v>46178</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46178</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46178</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46178</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46178</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46178</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46178</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931-2025</t>
        </is>
      </c>
      <c r="B57" s="1" t="n">
        <v>45665.88498842593</v>
      </c>
      <c r="C57" s="1" t="n">
        <v>46178</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1716-2023</t>
        </is>
      </c>
      <c r="B58" s="1" t="n">
        <v>44938</v>
      </c>
      <c r="C58" s="1" t="n">
        <v>46178</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1716-2023 artfynd.xlsx", "A 1716-2023")</f>
        <v/>
      </c>
      <c r="T58">
        <f>HYPERLINK("https://klasma.github.io/Logging_0580/kartor/A 1716-2023 karta.png", "A 1716-2023")</f>
        <v/>
      </c>
      <c r="V58">
        <f>HYPERLINK("https://klasma.github.io/Logging_0580/klagomål/A 1716-2023 FSC-klagomål.docx", "A 1716-2023")</f>
        <v/>
      </c>
      <c r="W58">
        <f>HYPERLINK("https://klasma.github.io/Logging_0580/klagomålsmail/A 1716-2023 FSC-klagomål mail.docx", "A 1716-2023")</f>
        <v/>
      </c>
      <c r="X58">
        <f>HYPERLINK("https://klasma.github.io/Logging_0580/tillsyn/A 1716-2023 tillsynsbegäran.docx", "A 1716-2023")</f>
        <v/>
      </c>
      <c r="Y58">
        <f>HYPERLINK("https://klasma.github.io/Logging_0580/tillsynsmail/A 1716-2023 tillsynsbegäran mail.docx", "A 1716-2023")</f>
        <v/>
      </c>
    </row>
    <row r="59" ht="15" customHeight="1">
      <c r="A59" t="inlineStr">
        <is>
          <t>A 1213-2023</t>
        </is>
      </c>
      <c r="B59" s="1" t="n">
        <v>44930</v>
      </c>
      <c r="C59" s="1" t="n">
        <v>46178</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45317-2023</t>
        </is>
      </c>
      <c r="B60" s="1" t="n">
        <v>45191.74868055555</v>
      </c>
      <c r="C60" s="1" t="n">
        <v>46178</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59948-2022</t>
        </is>
      </c>
      <c r="B61" s="1" t="n">
        <v>44909</v>
      </c>
      <c r="C61" s="1" t="n">
        <v>46178</v>
      </c>
      <c r="D61" t="inlineStr">
        <is>
          <t>ÖSTERGÖTLANDS LÄN</t>
        </is>
      </c>
      <c r="E61" t="inlineStr">
        <is>
          <t>LINKÖPING</t>
        </is>
      </c>
      <c r="G61" t="n">
        <v>6.7</v>
      </c>
      <c r="H61" t="n">
        <v>0</v>
      </c>
      <c r="I61" t="n">
        <v>0</v>
      </c>
      <c r="J61" t="n">
        <v>0</v>
      </c>
      <c r="K61" t="n">
        <v>0</v>
      </c>
      <c r="L61" t="n">
        <v>0</v>
      </c>
      <c r="M61" t="n">
        <v>1</v>
      </c>
      <c r="N61" t="n">
        <v>0</v>
      </c>
      <c r="O61" t="n">
        <v>1</v>
      </c>
      <c r="P61" t="n">
        <v>1</v>
      </c>
      <c r="Q61" t="n">
        <v>1</v>
      </c>
      <c r="R61" s="2" t="inlineStr">
        <is>
          <t>Skogsalm</t>
        </is>
      </c>
      <c r="S61">
        <f>HYPERLINK("https://klasma.github.io/Logging_0580/artfynd/A 59948-2022 artfynd.xlsx", "A 59948-2022")</f>
        <v/>
      </c>
      <c r="T61">
        <f>HYPERLINK("https://klasma.github.io/Logging_0580/kartor/A 59948-2022 karta.png", "A 59948-2022")</f>
        <v/>
      </c>
      <c r="V61">
        <f>HYPERLINK("https://klasma.github.io/Logging_0580/klagomål/A 59948-2022 FSC-klagomål.docx", "A 59948-2022")</f>
        <v/>
      </c>
      <c r="W61">
        <f>HYPERLINK("https://klasma.github.io/Logging_0580/klagomålsmail/A 59948-2022 FSC-klagomål mail.docx", "A 59948-2022")</f>
        <v/>
      </c>
      <c r="X61">
        <f>HYPERLINK("https://klasma.github.io/Logging_0580/tillsyn/A 59948-2022 tillsynsbegäran.docx", "A 59948-2022")</f>
        <v/>
      </c>
      <c r="Y61">
        <f>HYPERLINK("https://klasma.github.io/Logging_0580/tillsynsmail/A 59948-2022 tillsynsbegäran mail.docx", "A 59948-2022")</f>
        <v/>
      </c>
    </row>
    <row r="62" ht="15" customHeight="1">
      <c r="A62" t="inlineStr">
        <is>
          <t>A 22526-2025</t>
        </is>
      </c>
      <c r="B62" s="1" t="n">
        <v>45786.78096064815</v>
      </c>
      <c r="C62" s="1" t="n">
        <v>46178</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27403-2025</t>
        </is>
      </c>
      <c r="B63" s="1" t="n">
        <v>45812.72518518518</v>
      </c>
      <c r="C63" s="1" t="n">
        <v>46178</v>
      </c>
      <c r="D63" t="inlineStr">
        <is>
          <t>ÖSTERGÖTLANDS LÄN</t>
        </is>
      </c>
      <c r="E63" t="inlineStr">
        <is>
          <t>LINKÖPING</t>
        </is>
      </c>
      <c r="G63" t="n">
        <v>1.4</v>
      </c>
      <c r="H63" t="n">
        <v>0</v>
      </c>
      <c r="I63" t="n">
        <v>0</v>
      </c>
      <c r="J63" t="n">
        <v>1</v>
      </c>
      <c r="K63" t="n">
        <v>0</v>
      </c>
      <c r="L63" t="n">
        <v>0</v>
      </c>
      <c r="M63" t="n">
        <v>0</v>
      </c>
      <c r="N63" t="n">
        <v>0</v>
      </c>
      <c r="O63" t="n">
        <v>1</v>
      </c>
      <c r="P63" t="n">
        <v>0</v>
      </c>
      <c r="Q63" t="n">
        <v>1</v>
      </c>
      <c r="R63" s="2" t="inlineStr">
        <is>
          <t>Tallticka</t>
        </is>
      </c>
      <c r="S63">
        <f>HYPERLINK("https://klasma.github.io/Logging_0580/artfynd/A 27403-2025 artfynd.xlsx", "A 27403-2025")</f>
        <v/>
      </c>
      <c r="T63">
        <f>HYPERLINK("https://klasma.github.io/Logging_0580/kartor/A 27403-2025 karta.png", "A 27403-2025")</f>
        <v/>
      </c>
      <c r="V63">
        <f>HYPERLINK("https://klasma.github.io/Logging_0580/klagomål/A 27403-2025 FSC-klagomål.docx", "A 27403-2025")</f>
        <v/>
      </c>
      <c r="W63">
        <f>HYPERLINK("https://klasma.github.io/Logging_0580/klagomålsmail/A 27403-2025 FSC-klagomål mail.docx", "A 27403-2025")</f>
        <v/>
      </c>
      <c r="X63">
        <f>HYPERLINK("https://klasma.github.io/Logging_0580/tillsyn/A 27403-2025 tillsynsbegäran.docx", "A 27403-2025")</f>
        <v/>
      </c>
      <c r="Y63">
        <f>HYPERLINK("https://klasma.github.io/Logging_0580/tillsynsmail/A 27403-2025 tillsynsbegäran mail.docx", "A 27403-2025")</f>
        <v/>
      </c>
    </row>
    <row r="64" ht="15" customHeight="1">
      <c r="A64" t="inlineStr">
        <is>
          <t>A 37683-2024</t>
        </is>
      </c>
      <c r="B64" s="1" t="n">
        <v>45541.59120370371</v>
      </c>
      <c r="C64" s="1" t="n">
        <v>46178</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43989-2025</t>
        </is>
      </c>
      <c r="B65" s="1" t="n">
        <v>45915.44128472222</v>
      </c>
      <c r="C65" s="1" t="n">
        <v>46178</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56651-2023</t>
        </is>
      </c>
      <c r="B66" s="1" t="n">
        <v>45243</v>
      </c>
      <c r="C66" s="1" t="n">
        <v>46178</v>
      </c>
      <c r="D66" t="inlineStr">
        <is>
          <t>ÖSTERGÖTLANDS LÄN</t>
        </is>
      </c>
      <c r="E66" t="inlineStr">
        <is>
          <t>LINKÖPING</t>
        </is>
      </c>
      <c r="F66" t="inlineStr">
        <is>
          <t>Övriga Aktiebolag</t>
        </is>
      </c>
      <c r="G66" t="n">
        <v>2.3</v>
      </c>
      <c r="H66" t="n">
        <v>0</v>
      </c>
      <c r="I66" t="n">
        <v>0</v>
      </c>
      <c r="J66" t="n">
        <v>1</v>
      </c>
      <c r="K66" t="n">
        <v>0</v>
      </c>
      <c r="L66" t="n">
        <v>0</v>
      </c>
      <c r="M66" t="n">
        <v>0</v>
      </c>
      <c r="N66" t="n">
        <v>0</v>
      </c>
      <c r="O66" t="n">
        <v>1</v>
      </c>
      <c r="P66" t="n">
        <v>0</v>
      </c>
      <c r="Q66" t="n">
        <v>1</v>
      </c>
      <c r="R66" s="2" t="inlineStr">
        <is>
          <t>Gul dropplav</t>
        </is>
      </c>
      <c r="S66">
        <f>HYPERLINK("https://klasma.github.io/Logging_0580/artfynd/A 56651-2023 artfynd.xlsx", "A 56651-2023")</f>
        <v/>
      </c>
      <c r="T66">
        <f>HYPERLINK("https://klasma.github.io/Logging_0580/kartor/A 56651-2023 karta.png", "A 56651-2023")</f>
        <v/>
      </c>
      <c r="V66">
        <f>HYPERLINK("https://klasma.github.io/Logging_0580/klagomål/A 56651-2023 FSC-klagomål.docx", "A 56651-2023")</f>
        <v/>
      </c>
      <c r="W66">
        <f>HYPERLINK("https://klasma.github.io/Logging_0580/klagomålsmail/A 56651-2023 FSC-klagomål mail.docx", "A 56651-2023")</f>
        <v/>
      </c>
      <c r="X66">
        <f>HYPERLINK("https://klasma.github.io/Logging_0580/tillsyn/A 56651-2023 tillsynsbegäran.docx", "A 56651-2023")</f>
        <v/>
      </c>
      <c r="Y66">
        <f>HYPERLINK("https://klasma.github.io/Logging_0580/tillsynsmail/A 56651-2023 tillsynsbegäran mail.docx", "A 56651-2023")</f>
        <v/>
      </c>
    </row>
    <row r="67" ht="15" customHeight="1">
      <c r="A67" t="inlineStr">
        <is>
          <t>A 36723-2023</t>
        </is>
      </c>
      <c r="B67" s="1" t="n">
        <v>45153</v>
      </c>
      <c r="C67" s="1" t="n">
        <v>46178</v>
      </c>
      <c r="D67" t="inlineStr">
        <is>
          <t>ÖSTERGÖTLANDS LÄN</t>
        </is>
      </c>
      <c r="E67" t="inlineStr">
        <is>
          <t>LINKÖPING</t>
        </is>
      </c>
      <c r="F67" t="inlineStr">
        <is>
          <t>Allmännings- och besparingsskogar</t>
        </is>
      </c>
      <c r="G67" t="n">
        <v>9.9</v>
      </c>
      <c r="H67" t="n">
        <v>0</v>
      </c>
      <c r="I67" t="n">
        <v>0</v>
      </c>
      <c r="J67" t="n">
        <v>0</v>
      </c>
      <c r="K67" t="n">
        <v>1</v>
      </c>
      <c r="L67" t="n">
        <v>0</v>
      </c>
      <c r="M67" t="n">
        <v>0</v>
      </c>
      <c r="N67" t="n">
        <v>0</v>
      </c>
      <c r="O67" t="n">
        <v>1</v>
      </c>
      <c r="P67" t="n">
        <v>1</v>
      </c>
      <c r="Q67" t="n">
        <v>1</v>
      </c>
      <c r="R67" s="2" t="inlineStr">
        <is>
          <t>Bitter taggsvamp</t>
        </is>
      </c>
      <c r="S67">
        <f>HYPERLINK("https://klasma.github.io/Logging_0580/artfynd/A 36723-2023 artfynd.xlsx", "A 36723-2023")</f>
        <v/>
      </c>
      <c r="T67">
        <f>HYPERLINK("https://klasma.github.io/Logging_0580/kartor/A 36723-2023 karta.png", "A 36723-2023")</f>
        <v/>
      </c>
      <c r="V67">
        <f>HYPERLINK("https://klasma.github.io/Logging_0580/klagomål/A 36723-2023 FSC-klagomål.docx", "A 36723-2023")</f>
        <v/>
      </c>
      <c r="W67">
        <f>HYPERLINK("https://klasma.github.io/Logging_0580/klagomålsmail/A 36723-2023 FSC-klagomål mail.docx", "A 36723-2023")</f>
        <v/>
      </c>
      <c r="X67">
        <f>HYPERLINK("https://klasma.github.io/Logging_0580/tillsyn/A 36723-2023 tillsynsbegäran.docx", "A 36723-2023")</f>
        <v/>
      </c>
      <c r="Y67">
        <f>HYPERLINK("https://klasma.github.io/Logging_0580/tillsynsmail/A 36723-2023 tillsynsbegäran mail.docx", "A 36723-2023")</f>
        <v/>
      </c>
    </row>
    <row r="68" ht="15" customHeight="1">
      <c r="A68" t="inlineStr">
        <is>
          <t>A 17444-2025</t>
        </is>
      </c>
      <c r="B68" s="1" t="n">
        <v>45757.43452546297</v>
      </c>
      <c r="C68" s="1" t="n">
        <v>46178</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42054-2022</t>
        </is>
      </c>
      <c r="B69" s="1" t="n">
        <v>44830</v>
      </c>
      <c r="C69" s="1" t="n">
        <v>46178</v>
      </c>
      <c r="D69" t="inlineStr">
        <is>
          <t>ÖSTERGÖTLANDS LÄN</t>
        </is>
      </c>
      <c r="E69" t="inlineStr">
        <is>
          <t>LINKÖPING</t>
        </is>
      </c>
      <c r="G69" t="n">
        <v>1.7</v>
      </c>
      <c r="H69" t="n">
        <v>0</v>
      </c>
      <c r="I69" t="n">
        <v>0</v>
      </c>
      <c r="J69" t="n">
        <v>1</v>
      </c>
      <c r="K69" t="n">
        <v>0</v>
      </c>
      <c r="L69" t="n">
        <v>0</v>
      </c>
      <c r="M69" t="n">
        <v>0</v>
      </c>
      <c r="N69" t="n">
        <v>0</v>
      </c>
      <c r="O69" t="n">
        <v>1</v>
      </c>
      <c r="P69" t="n">
        <v>0</v>
      </c>
      <c r="Q69" t="n">
        <v>1</v>
      </c>
      <c r="R69" s="2" t="inlineStr">
        <is>
          <t>Tallticka</t>
        </is>
      </c>
      <c r="S69">
        <f>HYPERLINK("https://klasma.github.io/Logging_0580/artfynd/A 42054-2022 artfynd.xlsx", "A 42054-2022")</f>
        <v/>
      </c>
      <c r="T69">
        <f>HYPERLINK("https://klasma.github.io/Logging_0580/kartor/A 42054-2022 karta.png", "A 42054-2022")</f>
        <v/>
      </c>
      <c r="V69">
        <f>HYPERLINK("https://klasma.github.io/Logging_0580/klagomål/A 42054-2022 FSC-klagomål.docx", "A 42054-2022")</f>
        <v/>
      </c>
      <c r="W69">
        <f>HYPERLINK("https://klasma.github.io/Logging_0580/klagomålsmail/A 42054-2022 FSC-klagomål mail.docx", "A 42054-2022")</f>
        <v/>
      </c>
      <c r="X69">
        <f>HYPERLINK("https://klasma.github.io/Logging_0580/tillsyn/A 42054-2022 tillsynsbegäran.docx", "A 42054-2022")</f>
        <v/>
      </c>
      <c r="Y69">
        <f>HYPERLINK("https://klasma.github.io/Logging_0580/tillsynsmail/A 42054-2022 tillsynsbegäran mail.docx", "A 42054-2022")</f>
        <v/>
      </c>
    </row>
    <row r="70" ht="15" customHeight="1">
      <c r="A70" t="inlineStr">
        <is>
          <t>A 5911-2022</t>
        </is>
      </c>
      <c r="B70" s="1" t="n">
        <v>44597</v>
      </c>
      <c r="C70" s="1" t="n">
        <v>46178</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48298-2025</t>
        </is>
      </c>
      <c r="B71" s="1" t="n">
        <v>45932</v>
      </c>
      <c r="C71" s="1" t="n">
        <v>46178</v>
      </c>
      <c r="D71" t="inlineStr">
        <is>
          <t>ÖSTERGÖTLANDS LÄN</t>
        </is>
      </c>
      <c r="E71" t="inlineStr">
        <is>
          <t>LINKÖPING</t>
        </is>
      </c>
      <c r="F71" t="inlineStr">
        <is>
          <t>Övriga Aktiebolag</t>
        </is>
      </c>
      <c r="G71" t="n">
        <v>1.7</v>
      </c>
      <c r="H71" t="n">
        <v>0</v>
      </c>
      <c r="I71" t="n">
        <v>1</v>
      </c>
      <c r="J71" t="n">
        <v>0</v>
      </c>
      <c r="K71" t="n">
        <v>0</v>
      </c>
      <c r="L71" t="n">
        <v>0</v>
      </c>
      <c r="M71" t="n">
        <v>0</v>
      </c>
      <c r="N71" t="n">
        <v>0</v>
      </c>
      <c r="O71" t="n">
        <v>0</v>
      </c>
      <c r="P71" t="n">
        <v>0</v>
      </c>
      <c r="Q71" t="n">
        <v>1</v>
      </c>
      <c r="R71" s="2" t="inlineStr">
        <is>
          <t>Västlig hakmossa</t>
        </is>
      </c>
      <c r="S71">
        <f>HYPERLINK("https://klasma.github.io/Logging_0580/artfynd/A 48298-2025 artfynd.xlsx", "A 48298-2025")</f>
        <v/>
      </c>
      <c r="T71">
        <f>HYPERLINK("https://klasma.github.io/Logging_0580/kartor/A 48298-2025 karta.png", "A 48298-2025")</f>
        <v/>
      </c>
      <c r="V71">
        <f>HYPERLINK("https://klasma.github.io/Logging_0580/klagomål/A 48298-2025 FSC-klagomål.docx", "A 48298-2025")</f>
        <v/>
      </c>
      <c r="W71">
        <f>HYPERLINK("https://klasma.github.io/Logging_0580/klagomålsmail/A 48298-2025 FSC-klagomål mail.docx", "A 48298-2025")</f>
        <v/>
      </c>
      <c r="X71">
        <f>HYPERLINK("https://klasma.github.io/Logging_0580/tillsyn/A 48298-2025 tillsynsbegäran.docx", "A 48298-2025")</f>
        <v/>
      </c>
      <c r="Y71">
        <f>HYPERLINK("https://klasma.github.io/Logging_0580/tillsynsmail/A 48298-2025 tillsynsbegäran mail.docx", "A 48298-2025")</f>
        <v/>
      </c>
    </row>
    <row r="72" ht="15" customHeight="1">
      <c r="A72" t="inlineStr">
        <is>
          <t>A 90-2024</t>
        </is>
      </c>
      <c r="B72" s="1" t="n">
        <v>45293</v>
      </c>
      <c r="C72" s="1" t="n">
        <v>46178</v>
      </c>
      <c r="D72" t="inlineStr">
        <is>
          <t>ÖSTERGÖTLANDS LÄN</t>
        </is>
      </c>
      <c r="E72" t="inlineStr">
        <is>
          <t>LINKÖPING</t>
        </is>
      </c>
      <c r="G72" t="n">
        <v>1.8</v>
      </c>
      <c r="H72" t="n">
        <v>0</v>
      </c>
      <c r="I72" t="n">
        <v>1</v>
      </c>
      <c r="J72" t="n">
        <v>0</v>
      </c>
      <c r="K72" t="n">
        <v>0</v>
      </c>
      <c r="L72" t="n">
        <v>0</v>
      </c>
      <c r="M72" t="n">
        <v>0</v>
      </c>
      <c r="N72" t="n">
        <v>0</v>
      </c>
      <c r="O72" t="n">
        <v>0</v>
      </c>
      <c r="P72" t="n">
        <v>0</v>
      </c>
      <c r="Q72" t="n">
        <v>1</v>
      </c>
      <c r="R72" s="2" t="inlineStr">
        <is>
          <t>Grov fjädermossa</t>
        </is>
      </c>
      <c r="S72">
        <f>HYPERLINK("https://klasma.github.io/Logging_0580/artfynd/A 90-2024 artfynd.xlsx", "A 90-2024")</f>
        <v/>
      </c>
      <c r="T72">
        <f>HYPERLINK("https://klasma.github.io/Logging_0580/kartor/A 90-2024 karta.png", "A 90-2024")</f>
        <v/>
      </c>
      <c r="V72">
        <f>HYPERLINK("https://klasma.github.io/Logging_0580/klagomål/A 90-2024 FSC-klagomål.docx", "A 90-2024")</f>
        <v/>
      </c>
      <c r="W72">
        <f>HYPERLINK("https://klasma.github.io/Logging_0580/klagomålsmail/A 90-2024 FSC-klagomål mail.docx", "A 90-2024")</f>
        <v/>
      </c>
      <c r="X72">
        <f>HYPERLINK("https://klasma.github.io/Logging_0580/tillsyn/A 90-2024 tillsynsbegäran.docx", "A 90-2024")</f>
        <v/>
      </c>
      <c r="Y72">
        <f>HYPERLINK("https://klasma.github.io/Logging_0580/tillsynsmail/A 90-2024 tillsynsbegäran mail.docx", "A 90-2024")</f>
        <v/>
      </c>
    </row>
    <row r="73" ht="15" customHeight="1">
      <c r="A73" t="inlineStr">
        <is>
          <t>A 50034-2025</t>
        </is>
      </c>
      <c r="B73" s="1" t="n">
        <v>45941</v>
      </c>
      <c r="C73" s="1" t="n">
        <v>46178</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40315-2024</t>
        </is>
      </c>
      <c r="B74" s="1" t="n">
        <v>45554.7571875</v>
      </c>
      <c r="C74" s="1" t="n">
        <v>46178</v>
      </c>
      <c r="D74" t="inlineStr">
        <is>
          <t>ÖSTERGÖTLANDS LÄN</t>
        </is>
      </c>
      <c r="E74" t="inlineStr">
        <is>
          <t>LINKÖPING</t>
        </is>
      </c>
      <c r="F74" t="inlineStr">
        <is>
          <t>Allmännings- och besparingsskogar</t>
        </is>
      </c>
      <c r="G74" t="n">
        <v>15.8</v>
      </c>
      <c r="H74" t="n">
        <v>0</v>
      </c>
      <c r="I74" t="n">
        <v>0</v>
      </c>
      <c r="J74" t="n">
        <v>0</v>
      </c>
      <c r="K74" t="n">
        <v>0</v>
      </c>
      <c r="L74" t="n">
        <v>0</v>
      </c>
      <c r="M74" t="n">
        <v>1</v>
      </c>
      <c r="N74" t="n">
        <v>0</v>
      </c>
      <c r="O74" t="n">
        <v>1</v>
      </c>
      <c r="P74" t="n">
        <v>1</v>
      </c>
      <c r="Q74" t="n">
        <v>1</v>
      </c>
      <c r="R74" s="2" t="inlineStr">
        <is>
          <t>Skogsalm</t>
        </is>
      </c>
      <c r="S74">
        <f>HYPERLINK("https://klasma.github.io/Logging_0580/artfynd/A 40315-2024 artfynd.xlsx", "A 40315-2024")</f>
        <v/>
      </c>
      <c r="T74">
        <f>HYPERLINK("https://klasma.github.io/Logging_0580/kartor/A 40315-2024 karta.png", "A 40315-2024")</f>
        <v/>
      </c>
      <c r="V74">
        <f>HYPERLINK("https://klasma.github.io/Logging_0580/klagomål/A 40315-2024 FSC-klagomål.docx", "A 40315-2024")</f>
        <v/>
      </c>
      <c r="W74">
        <f>HYPERLINK("https://klasma.github.io/Logging_0580/klagomålsmail/A 40315-2024 FSC-klagomål mail.docx", "A 40315-2024")</f>
        <v/>
      </c>
      <c r="X74">
        <f>HYPERLINK("https://klasma.github.io/Logging_0580/tillsyn/A 40315-2024 tillsynsbegäran.docx", "A 40315-2024")</f>
        <v/>
      </c>
      <c r="Y74">
        <f>HYPERLINK("https://klasma.github.io/Logging_0580/tillsynsmail/A 40315-2024 tillsynsbegäran mail.docx", "A 40315-2024")</f>
        <v/>
      </c>
    </row>
    <row r="75" ht="15" customHeight="1">
      <c r="A75" t="inlineStr">
        <is>
          <t>A 21227-2026</t>
        </is>
      </c>
      <c r="B75" s="1" t="n">
        <v>46146.78898148148</v>
      </c>
      <c r="C75" s="1" t="n">
        <v>46178</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Rödvingetrast</t>
        </is>
      </c>
      <c r="S75">
        <f>HYPERLINK("https://klasma.github.io/Logging_0580/artfynd/A 21227-2026 artfynd.xlsx", "A 21227-2026")</f>
        <v/>
      </c>
      <c r="T75">
        <f>HYPERLINK("https://klasma.github.io/Logging_0580/kartor/A 21227-2026 karta.png", "A 21227-2026")</f>
        <v/>
      </c>
      <c r="V75">
        <f>HYPERLINK("https://klasma.github.io/Logging_0580/klagomål/A 21227-2026 FSC-klagomål.docx", "A 21227-2026")</f>
        <v/>
      </c>
      <c r="W75">
        <f>HYPERLINK("https://klasma.github.io/Logging_0580/klagomålsmail/A 21227-2026 FSC-klagomål mail.docx", "A 21227-2026")</f>
        <v/>
      </c>
      <c r="X75">
        <f>HYPERLINK("https://klasma.github.io/Logging_0580/tillsyn/A 21227-2026 tillsynsbegäran.docx", "A 21227-2026")</f>
        <v/>
      </c>
      <c r="Y75">
        <f>HYPERLINK("https://klasma.github.io/Logging_0580/tillsynsmail/A 21227-2026 tillsynsbegäran mail.docx", "A 21227-2026")</f>
        <v/>
      </c>
      <c r="Z75">
        <f>HYPERLINK("https://klasma.github.io/Logging_0580/fåglar/A 21227-2026 prioriterade fågelarter.docx", "A 21227-2026")</f>
        <v/>
      </c>
    </row>
    <row r="76" ht="15" customHeight="1">
      <c r="A76" t="inlineStr">
        <is>
          <t>A 34881-2023</t>
        </is>
      </c>
      <c r="B76" s="1" t="n">
        <v>45140</v>
      </c>
      <c r="C76" s="1" t="n">
        <v>46178</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59474-2025</t>
        </is>
      </c>
      <c r="B77" s="1" t="n">
        <v>45989.58512731481</v>
      </c>
      <c r="C77" s="1" t="n">
        <v>46178</v>
      </c>
      <c r="D77" t="inlineStr">
        <is>
          <t>ÖSTERGÖTLANDS LÄN</t>
        </is>
      </c>
      <c r="E77" t="inlineStr">
        <is>
          <t>LINKÖPING</t>
        </is>
      </c>
      <c r="G77" t="n">
        <v>8</v>
      </c>
      <c r="H77" t="n">
        <v>0</v>
      </c>
      <c r="I77" t="n">
        <v>1</v>
      </c>
      <c r="J77" t="n">
        <v>0</v>
      </c>
      <c r="K77" t="n">
        <v>0</v>
      </c>
      <c r="L77" t="n">
        <v>0</v>
      </c>
      <c r="M77" t="n">
        <v>0</v>
      </c>
      <c r="N77" t="n">
        <v>0</v>
      </c>
      <c r="O77" t="n">
        <v>0</v>
      </c>
      <c r="P77" t="n">
        <v>0</v>
      </c>
      <c r="Q77" t="n">
        <v>1</v>
      </c>
      <c r="R77" s="2" t="inlineStr">
        <is>
          <t>Fällmossa</t>
        </is>
      </c>
      <c r="S77">
        <f>HYPERLINK("https://klasma.github.io/Logging_0580/artfynd/A 59474-2025 artfynd.xlsx", "A 59474-2025")</f>
        <v/>
      </c>
      <c r="T77">
        <f>HYPERLINK("https://klasma.github.io/Logging_0580/kartor/A 59474-2025 karta.png", "A 59474-2025")</f>
        <v/>
      </c>
      <c r="V77">
        <f>HYPERLINK("https://klasma.github.io/Logging_0580/klagomål/A 59474-2025 FSC-klagomål.docx", "A 59474-2025")</f>
        <v/>
      </c>
      <c r="W77">
        <f>HYPERLINK("https://klasma.github.io/Logging_0580/klagomålsmail/A 59474-2025 FSC-klagomål mail.docx", "A 59474-2025")</f>
        <v/>
      </c>
      <c r="X77">
        <f>HYPERLINK("https://klasma.github.io/Logging_0580/tillsyn/A 59474-2025 tillsynsbegäran.docx", "A 59474-2025")</f>
        <v/>
      </c>
      <c r="Y77">
        <f>HYPERLINK("https://klasma.github.io/Logging_0580/tillsynsmail/A 59474-2025 tillsynsbegäran mail.docx", "A 59474-2025")</f>
        <v/>
      </c>
    </row>
    <row r="78" ht="15" customHeight="1">
      <c r="A78" t="inlineStr">
        <is>
          <t>A 56128-2022</t>
        </is>
      </c>
      <c r="B78" s="1" t="n">
        <v>44889</v>
      </c>
      <c r="C78" s="1" t="n">
        <v>46178</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40309-2024</t>
        </is>
      </c>
      <c r="B79" s="1" t="n">
        <v>45554.724375</v>
      </c>
      <c r="C79" s="1" t="n">
        <v>46178</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54835-2023</t>
        </is>
      </c>
      <c r="B80" s="1" t="n">
        <v>45236</v>
      </c>
      <c r="C80" s="1" t="n">
        <v>46178</v>
      </c>
      <c r="D80" t="inlineStr">
        <is>
          <t>ÖSTERGÖTLANDS LÄN</t>
        </is>
      </c>
      <c r="E80" t="inlineStr">
        <is>
          <t>LINKÖPING</t>
        </is>
      </c>
      <c r="G80" t="n">
        <v>2</v>
      </c>
      <c r="H80" t="n">
        <v>1</v>
      </c>
      <c r="I80" t="n">
        <v>0</v>
      </c>
      <c r="J80" t="n">
        <v>0</v>
      </c>
      <c r="K80" t="n">
        <v>0</v>
      </c>
      <c r="L80" t="n">
        <v>0</v>
      </c>
      <c r="M80" t="n">
        <v>0</v>
      </c>
      <c r="N80" t="n">
        <v>0</v>
      </c>
      <c r="O80" t="n">
        <v>0</v>
      </c>
      <c r="P80" t="n">
        <v>0</v>
      </c>
      <c r="Q80" t="n">
        <v>1</v>
      </c>
      <c r="R80" s="2" t="inlineStr">
        <is>
          <t>Sparvuggla</t>
        </is>
      </c>
      <c r="S80">
        <f>HYPERLINK("https://klasma.github.io/Logging_0580/artfynd/A 54835-2023 artfynd.xlsx", "A 54835-2023")</f>
        <v/>
      </c>
      <c r="T80">
        <f>HYPERLINK("https://klasma.github.io/Logging_0580/kartor/A 54835-2023 karta.png", "A 54835-2023")</f>
        <v/>
      </c>
      <c r="V80">
        <f>HYPERLINK("https://klasma.github.io/Logging_0580/klagomål/A 54835-2023 FSC-klagomål.docx", "A 54835-2023")</f>
        <v/>
      </c>
      <c r="W80">
        <f>HYPERLINK("https://klasma.github.io/Logging_0580/klagomålsmail/A 54835-2023 FSC-klagomål mail.docx", "A 54835-2023")</f>
        <v/>
      </c>
      <c r="X80">
        <f>HYPERLINK("https://klasma.github.io/Logging_0580/tillsyn/A 54835-2023 tillsynsbegäran.docx", "A 54835-2023")</f>
        <v/>
      </c>
      <c r="Y80">
        <f>HYPERLINK("https://klasma.github.io/Logging_0580/tillsynsmail/A 54835-2023 tillsynsbegäran mail.docx", "A 54835-2023")</f>
        <v/>
      </c>
      <c r="Z80">
        <f>HYPERLINK("https://klasma.github.io/Logging_0580/fåglar/A 54835-2023 prioriterade fågelarter.docx", "A 54835-2023")</f>
        <v/>
      </c>
    </row>
    <row r="81" ht="15" customHeight="1">
      <c r="A81" t="inlineStr">
        <is>
          <t>A 60311-2025</t>
        </is>
      </c>
      <c r="B81" s="1" t="n">
        <v>45994</v>
      </c>
      <c r="C81" s="1" t="n">
        <v>46178</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Gammelekslav</t>
        </is>
      </c>
      <c r="S81">
        <f>HYPERLINK("https://klasma.github.io/Logging_0580/artfynd/A 60311-2025 artfynd.xlsx", "A 60311-2025")</f>
        <v/>
      </c>
      <c r="T81">
        <f>HYPERLINK("https://klasma.github.io/Logging_0580/kartor/A 60311-2025 karta.png", "A 60311-2025")</f>
        <v/>
      </c>
      <c r="V81">
        <f>HYPERLINK("https://klasma.github.io/Logging_0580/klagomål/A 60311-2025 FSC-klagomål.docx", "A 60311-2025")</f>
        <v/>
      </c>
      <c r="W81">
        <f>HYPERLINK("https://klasma.github.io/Logging_0580/klagomålsmail/A 60311-2025 FSC-klagomål mail.docx", "A 60311-2025")</f>
        <v/>
      </c>
      <c r="X81">
        <f>HYPERLINK("https://klasma.github.io/Logging_0580/tillsyn/A 60311-2025 tillsynsbegäran.docx", "A 60311-2025")</f>
        <v/>
      </c>
      <c r="Y81">
        <f>HYPERLINK("https://klasma.github.io/Logging_0580/tillsynsmail/A 60311-2025 tillsynsbegäran mail.docx", "A 60311-2025")</f>
        <v/>
      </c>
    </row>
    <row r="82" ht="15" customHeight="1">
      <c r="A82" t="inlineStr">
        <is>
          <t>A 15290-2025</t>
        </is>
      </c>
      <c r="B82" s="1" t="n">
        <v>45745.45288194445</v>
      </c>
      <c r="C82" s="1" t="n">
        <v>46178</v>
      </c>
      <c r="D82" t="inlineStr">
        <is>
          <t>ÖSTERGÖTLANDS LÄN</t>
        </is>
      </c>
      <c r="E82" t="inlineStr">
        <is>
          <t>LINKÖPING</t>
        </is>
      </c>
      <c r="G82" t="n">
        <v>18.4</v>
      </c>
      <c r="H82" t="n">
        <v>1</v>
      </c>
      <c r="I82" t="n">
        <v>0</v>
      </c>
      <c r="J82" t="n">
        <v>1</v>
      </c>
      <c r="K82" t="n">
        <v>0</v>
      </c>
      <c r="L82" t="n">
        <v>0</v>
      </c>
      <c r="M82" t="n">
        <v>0</v>
      </c>
      <c r="N82" t="n">
        <v>0</v>
      </c>
      <c r="O82" t="n">
        <v>1</v>
      </c>
      <c r="P82" t="n">
        <v>0</v>
      </c>
      <c r="Q82" t="n">
        <v>1</v>
      </c>
      <c r="R82" s="2" t="inlineStr">
        <is>
          <t>Havsörn</t>
        </is>
      </c>
      <c r="S82">
        <f>HYPERLINK("https://klasma.github.io/Logging_0580/artfynd/A 15290-2025 artfynd.xlsx", "A 15290-2025")</f>
        <v/>
      </c>
      <c r="T82">
        <f>HYPERLINK("https://klasma.github.io/Logging_0580/kartor/A 15290-2025 karta.png", "A 15290-2025")</f>
        <v/>
      </c>
      <c r="V82">
        <f>HYPERLINK("https://klasma.github.io/Logging_0580/klagomål/A 15290-2025 FSC-klagomål.docx", "A 15290-2025")</f>
        <v/>
      </c>
      <c r="W82">
        <f>HYPERLINK("https://klasma.github.io/Logging_0580/klagomålsmail/A 15290-2025 FSC-klagomål mail.docx", "A 15290-2025")</f>
        <v/>
      </c>
      <c r="X82">
        <f>HYPERLINK("https://klasma.github.io/Logging_0580/tillsyn/A 15290-2025 tillsynsbegäran.docx", "A 15290-2025")</f>
        <v/>
      </c>
      <c r="Y82">
        <f>HYPERLINK("https://klasma.github.io/Logging_0580/tillsynsmail/A 15290-2025 tillsynsbegäran mail.docx", "A 15290-2025")</f>
        <v/>
      </c>
      <c r="Z82">
        <f>HYPERLINK("https://klasma.github.io/Logging_0580/fåglar/A 15290-2025 prioriterade fågelarter.docx", "A 15290-2025")</f>
        <v/>
      </c>
    </row>
    <row r="83" ht="15" customHeight="1">
      <c r="A83" t="inlineStr">
        <is>
          <t>A 126-2024</t>
        </is>
      </c>
      <c r="B83" s="1" t="n">
        <v>45294</v>
      </c>
      <c r="C83" s="1" t="n">
        <v>46178</v>
      </c>
      <c r="D83" t="inlineStr">
        <is>
          <t>ÖSTERGÖTLANDS LÄN</t>
        </is>
      </c>
      <c r="E83" t="inlineStr">
        <is>
          <t>LINKÖPING</t>
        </is>
      </c>
      <c r="G83" t="n">
        <v>1</v>
      </c>
      <c r="H83" t="n">
        <v>0</v>
      </c>
      <c r="I83" t="n">
        <v>1</v>
      </c>
      <c r="J83" t="n">
        <v>0</v>
      </c>
      <c r="K83" t="n">
        <v>0</v>
      </c>
      <c r="L83" t="n">
        <v>0</v>
      </c>
      <c r="M83" t="n">
        <v>0</v>
      </c>
      <c r="N83" t="n">
        <v>0</v>
      </c>
      <c r="O83" t="n">
        <v>0</v>
      </c>
      <c r="P83" t="n">
        <v>0</v>
      </c>
      <c r="Q83" t="n">
        <v>1</v>
      </c>
      <c r="R83" s="2" t="inlineStr">
        <is>
          <t>Blåmossa</t>
        </is>
      </c>
      <c r="S83">
        <f>HYPERLINK("https://klasma.github.io/Logging_0580/artfynd/A 126-2024 artfynd.xlsx", "A 126-2024")</f>
        <v/>
      </c>
      <c r="T83">
        <f>HYPERLINK("https://klasma.github.io/Logging_0580/kartor/A 126-2024 karta.png", "A 126-2024")</f>
        <v/>
      </c>
      <c r="V83">
        <f>HYPERLINK("https://klasma.github.io/Logging_0580/klagomål/A 126-2024 FSC-klagomål.docx", "A 126-2024")</f>
        <v/>
      </c>
      <c r="W83">
        <f>HYPERLINK("https://klasma.github.io/Logging_0580/klagomålsmail/A 126-2024 FSC-klagomål mail.docx", "A 126-2024")</f>
        <v/>
      </c>
      <c r="X83">
        <f>HYPERLINK("https://klasma.github.io/Logging_0580/tillsyn/A 126-2024 tillsynsbegäran.docx", "A 126-2024")</f>
        <v/>
      </c>
      <c r="Y83">
        <f>HYPERLINK("https://klasma.github.io/Logging_0580/tillsynsmail/A 126-2024 tillsynsbegäran mail.docx", "A 126-2024")</f>
        <v/>
      </c>
    </row>
    <row r="84" ht="15" customHeight="1">
      <c r="A84" t="inlineStr">
        <is>
          <t>A 44760-2025</t>
        </is>
      </c>
      <c r="B84" s="1" t="n">
        <v>45917.71873842592</v>
      </c>
      <c r="C84" s="1" t="n">
        <v>46178</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Tallticka</t>
        </is>
      </c>
      <c r="S84">
        <f>HYPERLINK("https://klasma.github.io/Logging_0580/artfynd/A 44760-2025 artfynd.xlsx", "A 44760-2025")</f>
        <v/>
      </c>
      <c r="T84">
        <f>HYPERLINK("https://klasma.github.io/Logging_0580/kartor/A 44760-2025 karta.png", "A 44760-2025")</f>
        <v/>
      </c>
      <c r="V84">
        <f>HYPERLINK("https://klasma.github.io/Logging_0580/klagomål/A 44760-2025 FSC-klagomål.docx", "A 44760-2025")</f>
        <v/>
      </c>
      <c r="W84">
        <f>HYPERLINK("https://klasma.github.io/Logging_0580/klagomålsmail/A 44760-2025 FSC-klagomål mail.docx", "A 44760-2025")</f>
        <v/>
      </c>
      <c r="X84">
        <f>HYPERLINK("https://klasma.github.io/Logging_0580/tillsyn/A 44760-2025 tillsynsbegäran.docx", "A 44760-2025")</f>
        <v/>
      </c>
      <c r="Y84">
        <f>HYPERLINK("https://klasma.github.io/Logging_0580/tillsynsmail/A 44760-2025 tillsynsbegäran mail.docx", "A 44760-2025")</f>
        <v/>
      </c>
    </row>
    <row r="85" ht="15" customHeight="1">
      <c r="A85" t="inlineStr">
        <is>
          <t>A 29393-2025</t>
        </is>
      </c>
      <c r="B85" s="1" t="n">
        <v>45824.6057175926</v>
      </c>
      <c r="C85" s="1" t="n">
        <v>46178</v>
      </c>
      <c r="D85" t="inlineStr">
        <is>
          <t>ÖSTERGÖTLANDS LÄN</t>
        </is>
      </c>
      <c r="E85" t="inlineStr">
        <is>
          <t>LINKÖPING</t>
        </is>
      </c>
      <c r="F85" t="inlineStr">
        <is>
          <t>Sveaskog</t>
        </is>
      </c>
      <c r="G85" t="n">
        <v>24.6</v>
      </c>
      <c r="H85" t="n">
        <v>1</v>
      </c>
      <c r="I85" t="n">
        <v>0</v>
      </c>
      <c r="J85" t="n">
        <v>0</v>
      </c>
      <c r="K85" t="n">
        <v>1</v>
      </c>
      <c r="L85" t="n">
        <v>0</v>
      </c>
      <c r="M85" t="n">
        <v>0</v>
      </c>
      <c r="N85" t="n">
        <v>0</v>
      </c>
      <c r="O85" t="n">
        <v>1</v>
      </c>
      <c r="P85" t="n">
        <v>1</v>
      </c>
      <c r="Q85" t="n">
        <v>1</v>
      </c>
      <c r="R85" s="2" t="inlineStr">
        <is>
          <t>Skogsgås</t>
        </is>
      </c>
      <c r="S85">
        <f>HYPERLINK("https://klasma.github.io/Logging_0580/artfynd/A 29393-2025 artfynd.xlsx", "A 29393-2025")</f>
        <v/>
      </c>
      <c r="T85">
        <f>HYPERLINK("https://klasma.github.io/Logging_0580/kartor/A 29393-2025 karta.png", "A 29393-2025")</f>
        <v/>
      </c>
      <c r="V85">
        <f>HYPERLINK("https://klasma.github.io/Logging_0580/klagomål/A 29393-2025 FSC-klagomål.docx", "A 29393-2025")</f>
        <v/>
      </c>
      <c r="W85">
        <f>HYPERLINK("https://klasma.github.io/Logging_0580/klagomålsmail/A 29393-2025 FSC-klagomål mail.docx", "A 29393-2025")</f>
        <v/>
      </c>
      <c r="X85">
        <f>HYPERLINK("https://klasma.github.io/Logging_0580/tillsyn/A 29393-2025 tillsynsbegäran.docx", "A 29393-2025")</f>
        <v/>
      </c>
      <c r="Y85">
        <f>HYPERLINK("https://klasma.github.io/Logging_0580/tillsynsmail/A 29393-2025 tillsynsbegäran mail.docx", "A 29393-2025")</f>
        <v/>
      </c>
      <c r="Z85">
        <f>HYPERLINK("https://klasma.github.io/Logging_0580/fåglar/A 29393-2025 prioriterade fågelarter.docx", "A 29393-2025")</f>
        <v/>
      </c>
    </row>
    <row r="86" ht="15" customHeight="1">
      <c r="A86" t="inlineStr">
        <is>
          <t>A 25262-2026</t>
        </is>
      </c>
      <c r="B86" s="1" t="n">
        <v>46175</v>
      </c>
      <c r="C86" s="1" t="n">
        <v>46178</v>
      </c>
      <c r="D86" t="inlineStr">
        <is>
          <t>ÖSTERGÖTLANDS LÄN</t>
        </is>
      </c>
      <c r="E86" t="inlineStr">
        <is>
          <t>LINKÖPING</t>
        </is>
      </c>
      <c r="G86" t="n">
        <v>0.9</v>
      </c>
      <c r="H86" t="n">
        <v>0</v>
      </c>
      <c r="I86" t="n">
        <v>0</v>
      </c>
      <c r="J86" t="n">
        <v>1</v>
      </c>
      <c r="K86" t="n">
        <v>0</v>
      </c>
      <c r="L86" t="n">
        <v>0</v>
      </c>
      <c r="M86" t="n">
        <v>0</v>
      </c>
      <c r="N86" t="n">
        <v>0</v>
      </c>
      <c r="O86" t="n">
        <v>1</v>
      </c>
      <c r="P86" t="n">
        <v>0</v>
      </c>
      <c r="Q86" t="n">
        <v>1</v>
      </c>
      <c r="R86" s="2" t="inlineStr">
        <is>
          <t>Gullklöver</t>
        </is>
      </c>
      <c r="S86">
        <f>HYPERLINK("https://klasma.github.io/Logging_0580/artfynd/A 25262-2026 artfynd.xlsx", "A 25262-2026")</f>
        <v/>
      </c>
      <c r="T86">
        <f>HYPERLINK("https://klasma.github.io/Logging_0580/kartor/A 25262-2026 karta.png", "A 25262-2026")</f>
        <v/>
      </c>
      <c r="V86">
        <f>HYPERLINK("https://klasma.github.io/Logging_0580/klagomål/A 25262-2026 FSC-klagomål.docx", "A 25262-2026")</f>
        <v/>
      </c>
      <c r="W86">
        <f>HYPERLINK("https://klasma.github.io/Logging_0580/klagomålsmail/A 25262-2026 FSC-klagomål mail.docx", "A 25262-2026")</f>
        <v/>
      </c>
      <c r="X86">
        <f>HYPERLINK("https://klasma.github.io/Logging_0580/tillsyn/A 25262-2026 tillsynsbegäran.docx", "A 25262-2026")</f>
        <v/>
      </c>
      <c r="Y86">
        <f>HYPERLINK("https://klasma.github.io/Logging_0580/tillsynsmail/A 25262-2026 tillsynsbegäran mail.docx", "A 25262-2026")</f>
        <v/>
      </c>
    </row>
    <row r="87" ht="15" customHeight="1">
      <c r="A87" t="inlineStr">
        <is>
          <t>A 50471-2024</t>
        </is>
      </c>
      <c r="B87" s="1" t="n">
        <v>45601.47166666666</v>
      </c>
      <c r="C87" s="1" t="n">
        <v>46178</v>
      </c>
      <c r="D87" t="inlineStr">
        <is>
          <t>ÖSTERGÖTLANDS LÄN</t>
        </is>
      </c>
      <c r="E87" t="inlineStr">
        <is>
          <t>LINKÖPING</t>
        </is>
      </c>
      <c r="F87" t="inlineStr">
        <is>
          <t>Övriga Aktiebolag</t>
        </is>
      </c>
      <c r="G87" t="n">
        <v>2</v>
      </c>
      <c r="H87" t="n">
        <v>0</v>
      </c>
      <c r="I87" t="n">
        <v>1</v>
      </c>
      <c r="J87" t="n">
        <v>0</v>
      </c>
      <c r="K87" t="n">
        <v>0</v>
      </c>
      <c r="L87" t="n">
        <v>0</v>
      </c>
      <c r="M87" t="n">
        <v>0</v>
      </c>
      <c r="N87" t="n">
        <v>0</v>
      </c>
      <c r="O87" t="n">
        <v>0</v>
      </c>
      <c r="P87" t="n">
        <v>0</v>
      </c>
      <c r="Q87" t="n">
        <v>1</v>
      </c>
      <c r="R87" s="2" t="inlineStr">
        <is>
          <t>Västlig hakmossa</t>
        </is>
      </c>
      <c r="S87">
        <f>HYPERLINK("https://klasma.github.io/Logging_0580/artfynd/A 50471-2024 artfynd.xlsx", "A 50471-2024")</f>
        <v/>
      </c>
      <c r="T87">
        <f>HYPERLINK("https://klasma.github.io/Logging_0580/kartor/A 50471-2024 karta.png", "A 50471-2024")</f>
        <v/>
      </c>
      <c r="V87">
        <f>HYPERLINK("https://klasma.github.io/Logging_0580/klagomål/A 50471-2024 FSC-klagomål.docx", "A 50471-2024")</f>
        <v/>
      </c>
      <c r="W87">
        <f>HYPERLINK("https://klasma.github.io/Logging_0580/klagomålsmail/A 50471-2024 FSC-klagomål mail.docx", "A 50471-2024")</f>
        <v/>
      </c>
      <c r="X87">
        <f>HYPERLINK("https://klasma.github.io/Logging_0580/tillsyn/A 50471-2024 tillsynsbegäran.docx", "A 50471-2024")</f>
        <v/>
      </c>
      <c r="Y87">
        <f>HYPERLINK("https://klasma.github.io/Logging_0580/tillsynsmail/A 50471-2024 tillsynsbegäran mail.docx", "A 50471-2024")</f>
        <v/>
      </c>
    </row>
    <row r="88" ht="15" customHeight="1">
      <c r="A88" t="inlineStr">
        <is>
          <t>A 3395-2023</t>
        </is>
      </c>
      <c r="B88" s="1" t="n">
        <v>44949</v>
      </c>
      <c r="C88" s="1" t="n">
        <v>46178</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50806-2023</t>
        </is>
      </c>
      <c r="B89" s="1" t="n">
        <v>45217</v>
      </c>
      <c r="C89" s="1" t="n">
        <v>46178</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46178</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46178</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46178</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46178</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46178</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46178</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46178</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38881-2021</t>
        </is>
      </c>
      <c r="B97" s="1" t="n">
        <v>44411.46893518518</v>
      </c>
      <c r="C97" s="1" t="n">
        <v>46178</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38887-2021</t>
        </is>
      </c>
      <c r="B98" s="1" t="n">
        <v>44411</v>
      </c>
      <c r="C98" s="1" t="n">
        <v>46178</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56239-2021</t>
        </is>
      </c>
      <c r="B99" s="1" t="n">
        <v>44478</v>
      </c>
      <c r="C99" s="1" t="n">
        <v>46178</v>
      </c>
      <c r="D99" t="inlineStr">
        <is>
          <t>ÖSTERGÖTLANDS LÄN</t>
        </is>
      </c>
      <c r="E99" t="inlineStr">
        <is>
          <t>LINKÖPING</t>
        </is>
      </c>
      <c r="F99" t="inlineStr">
        <is>
          <t>Övriga Aktiebolag</t>
        </is>
      </c>
      <c r="G99" t="n">
        <v>3</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46178</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7840-2022</t>
        </is>
      </c>
      <c r="B101" s="1" t="n">
        <v>44608</v>
      </c>
      <c r="C101" s="1" t="n">
        <v>46178</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40506-2021</t>
        </is>
      </c>
      <c r="B102" s="1" t="n">
        <v>44420</v>
      </c>
      <c r="C102" s="1" t="n">
        <v>46178</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46178</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46178</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46178</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46178</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46178</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1581-2022</t>
        </is>
      </c>
      <c r="B108" s="1" t="n">
        <v>44573</v>
      </c>
      <c r="C108" s="1" t="n">
        <v>46178</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46178</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46178</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46178</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46178</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46178</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46178</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46178</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46178</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46178</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46178</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46178</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46178</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46178</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46178</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46178</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46178</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46178</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46730-2021</t>
        </is>
      </c>
      <c r="B126" s="1" t="n">
        <v>44445</v>
      </c>
      <c r="C126" s="1" t="n">
        <v>46178</v>
      </c>
      <c r="D126" t="inlineStr">
        <is>
          <t>ÖSTERGÖTLANDS LÄN</t>
        </is>
      </c>
      <c r="E126" t="inlineStr">
        <is>
          <t>LINKÖPING</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46178</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34487-2021</t>
        </is>
      </c>
      <c r="B128" s="1" t="n">
        <v>44382.29873842592</v>
      </c>
      <c r="C128" s="1" t="n">
        <v>46178</v>
      </c>
      <c r="D128" t="inlineStr">
        <is>
          <t>ÖSTERGÖTLANDS LÄN</t>
        </is>
      </c>
      <c r="E128" t="inlineStr">
        <is>
          <t>LINKÖPING</t>
        </is>
      </c>
      <c r="G128" t="n">
        <v>7.5</v>
      </c>
      <c r="H128" t="n">
        <v>0</v>
      </c>
      <c r="I128" t="n">
        <v>0</v>
      </c>
      <c r="J128" t="n">
        <v>0</v>
      </c>
      <c r="K128" t="n">
        <v>0</v>
      </c>
      <c r="L128" t="n">
        <v>0</v>
      </c>
      <c r="M128" t="n">
        <v>0</v>
      </c>
      <c r="N128" t="n">
        <v>0</v>
      </c>
      <c r="O128" t="n">
        <v>0</v>
      </c>
      <c r="P128" t="n">
        <v>0</v>
      </c>
      <c r="Q128" t="n">
        <v>0</v>
      </c>
      <c r="R128" s="2" t="inlineStr"/>
    </row>
    <row r="129" ht="15" customHeight="1">
      <c r="A129" t="inlineStr">
        <is>
          <t>A 64195-2021</t>
        </is>
      </c>
      <c r="B129" s="1" t="n">
        <v>44510</v>
      </c>
      <c r="C129" s="1" t="n">
        <v>46178</v>
      </c>
      <c r="D129" t="inlineStr">
        <is>
          <t>ÖSTERGÖTLANDS LÄN</t>
        </is>
      </c>
      <c r="E129" t="inlineStr">
        <is>
          <t>LINKÖPING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46416-2021</t>
        </is>
      </c>
      <c r="B130" s="1" t="n">
        <v>44442</v>
      </c>
      <c r="C130" s="1" t="n">
        <v>46178</v>
      </c>
      <c r="D130" t="inlineStr">
        <is>
          <t>ÖSTERGÖTLANDS LÄN</t>
        </is>
      </c>
      <c r="E130" t="inlineStr">
        <is>
          <t>LINKÖPING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58258-2021</t>
        </is>
      </c>
      <c r="B131" s="1" t="n">
        <v>44487</v>
      </c>
      <c r="C131" s="1" t="n">
        <v>46178</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58287-2021</t>
        </is>
      </c>
      <c r="B132" s="1" t="n">
        <v>44487</v>
      </c>
      <c r="C132" s="1" t="n">
        <v>46178</v>
      </c>
      <c r="D132" t="inlineStr">
        <is>
          <t>ÖSTERGÖTLANDS LÄN</t>
        </is>
      </c>
      <c r="E132" t="inlineStr">
        <is>
          <t>LINKÖPING</t>
        </is>
      </c>
      <c r="F132" t="inlineStr">
        <is>
          <t>Övriga Aktiebolag</t>
        </is>
      </c>
      <c r="G132" t="n">
        <v>1.5</v>
      </c>
      <c r="H132" t="n">
        <v>0</v>
      </c>
      <c r="I132" t="n">
        <v>0</v>
      </c>
      <c r="J132" t="n">
        <v>0</v>
      </c>
      <c r="K132" t="n">
        <v>0</v>
      </c>
      <c r="L132" t="n">
        <v>0</v>
      </c>
      <c r="M132" t="n">
        <v>0</v>
      </c>
      <c r="N132" t="n">
        <v>0</v>
      </c>
      <c r="O132" t="n">
        <v>0</v>
      </c>
      <c r="P132" t="n">
        <v>0</v>
      </c>
      <c r="Q132" t="n">
        <v>0</v>
      </c>
      <c r="R132" s="2" t="inlineStr"/>
    </row>
    <row r="133" ht="15" customHeight="1">
      <c r="A133" t="inlineStr">
        <is>
          <t>A 53660-2021</t>
        </is>
      </c>
      <c r="B133" s="1" t="n">
        <v>44469</v>
      </c>
      <c r="C133" s="1" t="n">
        <v>46178</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52966-2021</t>
        </is>
      </c>
      <c r="B134" s="1" t="n">
        <v>44467</v>
      </c>
      <c r="C134" s="1" t="n">
        <v>46178</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46178</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46178</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52968-2021</t>
        </is>
      </c>
      <c r="B137" s="1" t="n">
        <v>44467</v>
      </c>
      <c r="C137" s="1" t="n">
        <v>46178</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65395-2021</t>
        </is>
      </c>
      <c r="B138" s="1" t="n">
        <v>44515</v>
      </c>
      <c r="C138" s="1" t="n">
        <v>46178</v>
      </c>
      <c r="D138" t="inlineStr">
        <is>
          <t>ÖSTERGÖTLANDS LÄN</t>
        </is>
      </c>
      <c r="E138" t="inlineStr">
        <is>
          <t>LINKÖPING</t>
        </is>
      </c>
      <c r="F138" t="inlineStr">
        <is>
          <t>Övriga statliga verk och myndigheter</t>
        </is>
      </c>
      <c r="G138" t="n">
        <v>0.7</v>
      </c>
      <c r="H138" t="n">
        <v>0</v>
      </c>
      <c r="I138" t="n">
        <v>0</v>
      </c>
      <c r="J138" t="n">
        <v>0</v>
      </c>
      <c r="K138" t="n">
        <v>0</v>
      </c>
      <c r="L138" t="n">
        <v>0</v>
      </c>
      <c r="M138" t="n">
        <v>0</v>
      </c>
      <c r="N138" t="n">
        <v>0</v>
      </c>
      <c r="O138" t="n">
        <v>0</v>
      </c>
      <c r="P138" t="n">
        <v>0</v>
      </c>
      <c r="Q138" t="n">
        <v>0</v>
      </c>
      <c r="R138" s="2" t="inlineStr"/>
    </row>
    <row r="139" ht="15" customHeight="1">
      <c r="A139" t="inlineStr">
        <is>
          <t>A 48016-2021</t>
        </is>
      </c>
      <c r="B139" s="1" t="n">
        <v>44449</v>
      </c>
      <c r="C139" s="1" t="n">
        <v>46178</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30858-2022</t>
        </is>
      </c>
      <c r="B140" s="1" t="n">
        <v>44767</v>
      </c>
      <c r="C140" s="1" t="n">
        <v>46178</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23175-2022</t>
        </is>
      </c>
      <c r="B141" s="1" t="n">
        <v>44719</v>
      </c>
      <c r="C141" s="1" t="n">
        <v>46178</v>
      </c>
      <c r="D141" t="inlineStr">
        <is>
          <t>ÖSTERGÖTLANDS LÄN</t>
        </is>
      </c>
      <c r="E141" t="inlineStr">
        <is>
          <t>LINKÖPING</t>
        </is>
      </c>
      <c r="F141" t="inlineStr">
        <is>
          <t>Allmännings- och besparingsskogar</t>
        </is>
      </c>
      <c r="G141" t="n">
        <v>1.4</v>
      </c>
      <c r="H141" t="n">
        <v>0</v>
      </c>
      <c r="I141" t="n">
        <v>0</v>
      </c>
      <c r="J141" t="n">
        <v>0</v>
      </c>
      <c r="K141" t="n">
        <v>0</v>
      </c>
      <c r="L141" t="n">
        <v>0</v>
      </c>
      <c r="M141" t="n">
        <v>0</v>
      </c>
      <c r="N141" t="n">
        <v>0</v>
      </c>
      <c r="O141" t="n">
        <v>0</v>
      </c>
      <c r="P141" t="n">
        <v>0</v>
      </c>
      <c r="Q141" t="n">
        <v>0</v>
      </c>
      <c r="R141" s="2" t="inlineStr"/>
    </row>
    <row r="142" ht="15" customHeight="1">
      <c r="A142" t="inlineStr">
        <is>
          <t>A 58266-2021</t>
        </is>
      </c>
      <c r="B142" s="1" t="n">
        <v>44487</v>
      </c>
      <c r="C142" s="1" t="n">
        <v>46178</v>
      </c>
      <c r="D142" t="inlineStr">
        <is>
          <t>ÖSTERGÖTLANDS LÄN</t>
        </is>
      </c>
      <c r="E142" t="inlineStr">
        <is>
          <t>LINKÖPING</t>
        </is>
      </c>
      <c r="F142" t="inlineStr">
        <is>
          <t>Övriga Aktiebolag</t>
        </is>
      </c>
      <c r="G142" t="n">
        <v>3.2</v>
      </c>
      <c r="H142" t="n">
        <v>0</v>
      </c>
      <c r="I142" t="n">
        <v>0</v>
      </c>
      <c r="J142" t="n">
        <v>0</v>
      </c>
      <c r="K142" t="n">
        <v>0</v>
      </c>
      <c r="L142" t="n">
        <v>0</v>
      </c>
      <c r="M142" t="n">
        <v>0</v>
      </c>
      <c r="N142" t="n">
        <v>0</v>
      </c>
      <c r="O142" t="n">
        <v>0</v>
      </c>
      <c r="P142" t="n">
        <v>0</v>
      </c>
      <c r="Q142" t="n">
        <v>0</v>
      </c>
      <c r="R142" s="2" t="inlineStr"/>
    </row>
    <row r="143" ht="15" customHeight="1">
      <c r="A143" t="inlineStr">
        <is>
          <t>A 28447-2021</t>
        </is>
      </c>
      <c r="B143" s="1" t="n">
        <v>44356</v>
      </c>
      <c r="C143" s="1" t="n">
        <v>46178</v>
      </c>
      <c r="D143" t="inlineStr">
        <is>
          <t>ÖSTERGÖTLANDS LÄN</t>
        </is>
      </c>
      <c r="E143" t="inlineStr">
        <is>
          <t>LINKÖPING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31705-2022</t>
        </is>
      </c>
      <c r="B144" s="1" t="n">
        <v>44776.43607638889</v>
      </c>
      <c r="C144" s="1" t="n">
        <v>46178</v>
      </c>
      <c r="D144" t="inlineStr">
        <is>
          <t>ÖSTERGÖTLANDS LÄN</t>
        </is>
      </c>
      <c r="E144" t="inlineStr">
        <is>
          <t>LINKÖPING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19318-2022</t>
        </is>
      </c>
      <c r="B145" s="1" t="n">
        <v>44692.5827662037</v>
      </c>
      <c r="C145" s="1" t="n">
        <v>46178</v>
      </c>
      <c r="D145" t="inlineStr">
        <is>
          <t>ÖSTERGÖTLANDS LÄN</t>
        </is>
      </c>
      <c r="E145" t="inlineStr">
        <is>
          <t>LINKÖPING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36341-2022</t>
        </is>
      </c>
      <c r="B146" s="1" t="n">
        <v>44803</v>
      </c>
      <c r="C146" s="1" t="n">
        <v>46178</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54467-2022</t>
        </is>
      </c>
      <c r="B147" s="1" t="n">
        <v>44882</v>
      </c>
      <c r="C147" s="1" t="n">
        <v>46178</v>
      </c>
      <c r="D147" t="inlineStr">
        <is>
          <t>ÖSTERGÖTLANDS LÄN</t>
        </is>
      </c>
      <c r="E147" t="inlineStr">
        <is>
          <t>LINKÖPING</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4240-2022</t>
        </is>
      </c>
      <c r="B148" s="1" t="n">
        <v>44588</v>
      </c>
      <c r="C148" s="1" t="n">
        <v>46178</v>
      </c>
      <c r="D148" t="inlineStr">
        <is>
          <t>ÖSTERGÖTLANDS LÄN</t>
        </is>
      </c>
      <c r="E148" t="inlineStr">
        <is>
          <t>LINKÖPING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46891-2021</t>
        </is>
      </c>
      <c r="B149" s="1" t="n">
        <v>44446.44587962963</v>
      </c>
      <c r="C149" s="1" t="n">
        <v>46178</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27666-2022</t>
        </is>
      </c>
      <c r="B150" s="1" t="n">
        <v>44743.39017361111</v>
      </c>
      <c r="C150" s="1" t="n">
        <v>46178</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1787-2022</t>
        </is>
      </c>
      <c r="B151" s="1" t="n">
        <v>44574</v>
      </c>
      <c r="C151" s="1" t="n">
        <v>46178</v>
      </c>
      <c r="D151" t="inlineStr">
        <is>
          <t>ÖSTERGÖTLANDS LÄN</t>
        </is>
      </c>
      <c r="E151" t="inlineStr">
        <is>
          <t>LINKÖPING</t>
        </is>
      </c>
      <c r="G151" t="n">
        <v>1.9</v>
      </c>
      <c r="H151" t="n">
        <v>0</v>
      </c>
      <c r="I151" t="n">
        <v>0</v>
      </c>
      <c r="J151" t="n">
        <v>0</v>
      </c>
      <c r="K151" t="n">
        <v>0</v>
      </c>
      <c r="L151" t="n">
        <v>0</v>
      </c>
      <c r="M151" t="n">
        <v>0</v>
      </c>
      <c r="N151" t="n">
        <v>0</v>
      </c>
      <c r="O151" t="n">
        <v>0</v>
      </c>
      <c r="P151" t="n">
        <v>0</v>
      </c>
      <c r="Q151" t="n">
        <v>0</v>
      </c>
      <c r="R151" s="2" t="inlineStr"/>
    </row>
    <row r="152" ht="15" customHeight="1">
      <c r="A152" t="inlineStr">
        <is>
          <t>A 948-2022</t>
        </is>
      </c>
      <c r="B152" s="1" t="n">
        <v>44571</v>
      </c>
      <c r="C152" s="1" t="n">
        <v>46178</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37014-2021</t>
        </is>
      </c>
      <c r="B153" s="1" t="n">
        <v>44393</v>
      </c>
      <c r="C153" s="1" t="n">
        <v>46178</v>
      </c>
      <c r="D153" t="inlineStr">
        <is>
          <t>ÖSTERGÖTLANDS LÄN</t>
        </is>
      </c>
      <c r="E153" t="inlineStr">
        <is>
          <t>LINKÖPING</t>
        </is>
      </c>
      <c r="F153" t="inlineStr">
        <is>
          <t>Allmännings- och besparingsskogar</t>
        </is>
      </c>
      <c r="G153" t="n">
        <v>7.7</v>
      </c>
      <c r="H153" t="n">
        <v>0</v>
      </c>
      <c r="I153" t="n">
        <v>0</v>
      </c>
      <c r="J153" t="n">
        <v>0</v>
      </c>
      <c r="K153" t="n">
        <v>0</v>
      </c>
      <c r="L153" t="n">
        <v>0</v>
      </c>
      <c r="M153" t="n">
        <v>0</v>
      </c>
      <c r="N153" t="n">
        <v>0</v>
      </c>
      <c r="O153" t="n">
        <v>0</v>
      </c>
      <c r="P153" t="n">
        <v>0</v>
      </c>
      <c r="Q153" t="n">
        <v>0</v>
      </c>
      <c r="R153" s="2" t="inlineStr"/>
    </row>
    <row r="154" ht="15" customHeight="1">
      <c r="A154" t="inlineStr">
        <is>
          <t>A 38134-2021</t>
        </is>
      </c>
      <c r="B154" s="1" t="n">
        <v>44405.3794212963</v>
      </c>
      <c r="C154" s="1" t="n">
        <v>46178</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44849-2022</t>
        </is>
      </c>
      <c r="B155" s="1" t="n">
        <v>44841</v>
      </c>
      <c r="C155" s="1" t="n">
        <v>46178</v>
      </c>
      <c r="D155" t="inlineStr">
        <is>
          <t>ÖSTERGÖTLANDS LÄN</t>
        </is>
      </c>
      <c r="E155" t="inlineStr">
        <is>
          <t>LINKÖPING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70835-2021</t>
        </is>
      </c>
      <c r="B156" s="1" t="n">
        <v>44537</v>
      </c>
      <c r="C156" s="1" t="n">
        <v>46178</v>
      </c>
      <c r="D156" t="inlineStr">
        <is>
          <t>ÖSTERGÖTLANDS LÄN</t>
        </is>
      </c>
      <c r="E156" t="inlineStr">
        <is>
          <t>LINKÖPING</t>
        </is>
      </c>
      <c r="G156" t="n">
        <v>2.3</v>
      </c>
      <c r="H156" t="n">
        <v>0</v>
      </c>
      <c r="I156" t="n">
        <v>0</v>
      </c>
      <c r="J156" t="n">
        <v>0</v>
      </c>
      <c r="K156" t="n">
        <v>0</v>
      </c>
      <c r="L156" t="n">
        <v>0</v>
      </c>
      <c r="M156" t="n">
        <v>0</v>
      </c>
      <c r="N156" t="n">
        <v>0</v>
      </c>
      <c r="O156" t="n">
        <v>0</v>
      </c>
      <c r="P156" t="n">
        <v>0</v>
      </c>
      <c r="Q156" t="n">
        <v>0</v>
      </c>
      <c r="R156" s="2" t="inlineStr"/>
    </row>
    <row r="157" ht="15" customHeight="1">
      <c r="A157" t="inlineStr">
        <is>
          <t>A 37934-2022</t>
        </is>
      </c>
      <c r="B157" s="1" t="n">
        <v>44809</v>
      </c>
      <c r="C157" s="1" t="n">
        <v>46178</v>
      </c>
      <c r="D157" t="inlineStr">
        <is>
          <t>ÖSTERGÖTLANDS LÄN</t>
        </is>
      </c>
      <c r="E157" t="inlineStr">
        <is>
          <t>LINKÖPING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54854-2022</t>
        </is>
      </c>
      <c r="B158" s="1" t="n">
        <v>44884</v>
      </c>
      <c r="C158" s="1" t="n">
        <v>46178</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54855-2022</t>
        </is>
      </c>
      <c r="B159" s="1" t="n">
        <v>44884.59502314815</v>
      </c>
      <c r="C159" s="1" t="n">
        <v>46178</v>
      </c>
      <c r="D159" t="inlineStr">
        <is>
          <t>ÖSTERGÖTLANDS LÄN</t>
        </is>
      </c>
      <c r="E159" t="inlineStr">
        <is>
          <t>LINKÖPING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11079-2022</t>
        </is>
      </c>
      <c r="B160" s="1" t="n">
        <v>44628</v>
      </c>
      <c r="C160" s="1" t="n">
        <v>46178</v>
      </c>
      <c r="D160" t="inlineStr">
        <is>
          <t>ÖSTERGÖTLANDS LÄN</t>
        </is>
      </c>
      <c r="E160" t="inlineStr">
        <is>
          <t>LINKÖPING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67912-2021</t>
        </is>
      </c>
      <c r="B161" s="1" t="n">
        <v>44525</v>
      </c>
      <c r="C161" s="1" t="n">
        <v>46178</v>
      </c>
      <c r="D161" t="inlineStr">
        <is>
          <t>ÖSTERGÖTLANDS LÄN</t>
        </is>
      </c>
      <c r="E161" t="inlineStr">
        <is>
          <t>LINKÖPING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67940-2021</t>
        </is>
      </c>
      <c r="B162" s="1" t="n">
        <v>44525.62849537037</v>
      </c>
      <c r="C162" s="1" t="n">
        <v>46178</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10951-2022</t>
        </is>
      </c>
      <c r="B163" s="1" t="n">
        <v>44627</v>
      </c>
      <c r="C163" s="1" t="n">
        <v>46178</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33134-2022</t>
        </is>
      </c>
      <c r="B164" s="1" t="n">
        <v>44785</v>
      </c>
      <c r="C164" s="1" t="n">
        <v>46178</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13075-2022</t>
        </is>
      </c>
      <c r="B165" s="1" t="n">
        <v>44643</v>
      </c>
      <c r="C165" s="1" t="n">
        <v>46178</v>
      </c>
      <c r="D165" t="inlineStr">
        <is>
          <t>ÖSTERGÖTLANDS LÄN</t>
        </is>
      </c>
      <c r="E165" t="inlineStr">
        <is>
          <t>LINKÖPING</t>
        </is>
      </c>
      <c r="G165" t="n">
        <v>2.2</v>
      </c>
      <c r="H165" t="n">
        <v>0</v>
      </c>
      <c r="I165" t="n">
        <v>0</v>
      </c>
      <c r="J165" t="n">
        <v>0</v>
      </c>
      <c r="K165" t="n">
        <v>0</v>
      </c>
      <c r="L165" t="n">
        <v>0</v>
      </c>
      <c r="M165" t="n">
        <v>0</v>
      </c>
      <c r="N165" t="n">
        <v>0</v>
      </c>
      <c r="O165" t="n">
        <v>0</v>
      </c>
      <c r="P165" t="n">
        <v>0</v>
      </c>
      <c r="Q165" t="n">
        <v>0</v>
      </c>
      <c r="R165" s="2" t="inlineStr"/>
    </row>
    <row r="166" ht="15" customHeight="1">
      <c r="A166" t="inlineStr">
        <is>
          <t>A 23416-2022</t>
        </is>
      </c>
      <c r="B166" s="1" t="n">
        <v>44720.78243055556</v>
      </c>
      <c r="C166" s="1" t="n">
        <v>46178</v>
      </c>
      <c r="D166" t="inlineStr">
        <is>
          <t>ÖSTERGÖTLANDS LÄN</t>
        </is>
      </c>
      <c r="E166" t="inlineStr">
        <is>
          <t>LINKÖPING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5605-2022</t>
        </is>
      </c>
      <c r="B167" s="1" t="n">
        <v>44595</v>
      </c>
      <c r="C167" s="1" t="n">
        <v>46178</v>
      </c>
      <c r="D167" t="inlineStr">
        <is>
          <t>ÖSTERGÖTLANDS LÄN</t>
        </is>
      </c>
      <c r="E167" t="inlineStr">
        <is>
          <t>LINKÖPING</t>
        </is>
      </c>
      <c r="F167" t="inlineStr">
        <is>
          <t>Övriga statliga verk och myndigheter</t>
        </is>
      </c>
      <c r="G167" t="n">
        <v>3</v>
      </c>
      <c r="H167" t="n">
        <v>0</v>
      </c>
      <c r="I167" t="n">
        <v>0</v>
      </c>
      <c r="J167" t="n">
        <v>0</v>
      </c>
      <c r="K167" t="n">
        <v>0</v>
      </c>
      <c r="L167" t="n">
        <v>0</v>
      </c>
      <c r="M167" t="n">
        <v>0</v>
      </c>
      <c r="N167" t="n">
        <v>0</v>
      </c>
      <c r="O167" t="n">
        <v>0</v>
      </c>
      <c r="P167" t="n">
        <v>0</v>
      </c>
      <c r="Q167" t="n">
        <v>0</v>
      </c>
      <c r="R167" s="2" t="inlineStr"/>
    </row>
    <row r="168" ht="15" customHeight="1">
      <c r="A168" t="inlineStr">
        <is>
          <t>A 56688-2021</t>
        </is>
      </c>
      <c r="B168" s="1" t="n">
        <v>44481</v>
      </c>
      <c r="C168" s="1" t="n">
        <v>46178</v>
      </c>
      <c r="D168" t="inlineStr">
        <is>
          <t>ÖSTERGÖTLANDS LÄN</t>
        </is>
      </c>
      <c r="E168" t="inlineStr">
        <is>
          <t>LINKÖPING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27769-2022</t>
        </is>
      </c>
      <c r="B169" s="1" t="n">
        <v>44743.53200231482</v>
      </c>
      <c r="C169" s="1" t="n">
        <v>46178</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33891-2021</t>
        </is>
      </c>
      <c r="B170" s="1" t="n">
        <v>44378</v>
      </c>
      <c r="C170" s="1" t="n">
        <v>46178</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46178</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46178</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46490-2022</t>
        </is>
      </c>
      <c r="B173" s="1" t="n">
        <v>44848</v>
      </c>
      <c r="C173" s="1" t="n">
        <v>46178</v>
      </c>
      <c r="D173" t="inlineStr">
        <is>
          <t>ÖSTERGÖTLANDS LÄN</t>
        </is>
      </c>
      <c r="E173" t="inlineStr">
        <is>
          <t>LINKÖPING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34486-2021</t>
        </is>
      </c>
      <c r="B174" s="1" t="n">
        <v>44382.29295138889</v>
      </c>
      <c r="C174" s="1" t="n">
        <v>46178</v>
      </c>
      <c r="D174" t="inlineStr">
        <is>
          <t>ÖSTERGÖTLANDS LÄN</t>
        </is>
      </c>
      <c r="E174" t="inlineStr">
        <is>
          <t>LINKÖPING</t>
        </is>
      </c>
      <c r="G174" t="n">
        <v>4.4</v>
      </c>
      <c r="H174" t="n">
        <v>0</v>
      </c>
      <c r="I174" t="n">
        <v>0</v>
      </c>
      <c r="J174" t="n">
        <v>0</v>
      </c>
      <c r="K174" t="n">
        <v>0</v>
      </c>
      <c r="L174" t="n">
        <v>0</v>
      </c>
      <c r="M174" t="n">
        <v>0</v>
      </c>
      <c r="N174" t="n">
        <v>0</v>
      </c>
      <c r="O174" t="n">
        <v>0</v>
      </c>
      <c r="P174" t="n">
        <v>0</v>
      </c>
      <c r="Q174" t="n">
        <v>0</v>
      </c>
      <c r="R174" s="2" t="inlineStr"/>
    </row>
    <row r="175" ht="15" customHeight="1">
      <c r="A175" t="inlineStr">
        <is>
          <t>A 31732-2022</t>
        </is>
      </c>
      <c r="B175" s="1" t="n">
        <v>44776.49267361111</v>
      </c>
      <c r="C175" s="1" t="n">
        <v>46178</v>
      </c>
      <c r="D175" t="inlineStr">
        <is>
          <t>ÖSTERGÖTLANDS LÄN</t>
        </is>
      </c>
      <c r="E175" t="inlineStr">
        <is>
          <t>LINKÖPING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61302-2021</t>
        </is>
      </c>
      <c r="B176" s="1" t="n">
        <v>44498.63189814815</v>
      </c>
      <c r="C176" s="1" t="n">
        <v>46178</v>
      </c>
      <c r="D176" t="inlineStr">
        <is>
          <t>ÖSTERGÖTLANDS LÄN</t>
        </is>
      </c>
      <c r="E176" t="inlineStr">
        <is>
          <t>LINKÖPING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41426-2022</t>
        </is>
      </c>
      <c r="B177" s="1" t="n">
        <v>44826</v>
      </c>
      <c r="C177" s="1" t="n">
        <v>46178</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34162-2022</t>
        </is>
      </c>
      <c r="B178" s="1" t="n">
        <v>44791</v>
      </c>
      <c r="C178" s="1" t="n">
        <v>46178</v>
      </c>
      <c r="D178" t="inlineStr">
        <is>
          <t>ÖSTERGÖTLANDS LÄN</t>
        </is>
      </c>
      <c r="E178" t="inlineStr">
        <is>
          <t>LINKÖPING</t>
        </is>
      </c>
      <c r="G178" t="n">
        <v>3</v>
      </c>
      <c r="H178" t="n">
        <v>0</v>
      </c>
      <c r="I178" t="n">
        <v>0</v>
      </c>
      <c r="J178" t="n">
        <v>0</v>
      </c>
      <c r="K178" t="n">
        <v>0</v>
      </c>
      <c r="L178" t="n">
        <v>0</v>
      </c>
      <c r="M178" t="n">
        <v>0</v>
      </c>
      <c r="N178" t="n">
        <v>0</v>
      </c>
      <c r="O178" t="n">
        <v>0</v>
      </c>
      <c r="P178" t="n">
        <v>0</v>
      </c>
      <c r="Q178" t="n">
        <v>0</v>
      </c>
      <c r="R178" s="2" t="inlineStr"/>
    </row>
    <row r="179" ht="15" customHeight="1">
      <c r="A179" t="inlineStr">
        <is>
          <t>A 61298-2021</t>
        </is>
      </c>
      <c r="B179" s="1" t="n">
        <v>44498.62533564815</v>
      </c>
      <c r="C179" s="1" t="n">
        <v>46178</v>
      </c>
      <c r="D179" t="inlineStr">
        <is>
          <t>ÖSTERGÖTLANDS LÄN</t>
        </is>
      </c>
      <c r="E179" t="inlineStr">
        <is>
          <t>LINKÖPING</t>
        </is>
      </c>
      <c r="G179" t="n">
        <v>4.3</v>
      </c>
      <c r="H179" t="n">
        <v>0</v>
      </c>
      <c r="I179" t="n">
        <v>0</v>
      </c>
      <c r="J179" t="n">
        <v>0</v>
      </c>
      <c r="K179" t="n">
        <v>0</v>
      </c>
      <c r="L179" t="n">
        <v>0</v>
      </c>
      <c r="M179" t="n">
        <v>0</v>
      </c>
      <c r="N179" t="n">
        <v>0</v>
      </c>
      <c r="O179" t="n">
        <v>0</v>
      </c>
      <c r="P179" t="n">
        <v>0</v>
      </c>
      <c r="Q179" t="n">
        <v>0</v>
      </c>
      <c r="R179" s="2" t="inlineStr"/>
    </row>
    <row r="180" ht="15" customHeight="1">
      <c r="A180" t="inlineStr">
        <is>
          <t>A 12412-2022</t>
        </is>
      </c>
      <c r="B180" s="1" t="n">
        <v>44638</v>
      </c>
      <c r="C180" s="1" t="n">
        <v>46178</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61333-2021</t>
        </is>
      </c>
      <c r="B181" s="1" t="n">
        <v>44498.6764699074</v>
      </c>
      <c r="C181" s="1" t="n">
        <v>46178</v>
      </c>
      <c r="D181" t="inlineStr">
        <is>
          <t>ÖSTERGÖTLANDS LÄN</t>
        </is>
      </c>
      <c r="E181" t="inlineStr">
        <is>
          <t>LINKÖPING</t>
        </is>
      </c>
      <c r="G181" t="n">
        <v>7.5</v>
      </c>
      <c r="H181" t="n">
        <v>0</v>
      </c>
      <c r="I181" t="n">
        <v>0</v>
      </c>
      <c r="J181" t="n">
        <v>0</v>
      </c>
      <c r="K181" t="n">
        <v>0</v>
      </c>
      <c r="L181" t="n">
        <v>0</v>
      </c>
      <c r="M181" t="n">
        <v>0</v>
      </c>
      <c r="N181" t="n">
        <v>0</v>
      </c>
      <c r="O181" t="n">
        <v>0</v>
      </c>
      <c r="P181" t="n">
        <v>0</v>
      </c>
      <c r="Q181" t="n">
        <v>0</v>
      </c>
      <c r="R181" s="2" t="inlineStr"/>
    </row>
    <row r="182" ht="15" customHeight="1">
      <c r="A182" t="inlineStr">
        <is>
          <t>A 32255-2021</t>
        </is>
      </c>
      <c r="B182" s="1" t="n">
        <v>44371.45949074074</v>
      </c>
      <c r="C182" s="1" t="n">
        <v>46178</v>
      </c>
      <c r="D182" t="inlineStr">
        <is>
          <t>ÖSTERGÖTLANDS LÄN</t>
        </is>
      </c>
      <c r="E182" t="inlineStr">
        <is>
          <t>LINKÖPING</t>
        </is>
      </c>
      <c r="F182" t="inlineStr">
        <is>
          <t>Övriga Aktiebolag</t>
        </is>
      </c>
      <c r="G182" t="n">
        <v>1.1</v>
      </c>
      <c r="H182" t="n">
        <v>0</v>
      </c>
      <c r="I182" t="n">
        <v>0</v>
      </c>
      <c r="J182" t="n">
        <v>0</v>
      </c>
      <c r="K182" t="n">
        <v>0</v>
      </c>
      <c r="L182" t="n">
        <v>0</v>
      </c>
      <c r="M182" t="n">
        <v>0</v>
      </c>
      <c r="N182" t="n">
        <v>0</v>
      </c>
      <c r="O182" t="n">
        <v>0</v>
      </c>
      <c r="P182" t="n">
        <v>0</v>
      </c>
      <c r="Q182" t="n">
        <v>0</v>
      </c>
      <c r="R182" s="2" t="inlineStr"/>
    </row>
    <row r="183" ht="15" customHeight="1">
      <c r="A183" t="inlineStr">
        <is>
          <t>A 34880-2022</t>
        </is>
      </c>
      <c r="B183" s="1" t="n">
        <v>44796</v>
      </c>
      <c r="C183" s="1" t="n">
        <v>46178</v>
      </c>
      <c r="D183" t="inlineStr">
        <is>
          <t>ÖSTERGÖTLANDS LÄN</t>
        </is>
      </c>
      <c r="E183" t="inlineStr">
        <is>
          <t>LINKÖPING</t>
        </is>
      </c>
      <c r="F183" t="inlineStr">
        <is>
          <t>Övriga statliga verk och myndigheter</t>
        </is>
      </c>
      <c r="G183" t="n">
        <v>4</v>
      </c>
      <c r="H183" t="n">
        <v>0</v>
      </c>
      <c r="I183" t="n">
        <v>0</v>
      </c>
      <c r="J183" t="n">
        <v>0</v>
      </c>
      <c r="K183" t="n">
        <v>0</v>
      </c>
      <c r="L183" t="n">
        <v>0</v>
      </c>
      <c r="M183" t="n">
        <v>0</v>
      </c>
      <c r="N183" t="n">
        <v>0</v>
      </c>
      <c r="O183" t="n">
        <v>0</v>
      </c>
      <c r="P183" t="n">
        <v>0</v>
      </c>
      <c r="Q183" t="n">
        <v>0</v>
      </c>
      <c r="R183" s="2" t="inlineStr"/>
    </row>
    <row r="184" ht="15" customHeight="1">
      <c r="A184" t="inlineStr">
        <is>
          <t>A 48042-2022</t>
        </is>
      </c>
      <c r="B184" s="1" t="n">
        <v>44855</v>
      </c>
      <c r="C184" s="1" t="n">
        <v>46178</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38235-2022</t>
        </is>
      </c>
      <c r="B185" s="1" t="n">
        <v>44812</v>
      </c>
      <c r="C185" s="1" t="n">
        <v>46178</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34558-2022</t>
        </is>
      </c>
      <c r="B186" s="1" t="n">
        <v>44794.57594907407</v>
      </c>
      <c r="C186" s="1" t="n">
        <v>46178</v>
      </c>
      <c r="D186" t="inlineStr">
        <is>
          <t>ÖSTERGÖTLANDS LÄN</t>
        </is>
      </c>
      <c r="E186" t="inlineStr">
        <is>
          <t>LINKÖPING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63489-2023</t>
        </is>
      </c>
      <c r="B187" s="1" t="n">
        <v>45274.66761574074</v>
      </c>
      <c r="C187" s="1" t="n">
        <v>46178</v>
      </c>
      <c r="D187" t="inlineStr">
        <is>
          <t>ÖSTERGÖTLANDS LÄN</t>
        </is>
      </c>
      <c r="E187" t="inlineStr">
        <is>
          <t>LINKÖPING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28266-2024</t>
        </is>
      </c>
      <c r="B188" s="1" t="n">
        <v>45477.43600694444</v>
      </c>
      <c r="C188" s="1" t="n">
        <v>46178</v>
      </c>
      <c r="D188" t="inlineStr">
        <is>
          <t>ÖSTERGÖTLANDS LÄN</t>
        </is>
      </c>
      <c r="E188" t="inlineStr">
        <is>
          <t>LINKÖPING</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22772-2024</t>
        </is>
      </c>
      <c r="B189" s="1" t="n">
        <v>45448.46712962963</v>
      </c>
      <c r="C189" s="1" t="n">
        <v>46178</v>
      </c>
      <c r="D189" t="inlineStr">
        <is>
          <t>ÖSTERGÖTLANDS LÄN</t>
        </is>
      </c>
      <c r="E189" t="inlineStr">
        <is>
          <t>LINKÖPING</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54845-2023</t>
        </is>
      </c>
      <c r="B190" s="1" t="n">
        <v>45236</v>
      </c>
      <c r="C190" s="1" t="n">
        <v>46178</v>
      </c>
      <c r="D190" t="inlineStr">
        <is>
          <t>ÖSTERGÖTLANDS LÄN</t>
        </is>
      </c>
      <c r="E190" t="inlineStr">
        <is>
          <t>LINKÖPING</t>
        </is>
      </c>
      <c r="F190" t="inlineStr">
        <is>
          <t>Övriga Aktiebolag</t>
        </is>
      </c>
      <c r="G190" t="n">
        <v>5.7</v>
      </c>
      <c r="H190" t="n">
        <v>0</v>
      </c>
      <c r="I190" t="n">
        <v>0</v>
      </c>
      <c r="J190" t="n">
        <v>0</v>
      </c>
      <c r="K190" t="n">
        <v>0</v>
      </c>
      <c r="L190" t="n">
        <v>0</v>
      </c>
      <c r="M190" t="n">
        <v>0</v>
      </c>
      <c r="N190" t="n">
        <v>0</v>
      </c>
      <c r="O190" t="n">
        <v>0</v>
      </c>
      <c r="P190" t="n">
        <v>0</v>
      </c>
      <c r="Q190" t="n">
        <v>0</v>
      </c>
      <c r="R190" s="2" t="inlineStr"/>
    </row>
    <row r="191" ht="15" customHeight="1">
      <c r="A191" t="inlineStr">
        <is>
          <t>A 3008-2023</t>
        </is>
      </c>
      <c r="B191" s="1" t="n">
        <v>44945.79784722222</v>
      </c>
      <c r="C191" s="1" t="n">
        <v>46178</v>
      </c>
      <c r="D191" t="inlineStr">
        <is>
          <t>ÖSTERGÖTLANDS LÄN</t>
        </is>
      </c>
      <c r="E191" t="inlineStr">
        <is>
          <t>LINKÖPING</t>
        </is>
      </c>
      <c r="G191" t="n">
        <v>19.3</v>
      </c>
      <c r="H191" t="n">
        <v>0</v>
      </c>
      <c r="I191" t="n">
        <v>0</v>
      </c>
      <c r="J191" t="n">
        <v>0</v>
      </c>
      <c r="K191" t="n">
        <v>0</v>
      </c>
      <c r="L191" t="n">
        <v>0</v>
      </c>
      <c r="M191" t="n">
        <v>0</v>
      </c>
      <c r="N191" t="n">
        <v>0</v>
      </c>
      <c r="O191" t="n">
        <v>0</v>
      </c>
      <c r="P191" t="n">
        <v>0</v>
      </c>
      <c r="Q191" t="n">
        <v>0</v>
      </c>
      <c r="R191" s="2" t="inlineStr"/>
    </row>
    <row r="192" ht="15" customHeight="1">
      <c r="A192" t="inlineStr">
        <is>
          <t>A 12035-2025</t>
        </is>
      </c>
      <c r="B192" s="1" t="n">
        <v>45728.64946759259</v>
      </c>
      <c r="C192" s="1" t="n">
        <v>46178</v>
      </c>
      <c r="D192" t="inlineStr">
        <is>
          <t>ÖSTERGÖTLANDS LÄN</t>
        </is>
      </c>
      <c r="E192" t="inlineStr">
        <is>
          <t>LINKÖPING</t>
        </is>
      </c>
      <c r="G192" t="n">
        <v>3.7</v>
      </c>
      <c r="H192" t="n">
        <v>0</v>
      </c>
      <c r="I192" t="n">
        <v>0</v>
      </c>
      <c r="J192" t="n">
        <v>0</v>
      </c>
      <c r="K192" t="n">
        <v>0</v>
      </c>
      <c r="L192" t="n">
        <v>0</v>
      </c>
      <c r="M192" t="n">
        <v>0</v>
      </c>
      <c r="N192" t="n">
        <v>0</v>
      </c>
      <c r="O192" t="n">
        <v>0</v>
      </c>
      <c r="P192" t="n">
        <v>0</v>
      </c>
      <c r="Q192" t="n">
        <v>0</v>
      </c>
      <c r="R192" s="2" t="inlineStr"/>
    </row>
    <row r="193" ht="15" customHeight="1">
      <c r="A193" t="inlineStr">
        <is>
          <t>A 62488-2023</t>
        </is>
      </c>
      <c r="B193" s="1" t="n">
        <v>45268.5847337963</v>
      </c>
      <c r="C193" s="1" t="n">
        <v>46178</v>
      </c>
      <c r="D193" t="inlineStr">
        <is>
          <t>ÖSTERGÖTLANDS LÄN</t>
        </is>
      </c>
      <c r="E193" t="inlineStr">
        <is>
          <t>LINKÖPING</t>
        </is>
      </c>
      <c r="G193" t="n">
        <v>4.1</v>
      </c>
      <c r="H193" t="n">
        <v>0</v>
      </c>
      <c r="I193" t="n">
        <v>0</v>
      </c>
      <c r="J193" t="n">
        <v>0</v>
      </c>
      <c r="K193" t="n">
        <v>0</v>
      </c>
      <c r="L193" t="n">
        <v>0</v>
      </c>
      <c r="M193" t="n">
        <v>0</v>
      </c>
      <c r="N193" t="n">
        <v>0</v>
      </c>
      <c r="O193" t="n">
        <v>0</v>
      </c>
      <c r="P193" t="n">
        <v>0</v>
      </c>
      <c r="Q193" t="n">
        <v>0</v>
      </c>
      <c r="R193" s="2" t="inlineStr"/>
    </row>
    <row r="194" ht="15" customHeight="1">
      <c r="A194" t="inlineStr">
        <is>
          <t>A 20455-2024</t>
        </is>
      </c>
      <c r="B194" s="1" t="n">
        <v>45435.65314814815</v>
      </c>
      <c r="C194" s="1" t="n">
        <v>46178</v>
      </c>
      <c r="D194" t="inlineStr">
        <is>
          <t>ÖSTERGÖTLANDS LÄN</t>
        </is>
      </c>
      <c r="E194" t="inlineStr">
        <is>
          <t>LINKÖPING</t>
        </is>
      </c>
      <c r="G194" t="n">
        <v>2.6</v>
      </c>
      <c r="H194" t="n">
        <v>0</v>
      </c>
      <c r="I194" t="n">
        <v>0</v>
      </c>
      <c r="J194" t="n">
        <v>0</v>
      </c>
      <c r="K194" t="n">
        <v>0</v>
      </c>
      <c r="L194" t="n">
        <v>0</v>
      </c>
      <c r="M194" t="n">
        <v>0</v>
      </c>
      <c r="N194" t="n">
        <v>0</v>
      </c>
      <c r="O194" t="n">
        <v>0</v>
      </c>
      <c r="P194" t="n">
        <v>0</v>
      </c>
      <c r="Q194" t="n">
        <v>0</v>
      </c>
      <c r="R194" s="2" t="inlineStr"/>
    </row>
    <row r="195" ht="15" customHeight="1">
      <c r="A195" t="inlineStr">
        <is>
          <t>A 24351-2024</t>
        </is>
      </c>
      <c r="B195" s="1" t="n">
        <v>45457.59011574074</v>
      </c>
      <c r="C195" s="1" t="n">
        <v>46178</v>
      </c>
      <c r="D195" t="inlineStr">
        <is>
          <t>ÖSTERGÖTLANDS LÄN</t>
        </is>
      </c>
      <c r="E195" t="inlineStr">
        <is>
          <t>LINKÖPING</t>
        </is>
      </c>
      <c r="G195" t="n">
        <v>11.9</v>
      </c>
      <c r="H195" t="n">
        <v>0</v>
      </c>
      <c r="I195" t="n">
        <v>0</v>
      </c>
      <c r="J195" t="n">
        <v>0</v>
      </c>
      <c r="K195" t="n">
        <v>0</v>
      </c>
      <c r="L195" t="n">
        <v>0</v>
      </c>
      <c r="M195" t="n">
        <v>0</v>
      </c>
      <c r="N195" t="n">
        <v>0</v>
      </c>
      <c r="O195" t="n">
        <v>0</v>
      </c>
      <c r="P195" t="n">
        <v>0</v>
      </c>
      <c r="Q195" t="n">
        <v>0</v>
      </c>
      <c r="R195" s="2" t="inlineStr"/>
    </row>
    <row r="196" ht="15" customHeight="1">
      <c r="A196" t="inlineStr">
        <is>
          <t>A 224-2024</t>
        </is>
      </c>
      <c r="B196" s="1" t="n">
        <v>45294</v>
      </c>
      <c r="C196" s="1" t="n">
        <v>46178</v>
      </c>
      <c r="D196" t="inlineStr">
        <is>
          <t>ÖSTERGÖTLANDS LÄN</t>
        </is>
      </c>
      <c r="E196" t="inlineStr">
        <is>
          <t>LINKÖPING</t>
        </is>
      </c>
      <c r="G196" t="n">
        <v>2.8</v>
      </c>
      <c r="H196" t="n">
        <v>0</v>
      </c>
      <c r="I196" t="n">
        <v>0</v>
      </c>
      <c r="J196" t="n">
        <v>0</v>
      </c>
      <c r="K196" t="n">
        <v>0</v>
      </c>
      <c r="L196" t="n">
        <v>0</v>
      </c>
      <c r="M196" t="n">
        <v>0</v>
      </c>
      <c r="N196" t="n">
        <v>0</v>
      </c>
      <c r="O196" t="n">
        <v>0</v>
      </c>
      <c r="P196" t="n">
        <v>0</v>
      </c>
      <c r="Q196" t="n">
        <v>0</v>
      </c>
      <c r="R196" s="2" t="inlineStr"/>
    </row>
    <row r="197" ht="15" customHeight="1">
      <c r="A197" t="inlineStr">
        <is>
          <t>A 25418-2023</t>
        </is>
      </c>
      <c r="B197" s="1" t="n">
        <v>45089</v>
      </c>
      <c r="C197" s="1" t="n">
        <v>46178</v>
      </c>
      <c r="D197" t="inlineStr">
        <is>
          <t>ÖSTERGÖTLANDS LÄN</t>
        </is>
      </c>
      <c r="E197" t="inlineStr">
        <is>
          <t>LINKÖPING</t>
        </is>
      </c>
      <c r="F197" t="inlineStr">
        <is>
          <t>Övriga Aktiebolag</t>
        </is>
      </c>
      <c r="G197" t="n">
        <v>2.4</v>
      </c>
      <c r="H197" t="n">
        <v>0</v>
      </c>
      <c r="I197" t="n">
        <v>0</v>
      </c>
      <c r="J197" t="n">
        <v>0</v>
      </c>
      <c r="K197" t="n">
        <v>0</v>
      </c>
      <c r="L197" t="n">
        <v>0</v>
      </c>
      <c r="M197" t="n">
        <v>0</v>
      </c>
      <c r="N197" t="n">
        <v>0</v>
      </c>
      <c r="O197" t="n">
        <v>0</v>
      </c>
      <c r="P197" t="n">
        <v>0</v>
      </c>
      <c r="Q197" t="n">
        <v>0</v>
      </c>
      <c r="R197" s="2" t="inlineStr"/>
    </row>
    <row r="198" ht="15" customHeight="1">
      <c r="A198" t="inlineStr">
        <is>
          <t>A 34877-2023</t>
        </is>
      </c>
      <c r="B198" s="1" t="n">
        <v>45140</v>
      </c>
      <c r="C198" s="1" t="n">
        <v>46178</v>
      </c>
      <c r="D198" t="inlineStr">
        <is>
          <t>ÖSTERGÖTLANDS LÄN</t>
        </is>
      </c>
      <c r="E198" t="inlineStr">
        <is>
          <t>LINKÖPING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30855-2022</t>
        </is>
      </c>
      <c r="B199" s="1" t="n">
        <v>44767</v>
      </c>
      <c r="C199" s="1" t="n">
        <v>46178</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30856-2022</t>
        </is>
      </c>
      <c r="B200" s="1" t="n">
        <v>44767</v>
      </c>
      <c r="C200" s="1" t="n">
        <v>46178</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57745-2022</t>
        </is>
      </c>
      <c r="B201" s="1" t="n">
        <v>44897.58119212963</v>
      </c>
      <c r="C201" s="1" t="n">
        <v>46178</v>
      </c>
      <c r="D201" t="inlineStr">
        <is>
          <t>ÖSTERGÖTLANDS LÄN</t>
        </is>
      </c>
      <c r="E201" t="inlineStr">
        <is>
          <t>LINKÖPING</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1993-2023</t>
        </is>
      </c>
      <c r="B202" s="1" t="n">
        <v>44939</v>
      </c>
      <c r="C202" s="1" t="n">
        <v>46178</v>
      </c>
      <c r="D202" t="inlineStr">
        <is>
          <t>ÖSTERGÖTLANDS LÄN</t>
        </is>
      </c>
      <c r="E202" t="inlineStr">
        <is>
          <t>LINKÖPING</t>
        </is>
      </c>
      <c r="G202" t="n">
        <v>3.7</v>
      </c>
      <c r="H202" t="n">
        <v>0</v>
      </c>
      <c r="I202" t="n">
        <v>0</v>
      </c>
      <c r="J202" t="n">
        <v>0</v>
      </c>
      <c r="K202" t="n">
        <v>0</v>
      </c>
      <c r="L202" t="n">
        <v>0</v>
      </c>
      <c r="M202" t="n">
        <v>0</v>
      </c>
      <c r="N202" t="n">
        <v>0</v>
      </c>
      <c r="O202" t="n">
        <v>0</v>
      </c>
      <c r="P202" t="n">
        <v>0</v>
      </c>
      <c r="Q202" t="n">
        <v>0</v>
      </c>
      <c r="R202" s="2" t="inlineStr"/>
    </row>
    <row r="203" ht="15" customHeight="1">
      <c r="A203" t="inlineStr">
        <is>
          <t>A 52220-2023</t>
        </is>
      </c>
      <c r="B203" s="1" t="n">
        <v>45217</v>
      </c>
      <c r="C203" s="1" t="n">
        <v>46178</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52225-2023</t>
        </is>
      </c>
      <c r="B204" s="1" t="n">
        <v>45217</v>
      </c>
      <c r="C204" s="1" t="n">
        <v>46178</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22771-2024</t>
        </is>
      </c>
      <c r="B205" s="1" t="n">
        <v>45448.46574074074</v>
      </c>
      <c r="C205" s="1" t="n">
        <v>46178</v>
      </c>
      <c r="D205" t="inlineStr">
        <is>
          <t>ÖSTERGÖTLANDS LÄN</t>
        </is>
      </c>
      <c r="E205" t="inlineStr">
        <is>
          <t>LINKÖPING</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42832-2023</t>
        </is>
      </c>
      <c r="B206" s="1" t="n">
        <v>45182.38091435185</v>
      </c>
      <c r="C206" s="1" t="n">
        <v>46178</v>
      </c>
      <c r="D206" t="inlineStr">
        <is>
          <t>ÖSTERGÖTLANDS LÄN</t>
        </is>
      </c>
      <c r="E206" t="inlineStr">
        <is>
          <t>LINKÖPING</t>
        </is>
      </c>
      <c r="G206" t="n">
        <v>2.5</v>
      </c>
      <c r="H206" t="n">
        <v>0</v>
      </c>
      <c r="I206" t="n">
        <v>0</v>
      </c>
      <c r="J206" t="n">
        <v>0</v>
      </c>
      <c r="K206" t="n">
        <v>0</v>
      </c>
      <c r="L206" t="n">
        <v>0</v>
      </c>
      <c r="M206" t="n">
        <v>0</v>
      </c>
      <c r="N206" t="n">
        <v>0</v>
      </c>
      <c r="O206" t="n">
        <v>0</v>
      </c>
      <c r="P206" t="n">
        <v>0</v>
      </c>
      <c r="Q206" t="n">
        <v>0</v>
      </c>
      <c r="R206" s="2" t="inlineStr"/>
    </row>
    <row r="207" ht="15" customHeight="1">
      <c r="A207" t="inlineStr">
        <is>
          <t>A 56560-2023</t>
        </is>
      </c>
      <c r="B207" s="1" t="n">
        <v>45238</v>
      </c>
      <c r="C207" s="1" t="n">
        <v>46178</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52412-2023</t>
        </is>
      </c>
      <c r="B208" s="1" t="n">
        <v>45225.27888888889</v>
      </c>
      <c r="C208" s="1" t="n">
        <v>46178</v>
      </c>
      <c r="D208" t="inlineStr">
        <is>
          <t>ÖSTERGÖTLANDS LÄN</t>
        </is>
      </c>
      <c r="E208" t="inlineStr">
        <is>
          <t>LINKÖPING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52413-2023</t>
        </is>
      </c>
      <c r="B209" s="1" t="n">
        <v>45225.27950231481</v>
      </c>
      <c r="C209" s="1" t="n">
        <v>46178</v>
      </c>
      <c r="D209" t="inlineStr">
        <is>
          <t>ÖSTERGÖTLANDS LÄN</t>
        </is>
      </c>
      <c r="E209" t="inlineStr">
        <is>
          <t>LINKÖPING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7354-2025</t>
        </is>
      </c>
      <c r="B210" s="1" t="n">
        <v>45704.41174768518</v>
      </c>
      <c r="C210" s="1" t="n">
        <v>46178</v>
      </c>
      <c r="D210" t="inlineStr">
        <is>
          <t>ÖSTERGÖTLANDS LÄN</t>
        </is>
      </c>
      <c r="E210" t="inlineStr">
        <is>
          <t>LINKÖPING</t>
        </is>
      </c>
      <c r="G210" t="n">
        <v>4.8</v>
      </c>
      <c r="H210" t="n">
        <v>0</v>
      </c>
      <c r="I210" t="n">
        <v>0</v>
      </c>
      <c r="J210" t="n">
        <v>0</v>
      </c>
      <c r="K210" t="n">
        <v>0</v>
      </c>
      <c r="L210" t="n">
        <v>0</v>
      </c>
      <c r="M210" t="n">
        <v>0</v>
      </c>
      <c r="N210" t="n">
        <v>0</v>
      </c>
      <c r="O210" t="n">
        <v>0</v>
      </c>
      <c r="P210" t="n">
        <v>0</v>
      </c>
      <c r="Q210" t="n">
        <v>0</v>
      </c>
      <c r="R210" s="2" t="inlineStr"/>
    </row>
    <row r="211" ht="15" customHeight="1">
      <c r="A211" t="inlineStr">
        <is>
          <t>A 34928-2023</t>
        </is>
      </c>
      <c r="B211" s="1" t="n">
        <v>45142</v>
      </c>
      <c r="C211" s="1" t="n">
        <v>46178</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1263-2024</t>
        </is>
      </c>
      <c r="B212" s="1" t="n">
        <v>45302</v>
      </c>
      <c r="C212" s="1" t="n">
        <v>46178</v>
      </c>
      <c r="D212" t="inlineStr">
        <is>
          <t>ÖSTERGÖTLANDS LÄN</t>
        </is>
      </c>
      <c r="E212" t="inlineStr">
        <is>
          <t>LINKÖPING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52531-2023</t>
        </is>
      </c>
      <c r="B213" s="1" t="n">
        <v>45225</v>
      </c>
      <c r="C213" s="1" t="n">
        <v>46178</v>
      </c>
      <c r="D213" t="inlineStr">
        <is>
          <t>ÖSTERGÖTLANDS LÄN</t>
        </is>
      </c>
      <c r="E213" t="inlineStr">
        <is>
          <t>LINKÖPING</t>
        </is>
      </c>
      <c r="F213" t="inlineStr">
        <is>
          <t>Övriga Aktiebolag</t>
        </is>
      </c>
      <c r="G213" t="n">
        <v>1</v>
      </c>
      <c r="H213" t="n">
        <v>0</v>
      </c>
      <c r="I213" t="n">
        <v>0</v>
      </c>
      <c r="J213" t="n">
        <v>0</v>
      </c>
      <c r="K213" t="n">
        <v>0</v>
      </c>
      <c r="L213" t="n">
        <v>0</v>
      </c>
      <c r="M213" t="n">
        <v>0</v>
      </c>
      <c r="N213" t="n">
        <v>0</v>
      </c>
      <c r="O213" t="n">
        <v>0</v>
      </c>
      <c r="P213" t="n">
        <v>0</v>
      </c>
      <c r="Q213" t="n">
        <v>0</v>
      </c>
      <c r="R213" s="2" t="inlineStr"/>
    </row>
    <row r="214" ht="15" customHeight="1">
      <c r="A214" t="inlineStr">
        <is>
          <t>A 20293-2025</t>
        </is>
      </c>
      <c r="B214" s="1" t="n">
        <v>45774.74611111111</v>
      </c>
      <c r="C214" s="1" t="n">
        <v>46178</v>
      </c>
      <c r="D214" t="inlineStr">
        <is>
          <t>ÖSTERGÖTLANDS LÄN</t>
        </is>
      </c>
      <c r="E214" t="inlineStr">
        <is>
          <t>LINKÖPING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55945-2024</t>
        </is>
      </c>
      <c r="B215" s="1" t="n">
        <v>45623.61754629629</v>
      </c>
      <c r="C215" s="1" t="n">
        <v>46178</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63665-2023</t>
        </is>
      </c>
      <c r="B216" s="1" t="n">
        <v>45275</v>
      </c>
      <c r="C216" s="1" t="n">
        <v>46178</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33867-2023</t>
        </is>
      </c>
      <c r="B217" s="1" t="n">
        <v>45133.94640046296</v>
      </c>
      <c r="C217" s="1" t="n">
        <v>46178</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30985-2022</t>
        </is>
      </c>
      <c r="B218" s="1" t="n">
        <v>44768</v>
      </c>
      <c r="C218" s="1" t="n">
        <v>46178</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38317-2024</t>
        </is>
      </c>
      <c r="B219" s="1" t="n">
        <v>45545.65766203704</v>
      </c>
      <c r="C219" s="1" t="n">
        <v>46178</v>
      </c>
      <c r="D219" t="inlineStr">
        <is>
          <t>ÖSTERGÖTLANDS LÄN</t>
        </is>
      </c>
      <c r="E219" t="inlineStr">
        <is>
          <t>LINKÖPING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3041-2024</t>
        </is>
      </c>
      <c r="B220" s="1" t="n">
        <v>45316.34875</v>
      </c>
      <c r="C220" s="1" t="n">
        <v>46178</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50963-2021</t>
        </is>
      </c>
      <c r="B221" s="1" t="n">
        <v>44460</v>
      </c>
      <c r="C221" s="1" t="n">
        <v>46178</v>
      </c>
      <c r="D221" t="inlineStr">
        <is>
          <t>ÖSTERGÖTLANDS LÄN</t>
        </is>
      </c>
      <c r="E221" t="inlineStr">
        <is>
          <t>LINKÖPING</t>
        </is>
      </c>
      <c r="G221" t="n">
        <v>4.4</v>
      </c>
      <c r="H221" t="n">
        <v>0</v>
      </c>
      <c r="I221" t="n">
        <v>0</v>
      </c>
      <c r="J221" t="n">
        <v>0</v>
      </c>
      <c r="K221" t="n">
        <v>0</v>
      </c>
      <c r="L221" t="n">
        <v>0</v>
      </c>
      <c r="M221" t="n">
        <v>0</v>
      </c>
      <c r="N221" t="n">
        <v>0</v>
      </c>
      <c r="O221" t="n">
        <v>0</v>
      </c>
      <c r="P221" t="n">
        <v>0</v>
      </c>
      <c r="Q221" t="n">
        <v>0</v>
      </c>
      <c r="R221" s="2" t="inlineStr"/>
    </row>
    <row r="222" ht="15" customHeight="1">
      <c r="A222" t="inlineStr">
        <is>
          <t>A 61307-2021</t>
        </is>
      </c>
      <c r="B222" s="1" t="n">
        <v>44498.63928240741</v>
      </c>
      <c r="C222" s="1" t="n">
        <v>46178</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61325-2021</t>
        </is>
      </c>
      <c r="B223" s="1" t="n">
        <v>44498.66814814815</v>
      </c>
      <c r="C223" s="1" t="n">
        <v>46178</v>
      </c>
      <c r="D223" t="inlineStr">
        <is>
          <t>ÖSTERGÖTLANDS LÄN</t>
        </is>
      </c>
      <c r="E223" t="inlineStr">
        <is>
          <t>LINKÖPING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60001-2022</t>
        </is>
      </c>
      <c r="B224" s="1" t="n">
        <v>44909.47087962963</v>
      </c>
      <c r="C224" s="1" t="n">
        <v>46178</v>
      </c>
      <c r="D224" t="inlineStr">
        <is>
          <t>ÖSTERGÖTLANDS LÄN</t>
        </is>
      </c>
      <c r="E224" t="inlineStr">
        <is>
          <t>LINKÖPING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60013-2022</t>
        </is>
      </c>
      <c r="B225" s="1" t="n">
        <v>44909.47482638889</v>
      </c>
      <c r="C225" s="1" t="n">
        <v>46178</v>
      </c>
      <c r="D225" t="inlineStr">
        <is>
          <t>ÖSTERGÖTLANDS LÄN</t>
        </is>
      </c>
      <c r="E225" t="inlineStr">
        <is>
          <t>LINKÖPING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58947-2022</t>
        </is>
      </c>
      <c r="B226" s="1" t="n">
        <v>44903.64769675926</v>
      </c>
      <c r="C226" s="1" t="n">
        <v>46178</v>
      </c>
      <c r="D226" t="inlineStr">
        <is>
          <t>ÖSTERGÖTLANDS LÄN</t>
        </is>
      </c>
      <c r="E226" t="inlineStr">
        <is>
          <t>LINKÖPING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16665-2023</t>
        </is>
      </c>
      <c r="B227" s="1" t="n">
        <v>45030.5583912037</v>
      </c>
      <c r="C227" s="1" t="n">
        <v>46178</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1211-2023</t>
        </is>
      </c>
      <c r="B228" s="1" t="n">
        <v>44930</v>
      </c>
      <c r="C228" s="1" t="n">
        <v>46178</v>
      </c>
      <c r="D228" t="inlineStr">
        <is>
          <t>ÖSTERGÖTLANDS LÄN</t>
        </is>
      </c>
      <c r="E228" t="inlineStr">
        <is>
          <t>LINKÖPING</t>
        </is>
      </c>
      <c r="F228" t="inlineStr">
        <is>
          <t>Övriga statliga verk och myndigheter</t>
        </is>
      </c>
      <c r="G228" t="n">
        <v>7.9</v>
      </c>
      <c r="H228" t="n">
        <v>0</v>
      </c>
      <c r="I228" t="n">
        <v>0</v>
      </c>
      <c r="J228" t="n">
        <v>0</v>
      </c>
      <c r="K228" t="n">
        <v>0</v>
      </c>
      <c r="L228" t="n">
        <v>0</v>
      </c>
      <c r="M228" t="n">
        <v>0</v>
      </c>
      <c r="N228" t="n">
        <v>0</v>
      </c>
      <c r="O228" t="n">
        <v>0</v>
      </c>
      <c r="P228" t="n">
        <v>0</v>
      </c>
      <c r="Q228" t="n">
        <v>0</v>
      </c>
      <c r="R228" s="2" t="inlineStr"/>
    </row>
    <row r="229" ht="15" customHeight="1">
      <c r="A229" t="inlineStr">
        <is>
          <t>A 13911-2025</t>
        </is>
      </c>
      <c r="B229" s="1" t="n">
        <v>45737.64784722222</v>
      </c>
      <c r="C229" s="1" t="n">
        <v>46178</v>
      </c>
      <c r="D229" t="inlineStr">
        <is>
          <t>ÖSTERGÖTLANDS LÄN</t>
        </is>
      </c>
      <c r="E229" t="inlineStr">
        <is>
          <t>LINKÖPING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38136-2023</t>
        </is>
      </c>
      <c r="B230" s="1" t="n">
        <v>45161.37310185185</v>
      </c>
      <c r="C230" s="1" t="n">
        <v>46178</v>
      </c>
      <c r="D230" t="inlineStr">
        <is>
          <t>ÖSTERGÖTLANDS LÄN</t>
        </is>
      </c>
      <c r="E230" t="inlineStr">
        <is>
          <t>LINKÖPING</t>
        </is>
      </c>
      <c r="G230" t="n">
        <v>5.6</v>
      </c>
      <c r="H230" t="n">
        <v>0</v>
      </c>
      <c r="I230" t="n">
        <v>0</v>
      </c>
      <c r="J230" t="n">
        <v>0</v>
      </c>
      <c r="K230" t="n">
        <v>0</v>
      </c>
      <c r="L230" t="n">
        <v>0</v>
      </c>
      <c r="M230" t="n">
        <v>0</v>
      </c>
      <c r="N230" t="n">
        <v>0</v>
      </c>
      <c r="O230" t="n">
        <v>0</v>
      </c>
      <c r="P230" t="n">
        <v>0</v>
      </c>
      <c r="Q230" t="n">
        <v>0</v>
      </c>
      <c r="R230" s="2" t="inlineStr"/>
    </row>
    <row r="231" ht="15" customHeight="1">
      <c r="A231" t="inlineStr">
        <is>
          <t>A 36557-2023</t>
        </is>
      </c>
      <c r="B231" s="1" t="n">
        <v>45153</v>
      </c>
      <c r="C231" s="1" t="n">
        <v>46178</v>
      </c>
      <c r="D231" t="inlineStr">
        <is>
          <t>ÖSTERGÖTLANDS LÄN</t>
        </is>
      </c>
      <c r="E231" t="inlineStr">
        <is>
          <t>LINKÖPING</t>
        </is>
      </c>
      <c r="F231" t="inlineStr">
        <is>
          <t>Övriga Aktiebolag</t>
        </is>
      </c>
      <c r="G231" t="n">
        <v>3.1</v>
      </c>
      <c r="H231" t="n">
        <v>0</v>
      </c>
      <c r="I231" t="n">
        <v>0</v>
      </c>
      <c r="J231" t="n">
        <v>0</v>
      </c>
      <c r="K231" t="n">
        <v>0</v>
      </c>
      <c r="L231" t="n">
        <v>0</v>
      </c>
      <c r="M231" t="n">
        <v>0</v>
      </c>
      <c r="N231" t="n">
        <v>0</v>
      </c>
      <c r="O231" t="n">
        <v>0</v>
      </c>
      <c r="P231" t="n">
        <v>0</v>
      </c>
      <c r="Q231" t="n">
        <v>0</v>
      </c>
      <c r="R231" s="2" t="inlineStr"/>
    </row>
    <row r="232" ht="15" customHeight="1">
      <c r="A232" t="inlineStr">
        <is>
          <t>A 44280-2024</t>
        </is>
      </c>
      <c r="B232" s="1" t="n">
        <v>45573.49461805556</v>
      </c>
      <c r="C232" s="1" t="n">
        <v>46178</v>
      </c>
      <c r="D232" t="inlineStr">
        <is>
          <t>ÖSTERGÖTLANDS LÄN</t>
        </is>
      </c>
      <c r="E232" t="inlineStr">
        <is>
          <t>LINKÖPING</t>
        </is>
      </c>
      <c r="G232" t="n">
        <v>5.3</v>
      </c>
      <c r="H232" t="n">
        <v>0</v>
      </c>
      <c r="I232" t="n">
        <v>0</v>
      </c>
      <c r="J232" t="n">
        <v>0</v>
      </c>
      <c r="K232" t="n">
        <v>0</v>
      </c>
      <c r="L232" t="n">
        <v>0</v>
      </c>
      <c r="M232" t="n">
        <v>0</v>
      </c>
      <c r="N232" t="n">
        <v>0</v>
      </c>
      <c r="O232" t="n">
        <v>0</v>
      </c>
      <c r="P232" t="n">
        <v>0</v>
      </c>
      <c r="Q232" t="n">
        <v>0</v>
      </c>
      <c r="R232" s="2" t="inlineStr"/>
    </row>
    <row r="233" ht="15" customHeight="1">
      <c r="A233" t="inlineStr">
        <is>
          <t>A 2085-2024</t>
        </is>
      </c>
      <c r="B233" s="1" t="n">
        <v>45309</v>
      </c>
      <c r="C233" s="1" t="n">
        <v>46178</v>
      </c>
      <c r="D233" t="inlineStr">
        <is>
          <t>ÖSTERGÖTLANDS LÄN</t>
        </is>
      </c>
      <c r="E233" t="inlineStr">
        <is>
          <t>LINKÖPING</t>
        </is>
      </c>
      <c r="G233" t="n">
        <v>4.5</v>
      </c>
      <c r="H233" t="n">
        <v>0</v>
      </c>
      <c r="I233" t="n">
        <v>0</v>
      </c>
      <c r="J233" t="n">
        <v>0</v>
      </c>
      <c r="K233" t="n">
        <v>0</v>
      </c>
      <c r="L233" t="n">
        <v>0</v>
      </c>
      <c r="M233" t="n">
        <v>0</v>
      </c>
      <c r="N233" t="n">
        <v>0</v>
      </c>
      <c r="O233" t="n">
        <v>0</v>
      </c>
      <c r="P233" t="n">
        <v>0</v>
      </c>
      <c r="Q233" t="n">
        <v>0</v>
      </c>
      <c r="R233" s="2" t="inlineStr"/>
    </row>
    <row r="234" ht="15" customHeight="1">
      <c r="A234" t="inlineStr">
        <is>
          <t>A 30468-2023</t>
        </is>
      </c>
      <c r="B234" s="1" t="n">
        <v>45111.58732638889</v>
      </c>
      <c r="C234" s="1" t="n">
        <v>46178</v>
      </c>
      <c r="D234" t="inlineStr">
        <is>
          <t>ÖSTERGÖTLANDS LÄN</t>
        </is>
      </c>
      <c r="E234" t="inlineStr">
        <is>
          <t>LINKÖPING</t>
        </is>
      </c>
      <c r="G234" t="n">
        <v>10.1</v>
      </c>
      <c r="H234" t="n">
        <v>0</v>
      </c>
      <c r="I234" t="n">
        <v>0</v>
      </c>
      <c r="J234" t="n">
        <v>0</v>
      </c>
      <c r="K234" t="n">
        <v>0</v>
      </c>
      <c r="L234" t="n">
        <v>0</v>
      </c>
      <c r="M234" t="n">
        <v>0</v>
      </c>
      <c r="N234" t="n">
        <v>0</v>
      </c>
      <c r="O234" t="n">
        <v>0</v>
      </c>
      <c r="P234" t="n">
        <v>0</v>
      </c>
      <c r="Q234" t="n">
        <v>0</v>
      </c>
      <c r="R234" s="2" t="inlineStr"/>
    </row>
    <row r="235" ht="15" customHeight="1">
      <c r="A235" t="inlineStr">
        <is>
          <t>A 38715-2023</t>
        </is>
      </c>
      <c r="B235" s="1" t="n">
        <v>45160</v>
      </c>
      <c r="C235" s="1" t="n">
        <v>46178</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34864-2023</t>
        </is>
      </c>
      <c r="B236" s="1" t="n">
        <v>45141</v>
      </c>
      <c r="C236" s="1" t="n">
        <v>46178</v>
      </c>
      <c r="D236" t="inlineStr">
        <is>
          <t>ÖSTERGÖTLANDS LÄN</t>
        </is>
      </c>
      <c r="E236" t="inlineStr">
        <is>
          <t>LINKÖPING</t>
        </is>
      </c>
      <c r="G236" t="n">
        <v>3.3</v>
      </c>
      <c r="H236" t="n">
        <v>0</v>
      </c>
      <c r="I236" t="n">
        <v>0</v>
      </c>
      <c r="J236" t="n">
        <v>0</v>
      </c>
      <c r="K236" t="n">
        <v>0</v>
      </c>
      <c r="L236" t="n">
        <v>0</v>
      </c>
      <c r="M236" t="n">
        <v>0</v>
      </c>
      <c r="N236" t="n">
        <v>0</v>
      </c>
      <c r="O236" t="n">
        <v>0</v>
      </c>
      <c r="P236" t="n">
        <v>0</v>
      </c>
      <c r="Q236" t="n">
        <v>0</v>
      </c>
      <c r="R236" s="2" t="inlineStr"/>
    </row>
    <row r="237" ht="15" customHeight="1">
      <c r="A237" t="inlineStr">
        <is>
          <t>A 46687-2021</t>
        </is>
      </c>
      <c r="B237" s="1" t="n">
        <v>44445</v>
      </c>
      <c r="C237" s="1" t="n">
        <v>46178</v>
      </c>
      <c r="D237" t="inlineStr">
        <is>
          <t>ÖSTERGÖTLANDS LÄN</t>
        </is>
      </c>
      <c r="E237" t="inlineStr">
        <is>
          <t>LINKÖPING</t>
        </is>
      </c>
      <c r="F237" t="inlineStr">
        <is>
          <t>Övriga statliga verk och myndigheter</t>
        </is>
      </c>
      <c r="G237" t="n">
        <v>2.3</v>
      </c>
      <c r="H237" t="n">
        <v>0</v>
      </c>
      <c r="I237" t="n">
        <v>0</v>
      </c>
      <c r="J237" t="n">
        <v>0</v>
      </c>
      <c r="K237" t="n">
        <v>0</v>
      </c>
      <c r="L237" t="n">
        <v>0</v>
      </c>
      <c r="M237" t="n">
        <v>0</v>
      </c>
      <c r="N237" t="n">
        <v>0</v>
      </c>
      <c r="O237" t="n">
        <v>0</v>
      </c>
      <c r="P237" t="n">
        <v>0</v>
      </c>
      <c r="Q237" t="n">
        <v>0</v>
      </c>
      <c r="R237" s="2" t="inlineStr"/>
    </row>
    <row r="238" ht="15" customHeight="1">
      <c r="A238" t="inlineStr">
        <is>
          <t>A 17103-2025</t>
        </is>
      </c>
      <c r="B238" s="1" t="n">
        <v>45755.66143518518</v>
      </c>
      <c r="C238" s="1" t="n">
        <v>46178</v>
      </c>
      <c r="D238" t="inlineStr">
        <is>
          <t>ÖSTERGÖTLANDS LÄN</t>
        </is>
      </c>
      <c r="E238" t="inlineStr">
        <is>
          <t>LINKÖPING</t>
        </is>
      </c>
      <c r="G238" t="n">
        <v>1.9</v>
      </c>
      <c r="H238" t="n">
        <v>0</v>
      </c>
      <c r="I238" t="n">
        <v>0</v>
      </c>
      <c r="J238" t="n">
        <v>0</v>
      </c>
      <c r="K238" t="n">
        <v>0</v>
      </c>
      <c r="L238" t="n">
        <v>0</v>
      </c>
      <c r="M238" t="n">
        <v>0</v>
      </c>
      <c r="N238" t="n">
        <v>0</v>
      </c>
      <c r="O238" t="n">
        <v>0</v>
      </c>
      <c r="P238" t="n">
        <v>0</v>
      </c>
      <c r="Q238" t="n">
        <v>0</v>
      </c>
      <c r="R238" s="2" t="inlineStr"/>
    </row>
    <row r="239" ht="15" customHeight="1">
      <c r="A239" t="inlineStr">
        <is>
          <t>A 3008-2023</t>
        </is>
      </c>
      <c r="B239" s="1" t="n">
        <v>44945.79784722222</v>
      </c>
      <c r="C239" s="1" t="n">
        <v>46178</v>
      </c>
      <c r="D239" t="inlineStr">
        <is>
          <t>ÖSTERGÖTLANDS LÄN</t>
        </is>
      </c>
      <c r="E239" t="inlineStr">
        <is>
          <t>LINKÖPING</t>
        </is>
      </c>
      <c r="G239" t="n">
        <v>19.3</v>
      </c>
      <c r="H239" t="n">
        <v>0</v>
      </c>
      <c r="I239" t="n">
        <v>0</v>
      </c>
      <c r="J239" t="n">
        <v>0</v>
      </c>
      <c r="K239" t="n">
        <v>0</v>
      </c>
      <c r="L239" t="n">
        <v>0</v>
      </c>
      <c r="M239" t="n">
        <v>0</v>
      </c>
      <c r="N239" t="n">
        <v>0</v>
      </c>
      <c r="O239" t="n">
        <v>0</v>
      </c>
      <c r="P239" t="n">
        <v>0</v>
      </c>
      <c r="Q239" t="n">
        <v>0</v>
      </c>
      <c r="R239" s="2" t="inlineStr"/>
    </row>
    <row r="240" ht="15" customHeight="1">
      <c r="A240" t="inlineStr">
        <is>
          <t>A 26002-2025</t>
        </is>
      </c>
      <c r="B240" s="1" t="n">
        <v>45804.66534722222</v>
      </c>
      <c r="C240" s="1" t="n">
        <v>46178</v>
      </c>
      <c r="D240" t="inlineStr">
        <is>
          <t>ÖSTERGÖTLANDS LÄN</t>
        </is>
      </c>
      <c r="E240" t="inlineStr">
        <is>
          <t>LINKÖPING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40618-2021</t>
        </is>
      </c>
      <c r="B241" s="1" t="n">
        <v>44420.49575231481</v>
      </c>
      <c r="C241" s="1" t="n">
        <v>46178</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25996-2025</t>
        </is>
      </c>
      <c r="B242" s="1" t="n">
        <v>45804.65851851852</v>
      </c>
      <c r="C242" s="1" t="n">
        <v>46178</v>
      </c>
      <c r="D242" t="inlineStr">
        <is>
          <t>ÖSTERGÖTLANDS LÄN</t>
        </is>
      </c>
      <c r="E242" t="inlineStr">
        <is>
          <t>LINKÖPING</t>
        </is>
      </c>
      <c r="G242" t="n">
        <v>3.2</v>
      </c>
      <c r="H242" t="n">
        <v>0</v>
      </c>
      <c r="I242" t="n">
        <v>0</v>
      </c>
      <c r="J242" t="n">
        <v>0</v>
      </c>
      <c r="K242" t="n">
        <v>0</v>
      </c>
      <c r="L242" t="n">
        <v>0</v>
      </c>
      <c r="M242" t="n">
        <v>0</v>
      </c>
      <c r="N242" t="n">
        <v>0</v>
      </c>
      <c r="O242" t="n">
        <v>0</v>
      </c>
      <c r="P242" t="n">
        <v>0</v>
      </c>
      <c r="Q242" t="n">
        <v>0</v>
      </c>
      <c r="R242" s="2" t="inlineStr"/>
    </row>
    <row r="243" ht="15" customHeight="1">
      <c r="A243" t="inlineStr">
        <is>
          <t>A 56180-2024</t>
        </is>
      </c>
      <c r="B243" s="1" t="n">
        <v>45624.56611111111</v>
      </c>
      <c r="C243" s="1" t="n">
        <v>46178</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1223-2026</t>
        </is>
      </c>
      <c r="B244" s="1" t="n">
        <v>46031.40233796297</v>
      </c>
      <c r="C244" s="1" t="n">
        <v>46178</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858-2026</t>
        </is>
      </c>
      <c r="B245" s="1" t="n">
        <v>46030.41200231481</v>
      </c>
      <c r="C245" s="1" t="n">
        <v>46178</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873-2026</t>
        </is>
      </c>
      <c r="B246" s="1" t="n">
        <v>46030.43818287037</v>
      </c>
      <c r="C246" s="1" t="n">
        <v>46178</v>
      </c>
      <c r="D246" t="inlineStr">
        <is>
          <t>ÖSTERGÖTLANDS LÄN</t>
        </is>
      </c>
      <c r="E246" t="inlineStr">
        <is>
          <t>LINKÖPING</t>
        </is>
      </c>
      <c r="G246" t="n">
        <v>4.1</v>
      </c>
      <c r="H246" t="n">
        <v>0</v>
      </c>
      <c r="I246" t="n">
        <v>0</v>
      </c>
      <c r="J246" t="n">
        <v>0</v>
      </c>
      <c r="K246" t="n">
        <v>0</v>
      </c>
      <c r="L246" t="n">
        <v>0</v>
      </c>
      <c r="M246" t="n">
        <v>0</v>
      </c>
      <c r="N246" t="n">
        <v>0</v>
      </c>
      <c r="O246" t="n">
        <v>0</v>
      </c>
      <c r="P246" t="n">
        <v>0</v>
      </c>
      <c r="Q246" t="n">
        <v>0</v>
      </c>
      <c r="R246" s="2" t="inlineStr"/>
    </row>
    <row r="247" ht="15" customHeight="1">
      <c r="A247" t="inlineStr">
        <is>
          <t>A 856-2026</t>
        </is>
      </c>
      <c r="B247" s="1" t="n">
        <v>46030.40644675926</v>
      </c>
      <c r="C247" s="1" t="n">
        <v>46178</v>
      </c>
      <c r="D247" t="inlineStr">
        <is>
          <t>ÖSTERGÖTLANDS LÄN</t>
        </is>
      </c>
      <c r="E247" t="inlineStr">
        <is>
          <t>LINKÖPING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27264-2025</t>
        </is>
      </c>
      <c r="B248" s="1" t="n">
        <v>45812.4794212963</v>
      </c>
      <c r="C248" s="1" t="n">
        <v>46178</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860-2026</t>
        </is>
      </c>
      <c r="B249" s="1" t="n">
        <v>46030.41974537037</v>
      </c>
      <c r="C249" s="1" t="n">
        <v>46178</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72567-2021</t>
        </is>
      </c>
      <c r="B250" s="1" t="n">
        <v>44546.45023148148</v>
      </c>
      <c r="C250" s="1" t="n">
        <v>46178</v>
      </c>
      <c r="D250" t="inlineStr">
        <is>
          <t>ÖSTERGÖTLANDS LÄN</t>
        </is>
      </c>
      <c r="E250" t="inlineStr">
        <is>
          <t>LINKÖPING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940-2026</t>
        </is>
      </c>
      <c r="B251" s="1" t="n">
        <v>46030.53052083333</v>
      </c>
      <c r="C251" s="1" t="n">
        <v>46178</v>
      </c>
      <c r="D251" t="inlineStr">
        <is>
          <t>ÖSTERGÖTLANDS LÄN</t>
        </is>
      </c>
      <c r="E251" t="inlineStr">
        <is>
          <t>LINKÖPING</t>
        </is>
      </c>
      <c r="F251" t="inlineStr">
        <is>
          <t>Allmännings- och besparingsskogar</t>
        </is>
      </c>
      <c r="G251" t="n">
        <v>2.9</v>
      </c>
      <c r="H251" t="n">
        <v>0</v>
      </c>
      <c r="I251" t="n">
        <v>0</v>
      </c>
      <c r="J251" t="n">
        <v>0</v>
      </c>
      <c r="K251" t="n">
        <v>0</v>
      </c>
      <c r="L251" t="n">
        <v>0</v>
      </c>
      <c r="M251" t="n">
        <v>0</v>
      </c>
      <c r="N251" t="n">
        <v>0</v>
      </c>
      <c r="O251" t="n">
        <v>0</v>
      </c>
      <c r="P251" t="n">
        <v>0</v>
      </c>
      <c r="Q251" t="n">
        <v>0</v>
      </c>
      <c r="R251" s="2" t="inlineStr"/>
    </row>
    <row r="252" ht="15" customHeight="1">
      <c r="A252" t="inlineStr">
        <is>
          <t>A 944-2026</t>
        </is>
      </c>
      <c r="B252" s="1" t="n">
        <v>46030.53461805556</v>
      </c>
      <c r="C252" s="1" t="n">
        <v>46178</v>
      </c>
      <c r="D252" t="inlineStr">
        <is>
          <t>ÖSTERGÖTLANDS LÄN</t>
        </is>
      </c>
      <c r="E252" t="inlineStr">
        <is>
          <t>LINKÖPING</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30471-2023</t>
        </is>
      </c>
      <c r="B253" s="1" t="n">
        <v>45111.58931712963</v>
      </c>
      <c r="C253" s="1" t="n">
        <v>46178</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927-2026</t>
        </is>
      </c>
      <c r="B254" s="1" t="n">
        <v>46030.50560185185</v>
      </c>
      <c r="C254" s="1" t="n">
        <v>46178</v>
      </c>
      <c r="D254" t="inlineStr">
        <is>
          <t>ÖSTERGÖTLANDS LÄN</t>
        </is>
      </c>
      <c r="E254" t="inlineStr">
        <is>
          <t>LINKÖPING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859-2026</t>
        </is>
      </c>
      <c r="B255" s="1" t="n">
        <v>46030.41450231482</v>
      </c>
      <c r="C255" s="1" t="n">
        <v>46178</v>
      </c>
      <c r="D255" t="inlineStr">
        <is>
          <t>ÖSTERGÖTLANDS LÄN</t>
        </is>
      </c>
      <c r="E255" t="inlineStr">
        <is>
          <t>LINKÖPING</t>
        </is>
      </c>
      <c r="G255" t="n">
        <v>0.2</v>
      </c>
      <c r="H255" t="n">
        <v>0</v>
      </c>
      <c r="I255" t="n">
        <v>0</v>
      </c>
      <c r="J255" t="n">
        <v>0</v>
      </c>
      <c r="K255" t="n">
        <v>0</v>
      </c>
      <c r="L255" t="n">
        <v>0</v>
      </c>
      <c r="M255" t="n">
        <v>0</v>
      </c>
      <c r="N255" t="n">
        <v>0</v>
      </c>
      <c r="O255" t="n">
        <v>0</v>
      </c>
      <c r="P255" t="n">
        <v>0</v>
      </c>
      <c r="Q255" t="n">
        <v>0</v>
      </c>
      <c r="R255" s="2" t="inlineStr"/>
    </row>
    <row r="256" ht="15" customHeight="1">
      <c r="A256" t="inlineStr">
        <is>
          <t>A 2030-2026</t>
        </is>
      </c>
      <c r="B256" s="1" t="n">
        <v>46035.73590277778</v>
      </c>
      <c r="C256" s="1" t="n">
        <v>46178</v>
      </c>
      <c r="D256" t="inlineStr">
        <is>
          <t>ÖSTERGÖTLANDS LÄN</t>
        </is>
      </c>
      <c r="E256" t="inlineStr">
        <is>
          <t>LINKÖPING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2031-2026</t>
        </is>
      </c>
      <c r="B257" s="1" t="n">
        <v>46035.74182870371</v>
      </c>
      <c r="C257" s="1" t="n">
        <v>46178</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227-2024</t>
        </is>
      </c>
      <c r="B258" s="1" t="n">
        <v>45294.73603009259</v>
      </c>
      <c r="C258" s="1" t="n">
        <v>46178</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44155-2024</t>
        </is>
      </c>
      <c r="B259" s="1" t="n">
        <v>45572.68226851852</v>
      </c>
      <c r="C259" s="1" t="n">
        <v>46178</v>
      </c>
      <c r="D259" t="inlineStr">
        <is>
          <t>ÖSTERGÖTLANDS LÄN</t>
        </is>
      </c>
      <c r="E259" t="inlineStr">
        <is>
          <t>LINKÖPING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30434-2024</t>
        </is>
      </c>
      <c r="B260" s="1" t="n">
        <v>45491.69811342593</v>
      </c>
      <c r="C260" s="1" t="n">
        <v>46178</v>
      </c>
      <c r="D260" t="inlineStr">
        <is>
          <t>ÖSTERGÖTLANDS LÄN</t>
        </is>
      </c>
      <c r="E260" t="inlineStr">
        <is>
          <t>LINKÖPING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40169-2025</t>
        </is>
      </c>
      <c r="B261" s="1" t="n">
        <v>45894.62824074074</v>
      </c>
      <c r="C261" s="1" t="n">
        <v>46178</v>
      </c>
      <c r="D261" t="inlineStr">
        <is>
          <t>ÖSTERGÖTLANDS LÄN</t>
        </is>
      </c>
      <c r="E261" t="inlineStr">
        <is>
          <t>LINKÖPING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56917-2022</t>
        </is>
      </c>
      <c r="B262" s="1" t="n">
        <v>44894</v>
      </c>
      <c r="C262" s="1" t="n">
        <v>46178</v>
      </c>
      <c r="D262" t="inlineStr">
        <is>
          <t>ÖSTERGÖTLANDS LÄN</t>
        </is>
      </c>
      <c r="E262" t="inlineStr">
        <is>
          <t>LINKÖPING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27950-2025</t>
        </is>
      </c>
      <c r="B263" s="1" t="n">
        <v>45817.52960648148</v>
      </c>
      <c r="C263" s="1" t="n">
        <v>46178</v>
      </c>
      <c r="D263" t="inlineStr">
        <is>
          <t>ÖSTERGÖTLANDS LÄN</t>
        </is>
      </c>
      <c r="E263" t="inlineStr">
        <is>
          <t>LINKÖPING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27797-2025</t>
        </is>
      </c>
      <c r="B264" s="1" t="n">
        <v>45816.80521990741</v>
      </c>
      <c r="C264" s="1" t="n">
        <v>46178</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27798-2025</t>
        </is>
      </c>
      <c r="B265" s="1" t="n">
        <v>45816.81532407407</v>
      </c>
      <c r="C265" s="1" t="n">
        <v>46178</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25568-2024</t>
        </is>
      </c>
      <c r="B266" s="1" t="n">
        <v>45463.58699074074</v>
      </c>
      <c r="C266" s="1" t="n">
        <v>46178</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3043-2026</t>
        </is>
      </c>
      <c r="B267" s="1" t="n">
        <v>46038.73675925926</v>
      </c>
      <c r="C267" s="1" t="n">
        <v>46178</v>
      </c>
      <c r="D267" t="inlineStr">
        <is>
          <t>ÖSTERGÖTLANDS LÄN</t>
        </is>
      </c>
      <c r="E267" t="inlineStr">
        <is>
          <t>LINKÖPING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22833-2023</t>
        </is>
      </c>
      <c r="B268" s="1" t="n">
        <v>45071</v>
      </c>
      <c r="C268" s="1" t="n">
        <v>46178</v>
      </c>
      <c r="D268" t="inlineStr">
        <is>
          <t>ÖSTERGÖTLANDS LÄN</t>
        </is>
      </c>
      <c r="E268" t="inlineStr">
        <is>
          <t>LINKÖPING</t>
        </is>
      </c>
      <c r="F268" t="inlineStr">
        <is>
          <t>Kommuner</t>
        </is>
      </c>
      <c r="G268" t="n">
        <v>1</v>
      </c>
      <c r="H268" t="n">
        <v>0</v>
      </c>
      <c r="I268" t="n">
        <v>0</v>
      </c>
      <c r="J268" t="n">
        <v>0</v>
      </c>
      <c r="K268" t="n">
        <v>0</v>
      </c>
      <c r="L268" t="n">
        <v>0</v>
      </c>
      <c r="M268" t="n">
        <v>0</v>
      </c>
      <c r="N268" t="n">
        <v>0</v>
      </c>
      <c r="O268" t="n">
        <v>0</v>
      </c>
      <c r="P268" t="n">
        <v>0</v>
      </c>
      <c r="Q268" t="n">
        <v>0</v>
      </c>
      <c r="R268" s="2" t="inlineStr"/>
    </row>
    <row r="269" ht="15" customHeight="1">
      <c r="A269" t="inlineStr">
        <is>
          <t>A 3044-2026</t>
        </is>
      </c>
      <c r="B269" s="1" t="n">
        <v>46038.73855324074</v>
      </c>
      <c r="C269" s="1" t="n">
        <v>46178</v>
      </c>
      <c r="D269" t="inlineStr">
        <is>
          <t>ÖSTERGÖTLANDS LÄN</t>
        </is>
      </c>
      <c r="E269" t="inlineStr">
        <is>
          <t>LINKÖPING</t>
        </is>
      </c>
      <c r="G269" t="n">
        <v>0.7</v>
      </c>
      <c r="H269" t="n">
        <v>0</v>
      </c>
      <c r="I269" t="n">
        <v>0</v>
      </c>
      <c r="J269" t="n">
        <v>0</v>
      </c>
      <c r="K269" t="n">
        <v>0</v>
      </c>
      <c r="L269" t="n">
        <v>0</v>
      </c>
      <c r="M269" t="n">
        <v>0</v>
      </c>
      <c r="N269" t="n">
        <v>0</v>
      </c>
      <c r="O269" t="n">
        <v>0</v>
      </c>
      <c r="P269" t="n">
        <v>0</v>
      </c>
      <c r="Q269" t="n">
        <v>0</v>
      </c>
      <c r="R269" s="2" t="inlineStr"/>
    </row>
    <row r="270" ht="15" customHeight="1">
      <c r="A270" t="inlineStr">
        <is>
          <t>A 2997-2025</t>
        </is>
      </c>
      <c r="B270" s="1" t="n">
        <v>45678.54631944445</v>
      </c>
      <c r="C270" s="1" t="n">
        <v>46178</v>
      </c>
      <c r="D270" t="inlineStr">
        <is>
          <t>ÖSTERGÖTLANDS LÄN</t>
        </is>
      </c>
      <c r="E270" t="inlineStr">
        <is>
          <t>LINKÖPING</t>
        </is>
      </c>
      <c r="G270" t="n">
        <v>2.7</v>
      </c>
      <c r="H270" t="n">
        <v>0</v>
      </c>
      <c r="I270" t="n">
        <v>0</v>
      </c>
      <c r="J270" t="n">
        <v>0</v>
      </c>
      <c r="K270" t="n">
        <v>0</v>
      </c>
      <c r="L270" t="n">
        <v>0</v>
      </c>
      <c r="M270" t="n">
        <v>0</v>
      </c>
      <c r="N270" t="n">
        <v>0</v>
      </c>
      <c r="O270" t="n">
        <v>0</v>
      </c>
      <c r="P270" t="n">
        <v>0</v>
      </c>
      <c r="Q270" t="n">
        <v>0</v>
      </c>
      <c r="R270" s="2" t="inlineStr"/>
    </row>
    <row r="271" ht="15" customHeight="1">
      <c r="A271" t="inlineStr">
        <is>
          <t>A 3046-2026</t>
        </is>
      </c>
      <c r="B271" s="1" t="n">
        <v>46038.74182870371</v>
      </c>
      <c r="C271" s="1" t="n">
        <v>46178</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41345-2021</t>
        </is>
      </c>
      <c r="B272" s="1" t="n">
        <v>44424.61851851852</v>
      </c>
      <c r="C272" s="1" t="n">
        <v>46178</v>
      </c>
      <c r="D272" t="inlineStr">
        <is>
          <t>ÖSTERGÖTLANDS LÄN</t>
        </is>
      </c>
      <c r="E272" t="inlineStr">
        <is>
          <t>LINKÖPING</t>
        </is>
      </c>
      <c r="F272" t="inlineStr">
        <is>
          <t>Sveaskog</t>
        </is>
      </c>
      <c r="G272" t="n">
        <v>6.3</v>
      </c>
      <c r="H272" t="n">
        <v>0</v>
      </c>
      <c r="I272" t="n">
        <v>0</v>
      </c>
      <c r="J272" t="n">
        <v>0</v>
      </c>
      <c r="K272" t="n">
        <v>0</v>
      </c>
      <c r="L272" t="n">
        <v>0</v>
      </c>
      <c r="M272" t="n">
        <v>0</v>
      </c>
      <c r="N272" t="n">
        <v>0</v>
      </c>
      <c r="O272" t="n">
        <v>0</v>
      </c>
      <c r="P272" t="n">
        <v>0</v>
      </c>
      <c r="Q272" t="n">
        <v>0</v>
      </c>
      <c r="R272" s="2" t="inlineStr"/>
    </row>
    <row r="273" ht="15" customHeight="1">
      <c r="A273" t="inlineStr">
        <is>
          <t>A 29027-2025</t>
        </is>
      </c>
      <c r="B273" s="1" t="n">
        <v>45821.4375462963</v>
      </c>
      <c r="C273" s="1" t="n">
        <v>46178</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41511-2025</t>
        </is>
      </c>
      <c r="B274" s="1" t="n">
        <v>45901.53839120371</v>
      </c>
      <c r="C274" s="1" t="n">
        <v>46178</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16213-2025</t>
        </is>
      </c>
      <c r="B275" s="1" t="n">
        <v>45750.62740740741</v>
      </c>
      <c r="C275" s="1" t="n">
        <v>46178</v>
      </c>
      <c r="D275" t="inlineStr">
        <is>
          <t>ÖSTERGÖTLANDS LÄN</t>
        </is>
      </c>
      <c r="E275" t="inlineStr">
        <is>
          <t>LINKÖPING</t>
        </is>
      </c>
      <c r="G275" t="n">
        <v>3.4</v>
      </c>
      <c r="H275" t="n">
        <v>0</v>
      </c>
      <c r="I275" t="n">
        <v>0</v>
      </c>
      <c r="J275" t="n">
        <v>0</v>
      </c>
      <c r="K275" t="n">
        <v>0</v>
      </c>
      <c r="L275" t="n">
        <v>0</v>
      </c>
      <c r="M275" t="n">
        <v>0</v>
      </c>
      <c r="N275" t="n">
        <v>0</v>
      </c>
      <c r="O275" t="n">
        <v>0</v>
      </c>
      <c r="P275" t="n">
        <v>0</v>
      </c>
      <c r="Q275" t="n">
        <v>0</v>
      </c>
      <c r="R275" s="2" t="inlineStr"/>
    </row>
    <row r="276" ht="15" customHeight="1">
      <c r="A276" t="inlineStr">
        <is>
          <t>A 29599-2025</t>
        </is>
      </c>
      <c r="B276" s="1" t="n">
        <v>45825.41101851852</v>
      </c>
      <c r="C276" s="1" t="n">
        <v>46178</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46225-2021</t>
        </is>
      </c>
      <c r="B277" s="1" t="n">
        <v>44442</v>
      </c>
      <c r="C277" s="1" t="n">
        <v>46178</v>
      </c>
      <c r="D277" t="inlineStr">
        <is>
          <t>ÖSTERGÖTLANDS LÄN</t>
        </is>
      </c>
      <c r="E277" t="inlineStr">
        <is>
          <t>LINKÖPING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30355-2025</t>
        </is>
      </c>
      <c r="B278" s="1" t="n">
        <v>45827</v>
      </c>
      <c r="C278" s="1" t="n">
        <v>46178</v>
      </c>
      <c r="D278" t="inlineStr">
        <is>
          <t>ÖSTERGÖTLANDS LÄN</t>
        </is>
      </c>
      <c r="E278" t="inlineStr">
        <is>
          <t>LINKÖPING</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30353-2025</t>
        </is>
      </c>
      <c r="B279" s="1" t="n">
        <v>45827</v>
      </c>
      <c r="C279" s="1" t="n">
        <v>46178</v>
      </c>
      <c r="D279" t="inlineStr">
        <is>
          <t>ÖSTERGÖTLANDS LÄN</t>
        </is>
      </c>
      <c r="E279" t="inlineStr">
        <is>
          <t>LINKÖPING</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51484-2023</t>
        </is>
      </c>
      <c r="B280" s="1" t="n">
        <v>45222</v>
      </c>
      <c r="C280" s="1" t="n">
        <v>46178</v>
      </c>
      <c r="D280" t="inlineStr">
        <is>
          <t>ÖSTERGÖTLANDS LÄN</t>
        </is>
      </c>
      <c r="E280" t="inlineStr">
        <is>
          <t>LINKÖPING</t>
        </is>
      </c>
      <c r="F280" t="inlineStr">
        <is>
          <t>Övriga Aktiebolag</t>
        </is>
      </c>
      <c r="G280" t="n">
        <v>7.7</v>
      </c>
      <c r="H280" t="n">
        <v>0</v>
      </c>
      <c r="I280" t="n">
        <v>0</v>
      </c>
      <c r="J280" t="n">
        <v>0</v>
      </c>
      <c r="K280" t="n">
        <v>0</v>
      </c>
      <c r="L280" t="n">
        <v>0</v>
      </c>
      <c r="M280" t="n">
        <v>0</v>
      </c>
      <c r="N280" t="n">
        <v>0</v>
      </c>
      <c r="O280" t="n">
        <v>0</v>
      </c>
      <c r="P280" t="n">
        <v>0</v>
      </c>
      <c r="Q280" t="n">
        <v>0</v>
      </c>
      <c r="R280" s="2" t="inlineStr"/>
    </row>
    <row r="281" ht="15" customHeight="1">
      <c r="A281" t="inlineStr">
        <is>
          <t>A 4469-2026</t>
        </is>
      </c>
      <c r="B281" s="1" t="n">
        <v>46045.65662037037</v>
      </c>
      <c r="C281" s="1" t="n">
        <v>46178</v>
      </c>
      <c r="D281" t="inlineStr">
        <is>
          <t>ÖSTERGÖTLANDS LÄN</t>
        </is>
      </c>
      <c r="E281" t="inlineStr">
        <is>
          <t>LINKÖPING</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17898-2022</t>
        </is>
      </c>
      <c r="B282" s="1" t="n">
        <v>44683</v>
      </c>
      <c r="C282" s="1" t="n">
        <v>46178</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63487-2023</t>
        </is>
      </c>
      <c r="B283" s="1" t="n">
        <v>45274.66712962963</v>
      </c>
      <c r="C283" s="1" t="n">
        <v>46178</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35463-2023</t>
        </is>
      </c>
      <c r="B284" s="1" t="n">
        <v>45146</v>
      </c>
      <c r="C284" s="1" t="n">
        <v>46178</v>
      </c>
      <c r="D284" t="inlineStr">
        <is>
          <t>ÖSTERGÖTLANDS LÄN</t>
        </is>
      </c>
      <c r="E284" t="inlineStr">
        <is>
          <t>LINKÖPING</t>
        </is>
      </c>
      <c r="F284" t="inlineStr">
        <is>
          <t>Övriga Aktiebolag</t>
        </is>
      </c>
      <c r="G284" t="n">
        <v>1.8</v>
      </c>
      <c r="H284" t="n">
        <v>0</v>
      </c>
      <c r="I284" t="n">
        <v>0</v>
      </c>
      <c r="J284" t="n">
        <v>0</v>
      </c>
      <c r="K284" t="n">
        <v>0</v>
      </c>
      <c r="L284" t="n">
        <v>0</v>
      </c>
      <c r="M284" t="n">
        <v>0</v>
      </c>
      <c r="N284" t="n">
        <v>0</v>
      </c>
      <c r="O284" t="n">
        <v>0</v>
      </c>
      <c r="P284" t="n">
        <v>0</v>
      </c>
      <c r="Q284" t="n">
        <v>0</v>
      </c>
      <c r="R284" s="2" t="inlineStr"/>
    </row>
    <row r="285" ht="15" customHeight="1">
      <c r="A285" t="inlineStr">
        <is>
          <t>A 38886-2024</t>
        </is>
      </c>
      <c r="B285" s="1" t="n">
        <v>45547.66443287037</v>
      </c>
      <c r="C285" s="1" t="n">
        <v>46178</v>
      </c>
      <c r="D285" t="inlineStr">
        <is>
          <t>ÖSTERGÖTLANDS LÄN</t>
        </is>
      </c>
      <c r="E285" t="inlineStr">
        <is>
          <t>LINKÖPING</t>
        </is>
      </c>
      <c r="G285" t="n">
        <v>5.3</v>
      </c>
      <c r="H285" t="n">
        <v>0</v>
      </c>
      <c r="I285" t="n">
        <v>0</v>
      </c>
      <c r="J285" t="n">
        <v>0</v>
      </c>
      <c r="K285" t="n">
        <v>0</v>
      </c>
      <c r="L285" t="n">
        <v>0</v>
      </c>
      <c r="M285" t="n">
        <v>0</v>
      </c>
      <c r="N285" t="n">
        <v>0</v>
      </c>
      <c r="O285" t="n">
        <v>0</v>
      </c>
      <c r="P285" t="n">
        <v>0</v>
      </c>
      <c r="Q285" t="n">
        <v>0</v>
      </c>
      <c r="R285" s="2" t="inlineStr"/>
    </row>
    <row r="286" ht="15" customHeight="1">
      <c r="A286" t="inlineStr">
        <is>
          <t>A 3042-2024</t>
        </is>
      </c>
      <c r="B286" s="1" t="n">
        <v>45316.35028935185</v>
      </c>
      <c r="C286" s="1" t="n">
        <v>46178</v>
      </c>
      <c r="D286" t="inlineStr">
        <is>
          <t>ÖSTERGÖTLANDS LÄN</t>
        </is>
      </c>
      <c r="E286" t="inlineStr">
        <is>
          <t>LINKÖPING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55632-2022</t>
        </is>
      </c>
      <c r="B287" s="1" t="n">
        <v>44888</v>
      </c>
      <c r="C287" s="1" t="n">
        <v>46178</v>
      </c>
      <c r="D287" t="inlineStr">
        <is>
          <t>ÖSTERGÖTLANDS LÄN</t>
        </is>
      </c>
      <c r="E287" t="inlineStr">
        <is>
          <t>LINKÖPING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63559-2023</t>
        </is>
      </c>
      <c r="B288" s="1" t="n">
        <v>45275.35924768518</v>
      </c>
      <c r="C288" s="1" t="n">
        <v>46178</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29293-2025</t>
        </is>
      </c>
      <c r="B289" s="1" t="n">
        <v>45824</v>
      </c>
      <c r="C289" s="1" t="n">
        <v>46178</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31581-2025</t>
        </is>
      </c>
      <c r="B290" s="1" t="n">
        <v>45833.6840162037</v>
      </c>
      <c r="C290" s="1" t="n">
        <v>46178</v>
      </c>
      <c r="D290" t="inlineStr">
        <is>
          <t>ÖSTERGÖTLANDS LÄN</t>
        </is>
      </c>
      <c r="E290" t="inlineStr">
        <is>
          <t>LINKÖPING</t>
        </is>
      </c>
      <c r="G290" t="n">
        <v>2.6</v>
      </c>
      <c r="H290" t="n">
        <v>0</v>
      </c>
      <c r="I290" t="n">
        <v>0</v>
      </c>
      <c r="J290" t="n">
        <v>0</v>
      </c>
      <c r="K290" t="n">
        <v>0</v>
      </c>
      <c r="L290" t="n">
        <v>0</v>
      </c>
      <c r="M290" t="n">
        <v>0</v>
      </c>
      <c r="N290" t="n">
        <v>0</v>
      </c>
      <c r="O290" t="n">
        <v>0</v>
      </c>
      <c r="P290" t="n">
        <v>0</v>
      </c>
      <c r="Q290" t="n">
        <v>0</v>
      </c>
      <c r="R290" s="2" t="inlineStr"/>
    </row>
    <row r="291" ht="15" customHeight="1">
      <c r="A291" t="inlineStr">
        <is>
          <t>A 31585-2025</t>
        </is>
      </c>
      <c r="B291" s="1" t="n">
        <v>45833.68815972222</v>
      </c>
      <c r="C291" s="1" t="n">
        <v>46178</v>
      </c>
      <c r="D291" t="inlineStr">
        <is>
          <t>ÖSTERGÖTLANDS LÄN</t>
        </is>
      </c>
      <c r="E291" t="inlineStr">
        <is>
          <t>LINKÖPING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58114-2021</t>
        </is>
      </c>
      <c r="B292" s="1" t="n">
        <v>44487</v>
      </c>
      <c r="C292" s="1" t="n">
        <v>46178</v>
      </c>
      <c r="D292" t="inlineStr">
        <is>
          <t>ÖSTERGÖTLANDS LÄN</t>
        </is>
      </c>
      <c r="E292" t="inlineStr">
        <is>
          <t>LINKÖPING</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5545-2026</t>
        </is>
      </c>
      <c r="B293" s="1" t="n">
        <v>46050.70089120371</v>
      </c>
      <c r="C293" s="1" t="n">
        <v>46178</v>
      </c>
      <c r="D293" t="inlineStr">
        <is>
          <t>ÖSTERGÖTLANDS LÄN</t>
        </is>
      </c>
      <c r="E293" t="inlineStr">
        <is>
          <t>LINKÖPING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55944-2024</t>
        </is>
      </c>
      <c r="B294" s="1" t="n">
        <v>45623.61640046296</v>
      </c>
      <c r="C294" s="1" t="n">
        <v>46178</v>
      </c>
      <c r="D294" t="inlineStr">
        <is>
          <t>ÖSTERGÖTLANDS LÄN</t>
        </is>
      </c>
      <c r="E294" t="inlineStr">
        <is>
          <t>LINKÖPING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55947-2024</t>
        </is>
      </c>
      <c r="B295" s="1" t="n">
        <v>45623</v>
      </c>
      <c r="C295" s="1" t="n">
        <v>46178</v>
      </c>
      <c r="D295" t="inlineStr">
        <is>
          <t>ÖSTERGÖTLANDS LÄN</t>
        </is>
      </c>
      <c r="E295" t="inlineStr">
        <is>
          <t>LINKÖPING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3374-2023</t>
        </is>
      </c>
      <c r="B296" s="1" t="n">
        <v>44949</v>
      </c>
      <c r="C296" s="1" t="n">
        <v>46178</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24151-2024</t>
        </is>
      </c>
      <c r="B297" s="1" t="n">
        <v>45456.67717592593</v>
      </c>
      <c r="C297" s="1" t="n">
        <v>46178</v>
      </c>
      <c r="D297" t="inlineStr">
        <is>
          <t>ÖSTERGÖTLANDS LÄN</t>
        </is>
      </c>
      <c r="E297" t="inlineStr">
        <is>
          <t>LINKÖPING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32723-2025</t>
        </is>
      </c>
      <c r="B298" s="1" t="n">
        <v>45838</v>
      </c>
      <c r="C298" s="1" t="n">
        <v>46178</v>
      </c>
      <c r="D298" t="inlineStr">
        <is>
          <t>ÖSTERGÖTLANDS LÄN</t>
        </is>
      </c>
      <c r="E298" t="inlineStr">
        <is>
          <t>LINKÖPING</t>
        </is>
      </c>
      <c r="G298" t="n">
        <v>2.1</v>
      </c>
      <c r="H298" t="n">
        <v>0</v>
      </c>
      <c r="I298" t="n">
        <v>0</v>
      </c>
      <c r="J298" t="n">
        <v>0</v>
      </c>
      <c r="K298" t="n">
        <v>0</v>
      </c>
      <c r="L298" t="n">
        <v>0</v>
      </c>
      <c r="M298" t="n">
        <v>0</v>
      </c>
      <c r="N298" t="n">
        <v>0</v>
      </c>
      <c r="O298" t="n">
        <v>0</v>
      </c>
      <c r="P298" t="n">
        <v>0</v>
      </c>
      <c r="Q298" t="n">
        <v>0</v>
      </c>
      <c r="R298" s="2" t="inlineStr"/>
    </row>
    <row r="299" ht="15" customHeight="1">
      <c r="A299" t="inlineStr">
        <is>
          <t>A 14576-2023</t>
        </is>
      </c>
      <c r="B299" s="1" t="n">
        <v>45013</v>
      </c>
      <c r="C299" s="1" t="n">
        <v>46178</v>
      </c>
      <c r="D299" t="inlineStr">
        <is>
          <t>ÖSTERGÖTLANDS LÄN</t>
        </is>
      </c>
      <c r="E299" t="inlineStr">
        <is>
          <t>LINKÖPING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44170-2025</t>
        </is>
      </c>
      <c r="B300" s="1" t="n">
        <v>45915.59864583334</v>
      </c>
      <c r="C300" s="1" t="n">
        <v>46178</v>
      </c>
      <c r="D300" t="inlineStr">
        <is>
          <t>ÖSTERGÖTLANDS LÄN</t>
        </is>
      </c>
      <c r="E300" t="inlineStr">
        <is>
          <t>LINKÖPING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6384-2026</t>
        </is>
      </c>
      <c r="B301" s="1" t="n">
        <v>46055.63732638889</v>
      </c>
      <c r="C301" s="1" t="n">
        <v>46178</v>
      </c>
      <c r="D301" t="inlineStr">
        <is>
          <t>ÖSTERGÖTLANDS LÄN</t>
        </is>
      </c>
      <c r="E301" t="inlineStr">
        <is>
          <t>LINKÖPING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74160-2021</t>
        </is>
      </c>
      <c r="B302" s="1" t="n">
        <v>44558</v>
      </c>
      <c r="C302" s="1" t="n">
        <v>46178</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43755-2025</t>
        </is>
      </c>
      <c r="B303" s="1" t="n">
        <v>45912.47329861111</v>
      </c>
      <c r="C303" s="1" t="n">
        <v>46178</v>
      </c>
      <c r="D303" t="inlineStr">
        <is>
          <t>ÖSTERGÖTLANDS LÄN</t>
        </is>
      </c>
      <c r="E303" t="inlineStr">
        <is>
          <t>LINKÖPING</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43758-2025</t>
        </is>
      </c>
      <c r="B304" s="1" t="n">
        <v>45912.47711805555</v>
      </c>
      <c r="C304" s="1" t="n">
        <v>46178</v>
      </c>
      <c r="D304" t="inlineStr">
        <is>
          <t>ÖSTERGÖTLANDS LÄN</t>
        </is>
      </c>
      <c r="E304" t="inlineStr">
        <is>
          <t>LINKÖPING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43753-2025</t>
        </is>
      </c>
      <c r="B305" s="1" t="n">
        <v>45912.4715625</v>
      </c>
      <c r="C305" s="1" t="n">
        <v>46178</v>
      </c>
      <c r="D305" t="inlineStr">
        <is>
          <t>ÖSTERGÖTLANDS LÄN</t>
        </is>
      </c>
      <c r="E305" t="inlineStr">
        <is>
          <t>LINKÖPING</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6164-2026</t>
        </is>
      </c>
      <c r="B306" s="1" t="n">
        <v>46055.32596064815</v>
      </c>
      <c r="C306" s="1" t="n">
        <v>46178</v>
      </c>
      <c r="D306" t="inlineStr">
        <is>
          <t>ÖSTERGÖTLANDS LÄN</t>
        </is>
      </c>
      <c r="E306" t="inlineStr">
        <is>
          <t>LINKÖPING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7133-2026</t>
        </is>
      </c>
      <c r="B307" s="1" t="n">
        <v>46057</v>
      </c>
      <c r="C307" s="1" t="n">
        <v>46178</v>
      </c>
      <c r="D307" t="inlineStr">
        <is>
          <t>ÖSTERGÖTLANDS LÄN</t>
        </is>
      </c>
      <c r="E307" t="inlineStr">
        <is>
          <t>LINKÖPING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53529-2024</t>
        </is>
      </c>
      <c r="B308" s="1" t="n">
        <v>45614</v>
      </c>
      <c r="C308" s="1" t="n">
        <v>46178</v>
      </c>
      <c r="D308" t="inlineStr">
        <is>
          <t>ÖSTERGÖTLANDS LÄN</t>
        </is>
      </c>
      <c r="E308" t="inlineStr">
        <is>
          <t>LINKÖPING</t>
        </is>
      </c>
      <c r="G308" t="n">
        <v>6.7</v>
      </c>
      <c r="H308" t="n">
        <v>0</v>
      </c>
      <c r="I308" t="n">
        <v>0</v>
      </c>
      <c r="J308" t="n">
        <v>0</v>
      </c>
      <c r="K308" t="n">
        <v>0</v>
      </c>
      <c r="L308" t="n">
        <v>0</v>
      </c>
      <c r="M308" t="n">
        <v>0</v>
      </c>
      <c r="N308" t="n">
        <v>0</v>
      </c>
      <c r="O308" t="n">
        <v>0</v>
      </c>
      <c r="P308" t="n">
        <v>0</v>
      </c>
      <c r="Q308" t="n">
        <v>0</v>
      </c>
      <c r="R308" s="2" t="inlineStr"/>
    </row>
    <row r="309" ht="15" customHeight="1">
      <c r="A309" t="inlineStr">
        <is>
          <t>A 62012-2024</t>
        </is>
      </c>
      <c r="B309" s="1" t="n">
        <v>45655.79679398148</v>
      </c>
      <c r="C309" s="1" t="n">
        <v>46178</v>
      </c>
      <c r="D309" t="inlineStr">
        <is>
          <t>ÖSTERGÖTLANDS LÄN</t>
        </is>
      </c>
      <c r="E309" t="inlineStr">
        <is>
          <t>LINKÖPING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27766-2022</t>
        </is>
      </c>
      <c r="B310" s="1" t="n">
        <v>44743.53112268518</v>
      </c>
      <c r="C310" s="1" t="n">
        <v>46178</v>
      </c>
      <c r="D310" t="inlineStr">
        <is>
          <t>ÖSTERGÖTLANDS LÄN</t>
        </is>
      </c>
      <c r="E310" t="inlineStr">
        <is>
          <t>LINKÖPING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20469-2025</t>
        </is>
      </c>
      <c r="B311" s="1" t="n">
        <v>45775</v>
      </c>
      <c r="C311" s="1" t="n">
        <v>46178</v>
      </c>
      <c r="D311" t="inlineStr">
        <is>
          <t>ÖSTERGÖTLANDS LÄN</t>
        </is>
      </c>
      <c r="E311" t="inlineStr">
        <is>
          <t>LINKÖPING</t>
        </is>
      </c>
      <c r="F311" t="inlineStr">
        <is>
          <t>Kyrkan</t>
        </is>
      </c>
      <c r="G311" t="n">
        <v>6.1</v>
      </c>
      <c r="H311" t="n">
        <v>0</v>
      </c>
      <c r="I311" t="n">
        <v>0</v>
      </c>
      <c r="J311" t="n">
        <v>0</v>
      </c>
      <c r="K311" t="n">
        <v>0</v>
      </c>
      <c r="L311" t="n">
        <v>0</v>
      </c>
      <c r="M311" t="n">
        <v>0</v>
      </c>
      <c r="N311" t="n">
        <v>0</v>
      </c>
      <c r="O311" t="n">
        <v>0</v>
      </c>
      <c r="P311" t="n">
        <v>0</v>
      </c>
      <c r="Q311" t="n">
        <v>0</v>
      </c>
      <c r="R311" s="2" t="inlineStr"/>
    </row>
    <row r="312" ht="15" customHeight="1">
      <c r="A312" t="inlineStr">
        <is>
          <t>A 44764-2025</t>
        </is>
      </c>
      <c r="B312" s="1" t="n">
        <v>45917.72821759259</v>
      </c>
      <c r="C312" s="1" t="n">
        <v>46178</v>
      </c>
      <c r="D312" t="inlineStr">
        <is>
          <t>ÖSTERGÖTLANDS LÄN</t>
        </is>
      </c>
      <c r="E312" t="inlineStr">
        <is>
          <t>LINKÖPING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53641-2023</t>
        </is>
      </c>
      <c r="B313" s="1" t="n">
        <v>45230</v>
      </c>
      <c r="C313" s="1" t="n">
        <v>46178</v>
      </c>
      <c r="D313" t="inlineStr">
        <is>
          <t>ÖSTERGÖTLANDS LÄN</t>
        </is>
      </c>
      <c r="E313" t="inlineStr">
        <is>
          <t>LINKÖPING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33000-2023</t>
        </is>
      </c>
      <c r="B314" s="1" t="n">
        <v>45125</v>
      </c>
      <c r="C314" s="1" t="n">
        <v>46178</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52892-2024</t>
        </is>
      </c>
      <c r="B315" s="1" t="n">
        <v>45610</v>
      </c>
      <c r="C315" s="1" t="n">
        <v>46178</v>
      </c>
      <c r="D315" t="inlineStr">
        <is>
          <t>ÖSTERGÖTLANDS LÄN</t>
        </is>
      </c>
      <c r="E315" t="inlineStr">
        <is>
          <t>LINKÖPING</t>
        </is>
      </c>
      <c r="G315" t="n">
        <v>4.2</v>
      </c>
      <c r="H315" t="n">
        <v>0</v>
      </c>
      <c r="I315" t="n">
        <v>0</v>
      </c>
      <c r="J315" t="n">
        <v>0</v>
      </c>
      <c r="K315" t="n">
        <v>0</v>
      </c>
      <c r="L315" t="n">
        <v>0</v>
      </c>
      <c r="M315" t="n">
        <v>0</v>
      </c>
      <c r="N315" t="n">
        <v>0</v>
      </c>
      <c r="O315" t="n">
        <v>0</v>
      </c>
      <c r="P315" t="n">
        <v>0</v>
      </c>
      <c r="Q315" t="n">
        <v>0</v>
      </c>
      <c r="R315" s="2" t="inlineStr"/>
    </row>
    <row r="316" ht="15" customHeight="1">
      <c r="A316" t="inlineStr">
        <is>
          <t>A 45112-2025</t>
        </is>
      </c>
      <c r="B316" s="1" t="n">
        <v>45919</v>
      </c>
      <c r="C316" s="1" t="n">
        <v>46178</v>
      </c>
      <c r="D316" t="inlineStr">
        <is>
          <t>ÖSTERGÖTLANDS LÄN</t>
        </is>
      </c>
      <c r="E316" t="inlineStr">
        <is>
          <t>LINKÖPING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33800-2023</t>
        </is>
      </c>
      <c r="B317" s="1" t="n">
        <v>45121</v>
      </c>
      <c r="C317" s="1" t="n">
        <v>46178</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51191-2022</t>
        </is>
      </c>
      <c r="B318" s="1" t="n">
        <v>44865</v>
      </c>
      <c r="C318" s="1" t="n">
        <v>46178</v>
      </c>
      <c r="D318" t="inlineStr">
        <is>
          <t>ÖSTERGÖTLANDS LÄN</t>
        </is>
      </c>
      <c r="E318" t="inlineStr">
        <is>
          <t>LINKÖPING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26007-2025</t>
        </is>
      </c>
      <c r="B319" s="1" t="n">
        <v>45804.67081018518</v>
      </c>
      <c r="C319" s="1" t="n">
        <v>46178</v>
      </c>
      <c r="D319" t="inlineStr">
        <is>
          <t>ÖSTERGÖTLANDS LÄN</t>
        </is>
      </c>
      <c r="E319" t="inlineStr">
        <is>
          <t>LINKÖPING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35174-2025</t>
        </is>
      </c>
      <c r="B320" s="1" t="n">
        <v>45852.90648148148</v>
      </c>
      <c r="C320" s="1" t="n">
        <v>46178</v>
      </c>
      <c r="D320" t="inlineStr">
        <is>
          <t>ÖSTERGÖTLANDS LÄN</t>
        </is>
      </c>
      <c r="E320" t="inlineStr">
        <is>
          <t>LINKÖPING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47991-2023</t>
        </is>
      </c>
      <c r="B321" s="1" t="n">
        <v>45204.62655092592</v>
      </c>
      <c r="C321" s="1" t="n">
        <v>46178</v>
      </c>
      <c r="D321" t="inlineStr">
        <is>
          <t>ÖSTERGÖTLANDS LÄN</t>
        </is>
      </c>
      <c r="E321" t="inlineStr">
        <is>
          <t>LINKÖPING</t>
        </is>
      </c>
      <c r="F321" t="inlineStr">
        <is>
          <t>Allmännings- och besparingsskogar</t>
        </is>
      </c>
      <c r="G321" t="n">
        <v>7.3</v>
      </c>
      <c r="H321" t="n">
        <v>0</v>
      </c>
      <c r="I321" t="n">
        <v>0</v>
      </c>
      <c r="J321" t="n">
        <v>0</v>
      </c>
      <c r="K321" t="n">
        <v>0</v>
      </c>
      <c r="L321" t="n">
        <v>0</v>
      </c>
      <c r="M321" t="n">
        <v>0</v>
      </c>
      <c r="N321" t="n">
        <v>0</v>
      </c>
      <c r="O321" t="n">
        <v>0</v>
      </c>
      <c r="P321" t="n">
        <v>0</v>
      </c>
      <c r="Q321" t="n">
        <v>0</v>
      </c>
      <c r="R321" s="2" t="inlineStr"/>
    </row>
    <row r="322" ht="15" customHeight="1">
      <c r="A322" t="inlineStr">
        <is>
          <t>A 45634-2025</t>
        </is>
      </c>
      <c r="B322" s="1" t="n">
        <v>45922.85089120371</v>
      </c>
      <c r="C322" s="1" t="n">
        <v>46178</v>
      </c>
      <c r="D322" t="inlineStr">
        <is>
          <t>ÖSTERGÖTLANDS LÄN</t>
        </is>
      </c>
      <c r="E322" t="inlineStr">
        <is>
          <t>LINKÖPING</t>
        </is>
      </c>
      <c r="F322" t="inlineStr">
        <is>
          <t>Övriga Aktiebolag</t>
        </is>
      </c>
      <c r="G322" t="n">
        <v>0.3</v>
      </c>
      <c r="H322" t="n">
        <v>0</v>
      </c>
      <c r="I322" t="n">
        <v>0</v>
      </c>
      <c r="J322" t="n">
        <v>0</v>
      </c>
      <c r="K322" t="n">
        <v>0</v>
      </c>
      <c r="L322" t="n">
        <v>0</v>
      </c>
      <c r="M322" t="n">
        <v>0</v>
      </c>
      <c r="N322" t="n">
        <v>0</v>
      </c>
      <c r="O322" t="n">
        <v>0</v>
      </c>
      <c r="P322" t="n">
        <v>0</v>
      </c>
      <c r="Q322" t="n">
        <v>0</v>
      </c>
      <c r="R322" s="2" t="inlineStr"/>
    </row>
    <row r="323" ht="15" customHeight="1">
      <c r="A323" t="inlineStr">
        <is>
          <t>A 35179-2025</t>
        </is>
      </c>
      <c r="B323" s="1" t="n">
        <v>45852.93737268518</v>
      </c>
      <c r="C323" s="1" t="n">
        <v>46178</v>
      </c>
      <c r="D323" t="inlineStr">
        <is>
          <t>ÖSTERGÖTLANDS LÄN</t>
        </is>
      </c>
      <c r="E323" t="inlineStr">
        <is>
          <t>LINKÖPING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35180-2025</t>
        </is>
      </c>
      <c r="B324" s="1" t="n">
        <v>45852.9413425926</v>
      </c>
      <c r="C324" s="1" t="n">
        <v>46178</v>
      </c>
      <c r="D324" t="inlineStr">
        <is>
          <t>ÖSTERGÖTLANDS LÄN</t>
        </is>
      </c>
      <c r="E324" t="inlineStr">
        <is>
          <t>LINKÖPING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35178-2025</t>
        </is>
      </c>
      <c r="B325" s="1" t="n">
        <v>45852.91939814815</v>
      </c>
      <c r="C325" s="1" t="n">
        <v>46178</v>
      </c>
      <c r="D325" t="inlineStr">
        <is>
          <t>ÖSTERGÖTLANDS LÄN</t>
        </is>
      </c>
      <c r="E325" t="inlineStr">
        <is>
          <t>LINKÖPING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12289-2025</t>
        </is>
      </c>
      <c r="B326" s="1" t="n">
        <v>45729</v>
      </c>
      <c r="C326" s="1" t="n">
        <v>46178</v>
      </c>
      <c r="D326" t="inlineStr">
        <is>
          <t>ÖSTERGÖTLANDS LÄN</t>
        </is>
      </c>
      <c r="E326" t="inlineStr">
        <is>
          <t>LINKÖPING</t>
        </is>
      </c>
      <c r="F326" t="inlineStr">
        <is>
          <t>Övriga statliga verk och myndigheter</t>
        </is>
      </c>
      <c r="G326" t="n">
        <v>6.5</v>
      </c>
      <c r="H326" t="n">
        <v>0</v>
      </c>
      <c r="I326" t="n">
        <v>0</v>
      </c>
      <c r="J326" t="n">
        <v>0</v>
      </c>
      <c r="K326" t="n">
        <v>0</v>
      </c>
      <c r="L326" t="n">
        <v>0</v>
      </c>
      <c r="M326" t="n">
        <v>0</v>
      </c>
      <c r="N326" t="n">
        <v>0</v>
      </c>
      <c r="O326" t="n">
        <v>0</v>
      </c>
      <c r="P326" t="n">
        <v>0</v>
      </c>
      <c r="Q326" t="n">
        <v>0</v>
      </c>
      <c r="R326" s="2" t="inlineStr"/>
    </row>
    <row r="327" ht="15" customHeight="1">
      <c r="A327" t="inlineStr">
        <is>
          <t>A 9434-2024</t>
        </is>
      </c>
      <c r="B327" s="1" t="n">
        <v>45359</v>
      </c>
      <c r="C327" s="1" t="n">
        <v>46178</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50182-2023</t>
        </is>
      </c>
      <c r="B328" s="1" t="n">
        <v>45208</v>
      </c>
      <c r="C328" s="1" t="n">
        <v>46178</v>
      </c>
      <c r="D328" t="inlineStr">
        <is>
          <t>ÖSTERGÖTLANDS LÄN</t>
        </is>
      </c>
      <c r="E328" t="inlineStr">
        <is>
          <t>LINKÖPING</t>
        </is>
      </c>
      <c r="G328" t="n">
        <v>2.5</v>
      </c>
      <c r="H328" t="n">
        <v>0</v>
      </c>
      <c r="I328" t="n">
        <v>0</v>
      </c>
      <c r="J328" t="n">
        <v>0</v>
      </c>
      <c r="K328" t="n">
        <v>0</v>
      </c>
      <c r="L328" t="n">
        <v>0</v>
      </c>
      <c r="M328" t="n">
        <v>0</v>
      </c>
      <c r="N328" t="n">
        <v>0</v>
      </c>
      <c r="O328" t="n">
        <v>0</v>
      </c>
      <c r="P328" t="n">
        <v>0</v>
      </c>
      <c r="Q328" t="n">
        <v>0</v>
      </c>
      <c r="R328" s="2" t="inlineStr"/>
    </row>
    <row r="329" ht="15" customHeight="1">
      <c r="A329" t="inlineStr">
        <is>
          <t>A 46426-2025</t>
        </is>
      </c>
      <c r="B329" s="1" t="n">
        <v>45925.6012962963</v>
      </c>
      <c r="C329" s="1" t="n">
        <v>46178</v>
      </c>
      <c r="D329" t="inlineStr">
        <is>
          <t>ÖSTERGÖTLANDS LÄN</t>
        </is>
      </c>
      <c r="E329" t="inlineStr">
        <is>
          <t>LINKÖPING</t>
        </is>
      </c>
      <c r="G329" t="n">
        <v>4.4</v>
      </c>
      <c r="H329" t="n">
        <v>0</v>
      </c>
      <c r="I329" t="n">
        <v>0</v>
      </c>
      <c r="J329" t="n">
        <v>0</v>
      </c>
      <c r="K329" t="n">
        <v>0</v>
      </c>
      <c r="L329" t="n">
        <v>0</v>
      </c>
      <c r="M329" t="n">
        <v>0</v>
      </c>
      <c r="N329" t="n">
        <v>0</v>
      </c>
      <c r="O329" t="n">
        <v>0</v>
      </c>
      <c r="P329" t="n">
        <v>0</v>
      </c>
      <c r="Q329" t="n">
        <v>0</v>
      </c>
      <c r="R329" s="2" t="inlineStr"/>
    </row>
    <row r="330" ht="15" customHeight="1">
      <c r="A330" t="inlineStr">
        <is>
          <t>A 35757-2025</t>
        </is>
      </c>
      <c r="B330" s="1" t="n">
        <v>45860.59876157407</v>
      </c>
      <c r="C330" s="1" t="n">
        <v>46178</v>
      </c>
      <c r="D330" t="inlineStr">
        <is>
          <t>ÖSTERGÖTLANDS LÄN</t>
        </is>
      </c>
      <c r="E330" t="inlineStr">
        <is>
          <t>LINKÖPING</t>
        </is>
      </c>
      <c r="G330" t="n">
        <v>5.7</v>
      </c>
      <c r="H330" t="n">
        <v>0</v>
      </c>
      <c r="I330" t="n">
        <v>0</v>
      </c>
      <c r="J330" t="n">
        <v>0</v>
      </c>
      <c r="K330" t="n">
        <v>0</v>
      </c>
      <c r="L330" t="n">
        <v>0</v>
      </c>
      <c r="M330" t="n">
        <v>0</v>
      </c>
      <c r="N330" t="n">
        <v>0</v>
      </c>
      <c r="O330" t="n">
        <v>0</v>
      </c>
      <c r="P330" t="n">
        <v>0</v>
      </c>
      <c r="Q330" t="n">
        <v>0</v>
      </c>
      <c r="R330" s="2" t="inlineStr"/>
    </row>
    <row r="331" ht="15" customHeight="1">
      <c r="A331" t="inlineStr">
        <is>
          <t>A 35745-2025</t>
        </is>
      </c>
      <c r="B331" s="1" t="n">
        <v>45860.54739583333</v>
      </c>
      <c r="C331" s="1" t="n">
        <v>46178</v>
      </c>
      <c r="D331" t="inlineStr">
        <is>
          <t>ÖSTERGÖTLANDS LÄN</t>
        </is>
      </c>
      <c r="E331" t="inlineStr">
        <is>
          <t>LINKÖPING</t>
        </is>
      </c>
      <c r="G331" t="n">
        <v>4.4</v>
      </c>
      <c r="H331" t="n">
        <v>0</v>
      </c>
      <c r="I331" t="n">
        <v>0</v>
      </c>
      <c r="J331" t="n">
        <v>0</v>
      </c>
      <c r="K331" t="n">
        <v>0</v>
      </c>
      <c r="L331" t="n">
        <v>0</v>
      </c>
      <c r="M331" t="n">
        <v>0</v>
      </c>
      <c r="N331" t="n">
        <v>0</v>
      </c>
      <c r="O331" t="n">
        <v>0</v>
      </c>
      <c r="P331" t="n">
        <v>0</v>
      </c>
      <c r="Q331" t="n">
        <v>0</v>
      </c>
      <c r="R331" s="2" t="inlineStr"/>
    </row>
    <row r="332" ht="15" customHeight="1">
      <c r="A332" t="inlineStr">
        <is>
          <t>A 35747-2025</t>
        </is>
      </c>
      <c r="B332" s="1" t="n">
        <v>45860.56385416666</v>
      </c>
      <c r="C332" s="1" t="n">
        <v>46178</v>
      </c>
      <c r="D332" t="inlineStr">
        <is>
          <t>ÖSTERGÖTLANDS LÄN</t>
        </is>
      </c>
      <c r="E332" t="inlineStr">
        <is>
          <t>LINKÖPING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35781-2023</t>
        </is>
      </c>
      <c r="B333" s="1" t="n">
        <v>45147</v>
      </c>
      <c r="C333" s="1" t="n">
        <v>46178</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46428-2025</t>
        </is>
      </c>
      <c r="B334" s="1" t="n">
        <v>45925.60758101852</v>
      </c>
      <c r="C334" s="1" t="n">
        <v>46178</v>
      </c>
      <c r="D334" t="inlineStr">
        <is>
          <t>ÖSTERGÖTLANDS LÄN</t>
        </is>
      </c>
      <c r="E334" t="inlineStr">
        <is>
          <t>LINKÖPING</t>
        </is>
      </c>
      <c r="G334" t="n">
        <v>3</v>
      </c>
      <c r="H334" t="n">
        <v>0</v>
      </c>
      <c r="I334" t="n">
        <v>0</v>
      </c>
      <c r="J334" t="n">
        <v>0</v>
      </c>
      <c r="K334" t="n">
        <v>0</v>
      </c>
      <c r="L334" t="n">
        <v>0</v>
      </c>
      <c r="M334" t="n">
        <v>0</v>
      </c>
      <c r="N334" t="n">
        <v>0</v>
      </c>
      <c r="O334" t="n">
        <v>0</v>
      </c>
      <c r="P334" t="n">
        <v>0</v>
      </c>
      <c r="Q334" t="n">
        <v>0</v>
      </c>
      <c r="R334" s="2" t="inlineStr"/>
    </row>
    <row r="335" ht="15" customHeight="1">
      <c r="A335" t="inlineStr">
        <is>
          <t>A 35759-2025</t>
        </is>
      </c>
      <c r="B335" s="1" t="n">
        <v>45860</v>
      </c>
      <c r="C335" s="1" t="n">
        <v>46178</v>
      </c>
      <c r="D335" t="inlineStr">
        <is>
          <t>ÖSTERGÖTLANDS LÄN</t>
        </is>
      </c>
      <c r="E335" t="inlineStr">
        <is>
          <t>LINKÖPING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6387-2022</t>
        </is>
      </c>
      <c r="B336" s="1" t="n">
        <v>44600</v>
      </c>
      <c r="C336" s="1" t="n">
        <v>46178</v>
      </c>
      <c r="D336" t="inlineStr">
        <is>
          <t>ÖSTERGÖTLANDS LÄN</t>
        </is>
      </c>
      <c r="E336" t="inlineStr">
        <is>
          <t>LINKÖPING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48707-2023</t>
        </is>
      </c>
      <c r="B337" s="1" t="n">
        <v>45202</v>
      </c>
      <c r="C337" s="1" t="n">
        <v>46178</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46377-2025</t>
        </is>
      </c>
      <c r="B338" s="1" t="n">
        <v>45925.51773148148</v>
      </c>
      <c r="C338" s="1" t="n">
        <v>46178</v>
      </c>
      <c r="D338" t="inlineStr">
        <is>
          <t>ÖSTERGÖTLANDS LÄN</t>
        </is>
      </c>
      <c r="E338" t="inlineStr">
        <is>
          <t>LINKÖPING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46847-2025</t>
        </is>
      </c>
      <c r="B339" s="1" t="n">
        <v>45928.69971064815</v>
      </c>
      <c r="C339" s="1" t="n">
        <v>46178</v>
      </c>
      <c r="D339" t="inlineStr">
        <is>
          <t>ÖSTERGÖTLANDS LÄN</t>
        </is>
      </c>
      <c r="E339" t="inlineStr">
        <is>
          <t>LINKÖPING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47233-2025</t>
        </is>
      </c>
      <c r="B340" s="1" t="n">
        <v>45930.40612268518</v>
      </c>
      <c r="C340" s="1" t="n">
        <v>46178</v>
      </c>
      <c r="D340" t="inlineStr">
        <is>
          <t>ÖSTERGÖTLANDS LÄN</t>
        </is>
      </c>
      <c r="E340" t="inlineStr">
        <is>
          <t>LINKÖPING</t>
        </is>
      </c>
      <c r="G340" t="n">
        <v>4.3</v>
      </c>
      <c r="H340" t="n">
        <v>0</v>
      </c>
      <c r="I340" t="n">
        <v>0</v>
      </c>
      <c r="J340" t="n">
        <v>0</v>
      </c>
      <c r="K340" t="n">
        <v>0</v>
      </c>
      <c r="L340" t="n">
        <v>0</v>
      </c>
      <c r="M340" t="n">
        <v>0</v>
      </c>
      <c r="N340" t="n">
        <v>0</v>
      </c>
      <c r="O340" t="n">
        <v>0</v>
      </c>
      <c r="P340" t="n">
        <v>0</v>
      </c>
      <c r="Q340" t="n">
        <v>0</v>
      </c>
      <c r="R340" s="2" t="inlineStr"/>
    </row>
    <row r="341" ht="15" customHeight="1">
      <c r="A341" t="inlineStr">
        <is>
          <t>A 12089-2025</t>
        </is>
      </c>
      <c r="B341" s="1" t="n">
        <v>45729</v>
      </c>
      <c r="C341" s="1" t="n">
        <v>46178</v>
      </c>
      <c r="D341" t="inlineStr">
        <is>
          <t>ÖSTERGÖTLANDS LÄN</t>
        </is>
      </c>
      <c r="E341" t="inlineStr">
        <is>
          <t>LINKÖPING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15658-2023</t>
        </is>
      </c>
      <c r="B342" s="1" t="n">
        <v>45021.41194444444</v>
      </c>
      <c r="C342" s="1" t="n">
        <v>46178</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51583-2024</t>
        </is>
      </c>
      <c r="B343" s="1" t="n">
        <v>45604.6397337963</v>
      </c>
      <c r="C343" s="1" t="n">
        <v>46178</v>
      </c>
      <c r="D343" t="inlineStr">
        <is>
          <t>ÖSTERGÖTLANDS LÄN</t>
        </is>
      </c>
      <c r="E343" t="inlineStr">
        <is>
          <t>LINKÖPING</t>
        </is>
      </c>
      <c r="F343" t="inlineStr">
        <is>
          <t>Övriga Aktiebolag</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48266-2025</t>
        </is>
      </c>
      <c r="B344" s="1" t="n">
        <v>45932</v>
      </c>
      <c r="C344" s="1" t="n">
        <v>46178</v>
      </c>
      <c r="D344" t="inlineStr">
        <is>
          <t>ÖSTERGÖTLANDS LÄN</t>
        </is>
      </c>
      <c r="E344" t="inlineStr">
        <is>
          <t>LINKÖPING</t>
        </is>
      </c>
      <c r="F344" t="inlineStr">
        <is>
          <t>Övriga Aktiebolag</t>
        </is>
      </c>
      <c r="G344" t="n">
        <v>0.5</v>
      </c>
      <c r="H344" t="n">
        <v>0</v>
      </c>
      <c r="I344" t="n">
        <v>0</v>
      </c>
      <c r="J344" t="n">
        <v>0</v>
      </c>
      <c r="K344" t="n">
        <v>0</v>
      </c>
      <c r="L344" t="n">
        <v>0</v>
      </c>
      <c r="M344" t="n">
        <v>0</v>
      </c>
      <c r="N344" t="n">
        <v>0</v>
      </c>
      <c r="O344" t="n">
        <v>0</v>
      </c>
      <c r="P344" t="n">
        <v>0</v>
      </c>
      <c r="Q344" t="n">
        <v>0</v>
      </c>
      <c r="R344" s="2" t="inlineStr"/>
    </row>
    <row r="345" ht="15" customHeight="1">
      <c r="A345" t="inlineStr">
        <is>
          <t>A 64694-2023</t>
        </is>
      </c>
      <c r="B345" s="1" t="n">
        <v>45281</v>
      </c>
      <c r="C345" s="1" t="n">
        <v>46178</v>
      </c>
      <c r="D345" t="inlineStr">
        <is>
          <t>ÖSTERGÖTLANDS LÄN</t>
        </is>
      </c>
      <c r="E345" t="inlineStr">
        <is>
          <t>LINKÖPING</t>
        </is>
      </c>
      <c r="F345" t="inlineStr">
        <is>
          <t>Övriga statliga verk och myndigheter</t>
        </is>
      </c>
      <c r="G345" t="n">
        <v>4.9</v>
      </c>
      <c r="H345" t="n">
        <v>0</v>
      </c>
      <c r="I345" t="n">
        <v>0</v>
      </c>
      <c r="J345" t="n">
        <v>0</v>
      </c>
      <c r="K345" t="n">
        <v>0</v>
      </c>
      <c r="L345" t="n">
        <v>0</v>
      </c>
      <c r="M345" t="n">
        <v>0</v>
      </c>
      <c r="N345" t="n">
        <v>0</v>
      </c>
      <c r="O345" t="n">
        <v>0</v>
      </c>
      <c r="P345" t="n">
        <v>0</v>
      </c>
      <c r="Q345" t="n">
        <v>0</v>
      </c>
      <c r="R345" s="2" t="inlineStr"/>
    </row>
    <row r="346" ht="15" customHeight="1">
      <c r="A346" t="inlineStr">
        <is>
          <t>A 32602-2022</t>
        </is>
      </c>
      <c r="B346" s="1" t="n">
        <v>44783.43192129629</v>
      </c>
      <c r="C346" s="1" t="n">
        <v>46178</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10479-2026</t>
        </is>
      </c>
      <c r="B347" s="1" t="n">
        <v>46077.49231481482</v>
      </c>
      <c r="C347" s="1" t="n">
        <v>46178</v>
      </c>
      <c r="D347" t="inlineStr">
        <is>
          <t>ÖSTERGÖTLANDS LÄN</t>
        </is>
      </c>
      <c r="E347" t="inlineStr">
        <is>
          <t>LINKÖPING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62321-2022</t>
        </is>
      </c>
      <c r="B348" s="1" t="n">
        <v>44916</v>
      </c>
      <c r="C348" s="1" t="n">
        <v>46178</v>
      </c>
      <c r="D348" t="inlineStr">
        <is>
          <t>ÖSTERGÖTLANDS LÄN</t>
        </is>
      </c>
      <c r="E348" t="inlineStr">
        <is>
          <t>LINKÖPING</t>
        </is>
      </c>
      <c r="F348" t="inlineStr">
        <is>
          <t>Kommuner</t>
        </is>
      </c>
      <c r="G348" t="n">
        <v>5.3</v>
      </c>
      <c r="H348" t="n">
        <v>0</v>
      </c>
      <c r="I348" t="n">
        <v>0</v>
      </c>
      <c r="J348" t="n">
        <v>0</v>
      </c>
      <c r="K348" t="n">
        <v>0</v>
      </c>
      <c r="L348" t="n">
        <v>0</v>
      </c>
      <c r="M348" t="n">
        <v>0</v>
      </c>
      <c r="N348" t="n">
        <v>0</v>
      </c>
      <c r="O348" t="n">
        <v>0</v>
      </c>
      <c r="P348" t="n">
        <v>0</v>
      </c>
      <c r="Q348" t="n">
        <v>0</v>
      </c>
      <c r="R348" s="2" t="inlineStr"/>
    </row>
    <row r="349" ht="15" customHeight="1">
      <c r="A349" t="inlineStr">
        <is>
          <t>A 10756-2026</t>
        </is>
      </c>
      <c r="B349" s="1" t="n">
        <v>46078.55412037037</v>
      </c>
      <c r="C349" s="1" t="n">
        <v>46178</v>
      </c>
      <c r="D349" t="inlineStr">
        <is>
          <t>ÖSTERGÖTLANDS LÄN</t>
        </is>
      </c>
      <c r="E349" t="inlineStr">
        <is>
          <t>LINKÖPING</t>
        </is>
      </c>
      <c r="F349" t="inlineStr">
        <is>
          <t>Övriga Aktiebolag</t>
        </is>
      </c>
      <c r="G349" t="n">
        <v>1.2</v>
      </c>
      <c r="H349" t="n">
        <v>0</v>
      </c>
      <c r="I349" t="n">
        <v>0</v>
      </c>
      <c r="J349" t="n">
        <v>0</v>
      </c>
      <c r="K349" t="n">
        <v>0</v>
      </c>
      <c r="L349" t="n">
        <v>0</v>
      </c>
      <c r="M349" t="n">
        <v>0</v>
      </c>
      <c r="N349" t="n">
        <v>0</v>
      </c>
      <c r="O349" t="n">
        <v>0</v>
      </c>
      <c r="P349" t="n">
        <v>0</v>
      </c>
      <c r="Q349" t="n">
        <v>0</v>
      </c>
      <c r="R349" s="2" t="inlineStr"/>
    </row>
    <row r="350" ht="15" customHeight="1">
      <c r="A350" t="inlineStr">
        <is>
          <t>A 10764-2026</t>
        </is>
      </c>
      <c r="B350" s="1" t="n">
        <v>46078</v>
      </c>
      <c r="C350" s="1" t="n">
        <v>46178</v>
      </c>
      <c r="D350" t="inlineStr">
        <is>
          <t>ÖSTERGÖTLANDS LÄN</t>
        </is>
      </c>
      <c r="E350" t="inlineStr">
        <is>
          <t>LINKÖPING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10477-2026</t>
        </is>
      </c>
      <c r="B351" s="1" t="n">
        <v>46077.4871875</v>
      </c>
      <c r="C351" s="1" t="n">
        <v>46178</v>
      </c>
      <c r="D351" t="inlineStr">
        <is>
          <t>ÖSTERGÖTLANDS LÄN</t>
        </is>
      </c>
      <c r="E351" t="inlineStr">
        <is>
          <t>LINKÖPING</t>
        </is>
      </c>
      <c r="G351" t="n">
        <v>9.6</v>
      </c>
      <c r="H351" t="n">
        <v>0</v>
      </c>
      <c r="I351" t="n">
        <v>0</v>
      </c>
      <c r="J351" t="n">
        <v>0</v>
      </c>
      <c r="K351" t="n">
        <v>0</v>
      </c>
      <c r="L351" t="n">
        <v>0</v>
      </c>
      <c r="M351" t="n">
        <v>0</v>
      </c>
      <c r="N351" t="n">
        <v>0</v>
      </c>
      <c r="O351" t="n">
        <v>0</v>
      </c>
      <c r="P351" t="n">
        <v>0</v>
      </c>
      <c r="Q351" t="n">
        <v>0</v>
      </c>
      <c r="R351" s="2" t="inlineStr"/>
    </row>
    <row r="352" ht="15" customHeight="1">
      <c r="A352" t="inlineStr">
        <is>
          <t>A 11169-2026</t>
        </is>
      </c>
      <c r="B352" s="1" t="n">
        <v>46080.37020833333</v>
      </c>
      <c r="C352" s="1" t="n">
        <v>46178</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11033-2026</t>
        </is>
      </c>
      <c r="B353" s="1" t="n">
        <v>46079.57361111111</v>
      </c>
      <c r="C353" s="1" t="n">
        <v>46178</v>
      </c>
      <c r="D353" t="inlineStr">
        <is>
          <t>ÖSTERGÖTLANDS LÄN</t>
        </is>
      </c>
      <c r="E353" t="inlineStr">
        <is>
          <t>LINKÖPING</t>
        </is>
      </c>
      <c r="G353" t="n">
        <v>7.9</v>
      </c>
      <c r="H353" t="n">
        <v>0</v>
      </c>
      <c r="I353" t="n">
        <v>0</v>
      </c>
      <c r="J353" t="n">
        <v>0</v>
      </c>
      <c r="K353" t="n">
        <v>0</v>
      </c>
      <c r="L353" t="n">
        <v>0</v>
      </c>
      <c r="M353" t="n">
        <v>0</v>
      </c>
      <c r="N353" t="n">
        <v>0</v>
      </c>
      <c r="O353" t="n">
        <v>0</v>
      </c>
      <c r="P353" t="n">
        <v>0</v>
      </c>
      <c r="Q353" t="n">
        <v>0</v>
      </c>
      <c r="R353" s="2" t="inlineStr"/>
    </row>
    <row r="354" ht="15" customHeight="1">
      <c r="A354" t="inlineStr">
        <is>
          <t>A 1084-2023</t>
        </is>
      </c>
      <c r="B354" s="1" t="n">
        <v>44929</v>
      </c>
      <c r="C354" s="1" t="n">
        <v>46178</v>
      </c>
      <c r="D354" t="inlineStr">
        <is>
          <t>ÖSTERGÖTLANDS LÄN</t>
        </is>
      </c>
      <c r="E354" t="inlineStr">
        <is>
          <t>LINKÖPING</t>
        </is>
      </c>
      <c r="G354" t="n">
        <v>10.4</v>
      </c>
      <c r="H354" t="n">
        <v>0</v>
      </c>
      <c r="I354" t="n">
        <v>0</v>
      </c>
      <c r="J354" t="n">
        <v>0</v>
      </c>
      <c r="K354" t="n">
        <v>0</v>
      </c>
      <c r="L354" t="n">
        <v>0</v>
      </c>
      <c r="M354" t="n">
        <v>0</v>
      </c>
      <c r="N354" t="n">
        <v>0</v>
      </c>
      <c r="O354" t="n">
        <v>0</v>
      </c>
      <c r="P354" t="n">
        <v>0</v>
      </c>
      <c r="Q354" t="n">
        <v>0</v>
      </c>
      <c r="R354" s="2" t="inlineStr"/>
    </row>
    <row r="355" ht="15" customHeight="1">
      <c r="A355" t="inlineStr">
        <is>
          <t>A 267-2023</t>
        </is>
      </c>
      <c r="B355" s="1" t="n">
        <v>44928.80907407407</v>
      </c>
      <c r="C355" s="1" t="n">
        <v>46178</v>
      </c>
      <c r="D355" t="inlineStr">
        <is>
          <t>ÖSTERGÖTLANDS LÄN</t>
        </is>
      </c>
      <c r="E355" t="inlineStr">
        <is>
          <t>LINKÖPING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940-2023</t>
        </is>
      </c>
      <c r="B356" s="1" t="n">
        <v>44933</v>
      </c>
      <c r="C356" s="1" t="n">
        <v>46178</v>
      </c>
      <c r="D356" t="inlineStr">
        <is>
          <t>ÖSTERGÖTLANDS LÄN</t>
        </is>
      </c>
      <c r="E356" t="inlineStr">
        <is>
          <t>LINKÖPING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11036-2026</t>
        </is>
      </c>
      <c r="B357" s="1" t="n">
        <v>46079.57836805555</v>
      </c>
      <c r="C357" s="1" t="n">
        <v>46178</v>
      </c>
      <c r="D357" t="inlineStr">
        <is>
          <t>ÖSTERGÖTLANDS LÄN</t>
        </is>
      </c>
      <c r="E357" t="inlineStr">
        <is>
          <t>LINKÖPING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11057-2026</t>
        </is>
      </c>
      <c r="B358" s="1" t="n">
        <v>46079.59515046296</v>
      </c>
      <c r="C358" s="1" t="n">
        <v>46178</v>
      </c>
      <c r="D358" t="inlineStr">
        <is>
          <t>ÖSTERGÖTLANDS LÄN</t>
        </is>
      </c>
      <c r="E358" t="inlineStr">
        <is>
          <t>LINKÖPING</t>
        </is>
      </c>
      <c r="G358" t="n">
        <v>2.9</v>
      </c>
      <c r="H358" t="n">
        <v>0</v>
      </c>
      <c r="I358" t="n">
        <v>0</v>
      </c>
      <c r="J358" t="n">
        <v>0</v>
      </c>
      <c r="K358" t="n">
        <v>0</v>
      </c>
      <c r="L358" t="n">
        <v>0</v>
      </c>
      <c r="M358" t="n">
        <v>0</v>
      </c>
      <c r="N358" t="n">
        <v>0</v>
      </c>
      <c r="O358" t="n">
        <v>0</v>
      </c>
      <c r="P358" t="n">
        <v>0</v>
      </c>
      <c r="Q358" t="n">
        <v>0</v>
      </c>
      <c r="R358" s="2" t="inlineStr"/>
    </row>
    <row r="359" ht="15" customHeight="1">
      <c r="A359" t="inlineStr">
        <is>
          <t>A 30980-2022</t>
        </is>
      </c>
      <c r="B359" s="1" t="n">
        <v>44768</v>
      </c>
      <c r="C359" s="1" t="n">
        <v>46178</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60007-2022</t>
        </is>
      </c>
      <c r="B360" s="1" t="n">
        <v>44909.47282407407</v>
      </c>
      <c r="C360" s="1" t="n">
        <v>46178</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50799-2022</t>
        </is>
      </c>
      <c r="B361" s="1" t="n">
        <v>44862</v>
      </c>
      <c r="C361" s="1" t="n">
        <v>46178</v>
      </c>
      <c r="D361" t="inlineStr">
        <is>
          <t>ÖSTERGÖTLANDS LÄN</t>
        </is>
      </c>
      <c r="E361" t="inlineStr">
        <is>
          <t>LINKÖPING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49632-2025</t>
        </is>
      </c>
      <c r="B362" s="1" t="n">
        <v>45938</v>
      </c>
      <c r="C362" s="1" t="n">
        <v>46178</v>
      </c>
      <c r="D362" t="inlineStr">
        <is>
          <t>ÖSTERGÖTLANDS LÄN</t>
        </is>
      </c>
      <c r="E362" t="inlineStr">
        <is>
          <t>LINKÖPING</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49647-2025</t>
        </is>
      </c>
      <c r="B363" s="1" t="n">
        <v>45938</v>
      </c>
      <c r="C363" s="1" t="n">
        <v>46178</v>
      </c>
      <c r="D363" t="inlineStr">
        <is>
          <t>ÖSTERGÖTLANDS LÄN</t>
        </is>
      </c>
      <c r="E363" t="inlineStr">
        <is>
          <t>LINKÖPING</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49654-2025</t>
        </is>
      </c>
      <c r="B364" s="1" t="n">
        <v>45938</v>
      </c>
      <c r="C364" s="1" t="n">
        <v>46178</v>
      </c>
      <c r="D364" t="inlineStr">
        <is>
          <t>ÖSTERGÖTLANDS LÄN</t>
        </is>
      </c>
      <c r="E364" t="inlineStr">
        <is>
          <t>LINKÖPING</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56064-2022</t>
        </is>
      </c>
      <c r="B365" s="1" t="n">
        <v>44889.59107638889</v>
      </c>
      <c r="C365" s="1" t="n">
        <v>46178</v>
      </c>
      <c r="D365" t="inlineStr">
        <is>
          <t>ÖSTERGÖTLANDS LÄN</t>
        </is>
      </c>
      <c r="E365" t="inlineStr">
        <is>
          <t>LINKÖPING</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25829-2025</t>
        </is>
      </c>
      <c r="B366" s="1" t="n">
        <v>45804.44505787037</v>
      </c>
      <c r="C366" s="1" t="n">
        <v>46178</v>
      </c>
      <c r="D366" t="inlineStr">
        <is>
          <t>ÖSTERGÖTLANDS LÄN</t>
        </is>
      </c>
      <c r="E366" t="inlineStr">
        <is>
          <t>LINKÖPING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47703-2023</t>
        </is>
      </c>
      <c r="B367" s="1" t="n">
        <v>45203</v>
      </c>
      <c r="C367" s="1" t="n">
        <v>46178</v>
      </c>
      <c r="D367" t="inlineStr">
        <is>
          <t>ÖSTERGÖTLANDS LÄN</t>
        </is>
      </c>
      <c r="E367" t="inlineStr">
        <is>
          <t>LINKÖPING</t>
        </is>
      </c>
      <c r="G367" t="n">
        <v>4.1</v>
      </c>
      <c r="H367" t="n">
        <v>0</v>
      </c>
      <c r="I367" t="n">
        <v>0</v>
      </c>
      <c r="J367" t="n">
        <v>0</v>
      </c>
      <c r="K367" t="n">
        <v>0</v>
      </c>
      <c r="L367" t="n">
        <v>0</v>
      </c>
      <c r="M367" t="n">
        <v>0</v>
      </c>
      <c r="N367" t="n">
        <v>0</v>
      </c>
      <c r="O367" t="n">
        <v>0</v>
      </c>
      <c r="P367" t="n">
        <v>0</v>
      </c>
      <c r="Q367" t="n">
        <v>0</v>
      </c>
      <c r="R367" s="2" t="inlineStr"/>
    </row>
    <row r="368" ht="15" customHeight="1">
      <c r="A368" t="inlineStr">
        <is>
          <t>A 49615-2025</t>
        </is>
      </c>
      <c r="B368" s="1" t="n">
        <v>45938</v>
      </c>
      <c r="C368" s="1" t="n">
        <v>46178</v>
      </c>
      <c r="D368" t="inlineStr">
        <is>
          <t>ÖSTERGÖTLANDS LÄN</t>
        </is>
      </c>
      <c r="E368" t="inlineStr">
        <is>
          <t>LINKÖPING</t>
        </is>
      </c>
      <c r="F368" t="inlineStr">
        <is>
          <t>Övriga Aktiebolag</t>
        </is>
      </c>
      <c r="G368" t="n">
        <v>1.6</v>
      </c>
      <c r="H368" t="n">
        <v>0</v>
      </c>
      <c r="I368" t="n">
        <v>0</v>
      </c>
      <c r="J368" t="n">
        <v>0</v>
      </c>
      <c r="K368" t="n">
        <v>0</v>
      </c>
      <c r="L368" t="n">
        <v>0</v>
      </c>
      <c r="M368" t="n">
        <v>0</v>
      </c>
      <c r="N368" t="n">
        <v>0</v>
      </c>
      <c r="O368" t="n">
        <v>0</v>
      </c>
      <c r="P368" t="n">
        <v>0</v>
      </c>
      <c r="Q368" t="n">
        <v>0</v>
      </c>
      <c r="R368" s="2" t="inlineStr"/>
    </row>
    <row r="369" ht="15" customHeight="1">
      <c r="A369" t="inlineStr">
        <is>
          <t>A 49633-2025</t>
        </is>
      </c>
      <c r="B369" s="1" t="n">
        <v>45938</v>
      </c>
      <c r="C369" s="1" t="n">
        <v>46178</v>
      </c>
      <c r="D369" t="inlineStr">
        <is>
          <t>ÖSTERGÖTLANDS LÄN</t>
        </is>
      </c>
      <c r="E369" t="inlineStr">
        <is>
          <t>LINKÖPING</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16111-2022</t>
        </is>
      </c>
      <c r="B370" s="1" t="n">
        <v>44665</v>
      </c>
      <c r="C370" s="1" t="n">
        <v>46178</v>
      </c>
      <c r="D370" t="inlineStr">
        <is>
          <t>ÖSTERGÖTLANDS LÄN</t>
        </is>
      </c>
      <c r="E370" t="inlineStr">
        <is>
          <t>LINKÖPING</t>
        </is>
      </c>
      <c r="F370" t="inlineStr">
        <is>
          <t>Övriga Aktiebolag</t>
        </is>
      </c>
      <c r="G370" t="n">
        <v>2.9</v>
      </c>
      <c r="H370" t="n">
        <v>0</v>
      </c>
      <c r="I370" t="n">
        <v>0</v>
      </c>
      <c r="J370" t="n">
        <v>0</v>
      </c>
      <c r="K370" t="n">
        <v>0</v>
      </c>
      <c r="L370" t="n">
        <v>0</v>
      </c>
      <c r="M370" t="n">
        <v>0</v>
      </c>
      <c r="N370" t="n">
        <v>0</v>
      </c>
      <c r="O370" t="n">
        <v>0</v>
      </c>
      <c r="P370" t="n">
        <v>0</v>
      </c>
      <c r="Q370" t="n">
        <v>0</v>
      </c>
      <c r="R370" s="2" t="inlineStr"/>
    </row>
    <row r="371" ht="15" customHeight="1">
      <c r="A371" t="inlineStr">
        <is>
          <t>A 48962-2022</t>
        </is>
      </c>
      <c r="B371" s="1" t="n">
        <v>44860.31635416667</v>
      </c>
      <c r="C371" s="1" t="n">
        <v>46178</v>
      </c>
      <c r="D371" t="inlineStr">
        <is>
          <t>ÖSTERGÖTLANDS LÄN</t>
        </is>
      </c>
      <c r="E371" t="inlineStr">
        <is>
          <t>LINKÖPING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11891-2026</t>
        </is>
      </c>
      <c r="B372" s="1" t="n">
        <v>46085.5197800926</v>
      </c>
      <c r="C372" s="1" t="n">
        <v>46178</v>
      </c>
      <c r="D372" t="inlineStr">
        <is>
          <t>ÖSTERGÖTLANDS LÄN</t>
        </is>
      </c>
      <c r="E372" t="inlineStr">
        <is>
          <t>LINKÖPING</t>
        </is>
      </c>
      <c r="G372" t="n">
        <v>2.8</v>
      </c>
      <c r="H372" t="n">
        <v>0</v>
      </c>
      <c r="I372" t="n">
        <v>0</v>
      </c>
      <c r="J372" t="n">
        <v>0</v>
      </c>
      <c r="K372" t="n">
        <v>0</v>
      </c>
      <c r="L372" t="n">
        <v>0</v>
      </c>
      <c r="M372" t="n">
        <v>0</v>
      </c>
      <c r="N372" t="n">
        <v>0</v>
      </c>
      <c r="O372" t="n">
        <v>0</v>
      </c>
      <c r="P372" t="n">
        <v>0</v>
      </c>
      <c r="Q372" t="n">
        <v>0</v>
      </c>
      <c r="R372" s="2" t="inlineStr"/>
    </row>
    <row r="373" ht="15" customHeight="1">
      <c r="A373" t="inlineStr">
        <is>
          <t>A 50056-2025</t>
        </is>
      </c>
      <c r="B373" s="1" t="n">
        <v>45941</v>
      </c>
      <c r="C373" s="1" t="n">
        <v>46178</v>
      </c>
      <c r="D373" t="inlineStr">
        <is>
          <t>ÖSTERGÖTLANDS LÄN</t>
        </is>
      </c>
      <c r="E373" t="inlineStr">
        <is>
          <t>LINKÖPING</t>
        </is>
      </c>
      <c r="G373" t="n">
        <v>0.3</v>
      </c>
      <c r="H373" t="n">
        <v>0</v>
      </c>
      <c r="I373" t="n">
        <v>0</v>
      </c>
      <c r="J373" t="n">
        <v>0</v>
      </c>
      <c r="K373" t="n">
        <v>0</v>
      </c>
      <c r="L373" t="n">
        <v>0</v>
      </c>
      <c r="M373" t="n">
        <v>0</v>
      </c>
      <c r="N373" t="n">
        <v>0</v>
      </c>
      <c r="O373" t="n">
        <v>0</v>
      </c>
      <c r="P373" t="n">
        <v>0</v>
      </c>
      <c r="Q373" t="n">
        <v>0</v>
      </c>
      <c r="R373" s="2" t="inlineStr"/>
    </row>
    <row r="374" ht="15" customHeight="1">
      <c r="A374" t="inlineStr">
        <is>
          <t>A 50667-2025</t>
        </is>
      </c>
      <c r="B374" s="1" t="n">
        <v>45945</v>
      </c>
      <c r="C374" s="1" t="n">
        <v>46178</v>
      </c>
      <c r="D374" t="inlineStr">
        <is>
          <t>ÖSTERGÖTLANDS LÄN</t>
        </is>
      </c>
      <c r="E374" t="inlineStr">
        <is>
          <t>LINKÖPING</t>
        </is>
      </c>
      <c r="G374" t="n">
        <v>3.3</v>
      </c>
      <c r="H374" t="n">
        <v>0</v>
      </c>
      <c r="I374" t="n">
        <v>0</v>
      </c>
      <c r="J374" t="n">
        <v>0</v>
      </c>
      <c r="K374" t="n">
        <v>0</v>
      </c>
      <c r="L374" t="n">
        <v>0</v>
      </c>
      <c r="M374" t="n">
        <v>0</v>
      </c>
      <c r="N374" t="n">
        <v>0</v>
      </c>
      <c r="O374" t="n">
        <v>0</v>
      </c>
      <c r="P374" t="n">
        <v>0</v>
      </c>
      <c r="Q374" t="n">
        <v>0</v>
      </c>
      <c r="R374" s="2" t="inlineStr"/>
    </row>
    <row r="375" ht="15" customHeight="1">
      <c r="A375" t="inlineStr">
        <is>
          <t>A 11888-2026</t>
        </is>
      </c>
      <c r="B375" s="1" t="n">
        <v>46085.51813657407</v>
      </c>
      <c r="C375" s="1" t="n">
        <v>46178</v>
      </c>
      <c r="D375" t="inlineStr">
        <is>
          <t>ÖSTERGÖTLANDS LÄN</t>
        </is>
      </c>
      <c r="E375" t="inlineStr">
        <is>
          <t>LINKÖPING</t>
        </is>
      </c>
      <c r="G375" t="n">
        <v>3.6</v>
      </c>
      <c r="H375" t="n">
        <v>0</v>
      </c>
      <c r="I375" t="n">
        <v>0</v>
      </c>
      <c r="J375" t="n">
        <v>0</v>
      </c>
      <c r="K375" t="n">
        <v>0</v>
      </c>
      <c r="L375" t="n">
        <v>0</v>
      </c>
      <c r="M375" t="n">
        <v>0</v>
      </c>
      <c r="N375" t="n">
        <v>0</v>
      </c>
      <c r="O375" t="n">
        <v>0</v>
      </c>
      <c r="P375" t="n">
        <v>0</v>
      </c>
      <c r="Q375" t="n">
        <v>0</v>
      </c>
      <c r="R375" s="2" t="inlineStr"/>
    </row>
    <row r="376" ht="15" customHeight="1">
      <c r="A376" t="inlineStr">
        <is>
          <t>A 27891-2021</t>
        </is>
      </c>
      <c r="B376" s="1" t="n">
        <v>44354.65108796296</v>
      </c>
      <c r="C376" s="1" t="n">
        <v>46178</v>
      </c>
      <c r="D376" t="inlineStr">
        <is>
          <t>ÖSTERGÖTLANDS LÄN</t>
        </is>
      </c>
      <c r="E376" t="inlineStr">
        <is>
          <t>LINKÖPING</t>
        </is>
      </c>
      <c r="G376" t="n">
        <v>1.8</v>
      </c>
      <c r="H376" t="n">
        <v>0</v>
      </c>
      <c r="I376" t="n">
        <v>0</v>
      </c>
      <c r="J376" t="n">
        <v>0</v>
      </c>
      <c r="K376" t="n">
        <v>0</v>
      </c>
      <c r="L376" t="n">
        <v>0</v>
      </c>
      <c r="M376" t="n">
        <v>0</v>
      </c>
      <c r="N376" t="n">
        <v>0</v>
      </c>
      <c r="O376" t="n">
        <v>0</v>
      </c>
      <c r="P376" t="n">
        <v>0</v>
      </c>
      <c r="Q376" t="n">
        <v>0</v>
      </c>
      <c r="R376" s="2" t="inlineStr"/>
    </row>
    <row r="377" ht="15" customHeight="1">
      <c r="A377" t="inlineStr">
        <is>
          <t>A 12251-2026</t>
        </is>
      </c>
      <c r="B377" s="1" t="n">
        <v>46087.45278935185</v>
      </c>
      <c r="C377" s="1" t="n">
        <v>46178</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1268-2023</t>
        </is>
      </c>
      <c r="B378" s="1" t="n">
        <v>44936</v>
      </c>
      <c r="C378" s="1" t="n">
        <v>46178</v>
      </c>
      <c r="D378" t="inlineStr">
        <is>
          <t>ÖSTERGÖTLANDS LÄN</t>
        </is>
      </c>
      <c r="E378" t="inlineStr">
        <is>
          <t>LINKÖPING</t>
        </is>
      </c>
      <c r="G378" t="n">
        <v>4.6</v>
      </c>
      <c r="H378" t="n">
        <v>0</v>
      </c>
      <c r="I378" t="n">
        <v>0</v>
      </c>
      <c r="J378" t="n">
        <v>0</v>
      </c>
      <c r="K378" t="n">
        <v>0</v>
      </c>
      <c r="L378" t="n">
        <v>0</v>
      </c>
      <c r="M378" t="n">
        <v>0</v>
      </c>
      <c r="N378" t="n">
        <v>0</v>
      </c>
      <c r="O378" t="n">
        <v>0</v>
      </c>
      <c r="P378" t="n">
        <v>0</v>
      </c>
      <c r="Q378" t="n">
        <v>0</v>
      </c>
      <c r="R378" s="2" t="inlineStr"/>
    </row>
    <row r="379" ht="15" customHeight="1">
      <c r="A379" t="inlineStr">
        <is>
          <t>A 61281-2021</t>
        </is>
      </c>
      <c r="B379" s="1" t="n">
        <v>44498.60736111111</v>
      </c>
      <c r="C379" s="1" t="n">
        <v>46178</v>
      </c>
      <c r="D379" t="inlineStr">
        <is>
          <t>ÖSTERGÖTLANDS LÄN</t>
        </is>
      </c>
      <c r="E379" t="inlineStr">
        <is>
          <t>LINKÖPING</t>
        </is>
      </c>
      <c r="G379" t="n">
        <v>4.5</v>
      </c>
      <c r="H379" t="n">
        <v>0</v>
      </c>
      <c r="I379" t="n">
        <v>0</v>
      </c>
      <c r="J379" t="n">
        <v>0</v>
      </c>
      <c r="K379" t="n">
        <v>0</v>
      </c>
      <c r="L379" t="n">
        <v>0</v>
      </c>
      <c r="M379" t="n">
        <v>0</v>
      </c>
      <c r="N379" t="n">
        <v>0</v>
      </c>
      <c r="O379" t="n">
        <v>0</v>
      </c>
      <c r="P379" t="n">
        <v>0</v>
      </c>
      <c r="Q379" t="n">
        <v>0</v>
      </c>
      <c r="R379" s="2" t="inlineStr"/>
    </row>
    <row r="380" ht="15" customHeight="1">
      <c r="A380" t="inlineStr">
        <is>
          <t>A 34641-2022</t>
        </is>
      </c>
      <c r="B380" s="1" t="n">
        <v>44795</v>
      </c>
      <c r="C380" s="1" t="n">
        <v>46178</v>
      </c>
      <c r="D380" t="inlineStr">
        <is>
          <t>ÖSTERGÖTLANDS LÄN</t>
        </is>
      </c>
      <c r="E380" t="inlineStr">
        <is>
          <t>LINKÖPING</t>
        </is>
      </c>
      <c r="G380" t="n">
        <v>2.4</v>
      </c>
      <c r="H380" t="n">
        <v>0</v>
      </c>
      <c r="I380" t="n">
        <v>0</v>
      </c>
      <c r="J380" t="n">
        <v>0</v>
      </c>
      <c r="K380" t="n">
        <v>0</v>
      </c>
      <c r="L380" t="n">
        <v>0</v>
      </c>
      <c r="M380" t="n">
        <v>0</v>
      </c>
      <c r="N380" t="n">
        <v>0</v>
      </c>
      <c r="O380" t="n">
        <v>0</v>
      </c>
      <c r="P380" t="n">
        <v>0</v>
      </c>
      <c r="Q380" t="n">
        <v>0</v>
      </c>
      <c r="R380" s="2" t="inlineStr"/>
    </row>
    <row r="381" ht="15" customHeight="1">
      <c r="A381" t="inlineStr">
        <is>
          <t>A 12254-2026</t>
        </is>
      </c>
      <c r="B381" s="1" t="n">
        <v>46087.46196759259</v>
      </c>
      <c r="C381" s="1" t="n">
        <v>46178</v>
      </c>
      <c r="D381" t="inlineStr">
        <is>
          <t>ÖSTERGÖTLANDS LÄN</t>
        </is>
      </c>
      <c r="E381" t="inlineStr">
        <is>
          <t>LINKÖPING</t>
        </is>
      </c>
      <c r="G381" t="n">
        <v>10.4</v>
      </c>
      <c r="H381" t="n">
        <v>0</v>
      </c>
      <c r="I381" t="n">
        <v>0</v>
      </c>
      <c r="J381" t="n">
        <v>0</v>
      </c>
      <c r="K381" t="n">
        <v>0</v>
      </c>
      <c r="L381" t="n">
        <v>0</v>
      </c>
      <c r="M381" t="n">
        <v>0</v>
      </c>
      <c r="N381" t="n">
        <v>0</v>
      </c>
      <c r="O381" t="n">
        <v>0</v>
      </c>
      <c r="P381" t="n">
        <v>0</v>
      </c>
      <c r="Q381" t="n">
        <v>0</v>
      </c>
      <c r="R381" s="2" t="inlineStr"/>
    </row>
    <row r="382" ht="15" customHeight="1">
      <c r="A382" t="inlineStr">
        <is>
          <t>A 63935-2021</t>
        </is>
      </c>
      <c r="B382" s="1" t="n">
        <v>44509</v>
      </c>
      <c r="C382" s="1" t="n">
        <v>46178</v>
      </c>
      <c r="D382" t="inlineStr">
        <is>
          <t>ÖSTERGÖTLANDS LÄN</t>
        </is>
      </c>
      <c r="E382" t="inlineStr">
        <is>
          <t>LINKÖPING</t>
        </is>
      </c>
      <c r="F382" t="inlineStr">
        <is>
          <t>Övriga statliga verk och myndigheter</t>
        </is>
      </c>
      <c r="G382" t="n">
        <v>2.8</v>
      </c>
      <c r="H382" t="n">
        <v>0</v>
      </c>
      <c r="I382" t="n">
        <v>0</v>
      </c>
      <c r="J382" t="n">
        <v>0</v>
      </c>
      <c r="K382" t="n">
        <v>0</v>
      </c>
      <c r="L382" t="n">
        <v>0</v>
      </c>
      <c r="M382" t="n">
        <v>0</v>
      </c>
      <c r="N382" t="n">
        <v>0</v>
      </c>
      <c r="O382" t="n">
        <v>0</v>
      </c>
      <c r="P382" t="n">
        <v>0</v>
      </c>
      <c r="Q382" t="n">
        <v>0</v>
      </c>
      <c r="R382" s="2" t="inlineStr"/>
    </row>
    <row r="383" ht="15" customHeight="1">
      <c r="A383" t="inlineStr">
        <is>
          <t>A 38971-2025</t>
        </is>
      </c>
      <c r="B383" s="1" t="n">
        <v>45887.71827546296</v>
      </c>
      <c r="C383" s="1" t="n">
        <v>46178</v>
      </c>
      <c r="D383" t="inlineStr">
        <is>
          <t>ÖSTERGÖTLANDS LÄN</t>
        </is>
      </c>
      <c r="E383" t="inlineStr">
        <is>
          <t>LINKÖPING</t>
        </is>
      </c>
      <c r="G383" t="n">
        <v>3.9</v>
      </c>
      <c r="H383" t="n">
        <v>0</v>
      </c>
      <c r="I383" t="n">
        <v>0</v>
      </c>
      <c r="J383" t="n">
        <v>0</v>
      </c>
      <c r="K383" t="n">
        <v>0</v>
      </c>
      <c r="L383" t="n">
        <v>0</v>
      </c>
      <c r="M383" t="n">
        <v>0</v>
      </c>
      <c r="N383" t="n">
        <v>0</v>
      </c>
      <c r="O383" t="n">
        <v>0</v>
      </c>
      <c r="P383" t="n">
        <v>0</v>
      </c>
      <c r="Q383" t="n">
        <v>0</v>
      </c>
      <c r="R383" s="2" t="inlineStr"/>
    </row>
    <row r="384" ht="15" customHeight="1">
      <c r="A384" t="inlineStr">
        <is>
          <t>A 55345-2021</t>
        </is>
      </c>
      <c r="B384" s="1" t="n">
        <v>44475</v>
      </c>
      <c r="C384" s="1" t="n">
        <v>46178</v>
      </c>
      <c r="D384" t="inlineStr">
        <is>
          <t>ÖSTERGÖTLANDS LÄN</t>
        </is>
      </c>
      <c r="E384" t="inlineStr">
        <is>
          <t>LINKÖPING</t>
        </is>
      </c>
      <c r="G384" t="n">
        <v>5.7</v>
      </c>
      <c r="H384" t="n">
        <v>0</v>
      </c>
      <c r="I384" t="n">
        <v>0</v>
      </c>
      <c r="J384" t="n">
        <v>0</v>
      </c>
      <c r="K384" t="n">
        <v>0</v>
      </c>
      <c r="L384" t="n">
        <v>0</v>
      </c>
      <c r="M384" t="n">
        <v>0</v>
      </c>
      <c r="N384" t="n">
        <v>0</v>
      </c>
      <c r="O384" t="n">
        <v>0</v>
      </c>
      <c r="P384" t="n">
        <v>0</v>
      </c>
      <c r="Q384" t="n">
        <v>0</v>
      </c>
      <c r="R384" s="2" t="inlineStr"/>
    </row>
    <row r="385" ht="15" customHeight="1">
      <c r="A385" t="inlineStr">
        <is>
          <t>A 938-2023</t>
        </is>
      </c>
      <c r="B385" s="1" t="n">
        <v>44933</v>
      </c>
      <c r="C385" s="1" t="n">
        <v>46178</v>
      </c>
      <c r="D385" t="inlineStr">
        <is>
          <t>ÖSTERGÖTLANDS LÄN</t>
        </is>
      </c>
      <c r="E385" t="inlineStr">
        <is>
          <t>LINKÖPING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12482-2026</t>
        </is>
      </c>
      <c r="B386" s="1" t="n">
        <v>46090.56292824074</v>
      </c>
      <c r="C386" s="1" t="n">
        <v>46178</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12486-2026</t>
        </is>
      </c>
      <c r="B387" s="1" t="n">
        <v>46090.56501157407</v>
      </c>
      <c r="C387" s="1" t="n">
        <v>46178</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2389-2023</t>
        </is>
      </c>
      <c r="B388" s="1" t="n">
        <v>44942</v>
      </c>
      <c r="C388" s="1" t="n">
        <v>46178</v>
      </c>
      <c r="D388" t="inlineStr">
        <is>
          <t>ÖSTERGÖTLANDS LÄN</t>
        </is>
      </c>
      <c r="E388" t="inlineStr">
        <is>
          <t>LINKÖPING</t>
        </is>
      </c>
      <c r="G388" t="n">
        <v>3.3</v>
      </c>
      <c r="H388" t="n">
        <v>0</v>
      </c>
      <c r="I388" t="n">
        <v>0</v>
      </c>
      <c r="J388" t="n">
        <v>0</v>
      </c>
      <c r="K388" t="n">
        <v>0</v>
      </c>
      <c r="L388" t="n">
        <v>0</v>
      </c>
      <c r="M388" t="n">
        <v>0</v>
      </c>
      <c r="N388" t="n">
        <v>0</v>
      </c>
      <c r="O388" t="n">
        <v>0</v>
      </c>
      <c r="P388" t="n">
        <v>0</v>
      </c>
      <c r="Q388" t="n">
        <v>0</v>
      </c>
      <c r="R388" s="2" t="inlineStr"/>
    </row>
    <row r="389" ht="15" customHeight="1">
      <c r="A389" t="inlineStr">
        <is>
          <t>A 48-2024</t>
        </is>
      </c>
      <c r="B389" s="1" t="n">
        <v>45293</v>
      </c>
      <c r="C389" s="1" t="n">
        <v>46178</v>
      </c>
      <c r="D389" t="inlineStr">
        <is>
          <t>ÖSTERGÖTLANDS LÄN</t>
        </is>
      </c>
      <c r="E389" t="inlineStr">
        <is>
          <t>LINKÖPING</t>
        </is>
      </c>
      <c r="G389" t="n">
        <v>4.6</v>
      </c>
      <c r="H389" t="n">
        <v>0</v>
      </c>
      <c r="I389" t="n">
        <v>0</v>
      </c>
      <c r="J389" t="n">
        <v>0</v>
      </c>
      <c r="K389" t="n">
        <v>0</v>
      </c>
      <c r="L389" t="n">
        <v>0</v>
      </c>
      <c r="M389" t="n">
        <v>0</v>
      </c>
      <c r="N389" t="n">
        <v>0</v>
      </c>
      <c r="O389" t="n">
        <v>0</v>
      </c>
      <c r="P389" t="n">
        <v>0</v>
      </c>
      <c r="Q389" t="n">
        <v>0</v>
      </c>
      <c r="R389" s="2" t="inlineStr"/>
    </row>
    <row r="390" ht="15" customHeight="1">
      <c r="A390" t="inlineStr">
        <is>
          <t>A 45771-2023</t>
        </is>
      </c>
      <c r="B390" s="1" t="n">
        <v>45195.4384375</v>
      </c>
      <c r="C390" s="1" t="n">
        <v>46178</v>
      </c>
      <c r="D390" t="inlineStr">
        <is>
          <t>ÖSTERGÖTLANDS LÄN</t>
        </is>
      </c>
      <c r="E390" t="inlineStr">
        <is>
          <t>LINKÖPING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30547-2023</t>
        </is>
      </c>
      <c r="B391" s="1" t="n">
        <v>45111.75905092592</v>
      </c>
      <c r="C391" s="1" t="n">
        <v>46178</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40502-2024</t>
        </is>
      </c>
      <c r="B392" s="1" t="n">
        <v>45555.57263888889</v>
      </c>
      <c r="C392" s="1" t="n">
        <v>46178</v>
      </c>
      <c r="D392" t="inlineStr">
        <is>
          <t>ÖSTERGÖTLANDS LÄN</t>
        </is>
      </c>
      <c r="E392" t="inlineStr">
        <is>
          <t>LINKÖPING</t>
        </is>
      </c>
      <c r="F392" t="inlineStr">
        <is>
          <t>Allmännings- och besparingsskogar</t>
        </is>
      </c>
      <c r="G392" t="n">
        <v>17.5</v>
      </c>
      <c r="H392" t="n">
        <v>0</v>
      </c>
      <c r="I392" t="n">
        <v>0</v>
      </c>
      <c r="J392" t="n">
        <v>0</v>
      </c>
      <c r="K392" t="n">
        <v>0</v>
      </c>
      <c r="L392" t="n">
        <v>0</v>
      </c>
      <c r="M392" t="n">
        <v>0</v>
      </c>
      <c r="N392" t="n">
        <v>0</v>
      </c>
      <c r="O392" t="n">
        <v>0</v>
      </c>
      <c r="P392" t="n">
        <v>0</v>
      </c>
      <c r="Q392" t="n">
        <v>0</v>
      </c>
      <c r="R392" s="2" t="inlineStr"/>
    </row>
    <row r="393" ht="15" customHeight="1">
      <c r="A393" t="inlineStr">
        <is>
          <t>A 24464-2023</t>
        </is>
      </c>
      <c r="B393" s="1" t="n">
        <v>45082.58068287037</v>
      </c>
      <c r="C393" s="1" t="n">
        <v>46178</v>
      </c>
      <c r="D393" t="inlineStr">
        <is>
          <t>ÖSTERGÖTLANDS LÄN</t>
        </is>
      </c>
      <c r="E393" t="inlineStr">
        <is>
          <t>LINKÖPING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24467-2023</t>
        </is>
      </c>
      <c r="B394" s="1" t="n">
        <v>45082</v>
      </c>
      <c r="C394" s="1" t="n">
        <v>46178</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48389-2024</t>
        </is>
      </c>
      <c r="B395" s="1" t="n">
        <v>45590.59991898148</v>
      </c>
      <c r="C395" s="1" t="n">
        <v>46178</v>
      </c>
      <c r="D395" t="inlineStr">
        <is>
          <t>ÖSTERGÖTLANDS LÄN</t>
        </is>
      </c>
      <c r="E395" t="inlineStr">
        <is>
          <t>LINKÖPING</t>
        </is>
      </c>
      <c r="G395" t="n">
        <v>2.6</v>
      </c>
      <c r="H395" t="n">
        <v>0</v>
      </c>
      <c r="I395" t="n">
        <v>0</v>
      </c>
      <c r="J395" t="n">
        <v>0</v>
      </c>
      <c r="K395" t="n">
        <v>0</v>
      </c>
      <c r="L395" t="n">
        <v>0</v>
      </c>
      <c r="M395" t="n">
        <v>0</v>
      </c>
      <c r="N395" t="n">
        <v>0</v>
      </c>
      <c r="O395" t="n">
        <v>0</v>
      </c>
      <c r="P395" t="n">
        <v>0</v>
      </c>
      <c r="Q395" t="n">
        <v>0</v>
      </c>
      <c r="R395" s="2" t="inlineStr"/>
    </row>
    <row r="396" ht="15" customHeight="1">
      <c r="A396" t="inlineStr">
        <is>
          <t>A 52111-2025</t>
        </is>
      </c>
      <c r="B396" s="1" t="n">
        <v>45952.69527777778</v>
      </c>
      <c r="C396" s="1" t="n">
        <v>46178</v>
      </c>
      <c r="D396" t="inlineStr">
        <is>
          <t>ÖSTERGÖTLANDS LÄN</t>
        </is>
      </c>
      <c r="E396" t="inlineStr">
        <is>
          <t>LINKÖPING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56792-2023</t>
        </is>
      </c>
      <c r="B397" s="1" t="n">
        <v>45244</v>
      </c>
      <c r="C397" s="1" t="n">
        <v>46178</v>
      </c>
      <c r="D397" t="inlineStr">
        <is>
          <t>ÖSTERGÖTLANDS LÄN</t>
        </is>
      </c>
      <c r="E397" t="inlineStr">
        <is>
          <t>LINKÖPING</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52740-2025</t>
        </is>
      </c>
      <c r="B398" s="1" t="n">
        <v>45957.37747685185</v>
      </c>
      <c r="C398" s="1" t="n">
        <v>46178</v>
      </c>
      <c r="D398" t="inlineStr">
        <is>
          <t>ÖSTERGÖTLANDS LÄN</t>
        </is>
      </c>
      <c r="E398" t="inlineStr">
        <is>
          <t>LINKÖPING</t>
        </is>
      </c>
      <c r="G398" t="n">
        <v>3.7</v>
      </c>
      <c r="H398" t="n">
        <v>0</v>
      </c>
      <c r="I398" t="n">
        <v>0</v>
      </c>
      <c r="J398" t="n">
        <v>0</v>
      </c>
      <c r="K398" t="n">
        <v>0</v>
      </c>
      <c r="L398" t="n">
        <v>0</v>
      </c>
      <c r="M398" t="n">
        <v>0</v>
      </c>
      <c r="N398" t="n">
        <v>0</v>
      </c>
      <c r="O398" t="n">
        <v>0</v>
      </c>
      <c r="P398" t="n">
        <v>0</v>
      </c>
      <c r="Q398" t="n">
        <v>0</v>
      </c>
      <c r="R398" s="2" t="inlineStr"/>
    </row>
    <row r="399" ht="15" customHeight="1">
      <c r="A399" t="inlineStr">
        <is>
          <t>A 39017-2021</t>
        </is>
      </c>
      <c r="B399" s="1" t="n">
        <v>44412</v>
      </c>
      <c r="C399" s="1" t="n">
        <v>46178</v>
      </c>
      <c r="D399" t="inlineStr">
        <is>
          <t>ÖSTERGÖTLANDS LÄN</t>
        </is>
      </c>
      <c r="E399" t="inlineStr">
        <is>
          <t>LINKÖPING</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52802-2025</t>
        </is>
      </c>
      <c r="B400" s="1" t="n">
        <v>45957.44295138889</v>
      </c>
      <c r="C400" s="1" t="n">
        <v>46178</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1260-2023</t>
        </is>
      </c>
      <c r="B401" s="1" t="n">
        <v>44936</v>
      </c>
      <c r="C401" s="1" t="n">
        <v>46178</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1355-2023</t>
        </is>
      </c>
      <c r="B402" s="1" t="n">
        <v>44931</v>
      </c>
      <c r="C402" s="1" t="n">
        <v>46178</v>
      </c>
      <c r="D402" t="inlineStr">
        <is>
          <t>ÖSTERGÖTLANDS LÄN</t>
        </is>
      </c>
      <c r="E402" t="inlineStr">
        <is>
          <t>LINKÖPING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52743-2025</t>
        </is>
      </c>
      <c r="B403" s="1" t="n">
        <v>45957.38039351852</v>
      </c>
      <c r="C403" s="1" t="n">
        <v>46178</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52807-2025</t>
        </is>
      </c>
      <c r="B404" s="1" t="n">
        <v>45957.44837962963</v>
      </c>
      <c r="C404" s="1" t="n">
        <v>46178</v>
      </c>
      <c r="D404" t="inlineStr">
        <is>
          <t>ÖSTERGÖTLANDS LÄN</t>
        </is>
      </c>
      <c r="E404" t="inlineStr">
        <is>
          <t>LINKÖPING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3007-2025</t>
        </is>
      </c>
      <c r="B405" s="1" t="n">
        <v>45678.56328703704</v>
      </c>
      <c r="C405" s="1" t="n">
        <v>46178</v>
      </c>
      <c r="D405" t="inlineStr">
        <is>
          <t>ÖSTERGÖTLANDS LÄN</t>
        </is>
      </c>
      <c r="E405" t="inlineStr">
        <is>
          <t>LINKÖPING</t>
        </is>
      </c>
      <c r="G405" t="n">
        <v>3.1</v>
      </c>
      <c r="H405" t="n">
        <v>0</v>
      </c>
      <c r="I405" t="n">
        <v>0</v>
      </c>
      <c r="J405" t="n">
        <v>0</v>
      </c>
      <c r="K405" t="n">
        <v>0</v>
      </c>
      <c r="L405" t="n">
        <v>0</v>
      </c>
      <c r="M405" t="n">
        <v>0</v>
      </c>
      <c r="N405" t="n">
        <v>0</v>
      </c>
      <c r="O405" t="n">
        <v>0</v>
      </c>
      <c r="P405" t="n">
        <v>0</v>
      </c>
      <c r="Q405" t="n">
        <v>0</v>
      </c>
      <c r="R405" s="2" t="inlineStr"/>
    </row>
    <row r="406" ht="15" customHeight="1">
      <c r="A406" t="inlineStr">
        <is>
          <t>A 10492-2022</t>
        </is>
      </c>
      <c r="B406" s="1" t="n">
        <v>44623.6377199074</v>
      </c>
      <c r="C406" s="1" t="n">
        <v>46178</v>
      </c>
      <c r="D406" t="inlineStr">
        <is>
          <t>ÖSTERGÖTLANDS LÄN</t>
        </is>
      </c>
      <c r="E406" t="inlineStr">
        <is>
          <t>LINKÖPING</t>
        </is>
      </c>
      <c r="G406" t="n">
        <v>2.1</v>
      </c>
      <c r="H406" t="n">
        <v>0</v>
      </c>
      <c r="I406" t="n">
        <v>0</v>
      </c>
      <c r="J406" t="n">
        <v>0</v>
      </c>
      <c r="K406" t="n">
        <v>0</v>
      </c>
      <c r="L406" t="n">
        <v>0</v>
      </c>
      <c r="M406" t="n">
        <v>0</v>
      </c>
      <c r="N406" t="n">
        <v>0</v>
      </c>
      <c r="O406" t="n">
        <v>0</v>
      </c>
      <c r="P406" t="n">
        <v>0</v>
      </c>
      <c r="Q406" t="n">
        <v>0</v>
      </c>
      <c r="R406" s="2" t="inlineStr"/>
    </row>
    <row r="407" ht="15" customHeight="1">
      <c r="A407" t="inlineStr">
        <is>
          <t>A 13927-2026</t>
        </is>
      </c>
      <c r="B407" s="1" t="n">
        <v>46098</v>
      </c>
      <c r="C407" s="1" t="n">
        <v>46178</v>
      </c>
      <c r="D407" t="inlineStr">
        <is>
          <t>ÖSTERGÖTLANDS LÄN</t>
        </is>
      </c>
      <c r="E407" t="inlineStr">
        <is>
          <t>LINKÖPING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5099-2026</t>
        </is>
      </c>
      <c r="B408" s="1" t="n">
        <v>46049.56158564815</v>
      </c>
      <c r="C408" s="1" t="n">
        <v>46178</v>
      </c>
      <c r="D408" t="inlineStr">
        <is>
          <t>ÖSTERGÖTLANDS LÄN</t>
        </is>
      </c>
      <c r="E408" t="inlineStr">
        <is>
          <t>LINKÖPING</t>
        </is>
      </c>
      <c r="G408" t="n">
        <v>5</v>
      </c>
      <c r="H408" t="n">
        <v>0</v>
      </c>
      <c r="I408" t="n">
        <v>0</v>
      </c>
      <c r="J408" t="n">
        <v>0</v>
      </c>
      <c r="K408" t="n">
        <v>0</v>
      </c>
      <c r="L408" t="n">
        <v>0</v>
      </c>
      <c r="M408" t="n">
        <v>0</v>
      </c>
      <c r="N408" t="n">
        <v>0</v>
      </c>
      <c r="O408" t="n">
        <v>0</v>
      </c>
      <c r="P408" t="n">
        <v>0</v>
      </c>
      <c r="Q408" t="n">
        <v>0</v>
      </c>
      <c r="R408" s="2" t="inlineStr"/>
    </row>
    <row r="409" ht="15" customHeight="1">
      <c r="A409" t="inlineStr">
        <is>
          <t>A 30465-2023</t>
        </is>
      </c>
      <c r="B409" s="1" t="n">
        <v>45111</v>
      </c>
      <c r="C409" s="1" t="n">
        <v>46178</v>
      </c>
      <c r="D409" t="inlineStr">
        <is>
          <t>ÖSTERGÖTLANDS LÄN</t>
        </is>
      </c>
      <c r="E409" t="inlineStr">
        <is>
          <t>LINKÖPING</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14135-2026</t>
        </is>
      </c>
      <c r="B410" s="1" t="n">
        <v>46099</v>
      </c>
      <c r="C410" s="1" t="n">
        <v>46178</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39021-2021</t>
        </is>
      </c>
      <c r="B411" s="1" t="n">
        <v>44412</v>
      </c>
      <c r="C411" s="1" t="n">
        <v>46178</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62353-2022</t>
        </is>
      </c>
      <c r="B412" s="1" t="n">
        <v>44923</v>
      </c>
      <c r="C412" s="1" t="n">
        <v>46178</v>
      </c>
      <c r="D412" t="inlineStr">
        <is>
          <t>ÖSTERGÖTLANDS LÄN</t>
        </is>
      </c>
      <c r="E412" t="inlineStr">
        <is>
          <t>LINKÖPING</t>
        </is>
      </c>
      <c r="F412" t="inlineStr">
        <is>
          <t>Allmännings- och besparingsskogar</t>
        </is>
      </c>
      <c r="G412" t="n">
        <v>1.7</v>
      </c>
      <c r="H412" t="n">
        <v>0</v>
      </c>
      <c r="I412" t="n">
        <v>0</v>
      </c>
      <c r="J412" t="n">
        <v>0</v>
      </c>
      <c r="K412" t="n">
        <v>0</v>
      </c>
      <c r="L412" t="n">
        <v>0</v>
      </c>
      <c r="M412" t="n">
        <v>0</v>
      </c>
      <c r="N412" t="n">
        <v>0</v>
      </c>
      <c r="O412" t="n">
        <v>0</v>
      </c>
      <c r="P412" t="n">
        <v>0</v>
      </c>
      <c r="Q412" t="n">
        <v>0</v>
      </c>
      <c r="R412" s="2" t="inlineStr"/>
    </row>
    <row r="413" ht="15" customHeight="1">
      <c r="A413" t="inlineStr">
        <is>
          <t>A 13565-2026</t>
        </is>
      </c>
      <c r="B413" s="1" t="n">
        <v>46094.80006944444</v>
      </c>
      <c r="C413" s="1" t="n">
        <v>46178</v>
      </c>
      <c r="D413" t="inlineStr">
        <is>
          <t>ÖSTERGÖTLANDS LÄN</t>
        </is>
      </c>
      <c r="E413" t="inlineStr">
        <is>
          <t>LINKÖPING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12174-2026</t>
        </is>
      </c>
      <c r="B414" s="1" t="n">
        <v>46086</v>
      </c>
      <c r="C414" s="1" t="n">
        <v>46178</v>
      </c>
      <c r="D414" t="inlineStr">
        <is>
          <t>ÖSTERGÖTLANDS LÄN</t>
        </is>
      </c>
      <c r="E414" t="inlineStr">
        <is>
          <t>LINKÖPING</t>
        </is>
      </c>
      <c r="G414" t="n">
        <v>7.2</v>
      </c>
      <c r="H414" t="n">
        <v>0</v>
      </c>
      <c r="I414" t="n">
        <v>0</v>
      </c>
      <c r="J414" t="n">
        <v>0</v>
      </c>
      <c r="K414" t="n">
        <v>0</v>
      </c>
      <c r="L414" t="n">
        <v>0</v>
      </c>
      <c r="M414" t="n">
        <v>0</v>
      </c>
      <c r="N414" t="n">
        <v>0</v>
      </c>
      <c r="O414" t="n">
        <v>0</v>
      </c>
      <c r="P414" t="n">
        <v>0</v>
      </c>
      <c r="Q414" t="n">
        <v>0</v>
      </c>
      <c r="R414" s="2" t="inlineStr"/>
    </row>
    <row r="415" ht="15" customHeight="1">
      <c r="A415" t="inlineStr">
        <is>
          <t>A 12175-2026</t>
        </is>
      </c>
      <c r="B415" s="1" t="n">
        <v>46086</v>
      </c>
      <c r="C415" s="1" t="n">
        <v>46178</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12181-2026</t>
        </is>
      </c>
      <c r="B416" s="1" t="n">
        <v>46086</v>
      </c>
      <c r="C416" s="1" t="n">
        <v>46178</v>
      </c>
      <c r="D416" t="inlineStr">
        <is>
          <t>ÖSTERGÖTLANDS LÄN</t>
        </is>
      </c>
      <c r="E416" t="inlineStr">
        <is>
          <t>LINKÖPING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30111-2024</t>
        </is>
      </c>
      <c r="B417" s="1" t="n">
        <v>45489.46947916667</v>
      </c>
      <c r="C417" s="1" t="n">
        <v>46178</v>
      </c>
      <c r="D417" t="inlineStr">
        <is>
          <t>ÖSTERGÖTLANDS LÄN</t>
        </is>
      </c>
      <c r="E417" t="inlineStr">
        <is>
          <t>LINKÖPING</t>
        </is>
      </c>
      <c r="G417" t="n">
        <v>1.5</v>
      </c>
      <c r="H417" t="n">
        <v>0</v>
      </c>
      <c r="I417" t="n">
        <v>0</v>
      </c>
      <c r="J417" t="n">
        <v>0</v>
      </c>
      <c r="K417" t="n">
        <v>0</v>
      </c>
      <c r="L417" t="n">
        <v>0</v>
      </c>
      <c r="M417" t="n">
        <v>0</v>
      </c>
      <c r="N417" t="n">
        <v>0</v>
      </c>
      <c r="O417" t="n">
        <v>0</v>
      </c>
      <c r="P417" t="n">
        <v>0</v>
      </c>
      <c r="Q417" t="n">
        <v>0</v>
      </c>
      <c r="R417" s="2" t="inlineStr"/>
    </row>
    <row r="418" ht="15" customHeight="1">
      <c r="A418" t="inlineStr">
        <is>
          <t>A 30119-2024</t>
        </is>
      </c>
      <c r="B418" s="1" t="n">
        <v>45489</v>
      </c>
      <c r="C418" s="1" t="n">
        <v>46178</v>
      </c>
      <c r="D418" t="inlineStr">
        <is>
          <t>ÖSTERGÖTLANDS LÄN</t>
        </is>
      </c>
      <c r="E418" t="inlineStr">
        <is>
          <t>LINKÖPING</t>
        </is>
      </c>
      <c r="G418" t="n">
        <v>1.7</v>
      </c>
      <c r="H418" t="n">
        <v>0</v>
      </c>
      <c r="I418" t="n">
        <v>0</v>
      </c>
      <c r="J418" t="n">
        <v>0</v>
      </c>
      <c r="K418" t="n">
        <v>0</v>
      </c>
      <c r="L418" t="n">
        <v>0</v>
      </c>
      <c r="M418" t="n">
        <v>0</v>
      </c>
      <c r="N418" t="n">
        <v>0</v>
      </c>
      <c r="O418" t="n">
        <v>0</v>
      </c>
      <c r="P418" t="n">
        <v>0</v>
      </c>
      <c r="Q418" t="n">
        <v>0</v>
      </c>
      <c r="R418" s="2" t="inlineStr"/>
    </row>
    <row r="419" ht="15" customHeight="1">
      <c r="A419" t="inlineStr">
        <is>
          <t>A 29411-2023</t>
        </is>
      </c>
      <c r="B419" s="1" t="n">
        <v>45106.46225694445</v>
      </c>
      <c r="C419" s="1" t="n">
        <v>46178</v>
      </c>
      <c r="D419" t="inlineStr">
        <is>
          <t>ÖSTERGÖTLANDS LÄN</t>
        </is>
      </c>
      <c r="E419" t="inlineStr">
        <is>
          <t>LINKÖPING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29412-2023</t>
        </is>
      </c>
      <c r="B420" s="1" t="n">
        <v>45106.46359953703</v>
      </c>
      <c r="C420" s="1" t="n">
        <v>46178</v>
      </c>
      <c r="D420" t="inlineStr">
        <is>
          <t>ÖSTERGÖTLANDS LÄN</t>
        </is>
      </c>
      <c r="E420" t="inlineStr">
        <is>
          <t>LINKÖPING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31792-2021</t>
        </is>
      </c>
      <c r="B421" s="1" t="n">
        <v>44369</v>
      </c>
      <c r="C421" s="1" t="n">
        <v>46178</v>
      </c>
      <c r="D421" t="inlineStr">
        <is>
          <t>ÖSTERGÖTLANDS LÄN</t>
        </is>
      </c>
      <c r="E421" t="inlineStr">
        <is>
          <t>LINKÖPING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14157-2026</t>
        </is>
      </c>
      <c r="B422" s="1" t="n">
        <v>46099.46829861111</v>
      </c>
      <c r="C422" s="1" t="n">
        <v>46178</v>
      </c>
      <c r="D422" t="inlineStr">
        <is>
          <t>ÖSTERGÖTLANDS LÄN</t>
        </is>
      </c>
      <c r="E422" t="inlineStr">
        <is>
          <t>LINKÖPING</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421-2024</t>
        </is>
      </c>
      <c r="B423" s="1" t="n">
        <v>45296.51877314815</v>
      </c>
      <c r="C423" s="1" t="n">
        <v>46178</v>
      </c>
      <c r="D423" t="inlineStr">
        <is>
          <t>ÖSTERGÖTLANDS LÄN</t>
        </is>
      </c>
      <c r="E423" t="inlineStr">
        <is>
          <t>LINKÖPING</t>
        </is>
      </c>
      <c r="G423" t="n">
        <v>3.7</v>
      </c>
      <c r="H423" t="n">
        <v>0</v>
      </c>
      <c r="I423" t="n">
        <v>0</v>
      </c>
      <c r="J423" t="n">
        <v>0</v>
      </c>
      <c r="K423" t="n">
        <v>0</v>
      </c>
      <c r="L423" t="n">
        <v>0</v>
      </c>
      <c r="M423" t="n">
        <v>0</v>
      </c>
      <c r="N423" t="n">
        <v>0</v>
      </c>
      <c r="O423" t="n">
        <v>0</v>
      </c>
      <c r="P423" t="n">
        <v>0</v>
      </c>
      <c r="Q423" t="n">
        <v>0</v>
      </c>
      <c r="R423" s="2" t="inlineStr"/>
    </row>
    <row r="424" ht="15" customHeight="1">
      <c r="A424" t="inlineStr">
        <is>
          <t>A 54329-2025</t>
        </is>
      </c>
      <c r="B424" s="1" t="n">
        <v>45965.34706018519</v>
      </c>
      <c r="C424" s="1" t="n">
        <v>46178</v>
      </c>
      <c r="D424" t="inlineStr">
        <is>
          <t>ÖSTERGÖTLANDS LÄN</t>
        </is>
      </c>
      <c r="E424" t="inlineStr">
        <is>
          <t>LINKÖPING</t>
        </is>
      </c>
      <c r="F424" t="inlineStr">
        <is>
          <t>Sveaskog</t>
        </is>
      </c>
      <c r="G424" t="n">
        <v>5.1</v>
      </c>
      <c r="H424" t="n">
        <v>0</v>
      </c>
      <c r="I424" t="n">
        <v>0</v>
      </c>
      <c r="J424" t="n">
        <v>0</v>
      </c>
      <c r="K424" t="n">
        <v>0</v>
      </c>
      <c r="L424" t="n">
        <v>0</v>
      </c>
      <c r="M424" t="n">
        <v>0</v>
      </c>
      <c r="N424" t="n">
        <v>0</v>
      </c>
      <c r="O424" t="n">
        <v>0</v>
      </c>
      <c r="P424" t="n">
        <v>0</v>
      </c>
      <c r="Q424" t="n">
        <v>0</v>
      </c>
      <c r="R424" s="2" t="inlineStr"/>
    </row>
    <row r="425" ht="15" customHeight="1">
      <c r="A425" t="inlineStr">
        <is>
          <t>A 22043-2023</t>
        </is>
      </c>
      <c r="B425" s="1" t="n">
        <v>45069.39050925926</v>
      </c>
      <c r="C425" s="1" t="n">
        <v>46178</v>
      </c>
      <c r="D425" t="inlineStr">
        <is>
          <t>ÖSTERGÖTLANDS LÄN</t>
        </is>
      </c>
      <c r="E425" t="inlineStr">
        <is>
          <t>LINKÖPING</t>
        </is>
      </c>
      <c r="G425" t="n">
        <v>5.9</v>
      </c>
      <c r="H425" t="n">
        <v>0</v>
      </c>
      <c r="I425" t="n">
        <v>0</v>
      </c>
      <c r="J425" t="n">
        <v>0</v>
      </c>
      <c r="K425" t="n">
        <v>0</v>
      </c>
      <c r="L425" t="n">
        <v>0</v>
      </c>
      <c r="M425" t="n">
        <v>0</v>
      </c>
      <c r="N425" t="n">
        <v>0</v>
      </c>
      <c r="O425" t="n">
        <v>0</v>
      </c>
      <c r="P425" t="n">
        <v>0</v>
      </c>
      <c r="Q425" t="n">
        <v>0</v>
      </c>
      <c r="R425" s="2" t="inlineStr"/>
    </row>
    <row r="426" ht="15" customHeight="1">
      <c r="A426" t="inlineStr">
        <is>
          <t>A 61532-2021</t>
        </is>
      </c>
      <c r="B426" s="1" t="n">
        <v>44501</v>
      </c>
      <c r="C426" s="1" t="n">
        <v>46178</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14028-2024</t>
        </is>
      </c>
      <c r="B427" s="1" t="n">
        <v>45392</v>
      </c>
      <c r="C427" s="1" t="n">
        <v>46178</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40431-2024</t>
        </is>
      </c>
      <c r="B428" s="1" t="n">
        <v>45555.47070601852</v>
      </c>
      <c r="C428" s="1" t="n">
        <v>46178</v>
      </c>
      <c r="D428" t="inlineStr">
        <is>
          <t>ÖSTERGÖTLANDS LÄN</t>
        </is>
      </c>
      <c r="E428" t="inlineStr">
        <is>
          <t>LINKÖPING</t>
        </is>
      </c>
      <c r="F428" t="inlineStr">
        <is>
          <t>Allmännings- och besparingsskogar</t>
        </is>
      </c>
      <c r="G428" t="n">
        <v>2.9</v>
      </c>
      <c r="H428" t="n">
        <v>0</v>
      </c>
      <c r="I428" t="n">
        <v>0</v>
      </c>
      <c r="J428" t="n">
        <v>0</v>
      </c>
      <c r="K428" t="n">
        <v>0</v>
      </c>
      <c r="L428" t="n">
        <v>0</v>
      </c>
      <c r="M428" t="n">
        <v>0</v>
      </c>
      <c r="N428" t="n">
        <v>0</v>
      </c>
      <c r="O428" t="n">
        <v>0</v>
      </c>
      <c r="P428" t="n">
        <v>0</v>
      </c>
      <c r="Q428" t="n">
        <v>0</v>
      </c>
      <c r="R428" s="2" t="inlineStr"/>
    </row>
    <row r="429" ht="15" customHeight="1">
      <c r="A429" t="inlineStr">
        <is>
          <t>A 54333-2025</t>
        </is>
      </c>
      <c r="B429" s="1" t="n">
        <v>45965.35090277778</v>
      </c>
      <c r="C429" s="1" t="n">
        <v>46178</v>
      </c>
      <c r="D429" t="inlineStr">
        <is>
          <t>ÖSTERGÖTLANDS LÄN</t>
        </is>
      </c>
      <c r="E429" t="inlineStr">
        <is>
          <t>LINKÖPING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60860-2024</t>
        </is>
      </c>
      <c r="B430" s="1" t="n">
        <v>45644.6893287037</v>
      </c>
      <c r="C430" s="1" t="n">
        <v>46178</v>
      </c>
      <c r="D430" t="inlineStr">
        <is>
          <t>ÖSTERGÖTLANDS LÄN</t>
        </is>
      </c>
      <c r="E430" t="inlineStr">
        <is>
          <t>LINKÖPING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21246-2026</t>
        </is>
      </c>
      <c r="B431" s="1" t="n">
        <v>46147.36642361111</v>
      </c>
      <c r="C431" s="1" t="n">
        <v>46178</v>
      </c>
      <c r="D431" t="inlineStr">
        <is>
          <t>ÖSTERGÖTLANDS LÄN</t>
        </is>
      </c>
      <c r="E431" t="inlineStr">
        <is>
          <t>LINKÖPING</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21248-2026</t>
        </is>
      </c>
      <c r="B432" s="1" t="n">
        <v>46147.36969907407</v>
      </c>
      <c r="C432" s="1" t="n">
        <v>46178</v>
      </c>
      <c r="D432" t="inlineStr">
        <is>
          <t>ÖSTERGÖTLANDS LÄN</t>
        </is>
      </c>
      <c r="E432" t="inlineStr">
        <is>
          <t>LINKÖPING</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2697-2023</t>
        </is>
      </c>
      <c r="B433" s="1" t="n">
        <v>44944</v>
      </c>
      <c r="C433" s="1" t="n">
        <v>46178</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55102-2025</t>
        </is>
      </c>
      <c r="B434" s="1" t="n">
        <v>45968.35410879629</v>
      </c>
      <c r="C434" s="1" t="n">
        <v>46178</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55132-2025</t>
        </is>
      </c>
      <c r="B435" s="1" t="n">
        <v>45968.41912037037</v>
      </c>
      <c r="C435" s="1" t="n">
        <v>46178</v>
      </c>
      <c r="D435" t="inlineStr">
        <is>
          <t>ÖSTERGÖTLANDS LÄN</t>
        </is>
      </c>
      <c r="E435" t="inlineStr">
        <is>
          <t>LINKÖPING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55109-2025</t>
        </is>
      </c>
      <c r="B436" s="1" t="n">
        <v>45968.37731481482</v>
      </c>
      <c r="C436" s="1" t="n">
        <v>46178</v>
      </c>
      <c r="D436" t="inlineStr">
        <is>
          <t>ÖSTERGÖTLANDS LÄN</t>
        </is>
      </c>
      <c r="E436" t="inlineStr">
        <is>
          <t>LINKÖPING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45806-2024</t>
        </is>
      </c>
      <c r="B437" s="1" t="n">
        <v>45579.69619212963</v>
      </c>
      <c r="C437" s="1" t="n">
        <v>46178</v>
      </c>
      <c r="D437" t="inlineStr">
        <is>
          <t>ÖSTERGÖTLANDS LÄN</t>
        </is>
      </c>
      <c r="E437" t="inlineStr">
        <is>
          <t>LINKÖPING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56756-2023</t>
        </is>
      </c>
      <c r="B438" s="1" t="n">
        <v>45244</v>
      </c>
      <c r="C438" s="1" t="n">
        <v>46178</v>
      </c>
      <c r="D438" t="inlineStr">
        <is>
          <t>ÖSTERGÖTLANDS LÄN</t>
        </is>
      </c>
      <c r="E438" t="inlineStr">
        <is>
          <t>LINKÖPING</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21374-2026</t>
        </is>
      </c>
      <c r="B439" s="1" t="n">
        <v>46145</v>
      </c>
      <c r="C439" s="1" t="n">
        <v>46178</v>
      </c>
      <c r="D439" t="inlineStr">
        <is>
          <t>ÖSTERGÖTLANDS LÄN</t>
        </is>
      </c>
      <c r="E439" t="inlineStr">
        <is>
          <t>LINKÖPING</t>
        </is>
      </c>
      <c r="G439" t="n">
        <v>3.7</v>
      </c>
      <c r="H439" t="n">
        <v>0</v>
      </c>
      <c r="I439" t="n">
        <v>0</v>
      </c>
      <c r="J439" t="n">
        <v>0</v>
      </c>
      <c r="K439" t="n">
        <v>0</v>
      </c>
      <c r="L439" t="n">
        <v>0</v>
      </c>
      <c r="M439" t="n">
        <v>0</v>
      </c>
      <c r="N439" t="n">
        <v>0</v>
      </c>
      <c r="O439" t="n">
        <v>0</v>
      </c>
      <c r="P439" t="n">
        <v>0</v>
      </c>
      <c r="Q439" t="n">
        <v>0</v>
      </c>
      <c r="R439" s="2" t="inlineStr"/>
    </row>
    <row r="440" ht="15" customHeight="1">
      <c r="A440" t="inlineStr">
        <is>
          <t>A 55165-2025</t>
        </is>
      </c>
      <c r="B440" s="1" t="n">
        <v>45968.48194444444</v>
      </c>
      <c r="C440" s="1" t="n">
        <v>46178</v>
      </c>
      <c r="D440" t="inlineStr">
        <is>
          <t>ÖSTERGÖTLANDS LÄN</t>
        </is>
      </c>
      <c r="E440" t="inlineStr">
        <is>
          <t>LINKÖPING</t>
        </is>
      </c>
      <c r="G440" t="n">
        <v>2.4</v>
      </c>
      <c r="H440" t="n">
        <v>0</v>
      </c>
      <c r="I440" t="n">
        <v>0</v>
      </c>
      <c r="J440" t="n">
        <v>0</v>
      </c>
      <c r="K440" t="n">
        <v>0</v>
      </c>
      <c r="L440" t="n">
        <v>0</v>
      </c>
      <c r="M440" t="n">
        <v>0</v>
      </c>
      <c r="N440" t="n">
        <v>0</v>
      </c>
      <c r="O440" t="n">
        <v>0</v>
      </c>
      <c r="P440" t="n">
        <v>0</v>
      </c>
      <c r="Q440" t="n">
        <v>0</v>
      </c>
      <c r="R440" s="2" t="inlineStr"/>
    </row>
    <row r="441" ht="15" customHeight="1">
      <c r="A441" t="inlineStr">
        <is>
          <t>A 60985-2023</t>
        </is>
      </c>
      <c r="B441" s="1" t="n">
        <v>45261.48429398148</v>
      </c>
      <c r="C441" s="1" t="n">
        <v>46178</v>
      </c>
      <c r="D441" t="inlineStr">
        <is>
          <t>ÖSTERGÖTLANDS LÄN</t>
        </is>
      </c>
      <c r="E441" t="inlineStr">
        <is>
          <t>LINKÖPING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24904-2024</t>
        </is>
      </c>
      <c r="B442" s="1" t="n">
        <v>45461</v>
      </c>
      <c r="C442" s="1" t="n">
        <v>46178</v>
      </c>
      <c r="D442" t="inlineStr">
        <is>
          <t>ÖSTERGÖTLANDS LÄN</t>
        </is>
      </c>
      <c r="E442" t="inlineStr">
        <is>
          <t>LINKÖPING</t>
        </is>
      </c>
      <c r="G442" t="n">
        <v>3.8</v>
      </c>
      <c r="H442" t="n">
        <v>0</v>
      </c>
      <c r="I442" t="n">
        <v>0</v>
      </c>
      <c r="J442" t="n">
        <v>0</v>
      </c>
      <c r="K442" t="n">
        <v>0</v>
      </c>
      <c r="L442" t="n">
        <v>0</v>
      </c>
      <c r="M442" t="n">
        <v>0</v>
      </c>
      <c r="N442" t="n">
        <v>0</v>
      </c>
      <c r="O442" t="n">
        <v>0</v>
      </c>
      <c r="P442" t="n">
        <v>0</v>
      </c>
      <c r="Q442" t="n">
        <v>0</v>
      </c>
      <c r="R442" s="2" t="inlineStr"/>
    </row>
    <row r="443" ht="15" customHeight="1">
      <c r="A443" t="inlineStr">
        <is>
          <t>A 15850-2026</t>
        </is>
      </c>
      <c r="B443" s="1" t="n">
        <v>46107.57224537037</v>
      </c>
      <c r="C443" s="1" t="n">
        <v>46178</v>
      </c>
      <c r="D443" t="inlineStr">
        <is>
          <t>ÖSTERGÖTLANDS LÄN</t>
        </is>
      </c>
      <c r="E443" t="inlineStr">
        <is>
          <t>LINKÖPING</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55009-2023</t>
        </is>
      </c>
      <c r="B444" s="1" t="n">
        <v>45237</v>
      </c>
      <c r="C444" s="1" t="n">
        <v>46178</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56113-2025</t>
        </is>
      </c>
      <c r="B445" s="1" t="n">
        <v>45973.73924768518</v>
      </c>
      <c r="C445" s="1" t="n">
        <v>46178</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34872-2023</t>
        </is>
      </c>
      <c r="B446" s="1" t="n">
        <v>45140</v>
      </c>
      <c r="C446" s="1" t="n">
        <v>46178</v>
      </c>
      <c r="D446" t="inlineStr">
        <is>
          <t>ÖSTERGÖTLANDS LÄN</t>
        </is>
      </c>
      <c r="E446" t="inlineStr">
        <is>
          <t>LINKÖPING</t>
        </is>
      </c>
      <c r="G446" t="n">
        <v>4.8</v>
      </c>
      <c r="H446" t="n">
        <v>0</v>
      </c>
      <c r="I446" t="n">
        <v>0</v>
      </c>
      <c r="J446" t="n">
        <v>0</v>
      </c>
      <c r="K446" t="n">
        <v>0</v>
      </c>
      <c r="L446" t="n">
        <v>0</v>
      </c>
      <c r="M446" t="n">
        <v>0</v>
      </c>
      <c r="N446" t="n">
        <v>0</v>
      </c>
      <c r="O446" t="n">
        <v>0</v>
      </c>
      <c r="P446" t="n">
        <v>0</v>
      </c>
      <c r="Q446" t="n">
        <v>0</v>
      </c>
      <c r="R446" s="2" t="inlineStr"/>
    </row>
    <row r="447" ht="15" customHeight="1">
      <c r="A447" t="inlineStr">
        <is>
          <t>A 56105-2025</t>
        </is>
      </c>
      <c r="B447" s="1" t="n">
        <v>45973.72855324074</v>
      </c>
      <c r="C447" s="1" t="n">
        <v>46178</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22289-2026</t>
        </is>
      </c>
      <c r="B448" s="1" t="n">
        <v>46154.43842592592</v>
      </c>
      <c r="C448" s="1" t="n">
        <v>46178</v>
      </c>
      <c r="D448" t="inlineStr">
        <is>
          <t>ÖSTERGÖTLANDS LÄN</t>
        </is>
      </c>
      <c r="E448" t="inlineStr">
        <is>
          <t>LINKÖPING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22271-2026</t>
        </is>
      </c>
      <c r="B449" s="1" t="n">
        <v>46154.41280092593</v>
      </c>
      <c r="C449" s="1" t="n">
        <v>46178</v>
      </c>
      <c r="D449" t="inlineStr">
        <is>
          <t>ÖSTERGÖTLANDS LÄN</t>
        </is>
      </c>
      <c r="E449" t="inlineStr">
        <is>
          <t>LINKÖPING</t>
        </is>
      </c>
      <c r="F449" t="inlineStr">
        <is>
          <t>Sveaskog</t>
        </is>
      </c>
      <c r="G449" t="n">
        <v>6.5</v>
      </c>
      <c r="H449" t="n">
        <v>0</v>
      </c>
      <c r="I449" t="n">
        <v>0</v>
      </c>
      <c r="J449" t="n">
        <v>0</v>
      </c>
      <c r="K449" t="n">
        <v>0</v>
      </c>
      <c r="L449" t="n">
        <v>0</v>
      </c>
      <c r="M449" t="n">
        <v>0</v>
      </c>
      <c r="N449" t="n">
        <v>0</v>
      </c>
      <c r="O449" t="n">
        <v>0</v>
      </c>
      <c r="P449" t="n">
        <v>0</v>
      </c>
      <c r="Q449" t="n">
        <v>0</v>
      </c>
      <c r="R449" s="2" t="inlineStr"/>
    </row>
    <row r="450" ht="15" customHeight="1">
      <c r="A450" t="inlineStr">
        <is>
          <t>A 36336-2022</t>
        </is>
      </c>
      <c r="B450" s="1" t="n">
        <v>44803</v>
      </c>
      <c r="C450" s="1" t="n">
        <v>46178</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22272-2026</t>
        </is>
      </c>
      <c r="B451" s="1" t="n">
        <v>46154.41445601852</v>
      </c>
      <c r="C451" s="1" t="n">
        <v>46178</v>
      </c>
      <c r="D451" t="inlineStr">
        <is>
          <t>ÖSTERGÖTLANDS LÄN</t>
        </is>
      </c>
      <c r="E451" t="inlineStr">
        <is>
          <t>LINKÖPING</t>
        </is>
      </c>
      <c r="F451" t="inlineStr">
        <is>
          <t>Sveaskog</t>
        </is>
      </c>
      <c r="G451" t="n">
        <v>0.4</v>
      </c>
      <c r="H451" t="n">
        <v>0</v>
      </c>
      <c r="I451" t="n">
        <v>0</v>
      </c>
      <c r="J451" t="n">
        <v>0</v>
      </c>
      <c r="K451" t="n">
        <v>0</v>
      </c>
      <c r="L451" t="n">
        <v>0</v>
      </c>
      <c r="M451" t="n">
        <v>0</v>
      </c>
      <c r="N451" t="n">
        <v>0</v>
      </c>
      <c r="O451" t="n">
        <v>0</v>
      </c>
      <c r="P451" t="n">
        <v>0</v>
      </c>
      <c r="Q451" t="n">
        <v>0</v>
      </c>
      <c r="R451" s="2" t="inlineStr"/>
    </row>
    <row r="452" ht="15" customHeight="1">
      <c r="A452" t="inlineStr">
        <is>
          <t>A 22286-2026</t>
        </is>
      </c>
      <c r="B452" s="1" t="n">
        <v>46154.43436342593</v>
      </c>
      <c r="C452" s="1" t="n">
        <v>46178</v>
      </c>
      <c r="D452" t="inlineStr">
        <is>
          <t>ÖSTERGÖTLANDS LÄN</t>
        </is>
      </c>
      <c r="E452" t="inlineStr">
        <is>
          <t>LINKÖPING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22070-2026</t>
        </is>
      </c>
      <c r="B453" s="1" t="n">
        <v>46153.49255787037</v>
      </c>
      <c r="C453" s="1" t="n">
        <v>46178</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56704-2025</t>
        </is>
      </c>
      <c r="B454" s="1" t="n">
        <v>45977.50608796296</v>
      </c>
      <c r="C454" s="1" t="n">
        <v>46178</v>
      </c>
      <c r="D454" t="inlineStr">
        <is>
          <t>ÖSTERGÖTLANDS LÄN</t>
        </is>
      </c>
      <c r="E454" t="inlineStr">
        <is>
          <t>LINKÖPING</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22282-2026</t>
        </is>
      </c>
      <c r="B455" s="1" t="n">
        <v>46154.42961805555</v>
      </c>
      <c r="C455" s="1" t="n">
        <v>46178</v>
      </c>
      <c r="D455" t="inlineStr">
        <is>
          <t>ÖSTERGÖTLANDS LÄN</t>
        </is>
      </c>
      <c r="E455" t="inlineStr">
        <is>
          <t>LINKÖPING</t>
        </is>
      </c>
      <c r="F455" t="inlineStr">
        <is>
          <t>Sveaskog</t>
        </is>
      </c>
      <c r="G455" t="n">
        <v>6.7</v>
      </c>
      <c r="H455" t="n">
        <v>0</v>
      </c>
      <c r="I455" t="n">
        <v>0</v>
      </c>
      <c r="J455" t="n">
        <v>0</v>
      </c>
      <c r="K455" t="n">
        <v>0</v>
      </c>
      <c r="L455" t="n">
        <v>0</v>
      </c>
      <c r="M455" t="n">
        <v>0</v>
      </c>
      <c r="N455" t="n">
        <v>0</v>
      </c>
      <c r="O455" t="n">
        <v>0</v>
      </c>
      <c r="P455" t="n">
        <v>0</v>
      </c>
      <c r="Q455" t="n">
        <v>0</v>
      </c>
      <c r="R455" s="2" t="inlineStr"/>
    </row>
    <row r="456" ht="15" customHeight="1">
      <c r="A456" t="inlineStr">
        <is>
          <t>A 25097-2023</t>
        </is>
      </c>
      <c r="B456" s="1" t="n">
        <v>45086</v>
      </c>
      <c r="C456" s="1" t="n">
        <v>46178</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16967-2026</t>
        </is>
      </c>
      <c r="B457" s="1" t="n">
        <v>46114.36207175926</v>
      </c>
      <c r="C457" s="1" t="n">
        <v>46178</v>
      </c>
      <c r="D457" t="inlineStr">
        <is>
          <t>ÖSTERGÖTLANDS LÄN</t>
        </is>
      </c>
      <c r="E457" t="inlineStr">
        <is>
          <t>LINKÖPING</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10461-2023</t>
        </is>
      </c>
      <c r="B458" s="1" t="n">
        <v>44987.5969212963</v>
      </c>
      <c r="C458" s="1" t="n">
        <v>46178</v>
      </c>
      <c r="D458" t="inlineStr">
        <is>
          <t>ÖSTERGÖTLANDS LÄN</t>
        </is>
      </c>
      <c r="E458" t="inlineStr">
        <is>
          <t>LINKÖPING</t>
        </is>
      </c>
      <c r="G458" t="n">
        <v>7.8</v>
      </c>
      <c r="H458" t="n">
        <v>0</v>
      </c>
      <c r="I458" t="n">
        <v>0</v>
      </c>
      <c r="J458" t="n">
        <v>0</v>
      </c>
      <c r="K458" t="n">
        <v>0</v>
      </c>
      <c r="L458" t="n">
        <v>0</v>
      </c>
      <c r="M458" t="n">
        <v>0</v>
      </c>
      <c r="N458" t="n">
        <v>0</v>
      </c>
      <c r="O458" t="n">
        <v>0</v>
      </c>
      <c r="P458" t="n">
        <v>0</v>
      </c>
      <c r="Q458" t="n">
        <v>0</v>
      </c>
      <c r="R458" s="2" t="inlineStr"/>
    </row>
    <row r="459" ht="15" customHeight="1">
      <c r="A459" t="inlineStr">
        <is>
          <t>A 50386-2021</t>
        </is>
      </c>
      <c r="B459" s="1" t="n">
        <v>44459</v>
      </c>
      <c r="C459" s="1" t="n">
        <v>46178</v>
      </c>
      <c r="D459" t="inlineStr">
        <is>
          <t>ÖSTERGÖTLANDS LÄN</t>
        </is>
      </c>
      <c r="E459" t="inlineStr">
        <is>
          <t>LINKÖPING</t>
        </is>
      </c>
      <c r="G459" t="n">
        <v>2.3</v>
      </c>
      <c r="H459" t="n">
        <v>0</v>
      </c>
      <c r="I459" t="n">
        <v>0</v>
      </c>
      <c r="J459" t="n">
        <v>0</v>
      </c>
      <c r="K459" t="n">
        <v>0</v>
      </c>
      <c r="L459" t="n">
        <v>0</v>
      </c>
      <c r="M459" t="n">
        <v>0</v>
      </c>
      <c r="N459" t="n">
        <v>0</v>
      </c>
      <c r="O459" t="n">
        <v>0</v>
      </c>
      <c r="P459" t="n">
        <v>0</v>
      </c>
      <c r="Q459" t="n">
        <v>0</v>
      </c>
      <c r="R459" s="2" t="inlineStr"/>
    </row>
    <row r="460" ht="15" customHeight="1">
      <c r="A460" t="inlineStr">
        <is>
          <t>A 350-2022</t>
        </is>
      </c>
      <c r="B460" s="1" t="n">
        <v>44565</v>
      </c>
      <c r="C460" s="1" t="n">
        <v>46178</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18891-2022</t>
        </is>
      </c>
      <c r="B461" s="1" t="n">
        <v>44690</v>
      </c>
      <c r="C461" s="1" t="n">
        <v>46178</v>
      </c>
      <c r="D461" t="inlineStr">
        <is>
          <t>ÖSTERGÖTLANDS LÄN</t>
        </is>
      </c>
      <c r="E461" t="inlineStr">
        <is>
          <t>LINKÖPING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30976-2022</t>
        </is>
      </c>
      <c r="B462" s="1" t="n">
        <v>44768</v>
      </c>
      <c r="C462" s="1" t="n">
        <v>46178</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17513-2026</t>
        </is>
      </c>
      <c r="B463" s="1" t="n">
        <v>46120</v>
      </c>
      <c r="C463" s="1" t="n">
        <v>46178</v>
      </c>
      <c r="D463" t="inlineStr">
        <is>
          <t>ÖSTERGÖTLANDS LÄN</t>
        </is>
      </c>
      <c r="E463" t="inlineStr">
        <is>
          <t>LINKÖPING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58802-2025</t>
        </is>
      </c>
      <c r="B464" s="1" t="n">
        <v>45986.8768287037</v>
      </c>
      <c r="C464" s="1" t="n">
        <v>46178</v>
      </c>
      <c r="D464" t="inlineStr">
        <is>
          <t>ÖSTERGÖTLANDS LÄN</t>
        </is>
      </c>
      <c r="E464" t="inlineStr">
        <is>
          <t>LINKÖPING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55004-2025</t>
        </is>
      </c>
      <c r="B465" s="1" t="n">
        <v>45967</v>
      </c>
      <c r="C465" s="1" t="n">
        <v>46178</v>
      </c>
      <c r="D465" t="inlineStr">
        <is>
          <t>ÖSTERGÖTLANDS LÄN</t>
        </is>
      </c>
      <c r="E465" t="inlineStr">
        <is>
          <t>LINKÖPING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21247-2026</t>
        </is>
      </c>
      <c r="B466" s="1" t="n">
        <v>46147.36827546296</v>
      </c>
      <c r="C466" s="1" t="n">
        <v>46178</v>
      </c>
      <c r="D466" t="inlineStr">
        <is>
          <t>ÖSTERGÖTLANDS LÄN</t>
        </is>
      </c>
      <c r="E466" t="inlineStr">
        <is>
          <t>LINKÖPING</t>
        </is>
      </c>
      <c r="F466" t="inlineStr">
        <is>
          <t>Sveaskog</t>
        </is>
      </c>
      <c r="G466" t="n">
        <v>0.4</v>
      </c>
      <c r="H466" t="n">
        <v>0</v>
      </c>
      <c r="I466" t="n">
        <v>0</v>
      </c>
      <c r="J466" t="n">
        <v>0</v>
      </c>
      <c r="K466" t="n">
        <v>0</v>
      </c>
      <c r="L466" t="n">
        <v>0</v>
      </c>
      <c r="M466" t="n">
        <v>0</v>
      </c>
      <c r="N466" t="n">
        <v>0</v>
      </c>
      <c r="O466" t="n">
        <v>0</v>
      </c>
      <c r="P466" t="n">
        <v>0</v>
      </c>
      <c r="Q466" t="n">
        <v>0</v>
      </c>
      <c r="R466" s="2" t="inlineStr"/>
    </row>
    <row r="467" ht="15" customHeight="1">
      <c r="A467" t="inlineStr">
        <is>
          <t>A 55736-2022</t>
        </is>
      </c>
      <c r="B467" s="1" t="n">
        <v>44888</v>
      </c>
      <c r="C467" s="1" t="n">
        <v>46178</v>
      </c>
      <c r="D467" t="inlineStr">
        <is>
          <t>ÖSTERGÖTLANDS LÄN</t>
        </is>
      </c>
      <c r="E467" t="inlineStr">
        <is>
          <t>LINKÖPING</t>
        </is>
      </c>
      <c r="G467" t="n">
        <v>5.5</v>
      </c>
      <c r="H467" t="n">
        <v>0</v>
      </c>
      <c r="I467" t="n">
        <v>0</v>
      </c>
      <c r="J467" t="n">
        <v>0</v>
      </c>
      <c r="K467" t="n">
        <v>0</v>
      </c>
      <c r="L467" t="n">
        <v>0</v>
      </c>
      <c r="M467" t="n">
        <v>0</v>
      </c>
      <c r="N467" t="n">
        <v>0</v>
      </c>
      <c r="O467" t="n">
        <v>0</v>
      </c>
      <c r="P467" t="n">
        <v>0</v>
      </c>
      <c r="Q467" t="n">
        <v>0</v>
      </c>
      <c r="R467" s="2" t="inlineStr"/>
    </row>
    <row r="468" ht="15" customHeight="1">
      <c r="A468" t="inlineStr">
        <is>
          <t>A 59205-2025</t>
        </is>
      </c>
      <c r="B468" s="1" t="n">
        <v>45988.60721064815</v>
      </c>
      <c r="C468" s="1" t="n">
        <v>46178</v>
      </c>
      <c r="D468" t="inlineStr">
        <is>
          <t>ÖSTERGÖTLANDS LÄN</t>
        </is>
      </c>
      <c r="E468" t="inlineStr">
        <is>
          <t>LINKÖPING</t>
        </is>
      </c>
      <c r="F468" t="inlineStr">
        <is>
          <t>Sveaskog</t>
        </is>
      </c>
      <c r="G468" t="n">
        <v>11.3</v>
      </c>
      <c r="H468" t="n">
        <v>0</v>
      </c>
      <c r="I468" t="n">
        <v>0</v>
      </c>
      <c r="J468" t="n">
        <v>0</v>
      </c>
      <c r="K468" t="n">
        <v>0</v>
      </c>
      <c r="L468" t="n">
        <v>0</v>
      </c>
      <c r="M468" t="n">
        <v>0</v>
      </c>
      <c r="N468" t="n">
        <v>0</v>
      </c>
      <c r="O468" t="n">
        <v>0</v>
      </c>
      <c r="P468" t="n">
        <v>0</v>
      </c>
      <c r="Q468" t="n">
        <v>0</v>
      </c>
      <c r="R468" s="2" t="inlineStr"/>
    </row>
    <row r="469" ht="15" customHeight="1">
      <c r="A469" t="inlineStr">
        <is>
          <t>A 10194-2023</t>
        </is>
      </c>
      <c r="B469" s="1" t="n">
        <v>44986.52277777778</v>
      </c>
      <c r="C469" s="1" t="n">
        <v>46178</v>
      </c>
      <c r="D469" t="inlineStr">
        <is>
          <t>ÖSTERGÖTLANDS LÄN</t>
        </is>
      </c>
      <c r="E469" t="inlineStr">
        <is>
          <t>LINKÖPING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59472-2025</t>
        </is>
      </c>
      <c r="B470" s="1" t="n">
        <v>45989.58321759259</v>
      </c>
      <c r="C470" s="1" t="n">
        <v>46178</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60087-2025</t>
        </is>
      </c>
      <c r="B471" s="1" t="n">
        <v>45993.71726851852</v>
      </c>
      <c r="C471" s="1" t="n">
        <v>46178</v>
      </c>
      <c r="D471" t="inlineStr">
        <is>
          <t>ÖSTERGÖTLANDS LÄN</t>
        </is>
      </c>
      <c r="E471" t="inlineStr">
        <is>
          <t>LINKÖPING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7702-2023</t>
        </is>
      </c>
      <c r="B472" s="1" t="n">
        <v>44967</v>
      </c>
      <c r="C472" s="1" t="n">
        <v>46178</v>
      </c>
      <c r="D472" t="inlineStr">
        <is>
          <t>ÖSTERGÖTLANDS LÄN</t>
        </is>
      </c>
      <c r="E472" t="inlineStr">
        <is>
          <t>LINKÖPING</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60703-2025</t>
        </is>
      </c>
      <c r="B473" s="1" t="n">
        <v>45996.6052662037</v>
      </c>
      <c r="C473" s="1" t="n">
        <v>46178</v>
      </c>
      <c r="D473" t="inlineStr">
        <is>
          <t>ÖSTERGÖTLANDS LÄN</t>
        </is>
      </c>
      <c r="E473" t="inlineStr">
        <is>
          <t>LINKÖPING</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42000-2023</t>
        </is>
      </c>
      <c r="B474" s="1" t="n">
        <v>45177</v>
      </c>
      <c r="C474" s="1" t="n">
        <v>46178</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24436-2026</t>
        </is>
      </c>
      <c r="B475" s="1" t="n">
        <v>46169</v>
      </c>
      <c r="C475" s="1" t="n">
        <v>46178</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24618-2026</t>
        </is>
      </c>
      <c r="B476" s="1" t="n">
        <v>46169</v>
      </c>
      <c r="C476" s="1" t="n">
        <v>46178</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31534-2023</t>
        </is>
      </c>
      <c r="B477" s="1" t="n">
        <v>45116</v>
      </c>
      <c r="C477" s="1" t="n">
        <v>46178</v>
      </c>
      <c r="D477" t="inlineStr">
        <is>
          <t>ÖSTERGÖTLANDS LÄN</t>
        </is>
      </c>
      <c r="E477" t="inlineStr">
        <is>
          <t>LINKÖPING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24792-2026</t>
        </is>
      </c>
      <c r="B478" s="1" t="n">
        <v>46170</v>
      </c>
      <c r="C478" s="1" t="n">
        <v>46178</v>
      </c>
      <c r="D478" t="inlineStr">
        <is>
          <t>ÖSTERGÖTLANDS LÄN</t>
        </is>
      </c>
      <c r="E478" t="inlineStr">
        <is>
          <t>LINKÖPING</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35427-2023</t>
        </is>
      </c>
      <c r="B479" s="1" t="n">
        <v>45146</v>
      </c>
      <c r="C479" s="1" t="n">
        <v>46178</v>
      </c>
      <c r="D479" t="inlineStr">
        <is>
          <t>ÖSTERGÖTLANDS LÄN</t>
        </is>
      </c>
      <c r="E479" t="inlineStr">
        <is>
          <t>LINKÖPING</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61230-2025</t>
        </is>
      </c>
      <c r="B480" s="1" t="n">
        <v>46000.63111111111</v>
      </c>
      <c r="C480" s="1" t="n">
        <v>46178</v>
      </c>
      <c r="D480" t="inlineStr">
        <is>
          <t>ÖSTERGÖTLANDS LÄN</t>
        </is>
      </c>
      <c r="E480" t="inlineStr">
        <is>
          <t>LINKÖPING</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36725-2023</t>
        </is>
      </c>
      <c r="B481" s="1" t="n">
        <v>45153.68471064815</v>
      </c>
      <c r="C481" s="1" t="n">
        <v>46178</v>
      </c>
      <c r="D481" t="inlineStr">
        <is>
          <t>ÖSTERGÖTLANDS LÄN</t>
        </is>
      </c>
      <c r="E481" t="inlineStr">
        <is>
          <t>LINKÖPING</t>
        </is>
      </c>
      <c r="F481" t="inlineStr">
        <is>
          <t>Allmännings- och besparingsskogar</t>
        </is>
      </c>
      <c r="G481" t="n">
        <v>2.6</v>
      </c>
      <c r="H481" t="n">
        <v>0</v>
      </c>
      <c r="I481" t="n">
        <v>0</v>
      </c>
      <c r="J481" t="n">
        <v>0</v>
      </c>
      <c r="K481" t="n">
        <v>0</v>
      </c>
      <c r="L481" t="n">
        <v>0</v>
      </c>
      <c r="M481" t="n">
        <v>0</v>
      </c>
      <c r="N481" t="n">
        <v>0</v>
      </c>
      <c r="O481" t="n">
        <v>0</v>
      </c>
      <c r="P481" t="n">
        <v>0</v>
      </c>
      <c r="Q481" t="n">
        <v>0</v>
      </c>
      <c r="R481" s="2" t="inlineStr"/>
    </row>
    <row r="482" ht="15" customHeight="1">
      <c r="A482" t="inlineStr">
        <is>
          <t>A 53639-2023</t>
        </is>
      </c>
      <c r="B482" s="1" t="n">
        <v>45230.59686342593</v>
      </c>
      <c r="C482" s="1" t="n">
        <v>46178</v>
      </c>
      <c r="D482" t="inlineStr">
        <is>
          <t>ÖSTERGÖTLANDS LÄN</t>
        </is>
      </c>
      <c r="E482" t="inlineStr">
        <is>
          <t>LINKÖPING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61447-2025</t>
        </is>
      </c>
      <c r="B483" s="1" t="n">
        <v>46001.57554398148</v>
      </c>
      <c r="C483" s="1" t="n">
        <v>46178</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24619-2026</t>
        </is>
      </c>
      <c r="B484" s="1" t="n">
        <v>46169</v>
      </c>
      <c r="C484" s="1" t="n">
        <v>46178</v>
      </c>
      <c r="D484" t="inlineStr">
        <is>
          <t>ÖSTERGÖTLANDS LÄN</t>
        </is>
      </c>
      <c r="E484" t="inlineStr">
        <is>
          <t>LINKÖPING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1657-2024</t>
        </is>
      </c>
      <c r="B485" s="1" t="n">
        <v>45306.82501157407</v>
      </c>
      <c r="C485" s="1" t="n">
        <v>46178</v>
      </c>
      <c r="D485" t="inlineStr">
        <is>
          <t>ÖSTERGÖTLANDS LÄN</t>
        </is>
      </c>
      <c r="E485" t="inlineStr">
        <is>
          <t>LINKÖPING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50784-2022</t>
        </is>
      </c>
      <c r="B486" s="1" t="n">
        <v>44862</v>
      </c>
      <c r="C486" s="1" t="n">
        <v>46178</v>
      </c>
      <c r="D486" t="inlineStr">
        <is>
          <t>ÖSTERGÖTLANDS LÄN</t>
        </is>
      </c>
      <c r="E486" t="inlineStr">
        <is>
          <t>LINKÖPING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26803-2024</t>
        </is>
      </c>
      <c r="B487" s="1" t="n">
        <v>45470</v>
      </c>
      <c r="C487" s="1" t="n">
        <v>46178</v>
      </c>
      <c r="D487" t="inlineStr">
        <is>
          <t>ÖSTERGÖTLANDS LÄN</t>
        </is>
      </c>
      <c r="E487" t="inlineStr">
        <is>
          <t>LINKÖPING</t>
        </is>
      </c>
      <c r="F487" t="inlineStr">
        <is>
          <t>Allmännings- och besparingsskogar</t>
        </is>
      </c>
      <c r="G487" t="n">
        <v>4.5</v>
      </c>
      <c r="H487" t="n">
        <v>0</v>
      </c>
      <c r="I487" t="n">
        <v>0</v>
      </c>
      <c r="J487" t="n">
        <v>0</v>
      </c>
      <c r="K487" t="n">
        <v>0</v>
      </c>
      <c r="L487" t="n">
        <v>0</v>
      </c>
      <c r="M487" t="n">
        <v>0</v>
      </c>
      <c r="N487" t="n">
        <v>0</v>
      </c>
      <c r="O487" t="n">
        <v>0</v>
      </c>
      <c r="P487" t="n">
        <v>0</v>
      </c>
      <c r="Q487" t="n">
        <v>0</v>
      </c>
      <c r="R487" s="2" t="inlineStr"/>
    </row>
    <row r="488" ht="15" customHeight="1">
      <c r="A488" t="inlineStr">
        <is>
          <t>A 61643-2025</t>
        </is>
      </c>
      <c r="B488" s="1" t="n">
        <v>46002.43575231481</v>
      </c>
      <c r="C488" s="1" t="n">
        <v>46178</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61645-2025</t>
        </is>
      </c>
      <c r="B489" s="1" t="n">
        <v>46002.43697916667</v>
      </c>
      <c r="C489" s="1" t="n">
        <v>46178</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60472-2022</t>
        </is>
      </c>
      <c r="B490" s="1" t="n">
        <v>44911.41037037037</v>
      </c>
      <c r="C490" s="1" t="n">
        <v>46178</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62515-2025</t>
        </is>
      </c>
      <c r="B491" s="1" t="n">
        <v>46007.60548611111</v>
      </c>
      <c r="C491" s="1" t="n">
        <v>46178</v>
      </c>
      <c r="D491" t="inlineStr">
        <is>
          <t>ÖSTERGÖTLANDS LÄN</t>
        </is>
      </c>
      <c r="E491" t="inlineStr">
        <is>
          <t>LINKÖPING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43934-2023</t>
        </is>
      </c>
      <c r="B492" s="1" t="n">
        <v>45187</v>
      </c>
      <c r="C492" s="1" t="n">
        <v>46178</v>
      </c>
      <c r="D492" t="inlineStr">
        <is>
          <t>ÖSTERGÖTLANDS LÄN</t>
        </is>
      </c>
      <c r="E492" t="inlineStr">
        <is>
          <t>LINKÖPING</t>
        </is>
      </c>
      <c r="F492" t="inlineStr">
        <is>
          <t>Övriga Aktiebolag</t>
        </is>
      </c>
      <c r="G492" t="n">
        <v>3.8</v>
      </c>
      <c r="H492" t="n">
        <v>0</v>
      </c>
      <c r="I492" t="n">
        <v>0</v>
      </c>
      <c r="J492" t="n">
        <v>0</v>
      </c>
      <c r="K492" t="n">
        <v>0</v>
      </c>
      <c r="L492" t="n">
        <v>0</v>
      </c>
      <c r="M492" t="n">
        <v>0</v>
      </c>
      <c r="N492" t="n">
        <v>0</v>
      </c>
      <c r="O492" t="n">
        <v>0</v>
      </c>
      <c r="P492" t="n">
        <v>0</v>
      </c>
      <c r="Q492" t="n">
        <v>0</v>
      </c>
      <c r="R492" s="2" t="inlineStr"/>
    </row>
    <row r="493" ht="15" customHeight="1">
      <c r="A493" t="inlineStr">
        <is>
          <t>A 22778-2024</t>
        </is>
      </c>
      <c r="B493" s="1" t="n">
        <v>45448.47233796296</v>
      </c>
      <c r="C493" s="1" t="n">
        <v>46178</v>
      </c>
      <c r="D493" t="inlineStr">
        <is>
          <t>ÖSTERGÖTLANDS LÄN</t>
        </is>
      </c>
      <c r="E493" t="inlineStr">
        <is>
          <t>LINKÖPING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22284-2026</t>
        </is>
      </c>
      <c r="B494" s="1" t="n">
        <v>46154.4333449074</v>
      </c>
      <c r="C494" s="1" t="n">
        <v>46178</v>
      </c>
      <c r="D494" t="inlineStr">
        <is>
          <t>ÖSTERGÖTLANDS LÄN</t>
        </is>
      </c>
      <c r="E494" t="inlineStr">
        <is>
          <t>LINKÖPING</t>
        </is>
      </c>
      <c r="F494" t="inlineStr">
        <is>
          <t>Sveaskog</t>
        </is>
      </c>
      <c r="G494" t="n">
        <v>4.4</v>
      </c>
      <c r="H494" t="n">
        <v>0</v>
      </c>
      <c r="I494" t="n">
        <v>0</v>
      </c>
      <c r="J494" t="n">
        <v>0</v>
      </c>
      <c r="K494" t="n">
        <v>0</v>
      </c>
      <c r="L494" t="n">
        <v>0</v>
      </c>
      <c r="M494" t="n">
        <v>0</v>
      </c>
      <c r="N494" t="n">
        <v>0</v>
      </c>
      <c r="O494" t="n">
        <v>0</v>
      </c>
      <c r="P494" t="n">
        <v>0</v>
      </c>
      <c r="Q494" t="n">
        <v>0</v>
      </c>
      <c r="R494" s="2" t="inlineStr"/>
    </row>
    <row r="495" ht="15" customHeight="1">
      <c r="A495" t="inlineStr">
        <is>
          <t>A 1209-2023</t>
        </is>
      </c>
      <c r="B495" s="1" t="n">
        <v>44930</v>
      </c>
      <c r="C495" s="1" t="n">
        <v>46178</v>
      </c>
      <c r="D495" t="inlineStr">
        <is>
          <t>ÖSTERGÖTLANDS LÄN</t>
        </is>
      </c>
      <c r="E495" t="inlineStr">
        <is>
          <t>LINKÖPING</t>
        </is>
      </c>
      <c r="F495" t="inlineStr">
        <is>
          <t>Övriga statliga verk och myndigheter</t>
        </is>
      </c>
      <c r="G495" t="n">
        <v>25.8</v>
      </c>
      <c r="H495" t="n">
        <v>0</v>
      </c>
      <c r="I495" t="n">
        <v>0</v>
      </c>
      <c r="J495" t="n">
        <v>0</v>
      </c>
      <c r="K495" t="n">
        <v>0</v>
      </c>
      <c r="L495" t="n">
        <v>0</v>
      </c>
      <c r="M495" t="n">
        <v>0</v>
      </c>
      <c r="N495" t="n">
        <v>0</v>
      </c>
      <c r="O495" t="n">
        <v>0</v>
      </c>
      <c r="P495" t="n">
        <v>0</v>
      </c>
      <c r="Q495" t="n">
        <v>0</v>
      </c>
      <c r="R495" s="2" t="inlineStr"/>
    </row>
    <row r="496" ht="15" customHeight="1">
      <c r="A496" t="inlineStr">
        <is>
          <t>A 25229-2026</t>
        </is>
      </c>
      <c r="B496" s="1" t="n">
        <v>46175.64745370371</v>
      </c>
      <c r="C496" s="1" t="n">
        <v>46178</v>
      </c>
      <c r="D496" t="inlineStr">
        <is>
          <t>ÖSTERGÖTLANDS LÄN</t>
        </is>
      </c>
      <c r="E496" t="inlineStr">
        <is>
          <t>LINKÖPING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10407-2025</t>
        </is>
      </c>
      <c r="B497" s="1" t="n">
        <v>45720.62863425926</v>
      </c>
      <c r="C497" s="1" t="n">
        <v>46178</v>
      </c>
      <c r="D497" t="inlineStr">
        <is>
          <t>ÖSTERGÖTLANDS LÄN</t>
        </is>
      </c>
      <c r="E497" t="inlineStr">
        <is>
          <t>LINKÖPING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11590-2023</t>
        </is>
      </c>
      <c r="B498" s="1" t="n">
        <v>44994.36689814815</v>
      </c>
      <c r="C498" s="1" t="n">
        <v>46178</v>
      </c>
      <c r="D498" t="inlineStr">
        <is>
          <t>ÖSTERGÖTLANDS LÄN</t>
        </is>
      </c>
      <c r="E498" t="inlineStr">
        <is>
          <t>LINKÖPING</t>
        </is>
      </c>
      <c r="G498" t="n">
        <v>3.1</v>
      </c>
      <c r="H498" t="n">
        <v>0</v>
      </c>
      <c r="I498" t="n">
        <v>0</v>
      </c>
      <c r="J498" t="n">
        <v>0</v>
      </c>
      <c r="K498" t="n">
        <v>0</v>
      </c>
      <c r="L498" t="n">
        <v>0</v>
      </c>
      <c r="M498" t="n">
        <v>0</v>
      </c>
      <c r="N498" t="n">
        <v>0</v>
      </c>
      <c r="O498" t="n">
        <v>0</v>
      </c>
      <c r="P498" t="n">
        <v>0</v>
      </c>
      <c r="Q498" t="n">
        <v>0</v>
      </c>
      <c r="R498" s="2" t="inlineStr"/>
    </row>
    <row r="499" ht="15" customHeight="1">
      <c r="A499" t="inlineStr">
        <is>
          <t>A 19169-2023</t>
        </is>
      </c>
      <c r="B499" s="1" t="n">
        <v>45044</v>
      </c>
      <c r="C499" s="1" t="n">
        <v>46178</v>
      </c>
      <c r="D499" t="inlineStr">
        <is>
          <t>ÖSTERGÖTLANDS LÄN</t>
        </is>
      </c>
      <c r="E499" t="inlineStr">
        <is>
          <t>LINKÖPING</t>
        </is>
      </c>
      <c r="G499" t="n">
        <v>2.7</v>
      </c>
      <c r="H499" t="n">
        <v>0</v>
      </c>
      <c r="I499" t="n">
        <v>0</v>
      </c>
      <c r="J499" t="n">
        <v>0</v>
      </c>
      <c r="K499" t="n">
        <v>0</v>
      </c>
      <c r="L499" t="n">
        <v>0</v>
      </c>
      <c r="M499" t="n">
        <v>0</v>
      </c>
      <c r="N499" t="n">
        <v>0</v>
      </c>
      <c r="O499" t="n">
        <v>0</v>
      </c>
      <c r="P499" t="n">
        <v>0</v>
      </c>
      <c r="Q499" t="n">
        <v>0</v>
      </c>
      <c r="R499" s="2" t="inlineStr"/>
    </row>
    <row r="500" ht="15" customHeight="1">
      <c r="A500" t="inlineStr">
        <is>
          <t>A 62686-2025</t>
        </is>
      </c>
      <c r="B500" s="1" t="n">
        <v>46008.46769675926</v>
      </c>
      <c r="C500" s="1" t="n">
        <v>46178</v>
      </c>
      <c r="D500" t="inlineStr">
        <is>
          <t>ÖSTERGÖTLANDS LÄN</t>
        </is>
      </c>
      <c r="E500" t="inlineStr">
        <is>
          <t>LINKÖPING</t>
        </is>
      </c>
      <c r="G500" t="n">
        <v>7.6</v>
      </c>
      <c r="H500" t="n">
        <v>0</v>
      </c>
      <c r="I500" t="n">
        <v>0</v>
      </c>
      <c r="J500" t="n">
        <v>0</v>
      </c>
      <c r="K500" t="n">
        <v>0</v>
      </c>
      <c r="L500" t="n">
        <v>0</v>
      </c>
      <c r="M500" t="n">
        <v>0</v>
      </c>
      <c r="N500" t="n">
        <v>0</v>
      </c>
      <c r="O500" t="n">
        <v>0</v>
      </c>
      <c r="P500" t="n">
        <v>0</v>
      </c>
      <c r="Q500" t="n">
        <v>0</v>
      </c>
      <c r="R500" s="2" t="inlineStr"/>
    </row>
    <row r="501" ht="15" customHeight="1">
      <c r="A501" t="inlineStr">
        <is>
          <t>A 672-2024</t>
        </is>
      </c>
      <c r="B501" s="1" t="n">
        <v>45300</v>
      </c>
      <c r="C501" s="1" t="n">
        <v>46178</v>
      </c>
      <c r="D501" t="inlineStr">
        <is>
          <t>ÖSTERGÖTLANDS LÄN</t>
        </is>
      </c>
      <c r="E501" t="inlineStr">
        <is>
          <t>LINKÖPING</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63147-2025</t>
        </is>
      </c>
      <c r="B502" s="1" t="n">
        <v>46010.35003472222</v>
      </c>
      <c r="C502" s="1" t="n">
        <v>46178</v>
      </c>
      <c r="D502" t="inlineStr">
        <is>
          <t>ÖSTERGÖTLANDS LÄN</t>
        </is>
      </c>
      <c r="E502" t="inlineStr">
        <is>
          <t>LINKÖPING</t>
        </is>
      </c>
      <c r="G502" t="n">
        <v>4</v>
      </c>
      <c r="H502" t="n">
        <v>0</v>
      </c>
      <c r="I502" t="n">
        <v>0</v>
      </c>
      <c r="J502" t="n">
        <v>0</v>
      </c>
      <c r="K502" t="n">
        <v>0</v>
      </c>
      <c r="L502" t="n">
        <v>0</v>
      </c>
      <c r="M502" t="n">
        <v>0</v>
      </c>
      <c r="N502" t="n">
        <v>0</v>
      </c>
      <c r="O502" t="n">
        <v>0</v>
      </c>
      <c r="P502" t="n">
        <v>0</v>
      </c>
      <c r="Q502" t="n">
        <v>0</v>
      </c>
      <c r="R502" s="2" t="inlineStr"/>
    </row>
    <row r="503" ht="15" customHeight="1">
      <c r="A503" t="inlineStr">
        <is>
          <t>A 55493-2021</t>
        </is>
      </c>
      <c r="B503" s="1" t="n">
        <v>44475.61988425926</v>
      </c>
      <c r="C503" s="1" t="n">
        <v>46178</v>
      </c>
      <c r="D503" t="inlineStr">
        <is>
          <t>ÖSTERGÖTLANDS LÄN</t>
        </is>
      </c>
      <c r="E503" t="inlineStr">
        <is>
          <t>LINKÖPING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14093-2024</t>
        </is>
      </c>
      <c r="B504" s="1" t="n">
        <v>45392.60278935185</v>
      </c>
      <c r="C504" s="1" t="n">
        <v>46178</v>
      </c>
      <c r="D504" t="inlineStr">
        <is>
          <t>ÖSTERGÖTLANDS LÄN</t>
        </is>
      </c>
      <c r="E504" t="inlineStr">
        <is>
          <t>LINKÖPING</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62019-2024</t>
        </is>
      </c>
      <c r="B505" s="1" t="n">
        <v>45655.82</v>
      </c>
      <c r="C505" s="1" t="n">
        <v>46178</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25119-2023</t>
        </is>
      </c>
      <c r="B506" s="1" t="n">
        <v>45086.42326388889</v>
      </c>
      <c r="C506" s="1" t="n">
        <v>46178</v>
      </c>
      <c r="D506" t="inlineStr">
        <is>
          <t>ÖSTERGÖTLANDS LÄN</t>
        </is>
      </c>
      <c r="E506" t="inlineStr">
        <is>
          <t>LINKÖPING</t>
        </is>
      </c>
      <c r="G506" t="n">
        <v>3.2</v>
      </c>
      <c r="H506" t="n">
        <v>0</v>
      </c>
      <c r="I506" t="n">
        <v>0</v>
      </c>
      <c r="J506" t="n">
        <v>0</v>
      </c>
      <c r="K506" t="n">
        <v>0</v>
      </c>
      <c r="L506" t="n">
        <v>0</v>
      </c>
      <c r="M506" t="n">
        <v>0</v>
      </c>
      <c r="N506" t="n">
        <v>0</v>
      </c>
      <c r="O506" t="n">
        <v>0</v>
      </c>
      <c r="P506" t="n">
        <v>0</v>
      </c>
      <c r="Q506" t="n">
        <v>0</v>
      </c>
      <c r="R506" s="2" t="inlineStr"/>
    </row>
    <row r="507" ht="15" customHeight="1">
      <c r="A507" t="inlineStr">
        <is>
          <t>A 63144-2025</t>
        </is>
      </c>
      <c r="B507" s="1" t="n">
        <v>46010.34716435185</v>
      </c>
      <c r="C507" s="1" t="n">
        <v>46178</v>
      </c>
      <c r="D507" t="inlineStr">
        <is>
          <t>ÖSTERGÖTLANDS LÄN</t>
        </is>
      </c>
      <c r="E507" t="inlineStr">
        <is>
          <t>LINKÖPING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57396-2021</t>
        </is>
      </c>
      <c r="B508" s="1" t="n">
        <v>44483.56151620371</v>
      </c>
      <c r="C508" s="1" t="n">
        <v>46178</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54332-2025</t>
        </is>
      </c>
      <c r="B509" s="1" t="n">
        <v>45965.34915509259</v>
      </c>
      <c r="C509" s="1" t="n">
        <v>46178</v>
      </c>
      <c r="D509" t="inlineStr">
        <is>
          <t>ÖSTERGÖTLANDS LÄN</t>
        </is>
      </c>
      <c r="E509" t="inlineStr">
        <is>
          <t>LINKÖPING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51571-2024</t>
        </is>
      </c>
      <c r="B510" s="1" t="n">
        <v>45604</v>
      </c>
      <c r="C510" s="1" t="n">
        <v>46178</v>
      </c>
      <c r="D510" t="inlineStr">
        <is>
          <t>ÖSTERGÖTLANDS LÄN</t>
        </is>
      </c>
      <c r="E510" t="inlineStr">
        <is>
          <t>LINKÖPING</t>
        </is>
      </c>
      <c r="F510" t="inlineStr">
        <is>
          <t>Övriga Aktiebolag</t>
        </is>
      </c>
      <c r="G510" t="n">
        <v>1.4</v>
      </c>
      <c r="H510" t="n">
        <v>0</v>
      </c>
      <c r="I510" t="n">
        <v>0</v>
      </c>
      <c r="J510" t="n">
        <v>0</v>
      </c>
      <c r="K510" t="n">
        <v>0</v>
      </c>
      <c r="L510" t="n">
        <v>0</v>
      </c>
      <c r="M510" t="n">
        <v>0</v>
      </c>
      <c r="N510" t="n">
        <v>0</v>
      </c>
      <c r="O510" t="n">
        <v>0</v>
      </c>
      <c r="P510" t="n">
        <v>0</v>
      </c>
      <c r="Q510" t="n">
        <v>0</v>
      </c>
      <c r="R510" s="2" t="inlineStr"/>
    </row>
    <row r="511" ht="15" customHeight="1">
      <c r="A511" t="inlineStr">
        <is>
          <t>A 8967-2025</t>
        </is>
      </c>
      <c r="B511" s="1" t="n">
        <v>45712</v>
      </c>
      <c r="C511" s="1" t="n">
        <v>46178</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17143-2025</t>
        </is>
      </c>
      <c r="B512" s="1" t="n">
        <v>45755.92731481481</v>
      </c>
      <c r="C512" s="1" t="n">
        <v>46178</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20291-2025</t>
        </is>
      </c>
      <c r="B513" s="1" t="n">
        <v>45774.74288194445</v>
      </c>
      <c r="C513" s="1" t="n">
        <v>46178</v>
      </c>
      <c r="D513" t="inlineStr">
        <is>
          <t>ÖSTERGÖTLANDS LÄN</t>
        </is>
      </c>
      <c r="E513" t="inlineStr">
        <is>
          <t>LINKÖPING</t>
        </is>
      </c>
      <c r="G513" t="n">
        <v>2.3</v>
      </c>
      <c r="H513" t="n">
        <v>0</v>
      </c>
      <c r="I513" t="n">
        <v>0</v>
      </c>
      <c r="J513" t="n">
        <v>0</v>
      </c>
      <c r="K513" t="n">
        <v>0</v>
      </c>
      <c r="L513" t="n">
        <v>0</v>
      </c>
      <c r="M513" t="n">
        <v>0</v>
      </c>
      <c r="N513" t="n">
        <v>0</v>
      </c>
      <c r="O513" t="n">
        <v>0</v>
      </c>
      <c r="P513" t="n">
        <v>0</v>
      </c>
      <c r="Q513" t="n">
        <v>0</v>
      </c>
      <c r="R513" s="2" t="inlineStr"/>
    </row>
    <row r="514" ht="15" customHeight="1">
      <c r="A514" t="inlineStr">
        <is>
          <t>A 62791-2025</t>
        </is>
      </c>
      <c r="B514" s="1" t="n">
        <v>46008.63266203704</v>
      </c>
      <c r="C514" s="1" t="n">
        <v>46178</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17124-2025</t>
        </is>
      </c>
      <c r="B515" s="1" t="n">
        <v>45755.69678240741</v>
      </c>
      <c r="C515" s="1" t="n">
        <v>46178</v>
      </c>
      <c r="D515" t="inlineStr">
        <is>
          <t>ÖSTERGÖTLANDS LÄN</t>
        </is>
      </c>
      <c r="E515" t="inlineStr">
        <is>
          <t>LINKÖPING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17126-2025</t>
        </is>
      </c>
      <c r="B516" s="1" t="n">
        <v>45755.70814814815</v>
      </c>
      <c r="C516" s="1" t="n">
        <v>46178</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31640-2023</t>
        </is>
      </c>
      <c r="B517" s="1" t="n">
        <v>45117</v>
      </c>
      <c r="C517" s="1" t="n">
        <v>46178</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49650-2025</t>
        </is>
      </c>
      <c r="B518" s="1" t="n">
        <v>45938</v>
      </c>
      <c r="C518" s="1" t="n">
        <v>46178</v>
      </c>
      <c r="D518" t="inlineStr">
        <is>
          <t>ÖSTERGÖTLANDS LÄN</t>
        </is>
      </c>
      <c r="E518" t="inlineStr">
        <is>
          <t>LINKÖPING</t>
        </is>
      </c>
      <c r="F518" t="inlineStr">
        <is>
          <t>Övriga Aktiebolag</t>
        </is>
      </c>
      <c r="G518" t="n">
        <v>1.5</v>
      </c>
      <c r="H518" t="n">
        <v>0</v>
      </c>
      <c r="I518" t="n">
        <v>0</v>
      </c>
      <c r="J518" t="n">
        <v>0</v>
      </c>
      <c r="K518" t="n">
        <v>0</v>
      </c>
      <c r="L518" t="n">
        <v>0</v>
      </c>
      <c r="M518" t="n">
        <v>0</v>
      </c>
      <c r="N518" t="n">
        <v>0</v>
      </c>
      <c r="O518" t="n">
        <v>0</v>
      </c>
      <c r="P518" t="n">
        <v>0</v>
      </c>
      <c r="Q518" t="n">
        <v>0</v>
      </c>
      <c r="R518" s="2" t="inlineStr"/>
    </row>
    <row r="519" ht="15" customHeight="1">
      <c r="A519" t="inlineStr">
        <is>
          <t>A 39074-2025</t>
        </is>
      </c>
      <c r="B519" s="1" t="n">
        <v>45888</v>
      </c>
      <c r="C519" s="1" t="n">
        <v>46178</v>
      </c>
      <c r="D519" t="inlineStr">
        <is>
          <t>ÖSTERGÖTLANDS LÄN</t>
        </is>
      </c>
      <c r="E519" t="inlineStr">
        <is>
          <t>LINKÖPING</t>
        </is>
      </c>
      <c r="G519" t="n">
        <v>2.9</v>
      </c>
      <c r="H519" t="n">
        <v>0</v>
      </c>
      <c r="I519" t="n">
        <v>0</v>
      </c>
      <c r="J519" t="n">
        <v>0</v>
      </c>
      <c r="K519" t="n">
        <v>0</v>
      </c>
      <c r="L519" t="n">
        <v>0</v>
      </c>
      <c r="M519" t="n">
        <v>0</v>
      </c>
      <c r="N519" t="n">
        <v>0</v>
      </c>
      <c r="O519" t="n">
        <v>0</v>
      </c>
      <c r="P519" t="n">
        <v>0</v>
      </c>
      <c r="Q519" t="n">
        <v>0</v>
      </c>
      <c r="R519" s="2" t="inlineStr"/>
    </row>
    <row r="520" ht="15" customHeight="1">
      <c r="A520" t="inlineStr">
        <is>
          <t>A 11790-2024</t>
        </is>
      </c>
      <c r="B520" s="1" t="n">
        <v>45374</v>
      </c>
      <c r="C520" s="1" t="n">
        <v>46178</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61281-2021</t>
        </is>
      </c>
      <c r="B521" s="1" t="n">
        <v>44498.60736111111</v>
      </c>
      <c r="C521" s="1" t="n">
        <v>46178</v>
      </c>
      <c r="D521" t="inlineStr">
        <is>
          <t>ÖSTERGÖTLANDS LÄN</t>
        </is>
      </c>
      <c r="E521" t="inlineStr">
        <is>
          <t>LINKÖPING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15748-2025</t>
        </is>
      </c>
      <c r="B522" s="1" t="n">
        <v>45748.55282407408</v>
      </c>
      <c r="C522" s="1" t="n">
        <v>46178</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6206-2024</t>
        </is>
      </c>
      <c r="B523" s="1" t="n">
        <v>45337.5977662037</v>
      </c>
      <c r="C523" s="1" t="n">
        <v>46178</v>
      </c>
      <c r="D523" t="inlineStr">
        <is>
          <t>ÖSTERGÖTLANDS LÄN</t>
        </is>
      </c>
      <c r="E523" t="inlineStr">
        <is>
          <t>LINKÖPING</t>
        </is>
      </c>
      <c r="G523" t="n">
        <v>2</v>
      </c>
      <c r="H523" t="n">
        <v>0</v>
      </c>
      <c r="I523" t="n">
        <v>0</v>
      </c>
      <c r="J523" t="n">
        <v>0</v>
      </c>
      <c r="K523" t="n">
        <v>0</v>
      </c>
      <c r="L523" t="n">
        <v>0</v>
      </c>
      <c r="M523" t="n">
        <v>0</v>
      </c>
      <c r="N523" t="n">
        <v>0</v>
      </c>
      <c r="O523" t="n">
        <v>0</v>
      </c>
      <c r="P523" t="n">
        <v>0</v>
      </c>
      <c r="Q523" t="n">
        <v>0</v>
      </c>
      <c r="R523" s="2" t="inlineStr"/>
    </row>
    <row r="524" ht="15" customHeight="1">
      <c r="A524" t="inlineStr">
        <is>
          <t>A 168-2024</t>
        </is>
      </c>
      <c r="B524" s="1" t="n">
        <v>45294</v>
      </c>
      <c r="C524" s="1" t="n">
        <v>46178</v>
      </c>
      <c r="D524" t="inlineStr">
        <is>
          <t>ÖSTERGÖTLANDS LÄN</t>
        </is>
      </c>
      <c r="E524" t="inlineStr">
        <is>
          <t>LINKÖPING</t>
        </is>
      </c>
      <c r="F524" t="inlineStr">
        <is>
          <t>Allmännings- och besparingsskogar</t>
        </is>
      </c>
      <c r="G524" t="n">
        <v>8.9</v>
      </c>
      <c r="H524" t="n">
        <v>0</v>
      </c>
      <c r="I524" t="n">
        <v>0</v>
      </c>
      <c r="J524" t="n">
        <v>0</v>
      </c>
      <c r="K524" t="n">
        <v>0</v>
      </c>
      <c r="L524" t="n">
        <v>0</v>
      </c>
      <c r="M524" t="n">
        <v>0</v>
      </c>
      <c r="N524" t="n">
        <v>0</v>
      </c>
      <c r="O524" t="n">
        <v>0</v>
      </c>
      <c r="P524" t="n">
        <v>0</v>
      </c>
      <c r="Q524" t="n">
        <v>0</v>
      </c>
      <c r="R524" s="2" t="inlineStr"/>
    </row>
    <row r="525" ht="15" customHeight="1">
      <c r="A525" t="inlineStr">
        <is>
          <t>A 56623-2024</t>
        </is>
      </c>
      <c r="B525" s="1" t="n">
        <v>45625</v>
      </c>
      <c r="C525" s="1" t="n">
        <v>46178</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11330-2023</t>
        </is>
      </c>
      <c r="B526" s="1" t="n">
        <v>44993.24648148148</v>
      </c>
      <c r="C526" s="1" t="n">
        <v>46178</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63304-2021</t>
        </is>
      </c>
      <c r="B527" s="1" t="n">
        <v>44508.4396412037</v>
      </c>
      <c r="C527" s="1" t="n">
        <v>46178</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42623-2025</t>
        </is>
      </c>
      <c r="B528" s="1" t="n">
        <v>45905</v>
      </c>
      <c r="C528" s="1" t="n">
        <v>46178</v>
      </c>
      <c r="D528" t="inlineStr">
        <is>
          <t>ÖSTERGÖTLANDS LÄN</t>
        </is>
      </c>
      <c r="E528" t="inlineStr">
        <is>
          <t>LINKÖPING</t>
        </is>
      </c>
      <c r="G528" t="n">
        <v>1.9</v>
      </c>
      <c r="H528" t="n">
        <v>0</v>
      </c>
      <c r="I528" t="n">
        <v>0</v>
      </c>
      <c r="J528" t="n">
        <v>0</v>
      </c>
      <c r="K528" t="n">
        <v>0</v>
      </c>
      <c r="L528" t="n">
        <v>0</v>
      </c>
      <c r="M528" t="n">
        <v>0</v>
      </c>
      <c r="N528" t="n">
        <v>0</v>
      </c>
      <c r="O528" t="n">
        <v>0</v>
      </c>
      <c r="P528" t="n">
        <v>0</v>
      </c>
      <c r="Q528" t="n">
        <v>0</v>
      </c>
      <c r="R528" s="2" t="inlineStr"/>
    </row>
    <row r="529" ht="15" customHeight="1">
      <c r="A529" t="inlineStr">
        <is>
          <t>A 14528-2025</t>
        </is>
      </c>
      <c r="B529" s="1" t="n">
        <v>45741</v>
      </c>
      <c r="C529" s="1" t="n">
        <v>46178</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19523-2026</t>
        </is>
      </c>
      <c r="B530" s="1" t="n">
        <v>46134.35099537037</v>
      </c>
      <c r="C530" s="1" t="n">
        <v>46178</v>
      </c>
      <c r="D530" t="inlineStr">
        <is>
          <t>ÖSTERGÖTLANDS LÄN</t>
        </is>
      </c>
      <c r="E530" t="inlineStr">
        <is>
          <t>LINKÖPING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65398-2021</t>
        </is>
      </c>
      <c r="B531" s="1" t="n">
        <v>44515</v>
      </c>
      <c r="C531" s="1" t="n">
        <v>46178</v>
      </c>
      <c r="D531" t="inlineStr">
        <is>
          <t>ÖSTERGÖTLANDS LÄN</t>
        </is>
      </c>
      <c r="E531" t="inlineStr">
        <is>
          <t>LINKÖPING</t>
        </is>
      </c>
      <c r="F531" t="inlineStr">
        <is>
          <t>Övriga statliga verk och myndigheter</t>
        </is>
      </c>
      <c r="G531" t="n">
        <v>2.4</v>
      </c>
      <c r="H531" t="n">
        <v>0</v>
      </c>
      <c r="I531" t="n">
        <v>0</v>
      </c>
      <c r="J531" t="n">
        <v>0</v>
      </c>
      <c r="K531" t="n">
        <v>0</v>
      </c>
      <c r="L531" t="n">
        <v>0</v>
      </c>
      <c r="M531" t="n">
        <v>0</v>
      </c>
      <c r="N531" t="n">
        <v>0</v>
      </c>
      <c r="O531" t="n">
        <v>0</v>
      </c>
      <c r="P531" t="n">
        <v>0</v>
      </c>
      <c r="Q531" t="n">
        <v>0</v>
      </c>
      <c r="R531" s="2" t="inlineStr"/>
    </row>
    <row r="532" ht="15" customHeight="1">
      <c r="A532" t="inlineStr">
        <is>
          <t>A 28416-2025</t>
        </is>
      </c>
      <c r="B532" s="1" t="n">
        <v>45819.35346064815</v>
      </c>
      <c r="C532" s="1" t="n">
        <v>46178</v>
      </c>
      <c r="D532" t="inlineStr">
        <is>
          <t>ÖSTERGÖTLANDS LÄN</t>
        </is>
      </c>
      <c r="E532" t="inlineStr">
        <is>
          <t>LINKÖPING</t>
        </is>
      </c>
      <c r="F532" t="inlineStr">
        <is>
          <t>Sveaskog</t>
        </is>
      </c>
      <c r="G532" t="n">
        <v>3.7</v>
      </c>
      <c r="H532" t="n">
        <v>0</v>
      </c>
      <c r="I532" t="n">
        <v>0</v>
      </c>
      <c r="J532" t="n">
        <v>0</v>
      </c>
      <c r="K532" t="n">
        <v>0</v>
      </c>
      <c r="L532" t="n">
        <v>0</v>
      </c>
      <c r="M532" t="n">
        <v>0</v>
      </c>
      <c r="N532" t="n">
        <v>0</v>
      </c>
      <c r="O532" t="n">
        <v>0</v>
      </c>
      <c r="P532" t="n">
        <v>0</v>
      </c>
      <c r="Q532" t="n">
        <v>0</v>
      </c>
      <c r="R532" s="2" t="inlineStr"/>
    </row>
    <row r="533" ht="15" customHeight="1">
      <c r="A533" t="inlineStr">
        <is>
          <t>A 20298-2025</t>
        </is>
      </c>
      <c r="B533" s="1" t="n">
        <v>45774.75024305555</v>
      </c>
      <c r="C533" s="1" t="n">
        <v>46178</v>
      </c>
      <c r="D533" t="inlineStr">
        <is>
          <t>ÖSTERGÖTLANDS LÄN</t>
        </is>
      </c>
      <c r="E533" t="inlineStr">
        <is>
          <t>LINKÖPING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13266-2025</t>
        </is>
      </c>
      <c r="B534" s="1" t="n">
        <v>45735.53318287037</v>
      </c>
      <c r="C534" s="1" t="n">
        <v>46178</v>
      </c>
      <c r="D534" t="inlineStr">
        <is>
          <t>ÖSTERGÖTLANDS LÄN</t>
        </is>
      </c>
      <c r="E534" t="inlineStr">
        <is>
          <t>LINKÖPING</t>
        </is>
      </c>
      <c r="G534" t="n">
        <v>3.1</v>
      </c>
      <c r="H534" t="n">
        <v>0</v>
      </c>
      <c r="I534" t="n">
        <v>0</v>
      </c>
      <c r="J534" t="n">
        <v>0</v>
      </c>
      <c r="K534" t="n">
        <v>0</v>
      </c>
      <c r="L534" t="n">
        <v>0</v>
      </c>
      <c r="M534" t="n">
        <v>0</v>
      </c>
      <c r="N534" t="n">
        <v>0</v>
      </c>
      <c r="O534" t="n">
        <v>0</v>
      </c>
      <c r="P534" t="n">
        <v>0</v>
      </c>
      <c r="Q534" t="n">
        <v>0</v>
      </c>
      <c r="R534" s="2" t="inlineStr"/>
    </row>
    <row r="535" ht="15" customHeight="1">
      <c r="A535" t="inlineStr">
        <is>
          <t>A 3530-2024</t>
        </is>
      </c>
      <c r="B535" s="1" t="n">
        <v>45320.54717592592</v>
      </c>
      <c r="C535" s="1" t="n">
        <v>46178</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62073-2023</t>
        </is>
      </c>
      <c r="B536" s="1" t="n">
        <v>45266.73844907407</v>
      </c>
      <c r="C536" s="1" t="n">
        <v>46178</v>
      </c>
      <c r="D536" t="inlineStr">
        <is>
          <t>ÖSTERGÖTLANDS LÄN</t>
        </is>
      </c>
      <c r="E536" t="inlineStr">
        <is>
          <t>LINKÖPING</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5872-2025</t>
        </is>
      </c>
      <c r="B537" s="1" t="n">
        <v>45695.36659722222</v>
      </c>
      <c r="C537" s="1" t="n">
        <v>46178</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28398-2025</t>
        </is>
      </c>
      <c r="B538" s="1" t="n">
        <v>45819.34208333334</v>
      </c>
      <c r="C538" s="1" t="n">
        <v>46178</v>
      </c>
      <c r="D538" t="inlineStr">
        <is>
          <t>ÖSTERGÖTLANDS LÄN</t>
        </is>
      </c>
      <c r="E538" t="inlineStr">
        <is>
          <t>LINKÖPING</t>
        </is>
      </c>
      <c r="F538" t="inlineStr">
        <is>
          <t>Sveaskog</t>
        </is>
      </c>
      <c r="G538" t="n">
        <v>7.9</v>
      </c>
      <c r="H538" t="n">
        <v>0</v>
      </c>
      <c r="I538" t="n">
        <v>0</v>
      </c>
      <c r="J538" t="n">
        <v>0</v>
      </c>
      <c r="K538" t="n">
        <v>0</v>
      </c>
      <c r="L538" t="n">
        <v>0</v>
      </c>
      <c r="M538" t="n">
        <v>0</v>
      </c>
      <c r="N538" t="n">
        <v>0</v>
      </c>
      <c r="O538" t="n">
        <v>0</v>
      </c>
      <c r="P538" t="n">
        <v>0</v>
      </c>
      <c r="Q538" t="n">
        <v>0</v>
      </c>
      <c r="R538" s="2" t="inlineStr"/>
    </row>
    <row r="539" ht="15" customHeight="1">
      <c r="A539" t="inlineStr">
        <is>
          <t>A 57766-2023</t>
        </is>
      </c>
      <c r="B539" s="1" t="n">
        <v>45246</v>
      </c>
      <c r="C539" s="1" t="n">
        <v>46178</v>
      </c>
      <c r="D539" t="inlineStr">
        <is>
          <t>ÖSTERGÖTLANDS LÄN</t>
        </is>
      </c>
      <c r="E539" t="inlineStr">
        <is>
          <t>LINKÖPING</t>
        </is>
      </c>
      <c r="F539" t="inlineStr">
        <is>
          <t>Allmännings- och besparingsskogar</t>
        </is>
      </c>
      <c r="G539" t="n">
        <v>12.8</v>
      </c>
      <c r="H539" t="n">
        <v>0</v>
      </c>
      <c r="I539" t="n">
        <v>0</v>
      </c>
      <c r="J539" t="n">
        <v>0</v>
      </c>
      <c r="K539" t="n">
        <v>0</v>
      </c>
      <c r="L539" t="n">
        <v>0</v>
      </c>
      <c r="M539" t="n">
        <v>0</v>
      </c>
      <c r="N539" t="n">
        <v>0</v>
      </c>
      <c r="O539" t="n">
        <v>0</v>
      </c>
      <c r="P539" t="n">
        <v>0</v>
      </c>
      <c r="Q539" t="n">
        <v>0</v>
      </c>
      <c r="R539" s="2" t="inlineStr"/>
    </row>
    <row r="540" ht="15" customHeight="1">
      <c r="A540" t="inlineStr">
        <is>
          <t>A 53814-2023</t>
        </is>
      </c>
      <c r="B540" s="1" t="n">
        <v>45231</v>
      </c>
      <c r="C540" s="1" t="n">
        <v>46178</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3432-2023</t>
        </is>
      </c>
      <c r="B541" s="1" t="n">
        <v>44949</v>
      </c>
      <c r="C541" s="1" t="n">
        <v>46178</v>
      </c>
      <c r="D541" t="inlineStr">
        <is>
          <t>ÖSTERGÖTLANDS LÄN</t>
        </is>
      </c>
      <c r="E541" t="inlineStr">
        <is>
          <t>LINKÖPING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59674-2024</t>
        </is>
      </c>
      <c r="B542" s="1" t="n">
        <v>45639</v>
      </c>
      <c r="C542" s="1" t="n">
        <v>46178</v>
      </c>
      <c r="D542" t="inlineStr">
        <is>
          <t>ÖSTERGÖTLANDS LÄN</t>
        </is>
      </c>
      <c r="E542" t="inlineStr">
        <is>
          <t>LINKÖPING</t>
        </is>
      </c>
      <c r="G542" t="n">
        <v>6.3</v>
      </c>
      <c r="H542" t="n">
        <v>0</v>
      </c>
      <c r="I542" t="n">
        <v>0</v>
      </c>
      <c r="J542" t="n">
        <v>0</v>
      </c>
      <c r="K542" t="n">
        <v>0</v>
      </c>
      <c r="L542" t="n">
        <v>0</v>
      </c>
      <c r="M542" t="n">
        <v>0</v>
      </c>
      <c r="N542" t="n">
        <v>0</v>
      </c>
      <c r="O542" t="n">
        <v>0</v>
      </c>
      <c r="P542" t="n">
        <v>0</v>
      </c>
      <c r="Q542" t="n">
        <v>0</v>
      </c>
      <c r="R542" s="2" t="inlineStr"/>
    </row>
    <row r="543" ht="15" customHeight="1">
      <c r="A543" t="inlineStr">
        <is>
          <t>A 62687-2023</t>
        </is>
      </c>
      <c r="B543" s="1" t="n">
        <v>45271</v>
      </c>
      <c r="C543" s="1" t="n">
        <v>46178</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54425-2022</t>
        </is>
      </c>
      <c r="B544" s="1" t="n">
        <v>44882.57453703704</v>
      </c>
      <c r="C544" s="1" t="n">
        <v>46178</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54428-2022</t>
        </is>
      </c>
      <c r="B545" s="1" t="n">
        <v>44882.57643518518</v>
      </c>
      <c r="C545" s="1" t="n">
        <v>46178</v>
      </c>
      <c r="D545" t="inlineStr">
        <is>
          <t>ÖSTERGÖTLANDS LÄN</t>
        </is>
      </c>
      <c r="E545" t="inlineStr">
        <is>
          <t>LINKÖPING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660-2023</t>
        </is>
      </c>
      <c r="B546" s="1" t="n">
        <v>44930</v>
      </c>
      <c r="C546" s="1" t="n">
        <v>46178</v>
      </c>
      <c r="D546" t="inlineStr">
        <is>
          <t>ÖSTERGÖTLANDS LÄN</t>
        </is>
      </c>
      <c r="E546" t="inlineStr">
        <is>
          <t>LINKÖPING</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62501-2023</t>
        </is>
      </c>
      <c r="B547" s="1" t="n">
        <v>45268</v>
      </c>
      <c r="C547" s="1" t="n">
        <v>46178</v>
      </c>
      <c r="D547" t="inlineStr">
        <is>
          <t>ÖSTERGÖTLANDS LÄN</t>
        </is>
      </c>
      <c r="E547" t="inlineStr">
        <is>
          <t>LINKÖPING</t>
        </is>
      </c>
      <c r="G547" t="n">
        <v>7.4</v>
      </c>
      <c r="H547" t="n">
        <v>0</v>
      </c>
      <c r="I547" t="n">
        <v>0</v>
      </c>
      <c r="J547" t="n">
        <v>0</v>
      </c>
      <c r="K547" t="n">
        <v>0</v>
      </c>
      <c r="L547" t="n">
        <v>0</v>
      </c>
      <c r="M547" t="n">
        <v>0</v>
      </c>
      <c r="N547" t="n">
        <v>0</v>
      </c>
      <c r="O547" t="n">
        <v>0</v>
      </c>
      <c r="P547" t="n">
        <v>0</v>
      </c>
      <c r="Q547" t="n">
        <v>0</v>
      </c>
      <c r="R547" s="2" t="inlineStr"/>
    </row>
    <row r="548" ht="15" customHeight="1">
      <c r="A548" t="inlineStr">
        <is>
          <t>A 13413-2023</t>
        </is>
      </c>
      <c r="B548" s="1" t="n">
        <v>45005.58341435185</v>
      </c>
      <c r="C548" s="1" t="n">
        <v>46178</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26620-2023</t>
        </is>
      </c>
      <c r="B549" s="1" t="n">
        <v>45092.70390046296</v>
      </c>
      <c r="C549" s="1" t="n">
        <v>46178</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63554-2023</t>
        </is>
      </c>
      <c r="B550" s="1" t="n">
        <v>45275</v>
      </c>
      <c r="C550" s="1" t="n">
        <v>46178</v>
      </c>
      <c r="D550" t="inlineStr">
        <is>
          <t>ÖSTERGÖTLANDS LÄN</t>
        </is>
      </c>
      <c r="E550" t="inlineStr">
        <is>
          <t>LINKÖPING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63638-2023</t>
        </is>
      </c>
      <c r="B551" s="1" t="n">
        <v>45275</v>
      </c>
      <c r="C551" s="1" t="n">
        <v>46178</v>
      </c>
      <c r="D551" t="inlineStr">
        <is>
          <t>ÖSTERGÖTLANDS LÄN</t>
        </is>
      </c>
      <c r="E551" t="inlineStr">
        <is>
          <t>LINKÖPING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63658-2023</t>
        </is>
      </c>
      <c r="B552" s="1" t="n">
        <v>45275</v>
      </c>
      <c r="C552" s="1" t="n">
        <v>46178</v>
      </c>
      <c r="D552" t="inlineStr">
        <is>
          <t>ÖSTERGÖTLANDS LÄN</t>
        </is>
      </c>
      <c r="E552" t="inlineStr">
        <is>
          <t>LINKÖPING</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16820-2024</t>
        </is>
      </c>
      <c r="B553" s="1" t="n">
        <v>45411.46809027778</v>
      </c>
      <c r="C553" s="1" t="n">
        <v>46178</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4456-2024</t>
        </is>
      </c>
      <c r="B554" s="1" t="n">
        <v>45327.52847222222</v>
      </c>
      <c r="C554" s="1" t="n">
        <v>46178</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15121-2022</t>
        </is>
      </c>
      <c r="B555" s="1" t="n">
        <v>44658</v>
      </c>
      <c r="C555" s="1" t="n">
        <v>46178</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50743-2023</t>
        </is>
      </c>
      <c r="B556" s="1" t="n">
        <v>45217</v>
      </c>
      <c r="C556" s="1" t="n">
        <v>46178</v>
      </c>
      <c r="D556" t="inlineStr">
        <is>
          <t>ÖSTERGÖTLANDS LÄN</t>
        </is>
      </c>
      <c r="E556" t="inlineStr">
        <is>
          <t>LINKÖPING</t>
        </is>
      </c>
      <c r="G556" t="n">
        <v>2.7</v>
      </c>
      <c r="H556" t="n">
        <v>0</v>
      </c>
      <c r="I556" t="n">
        <v>0</v>
      </c>
      <c r="J556" t="n">
        <v>0</v>
      </c>
      <c r="K556" t="n">
        <v>0</v>
      </c>
      <c r="L556" t="n">
        <v>0</v>
      </c>
      <c r="M556" t="n">
        <v>0</v>
      </c>
      <c r="N556" t="n">
        <v>0</v>
      </c>
      <c r="O556" t="n">
        <v>0</v>
      </c>
      <c r="P556" t="n">
        <v>0</v>
      </c>
      <c r="Q556" t="n">
        <v>0</v>
      </c>
      <c r="R556" s="2" t="inlineStr"/>
    </row>
    <row r="557" ht="15" customHeight="1">
      <c r="A557" t="inlineStr">
        <is>
          <t>A 13687-2025</t>
        </is>
      </c>
      <c r="B557" s="1" t="n">
        <v>45737.31425925926</v>
      </c>
      <c r="C557" s="1" t="n">
        <v>46178</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13695-2025</t>
        </is>
      </c>
      <c r="B558" s="1" t="n">
        <v>45737.32219907407</v>
      </c>
      <c r="C558" s="1" t="n">
        <v>46178</v>
      </c>
      <c r="D558" t="inlineStr">
        <is>
          <t>ÖSTERGÖTLANDS LÄN</t>
        </is>
      </c>
      <c r="E558" t="inlineStr">
        <is>
          <t>LINKÖPING</t>
        </is>
      </c>
      <c r="G558" t="n">
        <v>5.3</v>
      </c>
      <c r="H558" t="n">
        <v>0</v>
      </c>
      <c r="I558" t="n">
        <v>0</v>
      </c>
      <c r="J558" t="n">
        <v>0</v>
      </c>
      <c r="K558" t="n">
        <v>0</v>
      </c>
      <c r="L558" t="n">
        <v>0</v>
      </c>
      <c r="M558" t="n">
        <v>0</v>
      </c>
      <c r="N558" t="n">
        <v>0</v>
      </c>
      <c r="O558" t="n">
        <v>0</v>
      </c>
      <c r="P558" t="n">
        <v>0</v>
      </c>
      <c r="Q558" t="n">
        <v>0</v>
      </c>
      <c r="R558" s="2" t="inlineStr"/>
    </row>
    <row r="559" ht="15" customHeight="1">
      <c r="A559" t="inlineStr">
        <is>
          <t>A 20294-2025</t>
        </is>
      </c>
      <c r="B559" s="1" t="n">
        <v>45774.74667824074</v>
      </c>
      <c r="C559" s="1" t="n">
        <v>46178</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17128-2025</t>
        </is>
      </c>
      <c r="B560" s="1" t="n">
        <v>45755.72622685185</v>
      </c>
      <c r="C560" s="1" t="n">
        <v>46178</v>
      </c>
      <c r="D560" t="inlineStr">
        <is>
          <t>ÖSTERGÖTLANDS LÄN</t>
        </is>
      </c>
      <c r="E560" t="inlineStr">
        <is>
          <t>LINKÖPING</t>
        </is>
      </c>
      <c r="G560" t="n">
        <v>2.9</v>
      </c>
      <c r="H560" t="n">
        <v>0</v>
      </c>
      <c r="I560" t="n">
        <v>0</v>
      </c>
      <c r="J560" t="n">
        <v>0</v>
      </c>
      <c r="K560" t="n">
        <v>0</v>
      </c>
      <c r="L560" t="n">
        <v>0</v>
      </c>
      <c r="M560" t="n">
        <v>0</v>
      </c>
      <c r="N560" t="n">
        <v>0</v>
      </c>
      <c r="O560" t="n">
        <v>0</v>
      </c>
      <c r="P560" t="n">
        <v>0</v>
      </c>
      <c r="Q560" t="n">
        <v>0</v>
      </c>
      <c r="R560" s="2" t="inlineStr"/>
    </row>
    <row r="561" ht="15" customHeight="1">
      <c r="A561" t="inlineStr">
        <is>
          <t>A 52125-2022</t>
        </is>
      </c>
      <c r="B561" s="1" t="n">
        <v>44873</v>
      </c>
      <c r="C561" s="1" t="n">
        <v>46178</v>
      </c>
      <c r="D561" t="inlineStr">
        <is>
          <t>ÖSTERGÖTLANDS LÄN</t>
        </is>
      </c>
      <c r="E561" t="inlineStr">
        <is>
          <t>LINKÖPING</t>
        </is>
      </c>
      <c r="F561" t="inlineStr">
        <is>
          <t>Övriga Aktiebolag</t>
        </is>
      </c>
      <c r="G561" t="n">
        <v>0.7</v>
      </c>
      <c r="H561" t="n">
        <v>0</v>
      </c>
      <c r="I561" t="n">
        <v>0</v>
      </c>
      <c r="J561" t="n">
        <v>0</v>
      </c>
      <c r="K561" t="n">
        <v>0</v>
      </c>
      <c r="L561" t="n">
        <v>0</v>
      </c>
      <c r="M561" t="n">
        <v>0</v>
      </c>
      <c r="N561" t="n">
        <v>0</v>
      </c>
      <c r="O561" t="n">
        <v>0</v>
      </c>
      <c r="P561" t="n">
        <v>0</v>
      </c>
      <c r="Q561" t="n">
        <v>0</v>
      </c>
      <c r="R561" s="2" t="inlineStr"/>
    </row>
    <row r="562" ht="15" customHeight="1">
      <c r="A562" t="inlineStr">
        <is>
          <t>A 27343-2023</t>
        </is>
      </c>
      <c r="B562" s="1" t="n">
        <v>45096</v>
      </c>
      <c r="C562" s="1" t="n">
        <v>46178</v>
      </c>
      <c r="D562" t="inlineStr">
        <is>
          <t>ÖSTERGÖTLANDS LÄN</t>
        </is>
      </c>
      <c r="E562" t="inlineStr">
        <is>
          <t>LINKÖPING</t>
        </is>
      </c>
      <c r="F562" t="inlineStr">
        <is>
          <t>Allmännings- och besparingsskogar</t>
        </is>
      </c>
      <c r="G562" t="n">
        <v>6.9</v>
      </c>
      <c r="H562" t="n">
        <v>0</v>
      </c>
      <c r="I562" t="n">
        <v>0</v>
      </c>
      <c r="J562" t="n">
        <v>0</v>
      </c>
      <c r="K562" t="n">
        <v>0</v>
      </c>
      <c r="L562" t="n">
        <v>0</v>
      </c>
      <c r="M562" t="n">
        <v>0</v>
      </c>
      <c r="N562" t="n">
        <v>0</v>
      </c>
      <c r="O562" t="n">
        <v>0</v>
      </c>
      <c r="P562" t="n">
        <v>0</v>
      </c>
      <c r="Q562" t="n">
        <v>0</v>
      </c>
      <c r="R562" s="2" t="inlineStr"/>
    </row>
    <row r="563" ht="15" customHeight="1">
      <c r="A563" t="inlineStr">
        <is>
          <t>A 22842-2023</t>
        </is>
      </c>
      <c r="B563" s="1" t="n">
        <v>45071</v>
      </c>
      <c r="C563" s="1" t="n">
        <v>46178</v>
      </c>
      <c r="D563" t="inlineStr">
        <is>
          <t>ÖSTERGÖTLANDS LÄN</t>
        </is>
      </c>
      <c r="E563" t="inlineStr">
        <is>
          <t>LINKÖPING</t>
        </is>
      </c>
      <c r="F563" t="inlineStr">
        <is>
          <t>Kommuner</t>
        </is>
      </c>
      <c r="G563" t="n">
        <v>1.3</v>
      </c>
      <c r="H563" t="n">
        <v>0</v>
      </c>
      <c r="I563" t="n">
        <v>0</v>
      </c>
      <c r="J563" t="n">
        <v>0</v>
      </c>
      <c r="K563" t="n">
        <v>0</v>
      </c>
      <c r="L563" t="n">
        <v>0</v>
      </c>
      <c r="M563" t="n">
        <v>0</v>
      </c>
      <c r="N563" t="n">
        <v>0</v>
      </c>
      <c r="O563" t="n">
        <v>0</v>
      </c>
      <c r="P563" t="n">
        <v>0</v>
      </c>
      <c r="Q563" t="n">
        <v>0</v>
      </c>
      <c r="R563" s="2" t="inlineStr"/>
    </row>
    <row r="564" ht="15" customHeight="1">
      <c r="A564" t="inlineStr">
        <is>
          <t>A 14520-2025</t>
        </is>
      </c>
      <c r="B564" s="1" t="n">
        <v>45741</v>
      </c>
      <c r="C564" s="1" t="n">
        <v>46178</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31548-2022</t>
        </is>
      </c>
      <c r="B565" s="1" t="n">
        <v>44775.39832175926</v>
      </c>
      <c r="C565" s="1" t="n">
        <v>46178</v>
      </c>
      <c r="D565" t="inlineStr">
        <is>
          <t>ÖSTERGÖTLANDS LÄN</t>
        </is>
      </c>
      <c r="E565" t="inlineStr">
        <is>
          <t>LINKÖPING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62017-2024</t>
        </is>
      </c>
      <c r="B566" s="1" t="n">
        <v>45655.81140046296</v>
      </c>
      <c r="C566" s="1" t="n">
        <v>46178</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17785-2023</t>
        </is>
      </c>
      <c r="B567" s="1" t="n">
        <v>45037.55094907407</v>
      </c>
      <c r="C567" s="1" t="n">
        <v>46178</v>
      </c>
      <c r="D567" t="inlineStr">
        <is>
          <t>ÖSTERGÖTLANDS LÄN</t>
        </is>
      </c>
      <c r="E567" t="inlineStr">
        <is>
          <t>LINKÖPING</t>
        </is>
      </c>
      <c r="F567" t="inlineStr">
        <is>
          <t>Allmännings- och besparingsskogar</t>
        </is>
      </c>
      <c r="G567" t="n">
        <v>3.1</v>
      </c>
      <c r="H567" t="n">
        <v>0</v>
      </c>
      <c r="I567" t="n">
        <v>0</v>
      </c>
      <c r="J567" t="n">
        <v>0</v>
      </c>
      <c r="K567" t="n">
        <v>0</v>
      </c>
      <c r="L567" t="n">
        <v>0</v>
      </c>
      <c r="M567" t="n">
        <v>0</v>
      </c>
      <c r="N567" t="n">
        <v>0</v>
      </c>
      <c r="O567" t="n">
        <v>0</v>
      </c>
      <c r="P567" t="n">
        <v>0</v>
      </c>
      <c r="Q567" t="n">
        <v>0</v>
      </c>
      <c r="R567" s="2" t="inlineStr"/>
    </row>
    <row r="568" ht="15" customHeight="1">
      <c r="A568" t="inlineStr">
        <is>
          <t>A 62686-2023</t>
        </is>
      </c>
      <c r="B568" s="1" t="n">
        <v>45271</v>
      </c>
      <c r="C568" s="1" t="n">
        <v>46178</v>
      </c>
      <c r="D568" t="inlineStr">
        <is>
          <t>ÖSTERGÖTLANDS LÄN</t>
        </is>
      </c>
      <c r="E568" t="inlineStr">
        <is>
          <t>LINKÖPING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42044-2023</t>
        </is>
      </c>
      <c r="B569" s="1" t="n">
        <v>45177</v>
      </c>
      <c r="C569" s="1" t="n">
        <v>46178</v>
      </c>
      <c r="D569" t="inlineStr">
        <is>
          <t>ÖSTERGÖTLANDS LÄN</t>
        </is>
      </c>
      <c r="E569" t="inlineStr">
        <is>
          <t>LINKÖPING</t>
        </is>
      </c>
      <c r="G569" t="n">
        <v>3.9</v>
      </c>
      <c r="H569" t="n">
        <v>0</v>
      </c>
      <c r="I569" t="n">
        <v>0</v>
      </c>
      <c r="J569" t="n">
        <v>0</v>
      </c>
      <c r="K569" t="n">
        <v>0</v>
      </c>
      <c r="L569" t="n">
        <v>0</v>
      </c>
      <c r="M569" t="n">
        <v>0</v>
      </c>
      <c r="N569" t="n">
        <v>0</v>
      </c>
      <c r="O569" t="n">
        <v>0</v>
      </c>
      <c r="P569" t="n">
        <v>0</v>
      </c>
      <c r="Q569" t="n">
        <v>0</v>
      </c>
      <c r="R569" s="2" t="inlineStr"/>
    </row>
    <row r="570" ht="15" customHeight="1">
      <c r="A570" t="inlineStr">
        <is>
          <t>A 49656-2021</t>
        </is>
      </c>
      <c r="B570" s="1" t="n">
        <v>44454</v>
      </c>
      <c r="C570" s="1" t="n">
        <v>46178</v>
      </c>
      <c r="D570" t="inlineStr">
        <is>
          <t>ÖSTERGÖTLANDS LÄN</t>
        </is>
      </c>
      <c r="E570" t="inlineStr">
        <is>
          <t>LINKÖPING</t>
        </is>
      </c>
      <c r="G570" t="n">
        <v>2.3</v>
      </c>
      <c r="H570" t="n">
        <v>0</v>
      </c>
      <c r="I570" t="n">
        <v>0</v>
      </c>
      <c r="J570" t="n">
        <v>0</v>
      </c>
      <c r="K570" t="n">
        <v>0</v>
      </c>
      <c r="L570" t="n">
        <v>0</v>
      </c>
      <c r="M570" t="n">
        <v>0</v>
      </c>
      <c r="N570" t="n">
        <v>0</v>
      </c>
      <c r="O570" t="n">
        <v>0</v>
      </c>
      <c r="P570" t="n">
        <v>0</v>
      </c>
      <c r="Q570" t="n">
        <v>0</v>
      </c>
      <c r="R570" s="2" t="inlineStr"/>
    </row>
    <row r="571" ht="15" customHeight="1">
      <c r="A571" t="inlineStr">
        <is>
          <t>A 38230-2023</t>
        </is>
      </c>
      <c r="B571" s="1" t="n">
        <v>45161.55373842592</v>
      </c>
      <c r="C571" s="1" t="n">
        <v>46178</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4908-2023</t>
        </is>
      </c>
      <c r="B572" s="1" t="n">
        <v>44958</v>
      </c>
      <c r="C572" s="1" t="n">
        <v>46178</v>
      </c>
      <c r="D572" t="inlineStr">
        <is>
          <t>ÖSTERGÖTLANDS LÄN</t>
        </is>
      </c>
      <c r="E572" t="inlineStr">
        <is>
          <t>LINKÖPING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1265-2023</t>
        </is>
      </c>
      <c r="B573" s="1" t="n">
        <v>44936</v>
      </c>
      <c r="C573" s="1" t="n">
        <v>46178</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12411-2022</t>
        </is>
      </c>
      <c r="B574" s="1" t="n">
        <v>44638.21601851852</v>
      </c>
      <c r="C574" s="1" t="n">
        <v>46178</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23491-2024</t>
        </is>
      </c>
      <c r="B575" s="1" t="n">
        <v>45453</v>
      </c>
      <c r="C575" s="1" t="n">
        <v>46178</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70-2024</t>
        </is>
      </c>
      <c r="B576" s="1" t="n">
        <v>45293</v>
      </c>
      <c r="C576" s="1" t="n">
        <v>46178</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6054-2022</t>
        </is>
      </c>
      <c r="B577" s="1" t="n">
        <v>44599.53623842593</v>
      </c>
      <c r="C577" s="1" t="n">
        <v>46178</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31725-2022</t>
        </is>
      </c>
      <c r="B578" s="1" t="n">
        <v>44776.48541666667</v>
      </c>
      <c r="C578" s="1" t="n">
        <v>46178</v>
      </c>
      <c r="D578" t="inlineStr">
        <is>
          <t>ÖSTERGÖTLANDS LÄN</t>
        </is>
      </c>
      <c r="E578" t="inlineStr">
        <is>
          <t>LINKÖPING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57391-2023</t>
        </is>
      </c>
      <c r="B579" s="1" t="n">
        <v>45245</v>
      </c>
      <c r="C579" s="1" t="n">
        <v>46178</v>
      </c>
      <c r="D579" t="inlineStr">
        <is>
          <t>ÖSTERGÖTLANDS LÄN</t>
        </is>
      </c>
      <c r="E579" t="inlineStr">
        <is>
          <t>LINKÖPING</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7992-2023</t>
        </is>
      </c>
      <c r="B580" s="1" t="n">
        <v>44970</v>
      </c>
      <c r="C580" s="1" t="n">
        <v>46178</v>
      </c>
      <c r="D580" t="inlineStr">
        <is>
          <t>ÖSTERGÖTLANDS LÄN</t>
        </is>
      </c>
      <c r="E580" t="inlineStr">
        <is>
          <t>LINKÖPING</t>
        </is>
      </c>
      <c r="F580" t="inlineStr">
        <is>
          <t>Kommuner</t>
        </is>
      </c>
      <c r="G580" t="n">
        <v>1</v>
      </c>
      <c r="H580" t="n">
        <v>0</v>
      </c>
      <c r="I580" t="n">
        <v>0</v>
      </c>
      <c r="J580" t="n">
        <v>0</v>
      </c>
      <c r="K580" t="n">
        <v>0</v>
      </c>
      <c r="L580" t="n">
        <v>0</v>
      </c>
      <c r="M580" t="n">
        <v>0</v>
      </c>
      <c r="N580" t="n">
        <v>0</v>
      </c>
      <c r="O580" t="n">
        <v>0</v>
      </c>
      <c r="P580" t="n">
        <v>0</v>
      </c>
      <c r="Q580" t="n">
        <v>0</v>
      </c>
      <c r="R580" s="2" t="inlineStr"/>
    </row>
    <row r="581" ht="15" customHeight="1">
      <c r="A581" t="inlineStr">
        <is>
          <t>A 13689-2025</t>
        </is>
      </c>
      <c r="B581" s="1" t="n">
        <v>45737.31590277778</v>
      </c>
      <c r="C581" s="1" t="n">
        <v>46178</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13696-2025</t>
        </is>
      </c>
      <c r="B582" s="1" t="n">
        <v>45737.32273148148</v>
      </c>
      <c r="C582" s="1" t="n">
        <v>46178</v>
      </c>
      <c r="D582" t="inlineStr">
        <is>
          <t>ÖSTERGÖTLANDS LÄN</t>
        </is>
      </c>
      <c r="E582" t="inlineStr">
        <is>
          <t>LINKÖPING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1924-2024</t>
        </is>
      </c>
      <c r="B583" s="1" t="n">
        <v>45308</v>
      </c>
      <c r="C583" s="1" t="n">
        <v>46178</v>
      </c>
      <c r="D583" t="inlineStr">
        <is>
          <t>ÖSTERGÖTLANDS LÄN</t>
        </is>
      </c>
      <c r="E583" t="inlineStr">
        <is>
          <t>LINKÖPING</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32346-2023</t>
        </is>
      </c>
      <c r="B584" s="1" t="n">
        <v>45120</v>
      </c>
      <c r="C584" s="1" t="n">
        <v>46178</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7808-2022</t>
        </is>
      </c>
      <c r="B585" s="1" t="n">
        <v>44608</v>
      </c>
      <c r="C585" s="1" t="n">
        <v>46178</v>
      </c>
      <c r="D585" t="inlineStr">
        <is>
          <t>ÖSTERGÖTLANDS LÄN</t>
        </is>
      </c>
      <c r="E585" t="inlineStr">
        <is>
          <t>LINKÖPING</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27844-2024</t>
        </is>
      </c>
      <c r="B586" s="1" t="n">
        <v>45475.63047453704</v>
      </c>
      <c r="C586" s="1" t="n">
        <v>46178</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40810-2022</t>
        </is>
      </c>
      <c r="B587" s="1" t="n">
        <v>44824</v>
      </c>
      <c r="C587" s="1" t="n">
        <v>46178</v>
      </c>
      <c r="D587" t="inlineStr">
        <is>
          <t>ÖSTERGÖTLANDS LÄN</t>
        </is>
      </c>
      <c r="E587" t="inlineStr">
        <is>
          <t>LINKÖPING</t>
        </is>
      </c>
      <c r="G587" t="n">
        <v>2.8</v>
      </c>
      <c r="H587" t="n">
        <v>0</v>
      </c>
      <c r="I587" t="n">
        <v>0</v>
      </c>
      <c r="J587" t="n">
        <v>0</v>
      </c>
      <c r="K587" t="n">
        <v>0</v>
      </c>
      <c r="L587" t="n">
        <v>0</v>
      </c>
      <c r="M587" t="n">
        <v>0</v>
      </c>
      <c r="N587" t="n">
        <v>0</v>
      </c>
      <c r="O587" t="n">
        <v>0</v>
      </c>
      <c r="P587" t="n">
        <v>0</v>
      </c>
      <c r="Q587" t="n">
        <v>0</v>
      </c>
      <c r="R587" s="2" t="inlineStr"/>
    </row>
    <row r="588" ht="15" customHeight="1">
      <c r="A588" t="inlineStr">
        <is>
          <t>A 51559-2024</t>
        </is>
      </c>
      <c r="B588" s="1" t="n">
        <v>45604.61431712963</v>
      </c>
      <c r="C588" s="1" t="n">
        <v>46178</v>
      </c>
      <c r="D588" t="inlineStr">
        <is>
          <t>ÖSTERGÖTLANDS LÄN</t>
        </is>
      </c>
      <c r="E588" t="inlineStr">
        <is>
          <t>LINKÖPING</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49979-2022</t>
        </is>
      </c>
      <c r="B589" s="1" t="n">
        <v>44865</v>
      </c>
      <c r="C589" s="1" t="n">
        <v>46178</v>
      </c>
      <c r="D589" t="inlineStr">
        <is>
          <t>ÖSTERGÖTLANDS LÄN</t>
        </is>
      </c>
      <c r="E589" t="inlineStr">
        <is>
          <t>LINKÖPING</t>
        </is>
      </c>
      <c r="F589" t="inlineStr">
        <is>
          <t>Övriga Aktiebolag</t>
        </is>
      </c>
      <c r="G589" t="n">
        <v>11.4</v>
      </c>
      <c r="H589" t="n">
        <v>0</v>
      </c>
      <c r="I589" t="n">
        <v>0</v>
      </c>
      <c r="J589" t="n">
        <v>0</v>
      </c>
      <c r="K589" t="n">
        <v>0</v>
      </c>
      <c r="L589" t="n">
        <v>0</v>
      </c>
      <c r="M589" t="n">
        <v>0</v>
      </c>
      <c r="N589" t="n">
        <v>0</v>
      </c>
      <c r="O589" t="n">
        <v>0</v>
      </c>
      <c r="P589" t="n">
        <v>0</v>
      </c>
      <c r="Q589" t="n">
        <v>0</v>
      </c>
      <c r="R589" s="2" t="inlineStr"/>
    </row>
    <row r="590" ht="15" customHeight="1">
      <c r="A590" t="inlineStr">
        <is>
          <t>A 39219-2021</t>
        </is>
      </c>
      <c r="B590" s="1" t="n">
        <v>44413</v>
      </c>
      <c r="C590" s="1" t="n">
        <v>46178</v>
      </c>
      <c r="D590" t="inlineStr">
        <is>
          <t>ÖSTERGÖTLANDS LÄN</t>
        </is>
      </c>
      <c r="E590" t="inlineStr">
        <is>
          <t>LINKÖPING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39224-2021</t>
        </is>
      </c>
      <c r="B591" s="1" t="n">
        <v>44413</v>
      </c>
      <c r="C591" s="1" t="n">
        <v>46178</v>
      </c>
      <c r="D591" t="inlineStr">
        <is>
          <t>ÖSTERGÖTLANDS LÄN</t>
        </is>
      </c>
      <c r="E591" t="inlineStr">
        <is>
          <t>LINKÖPING</t>
        </is>
      </c>
      <c r="G591" t="n">
        <v>2.1</v>
      </c>
      <c r="H591" t="n">
        <v>0</v>
      </c>
      <c r="I591" t="n">
        <v>0</v>
      </c>
      <c r="J591" t="n">
        <v>0</v>
      </c>
      <c r="K591" t="n">
        <v>0</v>
      </c>
      <c r="L591" t="n">
        <v>0</v>
      </c>
      <c r="M591" t="n">
        <v>0</v>
      </c>
      <c r="N591" t="n">
        <v>0</v>
      </c>
      <c r="O591" t="n">
        <v>0</v>
      </c>
      <c r="P591" t="n">
        <v>0</v>
      </c>
      <c r="Q591" t="n">
        <v>0</v>
      </c>
      <c r="R591" s="2" t="inlineStr"/>
    </row>
    <row r="592" ht="15" customHeight="1">
      <c r="A592" t="inlineStr">
        <is>
          <t>A 62495-2023</t>
        </is>
      </c>
      <c r="B592" s="1" t="n">
        <v>45268.59717592593</v>
      </c>
      <c r="C592" s="1" t="n">
        <v>46178</v>
      </c>
      <c r="D592" t="inlineStr">
        <is>
          <t>ÖSTERGÖTLANDS LÄN</t>
        </is>
      </c>
      <c r="E592" t="inlineStr">
        <is>
          <t>LINKÖPING</t>
        </is>
      </c>
      <c r="G592" t="n">
        <v>4.1</v>
      </c>
      <c r="H592" t="n">
        <v>0</v>
      </c>
      <c r="I592" t="n">
        <v>0</v>
      </c>
      <c r="J592" t="n">
        <v>0</v>
      </c>
      <c r="K592" t="n">
        <v>0</v>
      </c>
      <c r="L592" t="n">
        <v>0</v>
      </c>
      <c r="M592" t="n">
        <v>0</v>
      </c>
      <c r="N592" t="n">
        <v>0</v>
      </c>
      <c r="O592" t="n">
        <v>0</v>
      </c>
      <c r="P592" t="n">
        <v>0</v>
      </c>
      <c r="Q592" t="n">
        <v>0</v>
      </c>
      <c r="R592" s="2" t="inlineStr"/>
    </row>
    <row r="593" ht="15" customHeight="1">
      <c r="A593" t="inlineStr">
        <is>
          <t>A 29413-2023</t>
        </is>
      </c>
      <c r="B593" s="1" t="n">
        <v>45106.46465277778</v>
      </c>
      <c r="C593" s="1" t="n">
        <v>46178</v>
      </c>
      <c r="D593" t="inlineStr">
        <is>
          <t>ÖSTERGÖTLANDS LÄN</t>
        </is>
      </c>
      <c r="E593" t="inlineStr">
        <is>
          <t>LINKÖPING</t>
        </is>
      </c>
      <c r="G593" t="n">
        <v>8</v>
      </c>
      <c r="H593" t="n">
        <v>0</v>
      </c>
      <c r="I593" t="n">
        <v>0</v>
      </c>
      <c r="J593" t="n">
        <v>0</v>
      </c>
      <c r="K593" t="n">
        <v>0</v>
      </c>
      <c r="L593" t="n">
        <v>0</v>
      </c>
      <c r="M593" t="n">
        <v>0</v>
      </c>
      <c r="N593" t="n">
        <v>0</v>
      </c>
      <c r="O593" t="n">
        <v>0</v>
      </c>
      <c r="P593" t="n">
        <v>0</v>
      </c>
      <c r="Q593" t="n">
        <v>0</v>
      </c>
      <c r="R593" s="2" t="inlineStr"/>
    </row>
    <row r="594" ht="15" customHeight="1">
      <c r="A594" t="inlineStr">
        <is>
          <t>A 25948-2023</t>
        </is>
      </c>
      <c r="B594" s="1" t="n">
        <v>45090</v>
      </c>
      <c r="C594" s="1" t="n">
        <v>46178</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1627-2023</t>
        </is>
      </c>
      <c r="B595" s="1" t="n">
        <v>44937</v>
      </c>
      <c r="C595" s="1" t="n">
        <v>46178</v>
      </c>
      <c r="D595" t="inlineStr">
        <is>
          <t>ÖSTERGÖTLANDS LÄN</t>
        </is>
      </c>
      <c r="E595" t="inlineStr">
        <is>
          <t>LINKÖPING</t>
        </is>
      </c>
      <c r="G595" t="n">
        <v>10.8</v>
      </c>
      <c r="H595" t="n">
        <v>0</v>
      </c>
      <c r="I595" t="n">
        <v>0</v>
      </c>
      <c r="J595" t="n">
        <v>0</v>
      </c>
      <c r="K595" t="n">
        <v>0</v>
      </c>
      <c r="L595" t="n">
        <v>0</v>
      </c>
      <c r="M595" t="n">
        <v>0</v>
      </c>
      <c r="N595" t="n">
        <v>0</v>
      </c>
      <c r="O595" t="n">
        <v>0</v>
      </c>
      <c r="P595" t="n">
        <v>0</v>
      </c>
      <c r="Q595" t="n">
        <v>0</v>
      </c>
      <c r="R595" s="2" t="inlineStr"/>
    </row>
    <row r="596" ht="15" customHeight="1">
      <c r="A596" t="inlineStr">
        <is>
          <t>A 30481-2023</t>
        </is>
      </c>
      <c r="B596" s="1" t="n">
        <v>45111</v>
      </c>
      <c r="C596" s="1" t="n">
        <v>46178</v>
      </c>
      <c r="D596" t="inlineStr">
        <is>
          <t>ÖSTERGÖTLANDS LÄN</t>
        </is>
      </c>
      <c r="E596" t="inlineStr">
        <is>
          <t>LINKÖPING</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21782-2024</t>
        </is>
      </c>
      <c r="B597" s="1" t="n">
        <v>45442.63368055555</v>
      </c>
      <c r="C597" s="1" t="n">
        <v>46178</v>
      </c>
      <c r="D597" t="inlineStr">
        <is>
          <t>ÖSTERGÖTLANDS LÄN</t>
        </is>
      </c>
      <c r="E597" t="inlineStr">
        <is>
          <t>LINKÖPING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11671-2023</t>
        </is>
      </c>
      <c r="B598" s="1" t="n">
        <v>44994.48125</v>
      </c>
      <c r="C598" s="1" t="n">
        <v>46178</v>
      </c>
      <c r="D598" t="inlineStr">
        <is>
          <t>ÖSTERGÖTLANDS LÄN</t>
        </is>
      </c>
      <c r="E598" t="inlineStr">
        <is>
          <t>LINKÖPING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3013-2023</t>
        </is>
      </c>
      <c r="B599" s="1" t="n">
        <v>44945.8092824074</v>
      </c>
      <c r="C599" s="1" t="n">
        <v>46178</v>
      </c>
      <c r="D599" t="inlineStr">
        <is>
          <t>ÖSTERGÖTLANDS LÄN</t>
        </is>
      </c>
      <c r="E599" t="inlineStr">
        <is>
          <t>LINKÖPING</t>
        </is>
      </c>
      <c r="G599" t="n">
        <v>5.2</v>
      </c>
      <c r="H599" t="n">
        <v>0</v>
      </c>
      <c r="I599" t="n">
        <v>0</v>
      </c>
      <c r="J599" t="n">
        <v>0</v>
      </c>
      <c r="K599" t="n">
        <v>0</v>
      </c>
      <c r="L599" t="n">
        <v>0</v>
      </c>
      <c r="M599" t="n">
        <v>0</v>
      </c>
      <c r="N599" t="n">
        <v>0</v>
      </c>
      <c r="O599" t="n">
        <v>0</v>
      </c>
      <c r="P599" t="n">
        <v>0</v>
      </c>
      <c r="Q599" t="n">
        <v>0</v>
      </c>
      <c r="R599" s="2" t="inlineStr"/>
    </row>
    <row r="600" ht="15" customHeight="1">
      <c r="A600" t="inlineStr">
        <is>
          <t>A 49747-2024</t>
        </is>
      </c>
      <c r="B600" s="1" t="n">
        <v>45596</v>
      </c>
      <c r="C600" s="1" t="n">
        <v>46178</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42997-2021</t>
        </is>
      </c>
      <c r="B601" s="1" t="n">
        <v>44431.45556712963</v>
      </c>
      <c r="C601" s="1" t="n">
        <v>46178</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3011-2023</t>
        </is>
      </c>
      <c r="B602" s="1" t="n">
        <v>44945</v>
      </c>
      <c r="C602" s="1" t="n">
        <v>46178</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23735-2023</t>
        </is>
      </c>
      <c r="B603" s="1" t="n">
        <v>45077</v>
      </c>
      <c r="C603" s="1" t="n">
        <v>46178</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45821-2024</t>
        </is>
      </c>
      <c r="B604" s="1" t="n">
        <v>45579.75803240741</v>
      </c>
      <c r="C604" s="1" t="n">
        <v>46178</v>
      </c>
      <c r="D604" t="inlineStr">
        <is>
          <t>ÖSTERGÖTLANDS LÄN</t>
        </is>
      </c>
      <c r="E604" t="inlineStr">
        <is>
          <t>LINKÖPING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53647-2021</t>
        </is>
      </c>
      <c r="B605" s="1" t="n">
        <v>44469</v>
      </c>
      <c r="C605" s="1" t="n">
        <v>46178</v>
      </c>
      <c r="D605" t="inlineStr">
        <is>
          <t>ÖSTERGÖTLANDS LÄN</t>
        </is>
      </c>
      <c r="E605" t="inlineStr">
        <is>
          <t>LINKÖPING</t>
        </is>
      </c>
      <c r="G605" t="n">
        <v>2.3</v>
      </c>
      <c r="H605" t="n">
        <v>0</v>
      </c>
      <c r="I605" t="n">
        <v>0</v>
      </c>
      <c r="J605" t="n">
        <v>0</v>
      </c>
      <c r="K605" t="n">
        <v>0</v>
      </c>
      <c r="L605" t="n">
        <v>0</v>
      </c>
      <c r="M605" t="n">
        <v>0</v>
      </c>
      <c r="N605" t="n">
        <v>0</v>
      </c>
      <c r="O605" t="n">
        <v>0</v>
      </c>
      <c r="P605" t="n">
        <v>0</v>
      </c>
      <c r="Q605" t="n">
        <v>0</v>
      </c>
      <c r="R605" s="2" t="inlineStr"/>
    </row>
    <row r="606" ht="15" customHeight="1">
      <c r="A606" t="inlineStr">
        <is>
          <t>A 6599-2023</t>
        </is>
      </c>
      <c r="B606" s="1" t="n">
        <v>44966.52603009259</v>
      </c>
      <c r="C606" s="1" t="n">
        <v>46178</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35735-2023</t>
        </is>
      </c>
      <c r="B607" s="1" t="n">
        <v>45147</v>
      </c>
      <c r="C607" s="1" t="n">
        <v>46178</v>
      </c>
      <c r="D607" t="inlineStr">
        <is>
          <t>ÖSTERGÖTLANDS LÄN</t>
        </is>
      </c>
      <c r="E607" t="inlineStr">
        <is>
          <t>LINKÖPING</t>
        </is>
      </c>
      <c r="G607" t="n">
        <v>2.8</v>
      </c>
      <c r="H607" t="n">
        <v>0</v>
      </c>
      <c r="I607" t="n">
        <v>0</v>
      </c>
      <c r="J607" t="n">
        <v>0</v>
      </c>
      <c r="K607" t="n">
        <v>0</v>
      </c>
      <c r="L607" t="n">
        <v>0</v>
      </c>
      <c r="M607" t="n">
        <v>0</v>
      </c>
      <c r="N607" t="n">
        <v>0</v>
      </c>
      <c r="O607" t="n">
        <v>0</v>
      </c>
      <c r="P607" t="n">
        <v>0</v>
      </c>
      <c r="Q607" t="n">
        <v>0</v>
      </c>
      <c r="R607" s="2" t="inlineStr"/>
    </row>
    <row r="608" ht="15" customHeight="1">
      <c r="A608" t="inlineStr">
        <is>
          <t>A 45831-2024</t>
        </is>
      </c>
      <c r="B608" s="1" t="n">
        <v>45579.90508101852</v>
      </c>
      <c r="C608" s="1" t="n">
        <v>46178</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17157-2024</t>
        </is>
      </c>
      <c r="B609" s="1" t="n">
        <v>45412.70567129629</v>
      </c>
      <c r="C609" s="1" t="n">
        <v>46178</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37154-2023</t>
        </is>
      </c>
      <c r="B610" s="1" t="n">
        <v>45155</v>
      </c>
      <c r="C610" s="1" t="n">
        <v>46178</v>
      </c>
      <c r="D610" t="inlineStr">
        <is>
          <t>ÖSTERGÖTLANDS LÄN</t>
        </is>
      </c>
      <c r="E610" t="inlineStr">
        <is>
          <t>LINKÖPING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53812-2023</t>
        </is>
      </c>
      <c r="B611" s="1" t="n">
        <v>45231.39583333334</v>
      </c>
      <c r="C611" s="1" t="n">
        <v>46178</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53830-2023</t>
        </is>
      </c>
      <c r="B612" s="1" t="n">
        <v>45230</v>
      </c>
      <c r="C612" s="1" t="n">
        <v>46178</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56841-2023</t>
        </is>
      </c>
      <c r="B613" s="1" t="n">
        <v>45244</v>
      </c>
      <c r="C613" s="1" t="n">
        <v>46178</v>
      </c>
      <c r="D613" t="inlineStr">
        <is>
          <t>ÖSTERGÖTLANDS LÄN</t>
        </is>
      </c>
      <c r="E613" t="inlineStr">
        <is>
          <t>LINKÖPING</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56741-2023</t>
        </is>
      </c>
      <c r="B614" s="1" t="n">
        <v>45244</v>
      </c>
      <c r="C614" s="1" t="n">
        <v>46178</v>
      </c>
      <c r="D614" t="inlineStr">
        <is>
          <t>ÖSTERGÖTLANDS LÄN</t>
        </is>
      </c>
      <c r="E614" t="inlineStr">
        <is>
          <t>LINKÖPING</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53816-2023</t>
        </is>
      </c>
      <c r="B615" s="1" t="n">
        <v>45231.40012731482</v>
      </c>
      <c r="C615" s="1" t="n">
        <v>46178</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63935-2021</t>
        </is>
      </c>
      <c r="B616" s="1" t="n">
        <v>44509</v>
      </c>
      <c r="C616" s="1" t="n">
        <v>46178</v>
      </c>
      <c r="D616" t="inlineStr">
        <is>
          <t>ÖSTERGÖTLANDS LÄN</t>
        </is>
      </c>
      <c r="E616" t="inlineStr">
        <is>
          <t>LINKÖPING</t>
        </is>
      </c>
      <c r="F616" t="inlineStr">
        <is>
          <t>Övriga statliga verk och myndigheter</t>
        </is>
      </c>
      <c r="G616" t="n">
        <v>2.8</v>
      </c>
      <c r="H616" t="n">
        <v>0</v>
      </c>
      <c r="I616" t="n">
        <v>0</v>
      </c>
      <c r="J616" t="n">
        <v>0</v>
      </c>
      <c r="K616" t="n">
        <v>0</v>
      </c>
      <c r="L616" t="n">
        <v>0</v>
      </c>
      <c r="M616" t="n">
        <v>0</v>
      </c>
      <c r="N616" t="n">
        <v>0</v>
      </c>
      <c r="O616" t="n">
        <v>0</v>
      </c>
      <c r="P616" t="n">
        <v>0</v>
      </c>
      <c r="Q616" t="n">
        <v>0</v>
      </c>
      <c r="R616" s="2" t="inlineStr"/>
    </row>
    <row r="617" ht="15" customHeight="1">
      <c r="A617" t="inlineStr">
        <is>
          <t>A 6726-2024</t>
        </is>
      </c>
      <c r="B617" s="1" t="n">
        <v>45341</v>
      </c>
      <c r="C617" s="1" t="n">
        <v>46178</v>
      </c>
      <c r="D617" t="inlineStr">
        <is>
          <t>ÖSTERGÖTLANDS LÄN</t>
        </is>
      </c>
      <c r="E617" t="inlineStr">
        <is>
          <t>LINKÖPING</t>
        </is>
      </c>
      <c r="G617" t="n">
        <v>2.7</v>
      </c>
      <c r="H617" t="n">
        <v>0</v>
      </c>
      <c r="I617" t="n">
        <v>0</v>
      </c>
      <c r="J617" t="n">
        <v>0</v>
      </c>
      <c r="K617" t="n">
        <v>0</v>
      </c>
      <c r="L617" t="n">
        <v>0</v>
      </c>
      <c r="M617" t="n">
        <v>0</v>
      </c>
      <c r="N617" t="n">
        <v>0</v>
      </c>
      <c r="O617" t="n">
        <v>0</v>
      </c>
      <c r="P617" t="n">
        <v>0</v>
      </c>
      <c r="Q617" t="n">
        <v>0</v>
      </c>
      <c r="R617" s="2" t="inlineStr"/>
    </row>
    <row r="618" ht="15" customHeight="1">
      <c r="A618" t="inlineStr">
        <is>
          <t>A 3007-2023</t>
        </is>
      </c>
      <c r="B618" s="1" t="n">
        <v>44945</v>
      </c>
      <c r="C618" s="1" t="n">
        <v>46178</v>
      </c>
      <c r="D618" t="inlineStr">
        <is>
          <t>ÖSTERGÖTLANDS LÄN</t>
        </is>
      </c>
      <c r="E618" t="inlineStr">
        <is>
          <t>LINKÖPING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29309-2024</t>
        </is>
      </c>
      <c r="B619" s="1" t="n">
        <v>45483</v>
      </c>
      <c r="C619" s="1" t="n">
        <v>46178</v>
      </c>
      <c r="D619" t="inlineStr">
        <is>
          <t>ÖSTERGÖTLANDS LÄN</t>
        </is>
      </c>
      <c r="E619" t="inlineStr">
        <is>
          <t>LINKÖPING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53411-2023</t>
        </is>
      </c>
      <c r="B620" s="1" t="n">
        <v>45229.81049768518</v>
      </c>
      <c r="C620" s="1" t="n">
        <v>46178</v>
      </c>
      <c r="D620" t="inlineStr">
        <is>
          <t>ÖSTERGÖTLANDS LÄN</t>
        </is>
      </c>
      <c r="E620" t="inlineStr">
        <is>
          <t>LINKÖPING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26788-2022</t>
        </is>
      </c>
      <c r="B621" s="1" t="n">
        <v>44740</v>
      </c>
      <c r="C621" s="1" t="n">
        <v>46178</v>
      </c>
      <c r="D621" t="inlineStr">
        <is>
          <t>ÖSTERGÖTLANDS LÄN</t>
        </is>
      </c>
      <c r="E621" t="inlineStr">
        <is>
          <t>LINKÖPING</t>
        </is>
      </c>
      <c r="G621" t="n">
        <v>3.2</v>
      </c>
      <c r="H621" t="n">
        <v>0</v>
      </c>
      <c r="I621" t="n">
        <v>0</v>
      </c>
      <c r="J621" t="n">
        <v>0</v>
      </c>
      <c r="K621" t="n">
        <v>0</v>
      </c>
      <c r="L621" t="n">
        <v>0</v>
      </c>
      <c r="M621" t="n">
        <v>0</v>
      </c>
      <c r="N621" t="n">
        <v>0</v>
      </c>
      <c r="O621" t="n">
        <v>0</v>
      </c>
      <c r="P621" t="n">
        <v>0</v>
      </c>
      <c r="Q621" t="n">
        <v>0</v>
      </c>
      <c r="R621" s="2" t="inlineStr"/>
    </row>
    <row r="622" ht="15" customHeight="1">
      <c r="A622" t="inlineStr">
        <is>
          <t>A 24462-2023</t>
        </is>
      </c>
      <c r="B622" s="1" t="n">
        <v>45082</v>
      </c>
      <c r="C622" s="1" t="n">
        <v>46178</v>
      </c>
      <c r="D622" t="inlineStr">
        <is>
          <t>ÖSTERGÖTLANDS LÄN</t>
        </is>
      </c>
      <c r="E622" t="inlineStr">
        <is>
          <t>LINKÖPING</t>
        </is>
      </c>
      <c r="G622" t="n">
        <v>3.5</v>
      </c>
      <c r="H622" t="n">
        <v>0</v>
      </c>
      <c r="I622" t="n">
        <v>0</v>
      </c>
      <c r="J622" t="n">
        <v>0</v>
      </c>
      <c r="K622" t="n">
        <v>0</v>
      </c>
      <c r="L622" t="n">
        <v>0</v>
      </c>
      <c r="M622" t="n">
        <v>0</v>
      </c>
      <c r="N622" t="n">
        <v>0</v>
      </c>
      <c r="O622" t="n">
        <v>0</v>
      </c>
      <c r="P622" t="n">
        <v>0</v>
      </c>
      <c r="Q622" t="n">
        <v>0</v>
      </c>
      <c r="R622" s="2" t="inlineStr"/>
    </row>
    <row r="623" ht="15" customHeight="1">
      <c r="A623" t="inlineStr">
        <is>
          <t>A 62015-2024</t>
        </is>
      </c>
      <c r="B623" s="1" t="n">
        <v>45655.80457175926</v>
      </c>
      <c r="C623" s="1" t="n">
        <v>46178</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10741-2023</t>
        </is>
      </c>
      <c r="B624" s="1" t="n">
        <v>44988.70084490741</v>
      </c>
      <c r="C624" s="1" t="n">
        <v>46178</v>
      </c>
      <c r="D624" t="inlineStr">
        <is>
          <t>ÖSTERGÖTLANDS LÄN</t>
        </is>
      </c>
      <c r="E624" t="inlineStr">
        <is>
          <t>LINKÖPING</t>
        </is>
      </c>
      <c r="F624" t="inlineStr">
        <is>
          <t>Allmännings- och besparingsskogar</t>
        </is>
      </c>
      <c r="G624" t="n">
        <v>11.2</v>
      </c>
      <c r="H624" t="n">
        <v>0</v>
      </c>
      <c r="I624" t="n">
        <v>0</v>
      </c>
      <c r="J624" t="n">
        <v>0</v>
      </c>
      <c r="K624" t="n">
        <v>0</v>
      </c>
      <c r="L624" t="n">
        <v>0</v>
      </c>
      <c r="M624" t="n">
        <v>0</v>
      </c>
      <c r="N624" t="n">
        <v>0</v>
      </c>
      <c r="O624" t="n">
        <v>0</v>
      </c>
      <c r="P624" t="n">
        <v>0</v>
      </c>
      <c r="Q624" t="n">
        <v>0</v>
      </c>
      <c r="R624" s="2" t="inlineStr"/>
    </row>
    <row r="625" ht="15" customHeight="1">
      <c r="A625" t="inlineStr">
        <is>
          <t>A 43473-2024</t>
        </is>
      </c>
      <c r="B625" s="1" t="n">
        <v>45568</v>
      </c>
      <c r="C625" s="1" t="n">
        <v>46178</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43475-2024</t>
        </is>
      </c>
      <c r="B626" s="1" t="n">
        <v>45568</v>
      </c>
      <c r="C626" s="1" t="n">
        <v>46178</v>
      </c>
      <c r="D626" t="inlineStr">
        <is>
          <t>ÖSTERGÖTLANDS LÄN</t>
        </is>
      </c>
      <c r="E626" t="inlineStr">
        <is>
          <t>LINKÖPING</t>
        </is>
      </c>
      <c r="G626" t="n">
        <v>3.2</v>
      </c>
      <c r="H626" t="n">
        <v>0</v>
      </c>
      <c r="I626" t="n">
        <v>0</v>
      </c>
      <c r="J626" t="n">
        <v>0</v>
      </c>
      <c r="K626" t="n">
        <v>0</v>
      </c>
      <c r="L626" t="n">
        <v>0</v>
      </c>
      <c r="M626" t="n">
        <v>0</v>
      </c>
      <c r="N626" t="n">
        <v>0</v>
      </c>
      <c r="O626" t="n">
        <v>0</v>
      </c>
      <c r="P626" t="n">
        <v>0</v>
      </c>
      <c r="Q626" t="n">
        <v>0</v>
      </c>
      <c r="R626" s="2" t="inlineStr"/>
    </row>
    <row r="627" ht="15" customHeight="1">
      <c r="A627" t="inlineStr">
        <is>
          <t>A 1207-2023</t>
        </is>
      </c>
      <c r="B627" s="1" t="n">
        <v>44930</v>
      </c>
      <c r="C627" s="1" t="n">
        <v>46178</v>
      </c>
      <c r="D627" t="inlineStr">
        <is>
          <t>ÖSTERGÖTLANDS LÄN</t>
        </is>
      </c>
      <c r="E627" t="inlineStr">
        <is>
          <t>LINKÖPING</t>
        </is>
      </c>
      <c r="F627" t="inlineStr">
        <is>
          <t>Övriga statliga verk och myndigheter</t>
        </is>
      </c>
      <c r="G627" t="n">
        <v>32.8</v>
      </c>
      <c r="H627" t="n">
        <v>0</v>
      </c>
      <c r="I627" t="n">
        <v>0</v>
      </c>
      <c r="J627" t="n">
        <v>0</v>
      </c>
      <c r="K627" t="n">
        <v>0</v>
      </c>
      <c r="L627" t="n">
        <v>0</v>
      </c>
      <c r="M627" t="n">
        <v>0</v>
      </c>
      <c r="N627" t="n">
        <v>0</v>
      </c>
      <c r="O627" t="n">
        <v>0</v>
      </c>
      <c r="P627" t="n">
        <v>0</v>
      </c>
      <c r="Q627" t="n">
        <v>0</v>
      </c>
      <c r="R627" s="2" t="inlineStr"/>
    </row>
    <row r="628" ht="15" customHeight="1">
      <c r="A628" t="inlineStr">
        <is>
          <t>A 29859-2024</t>
        </is>
      </c>
      <c r="B628" s="1" t="n">
        <v>45485.6846412037</v>
      </c>
      <c r="C628" s="1" t="n">
        <v>46178</v>
      </c>
      <c r="D628" t="inlineStr">
        <is>
          <t>ÖSTERGÖTLANDS LÄN</t>
        </is>
      </c>
      <c r="E628" t="inlineStr">
        <is>
          <t>LINKÖPING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45819-2024</t>
        </is>
      </c>
      <c r="B629" s="1" t="n">
        <v>45579.7454050926</v>
      </c>
      <c r="C629" s="1" t="n">
        <v>46178</v>
      </c>
      <c r="D629" t="inlineStr">
        <is>
          <t>ÖSTERGÖTLANDS LÄN</t>
        </is>
      </c>
      <c r="E629" t="inlineStr">
        <is>
          <t>LINKÖPING</t>
        </is>
      </c>
      <c r="G629" t="n">
        <v>5</v>
      </c>
      <c r="H629" t="n">
        <v>0</v>
      </c>
      <c r="I629" t="n">
        <v>0</v>
      </c>
      <c r="J629" t="n">
        <v>0</v>
      </c>
      <c r="K629" t="n">
        <v>0</v>
      </c>
      <c r="L629" t="n">
        <v>0</v>
      </c>
      <c r="M629" t="n">
        <v>0</v>
      </c>
      <c r="N629" t="n">
        <v>0</v>
      </c>
      <c r="O629" t="n">
        <v>0</v>
      </c>
      <c r="P629" t="n">
        <v>0</v>
      </c>
      <c r="Q629" t="n">
        <v>0</v>
      </c>
      <c r="R629" s="2" t="inlineStr"/>
    </row>
    <row r="630" ht="15" customHeight="1">
      <c r="A630" t="inlineStr">
        <is>
          <t>A 15754-2025</t>
        </is>
      </c>
      <c r="B630" s="1" t="n">
        <v>45748.56105324074</v>
      </c>
      <c r="C630" s="1" t="n">
        <v>46178</v>
      </c>
      <c r="D630" t="inlineStr">
        <is>
          <t>ÖSTERGÖTLANDS LÄN</t>
        </is>
      </c>
      <c r="E630" t="inlineStr">
        <is>
          <t>LINKÖPING</t>
        </is>
      </c>
      <c r="G630" t="n">
        <v>1.7</v>
      </c>
      <c r="H630" t="n">
        <v>0</v>
      </c>
      <c r="I630" t="n">
        <v>0</v>
      </c>
      <c r="J630" t="n">
        <v>0</v>
      </c>
      <c r="K630" t="n">
        <v>0</v>
      </c>
      <c r="L630" t="n">
        <v>0</v>
      </c>
      <c r="M630" t="n">
        <v>0</v>
      </c>
      <c r="N630" t="n">
        <v>0</v>
      </c>
      <c r="O630" t="n">
        <v>0</v>
      </c>
      <c r="P630" t="n">
        <v>0</v>
      </c>
      <c r="Q630" t="n">
        <v>0</v>
      </c>
      <c r="R630" s="2" t="inlineStr"/>
    </row>
    <row r="631" ht="15" customHeight="1">
      <c r="A631" t="inlineStr">
        <is>
          <t>A 30518-2024</t>
        </is>
      </c>
      <c r="B631" s="1" t="n">
        <v>45492</v>
      </c>
      <c r="C631" s="1" t="n">
        <v>46178</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53797-2023</t>
        </is>
      </c>
      <c r="B632" s="1" t="n">
        <v>45230</v>
      </c>
      <c r="C632" s="1" t="n">
        <v>46178</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55345-2021</t>
        </is>
      </c>
      <c r="B633" s="1" t="n">
        <v>44475</v>
      </c>
      <c r="C633" s="1" t="n">
        <v>46178</v>
      </c>
      <c r="D633" t="inlineStr">
        <is>
          <t>ÖSTERGÖTLANDS LÄN</t>
        </is>
      </c>
      <c r="E633" t="inlineStr">
        <is>
          <t>LINKÖPING</t>
        </is>
      </c>
      <c r="G633" t="n">
        <v>5.7</v>
      </c>
      <c r="H633" t="n">
        <v>0</v>
      </c>
      <c r="I633" t="n">
        <v>0</v>
      </c>
      <c r="J633" t="n">
        <v>0</v>
      </c>
      <c r="K633" t="n">
        <v>0</v>
      </c>
      <c r="L633" t="n">
        <v>0</v>
      </c>
      <c r="M633" t="n">
        <v>0</v>
      </c>
      <c r="N633" t="n">
        <v>0</v>
      </c>
      <c r="O633" t="n">
        <v>0</v>
      </c>
      <c r="P633" t="n">
        <v>0</v>
      </c>
      <c r="Q633" t="n">
        <v>0</v>
      </c>
      <c r="R633" s="2" t="inlineStr"/>
    </row>
    <row r="634" ht="15" customHeight="1">
      <c r="A634" t="inlineStr">
        <is>
          <t>A 10198-2023</t>
        </is>
      </c>
      <c r="B634" s="1" t="n">
        <v>44986.54665509259</v>
      </c>
      <c r="C634" s="1" t="n">
        <v>46178</v>
      </c>
      <c r="D634" t="inlineStr">
        <is>
          <t>ÖSTERGÖTLANDS LÄN</t>
        </is>
      </c>
      <c r="E634" t="inlineStr">
        <is>
          <t>LINKÖPING</t>
        </is>
      </c>
      <c r="G634" t="n">
        <v>4.6</v>
      </c>
      <c r="H634" t="n">
        <v>0</v>
      </c>
      <c r="I634" t="n">
        <v>0</v>
      </c>
      <c r="J634" t="n">
        <v>0</v>
      </c>
      <c r="K634" t="n">
        <v>0</v>
      </c>
      <c r="L634" t="n">
        <v>0</v>
      </c>
      <c r="M634" t="n">
        <v>0</v>
      </c>
      <c r="N634" t="n">
        <v>0</v>
      </c>
      <c r="O634" t="n">
        <v>0</v>
      </c>
      <c r="P634" t="n">
        <v>0</v>
      </c>
      <c r="Q634" t="n">
        <v>0</v>
      </c>
      <c r="R634" s="2" t="inlineStr"/>
    </row>
    <row r="635" ht="15" customHeight="1">
      <c r="A635" t="inlineStr">
        <is>
          <t>A 4298-2023</t>
        </is>
      </c>
      <c r="B635" s="1" t="n">
        <v>44953</v>
      </c>
      <c r="C635" s="1" t="n">
        <v>46178</v>
      </c>
      <c r="D635" t="inlineStr">
        <is>
          <t>ÖSTERGÖTLANDS LÄN</t>
        </is>
      </c>
      <c r="E635" t="inlineStr">
        <is>
          <t>LINKÖPING</t>
        </is>
      </c>
      <c r="G635" t="n">
        <v>2.8</v>
      </c>
      <c r="H635" t="n">
        <v>0</v>
      </c>
      <c r="I635" t="n">
        <v>0</v>
      </c>
      <c r="J635" t="n">
        <v>0</v>
      </c>
      <c r="K635" t="n">
        <v>0</v>
      </c>
      <c r="L635" t="n">
        <v>0</v>
      </c>
      <c r="M635" t="n">
        <v>0</v>
      </c>
      <c r="N635" t="n">
        <v>0</v>
      </c>
      <c r="O635" t="n">
        <v>0</v>
      </c>
      <c r="P635" t="n">
        <v>0</v>
      </c>
      <c r="Q635" t="n">
        <v>0</v>
      </c>
      <c r="R635" s="2" t="inlineStr"/>
    </row>
    <row r="636" ht="15" customHeight="1">
      <c r="A636" t="inlineStr">
        <is>
          <t>A 12428-2024</t>
        </is>
      </c>
      <c r="B636" s="1" t="n">
        <v>45379</v>
      </c>
      <c r="C636" s="1" t="n">
        <v>46178</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26618-2023</t>
        </is>
      </c>
      <c r="B637" s="1" t="n">
        <v>45092.70306712963</v>
      </c>
      <c r="C637" s="1" t="n">
        <v>46178</v>
      </c>
      <c r="D637" t="inlineStr">
        <is>
          <t>ÖSTERGÖTLANDS LÄN</t>
        </is>
      </c>
      <c r="E637" t="inlineStr">
        <is>
          <t>LINKÖPING</t>
        </is>
      </c>
      <c r="G637" t="n">
        <v>6.9</v>
      </c>
      <c r="H637" t="n">
        <v>0</v>
      </c>
      <c r="I637" t="n">
        <v>0</v>
      </c>
      <c r="J637" t="n">
        <v>0</v>
      </c>
      <c r="K637" t="n">
        <v>0</v>
      </c>
      <c r="L637" t="n">
        <v>0</v>
      </c>
      <c r="M637" t="n">
        <v>0</v>
      </c>
      <c r="N637" t="n">
        <v>0</v>
      </c>
      <c r="O637" t="n">
        <v>0</v>
      </c>
      <c r="P637" t="n">
        <v>0</v>
      </c>
      <c r="Q637" t="n">
        <v>0</v>
      </c>
      <c r="R637" s="2" t="inlineStr"/>
    </row>
    <row r="638" ht="15" customHeight="1">
      <c r="A638" t="inlineStr">
        <is>
          <t>A 34930-2023</t>
        </is>
      </c>
      <c r="B638" s="1" t="n">
        <v>45142</v>
      </c>
      <c r="C638" s="1" t="n">
        <v>46178</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670-2024</t>
        </is>
      </c>
      <c r="B639" s="1" t="n">
        <v>45300.3408912037</v>
      </c>
      <c r="C639" s="1" t="n">
        <v>46178</v>
      </c>
      <c r="D639" t="inlineStr">
        <is>
          <t>ÖSTERGÖTLANDS LÄN</t>
        </is>
      </c>
      <c r="E639" t="inlineStr">
        <is>
          <t>LINKÖPING</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63845-2021</t>
        </is>
      </c>
      <c r="B640" s="1" t="n">
        <v>44509</v>
      </c>
      <c r="C640" s="1" t="n">
        <v>46178</v>
      </c>
      <c r="D640" t="inlineStr">
        <is>
          <t>ÖSTERGÖTLANDS LÄN</t>
        </is>
      </c>
      <c r="E640" t="inlineStr">
        <is>
          <t>LINKÖPING</t>
        </is>
      </c>
      <c r="G640" t="n">
        <v>5</v>
      </c>
      <c r="H640" t="n">
        <v>0</v>
      </c>
      <c r="I640" t="n">
        <v>0</v>
      </c>
      <c r="J640" t="n">
        <v>0</v>
      </c>
      <c r="K640" t="n">
        <v>0</v>
      </c>
      <c r="L640" t="n">
        <v>0</v>
      </c>
      <c r="M640" t="n">
        <v>0</v>
      </c>
      <c r="N640" t="n">
        <v>0</v>
      </c>
      <c r="O640" t="n">
        <v>0</v>
      </c>
      <c r="P640" t="n">
        <v>0</v>
      </c>
      <c r="Q640" t="n">
        <v>0</v>
      </c>
      <c r="R640" s="2" t="inlineStr"/>
    </row>
    <row r="641" ht="15" customHeight="1">
      <c r="A641" t="inlineStr">
        <is>
          <t>A 54034-2022</t>
        </is>
      </c>
      <c r="B641" s="1" t="n">
        <v>44881</v>
      </c>
      <c r="C641" s="1" t="n">
        <v>46178</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36336-2023</t>
        </is>
      </c>
      <c r="B642" s="1" t="n">
        <v>45152.45078703704</v>
      </c>
      <c r="C642" s="1" t="n">
        <v>46178</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48829-2023</t>
        </is>
      </c>
      <c r="B643" s="1" t="n">
        <v>45209.38177083333</v>
      </c>
      <c r="C643" s="1" t="n">
        <v>46178</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48186-2022</t>
        </is>
      </c>
      <c r="B644" s="1" t="n">
        <v>44858</v>
      </c>
      <c r="C644" s="1" t="n">
        <v>46178</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63669-2023</t>
        </is>
      </c>
      <c r="B645" s="1" t="n">
        <v>45275</v>
      </c>
      <c r="C645" s="1" t="n">
        <v>46178</v>
      </c>
      <c r="D645" t="inlineStr">
        <is>
          <t>ÖSTERGÖTLANDS LÄN</t>
        </is>
      </c>
      <c r="E645" t="inlineStr">
        <is>
          <t>LINKÖPING</t>
        </is>
      </c>
      <c r="F645" t="inlineStr">
        <is>
          <t>Övriga Aktiebolag</t>
        </is>
      </c>
      <c r="G645" t="n">
        <v>3</v>
      </c>
      <c r="H645" t="n">
        <v>0</v>
      </c>
      <c r="I645" t="n">
        <v>0</v>
      </c>
      <c r="J645" t="n">
        <v>0</v>
      </c>
      <c r="K645" t="n">
        <v>0</v>
      </c>
      <c r="L645" t="n">
        <v>0</v>
      </c>
      <c r="M645" t="n">
        <v>0</v>
      </c>
      <c r="N645" t="n">
        <v>0</v>
      </c>
      <c r="O645" t="n">
        <v>0</v>
      </c>
      <c r="P645" t="n">
        <v>0</v>
      </c>
      <c r="Q645" t="n">
        <v>0</v>
      </c>
      <c r="R645" s="2" t="inlineStr"/>
    </row>
    <row r="646" ht="15" customHeight="1">
      <c r="A646" t="inlineStr">
        <is>
          <t>A 24586-2024</t>
        </is>
      </c>
      <c r="B646" s="1" t="n">
        <v>45460.46664351852</v>
      </c>
      <c r="C646" s="1" t="n">
        <v>46178</v>
      </c>
      <c r="D646" t="inlineStr">
        <is>
          <t>ÖSTERGÖTLANDS LÄN</t>
        </is>
      </c>
      <c r="E646" t="inlineStr">
        <is>
          <t>LINKÖPING</t>
        </is>
      </c>
      <c r="G646" t="n">
        <v>4</v>
      </c>
      <c r="H646" t="n">
        <v>0</v>
      </c>
      <c r="I646" t="n">
        <v>0</v>
      </c>
      <c r="J646" t="n">
        <v>0</v>
      </c>
      <c r="K646" t="n">
        <v>0</v>
      </c>
      <c r="L646" t="n">
        <v>0</v>
      </c>
      <c r="M646" t="n">
        <v>0</v>
      </c>
      <c r="N646" t="n">
        <v>0</v>
      </c>
      <c r="O646" t="n">
        <v>0</v>
      </c>
      <c r="P646" t="n">
        <v>0</v>
      </c>
      <c r="Q646" t="n">
        <v>0</v>
      </c>
      <c r="R646" s="2" t="inlineStr"/>
    </row>
    <row r="647" ht="15" customHeight="1">
      <c r="A647" t="inlineStr">
        <is>
          <t>A 59576-2024</t>
        </is>
      </c>
      <c r="B647" s="1" t="n">
        <v>45638.66378472222</v>
      </c>
      <c r="C647" s="1" t="n">
        <v>46178</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59642-2024</t>
        </is>
      </c>
      <c r="B648" s="1" t="n">
        <v>45639.31511574074</v>
      </c>
      <c r="C648" s="1" t="n">
        <v>46178</v>
      </c>
      <c r="D648" t="inlineStr">
        <is>
          <t>ÖSTERGÖTLANDS LÄN</t>
        </is>
      </c>
      <c r="E648" t="inlineStr">
        <is>
          <t>LINKÖPING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18916-2024</t>
        </is>
      </c>
      <c r="B649" s="1" t="n">
        <v>45427.39541666667</v>
      </c>
      <c r="C649" s="1" t="n">
        <v>46178</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11084-2022</t>
        </is>
      </c>
      <c r="B650" s="1" t="n">
        <v>44628</v>
      </c>
      <c r="C650" s="1" t="n">
        <v>46178</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10203-2023</t>
        </is>
      </c>
      <c r="B651" s="1" t="n">
        <v>44986.55711805556</v>
      </c>
      <c r="C651" s="1" t="n">
        <v>46178</v>
      </c>
      <c r="D651" t="inlineStr">
        <is>
          <t>ÖSTERGÖTLANDS LÄN</t>
        </is>
      </c>
      <c r="E651" t="inlineStr">
        <is>
          <t>LINKÖPING</t>
        </is>
      </c>
      <c r="G651" t="n">
        <v>3.3</v>
      </c>
      <c r="H651" t="n">
        <v>0</v>
      </c>
      <c r="I651" t="n">
        <v>0</v>
      </c>
      <c r="J651" t="n">
        <v>0</v>
      </c>
      <c r="K651" t="n">
        <v>0</v>
      </c>
      <c r="L651" t="n">
        <v>0</v>
      </c>
      <c r="M651" t="n">
        <v>0</v>
      </c>
      <c r="N651" t="n">
        <v>0</v>
      </c>
      <c r="O651" t="n">
        <v>0</v>
      </c>
      <c r="P651" t="n">
        <v>0</v>
      </c>
      <c r="Q651" t="n">
        <v>0</v>
      </c>
      <c r="R651" s="2" t="inlineStr"/>
    </row>
    <row r="652" ht="15" customHeight="1">
      <c r="A652" t="inlineStr">
        <is>
          <t>A 2618-2023</t>
        </is>
      </c>
      <c r="B652" s="1" t="n">
        <v>44944.35847222222</v>
      </c>
      <c r="C652" s="1" t="n">
        <v>46178</v>
      </c>
      <c r="D652" t="inlineStr">
        <is>
          <t>ÖSTERGÖTLANDS LÄN</t>
        </is>
      </c>
      <c r="E652" t="inlineStr">
        <is>
          <t>LINKÖPING</t>
        </is>
      </c>
      <c r="G652" t="n">
        <v>4.3</v>
      </c>
      <c r="H652" t="n">
        <v>0</v>
      </c>
      <c r="I652" t="n">
        <v>0</v>
      </c>
      <c r="J652" t="n">
        <v>0</v>
      </c>
      <c r="K652" t="n">
        <v>0</v>
      </c>
      <c r="L652" t="n">
        <v>0</v>
      </c>
      <c r="M652" t="n">
        <v>0</v>
      </c>
      <c r="N652" t="n">
        <v>0</v>
      </c>
      <c r="O652" t="n">
        <v>0</v>
      </c>
      <c r="P652" t="n">
        <v>0</v>
      </c>
      <c r="Q652" t="n">
        <v>0</v>
      </c>
      <c r="R652" s="2" t="inlineStr"/>
    </row>
    <row r="653" ht="15" customHeight="1">
      <c r="A653" t="inlineStr">
        <is>
          <t>A 62020-2024</t>
        </is>
      </c>
      <c r="B653" s="1" t="n">
        <v>45655.83563657408</v>
      </c>
      <c r="C653" s="1" t="n">
        <v>46178</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62021-2024</t>
        </is>
      </c>
      <c r="B654" s="1" t="n">
        <v>45655.84232638889</v>
      </c>
      <c r="C654" s="1" t="n">
        <v>46178</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49928-2024</t>
        </is>
      </c>
      <c r="B655" s="1" t="n">
        <v>45597.57811342592</v>
      </c>
      <c r="C655" s="1" t="n">
        <v>46178</v>
      </c>
      <c r="D655" t="inlineStr">
        <is>
          <t>ÖSTERGÖTLANDS LÄN</t>
        </is>
      </c>
      <c r="E655" t="inlineStr">
        <is>
          <t>LINKÖPING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3627-2023</t>
        </is>
      </c>
      <c r="B656" s="1" t="n">
        <v>44950.64782407408</v>
      </c>
      <c r="C656" s="1" t="n">
        <v>46178</v>
      </c>
      <c r="D656" t="inlineStr">
        <is>
          <t>ÖSTERGÖTLANDS LÄN</t>
        </is>
      </c>
      <c r="E656" t="inlineStr">
        <is>
          <t>LINKÖPING</t>
        </is>
      </c>
      <c r="G656" t="n">
        <v>3.1</v>
      </c>
      <c r="H656" t="n">
        <v>0</v>
      </c>
      <c r="I656" t="n">
        <v>0</v>
      </c>
      <c r="J656" t="n">
        <v>0</v>
      </c>
      <c r="K656" t="n">
        <v>0</v>
      </c>
      <c r="L656" t="n">
        <v>0</v>
      </c>
      <c r="M656" t="n">
        <v>0</v>
      </c>
      <c r="N656" t="n">
        <v>0</v>
      </c>
      <c r="O656" t="n">
        <v>0</v>
      </c>
      <c r="P656" t="n">
        <v>0</v>
      </c>
      <c r="Q656" t="n">
        <v>0</v>
      </c>
      <c r="R656" s="2" t="inlineStr"/>
    </row>
    <row r="657" ht="15" customHeight="1">
      <c r="A657" t="inlineStr">
        <is>
          <t>A 51405-2023</t>
        </is>
      </c>
      <c r="B657" s="1" t="n">
        <v>45219</v>
      </c>
      <c r="C657" s="1" t="n">
        <v>46178</v>
      </c>
      <c r="D657" t="inlineStr">
        <is>
          <t>ÖSTERGÖTLANDS LÄN</t>
        </is>
      </c>
      <c r="E657" t="inlineStr">
        <is>
          <t>LINKÖPING</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11601-2023</t>
        </is>
      </c>
      <c r="B658" s="1" t="n">
        <v>44994</v>
      </c>
      <c r="C658" s="1" t="n">
        <v>46178</v>
      </c>
      <c r="D658" t="inlineStr">
        <is>
          <t>ÖSTERGÖTLANDS LÄN</t>
        </is>
      </c>
      <c r="E658" t="inlineStr">
        <is>
          <t>LINKÖPING</t>
        </is>
      </c>
      <c r="G658" t="n">
        <v>1.7</v>
      </c>
      <c r="H658" t="n">
        <v>0</v>
      </c>
      <c r="I658" t="n">
        <v>0</v>
      </c>
      <c r="J658" t="n">
        <v>0</v>
      </c>
      <c r="K658" t="n">
        <v>0</v>
      </c>
      <c r="L658" t="n">
        <v>0</v>
      </c>
      <c r="M658" t="n">
        <v>0</v>
      </c>
      <c r="N658" t="n">
        <v>0</v>
      </c>
      <c r="O658" t="n">
        <v>0</v>
      </c>
      <c r="P658" t="n">
        <v>0</v>
      </c>
      <c r="Q658" t="n">
        <v>0</v>
      </c>
      <c r="R658" s="2" t="inlineStr"/>
    </row>
    <row r="659" ht="15" customHeight="1">
      <c r="A659" t="inlineStr">
        <is>
          <t>A 40338-2024</t>
        </is>
      </c>
      <c r="B659" s="1" t="n">
        <v>45555.32940972222</v>
      </c>
      <c r="C659" s="1" t="n">
        <v>46178</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167-2024</t>
        </is>
      </c>
      <c r="B660" s="1" t="n">
        <v>45294</v>
      </c>
      <c r="C660" s="1" t="n">
        <v>46178</v>
      </c>
      <c r="D660" t="inlineStr">
        <is>
          <t>ÖSTERGÖTLANDS LÄN</t>
        </is>
      </c>
      <c r="E660" t="inlineStr">
        <is>
          <t>LINKÖPING</t>
        </is>
      </c>
      <c r="F660" t="inlineStr">
        <is>
          <t>Allmännings- och besparingsskogar</t>
        </is>
      </c>
      <c r="G660" t="n">
        <v>11.6</v>
      </c>
      <c r="H660" t="n">
        <v>0</v>
      </c>
      <c r="I660" t="n">
        <v>0</v>
      </c>
      <c r="J660" t="n">
        <v>0</v>
      </c>
      <c r="K660" t="n">
        <v>0</v>
      </c>
      <c r="L660" t="n">
        <v>0</v>
      </c>
      <c r="M660" t="n">
        <v>0</v>
      </c>
      <c r="N660" t="n">
        <v>0</v>
      </c>
      <c r="O660" t="n">
        <v>0</v>
      </c>
      <c r="P660" t="n">
        <v>0</v>
      </c>
      <c r="Q660" t="n">
        <v>0</v>
      </c>
      <c r="R660" s="2" t="inlineStr"/>
    </row>
    <row r="661" ht="15" customHeight="1">
      <c r="A661" t="inlineStr">
        <is>
          <t>A 7343-2025</t>
        </is>
      </c>
      <c r="B661" s="1" t="n">
        <v>45703.67853009259</v>
      </c>
      <c r="C661" s="1" t="n">
        <v>46178</v>
      </c>
      <c r="D661" t="inlineStr">
        <is>
          <t>ÖSTERGÖTLANDS LÄN</t>
        </is>
      </c>
      <c r="E661" t="inlineStr">
        <is>
          <t>LINKÖPING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48271-2023</t>
        </is>
      </c>
      <c r="B662" s="1" t="n">
        <v>45205</v>
      </c>
      <c r="C662" s="1" t="n">
        <v>46178</v>
      </c>
      <c r="D662" t="inlineStr">
        <is>
          <t>ÖSTERGÖTLANDS LÄN</t>
        </is>
      </c>
      <c r="E662" t="inlineStr">
        <is>
          <t>LINKÖPING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12720-2022</t>
        </is>
      </c>
      <c r="B663" s="1" t="n">
        <v>44641</v>
      </c>
      <c r="C663" s="1" t="n">
        <v>46178</v>
      </c>
      <c r="D663" t="inlineStr">
        <is>
          <t>ÖSTERGÖTLANDS LÄN</t>
        </is>
      </c>
      <c r="E663" t="inlineStr">
        <is>
          <t>LINKÖPING</t>
        </is>
      </c>
      <c r="F663" t="inlineStr">
        <is>
          <t>Övriga Aktiebolag</t>
        </is>
      </c>
      <c r="G663" t="n">
        <v>2</v>
      </c>
      <c r="H663" t="n">
        <v>0</v>
      </c>
      <c r="I663" t="n">
        <v>0</v>
      </c>
      <c r="J663" t="n">
        <v>0</v>
      </c>
      <c r="K663" t="n">
        <v>0</v>
      </c>
      <c r="L663" t="n">
        <v>0</v>
      </c>
      <c r="M663" t="n">
        <v>0</v>
      </c>
      <c r="N663" t="n">
        <v>0</v>
      </c>
      <c r="O663" t="n">
        <v>0</v>
      </c>
      <c r="P663" t="n">
        <v>0</v>
      </c>
      <c r="Q663" t="n">
        <v>0</v>
      </c>
      <c r="R663" s="2" t="inlineStr"/>
    </row>
    <row r="664" ht="15" customHeight="1">
      <c r="A664" t="inlineStr">
        <is>
          <t>A 62018-2024</t>
        </is>
      </c>
      <c r="B664" s="1" t="n">
        <v>45655.81387731482</v>
      </c>
      <c r="C664" s="1" t="n">
        <v>46178</v>
      </c>
      <c r="D664" t="inlineStr">
        <is>
          <t>ÖSTERGÖTLANDS LÄN</t>
        </is>
      </c>
      <c r="E664" t="inlineStr">
        <is>
          <t>LINKÖPING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30551-2023</t>
        </is>
      </c>
      <c r="B665" s="1" t="n">
        <v>45111</v>
      </c>
      <c r="C665" s="1" t="n">
        <v>46178</v>
      </c>
      <c r="D665" t="inlineStr">
        <is>
          <t>ÖSTERGÖTLANDS LÄN</t>
        </is>
      </c>
      <c r="E665" t="inlineStr">
        <is>
          <t>LINKÖPING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30860-2022</t>
        </is>
      </c>
      <c r="B666" s="1" t="n">
        <v>44767</v>
      </c>
      <c r="C666" s="1" t="n">
        <v>46178</v>
      </c>
      <c r="D666" t="inlineStr">
        <is>
          <t>ÖSTERGÖTLANDS LÄN</t>
        </is>
      </c>
      <c r="E666" t="inlineStr">
        <is>
          <t>LINKÖPING</t>
        </is>
      </c>
      <c r="G666" t="n">
        <v>0.8</v>
      </c>
      <c r="H666" t="n">
        <v>0</v>
      </c>
      <c r="I666" t="n">
        <v>0</v>
      </c>
      <c r="J666" t="n">
        <v>0</v>
      </c>
      <c r="K666" t="n">
        <v>0</v>
      </c>
      <c r="L666" t="n">
        <v>0</v>
      </c>
      <c r="M666" t="n">
        <v>0</v>
      </c>
      <c r="N666" t="n">
        <v>0</v>
      </c>
      <c r="O666" t="n">
        <v>0</v>
      </c>
      <c r="P666" t="n">
        <v>0</v>
      </c>
      <c r="Q666" t="n">
        <v>0</v>
      </c>
      <c r="R666" s="2" t="inlineStr"/>
    </row>
    <row r="667" ht="15" customHeight="1">
      <c r="A667" t="inlineStr">
        <is>
          <t>A 60004-2022</t>
        </is>
      </c>
      <c r="B667" s="1" t="n">
        <v>44909.47206018519</v>
      </c>
      <c r="C667" s="1" t="n">
        <v>46178</v>
      </c>
      <c r="D667" t="inlineStr">
        <is>
          <t>ÖSTERGÖTLANDS LÄN</t>
        </is>
      </c>
      <c r="E667" t="inlineStr">
        <is>
          <t>LINKÖPING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60010-2022</t>
        </is>
      </c>
      <c r="B668" s="1" t="n">
        <v>44909.4740625</v>
      </c>
      <c r="C668" s="1" t="n">
        <v>46178</v>
      </c>
      <c r="D668" t="inlineStr">
        <is>
          <t>ÖSTERGÖTLANDS LÄN</t>
        </is>
      </c>
      <c r="E668" t="inlineStr">
        <is>
          <t>LINKÖPING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53827-2023</t>
        </is>
      </c>
      <c r="B669" s="1" t="n">
        <v>45230</v>
      </c>
      <c r="C669" s="1" t="n">
        <v>46178</v>
      </c>
      <c r="D669" t="inlineStr">
        <is>
          <t>ÖSTERGÖTLANDS LÄN</t>
        </is>
      </c>
      <c r="E669" t="inlineStr">
        <is>
          <t>LINKÖPING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61649-2023</t>
        </is>
      </c>
      <c r="B670" s="1" t="n">
        <v>45265</v>
      </c>
      <c r="C670" s="1" t="n">
        <v>46178</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223-2024</t>
        </is>
      </c>
      <c r="B671" s="1" t="n">
        <v>45294.72739583333</v>
      </c>
      <c r="C671" s="1" t="n">
        <v>46178</v>
      </c>
      <c r="D671" t="inlineStr">
        <is>
          <t>ÖSTERGÖTLANDS LÄN</t>
        </is>
      </c>
      <c r="E671" t="inlineStr">
        <is>
          <t>LINKÖPING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19464-2024</t>
        </is>
      </c>
      <c r="B672" s="1" t="n">
        <v>45429</v>
      </c>
      <c r="C672" s="1" t="n">
        <v>46178</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630-2024</t>
        </is>
      </c>
      <c r="B673" s="1" t="n">
        <v>45299.67736111111</v>
      </c>
      <c r="C673" s="1" t="n">
        <v>46178</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30433-2024</t>
        </is>
      </c>
      <c r="B674" s="1" t="n">
        <v>45491.69741898148</v>
      </c>
      <c r="C674" s="1" t="n">
        <v>46178</v>
      </c>
      <c r="D674" t="inlineStr">
        <is>
          <t>ÖSTERGÖTLANDS LÄN</t>
        </is>
      </c>
      <c r="E674" t="inlineStr">
        <is>
          <t>LINKÖPING</t>
        </is>
      </c>
      <c r="G674" t="n">
        <v>1.7</v>
      </c>
      <c r="H674" t="n">
        <v>0</v>
      </c>
      <c r="I674" t="n">
        <v>0</v>
      </c>
      <c r="J674" t="n">
        <v>0</v>
      </c>
      <c r="K674" t="n">
        <v>0</v>
      </c>
      <c r="L674" t="n">
        <v>0</v>
      </c>
      <c r="M674" t="n">
        <v>0</v>
      </c>
      <c r="N674" t="n">
        <v>0</v>
      </c>
      <c r="O674" t="n">
        <v>0</v>
      </c>
      <c r="P674" t="n">
        <v>0</v>
      </c>
      <c r="Q674" t="n">
        <v>0</v>
      </c>
      <c r="R674" s="2" t="inlineStr"/>
    </row>
    <row r="675" ht="15" customHeight="1">
      <c r="A675" t="inlineStr">
        <is>
          <t>A 63528-2023</t>
        </is>
      </c>
      <c r="B675" s="1" t="n">
        <v>45274.94810185185</v>
      </c>
      <c r="C675" s="1" t="n">
        <v>46178</v>
      </c>
      <c r="D675" t="inlineStr">
        <is>
          <t>ÖSTERGÖTLANDS LÄN</t>
        </is>
      </c>
      <c r="E675" t="inlineStr">
        <is>
          <t>LINKÖPING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61936-2023</t>
        </is>
      </c>
      <c r="B676" s="1" t="n">
        <v>45266.54534722222</v>
      </c>
      <c r="C676" s="1" t="n">
        <v>46178</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62492-2023</t>
        </is>
      </c>
      <c r="B677" s="1" t="n">
        <v>45268.58987268519</v>
      </c>
      <c r="C677" s="1" t="n">
        <v>46178</v>
      </c>
      <c r="D677" t="inlineStr">
        <is>
          <t>ÖSTERGÖTLANDS LÄN</t>
        </is>
      </c>
      <c r="E677" t="inlineStr">
        <is>
          <t>LINKÖPING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674-2024</t>
        </is>
      </c>
      <c r="B678" s="1" t="n">
        <v>45300.34408564815</v>
      </c>
      <c r="C678" s="1" t="n">
        <v>46178</v>
      </c>
      <c r="D678" t="inlineStr">
        <is>
          <t>ÖSTERGÖTLANDS LÄN</t>
        </is>
      </c>
      <c r="E678" t="inlineStr">
        <is>
          <t>LINKÖPING</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6782-2024</t>
        </is>
      </c>
      <c r="B679" s="1" t="n">
        <v>45342</v>
      </c>
      <c r="C679" s="1" t="n">
        <v>46178</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10094-2024</t>
        </is>
      </c>
      <c r="B680" s="1" t="n">
        <v>45364</v>
      </c>
      <c r="C680" s="1" t="n">
        <v>46178</v>
      </c>
      <c r="D680" t="inlineStr">
        <is>
          <t>ÖSTERGÖTLANDS LÄN</t>
        </is>
      </c>
      <c r="E680" t="inlineStr">
        <is>
          <t>LINKÖPING</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63684-2023</t>
        </is>
      </c>
      <c r="B681" s="1" t="n">
        <v>45275</v>
      </c>
      <c r="C681" s="1" t="n">
        <v>46178</v>
      </c>
      <c r="D681" t="inlineStr">
        <is>
          <t>ÖSTERGÖTLANDS LÄN</t>
        </is>
      </c>
      <c r="E681" t="inlineStr">
        <is>
          <t>LINKÖPING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63688-2023</t>
        </is>
      </c>
      <c r="B682" s="1" t="n">
        <v>45275</v>
      </c>
      <c r="C682" s="1" t="n">
        <v>46178</v>
      </c>
      <c r="D682" t="inlineStr">
        <is>
          <t>ÖSTERGÖTLANDS LÄN</t>
        </is>
      </c>
      <c r="E682" t="inlineStr">
        <is>
          <t>LINKÖPING</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63691-2023</t>
        </is>
      </c>
      <c r="B683" s="1" t="n">
        <v>45275</v>
      </c>
      <c r="C683" s="1" t="n">
        <v>46178</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36657-2023</t>
        </is>
      </c>
      <c r="B684" s="1" t="n">
        <v>45153.5702662037</v>
      </c>
      <c r="C684" s="1" t="n">
        <v>46178</v>
      </c>
      <c r="D684" t="inlineStr">
        <is>
          <t>ÖSTERGÖTLANDS LÄN</t>
        </is>
      </c>
      <c r="E684" t="inlineStr">
        <is>
          <t>LINKÖPING</t>
        </is>
      </c>
      <c r="F684" t="inlineStr">
        <is>
          <t>Allmännings- och besparingsskogar</t>
        </is>
      </c>
      <c r="G684" t="n">
        <v>2</v>
      </c>
      <c r="H684" t="n">
        <v>0</v>
      </c>
      <c r="I684" t="n">
        <v>0</v>
      </c>
      <c r="J684" t="n">
        <v>0</v>
      </c>
      <c r="K684" t="n">
        <v>0</v>
      </c>
      <c r="L684" t="n">
        <v>0</v>
      </c>
      <c r="M684" t="n">
        <v>0</v>
      </c>
      <c r="N684" t="n">
        <v>0</v>
      </c>
      <c r="O684" t="n">
        <v>0</v>
      </c>
      <c r="P684" t="n">
        <v>0</v>
      </c>
      <c r="Q684" t="n">
        <v>0</v>
      </c>
      <c r="R684" s="2" t="inlineStr"/>
    </row>
    <row r="685" ht="15" customHeight="1">
      <c r="A685" t="inlineStr">
        <is>
          <t>A 14667-2024</t>
        </is>
      </c>
      <c r="B685" s="1" t="n">
        <v>45397.42005787037</v>
      </c>
      <c r="C685" s="1" t="n">
        <v>46178</v>
      </c>
      <c r="D685" t="inlineStr">
        <is>
          <t>ÖSTERGÖTLANDS LÄN</t>
        </is>
      </c>
      <c r="E685" t="inlineStr">
        <is>
          <t>LINKÖPING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15714-2024</t>
        </is>
      </c>
      <c r="B686" s="1" t="n">
        <v>45404.48288194444</v>
      </c>
      <c r="C686" s="1" t="n">
        <v>46178</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37715-2022</t>
        </is>
      </c>
      <c r="B687" s="1" t="n">
        <v>44810</v>
      </c>
      <c r="C687" s="1" t="n">
        <v>46178</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30429-2024</t>
        </is>
      </c>
      <c r="B688" s="1" t="n">
        <v>45491.68972222223</v>
      </c>
      <c r="C688" s="1" t="n">
        <v>46178</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30435-2024</t>
        </is>
      </c>
      <c r="B689" s="1" t="n">
        <v>45491.69962962963</v>
      </c>
      <c r="C689" s="1" t="n">
        <v>46178</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38231-2022</t>
        </is>
      </c>
      <c r="B690" s="1" t="n">
        <v>44812</v>
      </c>
      <c r="C690" s="1" t="n">
        <v>46178</v>
      </c>
      <c r="D690" t="inlineStr">
        <is>
          <t>ÖSTERGÖTLANDS LÄN</t>
        </is>
      </c>
      <c r="E690" t="inlineStr">
        <is>
          <t>LINKÖPING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34557-2022</t>
        </is>
      </c>
      <c r="B691" s="1" t="n">
        <v>44794.57074074074</v>
      </c>
      <c r="C691" s="1" t="n">
        <v>46178</v>
      </c>
      <c r="D691" t="inlineStr">
        <is>
          <t>ÖSTERGÖTLANDS LÄN</t>
        </is>
      </c>
      <c r="E691" t="inlineStr">
        <is>
          <t>LINKÖPING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13011-2022</t>
        </is>
      </c>
      <c r="B692" s="1" t="n">
        <v>44643</v>
      </c>
      <c r="C692" s="1" t="n">
        <v>46178</v>
      </c>
      <c r="D692" t="inlineStr">
        <is>
          <t>ÖSTERGÖTLANDS LÄN</t>
        </is>
      </c>
      <c r="E692" t="inlineStr">
        <is>
          <t>LINKÖPING</t>
        </is>
      </c>
      <c r="G692" t="n">
        <v>3.7</v>
      </c>
      <c r="H692" t="n">
        <v>0</v>
      </c>
      <c r="I692" t="n">
        <v>0</v>
      </c>
      <c r="J692" t="n">
        <v>0</v>
      </c>
      <c r="K692" t="n">
        <v>0</v>
      </c>
      <c r="L692" t="n">
        <v>0</v>
      </c>
      <c r="M692" t="n">
        <v>0</v>
      </c>
      <c r="N692" t="n">
        <v>0</v>
      </c>
      <c r="O692" t="n">
        <v>0</v>
      </c>
      <c r="P692" t="n">
        <v>0</v>
      </c>
      <c r="Q692" t="n">
        <v>0</v>
      </c>
      <c r="R692" s="2" t="inlineStr"/>
    </row>
    <row r="693" ht="15" customHeight="1">
      <c r="A693" t="inlineStr">
        <is>
          <t>A 617-2024</t>
        </is>
      </c>
      <c r="B693" s="1" t="n">
        <v>45299.66028935185</v>
      </c>
      <c r="C693" s="1" t="n">
        <v>46178</v>
      </c>
      <c r="D693" t="inlineStr">
        <is>
          <t>ÖSTERGÖTLANDS LÄN</t>
        </is>
      </c>
      <c r="E693" t="inlineStr">
        <is>
          <t>LINKÖPING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19362-2023</t>
        </is>
      </c>
      <c r="B694" s="1" t="n">
        <v>45049</v>
      </c>
      <c r="C694" s="1" t="n">
        <v>46178</v>
      </c>
      <c r="D694" t="inlineStr">
        <is>
          <t>ÖSTERGÖTLANDS LÄN</t>
        </is>
      </c>
      <c r="E694" t="inlineStr">
        <is>
          <t>LINKÖPING</t>
        </is>
      </c>
      <c r="G694" t="n">
        <v>0.1</v>
      </c>
      <c r="H694" t="n">
        <v>0</v>
      </c>
      <c r="I694" t="n">
        <v>0</v>
      </c>
      <c r="J694" t="n">
        <v>0</v>
      </c>
      <c r="K694" t="n">
        <v>0</v>
      </c>
      <c r="L694" t="n">
        <v>0</v>
      </c>
      <c r="M694" t="n">
        <v>0</v>
      </c>
      <c r="N694" t="n">
        <v>0</v>
      </c>
      <c r="O694" t="n">
        <v>0</v>
      </c>
      <c r="P694" t="n">
        <v>0</v>
      </c>
      <c r="Q694" t="n">
        <v>0</v>
      </c>
      <c r="R694" s="2" t="inlineStr"/>
    </row>
    <row r="695" ht="15" customHeight="1">
      <c r="A695" t="inlineStr">
        <is>
          <t>A 19132-2023</t>
        </is>
      </c>
      <c r="B695" s="1" t="n">
        <v>45048.54754629629</v>
      </c>
      <c r="C695" s="1" t="n">
        <v>46178</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31635-2023</t>
        </is>
      </c>
      <c r="B696" s="1" t="n">
        <v>45105</v>
      </c>
      <c r="C696" s="1" t="n">
        <v>46178</v>
      </c>
      <c r="D696" t="inlineStr">
        <is>
          <t>ÖSTERGÖTLANDS LÄN</t>
        </is>
      </c>
      <c r="E696" t="inlineStr">
        <is>
          <t>LINKÖPING</t>
        </is>
      </c>
      <c r="F696" t="inlineStr">
        <is>
          <t>Övriga statliga verk och myndigheter</t>
        </is>
      </c>
      <c r="G696" t="n">
        <v>4.6</v>
      </c>
      <c r="H696" t="n">
        <v>0</v>
      </c>
      <c r="I696" t="n">
        <v>0</v>
      </c>
      <c r="J696" t="n">
        <v>0</v>
      </c>
      <c r="K696" t="n">
        <v>0</v>
      </c>
      <c r="L696" t="n">
        <v>0</v>
      </c>
      <c r="M696" t="n">
        <v>0</v>
      </c>
      <c r="N696" t="n">
        <v>0</v>
      </c>
      <c r="O696" t="n">
        <v>0</v>
      </c>
      <c r="P696" t="n">
        <v>0</v>
      </c>
      <c r="Q696" t="n">
        <v>0</v>
      </c>
      <c r="R696" s="2" t="inlineStr"/>
    </row>
    <row r="697" ht="15" customHeight="1">
      <c r="A697" t="inlineStr">
        <is>
          <t>A 20296-2025</t>
        </is>
      </c>
      <c r="B697" s="1" t="n">
        <v>45774.74922453704</v>
      </c>
      <c r="C697" s="1" t="n">
        <v>46178</v>
      </c>
      <c r="D697" t="inlineStr">
        <is>
          <t>ÖSTERGÖTLANDS LÄN</t>
        </is>
      </c>
      <c r="E697" t="inlineStr">
        <is>
          <t>LINKÖPING</t>
        </is>
      </c>
      <c r="G697" t="n">
        <v>2.2</v>
      </c>
      <c r="H697" t="n">
        <v>0</v>
      </c>
      <c r="I697" t="n">
        <v>0</v>
      </c>
      <c r="J697" t="n">
        <v>0</v>
      </c>
      <c r="K697" t="n">
        <v>0</v>
      </c>
      <c r="L697" t="n">
        <v>0</v>
      </c>
      <c r="M697" t="n">
        <v>0</v>
      </c>
      <c r="N697" t="n">
        <v>0</v>
      </c>
      <c r="O697" t="n">
        <v>0</v>
      </c>
      <c r="P697" t="n">
        <v>0</v>
      </c>
      <c r="Q697" t="n">
        <v>0</v>
      </c>
      <c r="R697" s="2" t="inlineStr"/>
    </row>
    <row r="698" ht="15" customHeight="1">
      <c r="A698" t="inlineStr">
        <is>
          <t>A 22770-2024</t>
        </is>
      </c>
      <c r="B698" s="1" t="n">
        <v>45448.4634375</v>
      </c>
      <c r="C698" s="1" t="n">
        <v>46178</v>
      </c>
      <c r="D698" t="inlineStr">
        <is>
          <t>ÖSTERGÖTLANDS LÄN</t>
        </is>
      </c>
      <c r="E698" t="inlineStr">
        <is>
          <t>LINKÖPING</t>
        </is>
      </c>
      <c r="F698" t="inlineStr">
        <is>
          <t>Sveaskog</t>
        </is>
      </c>
      <c r="G698" t="n">
        <v>3.4</v>
      </c>
      <c r="H698" t="n">
        <v>0</v>
      </c>
      <c r="I698" t="n">
        <v>0</v>
      </c>
      <c r="J698" t="n">
        <v>0</v>
      </c>
      <c r="K698" t="n">
        <v>0</v>
      </c>
      <c r="L698" t="n">
        <v>0</v>
      </c>
      <c r="M698" t="n">
        <v>0</v>
      </c>
      <c r="N698" t="n">
        <v>0</v>
      </c>
      <c r="O698" t="n">
        <v>0</v>
      </c>
      <c r="P698" t="n">
        <v>0</v>
      </c>
      <c r="Q698" t="n">
        <v>0</v>
      </c>
      <c r="R698" s="2" t="inlineStr"/>
    </row>
    <row r="699" ht="15" customHeight="1">
      <c r="A699" t="inlineStr">
        <is>
          <t>A 48839-2022</t>
        </is>
      </c>
      <c r="B699" s="1" t="n">
        <v>44859</v>
      </c>
      <c r="C699" s="1" t="n">
        <v>46178</v>
      </c>
      <c r="D699" t="inlineStr">
        <is>
          <t>ÖSTERGÖTLANDS LÄN</t>
        </is>
      </c>
      <c r="E699" t="inlineStr">
        <is>
          <t>LINKÖPING</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63678-2023</t>
        </is>
      </c>
      <c r="B700" s="1" t="n">
        <v>45275.64769675926</v>
      </c>
      <c r="C700" s="1" t="n">
        <v>46178</v>
      </c>
      <c r="D700" t="inlineStr">
        <is>
          <t>ÖSTERGÖTLANDS LÄN</t>
        </is>
      </c>
      <c r="E700" t="inlineStr">
        <is>
          <t>LINKÖPING</t>
        </is>
      </c>
      <c r="F700" t="inlineStr">
        <is>
          <t>Övriga Aktiebolag</t>
        </is>
      </c>
      <c r="G700" t="n">
        <v>0.4</v>
      </c>
      <c r="H700" t="n">
        <v>0</v>
      </c>
      <c r="I700" t="n">
        <v>0</v>
      </c>
      <c r="J700" t="n">
        <v>0</v>
      </c>
      <c r="K700" t="n">
        <v>0</v>
      </c>
      <c r="L700" t="n">
        <v>0</v>
      </c>
      <c r="M700" t="n">
        <v>0</v>
      </c>
      <c r="N700" t="n">
        <v>0</v>
      </c>
      <c r="O700" t="n">
        <v>0</v>
      </c>
      <c r="P700" t="n">
        <v>0</v>
      </c>
      <c r="Q700" t="n">
        <v>0</v>
      </c>
      <c r="R700" s="2" t="inlineStr"/>
    </row>
    <row r="701" ht="15" customHeight="1">
      <c r="A701" t="inlineStr">
        <is>
          <t>A 1844-2025</t>
        </is>
      </c>
      <c r="B701" s="1" t="n">
        <v>45671.57730324074</v>
      </c>
      <c r="C701" s="1" t="n">
        <v>46178</v>
      </c>
      <c r="D701" t="inlineStr">
        <is>
          <t>ÖSTERGÖTLANDS LÄN</t>
        </is>
      </c>
      <c r="E701" t="inlineStr">
        <is>
          <t>LINKÖPING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21165-2025</t>
        </is>
      </c>
      <c r="B702" s="1" t="n">
        <v>45779.39417824074</v>
      </c>
      <c r="C702" s="1" t="n">
        <v>46178</v>
      </c>
      <c r="D702" t="inlineStr">
        <is>
          <t>ÖSTERGÖTLANDS LÄN</t>
        </is>
      </c>
      <c r="E702" t="inlineStr">
        <is>
          <t>LINKÖPING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21155-2025</t>
        </is>
      </c>
      <c r="B703" s="1" t="n">
        <v>45779.37586805555</v>
      </c>
      <c r="C703" s="1" t="n">
        <v>46178</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22264-2025</t>
        </is>
      </c>
      <c r="B704" s="1" t="n">
        <v>45785</v>
      </c>
      <c r="C704" s="1" t="n">
        <v>46178</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9473-2024</t>
        </is>
      </c>
      <c r="B705" s="1" t="n">
        <v>45359.55474537037</v>
      </c>
      <c r="C705" s="1" t="n">
        <v>46178</v>
      </c>
      <c r="D705" t="inlineStr">
        <is>
          <t>ÖSTERGÖTLANDS LÄN</t>
        </is>
      </c>
      <c r="E705" t="inlineStr">
        <is>
          <t>LINKÖPING</t>
        </is>
      </c>
      <c r="G705" t="n">
        <v>1</v>
      </c>
      <c r="H705" t="n">
        <v>0</v>
      </c>
      <c r="I705" t="n">
        <v>0</v>
      </c>
      <c r="J705" t="n">
        <v>0</v>
      </c>
      <c r="K705" t="n">
        <v>0</v>
      </c>
      <c r="L705" t="n">
        <v>0</v>
      </c>
      <c r="M705" t="n">
        <v>0</v>
      </c>
      <c r="N705" t="n">
        <v>0</v>
      </c>
      <c r="O705" t="n">
        <v>0</v>
      </c>
      <c r="P705" t="n">
        <v>0</v>
      </c>
      <c r="Q705" t="n">
        <v>0</v>
      </c>
      <c r="R705" s="2" t="inlineStr"/>
    </row>
    <row r="706" ht="15" customHeight="1">
      <c r="A706" t="inlineStr">
        <is>
          <t>A 6859-2024</t>
        </is>
      </c>
      <c r="B706" s="1" t="n">
        <v>45342</v>
      </c>
      <c r="C706" s="1" t="n">
        <v>46178</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44287-2024</t>
        </is>
      </c>
      <c r="B707" s="1" t="n">
        <v>45573.50582175926</v>
      </c>
      <c r="C707" s="1" t="n">
        <v>46178</v>
      </c>
      <c r="D707" t="inlineStr">
        <is>
          <t>ÖSTERGÖTLANDS LÄN</t>
        </is>
      </c>
      <c r="E707" t="inlineStr">
        <is>
          <t>LINKÖPING</t>
        </is>
      </c>
      <c r="G707" t="n">
        <v>12.7</v>
      </c>
      <c r="H707" t="n">
        <v>0</v>
      </c>
      <c r="I707" t="n">
        <v>0</v>
      </c>
      <c r="J707" t="n">
        <v>0</v>
      </c>
      <c r="K707" t="n">
        <v>0</v>
      </c>
      <c r="L707" t="n">
        <v>0</v>
      </c>
      <c r="M707" t="n">
        <v>0</v>
      </c>
      <c r="N707" t="n">
        <v>0</v>
      </c>
      <c r="O707" t="n">
        <v>0</v>
      </c>
      <c r="P707" t="n">
        <v>0</v>
      </c>
      <c r="Q707" t="n">
        <v>0</v>
      </c>
      <c r="R707" s="2" t="inlineStr"/>
    </row>
    <row r="708" ht="15" customHeight="1">
      <c r="A708" t="inlineStr">
        <is>
          <t>A 22364-2025</t>
        </is>
      </c>
      <c r="B708" s="1" t="n">
        <v>45786.46930555555</v>
      </c>
      <c r="C708" s="1" t="n">
        <v>46178</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572-2025</t>
        </is>
      </c>
      <c r="B709" s="1" t="n">
        <v>45664.56349537037</v>
      </c>
      <c r="C709" s="1" t="n">
        <v>46178</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10797-2024</t>
        </is>
      </c>
      <c r="B710" s="1" t="n">
        <v>45369.6190162037</v>
      </c>
      <c r="C710" s="1" t="n">
        <v>46178</v>
      </c>
      <c r="D710" t="inlineStr">
        <is>
          <t>ÖSTERGÖTLANDS LÄN</t>
        </is>
      </c>
      <c r="E710" t="inlineStr">
        <is>
          <t>LINKÖPING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38580-2024</t>
        </is>
      </c>
      <c r="B711" s="1" t="n">
        <v>45546.64825231482</v>
      </c>
      <c r="C711" s="1" t="n">
        <v>46178</v>
      </c>
      <c r="D711" t="inlineStr">
        <is>
          <t>ÖSTERGÖTLANDS LÄN</t>
        </is>
      </c>
      <c r="E711" t="inlineStr">
        <is>
          <t>LINKÖPING</t>
        </is>
      </c>
      <c r="G711" t="n">
        <v>4.8</v>
      </c>
      <c r="H711" t="n">
        <v>0</v>
      </c>
      <c r="I711" t="n">
        <v>0</v>
      </c>
      <c r="J711" t="n">
        <v>0</v>
      </c>
      <c r="K711" t="n">
        <v>0</v>
      </c>
      <c r="L711" t="n">
        <v>0</v>
      </c>
      <c r="M711" t="n">
        <v>0</v>
      </c>
      <c r="N711" t="n">
        <v>0</v>
      </c>
      <c r="O711" t="n">
        <v>0</v>
      </c>
      <c r="P711" t="n">
        <v>0</v>
      </c>
      <c r="Q711" t="n">
        <v>0</v>
      </c>
      <c r="R711" s="2" t="inlineStr"/>
    </row>
    <row r="712" ht="15" customHeight="1">
      <c r="A712" t="inlineStr">
        <is>
          <t>A 57752-2023</t>
        </is>
      </c>
      <c r="B712" s="1" t="n">
        <v>45246.78474537037</v>
      </c>
      <c r="C712" s="1" t="n">
        <v>46178</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29312-2024</t>
        </is>
      </c>
      <c r="B713" s="1" t="n">
        <v>45483</v>
      </c>
      <c r="C713" s="1" t="n">
        <v>46178</v>
      </c>
      <c r="D713" t="inlineStr">
        <is>
          <t>ÖSTERGÖTLANDS LÄN</t>
        </is>
      </c>
      <c r="E713" t="inlineStr">
        <is>
          <t>LINKÖPING</t>
        </is>
      </c>
      <c r="G713" t="n">
        <v>2.1</v>
      </c>
      <c r="H713" t="n">
        <v>0</v>
      </c>
      <c r="I713" t="n">
        <v>0</v>
      </c>
      <c r="J713" t="n">
        <v>0</v>
      </c>
      <c r="K713" t="n">
        <v>0</v>
      </c>
      <c r="L713" t="n">
        <v>0</v>
      </c>
      <c r="M713" t="n">
        <v>0</v>
      </c>
      <c r="N713" t="n">
        <v>0</v>
      </c>
      <c r="O713" t="n">
        <v>0</v>
      </c>
      <c r="P713" t="n">
        <v>0</v>
      </c>
      <c r="Q713" t="n">
        <v>0</v>
      </c>
      <c r="R713" s="2" t="inlineStr"/>
    </row>
    <row r="714" ht="15" customHeight="1">
      <c r="A714" t="inlineStr">
        <is>
          <t>A 23120-2025</t>
        </is>
      </c>
      <c r="B714" s="1" t="n">
        <v>45791.37481481482</v>
      </c>
      <c r="C714" s="1" t="n">
        <v>46178</v>
      </c>
      <c r="D714" t="inlineStr">
        <is>
          <t>ÖSTERGÖTLANDS LÄN</t>
        </is>
      </c>
      <c r="E714" t="inlineStr">
        <is>
          <t>LINKÖPING</t>
        </is>
      </c>
      <c r="G714" t="n">
        <v>2.9</v>
      </c>
      <c r="H714" t="n">
        <v>0</v>
      </c>
      <c r="I714" t="n">
        <v>0</v>
      </c>
      <c r="J714" t="n">
        <v>0</v>
      </c>
      <c r="K714" t="n">
        <v>0</v>
      </c>
      <c r="L714" t="n">
        <v>0</v>
      </c>
      <c r="M714" t="n">
        <v>0</v>
      </c>
      <c r="N714" t="n">
        <v>0</v>
      </c>
      <c r="O714" t="n">
        <v>0</v>
      </c>
      <c r="P714" t="n">
        <v>0</v>
      </c>
      <c r="Q714" t="n">
        <v>0</v>
      </c>
      <c r="R714" s="2" t="inlineStr"/>
    </row>
    <row r="715" ht="15" customHeight="1">
      <c r="A715" t="inlineStr">
        <is>
          <t>A 23768-2025</t>
        </is>
      </c>
      <c r="B715" s="1" t="n">
        <v>45793.47493055555</v>
      </c>
      <c r="C715" s="1" t="n">
        <v>46178</v>
      </c>
      <c r="D715" t="inlineStr">
        <is>
          <t>ÖSTERGÖTLANDS LÄN</t>
        </is>
      </c>
      <c r="E715" t="inlineStr">
        <is>
          <t>LINKÖPING</t>
        </is>
      </c>
      <c r="G715" t="n">
        <v>3.4</v>
      </c>
      <c r="H715" t="n">
        <v>0</v>
      </c>
      <c r="I715" t="n">
        <v>0</v>
      </c>
      <c r="J715" t="n">
        <v>0</v>
      </c>
      <c r="K715" t="n">
        <v>0</v>
      </c>
      <c r="L715" t="n">
        <v>0</v>
      </c>
      <c r="M715" t="n">
        <v>0</v>
      </c>
      <c r="N715" t="n">
        <v>0</v>
      </c>
      <c r="O715" t="n">
        <v>0</v>
      </c>
      <c r="P715" t="n">
        <v>0</v>
      </c>
      <c r="Q715" t="n">
        <v>0</v>
      </c>
      <c r="R715" s="2" t="inlineStr"/>
    </row>
    <row r="716">
      <c r="A716" t="inlineStr">
        <is>
          <t>A 48699-2024</t>
        </is>
      </c>
      <c r="B716" s="1" t="n">
        <v>45593.52091435185</v>
      </c>
      <c r="C716" s="1" t="n">
        <v>46178</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2026-06-05T10:54:29Z</dcterms:created>
  <dcterms:modified xmlns:dcterms="http://purl.org/dc/terms/" xmlns:xsi="http://www.w3.org/2001/XMLSchema-instance" xsi:type="dcterms:W3CDTF">2026-06-05T10:54:30Z</dcterms:modified>
</cp:coreProperties>
</file>