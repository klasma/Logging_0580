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45974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45974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45974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45974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45974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45974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45974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45974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45974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45974</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45974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45974</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45974</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45974</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45974</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45974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45974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45974</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45974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45974</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14879-2024</t>
        </is>
      </c>
      <c r="B23" s="1" t="n">
        <v>45398</v>
      </c>
      <c r="C23" s="1" t="n">
        <v>45974</v>
      </c>
      <c r="D23" t="inlineStr">
        <is>
          <t>ÖSTERGÖTLANDS LÄN</t>
        </is>
      </c>
      <c r="E23" t="inlineStr">
        <is>
          <t>LINKÖPING</t>
        </is>
      </c>
      <c r="F23" t="inlineStr">
        <is>
          <t>Övriga Aktiebolag</t>
        </is>
      </c>
      <c r="G23" t="n">
        <v>1.7</v>
      </c>
      <c r="H23" t="n">
        <v>1</v>
      </c>
      <c r="I23" t="n">
        <v>1</v>
      </c>
      <c r="J23" t="n">
        <v>0</v>
      </c>
      <c r="K23" t="n">
        <v>0</v>
      </c>
      <c r="L23" t="n">
        <v>0</v>
      </c>
      <c r="M23" t="n">
        <v>0</v>
      </c>
      <c r="N23" t="n">
        <v>0</v>
      </c>
      <c r="O23" t="n">
        <v>0</v>
      </c>
      <c r="P23" t="n">
        <v>0</v>
      </c>
      <c r="Q23" t="n">
        <v>2</v>
      </c>
      <c r="R23" s="2" t="inlineStr">
        <is>
          <t>Svart trolldruva
Grönvit nattviol</t>
        </is>
      </c>
      <c r="S23">
        <f>HYPERLINK("https://klasma.github.io/Logging_0580/artfynd/A 14879-2024 artfynd.xlsx", "A 14879-2024")</f>
        <v/>
      </c>
      <c r="T23">
        <f>HYPERLINK("https://klasma.github.io/Logging_0580/kartor/A 14879-2024 karta.png", "A 14879-2024")</f>
        <v/>
      </c>
      <c r="V23">
        <f>HYPERLINK("https://klasma.github.io/Logging_0580/klagomål/A 14879-2024 FSC-klagomål.docx", "A 14879-2024")</f>
        <v/>
      </c>
      <c r="W23">
        <f>HYPERLINK("https://klasma.github.io/Logging_0580/klagomålsmail/A 14879-2024 FSC-klagomål mail.docx", "A 14879-2024")</f>
        <v/>
      </c>
      <c r="X23">
        <f>HYPERLINK("https://klasma.github.io/Logging_0580/tillsyn/A 14879-2024 tillsynsbegäran.docx", "A 14879-2024")</f>
        <v/>
      </c>
      <c r="Y23">
        <f>HYPERLINK("https://klasma.github.io/Logging_0580/tillsynsmail/A 14879-2024 tillsynsbegäran mail.docx", "A 14879-2024")</f>
        <v/>
      </c>
    </row>
    <row r="24" ht="15" customHeight="1">
      <c r="A24" t="inlineStr">
        <is>
          <t>A 8818-2025</t>
        </is>
      </c>
      <c r="B24" s="1" t="n">
        <v>45712</v>
      </c>
      <c r="C24" s="1" t="n">
        <v>45974</v>
      </c>
      <c r="D24" t="inlineStr">
        <is>
          <t>ÖSTERGÖTLANDS LÄN</t>
        </is>
      </c>
      <c r="E24" t="inlineStr">
        <is>
          <t>LINKÖPING</t>
        </is>
      </c>
      <c r="F24" t="inlineStr">
        <is>
          <t>Kommuner</t>
        </is>
      </c>
      <c r="G24" t="n">
        <v>0.6</v>
      </c>
      <c r="H24" t="n">
        <v>0</v>
      </c>
      <c r="I24" t="n">
        <v>0</v>
      </c>
      <c r="J24" t="n">
        <v>1</v>
      </c>
      <c r="K24" t="n">
        <v>1</v>
      </c>
      <c r="L24" t="n">
        <v>0</v>
      </c>
      <c r="M24" t="n">
        <v>0</v>
      </c>
      <c r="N24" t="n">
        <v>0</v>
      </c>
      <c r="O24" t="n">
        <v>2</v>
      </c>
      <c r="P24" t="n">
        <v>1</v>
      </c>
      <c r="Q24" t="n">
        <v>2</v>
      </c>
      <c r="R24" s="2" t="inlineStr">
        <is>
          <t>Luddvicker
Klubbsprötad bastardsvärmare</t>
        </is>
      </c>
      <c r="S24">
        <f>HYPERLINK("https://klasma.github.io/Logging_0580/artfynd/A 8818-2025 artfynd.xlsx", "A 8818-2025")</f>
        <v/>
      </c>
      <c r="T24">
        <f>HYPERLINK("https://klasma.github.io/Logging_0580/kartor/A 8818-2025 karta.png", "A 8818-2025")</f>
        <v/>
      </c>
      <c r="V24">
        <f>HYPERLINK("https://klasma.github.io/Logging_0580/klagomål/A 8818-2025 FSC-klagomål.docx", "A 8818-2025")</f>
        <v/>
      </c>
      <c r="W24">
        <f>HYPERLINK("https://klasma.github.io/Logging_0580/klagomålsmail/A 8818-2025 FSC-klagomål mail.docx", "A 8818-2025")</f>
        <v/>
      </c>
      <c r="X24">
        <f>HYPERLINK("https://klasma.github.io/Logging_0580/tillsyn/A 8818-2025 tillsynsbegäran.docx", "A 8818-2025")</f>
        <v/>
      </c>
      <c r="Y24">
        <f>HYPERLINK("https://klasma.github.io/Logging_0580/tillsynsmail/A 8818-2025 tillsynsbegäran mail.docx", "A 8818-2025")</f>
        <v/>
      </c>
    </row>
    <row r="25" ht="15" customHeight="1">
      <c r="A25" t="inlineStr">
        <is>
          <t>A 55344-2024</t>
        </is>
      </c>
      <c r="B25" s="1" t="n">
        <v>45621.7202662037</v>
      </c>
      <c r="C25" s="1" t="n">
        <v>45974</v>
      </c>
      <c r="D25" t="inlineStr">
        <is>
          <t>ÖSTERGÖTLANDS LÄN</t>
        </is>
      </c>
      <c r="E25" t="inlineStr">
        <is>
          <t>LINKÖPING</t>
        </is>
      </c>
      <c r="G25" t="n">
        <v>6.6</v>
      </c>
      <c r="H25" t="n">
        <v>0</v>
      </c>
      <c r="I25" t="n">
        <v>0</v>
      </c>
      <c r="J25" t="n">
        <v>2</v>
      </c>
      <c r="K25" t="n">
        <v>0</v>
      </c>
      <c r="L25" t="n">
        <v>0</v>
      </c>
      <c r="M25" t="n">
        <v>0</v>
      </c>
      <c r="N25" t="n">
        <v>0</v>
      </c>
      <c r="O25" t="n">
        <v>2</v>
      </c>
      <c r="P25" t="n">
        <v>0</v>
      </c>
      <c r="Q25" t="n">
        <v>2</v>
      </c>
      <c r="R25" s="2" t="inlineStr">
        <is>
          <t>Kandelabersvamp
Stjärnnästing</t>
        </is>
      </c>
      <c r="S25">
        <f>HYPERLINK("https://klasma.github.io/Logging_0580/artfynd/A 55344-2024 artfynd.xlsx", "A 55344-2024")</f>
        <v/>
      </c>
      <c r="T25">
        <f>HYPERLINK("https://klasma.github.io/Logging_0580/kartor/A 55344-2024 karta.png", "A 55344-2024")</f>
        <v/>
      </c>
      <c r="V25">
        <f>HYPERLINK("https://klasma.github.io/Logging_0580/klagomål/A 55344-2024 FSC-klagomål.docx", "A 55344-2024")</f>
        <v/>
      </c>
      <c r="W25">
        <f>HYPERLINK("https://klasma.github.io/Logging_0580/klagomålsmail/A 55344-2024 FSC-klagomål mail.docx", "A 55344-2024")</f>
        <v/>
      </c>
      <c r="X25">
        <f>HYPERLINK("https://klasma.github.io/Logging_0580/tillsyn/A 55344-2024 tillsynsbegäran.docx", "A 55344-2024")</f>
        <v/>
      </c>
      <c r="Y25">
        <f>HYPERLINK("https://klasma.github.io/Logging_0580/tillsynsmail/A 55344-2024 tillsynsbegäran mail.docx", "A 55344-2024")</f>
        <v/>
      </c>
    </row>
    <row r="26" ht="15" customHeight="1">
      <c r="A26" t="inlineStr">
        <is>
          <t>A 27981-2022</t>
        </is>
      </c>
      <c r="B26" s="1" t="n">
        <v>44745</v>
      </c>
      <c r="C26" s="1" t="n">
        <v>45974</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21326-2025</t>
        </is>
      </c>
      <c r="B27" s="1" t="n">
        <v>45782.35407407407</v>
      </c>
      <c r="C27" s="1" t="n">
        <v>45974</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38913-2023</t>
        </is>
      </c>
      <c r="B28" s="1" t="n">
        <v>45163</v>
      </c>
      <c r="C28" s="1" t="n">
        <v>45974</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50404-2023</t>
        </is>
      </c>
      <c r="B29" s="1" t="n">
        <v>45216</v>
      </c>
      <c r="C29" s="1" t="n">
        <v>45974</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58068-2021</t>
        </is>
      </c>
      <c r="B30" s="1" t="n">
        <v>44487</v>
      </c>
      <c r="C30" s="1" t="n">
        <v>45974</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45974</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27795-2025</t>
        </is>
      </c>
      <c r="B32" s="1" t="n">
        <v>45816.7908912037</v>
      </c>
      <c r="C32" s="1" t="n">
        <v>45974</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58068-2021</t>
        </is>
      </c>
      <c r="B33" s="1" t="n">
        <v>44487</v>
      </c>
      <c r="C33" s="1" t="n">
        <v>45974</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45974</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45974</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42858-2023</t>
        </is>
      </c>
      <c r="B36" s="1" t="n">
        <v>45177</v>
      </c>
      <c r="C36" s="1" t="n">
        <v>45974</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45974</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25985-2025</t>
        </is>
      </c>
      <c r="B38" s="1" t="n">
        <v>45804.64479166667</v>
      </c>
      <c r="C38" s="1" t="n">
        <v>45974</v>
      </c>
      <c r="D38" t="inlineStr">
        <is>
          <t>ÖSTERGÖTLANDS LÄN</t>
        </is>
      </c>
      <c r="E38" t="inlineStr">
        <is>
          <t>LINKÖPING</t>
        </is>
      </c>
      <c r="G38" t="n">
        <v>4.5</v>
      </c>
      <c r="H38" t="n">
        <v>2</v>
      </c>
      <c r="I38" t="n">
        <v>0</v>
      </c>
      <c r="J38" t="n">
        <v>1</v>
      </c>
      <c r="K38" t="n">
        <v>0</v>
      </c>
      <c r="L38" t="n">
        <v>0</v>
      </c>
      <c r="M38" t="n">
        <v>0</v>
      </c>
      <c r="N38" t="n">
        <v>0</v>
      </c>
      <c r="O38" t="n">
        <v>1</v>
      </c>
      <c r="P38" t="n">
        <v>0</v>
      </c>
      <c r="Q38" t="n">
        <v>2</v>
      </c>
      <c r="R38" s="2" t="inlineStr">
        <is>
          <t>Spillkråka
Revlummer</t>
        </is>
      </c>
      <c r="S38">
        <f>HYPERLINK("https://klasma.github.io/Logging_0580/artfynd/A 25985-2025 artfynd.xlsx", "A 25985-2025")</f>
        <v/>
      </c>
      <c r="T38">
        <f>HYPERLINK("https://klasma.github.io/Logging_0580/kartor/A 25985-2025 karta.png", "A 25985-2025")</f>
        <v/>
      </c>
      <c r="V38">
        <f>HYPERLINK("https://klasma.github.io/Logging_0580/klagomål/A 25985-2025 FSC-klagomål.docx", "A 25985-2025")</f>
        <v/>
      </c>
      <c r="W38">
        <f>HYPERLINK("https://klasma.github.io/Logging_0580/klagomålsmail/A 25985-2025 FSC-klagomål mail.docx", "A 25985-2025")</f>
        <v/>
      </c>
      <c r="X38">
        <f>HYPERLINK("https://klasma.github.io/Logging_0580/tillsyn/A 25985-2025 tillsynsbegäran.docx", "A 25985-2025")</f>
        <v/>
      </c>
      <c r="Y38">
        <f>HYPERLINK("https://klasma.github.io/Logging_0580/tillsynsmail/A 25985-2025 tillsynsbegäran mail.docx", "A 25985-2025")</f>
        <v/>
      </c>
      <c r="Z38">
        <f>HYPERLINK("https://klasma.github.io/Logging_0580/fåglar/A 25985-2025 prioriterade fågelarter.docx", "A 25985-2025")</f>
        <v/>
      </c>
    </row>
    <row r="39" ht="15" customHeight="1">
      <c r="A39" t="inlineStr">
        <is>
          <t>A 20292-2025</t>
        </is>
      </c>
      <c r="B39" s="1" t="n">
        <v>45774.7449537037</v>
      </c>
      <c r="C39" s="1" t="n">
        <v>45974</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20297-2025</t>
        </is>
      </c>
      <c r="B40" s="1" t="n">
        <v>45774.74971064815</v>
      </c>
      <c r="C40" s="1" t="n">
        <v>45974</v>
      </c>
      <c r="D40" t="inlineStr">
        <is>
          <t>ÖSTERGÖTLANDS LÄN</t>
        </is>
      </c>
      <c r="E40" t="inlineStr">
        <is>
          <t>LINKÖPING</t>
        </is>
      </c>
      <c r="G40" t="n">
        <v>1.5</v>
      </c>
      <c r="H40" t="n">
        <v>1</v>
      </c>
      <c r="I40" t="n">
        <v>1</v>
      </c>
      <c r="J40" t="n">
        <v>0</v>
      </c>
      <c r="K40" t="n">
        <v>0</v>
      </c>
      <c r="L40" t="n">
        <v>0</v>
      </c>
      <c r="M40" t="n">
        <v>0</v>
      </c>
      <c r="N40" t="n">
        <v>0</v>
      </c>
      <c r="O40" t="n">
        <v>0</v>
      </c>
      <c r="P40" t="n">
        <v>0</v>
      </c>
      <c r="Q40" t="n">
        <v>2</v>
      </c>
      <c r="R40" s="2" t="inlineStr">
        <is>
          <t>Blanksvart trämyra
Blåsippa</t>
        </is>
      </c>
      <c r="S40">
        <f>HYPERLINK("https://klasma.github.io/Logging_0580/artfynd/A 20297-2025 artfynd.xlsx", "A 20297-2025")</f>
        <v/>
      </c>
      <c r="T40">
        <f>HYPERLINK("https://klasma.github.io/Logging_0580/kartor/A 20297-2025 karta.png", "A 20297-2025")</f>
        <v/>
      </c>
      <c r="V40">
        <f>HYPERLINK("https://klasma.github.io/Logging_0580/klagomål/A 20297-2025 FSC-klagomål.docx", "A 20297-2025")</f>
        <v/>
      </c>
      <c r="W40">
        <f>HYPERLINK("https://klasma.github.io/Logging_0580/klagomålsmail/A 20297-2025 FSC-klagomål mail.docx", "A 20297-2025")</f>
        <v/>
      </c>
      <c r="X40">
        <f>HYPERLINK("https://klasma.github.io/Logging_0580/tillsyn/A 20297-2025 tillsynsbegäran.docx", "A 20297-2025")</f>
        <v/>
      </c>
      <c r="Y40">
        <f>HYPERLINK("https://klasma.github.io/Logging_0580/tillsynsmail/A 20297-2025 tillsynsbegäran mail.docx", "A 20297-2025")</f>
        <v/>
      </c>
    </row>
    <row r="41" ht="15" customHeight="1">
      <c r="A41" t="inlineStr">
        <is>
          <t>A 50048-2025</t>
        </is>
      </c>
      <c r="B41" s="1" t="n">
        <v>45941</v>
      </c>
      <c r="C41" s="1" t="n">
        <v>45974</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45974</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43017-2021</t>
        </is>
      </c>
      <c r="B43" s="1" t="n">
        <v>44431</v>
      </c>
      <c r="C43" s="1" t="n">
        <v>45974</v>
      </c>
      <c r="D43" t="inlineStr">
        <is>
          <t>ÖSTERGÖTLANDS LÄN</t>
        </is>
      </c>
      <c r="E43" t="inlineStr">
        <is>
          <t>LINKÖPING</t>
        </is>
      </c>
      <c r="G43" t="n">
        <v>0.9</v>
      </c>
      <c r="H43" t="n">
        <v>0</v>
      </c>
      <c r="I43" t="n">
        <v>0</v>
      </c>
      <c r="J43" t="n">
        <v>1</v>
      </c>
      <c r="K43" t="n">
        <v>0</v>
      </c>
      <c r="L43" t="n">
        <v>0</v>
      </c>
      <c r="M43" t="n">
        <v>0</v>
      </c>
      <c r="N43" t="n">
        <v>0</v>
      </c>
      <c r="O43" t="n">
        <v>1</v>
      </c>
      <c r="P43" t="n">
        <v>0</v>
      </c>
      <c r="Q43" t="n">
        <v>1</v>
      </c>
      <c r="R43" s="2" t="inlineStr">
        <is>
          <t>Hapalopilus aurantiacus</t>
        </is>
      </c>
      <c r="S43">
        <f>HYPERLINK("https://klasma.github.io/Logging_0580/artfynd/A 43017-2021 artfynd.xlsx", "A 43017-2021")</f>
        <v/>
      </c>
      <c r="T43">
        <f>HYPERLINK("https://klasma.github.io/Logging_0580/kartor/A 43017-2021 karta.png", "A 43017-2021")</f>
        <v/>
      </c>
      <c r="V43">
        <f>HYPERLINK("https://klasma.github.io/Logging_0580/klagomål/A 43017-2021 FSC-klagomål.docx", "A 43017-2021")</f>
        <v/>
      </c>
      <c r="W43">
        <f>HYPERLINK("https://klasma.github.io/Logging_0580/klagomålsmail/A 43017-2021 FSC-klagomål mail.docx", "A 43017-2021")</f>
        <v/>
      </c>
      <c r="X43">
        <f>HYPERLINK("https://klasma.github.io/Logging_0580/tillsyn/A 43017-2021 tillsynsbegäran.docx", "A 43017-2021")</f>
        <v/>
      </c>
      <c r="Y43">
        <f>HYPERLINK("https://klasma.github.io/Logging_0580/tillsynsmail/A 43017-2021 tillsynsbegäran mail.docx", "A 43017-2021")</f>
        <v/>
      </c>
    </row>
    <row r="44" ht="15" customHeight="1">
      <c r="A44" t="inlineStr">
        <is>
          <t>A 14096-2021</t>
        </is>
      </c>
      <c r="B44" s="1" t="n">
        <v>44278</v>
      </c>
      <c r="C44" s="1" t="n">
        <v>45974</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45974</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71127-2021</t>
        </is>
      </c>
      <c r="B46" s="1" t="n">
        <v>44537</v>
      </c>
      <c r="C46" s="1" t="n">
        <v>45974</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37683-2024</t>
        </is>
      </c>
      <c r="B47" s="1" t="n">
        <v>45541.59120370371</v>
      </c>
      <c r="C47" s="1" t="n">
        <v>45974</v>
      </c>
      <c r="D47" t="inlineStr">
        <is>
          <t>ÖSTERGÖTLANDS LÄN</t>
        </is>
      </c>
      <c r="E47" t="inlineStr">
        <is>
          <t>LINKÖPING</t>
        </is>
      </c>
      <c r="G47" t="n">
        <v>0.6</v>
      </c>
      <c r="H47" t="n">
        <v>0</v>
      </c>
      <c r="I47" t="n">
        <v>1</v>
      </c>
      <c r="J47" t="n">
        <v>0</v>
      </c>
      <c r="K47" t="n">
        <v>0</v>
      </c>
      <c r="L47" t="n">
        <v>0</v>
      </c>
      <c r="M47" t="n">
        <v>0</v>
      </c>
      <c r="N47" t="n">
        <v>0</v>
      </c>
      <c r="O47" t="n">
        <v>0</v>
      </c>
      <c r="P47" t="n">
        <v>0</v>
      </c>
      <c r="Q47" t="n">
        <v>1</v>
      </c>
      <c r="R47" s="2" t="inlineStr">
        <is>
          <t>Tibast</t>
        </is>
      </c>
      <c r="S47">
        <f>HYPERLINK("https://klasma.github.io/Logging_0580/artfynd/A 37683-2024 artfynd.xlsx", "A 37683-2024")</f>
        <v/>
      </c>
      <c r="T47">
        <f>HYPERLINK("https://klasma.github.io/Logging_0580/kartor/A 37683-2024 karta.png", "A 37683-2024")</f>
        <v/>
      </c>
      <c r="V47">
        <f>HYPERLINK("https://klasma.github.io/Logging_0580/klagomål/A 37683-2024 FSC-klagomål.docx", "A 37683-2024")</f>
        <v/>
      </c>
      <c r="W47">
        <f>HYPERLINK("https://klasma.github.io/Logging_0580/klagomålsmail/A 37683-2024 FSC-klagomål mail.docx", "A 37683-2024")</f>
        <v/>
      </c>
      <c r="X47">
        <f>HYPERLINK("https://klasma.github.io/Logging_0580/tillsyn/A 37683-2024 tillsynsbegäran.docx", "A 37683-2024")</f>
        <v/>
      </c>
      <c r="Y47">
        <f>HYPERLINK("https://klasma.github.io/Logging_0580/tillsynsmail/A 37683-2024 tillsynsbegäran mail.docx", "A 37683-2024")</f>
        <v/>
      </c>
    </row>
    <row r="48" ht="15" customHeight="1">
      <c r="A48" t="inlineStr">
        <is>
          <t>A 46496-2022</t>
        </is>
      </c>
      <c r="B48" s="1" t="n">
        <v>44848</v>
      </c>
      <c r="C48" s="1" t="n">
        <v>45974</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45974</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3395-2023</t>
        </is>
      </c>
      <c r="B50" s="1" t="n">
        <v>44949</v>
      </c>
      <c r="C50" s="1" t="n">
        <v>45974</v>
      </c>
      <c r="D50" t="inlineStr">
        <is>
          <t>ÖSTERGÖTLANDS LÄN</t>
        </is>
      </c>
      <c r="E50" t="inlineStr">
        <is>
          <t>LINKÖPING</t>
        </is>
      </c>
      <c r="G50" t="n">
        <v>2</v>
      </c>
      <c r="H50" t="n">
        <v>0</v>
      </c>
      <c r="I50" t="n">
        <v>0</v>
      </c>
      <c r="J50" t="n">
        <v>1</v>
      </c>
      <c r="K50" t="n">
        <v>0</v>
      </c>
      <c r="L50" t="n">
        <v>0</v>
      </c>
      <c r="M50" t="n">
        <v>0</v>
      </c>
      <c r="N50" t="n">
        <v>0</v>
      </c>
      <c r="O50" t="n">
        <v>1</v>
      </c>
      <c r="P50" t="n">
        <v>0</v>
      </c>
      <c r="Q50" t="n">
        <v>1</v>
      </c>
      <c r="R50" s="2" t="inlineStr">
        <is>
          <t>Sommarfibbla</t>
        </is>
      </c>
      <c r="S50">
        <f>HYPERLINK("https://klasma.github.io/Logging_0580/artfynd/A 3395-2023 artfynd.xlsx", "A 3395-2023")</f>
        <v/>
      </c>
      <c r="T50">
        <f>HYPERLINK("https://klasma.github.io/Logging_0580/kartor/A 3395-2023 karta.png", "A 3395-2023")</f>
        <v/>
      </c>
      <c r="V50">
        <f>HYPERLINK("https://klasma.github.io/Logging_0580/klagomål/A 3395-2023 FSC-klagomål.docx", "A 3395-2023")</f>
        <v/>
      </c>
      <c r="W50">
        <f>HYPERLINK("https://klasma.github.io/Logging_0580/klagomålsmail/A 3395-2023 FSC-klagomål mail.docx", "A 3395-2023")</f>
        <v/>
      </c>
      <c r="X50">
        <f>HYPERLINK("https://klasma.github.io/Logging_0580/tillsyn/A 3395-2023 tillsynsbegäran.docx", "A 3395-2023")</f>
        <v/>
      </c>
      <c r="Y50">
        <f>HYPERLINK("https://klasma.github.io/Logging_0580/tillsynsmail/A 3395-2023 tillsynsbegäran mail.docx", "A 3395-2023")</f>
        <v/>
      </c>
    </row>
    <row r="51" ht="15" customHeight="1">
      <c r="A51" t="inlineStr">
        <is>
          <t>A 19103-2021</t>
        </is>
      </c>
      <c r="B51" s="1" t="n">
        <v>44308</v>
      </c>
      <c r="C51" s="1" t="n">
        <v>45974</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20295-2025</t>
        </is>
      </c>
      <c r="B52" s="1" t="n">
        <v>45774.74846064814</v>
      </c>
      <c r="C52" s="1" t="n">
        <v>45974</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56651-2023</t>
        </is>
      </c>
      <c r="B53" s="1" t="n">
        <v>45243</v>
      </c>
      <c r="C53" s="1" t="n">
        <v>45974</v>
      </c>
      <c r="D53" t="inlineStr">
        <is>
          <t>ÖSTERGÖTLANDS LÄN</t>
        </is>
      </c>
      <c r="E53" t="inlineStr">
        <is>
          <t>LINKÖPING</t>
        </is>
      </c>
      <c r="F53" t="inlineStr">
        <is>
          <t>Övriga Aktiebolag</t>
        </is>
      </c>
      <c r="G53" t="n">
        <v>2.3</v>
      </c>
      <c r="H53" t="n">
        <v>0</v>
      </c>
      <c r="I53" t="n">
        <v>0</v>
      </c>
      <c r="J53" t="n">
        <v>1</v>
      </c>
      <c r="K53" t="n">
        <v>0</v>
      </c>
      <c r="L53" t="n">
        <v>0</v>
      </c>
      <c r="M53" t="n">
        <v>0</v>
      </c>
      <c r="N53" t="n">
        <v>0</v>
      </c>
      <c r="O53" t="n">
        <v>1</v>
      </c>
      <c r="P53" t="n">
        <v>0</v>
      </c>
      <c r="Q53" t="n">
        <v>1</v>
      </c>
      <c r="R53" s="2" t="inlineStr">
        <is>
          <t>Gul dropplav</t>
        </is>
      </c>
      <c r="S53">
        <f>HYPERLINK("https://klasma.github.io/Logging_0580/artfynd/A 56651-2023 artfynd.xlsx", "A 56651-2023")</f>
        <v/>
      </c>
      <c r="T53">
        <f>HYPERLINK("https://klasma.github.io/Logging_0580/kartor/A 56651-2023 karta.png", "A 56651-2023")</f>
        <v/>
      </c>
      <c r="V53">
        <f>HYPERLINK("https://klasma.github.io/Logging_0580/klagomål/A 56651-2023 FSC-klagomål.docx", "A 56651-2023")</f>
        <v/>
      </c>
      <c r="W53">
        <f>HYPERLINK("https://klasma.github.io/Logging_0580/klagomålsmail/A 56651-2023 FSC-klagomål mail.docx", "A 56651-2023")</f>
        <v/>
      </c>
      <c r="X53">
        <f>HYPERLINK("https://klasma.github.io/Logging_0580/tillsyn/A 56651-2023 tillsynsbegäran.docx", "A 56651-2023")</f>
        <v/>
      </c>
      <c r="Y53">
        <f>HYPERLINK("https://klasma.github.io/Logging_0580/tillsynsmail/A 56651-2023 tillsynsbegäran mail.docx", "A 56651-2023")</f>
        <v/>
      </c>
    </row>
    <row r="54" ht="15" customHeight="1">
      <c r="A54" t="inlineStr">
        <is>
          <t>A 931-2025</t>
        </is>
      </c>
      <c r="B54" s="1" t="n">
        <v>45665.88498842593</v>
      </c>
      <c r="C54" s="1" t="n">
        <v>45974</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45974</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45974</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45974</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60573-2021</t>
        </is>
      </c>
      <c r="B58" s="1" t="n">
        <v>44496</v>
      </c>
      <c r="C58" s="1" t="n">
        <v>45974</v>
      </c>
      <c r="D58" t="inlineStr">
        <is>
          <t>ÖSTERGÖTLANDS LÄN</t>
        </is>
      </c>
      <c r="E58" t="inlineStr">
        <is>
          <t>LINKÖPING</t>
        </is>
      </c>
      <c r="F58" t="inlineStr">
        <is>
          <t>Övriga Aktiebolag</t>
        </is>
      </c>
      <c r="G58" t="n">
        <v>5.6</v>
      </c>
      <c r="H58" t="n">
        <v>0</v>
      </c>
      <c r="I58" t="n">
        <v>0</v>
      </c>
      <c r="J58" t="n">
        <v>1</v>
      </c>
      <c r="K58" t="n">
        <v>0</v>
      </c>
      <c r="L58" t="n">
        <v>0</v>
      </c>
      <c r="M58" t="n">
        <v>0</v>
      </c>
      <c r="N58" t="n">
        <v>0</v>
      </c>
      <c r="O58" t="n">
        <v>1</v>
      </c>
      <c r="P58" t="n">
        <v>0</v>
      </c>
      <c r="Q58" t="n">
        <v>1</v>
      </c>
      <c r="R58" s="2" t="inlineStr">
        <is>
          <t>Sommarfibbla</t>
        </is>
      </c>
      <c r="S58">
        <f>HYPERLINK("https://klasma.github.io/Logging_0580/artfynd/A 60573-2021 artfynd.xlsx", "A 60573-2021")</f>
        <v/>
      </c>
      <c r="T58">
        <f>HYPERLINK("https://klasma.github.io/Logging_0580/kartor/A 60573-2021 karta.png", "A 60573-2021")</f>
        <v/>
      </c>
      <c r="V58">
        <f>HYPERLINK("https://klasma.github.io/Logging_0580/klagomål/A 60573-2021 FSC-klagomål.docx", "A 60573-2021")</f>
        <v/>
      </c>
      <c r="W58">
        <f>HYPERLINK("https://klasma.github.io/Logging_0580/klagomålsmail/A 60573-2021 FSC-klagomål mail.docx", "A 60573-2021")</f>
        <v/>
      </c>
      <c r="X58">
        <f>HYPERLINK("https://klasma.github.io/Logging_0580/tillsyn/A 60573-2021 tillsynsbegäran.docx", "A 60573-2021")</f>
        <v/>
      </c>
      <c r="Y58">
        <f>HYPERLINK("https://klasma.github.io/Logging_0580/tillsynsmail/A 60573-2021 tillsynsbegäran mail.docx", "A 60573-2021")</f>
        <v/>
      </c>
    </row>
    <row r="59" ht="15" customHeight="1">
      <c r="A59" t="inlineStr">
        <is>
          <t>A 17444-2025</t>
        </is>
      </c>
      <c r="B59" s="1" t="n">
        <v>45757.43452546297</v>
      </c>
      <c r="C59" s="1" t="n">
        <v>45974</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5911-2022</t>
        </is>
      </c>
      <c r="B60" s="1" t="n">
        <v>44597</v>
      </c>
      <c r="C60" s="1" t="n">
        <v>45974</v>
      </c>
      <c r="D60" t="inlineStr">
        <is>
          <t>ÖSTERGÖTLANDS LÄN</t>
        </is>
      </c>
      <c r="E60" t="inlineStr">
        <is>
          <t>LINKÖPING</t>
        </is>
      </c>
      <c r="G60" t="n">
        <v>3.5</v>
      </c>
      <c r="H60" t="n">
        <v>0</v>
      </c>
      <c r="I60" t="n">
        <v>0</v>
      </c>
      <c r="J60" t="n">
        <v>1</v>
      </c>
      <c r="K60" t="n">
        <v>0</v>
      </c>
      <c r="L60" t="n">
        <v>0</v>
      </c>
      <c r="M60" t="n">
        <v>0</v>
      </c>
      <c r="N60" t="n">
        <v>0</v>
      </c>
      <c r="O60" t="n">
        <v>1</v>
      </c>
      <c r="P60" t="n">
        <v>0</v>
      </c>
      <c r="Q60" t="n">
        <v>1</v>
      </c>
      <c r="R60" s="2" t="inlineStr">
        <is>
          <t>Spindelört</t>
        </is>
      </c>
      <c r="S60">
        <f>HYPERLINK("https://klasma.github.io/Logging_0580/artfynd/A 5911-2022 artfynd.xlsx", "A 5911-2022")</f>
        <v/>
      </c>
      <c r="T60">
        <f>HYPERLINK("https://klasma.github.io/Logging_0580/kartor/A 5911-2022 karta.png", "A 5911-2022")</f>
        <v/>
      </c>
      <c r="V60">
        <f>HYPERLINK("https://klasma.github.io/Logging_0580/klagomål/A 5911-2022 FSC-klagomål.docx", "A 5911-2022")</f>
        <v/>
      </c>
      <c r="W60">
        <f>HYPERLINK("https://klasma.github.io/Logging_0580/klagomålsmail/A 5911-2022 FSC-klagomål mail.docx", "A 5911-2022")</f>
        <v/>
      </c>
      <c r="X60">
        <f>HYPERLINK("https://klasma.github.io/Logging_0580/tillsyn/A 5911-2022 tillsynsbegäran.docx", "A 5911-2022")</f>
        <v/>
      </c>
      <c r="Y60">
        <f>HYPERLINK("https://klasma.github.io/Logging_0580/tillsynsmail/A 5911-2022 tillsynsbegäran mail.docx", "A 5911-2022")</f>
        <v/>
      </c>
    </row>
    <row r="61" ht="15" customHeight="1">
      <c r="A61" t="inlineStr">
        <is>
          <t>A 41749-2023</t>
        </is>
      </c>
      <c r="B61" s="1" t="n">
        <v>45176</v>
      </c>
      <c r="C61" s="1" t="n">
        <v>45974</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41749-2023 artfynd.xlsx", "A 41749-2023")</f>
        <v/>
      </c>
      <c r="T61">
        <f>HYPERLINK("https://klasma.github.io/Logging_0580/kartor/A 41749-2023 karta.png", "A 41749-2023")</f>
        <v/>
      </c>
      <c r="V61">
        <f>HYPERLINK("https://klasma.github.io/Logging_0580/klagomål/A 41749-2023 FSC-klagomål.docx", "A 41749-2023")</f>
        <v/>
      </c>
      <c r="W61">
        <f>HYPERLINK("https://klasma.github.io/Logging_0580/klagomålsmail/A 41749-2023 FSC-klagomål mail.docx", "A 41749-2023")</f>
        <v/>
      </c>
      <c r="X61">
        <f>HYPERLINK("https://klasma.github.io/Logging_0580/tillsyn/A 41749-2023 tillsynsbegäran.docx", "A 41749-2023")</f>
        <v/>
      </c>
      <c r="Y61">
        <f>HYPERLINK("https://klasma.github.io/Logging_0580/tillsynsmail/A 41749-2023 tillsynsbegäran mail.docx", "A 41749-2023")</f>
        <v/>
      </c>
    </row>
    <row r="62" ht="15" customHeight="1">
      <c r="A62" t="inlineStr">
        <is>
          <t>A 90-2024</t>
        </is>
      </c>
      <c r="B62" s="1" t="n">
        <v>45293</v>
      </c>
      <c r="C62" s="1" t="n">
        <v>45974</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40315-2024</t>
        </is>
      </c>
      <c r="B63" s="1" t="n">
        <v>45554.7571875</v>
      </c>
      <c r="C63" s="1" t="n">
        <v>45974</v>
      </c>
      <c r="D63" t="inlineStr">
        <is>
          <t>ÖSTERGÖTLANDS LÄN</t>
        </is>
      </c>
      <c r="E63" t="inlineStr">
        <is>
          <t>LINKÖPING</t>
        </is>
      </c>
      <c r="F63" t="inlineStr">
        <is>
          <t>Allmännings- och besparingsskogar</t>
        </is>
      </c>
      <c r="G63" t="n">
        <v>15.8</v>
      </c>
      <c r="H63" t="n">
        <v>0</v>
      </c>
      <c r="I63" t="n">
        <v>0</v>
      </c>
      <c r="J63" t="n">
        <v>0</v>
      </c>
      <c r="K63" t="n">
        <v>0</v>
      </c>
      <c r="L63" t="n">
        <v>0</v>
      </c>
      <c r="M63" t="n">
        <v>1</v>
      </c>
      <c r="N63" t="n">
        <v>0</v>
      </c>
      <c r="O63" t="n">
        <v>1</v>
      </c>
      <c r="P63" t="n">
        <v>1</v>
      </c>
      <c r="Q63" t="n">
        <v>1</v>
      </c>
      <c r="R63" s="2" t="inlineStr">
        <is>
          <t>Skogsalm</t>
        </is>
      </c>
      <c r="S63">
        <f>HYPERLINK("https://klasma.github.io/Logging_0580/artfynd/A 40315-2024 artfynd.xlsx", "A 40315-2024")</f>
        <v/>
      </c>
      <c r="T63">
        <f>HYPERLINK("https://klasma.github.io/Logging_0580/kartor/A 40315-2024 karta.png", "A 40315-2024")</f>
        <v/>
      </c>
      <c r="V63">
        <f>HYPERLINK("https://klasma.github.io/Logging_0580/klagomål/A 40315-2024 FSC-klagomål.docx", "A 40315-2024")</f>
        <v/>
      </c>
      <c r="W63">
        <f>HYPERLINK("https://klasma.github.io/Logging_0580/klagomålsmail/A 40315-2024 FSC-klagomål mail.docx", "A 40315-2024")</f>
        <v/>
      </c>
      <c r="X63">
        <f>HYPERLINK("https://klasma.github.io/Logging_0580/tillsyn/A 40315-2024 tillsynsbegäran.docx", "A 40315-2024")</f>
        <v/>
      </c>
      <c r="Y63">
        <f>HYPERLINK("https://klasma.github.io/Logging_0580/tillsynsmail/A 40315-2024 tillsynsbegäran mail.docx", "A 40315-2024")</f>
        <v/>
      </c>
    </row>
    <row r="64" ht="15" customHeight="1">
      <c r="A64" t="inlineStr">
        <is>
          <t>A 59948-2022</t>
        </is>
      </c>
      <c r="B64" s="1" t="n">
        <v>44909</v>
      </c>
      <c r="C64" s="1" t="n">
        <v>45974</v>
      </c>
      <c r="D64" t="inlineStr">
        <is>
          <t>ÖSTERGÖTLANDS LÄN</t>
        </is>
      </c>
      <c r="E64" t="inlineStr">
        <is>
          <t>LINKÖPING</t>
        </is>
      </c>
      <c r="G64" t="n">
        <v>6.7</v>
      </c>
      <c r="H64" t="n">
        <v>0</v>
      </c>
      <c r="I64" t="n">
        <v>0</v>
      </c>
      <c r="J64" t="n">
        <v>0</v>
      </c>
      <c r="K64" t="n">
        <v>0</v>
      </c>
      <c r="L64" t="n">
        <v>0</v>
      </c>
      <c r="M64" t="n">
        <v>1</v>
      </c>
      <c r="N64" t="n">
        <v>0</v>
      </c>
      <c r="O64" t="n">
        <v>1</v>
      </c>
      <c r="P64" t="n">
        <v>1</v>
      </c>
      <c r="Q64" t="n">
        <v>1</v>
      </c>
      <c r="R64" s="2" t="inlineStr">
        <is>
          <t>Skogsalm</t>
        </is>
      </c>
      <c r="S64">
        <f>HYPERLINK("https://klasma.github.io/Logging_0580/artfynd/A 59948-2022 artfynd.xlsx", "A 59948-2022")</f>
        <v/>
      </c>
      <c r="T64">
        <f>HYPERLINK("https://klasma.github.io/Logging_0580/kartor/A 59948-2022 karta.png", "A 59948-2022")</f>
        <v/>
      </c>
      <c r="V64">
        <f>HYPERLINK("https://klasma.github.io/Logging_0580/klagomål/A 59948-2022 FSC-klagomål.docx", "A 59948-2022")</f>
        <v/>
      </c>
      <c r="W64">
        <f>HYPERLINK("https://klasma.github.io/Logging_0580/klagomålsmail/A 59948-2022 FSC-klagomål mail.docx", "A 59948-2022")</f>
        <v/>
      </c>
      <c r="X64">
        <f>HYPERLINK("https://klasma.github.io/Logging_0580/tillsyn/A 59948-2022 tillsynsbegäran.docx", "A 59948-2022")</f>
        <v/>
      </c>
      <c r="Y64">
        <f>HYPERLINK("https://klasma.github.io/Logging_0580/tillsynsmail/A 59948-2022 tillsynsbegäran mail.docx", "A 59948-2022")</f>
        <v/>
      </c>
    </row>
    <row r="65" ht="15" customHeight="1">
      <c r="A65" t="inlineStr">
        <is>
          <t>A 50806-2023</t>
        </is>
      </c>
      <c r="B65" s="1" t="n">
        <v>45217</v>
      </c>
      <c r="C65" s="1" t="n">
        <v>45974</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35948-2023</t>
        </is>
      </c>
      <c r="B66" s="1" t="n">
        <v>45148</v>
      </c>
      <c r="C66" s="1" t="n">
        <v>45974</v>
      </c>
      <c r="D66" t="inlineStr">
        <is>
          <t>ÖSTERGÖTLANDS LÄN</t>
        </is>
      </c>
      <c r="E66" t="inlineStr">
        <is>
          <t>LINKÖPING</t>
        </is>
      </c>
      <c r="G66" t="n">
        <v>1.9</v>
      </c>
      <c r="H66" t="n">
        <v>0</v>
      </c>
      <c r="I66" t="n">
        <v>1</v>
      </c>
      <c r="J66" t="n">
        <v>0</v>
      </c>
      <c r="K66" t="n">
        <v>0</v>
      </c>
      <c r="L66" t="n">
        <v>0</v>
      </c>
      <c r="M66" t="n">
        <v>0</v>
      </c>
      <c r="N66" t="n">
        <v>0</v>
      </c>
      <c r="O66" t="n">
        <v>0</v>
      </c>
      <c r="P66" t="n">
        <v>0</v>
      </c>
      <c r="Q66" t="n">
        <v>1</v>
      </c>
      <c r="R66" s="2" t="inlineStr">
        <is>
          <t>Brun nållav</t>
        </is>
      </c>
      <c r="S66">
        <f>HYPERLINK("https://klasma.github.io/Logging_0580/artfynd/A 35948-2023 artfynd.xlsx", "A 35948-2023")</f>
        <v/>
      </c>
      <c r="T66">
        <f>HYPERLINK("https://klasma.github.io/Logging_0580/kartor/A 35948-2023 karta.png", "A 35948-2023")</f>
        <v/>
      </c>
      <c r="V66">
        <f>HYPERLINK("https://klasma.github.io/Logging_0580/klagomål/A 35948-2023 FSC-klagomål.docx", "A 35948-2023")</f>
        <v/>
      </c>
      <c r="W66">
        <f>HYPERLINK("https://klasma.github.io/Logging_0580/klagomålsmail/A 35948-2023 FSC-klagomål mail.docx", "A 35948-2023")</f>
        <v/>
      </c>
      <c r="X66">
        <f>HYPERLINK("https://klasma.github.io/Logging_0580/tillsyn/A 35948-2023 tillsynsbegäran.docx", "A 35948-2023")</f>
        <v/>
      </c>
      <c r="Y66">
        <f>HYPERLINK("https://klasma.github.io/Logging_0580/tillsynsmail/A 35948-2023 tillsynsbegäran mail.docx", "A 35948-2023")</f>
        <v/>
      </c>
    </row>
    <row r="67" ht="15" customHeight="1">
      <c r="A67" t="inlineStr">
        <is>
          <t>A 62071-2023</t>
        </is>
      </c>
      <c r="B67" s="1" t="n">
        <v>45266.73542824074</v>
      </c>
      <c r="C67" s="1" t="n">
        <v>45974</v>
      </c>
      <c r="D67" t="inlineStr">
        <is>
          <t>ÖSTERGÖTLANDS LÄN</t>
        </is>
      </c>
      <c r="E67" t="inlineStr">
        <is>
          <t>LINKÖPING</t>
        </is>
      </c>
      <c r="G67" t="n">
        <v>6.5</v>
      </c>
      <c r="H67" t="n">
        <v>0</v>
      </c>
      <c r="I67" t="n">
        <v>0</v>
      </c>
      <c r="J67" t="n">
        <v>1</v>
      </c>
      <c r="K67" t="n">
        <v>0</v>
      </c>
      <c r="L67" t="n">
        <v>0</v>
      </c>
      <c r="M67" t="n">
        <v>0</v>
      </c>
      <c r="N67" t="n">
        <v>0</v>
      </c>
      <c r="O67" t="n">
        <v>1</v>
      </c>
      <c r="P67" t="n">
        <v>0</v>
      </c>
      <c r="Q67" t="n">
        <v>1</v>
      </c>
      <c r="R67" s="2" t="inlineStr">
        <is>
          <t>Svinrot</t>
        </is>
      </c>
      <c r="S67">
        <f>HYPERLINK("https://klasma.github.io/Logging_0580/artfynd/A 62071-2023 artfynd.xlsx", "A 62071-2023")</f>
        <v/>
      </c>
      <c r="T67">
        <f>HYPERLINK("https://klasma.github.io/Logging_0580/kartor/A 62071-2023 karta.png", "A 62071-2023")</f>
        <v/>
      </c>
      <c r="V67">
        <f>HYPERLINK("https://klasma.github.io/Logging_0580/klagomål/A 62071-2023 FSC-klagomål.docx", "A 62071-2023")</f>
        <v/>
      </c>
      <c r="W67">
        <f>HYPERLINK("https://klasma.github.io/Logging_0580/klagomålsmail/A 62071-2023 FSC-klagomål mail.docx", "A 62071-2023")</f>
        <v/>
      </c>
      <c r="X67">
        <f>HYPERLINK("https://klasma.github.io/Logging_0580/tillsyn/A 62071-2023 tillsynsbegäran.docx", "A 62071-2023")</f>
        <v/>
      </c>
      <c r="Y67">
        <f>HYPERLINK("https://klasma.github.io/Logging_0580/tillsynsmail/A 62071-2023 tillsynsbegäran mail.docx", "A 62071-2023")</f>
        <v/>
      </c>
    </row>
    <row r="68" ht="15" customHeight="1">
      <c r="A68" t="inlineStr">
        <is>
          <t>A 27403-2025</t>
        </is>
      </c>
      <c r="B68" s="1" t="n">
        <v>45812.72518518518</v>
      </c>
      <c r="C68" s="1" t="n">
        <v>45974</v>
      </c>
      <c r="D68" t="inlineStr">
        <is>
          <t>ÖSTERGÖTLANDS LÄN</t>
        </is>
      </c>
      <c r="E68" t="inlineStr">
        <is>
          <t>LINKÖPING</t>
        </is>
      </c>
      <c r="G68" t="n">
        <v>1.4</v>
      </c>
      <c r="H68" t="n">
        <v>0</v>
      </c>
      <c r="I68" t="n">
        <v>0</v>
      </c>
      <c r="J68" t="n">
        <v>1</v>
      </c>
      <c r="K68" t="n">
        <v>0</v>
      </c>
      <c r="L68" t="n">
        <v>0</v>
      </c>
      <c r="M68" t="n">
        <v>0</v>
      </c>
      <c r="N68" t="n">
        <v>0</v>
      </c>
      <c r="O68" t="n">
        <v>1</v>
      </c>
      <c r="P68" t="n">
        <v>0</v>
      </c>
      <c r="Q68" t="n">
        <v>1</v>
      </c>
      <c r="R68" s="2" t="inlineStr">
        <is>
          <t>Tallticka</t>
        </is>
      </c>
      <c r="S68">
        <f>HYPERLINK("https://klasma.github.io/Logging_0580/artfynd/A 27403-2025 artfynd.xlsx", "A 27403-2025")</f>
        <v/>
      </c>
      <c r="T68">
        <f>HYPERLINK("https://klasma.github.io/Logging_0580/kartor/A 27403-2025 karta.png", "A 27403-2025")</f>
        <v/>
      </c>
      <c r="V68">
        <f>HYPERLINK("https://klasma.github.io/Logging_0580/klagomål/A 27403-2025 FSC-klagomål.docx", "A 27403-2025")</f>
        <v/>
      </c>
      <c r="W68">
        <f>HYPERLINK("https://klasma.github.io/Logging_0580/klagomålsmail/A 27403-2025 FSC-klagomål mail.docx", "A 27403-2025")</f>
        <v/>
      </c>
      <c r="X68">
        <f>HYPERLINK("https://klasma.github.io/Logging_0580/tillsyn/A 27403-2025 tillsynsbegäran.docx", "A 27403-2025")</f>
        <v/>
      </c>
      <c r="Y68">
        <f>HYPERLINK("https://klasma.github.io/Logging_0580/tillsynsmail/A 27403-2025 tillsynsbegäran mail.docx", "A 27403-2025")</f>
        <v/>
      </c>
    </row>
    <row r="69" ht="15" customHeight="1">
      <c r="A69" t="inlineStr">
        <is>
          <t>A 15290-2025</t>
        </is>
      </c>
      <c r="B69" s="1" t="n">
        <v>45745.45288194445</v>
      </c>
      <c r="C69" s="1" t="n">
        <v>45974</v>
      </c>
      <c r="D69" t="inlineStr">
        <is>
          <t>ÖSTERGÖTLANDS LÄN</t>
        </is>
      </c>
      <c r="E69" t="inlineStr">
        <is>
          <t>LINKÖPING</t>
        </is>
      </c>
      <c r="G69" t="n">
        <v>18.4</v>
      </c>
      <c r="H69" t="n">
        <v>1</v>
      </c>
      <c r="I69" t="n">
        <v>0</v>
      </c>
      <c r="J69" t="n">
        <v>1</v>
      </c>
      <c r="K69" t="n">
        <v>0</v>
      </c>
      <c r="L69" t="n">
        <v>0</v>
      </c>
      <c r="M69" t="n">
        <v>0</v>
      </c>
      <c r="N69" t="n">
        <v>0</v>
      </c>
      <c r="O69" t="n">
        <v>1</v>
      </c>
      <c r="P69" t="n">
        <v>0</v>
      </c>
      <c r="Q69" t="n">
        <v>1</v>
      </c>
      <c r="R69" s="2" t="inlineStr">
        <is>
          <t>Havsörn</t>
        </is>
      </c>
      <c r="S69">
        <f>HYPERLINK("https://klasma.github.io/Logging_0580/artfynd/A 15290-2025 artfynd.xlsx", "A 15290-2025")</f>
        <v/>
      </c>
      <c r="T69">
        <f>HYPERLINK("https://klasma.github.io/Logging_0580/kartor/A 15290-2025 karta.png", "A 15290-2025")</f>
        <v/>
      </c>
      <c r="V69">
        <f>HYPERLINK("https://klasma.github.io/Logging_0580/klagomål/A 15290-2025 FSC-klagomål.docx", "A 15290-2025")</f>
        <v/>
      </c>
      <c r="W69">
        <f>HYPERLINK("https://klasma.github.io/Logging_0580/klagomålsmail/A 15290-2025 FSC-klagomål mail.docx", "A 15290-2025")</f>
        <v/>
      </c>
      <c r="X69">
        <f>HYPERLINK("https://klasma.github.io/Logging_0580/tillsyn/A 15290-2025 tillsynsbegäran.docx", "A 15290-2025")</f>
        <v/>
      </c>
      <c r="Y69">
        <f>HYPERLINK("https://klasma.github.io/Logging_0580/tillsynsmail/A 15290-2025 tillsynsbegäran mail.docx", "A 15290-2025")</f>
        <v/>
      </c>
      <c r="Z69">
        <f>HYPERLINK("https://klasma.github.io/Logging_0580/fåglar/A 15290-2025 prioriterade fågelarter.docx", "A 15290-2025")</f>
        <v/>
      </c>
    </row>
    <row r="70" ht="15" customHeight="1">
      <c r="A70" t="inlineStr">
        <is>
          <t>A 3397-2023</t>
        </is>
      </c>
      <c r="B70" s="1" t="n">
        <v>44949</v>
      </c>
      <c r="C70" s="1" t="n">
        <v>45974</v>
      </c>
      <c r="D70" t="inlineStr">
        <is>
          <t>ÖSTERGÖTLANDS LÄN</t>
        </is>
      </c>
      <c r="E70" t="inlineStr">
        <is>
          <t>LINKÖPING</t>
        </is>
      </c>
      <c r="G70" t="n">
        <v>4.1</v>
      </c>
      <c r="H70" t="n">
        <v>0</v>
      </c>
      <c r="I70" t="n">
        <v>0</v>
      </c>
      <c r="J70" t="n">
        <v>1</v>
      </c>
      <c r="K70" t="n">
        <v>0</v>
      </c>
      <c r="L70" t="n">
        <v>0</v>
      </c>
      <c r="M70" t="n">
        <v>0</v>
      </c>
      <c r="N70" t="n">
        <v>0</v>
      </c>
      <c r="O70" t="n">
        <v>1</v>
      </c>
      <c r="P70" t="n">
        <v>0</v>
      </c>
      <c r="Q70" t="n">
        <v>1</v>
      </c>
      <c r="R70" s="2" t="inlineStr">
        <is>
          <t>Svinrot</t>
        </is>
      </c>
      <c r="S70">
        <f>HYPERLINK("https://klasma.github.io/Logging_0580/artfynd/A 3397-2023 artfynd.xlsx", "A 3397-2023")</f>
        <v/>
      </c>
      <c r="T70">
        <f>HYPERLINK("https://klasma.github.io/Logging_0580/kartor/A 3397-2023 karta.png", "A 3397-2023")</f>
        <v/>
      </c>
      <c r="V70">
        <f>HYPERLINK("https://klasma.github.io/Logging_0580/klagomål/A 3397-2023 FSC-klagomål.docx", "A 3397-2023")</f>
        <v/>
      </c>
      <c r="W70">
        <f>HYPERLINK("https://klasma.github.io/Logging_0580/klagomålsmail/A 3397-2023 FSC-klagomål mail.docx", "A 3397-2023")</f>
        <v/>
      </c>
      <c r="X70">
        <f>HYPERLINK("https://klasma.github.io/Logging_0580/tillsyn/A 3397-2023 tillsynsbegäran.docx", "A 3397-2023")</f>
        <v/>
      </c>
      <c r="Y70">
        <f>HYPERLINK("https://klasma.github.io/Logging_0580/tillsynsmail/A 3397-2023 tillsynsbegäran mail.docx", "A 3397-2023")</f>
        <v/>
      </c>
    </row>
    <row r="71" ht="15" customHeight="1">
      <c r="A71" t="inlineStr">
        <is>
          <t>A 34881-2023</t>
        </is>
      </c>
      <c r="B71" s="1" t="n">
        <v>45140</v>
      </c>
      <c r="C71" s="1" t="n">
        <v>45974</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50471-2024</t>
        </is>
      </c>
      <c r="B72" s="1" t="n">
        <v>45601.47166666666</v>
      </c>
      <c r="C72" s="1" t="n">
        <v>45974</v>
      </c>
      <c r="D72" t="inlineStr">
        <is>
          <t>ÖSTERGÖTLANDS LÄN</t>
        </is>
      </c>
      <c r="E72" t="inlineStr">
        <is>
          <t>LINKÖPING</t>
        </is>
      </c>
      <c r="F72" t="inlineStr">
        <is>
          <t>Övriga Aktiebolag</t>
        </is>
      </c>
      <c r="G72" t="n">
        <v>2</v>
      </c>
      <c r="H72" t="n">
        <v>0</v>
      </c>
      <c r="I72" t="n">
        <v>1</v>
      </c>
      <c r="J72" t="n">
        <v>0</v>
      </c>
      <c r="K72" t="n">
        <v>0</v>
      </c>
      <c r="L72" t="n">
        <v>0</v>
      </c>
      <c r="M72" t="n">
        <v>0</v>
      </c>
      <c r="N72" t="n">
        <v>0</v>
      </c>
      <c r="O72" t="n">
        <v>0</v>
      </c>
      <c r="P72" t="n">
        <v>0</v>
      </c>
      <c r="Q72" t="n">
        <v>1</v>
      </c>
      <c r="R72" s="2" t="inlineStr">
        <is>
          <t>Västlig hakmossa</t>
        </is>
      </c>
      <c r="S72">
        <f>HYPERLINK("https://klasma.github.io/Logging_0580/artfynd/A 50471-2024 artfynd.xlsx", "A 50471-2024")</f>
        <v/>
      </c>
      <c r="T72">
        <f>HYPERLINK("https://klasma.github.io/Logging_0580/kartor/A 50471-2024 karta.png", "A 50471-2024")</f>
        <v/>
      </c>
      <c r="V72">
        <f>HYPERLINK("https://klasma.github.io/Logging_0580/klagomål/A 50471-2024 FSC-klagomål.docx", "A 50471-2024")</f>
        <v/>
      </c>
      <c r="W72">
        <f>HYPERLINK("https://klasma.github.io/Logging_0580/klagomålsmail/A 50471-2024 FSC-klagomål mail.docx", "A 50471-2024")</f>
        <v/>
      </c>
      <c r="X72">
        <f>HYPERLINK("https://klasma.github.io/Logging_0580/tillsyn/A 50471-2024 tillsynsbegäran.docx", "A 50471-2024")</f>
        <v/>
      </c>
      <c r="Y72">
        <f>HYPERLINK("https://klasma.github.io/Logging_0580/tillsynsmail/A 50471-2024 tillsynsbegäran mail.docx", "A 50471-2024")</f>
        <v/>
      </c>
    </row>
    <row r="73" ht="15" customHeight="1">
      <c r="A73" t="inlineStr">
        <is>
          <t>A 17389-2021</t>
        </is>
      </c>
      <c r="B73" s="1" t="n">
        <v>44298.96792824074</v>
      </c>
      <c r="C73" s="1" t="n">
        <v>45974</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22526-2025</t>
        </is>
      </c>
      <c r="B74" s="1" t="n">
        <v>45786.78096064815</v>
      </c>
      <c r="C74" s="1" t="n">
        <v>45974</v>
      </c>
      <c r="D74" t="inlineStr">
        <is>
          <t>ÖSTERGÖTLANDS LÄN</t>
        </is>
      </c>
      <c r="E74" t="inlineStr">
        <is>
          <t>LINKÖPING</t>
        </is>
      </c>
      <c r="G74" t="n">
        <v>1.8</v>
      </c>
      <c r="H74" t="n">
        <v>1</v>
      </c>
      <c r="I74" t="n">
        <v>0</v>
      </c>
      <c r="J74" t="n">
        <v>1</v>
      </c>
      <c r="K74" t="n">
        <v>0</v>
      </c>
      <c r="L74" t="n">
        <v>0</v>
      </c>
      <c r="M74" t="n">
        <v>0</v>
      </c>
      <c r="N74" t="n">
        <v>0</v>
      </c>
      <c r="O74" t="n">
        <v>1</v>
      </c>
      <c r="P74" t="n">
        <v>0</v>
      </c>
      <c r="Q74" t="n">
        <v>1</v>
      </c>
      <c r="R74" s="2" t="inlineStr">
        <is>
          <t>Röd skogslilja</t>
        </is>
      </c>
      <c r="S74">
        <f>HYPERLINK("https://klasma.github.io/Logging_0580/artfynd/A 22526-2025 artfynd.xlsx", "A 22526-2025")</f>
        <v/>
      </c>
      <c r="T74">
        <f>HYPERLINK("https://klasma.github.io/Logging_0580/kartor/A 22526-2025 karta.png", "A 22526-2025")</f>
        <v/>
      </c>
      <c r="V74">
        <f>HYPERLINK("https://klasma.github.io/Logging_0580/klagomål/A 22526-2025 FSC-klagomål.docx", "A 22526-2025")</f>
        <v/>
      </c>
      <c r="W74">
        <f>HYPERLINK("https://klasma.github.io/Logging_0580/klagomålsmail/A 22526-2025 FSC-klagomål mail.docx", "A 22526-2025")</f>
        <v/>
      </c>
      <c r="X74">
        <f>HYPERLINK("https://klasma.github.io/Logging_0580/tillsyn/A 22526-2025 tillsynsbegäran.docx", "A 22526-2025")</f>
        <v/>
      </c>
      <c r="Y74">
        <f>HYPERLINK("https://klasma.github.io/Logging_0580/tillsynsmail/A 22526-2025 tillsynsbegäran mail.docx", "A 22526-2025")</f>
        <v/>
      </c>
    </row>
    <row r="75" ht="15" customHeight="1">
      <c r="A75" t="inlineStr">
        <is>
          <t>A 56128-2022</t>
        </is>
      </c>
      <c r="B75" s="1" t="n">
        <v>44889</v>
      </c>
      <c r="C75" s="1" t="n">
        <v>45974</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45974</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48347-2025</t>
        </is>
      </c>
      <c r="B77" s="1" t="n">
        <v>45932</v>
      </c>
      <c r="C77" s="1" t="n">
        <v>45974</v>
      </c>
      <c r="D77" t="inlineStr">
        <is>
          <t>ÖSTERGÖTLANDS LÄN</t>
        </is>
      </c>
      <c r="E77" t="inlineStr">
        <is>
          <t>LINKÖPING</t>
        </is>
      </c>
      <c r="F77" t="inlineStr">
        <is>
          <t>Övriga Aktiebolag</t>
        </is>
      </c>
      <c r="G77" t="n">
        <v>0.9</v>
      </c>
      <c r="H77" t="n">
        <v>0</v>
      </c>
      <c r="I77" t="n">
        <v>0</v>
      </c>
      <c r="J77" t="n">
        <v>1</v>
      </c>
      <c r="K77" t="n">
        <v>0</v>
      </c>
      <c r="L77" t="n">
        <v>0</v>
      </c>
      <c r="M77" t="n">
        <v>0</v>
      </c>
      <c r="N77" t="n">
        <v>0</v>
      </c>
      <c r="O77" t="n">
        <v>1</v>
      </c>
      <c r="P77" t="n">
        <v>0</v>
      </c>
      <c r="Q77" t="n">
        <v>1</v>
      </c>
      <c r="R77" s="2" t="inlineStr">
        <is>
          <t>Igelkott</t>
        </is>
      </c>
      <c r="S77">
        <f>HYPERLINK("https://klasma.github.io/Logging_0580/artfynd/A 48347-2025 artfynd.xlsx", "A 48347-2025")</f>
        <v/>
      </c>
      <c r="T77">
        <f>HYPERLINK("https://klasma.github.io/Logging_0580/kartor/A 48347-2025 karta.png", "A 48347-2025")</f>
        <v/>
      </c>
      <c r="V77">
        <f>HYPERLINK("https://klasma.github.io/Logging_0580/klagomål/A 48347-2025 FSC-klagomål.docx", "A 48347-2025")</f>
        <v/>
      </c>
      <c r="W77">
        <f>HYPERLINK("https://klasma.github.io/Logging_0580/klagomålsmail/A 48347-2025 FSC-klagomål mail.docx", "A 48347-2025")</f>
        <v/>
      </c>
      <c r="X77">
        <f>HYPERLINK("https://klasma.github.io/Logging_0580/tillsyn/A 48347-2025 tillsynsbegäran.docx", "A 48347-2025")</f>
        <v/>
      </c>
      <c r="Y77">
        <f>HYPERLINK("https://klasma.github.io/Logging_0580/tillsynsmail/A 48347-2025 tillsynsbegäran mail.docx", "A 48347-2025")</f>
        <v/>
      </c>
    </row>
    <row r="78" ht="15" customHeight="1">
      <c r="A78" t="inlineStr">
        <is>
          <t>A 48353-2025</t>
        </is>
      </c>
      <c r="B78" s="1" t="n">
        <v>45932</v>
      </c>
      <c r="C78" s="1" t="n">
        <v>45974</v>
      </c>
      <c r="D78" t="inlineStr">
        <is>
          <t>ÖSTERGÖTLANDS LÄN</t>
        </is>
      </c>
      <c r="E78" t="inlineStr">
        <is>
          <t>LINKÖPING</t>
        </is>
      </c>
      <c r="F78" t="inlineStr">
        <is>
          <t>Övriga Aktiebolag</t>
        </is>
      </c>
      <c r="G78" t="n">
        <v>4.5</v>
      </c>
      <c r="H78" t="n">
        <v>1</v>
      </c>
      <c r="I78" t="n">
        <v>0</v>
      </c>
      <c r="J78" t="n">
        <v>1</v>
      </c>
      <c r="K78" t="n">
        <v>0</v>
      </c>
      <c r="L78" t="n">
        <v>0</v>
      </c>
      <c r="M78" t="n">
        <v>0</v>
      </c>
      <c r="N78" t="n">
        <v>0</v>
      </c>
      <c r="O78" t="n">
        <v>1</v>
      </c>
      <c r="P78" t="n">
        <v>0</v>
      </c>
      <c r="Q78" t="n">
        <v>1</v>
      </c>
      <c r="R78" s="2" t="inlineStr">
        <is>
          <t>Entita</t>
        </is>
      </c>
      <c r="S78">
        <f>HYPERLINK("https://klasma.github.io/Logging_0580/artfynd/A 48353-2025 artfynd.xlsx", "A 48353-2025")</f>
        <v/>
      </c>
      <c r="T78">
        <f>HYPERLINK("https://klasma.github.io/Logging_0580/kartor/A 48353-2025 karta.png", "A 48353-2025")</f>
        <v/>
      </c>
      <c r="V78">
        <f>HYPERLINK("https://klasma.github.io/Logging_0580/klagomål/A 48353-2025 FSC-klagomål.docx", "A 48353-2025")</f>
        <v/>
      </c>
      <c r="W78">
        <f>HYPERLINK("https://klasma.github.io/Logging_0580/klagomålsmail/A 48353-2025 FSC-klagomål mail.docx", "A 48353-2025")</f>
        <v/>
      </c>
      <c r="X78">
        <f>HYPERLINK("https://klasma.github.io/Logging_0580/tillsyn/A 48353-2025 tillsynsbegäran.docx", "A 48353-2025")</f>
        <v/>
      </c>
      <c r="Y78">
        <f>HYPERLINK("https://klasma.github.io/Logging_0580/tillsynsmail/A 48353-2025 tillsynsbegäran mail.docx", "A 48353-2025")</f>
        <v/>
      </c>
      <c r="Z78">
        <f>HYPERLINK("https://klasma.github.io/Logging_0580/fåglar/A 48353-2025 prioriterade fågelarter.docx", "A 48353-2025")</f>
        <v/>
      </c>
    </row>
    <row r="79" ht="15" customHeight="1">
      <c r="A79" t="inlineStr">
        <is>
          <t>A 48273-2025</t>
        </is>
      </c>
      <c r="B79" s="1" t="n">
        <v>45932</v>
      </c>
      <c r="C79" s="1" t="n">
        <v>45974</v>
      </c>
      <c r="D79" t="inlineStr">
        <is>
          <t>ÖSTERGÖTLANDS LÄN</t>
        </is>
      </c>
      <c r="E79" t="inlineStr">
        <is>
          <t>LINKÖPING</t>
        </is>
      </c>
      <c r="F79" t="inlineStr">
        <is>
          <t>Övriga Aktiebolag</t>
        </is>
      </c>
      <c r="G79" t="n">
        <v>4.6</v>
      </c>
      <c r="H79" t="n">
        <v>0</v>
      </c>
      <c r="I79" t="n">
        <v>0</v>
      </c>
      <c r="J79" t="n">
        <v>1</v>
      </c>
      <c r="K79" t="n">
        <v>0</v>
      </c>
      <c r="L79" t="n">
        <v>0</v>
      </c>
      <c r="M79" t="n">
        <v>0</v>
      </c>
      <c r="N79" t="n">
        <v>0</v>
      </c>
      <c r="O79" t="n">
        <v>1</v>
      </c>
      <c r="P79" t="n">
        <v>0</v>
      </c>
      <c r="Q79" t="n">
        <v>1</v>
      </c>
      <c r="R79" s="2" t="inlineStr">
        <is>
          <t>Barrviolspindling</t>
        </is>
      </c>
      <c r="S79">
        <f>HYPERLINK("https://klasma.github.io/Logging_0580/artfynd/A 48273-2025 artfynd.xlsx", "A 48273-2025")</f>
        <v/>
      </c>
      <c r="T79">
        <f>HYPERLINK("https://klasma.github.io/Logging_0580/kartor/A 48273-2025 karta.png", "A 48273-2025")</f>
        <v/>
      </c>
      <c r="V79">
        <f>HYPERLINK("https://klasma.github.io/Logging_0580/klagomål/A 48273-2025 FSC-klagomål.docx", "A 48273-2025")</f>
        <v/>
      </c>
      <c r="W79">
        <f>HYPERLINK("https://klasma.github.io/Logging_0580/klagomålsmail/A 48273-2025 FSC-klagomål mail.docx", "A 48273-2025")</f>
        <v/>
      </c>
      <c r="X79">
        <f>HYPERLINK("https://klasma.github.io/Logging_0580/tillsyn/A 48273-2025 tillsynsbegäran.docx", "A 48273-2025")</f>
        <v/>
      </c>
      <c r="Y79">
        <f>HYPERLINK("https://klasma.github.io/Logging_0580/tillsynsmail/A 48273-2025 tillsynsbegäran mail.docx", "A 48273-2025")</f>
        <v/>
      </c>
    </row>
    <row r="80" ht="15" customHeight="1">
      <c r="A80" t="inlineStr">
        <is>
          <t>A 48298-2025</t>
        </is>
      </c>
      <c r="B80" s="1" t="n">
        <v>45932</v>
      </c>
      <c r="C80" s="1" t="n">
        <v>45974</v>
      </c>
      <c r="D80" t="inlineStr">
        <is>
          <t>ÖSTERGÖTLANDS LÄN</t>
        </is>
      </c>
      <c r="E80" t="inlineStr">
        <is>
          <t>LINKÖPING</t>
        </is>
      </c>
      <c r="F80" t="inlineStr">
        <is>
          <t>Övriga Aktiebolag</t>
        </is>
      </c>
      <c r="G80" t="n">
        <v>1.7</v>
      </c>
      <c r="H80" t="n">
        <v>0</v>
      </c>
      <c r="I80" t="n">
        <v>1</v>
      </c>
      <c r="J80" t="n">
        <v>0</v>
      </c>
      <c r="K80" t="n">
        <v>0</v>
      </c>
      <c r="L80" t="n">
        <v>0</v>
      </c>
      <c r="M80" t="n">
        <v>0</v>
      </c>
      <c r="N80" t="n">
        <v>0</v>
      </c>
      <c r="O80" t="n">
        <v>0</v>
      </c>
      <c r="P80" t="n">
        <v>0</v>
      </c>
      <c r="Q80" t="n">
        <v>1</v>
      </c>
      <c r="R80" s="2" t="inlineStr">
        <is>
          <t>Västlig hakmossa</t>
        </is>
      </c>
      <c r="S80">
        <f>HYPERLINK("https://klasma.github.io/Logging_0580/artfynd/A 48298-2025 artfynd.xlsx", "A 48298-2025")</f>
        <v/>
      </c>
      <c r="T80">
        <f>HYPERLINK("https://klasma.github.io/Logging_0580/kartor/A 48298-2025 karta.png", "A 48298-2025")</f>
        <v/>
      </c>
      <c r="V80">
        <f>HYPERLINK("https://klasma.github.io/Logging_0580/klagomål/A 48298-2025 FSC-klagomål.docx", "A 48298-2025")</f>
        <v/>
      </c>
      <c r="W80">
        <f>HYPERLINK("https://klasma.github.io/Logging_0580/klagomålsmail/A 48298-2025 FSC-klagomål mail.docx", "A 48298-2025")</f>
        <v/>
      </c>
      <c r="X80">
        <f>HYPERLINK("https://klasma.github.io/Logging_0580/tillsyn/A 48298-2025 tillsynsbegäran.docx", "A 48298-2025")</f>
        <v/>
      </c>
      <c r="Y80">
        <f>HYPERLINK("https://klasma.github.io/Logging_0580/tillsynsmail/A 48298-2025 tillsynsbegäran mail.docx", "A 48298-2025")</f>
        <v/>
      </c>
    </row>
    <row r="81" ht="15" customHeight="1">
      <c r="A81" t="inlineStr">
        <is>
          <t>A 36723-2023</t>
        </is>
      </c>
      <c r="B81" s="1" t="n">
        <v>45153</v>
      </c>
      <c r="C81" s="1" t="n">
        <v>45974</v>
      </c>
      <c r="D81" t="inlineStr">
        <is>
          <t>ÖSTERGÖTLANDS LÄN</t>
        </is>
      </c>
      <c r="E81" t="inlineStr">
        <is>
          <t>LINKÖPING</t>
        </is>
      </c>
      <c r="F81" t="inlineStr">
        <is>
          <t>Allmännings- och besparingsskogar</t>
        </is>
      </c>
      <c r="G81" t="n">
        <v>9.9</v>
      </c>
      <c r="H81" t="n">
        <v>0</v>
      </c>
      <c r="I81" t="n">
        <v>0</v>
      </c>
      <c r="J81" t="n">
        <v>0</v>
      </c>
      <c r="K81" t="n">
        <v>1</v>
      </c>
      <c r="L81" t="n">
        <v>0</v>
      </c>
      <c r="M81" t="n">
        <v>0</v>
      </c>
      <c r="N81" t="n">
        <v>0</v>
      </c>
      <c r="O81" t="n">
        <v>1</v>
      </c>
      <c r="P81" t="n">
        <v>1</v>
      </c>
      <c r="Q81" t="n">
        <v>1</v>
      </c>
      <c r="R81" s="2" t="inlineStr">
        <is>
          <t>Bitter taggsvamp</t>
        </is>
      </c>
      <c r="S81">
        <f>HYPERLINK("https://klasma.github.io/Logging_0580/artfynd/A 36723-2023 artfynd.xlsx", "A 36723-2023")</f>
        <v/>
      </c>
      <c r="T81">
        <f>HYPERLINK("https://klasma.github.io/Logging_0580/kartor/A 36723-2023 karta.png", "A 36723-2023")</f>
        <v/>
      </c>
      <c r="V81">
        <f>HYPERLINK("https://klasma.github.io/Logging_0580/klagomål/A 36723-2023 FSC-klagomål.docx", "A 36723-2023")</f>
        <v/>
      </c>
      <c r="W81">
        <f>HYPERLINK("https://klasma.github.io/Logging_0580/klagomålsmail/A 36723-2023 FSC-klagomål mail.docx", "A 36723-2023")</f>
        <v/>
      </c>
      <c r="X81">
        <f>HYPERLINK("https://klasma.github.io/Logging_0580/tillsyn/A 36723-2023 tillsynsbegäran.docx", "A 36723-2023")</f>
        <v/>
      </c>
      <c r="Y81">
        <f>HYPERLINK("https://klasma.github.io/Logging_0580/tillsynsmail/A 36723-2023 tillsynsbegäran mail.docx", "A 36723-2023")</f>
        <v/>
      </c>
    </row>
    <row r="82" ht="15" customHeight="1">
      <c r="A82" t="inlineStr">
        <is>
          <t>A 54835-2023</t>
        </is>
      </c>
      <c r="B82" s="1" t="n">
        <v>45236</v>
      </c>
      <c r="C82" s="1" t="n">
        <v>45974</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126-2024</t>
        </is>
      </c>
      <c r="B83" s="1" t="n">
        <v>45294</v>
      </c>
      <c r="C83" s="1" t="n">
        <v>45974</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43989-2025</t>
        </is>
      </c>
      <c r="B84" s="1" t="n">
        <v>45915.44128472222</v>
      </c>
      <c r="C84" s="1" t="n">
        <v>45974</v>
      </c>
      <c r="D84" t="inlineStr">
        <is>
          <t>ÖSTERGÖTLANDS LÄN</t>
        </is>
      </c>
      <c r="E84" t="inlineStr">
        <is>
          <t>LINKÖPING</t>
        </is>
      </c>
      <c r="F84" t="inlineStr">
        <is>
          <t>Allmännings- och besparingsskogar</t>
        </is>
      </c>
      <c r="G84" t="n">
        <v>3.5</v>
      </c>
      <c r="H84" t="n">
        <v>0</v>
      </c>
      <c r="I84" t="n">
        <v>0</v>
      </c>
      <c r="J84" t="n">
        <v>1</v>
      </c>
      <c r="K84" t="n">
        <v>0</v>
      </c>
      <c r="L84" t="n">
        <v>0</v>
      </c>
      <c r="M84" t="n">
        <v>0</v>
      </c>
      <c r="N84" t="n">
        <v>0</v>
      </c>
      <c r="O84" t="n">
        <v>1</v>
      </c>
      <c r="P84" t="n">
        <v>0</v>
      </c>
      <c r="Q84" t="n">
        <v>1</v>
      </c>
      <c r="R84" s="2" t="inlineStr">
        <is>
          <t>Kavelhirs</t>
        </is>
      </c>
      <c r="S84">
        <f>HYPERLINK("https://klasma.github.io/Logging_0580/artfynd/A 43989-2025 artfynd.xlsx", "A 43989-2025")</f>
        <v/>
      </c>
      <c r="T84">
        <f>HYPERLINK("https://klasma.github.io/Logging_0580/kartor/A 43989-2025 karta.png", "A 43989-2025")</f>
        <v/>
      </c>
      <c r="V84">
        <f>HYPERLINK("https://klasma.github.io/Logging_0580/klagomål/A 43989-2025 FSC-klagomål.docx", "A 43989-2025")</f>
        <v/>
      </c>
      <c r="W84">
        <f>HYPERLINK("https://klasma.github.io/Logging_0580/klagomålsmail/A 43989-2025 FSC-klagomål mail.docx", "A 43989-2025")</f>
        <v/>
      </c>
      <c r="X84">
        <f>HYPERLINK("https://klasma.github.io/Logging_0580/tillsyn/A 43989-2025 tillsynsbegäran.docx", "A 43989-2025")</f>
        <v/>
      </c>
      <c r="Y84">
        <f>HYPERLINK("https://klasma.github.io/Logging_0580/tillsynsmail/A 43989-2025 tillsynsbegäran mail.docx", "A 43989-2025")</f>
        <v/>
      </c>
    </row>
    <row r="85" ht="15" customHeight="1">
      <c r="A85" t="inlineStr">
        <is>
          <t>A 44760-2025</t>
        </is>
      </c>
      <c r="B85" s="1" t="n">
        <v>45917.71873842592</v>
      </c>
      <c r="C85" s="1" t="n">
        <v>45974</v>
      </c>
      <c r="D85" t="inlineStr">
        <is>
          <t>ÖSTERGÖTLANDS LÄN</t>
        </is>
      </c>
      <c r="E85" t="inlineStr">
        <is>
          <t>LINKÖPING</t>
        </is>
      </c>
      <c r="G85" t="n">
        <v>0.9</v>
      </c>
      <c r="H85" t="n">
        <v>0</v>
      </c>
      <c r="I85" t="n">
        <v>0</v>
      </c>
      <c r="J85" t="n">
        <v>1</v>
      </c>
      <c r="K85" t="n">
        <v>0</v>
      </c>
      <c r="L85" t="n">
        <v>0</v>
      </c>
      <c r="M85" t="n">
        <v>0</v>
      </c>
      <c r="N85" t="n">
        <v>0</v>
      </c>
      <c r="O85" t="n">
        <v>1</v>
      </c>
      <c r="P85" t="n">
        <v>0</v>
      </c>
      <c r="Q85" t="n">
        <v>1</v>
      </c>
      <c r="R85" s="2" t="inlineStr">
        <is>
          <t>Tallticka</t>
        </is>
      </c>
      <c r="S85">
        <f>HYPERLINK("https://klasma.github.io/Logging_0580/artfynd/A 44760-2025 artfynd.xlsx", "A 44760-2025")</f>
        <v/>
      </c>
      <c r="T85">
        <f>HYPERLINK("https://klasma.github.io/Logging_0580/kartor/A 44760-2025 karta.png", "A 44760-2025")</f>
        <v/>
      </c>
      <c r="V85">
        <f>HYPERLINK("https://klasma.github.io/Logging_0580/klagomål/A 44760-2025 FSC-klagomål.docx", "A 44760-2025")</f>
        <v/>
      </c>
      <c r="W85">
        <f>HYPERLINK("https://klasma.github.io/Logging_0580/klagomålsmail/A 44760-2025 FSC-klagomål mail.docx", "A 44760-2025")</f>
        <v/>
      </c>
      <c r="X85">
        <f>HYPERLINK("https://klasma.github.io/Logging_0580/tillsyn/A 44760-2025 tillsynsbegäran.docx", "A 44760-2025")</f>
        <v/>
      </c>
      <c r="Y85">
        <f>HYPERLINK("https://klasma.github.io/Logging_0580/tillsynsmail/A 44760-2025 tillsynsbegäran mail.docx", "A 44760-2025")</f>
        <v/>
      </c>
    </row>
    <row r="86" ht="15" customHeight="1">
      <c r="A86" t="inlineStr">
        <is>
          <t>A 50034-2025</t>
        </is>
      </c>
      <c r="B86" s="1" t="n">
        <v>45941</v>
      </c>
      <c r="C86" s="1" t="n">
        <v>45974</v>
      </c>
      <c r="D86" t="inlineStr">
        <is>
          <t>ÖSTERGÖTLANDS LÄN</t>
        </is>
      </c>
      <c r="E86" t="inlineStr">
        <is>
          <t>LINKÖPING</t>
        </is>
      </c>
      <c r="G86" t="n">
        <v>6.2</v>
      </c>
      <c r="H86" t="n">
        <v>0</v>
      </c>
      <c r="I86" t="n">
        <v>0</v>
      </c>
      <c r="J86" t="n">
        <v>0</v>
      </c>
      <c r="K86" t="n">
        <v>0</v>
      </c>
      <c r="L86" t="n">
        <v>0</v>
      </c>
      <c r="M86" t="n">
        <v>1</v>
      </c>
      <c r="N86" t="n">
        <v>0</v>
      </c>
      <c r="O86" t="n">
        <v>1</v>
      </c>
      <c r="P86" t="n">
        <v>1</v>
      </c>
      <c r="Q86" t="n">
        <v>1</v>
      </c>
      <c r="R86" s="2" t="inlineStr">
        <is>
          <t>Skogsalm</t>
        </is>
      </c>
      <c r="S86">
        <f>HYPERLINK("https://klasma.github.io/Logging_0580/artfynd/A 50034-2025 artfynd.xlsx", "A 50034-2025")</f>
        <v/>
      </c>
      <c r="T86">
        <f>HYPERLINK("https://klasma.github.io/Logging_0580/kartor/A 50034-2025 karta.png", "A 50034-2025")</f>
        <v/>
      </c>
      <c r="V86">
        <f>HYPERLINK("https://klasma.github.io/Logging_0580/klagomål/A 50034-2025 FSC-klagomål.docx", "A 50034-2025")</f>
        <v/>
      </c>
      <c r="W86">
        <f>HYPERLINK("https://klasma.github.io/Logging_0580/klagomålsmail/A 50034-2025 FSC-klagomål mail.docx", "A 50034-2025")</f>
        <v/>
      </c>
      <c r="X86">
        <f>HYPERLINK("https://klasma.github.io/Logging_0580/tillsyn/A 50034-2025 tillsynsbegäran.docx", "A 50034-2025")</f>
        <v/>
      </c>
      <c r="Y86">
        <f>HYPERLINK("https://klasma.github.io/Logging_0580/tillsynsmail/A 50034-2025 tillsynsbegäran mail.docx", "A 50034-2025")</f>
        <v/>
      </c>
    </row>
    <row r="87" ht="15" customHeight="1">
      <c r="A87" t="inlineStr">
        <is>
          <t>A 56112-2025</t>
        </is>
      </c>
      <c r="B87" s="1" t="n">
        <v>45973.73625</v>
      </c>
      <c r="C87" s="1" t="n">
        <v>45974</v>
      </c>
      <c r="D87" t="inlineStr">
        <is>
          <t>ÖSTERGÖTLANDS LÄN</t>
        </is>
      </c>
      <c r="E87" t="inlineStr">
        <is>
          <t>LINKÖPING</t>
        </is>
      </c>
      <c r="G87" t="n">
        <v>0.6</v>
      </c>
      <c r="H87" t="n">
        <v>0</v>
      </c>
      <c r="I87" t="n">
        <v>0</v>
      </c>
      <c r="J87" t="n">
        <v>1</v>
      </c>
      <c r="K87" t="n">
        <v>0</v>
      </c>
      <c r="L87" t="n">
        <v>0</v>
      </c>
      <c r="M87" t="n">
        <v>0</v>
      </c>
      <c r="N87" t="n">
        <v>0</v>
      </c>
      <c r="O87" t="n">
        <v>1</v>
      </c>
      <c r="P87" t="n">
        <v>0</v>
      </c>
      <c r="Q87" t="n">
        <v>1</v>
      </c>
      <c r="R87" s="2" t="inlineStr">
        <is>
          <t>Solvända</t>
        </is>
      </c>
      <c r="S87">
        <f>HYPERLINK("https://klasma.github.io/Logging_0580/artfynd/A 56112-2025 artfynd.xlsx", "A 56112-2025")</f>
        <v/>
      </c>
      <c r="T87">
        <f>HYPERLINK("https://klasma.github.io/Logging_0580/kartor/A 56112-2025 karta.png", "A 56112-2025")</f>
        <v/>
      </c>
      <c r="V87">
        <f>HYPERLINK("https://klasma.github.io/Logging_0580/klagomål/A 56112-2025 FSC-klagomål.docx", "A 56112-2025")</f>
        <v/>
      </c>
      <c r="W87">
        <f>HYPERLINK("https://klasma.github.io/Logging_0580/klagomålsmail/A 56112-2025 FSC-klagomål mail.docx", "A 56112-2025")</f>
        <v/>
      </c>
      <c r="X87">
        <f>HYPERLINK("https://klasma.github.io/Logging_0580/tillsyn/A 56112-2025 tillsynsbegäran.docx", "A 56112-2025")</f>
        <v/>
      </c>
      <c r="Y87">
        <f>HYPERLINK("https://klasma.github.io/Logging_0580/tillsynsmail/A 56112-2025 tillsynsbegäran mail.docx", "A 56112-2025")</f>
        <v/>
      </c>
    </row>
    <row r="88" ht="15" customHeight="1">
      <c r="A88" t="inlineStr">
        <is>
          <t>A 38881-2021</t>
        </is>
      </c>
      <c r="B88" s="1" t="n">
        <v>44411.46893518518</v>
      </c>
      <c r="C88" s="1" t="n">
        <v>45974</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45974</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5008-2021</t>
        </is>
      </c>
      <c r="B90" s="1" t="n">
        <v>44228</v>
      </c>
      <c r="C90" s="1" t="n">
        <v>45974</v>
      </c>
      <c r="D90" t="inlineStr">
        <is>
          <t>ÖSTERGÖTLANDS LÄN</t>
        </is>
      </c>
      <c r="E90" t="inlineStr">
        <is>
          <t>LINKÖPING</t>
        </is>
      </c>
      <c r="F90" t="inlineStr">
        <is>
          <t>Övriga Aktiebolag</t>
        </is>
      </c>
      <c r="G90" t="n">
        <v>0.3</v>
      </c>
      <c r="H90" t="n">
        <v>0</v>
      </c>
      <c r="I90" t="n">
        <v>0</v>
      </c>
      <c r="J90" t="n">
        <v>0</v>
      </c>
      <c r="K90" t="n">
        <v>0</v>
      </c>
      <c r="L90" t="n">
        <v>0</v>
      </c>
      <c r="M90" t="n">
        <v>0</v>
      </c>
      <c r="N90" t="n">
        <v>0</v>
      </c>
      <c r="O90" t="n">
        <v>0</v>
      </c>
      <c r="P90" t="n">
        <v>0</v>
      </c>
      <c r="Q90" t="n">
        <v>0</v>
      </c>
      <c r="R90" s="2" t="inlineStr"/>
    </row>
    <row r="91" ht="15" customHeight="1">
      <c r="A91" t="inlineStr">
        <is>
          <t>A 56239-2021</t>
        </is>
      </c>
      <c r="B91" s="1" t="n">
        <v>44478</v>
      </c>
      <c r="C91" s="1" t="n">
        <v>45974</v>
      </c>
      <c r="D91" t="inlineStr">
        <is>
          <t>ÖSTERGÖTLANDS LÄN</t>
        </is>
      </c>
      <c r="E91" t="inlineStr">
        <is>
          <t>LINKÖPING</t>
        </is>
      </c>
      <c r="F91" t="inlineStr">
        <is>
          <t>Övriga Aktiebolag</t>
        </is>
      </c>
      <c r="G91" t="n">
        <v>3</v>
      </c>
      <c r="H91" t="n">
        <v>0</v>
      </c>
      <c r="I91" t="n">
        <v>0</v>
      </c>
      <c r="J91" t="n">
        <v>0</v>
      </c>
      <c r="K91" t="n">
        <v>0</v>
      </c>
      <c r="L91" t="n">
        <v>0</v>
      </c>
      <c r="M91" t="n">
        <v>0</v>
      </c>
      <c r="N91" t="n">
        <v>0</v>
      </c>
      <c r="O91" t="n">
        <v>0</v>
      </c>
      <c r="P91" t="n">
        <v>0</v>
      </c>
      <c r="Q91" t="n">
        <v>0</v>
      </c>
      <c r="R91" s="2" t="inlineStr"/>
    </row>
    <row r="92" ht="15" customHeight="1">
      <c r="A92" t="inlineStr">
        <is>
          <t>A 7289-2021</t>
        </is>
      </c>
      <c r="B92" s="1" t="n">
        <v>44238</v>
      </c>
      <c r="C92" s="1" t="n">
        <v>45974</v>
      </c>
      <c r="D92" t="inlineStr">
        <is>
          <t>ÖSTERGÖTLANDS LÄN</t>
        </is>
      </c>
      <c r="E92" t="inlineStr">
        <is>
          <t>LINKÖPING</t>
        </is>
      </c>
      <c r="G92" t="n">
        <v>0.7</v>
      </c>
      <c r="H92" t="n">
        <v>0</v>
      </c>
      <c r="I92" t="n">
        <v>0</v>
      </c>
      <c r="J92" t="n">
        <v>0</v>
      </c>
      <c r="K92" t="n">
        <v>0</v>
      </c>
      <c r="L92" t="n">
        <v>0</v>
      </c>
      <c r="M92" t="n">
        <v>0</v>
      </c>
      <c r="N92" t="n">
        <v>0</v>
      </c>
      <c r="O92" t="n">
        <v>0</v>
      </c>
      <c r="P92" t="n">
        <v>0</v>
      </c>
      <c r="Q92" t="n">
        <v>0</v>
      </c>
      <c r="R92" s="2" t="inlineStr"/>
    </row>
    <row r="93" ht="15" customHeight="1">
      <c r="A93" t="inlineStr">
        <is>
          <t>A 6958-2021</t>
        </is>
      </c>
      <c r="B93" s="1" t="n">
        <v>44237</v>
      </c>
      <c r="C93" s="1" t="n">
        <v>45974</v>
      </c>
      <c r="D93" t="inlineStr">
        <is>
          <t>ÖSTERGÖTLANDS LÄN</t>
        </is>
      </c>
      <c r="E93" t="inlineStr">
        <is>
          <t>LINKÖPING</t>
        </is>
      </c>
      <c r="G93" t="n">
        <v>0.6</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45974</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67322-2021</t>
        </is>
      </c>
      <c r="B95" s="1" t="n">
        <v>44523</v>
      </c>
      <c r="C95" s="1" t="n">
        <v>45974</v>
      </c>
      <c r="D95" t="inlineStr">
        <is>
          <t>ÖSTERGÖTLANDS LÄN</t>
        </is>
      </c>
      <c r="E95" t="inlineStr">
        <is>
          <t>LINKÖPING</t>
        </is>
      </c>
      <c r="G95" t="n">
        <v>0.8</v>
      </c>
      <c r="H95" t="n">
        <v>0</v>
      </c>
      <c r="I95" t="n">
        <v>0</v>
      </c>
      <c r="J95" t="n">
        <v>0</v>
      </c>
      <c r="K95" t="n">
        <v>0</v>
      </c>
      <c r="L95" t="n">
        <v>0</v>
      </c>
      <c r="M95" t="n">
        <v>0</v>
      </c>
      <c r="N95" t="n">
        <v>0</v>
      </c>
      <c r="O95" t="n">
        <v>0</v>
      </c>
      <c r="P95" t="n">
        <v>0</v>
      </c>
      <c r="Q95" t="n">
        <v>0</v>
      </c>
      <c r="R95" s="2" t="inlineStr"/>
    </row>
    <row r="96" ht="15" customHeight="1">
      <c r="A96" t="inlineStr">
        <is>
          <t>A 7840-2022</t>
        </is>
      </c>
      <c r="B96" s="1" t="n">
        <v>44608</v>
      </c>
      <c r="C96" s="1" t="n">
        <v>45974</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40506-2021</t>
        </is>
      </c>
      <c r="B97" s="1" t="n">
        <v>44420</v>
      </c>
      <c r="C97" s="1" t="n">
        <v>45974</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45974</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45974</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30800-2022</t>
        </is>
      </c>
      <c r="B100" s="1" t="n">
        <v>44764.75119212963</v>
      </c>
      <c r="C100" s="1" t="n">
        <v>45974</v>
      </c>
      <c r="D100" t="inlineStr">
        <is>
          <t>ÖSTERGÖTLANDS LÄN</t>
        </is>
      </c>
      <c r="E100" t="inlineStr">
        <is>
          <t>LINKÖPING</t>
        </is>
      </c>
      <c r="G100" t="n">
        <v>0.9</v>
      </c>
      <c r="H100" t="n">
        <v>0</v>
      </c>
      <c r="I100" t="n">
        <v>0</v>
      </c>
      <c r="J100" t="n">
        <v>0</v>
      </c>
      <c r="K100" t="n">
        <v>0</v>
      </c>
      <c r="L100" t="n">
        <v>0</v>
      </c>
      <c r="M100" t="n">
        <v>0</v>
      </c>
      <c r="N100" t="n">
        <v>0</v>
      </c>
      <c r="O100" t="n">
        <v>0</v>
      </c>
      <c r="P100" t="n">
        <v>0</v>
      </c>
      <c r="Q100" t="n">
        <v>0</v>
      </c>
      <c r="R100" s="2" t="inlineStr"/>
    </row>
    <row r="101" ht="15" customHeight="1">
      <c r="A101" t="inlineStr">
        <is>
          <t>A 40635-2021</t>
        </is>
      </c>
      <c r="B101" s="1" t="n">
        <v>44420</v>
      </c>
      <c r="C101" s="1" t="n">
        <v>45974</v>
      </c>
      <c r="D101" t="inlineStr">
        <is>
          <t>ÖSTERGÖTLANDS LÄN</t>
        </is>
      </c>
      <c r="E101" t="inlineStr">
        <is>
          <t>LINKÖPING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49018-2022</t>
        </is>
      </c>
      <c r="B102" s="1" t="n">
        <v>44855</v>
      </c>
      <c r="C102" s="1" t="n">
        <v>45974</v>
      </c>
      <c r="D102" t="inlineStr">
        <is>
          <t>ÖSTERGÖTLANDS LÄN</t>
        </is>
      </c>
      <c r="E102" t="inlineStr">
        <is>
          <t>LINKÖPING</t>
        </is>
      </c>
      <c r="F102" t="inlineStr">
        <is>
          <t>Kommuner</t>
        </is>
      </c>
      <c r="G102" t="n">
        <v>0.4</v>
      </c>
      <c r="H102" t="n">
        <v>0</v>
      </c>
      <c r="I102" t="n">
        <v>0</v>
      </c>
      <c r="J102" t="n">
        <v>0</v>
      </c>
      <c r="K102" t="n">
        <v>0</v>
      </c>
      <c r="L102" t="n">
        <v>0</v>
      </c>
      <c r="M102" t="n">
        <v>0</v>
      </c>
      <c r="N102" t="n">
        <v>0</v>
      </c>
      <c r="O102" t="n">
        <v>0</v>
      </c>
      <c r="P102" t="n">
        <v>0</v>
      </c>
      <c r="Q102" t="n">
        <v>0</v>
      </c>
      <c r="R102" s="2" t="inlineStr"/>
    </row>
    <row r="103" ht="15" customHeight="1">
      <c r="A103" t="inlineStr">
        <is>
          <t>A 1581-2022</t>
        </is>
      </c>
      <c r="B103" s="1" t="n">
        <v>44573</v>
      </c>
      <c r="C103" s="1" t="n">
        <v>45974</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46234-2022</t>
        </is>
      </c>
      <c r="B104" s="1" t="n">
        <v>44846</v>
      </c>
      <c r="C104" s="1" t="n">
        <v>45974</v>
      </c>
      <c r="D104" t="inlineStr">
        <is>
          <t>ÖSTERGÖTLANDS LÄN</t>
        </is>
      </c>
      <c r="E104" t="inlineStr">
        <is>
          <t>LINKÖPING</t>
        </is>
      </c>
      <c r="G104" t="n">
        <v>3.3</v>
      </c>
      <c r="H104" t="n">
        <v>0</v>
      </c>
      <c r="I104" t="n">
        <v>0</v>
      </c>
      <c r="J104" t="n">
        <v>0</v>
      </c>
      <c r="K104" t="n">
        <v>0</v>
      </c>
      <c r="L104" t="n">
        <v>0</v>
      </c>
      <c r="M104" t="n">
        <v>0</v>
      </c>
      <c r="N104" t="n">
        <v>0</v>
      </c>
      <c r="O104" t="n">
        <v>0</v>
      </c>
      <c r="P104" t="n">
        <v>0</v>
      </c>
      <c r="Q104" t="n">
        <v>0</v>
      </c>
      <c r="R104" s="2" t="inlineStr"/>
    </row>
    <row r="105" ht="15" customHeight="1">
      <c r="A105" t="inlineStr">
        <is>
          <t>A 38961-2021</t>
        </is>
      </c>
      <c r="B105" s="1" t="n">
        <v>44411</v>
      </c>
      <c r="C105" s="1" t="n">
        <v>45974</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159-2022</t>
        </is>
      </c>
      <c r="B106" s="1" t="n">
        <v>44564</v>
      </c>
      <c r="C106" s="1" t="n">
        <v>45974</v>
      </c>
      <c r="D106" t="inlineStr">
        <is>
          <t>ÖSTERGÖTLANDS LÄN</t>
        </is>
      </c>
      <c r="E106" t="inlineStr">
        <is>
          <t>LINKÖPING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45974</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16715-2021</t>
        </is>
      </c>
      <c r="B108" s="1" t="n">
        <v>44294</v>
      </c>
      <c r="C108" s="1" t="n">
        <v>45974</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47462-2022</t>
        </is>
      </c>
      <c r="B109" s="1" t="n">
        <v>44853.62758101852</v>
      </c>
      <c r="C109" s="1" t="n">
        <v>45974</v>
      </c>
      <c r="D109" t="inlineStr">
        <is>
          <t>ÖSTERGÖTLANDS LÄN</t>
        </is>
      </c>
      <c r="E109" t="inlineStr">
        <is>
          <t>LINKÖPING</t>
        </is>
      </c>
      <c r="G109" t="n">
        <v>1.6</v>
      </c>
      <c r="H109" t="n">
        <v>0</v>
      </c>
      <c r="I109" t="n">
        <v>0</v>
      </c>
      <c r="J109" t="n">
        <v>0</v>
      </c>
      <c r="K109" t="n">
        <v>0</v>
      </c>
      <c r="L109" t="n">
        <v>0</v>
      </c>
      <c r="M109" t="n">
        <v>0</v>
      </c>
      <c r="N109" t="n">
        <v>0</v>
      </c>
      <c r="O109" t="n">
        <v>0</v>
      </c>
      <c r="P109" t="n">
        <v>0</v>
      </c>
      <c r="Q109" t="n">
        <v>0</v>
      </c>
      <c r="R109" s="2" t="inlineStr"/>
    </row>
    <row r="110" ht="15" customHeight="1">
      <c r="A110" t="inlineStr">
        <is>
          <t>A 32433-2022</t>
        </is>
      </c>
      <c r="B110" s="1" t="n">
        <v>44782.48431712963</v>
      </c>
      <c r="C110" s="1" t="n">
        <v>45974</v>
      </c>
      <c r="D110" t="inlineStr">
        <is>
          <t>ÖSTERGÖTLANDS LÄN</t>
        </is>
      </c>
      <c r="E110" t="inlineStr">
        <is>
          <t>LINKÖPING</t>
        </is>
      </c>
      <c r="G110" t="n">
        <v>11.3</v>
      </c>
      <c r="H110" t="n">
        <v>0</v>
      </c>
      <c r="I110" t="n">
        <v>0</v>
      </c>
      <c r="J110" t="n">
        <v>0</v>
      </c>
      <c r="K110" t="n">
        <v>0</v>
      </c>
      <c r="L110" t="n">
        <v>0</v>
      </c>
      <c r="M110" t="n">
        <v>0</v>
      </c>
      <c r="N110" t="n">
        <v>0</v>
      </c>
      <c r="O110" t="n">
        <v>0</v>
      </c>
      <c r="P110" t="n">
        <v>0</v>
      </c>
      <c r="Q110" t="n">
        <v>0</v>
      </c>
      <c r="R110" s="2" t="inlineStr"/>
    </row>
    <row r="111" ht="15" customHeight="1">
      <c r="A111" t="inlineStr">
        <is>
          <t>A 38143-2021</t>
        </is>
      </c>
      <c r="B111" s="1" t="n">
        <v>44405</v>
      </c>
      <c r="C111" s="1" t="n">
        <v>45974</v>
      </c>
      <c r="D111" t="inlineStr">
        <is>
          <t>ÖSTERGÖTLANDS LÄN</t>
        </is>
      </c>
      <c r="E111" t="inlineStr">
        <is>
          <t>LINKÖPING</t>
        </is>
      </c>
      <c r="G111" t="n">
        <v>4.1</v>
      </c>
      <c r="H111" t="n">
        <v>0</v>
      </c>
      <c r="I111" t="n">
        <v>0</v>
      </c>
      <c r="J111" t="n">
        <v>0</v>
      </c>
      <c r="K111" t="n">
        <v>0</v>
      </c>
      <c r="L111" t="n">
        <v>0</v>
      </c>
      <c r="M111" t="n">
        <v>0</v>
      </c>
      <c r="N111" t="n">
        <v>0</v>
      </c>
      <c r="O111" t="n">
        <v>0</v>
      </c>
      <c r="P111" t="n">
        <v>0</v>
      </c>
      <c r="Q111" t="n">
        <v>0</v>
      </c>
      <c r="R111" s="2" t="inlineStr"/>
    </row>
    <row r="112" ht="15" customHeight="1">
      <c r="A112" t="inlineStr">
        <is>
          <t>A 38254-2021</t>
        </is>
      </c>
      <c r="B112" s="1" t="n">
        <v>44405</v>
      </c>
      <c r="C112" s="1" t="n">
        <v>45974</v>
      </c>
      <c r="D112" t="inlineStr">
        <is>
          <t>ÖSTERGÖTLANDS LÄN</t>
        </is>
      </c>
      <c r="E112" t="inlineStr">
        <is>
          <t>LINKÖPING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261-2021</t>
        </is>
      </c>
      <c r="B113" s="1" t="n">
        <v>44200</v>
      </c>
      <c r="C113" s="1" t="n">
        <v>45974</v>
      </c>
      <c r="D113" t="inlineStr">
        <is>
          <t>ÖSTERGÖTLANDS LÄN</t>
        </is>
      </c>
      <c r="E113" t="inlineStr">
        <is>
          <t>LINKÖPING</t>
        </is>
      </c>
      <c r="G113" t="n">
        <v>3.1</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45974</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45974</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45974</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45974</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45974</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45974</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45974</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45974</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45974</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45974</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45974</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11079-2022</t>
        </is>
      </c>
      <c r="B125" s="1" t="n">
        <v>44628</v>
      </c>
      <c r="C125" s="1" t="n">
        <v>45974</v>
      </c>
      <c r="D125" t="inlineStr">
        <is>
          <t>ÖSTERGÖTLANDS LÄN</t>
        </is>
      </c>
      <c r="E125" t="inlineStr">
        <is>
          <t>LINKÖPING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20901-2021</t>
        </is>
      </c>
      <c r="B126" s="1" t="n">
        <v>44319</v>
      </c>
      <c r="C126" s="1" t="n">
        <v>45974</v>
      </c>
      <c r="D126" t="inlineStr">
        <is>
          <t>ÖSTERGÖTLANDS LÄN</t>
        </is>
      </c>
      <c r="E126" t="inlineStr">
        <is>
          <t>LINKÖPING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45974</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45974</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45974</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45974</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46891-2021</t>
        </is>
      </c>
      <c r="B131" s="1" t="n">
        <v>44446.44587962963</v>
      </c>
      <c r="C131" s="1" t="n">
        <v>45974</v>
      </c>
      <c r="D131" t="inlineStr">
        <is>
          <t>ÖSTERGÖTLANDS LÄN</t>
        </is>
      </c>
      <c r="E131" t="inlineStr">
        <is>
          <t>LINKÖPING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45974</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27185-2021</t>
        </is>
      </c>
      <c r="B133" s="1" t="n">
        <v>44350</v>
      </c>
      <c r="C133" s="1" t="n">
        <v>45974</v>
      </c>
      <c r="D133" t="inlineStr">
        <is>
          <t>ÖSTERGÖTLANDS LÄN</t>
        </is>
      </c>
      <c r="E133" t="inlineStr">
        <is>
          <t>LINKÖPING</t>
        </is>
      </c>
      <c r="F133" t="inlineStr">
        <is>
          <t>Allmännings- och besparingsskogar</t>
        </is>
      </c>
      <c r="G133" t="n">
        <v>1.6</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45974</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46730-2021</t>
        </is>
      </c>
      <c r="B135" s="1" t="n">
        <v>44445</v>
      </c>
      <c r="C135" s="1" t="n">
        <v>45974</v>
      </c>
      <c r="D135" t="inlineStr">
        <is>
          <t>ÖSTERGÖTLANDS LÄN</t>
        </is>
      </c>
      <c r="E135" t="inlineStr">
        <is>
          <t>LINKÖPING</t>
        </is>
      </c>
      <c r="F135" t="inlineStr">
        <is>
          <t>Övriga statliga verk och myndigheter</t>
        </is>
      </c>
      <c r="G135" t="n">
        <v>1.1</v>
      </c>
      <c r="H135" t="n">
        <v>0</v>
      </c>
      <c r="I135" t="n">
        <v>0</v>
      </c>
      <c r="J135" t="n">
        <v>0</v>
      </c>
      <c r="K135" t="n">
        <v>0</v>
      </c>
      <c r="L135" t="n">
        <v>0</v>
      </c>
      <c r="M135" t="n">
        <v>0</v>
      </c>
      <c r="N135" t="n">
        <v>0</v>
      </c>
      <c r="O135" t="n">
        <v>0</v>
      </c>
      <c r="P135" t="n">
        <v>0</v>
      </c>
      <c r="Q135" t="n">
        <v>0</v>
      </c>
      <c r="R135" s="2" t="inlineStr"/>
    </row>
    <row r="136" ht="15" customHeight="1">
      <c r="A136" t="inlineStr">
        <is>
          <t>A 26197-2021</t>
        </is>
      </c>
      <c r="B136" s="1" t="n">
        <v>44347.39319444444</v>
      </c>
      <c r="C136" s="1" t="n">
        <v>45974</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65398-2021</t>
        </is>
      </c>
      <c r="B137" s="1" t="n">
        <v>44515</v>
      </c>
      <c r="C137" s="1" t="n">
        <v>45974</v>
      </c>
      <c r="D137" t="inlineStr">
        <is>
          <t>ÖSTERGÖTLANDS LÄN</t>
        </is>
      </c>
      <c r="E137" t="inlineStr">
        <is>
          <t>LINKÖPING</t>
        </is>
      </c>
      <c r="F137" t="inlineStr">
        <is>
          <t>Övriga statliga verk och myndigheter</t>
        </is>
      </c>
      <c r="G137" t="n">
        <v>2.4</v>
      </c>
      <c r="H137" t="n">
        <v>0</v>
      </c>
      <c r="I137" t="n">
        <v>0</v>
      </c>
      <c r="J137" t="n">
        <v>0</v>
      </c>
      <c r="K137" t="n">
        <v>0</v>
      </c>
      <c r="L137" t="n">
        <v>0</v>
      </c>
      <c r="M137" t="n">
        <v>0</v>
      </c>
      <c r="N137" t="n">
        <v>0</v>
      </c>
      <c r="O137" t="n">
        <v>0</v>
      </c>
      <c r="P137" t="n">
        <v>0</v>
      </c>
      <c r="Q137" t="n">
        <v>0</v>
      </c>
      <c r="R137" s="2" t="inlineStr"/>
    </row>
    <row r="138" ht="15" customHeight="1">
      <c r="A138" t="inlineStr">
        <is>
          <t>A 27666-2022</t>
        </is>
      </c>
      <c r="B138" s="1" t="n">
        <v>44743.39017361111</v>
      </c>
      <c r="C138" s="1" t="n">
        <v>45974</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19183-2021</t>
        </is>
      </c>
      <c r="B139" s="1" t="n">
        <v>44308.73248842593</v>
      </c>
      <c r="C139" s="1" t="n">
        <v>45974</v>
      </c>
      <c r="D139" t="inlineStr">
        <is>
          <t>ÖSTERGÖTLANDS LÄN</t>
        </is>
      </c>
      <c r="E139" t="inlineStr">
        <is>
          <t>LINKÖPING</t>
        </is>
      </c>
      <c r="F139" t="inlineStr">
        <is>
          <t>Allmännings- och besparingsskogar</t>
        </is>
      </c>
      <c r="G139" t="n">
        <v>4.6</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45974</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16469-2021</t>
        </is>
      </c>
      <c r="B141" s="1" t="n">
        <v>44293.54331018519</v>
      </c>
      <c r="C141" s="1" t="n">
        <v>45974</v>
      </c>
      <c r="D141" t="inlineStr">
        <is>
          <t>ÖSTERGÖTLANDS LÄN</t>
        </is>
      </c>
      <c r="E141" t="inlineStr">
        <is>
          <t>LINKÖPING</t>
        </is>
      </c>
      <c r="F141" t="inlineStr">
        <is>
          <t>Allmännings- och besparingsskogar</t>
        </is>
      </c>
      <c r="G141" t="n">
        <v>33.5</v>
      </c>
      <c r="H141" t="n">
        <v>0</v>
      </c>
      <c r="I141" t="n">
        <v>0</v>
      </c>
      <c r="J141" t="n">
        <v>0</v>
      </c>
      <c r="K141" t="n">
        <v>0</v>
      </c>
      <c r="L141" t="n">
        <v>0</v>
      </c>
      <c r="M141" t="n">
        <v>0</v>
      </c>
      <c r="N141" t="n">
        <v>0</v>
      </c>
      <c r="O141" t="n">
        <v>0</v>
      </c>
      <c r="P141" t="n">
        <v>0</v>
      </c>
      <c r="Q141" t="n">
        <v>0</v>
      </c>
      <c r="R141" s="2" t="inlineStr"/>
    </row>
    <row r="142" ht="15" customHeight="1">
      <c r="A142" t="inlineStr">
        <is>
          <t>A 34487-2021</t>
        </is>
      </c>
      <c r="B142" s="1" t="n">
        <v>44382.29873842592</v>
      </c>
      <c r="C142" s="1" t="n">
        <v>45974</v>
      </c>
      <c r="D142" t="inlineStr">
        <is>
          <t>ÖSTERGÖTLANDS LÄN</t>
        </is>
      </c>
      <c r="E142" t="inlineStr">
        <is>
          <t>LINKÖPING</t>
        </is>
      </c>
      <c r="G142" t="n">
        <v>7.5</v>
      </c>
      <c r="H142" t="n">
        <v>0</v>
      </c>
      <c r="I142" t="n">
        <v>0</v>
      </c>
      <c r="J142" t="n">
        <v>0</v>
      </c>
      <c r="K142" t="n">
        <v>0</v>
      </c>
      <c r="L142" t="n">
        <v>0</v>
      </c>
      <c r="M142" t="n">
        <v>0</v>
      </c>
      <c r="N142" t="n">
        <v>0</v>
      </c>
      <c r="O142" t="n">
        <v>0</v>
      </c>
      <c r="P142" t="n">
        <v>0</v>
      </c>
      <c r="Q142" t="n">
        <v>0</v>
      </c>
      <c r="R142" s="2" t="inlineStr"/>
    </row>
    <row r="143" ht="15" customHeight="1">
      <c r="A143" t="inlineStr">
        <is>
          <t>A 67912-2021</t>
        </is>
      </c>
      <c r="B143" s="1" t="n">
        <v>44525</v>
      </c>
      <c r="C143" s="1" t="n">
        <v>45974</v>
      </c>
      <c r="D143" t="inlineStr">
        <is>
          <t>ÖSTERGÖTLANDS LÄN</t>
        </is>
      </c>
      <c r="E143" t="inlineStr">
        <is>
          <t>LINKÖPING</t>
        </is>
      </c>
      <c r="G143" t="n">
        <v>2.4</v>
      </c>
      <c r="H143" t="n">
        <v>0</v>
      </c>
      <c r="I143" t="n">
        <v>0</v>
      </c>
      <c r="J143" t="n">
        <v>0</v>
      </c>
      <c r="K143" t="n">
        <v>0</v>
      </c>
      <c r="L143" t="n">
        <v>0</v>
      </c>
      <c r="M143" t="n">
        <v>0</v>
      </c>
      <c r="N143" t="n">
        <v>0</v>
      </c>
      <c r="O143" t="n">
        <v>0</v>
      </c>
      <c r="P143" t="n">
        <v>0</v>
      </c>
      <c r="Q143" t="n">
        <v>0</v>
      </c>
      <c r="R143" s="2" t="inlineStr"/>
    </row>
    <row r="144" ht="15" customHeight="1">
      <c r="A144" t="inlineStr">
        <is>
          <t>A 67940-2021</t>
        </is>
      </c>
      <c r="B144" s="1" t="n">
        <v>44525.62849537037</v>
      </c>
      <c r="C144" s="1" t="n">
        <v>45974</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45974</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27313-2021</t>
        </is>
      </c>
      <c r="B146" s="1" t="n">
        <v>44350</v>
      </c>
      <c r="C146" s="1" t="n">
        <v>45974</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45974</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13922-2021</t>
        </is>
      </c>
      <c r="B148" s="1" t="n">
        <v>44277.45946759259</v>
      </c>
      <c r="C148" s="1" t="n">
        <v>45974</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10951-2022</t>
        </is>
      </c>
      <c r="B149" s="1" t="n">
        <v>44627</v>
      </c>
      <c r="C149" s="1" t="n">
        <v>45974</v>
      </c>
      <c r="D149" t="inlineStr">
        <is>
          <t>ÖSTERGÖTLANDS LÄN</t>
        </is>
      </c>
      <c r="E149" t="inlineStr">
        <is>
          <t>LINKÖPING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45974</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45974</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64195-2021</t>
        </is>
      </c>
      <c r="B152" s="1" t="n">
        <v>44510</v>
      </c>
      <c r="C152" s="1" t="n">
        <v>45974</v>
      </c>
      <c r="D152" t="inlineStr">
        <is>
          <t>ÖSTERGÖTLANDS LÄN</t>
        </is>
      </c>
      <c r="E152" t="inlineStr">
        <is>
          <t>LINKÖPING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1787-2022</t>
        </is>
      </c>
      <c r="B153" s="1" t="n">
        <v>44574</v>
      </c>
      <c r="C153" s="1" t="n">
        <v>45974</v>
      </c>
      <c r="D153" t="inlineStr">
        <is>
          <t>ÖSTERGÖTLANDS LÄN</t>
        </is>
      </c>
      <c r="E153" t="inlineStr">
        <is>
          <t>LINKÖPING</t>
        </is>
      </c>
      <c r="G153" t="n">
        <v>1.9</v>
      </c>
      <c r="H153" t="n">
        <v>0</v>
      </c>
      <c r="I153" t="n">
        <v>0</v>
      </c>
      <c r="J153" t="n">
        <v>0</v>
      </c>
      <c r="K153" t="n">
        <v>0</v>
      </c>
      <c r="L153" t="n">
        <v>0</v>
      </c>
      <c r="M153" t="n">
        <v>0</v>
      </c>
      <c r="N153" t="n">
        <v>0</v>
      </c>
      <c r="O153" t="n">
        <v>0</v>
      </c>
      <c r="P153" t="n">
        <v>0</v>
      </c>
      <c r="Q153" t="n">
        <v>0</v>
      </c>
      <c r="R153" s="2" t="inlineStr"/>
    </row>
    <row r="154" ht="15" customHeight="1">
      <c r="A154" t="inlineStr">
        <is>
          <t>A 4382-2021</t>
        </is>
      </c>
      <c r="B154" s="1" t="n">
        <v>44223</v>
      </c>
      <c r="C154" s="1" t="n">
        <v>45974</v>
      </c>
      <c r="D154" t="inlineStr">
        <is>
          <t>ÖSTERGÖTLANDS LÄN</t>
        </is>
      </c>
      <c r="E154" t="inlineStr">
        <is>
          <t>LINKÖPING</t>
        </is>
      </c>
      <c r="G154" t="n">
        <v>4.2</v>
      </c>
      <c r="H154" t="n">
        <v>0</v>
      </c>
      <c r="I154" t="n">
        <v>0</v>
      </c>
      <c r="J154" t="n">
        <v>0</v>
      </c>
      <c r="K154" t="n">
        <v>0</v>
      </c>
      <c r="L154" t="n">
        <v>0</v>
      </c>
      <c r="M154" t="n">
        <v>0</v>
      </c>
      <c r="N154" t="n">
        <v>0</v>
      </c>
      <c r="O154" t="n">
        <v>0</v>
      </c>
      <c r="P154" t="n">
        <v>0</v>
      </c>
      <c r="Q154" t="n">
        <v>0</v>
      </c>
      <c r="R154" s="2" t="inlineStr"/>
    </row>
    <row r="155" ht="15" customHeight="1">
      <c r="A155" t="inlineStr">
        <is>
          <t>A 33134-2022</t>
        </is>
      </c>
      <c r="B155" s="1" t="n">
        <v>44785</v>
      </c>
      <c r="C155" s="1" t="n">
        <v>45974</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948-2022</t>
        </is>
      </c>
      <c r="B156" s="1" t="n">
        <v>44571</v>
      </c>
      <c r="C156" s="1" t="n">
        <v>45974</v>
      </c>
      <c r="D156" t="inlineStr">
        <is>
          <t>ÖSTERGÖTLANDS LÄN</t>
        </is>
      </c>
      <c r="E156" t="inlineStr">
        <is>
          <t>LINKÖPING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30858-2022</t>
        </is>
      </c>
      <c r="B157" s="1" t="n">
        <v>44767</v>
      </c>
      <c r="C157" s="1" t="n">
        <v>45974</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13075-2022</t>
        </is>
      </c>
      <c r="B158" s="1" t="n">
        <v>44643</v>
      </c>
      <c r="C158" s="1" t="n">
        <v>45974</v>
      </c>
      <c r="D158" t="inlineStr">
        <is>
          <t>ÖSTERGÖTLANDS LÄN</t>
        </is>
      </c>
      <c r="E158" t="inlineStr">
        <is>
          <t>LINKÖPING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37014-2021</t>
        </is>
      </c>
      <c r="B159" s="1" t="n">
        <v>44393</v>
      </c>
      <c r="C159" s="1" t="n">
        <v>45974</v>
      </c>
      <c r="D159" t="inlineStr">
        <is>
          <t>ÖSTERGÖTLANDS LÄN</t>
        </is>
      </c>
      <c r="E159" t="inlineStr">
        <is>
          <t>LINKÖPING</t>
        </is>
      </c>
      <c r="F159" t="inlineStr">
        <is>
          <t>Allmännings- och besparingsskogar</t>
        </is>
      </c>
      <c r="G159" t="n">
        <v>7.7</v>
      </c>
      <c r="H159" t="n">
        <v>0</v>
      </c>
      <c r="I159" t="n">
        <v>0</v>
      </c>
      <c r="J159" t="n">
        <v>0</v>
      </c>
      <c r="K159" t="n">
        <v>0</v>
      </c>
      <c r="L159" t="n">
        <v>0</v>
      </c>
      <c r="M159" t="n">
        <v>0</v>
      </c>
      <c r="N159" t="n">
        <v>0</v>
      </c>
      <c r="O159" t="n">
        <v>0</v>
      </c>
      <c r="P159" t="n">
        <v>0</v>
      </c>
      <c r="Q159" t="n">
        <v>0</v>
      </c>
      <c r="R159" s="2" t="inlineStr"/>
    </row>
    <row r="160" ht="15" customHeight="1">
      <c r="A160" t="inlineStr">
        <is>
          <t>A 23175-2022</t>
        </is>
      </c>
      <c r="B160" s="1" t="n">
        <v>44719</v>
      </c>
      <c r="C160" s="1" t="n">
        <v>45974</v>
      </c>
      <c r="D160" t="inlineStr">
        <is>
          <t>ÖSTERGÖTLANDS LÄN</t>
        </is>
      </c>
      <c r="E160" t="inlineStr">
        <is>
          <t>LINKÖPING</t>
        </is>
      </c>
      <c r="F160" t="inlineStr">
        <is>
          <t>Allmännings- och besparingsskogar</t>
        </is>
      </c>
      <c r="G160" t="n">
        <v>1.4</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45974</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46416-2021</t>
        </is>
      </c>
      <c r="B162" s="1" t="n">
        <v>44442</v>
      </c>
      <c r="C162" s="1" t="n">
        <v>45974</v>
      </c>
      <c r="D162" t="inlineStr">
        <is>
          <t>ÖSTERGÖTLANDS LÄN</t>
        </is>
      </c>
      <c r="E162" t="inlineStr">
        <is>
          <t>LINKÖPING</t>
        </is>
      </c>
      <c r="G162" t="n">
        <v>2.3</v>
      </c>
      <c r="H162" t="n">
        <v>0</v>
      </c>
      <c r="I162" t="n">
        <v>0</v>
      </c>
      <c r="J162" t="n">
        <v>0</v>
      </c>
      <c r="K162" t="n">
        <v>0</v>
      </c>
      <c r="L162" t="n">
        <v>0</v>
      </c>
      <c r="M162" t="n">
        <v>0</v>
      </c>
      <c r="N162" t="n">
        <v>0</v>
      </c>
      <c r="O162" t="n">
        <v>0</v>
      </c>
      <c r="P162" t="n">
        <v>0</v>
      </c>
      <c r="Q162" t="n">
        <v>0</v>
      </c>
      <c r="R162" s="2" t="inlineStr"/>
    </row>
    <row r="163" ht="15" customHeight="1">
      <c r="A163" t="inlineStr">
        <is>
          <t>A 58258-2021</t>
        </is>
      </c>
      <c r="B163" s="1" t="n">
        <v>44487</v>
      </c>
      <c r="C163" s="1" t="n">
        <v>45974</v>
      </c>
      <c r="D163" t="inlineStr">
        <is>
          <t>ÖSTERGÖTLANDS LÄN</t>
        </is>
      </c>
      <c r="E163" t="inlineStr">
        <is>
          <t>LINKÖPING</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58287-2021</t>
        </is>
      </c>
      <c r="B164" s="1" t="n">
        <v>44487</v>
      </c>
      <c r="C164" s="1" t="n">
        <v>45974</v>
      </c>
      <c r="D164" t="inlineStr">
        <is>
          <t>ÖSTERGÖTLANDS LÄN</t>
        </is>
      </c>
      <c r="E164" t="inlineStr">
        <is>
          <t>LINKÖPING</t>
        </is>
      </c>
      <c r="F164" t="inlineStr">
        <is>
          <t>Övriga Aktiebolag</t>
        </is>
      </c>
      <c r="G164" t="n">
        <v>1.5</v>
      </c>
      <c r="H164" t="n">
        <v>0</v>
      </c>
      <c r="I164" t="n">
        <v>0</v>
      </c>
      <c r="J164" t="n">
        <v>0</v>
      </c>
      <c r="K164" t="n">
        <v>0</v>
      </c>
      <c r="L164" t="n">
        <v>0</v>
      </c>
      <c r="M164" t="n">
        <v>0</v>
      </c>
      <c r="N164" t="n">
        <v>0</v>
      </c>
      <c r="O164" t="n">
        <v>0</v>
      </c>
      <c r="P164" t="n">
        <v>0</v>
      </c>
      <c r="Q164" t="n">
        <v>0</v>
      </c>
      <c r="R164" s="2" t="inlineStr"/>
    </row>
    <row r="165" ht="15" customHeight="1">
      <c r="A165" t="inlineStr">
        <is>
          <t>A 53660-2021</t>
        </is>
      </c>
      <c r="B165" s="1" t="n">
        <v>44469</v>
      </c>
      <c r="C165" s="1" t="n">
        <v>45974</v>
      </c>
      <c r="D165" t="inlineStr">
        <is>
          <t>ÖSTERGÖTLANDS LÄN</t>
        </is>
      </c>
      <c r="E165" t="inlineStr">
        <is>
          <t>LINKÖPING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52966-2021</t>
        </is>
      </c>
      <c r="B166" s="1" t="n">
        <v>44467</v>
      </c>
      <c r="C166" s="1" t="n">
        <v>45974</v>
      </c>
      <c r="D166" t="inlineStr">
        <is>
          <t>ÖSTERGÖTLANDS LÄN</t>
        </is>
      </c>
      <c r="E166" t="inlineStr">
        <is>
          <t>LINKÖPING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45974</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45974</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23416-2022</t>
        </is>
      </c>
      <c r="B169" s="1" t="n">
        <v>44720.78243055556</v>
      </c>
      <c r="C169" s="1" t="n">
        <v>45974</v>
      </c>
      <c r="D169" t="inlineStr">
        <is>
          <t>ÖSTERGÖTLANDS LÄN</t>
        </is>
      </c>
      <c r="E169" t="inlineStr">
        <is>
          <t>LINKÖPING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25305-2021</t>
        </is>
      </c>
      <c r="B170" s="1" t="n">
        <v>44342</v>
      </c>
      <c r="C170" s="1" t="n">
        <v>45974</v>
      </c>
      <c r="D170" t="inlineStr">
        <is>
          <t>ÖSTERGÖTLANDS LÄN</t>
        </is>
      </c>
      <c r="E170" t="inlineStr">
        <is>
          <t>LINKÖPING</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58266-2021</t>
        </is>
      </c>
      <c r="B171" s="1" t="n">
        <v>44487</v>
      </c>
      <c r="C171" s="1" t="n">
        <v>45974</v>
      </c>
      <c r="D171" t="inlineStr">
        <is>
          <t>ÖSTERGÖTLANDS LÄN</t>
        </is>
      </c>
      <c r="E171" t="inlineStr">
        <is>
          <t>LINKÖPING</t>
        </is>
      </c>
      <c r="F171" t="inlineStr">
        <is>
          <t>Övriga Aktiebolag</t>
        </is>
      </c>
      <c r="G171" t="n">
        <v>3.2</v>
      </c>
      <c r="H171" t="n">
        <v>0</v>
      </c>
      <c r="I171" t="n">
        <v>0</v>
      </c>
      <c r="J171" t="n">
        <v>0</v>
      </c>
      <c r="K171" t="n">
        <v>0</v>
      </c>
      <c r="L171" t="n">
        <v>0</v>
      </c>
      <c r="M171" t="n">
        <v>0</v>
      </c>
      <c r="N171" t="n">
        <v>0</v>
      </c>
      <c r="O171" t="n">
        <v>0</v>
      </c>
      <c r="P171" t="n">
        <v>0</v>
      </c>
      <c r="Q171" t="n">
        <v>0</v>
      </c>
      <c r="R171" s="2" t="inlineStr"/>
    </row>
    <row r="172" ht="15" customHeight="1">
      <c r="A172" t="inlineStr">
        <is>
          <t>A 5605-2022</t>
        </is>
      </c>
      <c r="B172" s="1" t="n">
        <v>44595</v>
      </c>
      <c r="C172" s="1" t="n">
        <v>45974</v>
      </c>
      <c r="D172" t="inlineStr">
        <is>
          <t>ÖSTERGÖTLANDS LÄN</t>
        </is>
      </c>
      <c r="E172" t="inlineStr">
        <is>
          <t>LINKÖPING</t>
        </is>
      </c>
      <c r="F172" t="inlineStr">
        <is>
          <t>Övriga statliga verk och myndigheter</t>
        </is>
      </c>
      <c r="G172" t="n">
        <v>3</v>
      </c>
      <c r="H172" t="n">
        <v>0</v>
      </c>
      <c r="I172" t="n">
        <v>0</v>
      </c>
      <c r="J172" t="n">
        <v>0</v>
      </c>
      <c r="K172" t="n">
        <v>0</v>
      </c>
      <c r="L172" t="n">
        <v>0</v>
      </c>
      <c r="M172" t="n">
        <v>0</v>
      </c>
      <c r="N172" t="n">
        <v>0</v>
      </c>
      <c r="O172" t="n">
        <v>0</v>
      </c>
      <c r="P172" t="n">
        <v>0</v>
      </c>
      <c r="Q172" t="n">
        <v>0</v>
      </c>
      <c r="R172" s="2" t="inlineStr"/>
    </row>
    <row r="173" ht="15" customHeight="1">
      <c r="A173" t="inlineStr">
        <is>
          <t>A 56688-2021</t>
        </is>
      </c>
      <c r="B173" s="1" t="n">
        <v>44481</v>
      </c>
      <c r="C173" s="1" t="n">
        <v>45974</v>
      </c>
      <c r="D173" t="inlineStr">
        <is>
          <t>ÖSTERGÖTLANDS LÄN</t>
        </is>
      </c>
      <c r="E173" t="inlineStr">
        <is>
          <t>LINKÖPING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37934-2022</t>
        </is>
      </c>
      <c r="B174" s="1" t="n">
        <v>44809</v>
      </c>
      <c r="C174" s="1" t="n">
        <v>45974</v>
      </c>
      <c r="D174" t="inlineStr">
        <is>
          <t>ÖSTERGÖTLANDS LÄN</t>
        </is>
      </c>
      <c r="E174" t="inlineStr">
        <is>
          <t>LINKÖPING</t>
        </is>
      </c>
      <c r="G174" t="n">
        <v>1.6</v>
      </c>
      <c r="H174" t="n">
        <v>0</v>
      </c>
      <c r="I174" t="n">
        <v>0</v>
      </c>
      <c r="J174" t="n">
        <v>0</v>
      </c>
      <c r="K174" t="n">
        <v>0</v>
      </c>
      <c r="L174" t="n">
        <v>0</v>
      </c>
      <c r="M174" t="n">
        <v>0</v>
      </c>
      <c r="N174" t="n">
        <v>0</v>
      </c>
      <c r="O174" t="n">
        <v>0</v>
      </c>
      <c r="P174" t="n">
        <v>0</v>
      </c>
      <c r="Q174" t="n">
        <v>0</v>
      </c>
      <c r="R174" s="2" t="inlineStr"/>
    </row>
    <row r="175" ht="15" customHeight="1">
      <c r="A175" t="inlineStr">
        <is>
          <t>A 28447-2021</t>
        </is>
      </c>
      <c r="B175" s="1" t="n">
        <v>44356</v>
      </c>
      <c r="C175" s="1" t="n">
        <v>45974</v>
      </c>
      <c r="D175" t="inlineStr">
        <is>
          <t>ÖSTERGÖTLANDS LÄN</t>
        </is>
      </c>
      <c r="E175" t="inlineStr">
        <is>
          <t>LINKÖPING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54854-2022</t>
        </is>
      </c>
      <c r="B176" s="1" t="n">
        <v>44884</v>
      </c>
      <c r="C176" s="1" t="n">
        <v>45974</v>
      </c>
      <c r="D176" t="inlineStr">
        <is>
          <t>ÖSTERGÖTLANDS LÄN</t>
        </is>
      </c>
      <c r="E176" t="inlineStr">
        <is>
          <t>LINKÖPING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54855-2022</t>
        </is>
      </c>
      <c r="B177" s="1" t="n">
        <v>44884.59502314815</v>
      </c>
      <c r="C177" s="1" t="n">
        <v>45974</v>
      </c>
      <c r="D177" t="inlineStr">
        <is>
          <t>ÖSTERGÖTLANDS LÄN</t>
        </is>
      </c>
      <c r="E177" t="inlineStr">
        <is>
          <t>LINKÖPING</t>
        </is>
      </c>
      <c r="G177" t="n">
        <v>2.9</v>
      </c>
      <c r="H177" t="n">
        <v>0</v>
      </c>
      <c r="I177" t="n">
        <v>0</v>
      </c>
      <c r="J177" t="n">
        <v>0</v>
      </c>
      <c r="K177" t="n">
        <v>0</v>
      </c>
      <c r="L177" t="n">
        <v>0</v>
      </c>
      <c r="M177" t="n">
        <v>0</v>
      </c>
      <c r="N177" t="n">
        <v>0</v>
      </c>
      <c r="O177" t="n">
        <v>0</v>
      </c>
      <c r="P177" t="n">
        <v>0</v>
      </c>
      <c r="Q177" t="n">
        <v>0</v>
      </c>
      <c r="R177" s="2" t="inlineStr"/>
    </row>
    <row r="178" ht="15" customHeight="1">
      <c r="A178" t="inlineStr">
        <is>
          <t>A 9935-2021</t>
        </is>
      </c>
      <c r="B178" s="1" t="n">
        <v>44253</v>
      </c>
      <c r="C178" s="1" t="n">
        <v>45974</v>
      </c>
      <c r="D178" t="inlineStr">
        <is>
          <t>ÖSTERGÖTLANDS LÄN</t>
        </is>
      </c>
      <c r="E178" t="inlineStr">
        <is>
          <t>LINKÖPING</t>
        </is>
      </c>
      <c r="G178" t="n">
        <v>4.5</v>
      </c>
      <c r="H178" t="n">
        <v>0</v>
      </c>
      <c r="I178" t="n">
        <v>0</v>
      </c>
      <c r="J178" t="n">
        <v>0</v>
      </c>
      <c r="K178" t="n">
        <v>0</v>
      </c>
      <c r="L178" t="n">
        <v>0</v>
      </c>
      <c r="M178" t="n">
        <v>0</v>
      </c>
      <c r="N178" t="n">
        <v>0</v>
      </c>
      <c r="O178" t="n">
        <v>0</v>
      </c>
      <c r="P178" t="n">
        <v>0</v>
      </c>
      <c r="Q178" t="n">
        <v>0</v>
      </c>
      <c r="R178" s="2" t="inlineStr"/>
    </row>
    <row r="179" ht="15" customHeight="1">
      <c r="A179" t="inlineStr">
        <is>
          <t>A 31705-2022</t>
        </is>
      </c>
      <c r="B179" s="1" t="n">
        <v>44776.43607638889</v>
      </c>
      <c r="C179" s="1" t="n">
        <v>45974</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45974</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19318-2022</t>
        </is>
      </c>
      <c r="B181" s="1" t="n">
        <v>44692.5827662037</v>
      </c>
      <c r="C181" s="1" t="n">
        <v>45974</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4929-2021</t>
        </is>
      </c>
      <c r="B182" s="1" t="n">
        <v>44227.57533564815</v>
      </c>
      <c r="C182" s="1" t="n">
        <v>45974</v>
      </c>
      <c r="D182" t="inlineStr">
        <is>
          <t>ÖSTERGÖTLANDS LÄN</t>
        </is>
      </c>
      <c r="E182" t="inlineStr">
        <is>
          <t>LINKÖPING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54467-2022</t>
        </is>
      </c>
      <c r="B183" s="1" t="n">
        <v>44882</v>
      </c>
      <c r="C183" s="1" t="n">
        <v>45974</v>
      </c>
      <c r="D183" t="inlineStr">
        <is>
          <t>ÖSTERGÖTLANDS LÄN</t>
        </is>
      </c>
      <c r="E183" t="inlineStr">
        <is>
          <t>LINKÖPING</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45974</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45974</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45974</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60129-2020</t>
        </is>
      </c>
      <c r="B187" s="1" t="n">
        <v>44152</v>
      </c>
      <c r="C187" s="1" t="n">
        <v>45974</v>
      </c>
      <c r="D187" t="inlineStr">
        <is>
          <t>ÖSTERGÖTLANDS LÄN</t>
        </is>
      </c>
      <c r="E187" t="inlineStr">
        <is>
          <t>LINKÖPING</t>
        </is>
      </c>
      <c r="F187" t="inlineStr">
        <is>
          <t>Övriga statliga verk och myndigheter</t>
        </is>
      </c>
      <c r="G187" t="n">
        <v>2.5</v>
      </c>
      <c r="H187" t="n">
        <v>0</v>
      </c>
      <c r="I187" t="n">
        <v>0</v>
      </c>
      <c r="J187" t="n">
        <v>0</v>
      </c>
      <c r="K187" t="n">
        <v>0</v>
      </c>
      <c r="L187" t="n">
        <v>0</v>
      </c>
      <c r="M187" t="n">
        <v>0</v>
      </c>
      <c r="N187" t="n">
        <v>0</v>
      </c>
      <c r="O187" t="n">
        <v>0</v>
      </c>
      <c r="P187" t="n">
        <v>0</v>
      </c>
      <c r="Q187" t="n">
        <v>0</v>
      </c>
      <c r="R187" s="2" t="inlineStr"/>
    </row>
    <row r="188" ht="15" customHeight="1">
      <c r="A188" t="inlineStr">
        <is>
          <t>A 4240-2022</t>
        </is>
      </c>
      <c r="B188" s="1" t="n">
        <v>44588</v>
      </c>
      <c r="C188" s="1" t="n">
        <v>45974</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34486-2021</t>
        </is>
      </c>
      <c r="B189" s="1" t="n">
        <v>44382.29295138889</v>
      </c>
      <c r="C189" s="1" t="n">
        <v>45974</v>
      </c>
      <c r="D189" t="inlineStr">
        <is>
          <t>ÖSTERGÖTLANDS LÄN</t>
        </is>
      </c>
      <c r="E189" t="inlineStr">
        <is>
          <t>LINKÖPING</t>
        </is>
      </c>
      <c r="G189" t="n">
        <v>4.4</v>
      </c>
      <c r="H189" t="n">
        <v>0</v>
      </c>
      <c r="I189" t="n">
        <v>0</v>
      </c>
      <c r="J189" t="n">
        <v>0</v>
      </c>
      <c r="K189" t="n">
        <v>0</v>
      </c>
      <c r="L189" t="n">
        <v>0</v>
      </c>
      <c r="M189" t="n">
        <v>0</v>
      </c>
      <c r="N189" t="n">
        <v>0</v>
      </c>
      <c r="O189" t="n">
        <v>0</v>
      </c>
      <c r="P189" t="n">
        <v>0</v>
      </c>
      <c r="Q189" t="n">
        <v>0</v>
      </c>
      <c r="R189" s="2" t="inlineStr"/>
    </row>
    <row r="190" ht="15" customHeight="1">
      <c r="A190" t="inlineStr">
        <is>
          <t>A 4377-2021</t>
        </is>
      </c>
      <c r="B190" s="1" t="n">
        <v>44223</v>
      </c>
      <c r="C190" s="1" t="n">
        <v>45974</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41345-2021</t>
        </is>
      </c>
      <c r="B191" s="1" t="n">
        <v>44424.61851851852</v>
      </c>
      <c r="C191" s="1" t="n">
        <v>45974</v>
      </c>
      <c r="D191" t="inlineStr">
        <is>
          <t>ÖSTERGÖTLANDS LÄN</t>
        </is>
      </c>
      <c r="E191" t="inlineStr">
        <is>
          <t>LINKÖPING</t>
        </is>
      </c>
      <c r="F191" t="inlineStr">
        <is>
          <t>Sveaskog</t>
        </is>
      </c>
      <c r="G191" t="n">
        <v>6.3</v>
      </c>
      <c r="H191" t="n">
        <v>0</v>
      </c>
      <c r="I191" t="n">
        <v>0</v>
      </c>
      <c r="J191" t="n">
        <v>0</v>
      </c>
      <c r="K191" t="n">
        <v>0</v>
      </c>
      <c r="L191" t="n">
        <v>0</v>
      </c>
      <c r="M191" t="n">
        <v>0</v>
      </c>
      <c r="N191" t="n">
        <v>0</v>
      </c>
      <c r="O191" t="n">
        <v>0</v>
      </c>
      <c r="P191" t="n">
        <v>0</v>
      </c>
      <c r="Q191" t="n">
        <v>0</v>
      </c>
      <c r="R191" s="2" t="inlineStr"/>
    </row>
    <row r="192" ht="15" customHeight="1">
      <c r="A192" t="inlineStr">
        <is>
          <t>A 13266-2025</t>
        </is>
      </c>
      <c r="B192" s="1" t="n">
        <v>45735.53318287037</v>
      </c>
      <c r="C192" s="1" t="n">
        <v>45974</v>
      </c>
      <c r="D192" t="inlineStr">
        <is>
          <t>ÖSTERGÖTLANDS LÄN</t>
        </is>
      </c>
      <c r="E192" t="inlineStr">
        <is>
          <t>LINKÖPING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16213-2025</t>
        </is>
      </c>
      <c r="B193" s="1" t="n">
        <v>45750.62740740741</v>
      </c>
      <c r="C193" s="1" t="n">
        <v>45974</v>
      </c>
      <c r="D193" t="inlineStr">
        <is>
          <t>ÖSTERGÖTLANDS LÄN</t>
        </is>
      </c>
      <c r="E193" t="inlineStr">
        <is>
          <t>LINKÖPING</t>
        </is>
      </c>
      <c r="G193" t="n">
        <v>3.4</v>
      </c>
      <c r="H193" t="n">
        <v>0</v>
      </c>
      <c r="I193" t="n">
        <v>0</v>
      </c>
      <c r="J193" t="n">
        <v>0</v>
      </c>
      <c r="K193" t="n">
        <v>0</v>
      </c>
      <c r="L193" t="n">
        <v>0</v>
      </c>
      <c r="M193" t="n">
        <v>0</v>
      </c>
      <c r="N193" t="n">
        <v>0</v>
      </c>
      <c r="O193" t="n">
        <v>0</v>
      </c>
      <c r="P193" t="n">
        <v>0</v>
      </c>
      <c r="Q193" t="n">
        <v>0</v>
      </c>
      <c r="R193" s="2" t="inlineStr"/>
    </row>
    <row r="194" ht="15" customHeight="1">
      <c r="A194" t="inlineStr">
        <is>
          <t>A 61153-2021</t>
        </is>
      </c>
      <c r="B194" s="1" t="n">
        <v>44497</v>
      </c>
      <c r="C194" s="1" t="n">
        <v>45974</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33885-2021</t>
        </is>
      </c>
      <c r="B195" s="1" t="n">
        <v>44378</v>
      </c>
      <c r="C195" s="1" t="n">
        <v>45974</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12413-2022</t>
        </is>
      </c>
      <c r="B196" s="1" t="n">
        <v>44638</v>
      </c>
      <c r="C196" s="1" t="n">
        <v>45974</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46490-2022</t>
        </is>
      </c>
      <c r="B197" s="1" t="n">
        <v>44848</v>
      </c>
      <c r="C197" s="1" t="n">
        <v>45974</v>
      </c>
      <c r="D197" t="inlineStr">
        <is>
          <t>ÖSTERGÖTLANDS LÄN</t>
        </is>
      </c>
      <c r="E197" t="inlineStr">
        <is>
          <t>LINKÖPING</t>
        </is>
      </c>
      <c r="G197" t="n">
        <v>3.5</v>
      </c>
      <c r="H197" t="n">
        <v>0</v>
      </c>
      <c r="I197" t="n">
        <v>0</v>
      </c>
      <c r="J197" t="n">
        <v>0</v>
      </c>
      <c r="K197" t="n">
        <v>0</v>
      </c>
      <c r="L197" t="n">
        <v>0</v>
      </c>
      <c r="M197" t="n">
        <v>0</v>
      </c>
      <c r="N197" t="n">
        <v>0</v>
      </c>
      <c r="O197" t="n">
        <v>0</v>
      </c>
      <c r="P197" t="n">
        <v>0</v>
      </c>
      <c r="Q197" t="n">
        <v>0</v>
      </c>
      <c r="R197" s="2" t="inlineStr"/>
    </row>
    <row r="198" ht="15" customHeight="1">
      <c r="A198" t="inlineStr">
        <is>
          <t>A 46225-2021</t>
        </is>
      </c>
      <c r="B198" s="1" t="n">
        <v>44442</v>
      </c>
      <c r="C198" s="1" t="n">
        <v>45974</v>
      </c>
      <c r="D198" t="inlineStr">
        <is>
          <t>ÖSTERGÖTLANDS LÄN</t>
        </is>
      </c>
      <c r="E198" t="inlineStr">
        <is>
          <t>LINKÖPING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23735-2023</t>
        </is>
      </c>
      <c r="B199" s="1" t="n">
        <v>45077</v>
      </c>
      <c r="C199" s="1" t="n">
        <v>45974</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25776-2021</t>
        </is>
      </c>
      <c r="B200" s="1" t="n">
        <v>44343</v>
      </c>
      <c r="C200" s="1" t="n">
        <v>45974</v>
      </c>
      <c r="D200" t="inlineStr">
        <is>
          <t>ÖSTERGÖTLANDS LÄN</t>
        </is>
      </c>
      <c r="E200" t="inlineStr">
        <is>
          <t>LINKÖPING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45974</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45974</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45821-2024</t>
        </is>
      </c>
      <c r="B203" s="1" t="n">
        <v>45579.75803240741</v>
      </c>
      <c r="C203" s="1" t="n">
        <v>45974</v>
      </c>
      <c r="D203" t="inlineStr">
        <is>
          <t>ÖSTERGÖTLANDS LÄN</t>
        </is>
      </c>
      <c r="E203" t="inlineStr">
        <is>
          <t>LINKÖPING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51484-2023</t>
        </is>
      </c>
      <c r="B204" s="1" t="n">
        <v>45222</v>
      </c>
      <c r="C204" s="1" t="n">
        <v>45974</v>
      </c>
      <c r="D204" t="inlineStr">
        <is>
          <t>ÖSTERGÖTLANDS LÄN</t>
        </is>
      </c>
      <c r="E204" t="inlineStr">
        <is>
          <t>LINKÖPING</t>
        </is>
      </c>
      <c r="F204" t="inlineStr">
        <is>
          <t>Övriga Aktiebolag</t>
        </is>
      </c>
      <c r="G204" t="n">
        <v>7.7</v>
      </c>
      <c r="H204" t="n">
        <v>0</v>
      </c>
      <c r="I204" t="n">
        <v>0</v>
      </c>
      <c r="J204" t="n">
        <v>0</v>
      </c>
      <c r="K204" t="n">
        <v>0</v>
      </c>
      <c r="L204" t="n">
        <v>0</v>
      </c>
      <c r="M204" t="n">
        <v>0</v>
      </c>
      <c r="N204" t="n">
        <v>0</v>
      </c>
      <c r="O204" t="n">
        <v>0</v>
      </c>
      <c r="P204" t="n">
        <v>0</v>
      </c>
      <c r="Q204" t="n">
        <v>0</v>
      </c>
      <c r="R204" s="2" t="inlineStr"/>
    </row>
    <row r="205" ht="15" customHeight="1">
      <c r="A205" t="inlineStr">
        <is>
          <t>A 53647-2021</t>
        </is>
      </c>
      <c r="B205" s="1" t="n">
        <v>44469</v>
      </c>
      <c r="C205" s="1" t="n">
        <v>45974</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6599-2023</t>
        </is>
      </c>
      <c r="B206" s="1" t="n">
        <v>44966.52603009259</v>
      </c>
      <c r="C206" s="1" t="n">
        <v>45974</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17898-2022</t>
        </is>
      </c>
      <c r="B207" s="1" t="n">
        <v>44683</v>
      </c>
      <c r="C207" s="1" t="n">
        <v>45974</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45974</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38235-2022</t>
        </is>
      </c>
      <c r="B209" s="1" t="n">
        <v>44812</v>
      </c>
      <c r="C209" s="1" t="n">
        <v>45974</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34880-2022</t>
        </is>
      </c>
      <c r="B210" s="1" t="n">
        <v>44796</v>
      </c>
      <c r="C210" s="1" t="n">
        <v>45974</v>
      </c>
      <c r="D210" t="inlineStr">
        <is>
          <t>ÖSTERGÖTLANDS LÄN</t>
        </is>
      </c>
      <c r="E210" t="inlineStr">
        <is>
          <t>LINKÖPING</t>
        </is>
      </c>
      <c r="F210" t="inlineStr">
        <is>
          <t>Övriga statliga verk och myndigheter</t>
        </is>
      </c>
      <c r="G210" t="n">
        <v>4</v>
      </c>
      <c r="H210" t="n">
        <v>0</v>
      </c>
      <c r="I210" t="n">
        <v>0</v>
      </c>
      <c r="J210" t="n">
        <v>0</v>
      </c>
      <c r="K210" t="n">
        <v>0</v>
      </c>
      <c r="L210" t="n">
        <v>0</v>
      </c>
      <c r="M210" t="n">
        <v>0</v>
      </c>
      <c r="N210" t="n">
        <v>0</v>
      </c>
      <c r="O210" t="n">
        <v>0</v>
      </c>
      <c r="P210" t="n">
        <v>0</v>
      </c>
      <c r="Q210" t="n">
        <v>0</v>
      </c>
      <c r="R210" s="2" t="inlineStr"/>
    </row>
    <row r="211" ht="15" customHeight="1">
      <c r="A211" t="inlineStr">
        <is>
          <t>A 48042-2022</t>
        </is>
      </c>
      <c r="B211" s="1" t="n">
        <v>44855</v>
      </c>
      <c r="C211" s="1" t="n">
        <v>45974</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63487-2023</t>
        </is>
      </c>
      <c r="B212" s="1" t="n">
        <v>45274.66712962963</v>
      </c>
      <c r="C212" s="1" t="n">
        <v>45974</v>
      </c>
      <c r="D212" t="inlineStr">
        <is>
          <t>ÖSTERGÖTLANDS LÄN</t>
        </is>
      </c>
      <c r="E212" t="inlineStr">
        <is>
          <t>LINKÖPING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35463-2023</t>
        </is>
      </c>
      <c r="B213" s="1" t="n">
        <v>45146</v>
      </c>
      <c r="C213" s="1" t="n">
        <v>45974</v>
      </c>
      <c r="D213" t="inlineStr">
        <is>
          <t>ÖSTERGÖTLANDS LÄN</t>
        </is>
      </c>
      <c r="E213" t="inlineStr">
        <is>
          <t>LINKÖPING</t>
        </is>
      </c>
      <c r="F213" t="inlineStr">
        <is>
          <t>Övriga Aktiebolag</t>
        </is>
      </c>
      <c r="G213" t="n">
        <v>1.8</v>
      </c>
      <c r="H213" t="n">
        <v>0</v>
      </c>
      <c r="I213" t="n">
        <v>0</v>
      </c>
      <c r="J213" t="n">
        <v>0</v>
      </c>
      <c r="K213" t="n">
        <v>0</v>
      </c>
      <c r="L213" t="n">
        <v>0</v>
      </c>
      <c r="M213" t="n">
        <v>0</v>
      </c>
      <c r="N213" t="n">
        <v>0</v>
      </c>
      <c r="O213" t="n">
        <v>0</v>
      </c>
      <c r="P213" t="n">
        <v>0</v>
      </c>
      <c r="Q213" t="n">
        <v>0</v>
      </c>
      <c r="R213" s="2" t="inlineStr"/>
    </row>
    <row r="214" ht="15" customHeight="1">
      <c r="A214" t="inlineStr">
        <is>
          <t>A 35735-2023</t>
        </is>
      </c>
      <c r="B214" s="1" t="n">
        <v>45147</v>
      </c>
      <c r="C214" s="1" t="n">
        <v>45974</v>
      </c>
      <c r="D214" t="inlineStr">
        <is>
          <t>ÖSTERGÖTLANDS LÄN</t>
        </is>
      </c>
      <c r="E214" t="inlineStr">
        <is>
          <t>LINKÖPING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41426-2022</t>
        </is>
      </c>
      <c r="B215" s="1" t="n">
        <v>44826</v>
      </c>
      <c r="C215" s="1" t="n">
        <v>45974</v>
      </c>
      <c r="D215" t="inlineStr">
        <is>
          <t>ÖSTERGÖTLANDS LÄN</t>
        </is>
      </c>
      <c r="E215" t="inlineStr">
        <is>
          <t>LINKÖPING</t>
        </is>
      </c>
      <c r="G215" t="n">
        <v>3</v>
      </c>
      <c r="H215" t="n">
        <v>0</v>
      </c>
      <c r="I215" t="n">
        <v>0</v>
      </c>
      <c r="J215" t="n">
        <v>0</v>
      </c>
      <c r="K215" t="n">
        <v>0</v>
      </c>
      <c r="L215" t="n">
        <v>0</v>
      </c>
      <c r="M215" t="n">
        <v>0</v>
      </c>
      <c r="N215" t="n">
        <v>0</v>
      </c>
      <c r="O215" t="n">
        <v>0</v>
      </c>
      <c r="P215" t="n">
        <v>0</v>
      </c>
      <c r="Q215" t="n">
        <v>0</v>
      </c>
      <c r="R215" s="2" t="inlineStr"/>
    </row>
    <row r="216" ht="15" customHeight="1">
      <c r="A216" t="inlineStr">
        <is>
          <t>A 45831-2024</t>
        </is>
      </c>
      <c r="B216" s="1" t="n">
        <v>45579.90508101852</v>
      </c>
      <c r="C216" s="1" t="n">
        <v>45974</v>
      </c>
      <c r="D216" t="inlineStr">
        <is>
          <t>ÖSTERGÖTLANDS LÄN</t>
        </is>
      </c>
      <c r="E216" t="inlineStr">
        <is>
          <t>LINKÖPING</t>
        </is>
      </c>
      <c r="G216" t="n">
        <v>1.9</v>
      </c>
      <c r="H216" t="n">
        <v>0</v>
      </c>
      <c r="I216" t="n">
        <v>0</v>
      </c>
      <c r="J216" t="n">
        <v>0</v>
      </c>
      <c r="K216" t="n">
        <v>0</v>
      </c>
      <c r="L216" t="n">
        <v>0</v>
      </c>
      <c r="M216" t="n">
        <v>0</v>
      </c>
      <c r="N216" t="n">
        <v>0</v>
      </c>
      <c r="O216" t="n">
        <v>0</v>
      </c>
      <c r="P216" t="n">
        <v>0</v>
      </c>
      <c r="Q216" t="n">
        <v>0</v>
      </c>
      <c r="R216" s="2" t="inlineStr"/>
    </row>
    <row r="217" ht="15" customHeight="1">
      <c r="A217" t="inlineStr">
        <is>
          <t>A 17157-2024</t>
        </is>
      </c>
      <c r="B217" s="1" t="n">
        <v>45412.70567129629</v>
      </c>
      <c r="C217" s="1" t="n">
        <v>45974</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3008-2023</t>
        </is>
      </c>
      <c r="B218" s="1" t="n">
        <v>44945.79784722222</v>
      </c>
      <c r="C218" s="1" t="n">
        <v>45974</v>
      </c>
      <c r="D218" t="inlineStr">
        <is>
          <t>ÖSTERGÖTLANDS LÄN</t>
        </is>
      </c>
      <c r="E218" t="inlineStr">
        <is>
          <t>LINKÖPING</t>
        </is>
      </c>
      <c r="G218" t="n">
        <v>19.3</v>
      </c>
      <c r="H218" t="n">
        <v>0</v>
      </c>
      <c r="I218" t="n">
        <v>0</v>
      </c>
      <c r="J218" t="n">
        <v>0</v>
      </c>
      <c r="K218" t="n">
        <v>0</v>
      </c>
      <c r="L218" t="n">
        <v>0</v>
      </c>
      <c r="M218" t="n">
        <v>0</v>
      </c>
      <c r="N218" t="n">
        <v>0</v>
      </c>
      <c r="O218" t="n">
        <v>0</v>
      </c>
      <c r="P218" t="n">
        <v>0</v>
      </c>
      <c r="Q218" t="n">
        <v>0</v>
      </c>
      <c r="R218" s="2" t="inlineStr"/>
    </row>
    <row r="219" ht="15" customHeight="1">
      <c r="A219" t="inlineStr">
        <is>
          <t>A 34162-2022</t>
        </is>
      </c>
      <c r="B219" s="1" t="n">
        <v>44791</v>
      </c>
      <c r="C219" s="1" t="n">
        <v>45974</v>
      </c>
      <c r="D219" t="inlineStr">
        <is>
          <t>ÖSTERGÖTLANDS LÄN</t>
        </is>
      </c>
      <c r="E219" t="inlineStr">
        <is>
          <t>LINKÖPING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12035-2025</t>
        </is>
      </c>
      <c r="B220" s="1" t="n">
        <v>45728.64946759259</v>
      </c>
      <c r="C220" s="1" t="n">
        <v>45974</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55632-2022</t>
        </is>
      </c>
      <c r="B221" s="1" t="n">
        <v>44888</v>
      </c>
      <c r="C221" s="1" t="n">
        <v>45974</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61298-2021</t>
        </is>
      </c>
      <c r="B222" s="1" t="n">
        <v>44498.62533564815</v>
      </c>
      <c r="C222" s="1" t="n">
        <v>45974</v>
      </c>
      <c r="D222" t="inlineStr">
        <is>
          <t>ÖSTERGÖTLANDS LÄN</t>
        </is>
      </c>
      <c r="E222" t="inlineStr">
        <is>
          <t>LINKÖPING</t>
        </is>
      </c>
      <c r="G222" t="n">
        <v>4.3</v>
      </c>
      <c r="H222" t="n">
        <v>0</v>
      </c>
      <c r="I222" t="n">
        <v>0</v>
      </c>
      <c r="J222" t="n">
        <v>0</v>
      </c>
      <c r="K222" t="n">
        <v>0</v>
      </c>
      <c r="L222" t="n">
        <v>0</v>
      </c>
      <c r="M222" t="n">
        <v>0</v>
      </c>
      <c r="N222" t="n">
        <v>0</v>
      </c>
      <c r="O222" t="n">
        <v>0</v>
      </c>
      <c r="P222" t="n">
        <v>0</v>
      </c>
      <c r="Q222" t="n">
        <v>0</v>
      </c>
      <c r="R222" s="2" t="inlineStr"/>
    </row>
    <row r="223" ht="15" customHeight="1">
      <c r="A223" t="inlineStr">
        <is>
          <t>A 61333-2021</t>
        </is>
      </c>
      <c r="B223" s="1" t="n">
        <v>44498.6764699074</v>
      </c>
      <c r="C223" s="1" t="n">
        <v>45974</v>
      </c>
      <c r="D223" t="inlineStr">
        <is>
          <t>ÖSTERGÖTLANDS LÄN</t>
        </is>
      </c>
      <c r="E223" t="inlineStr">
        <is>
          <t>LINKÖPING</t>
        </is>
      </c>
      <c r="G223" t="n">
        <v>7.5</v>
      </c>
      <c r="H223" t="n">
        <v>0</v>
      </c>
      <c r="I223" t="n">
        <v>0</v>
      </c>
      <c r="J223" t="n">
        <v>0</v>
      </c>
      <c r="K223" t="n">
        <v>0</v>
      </c>
      <c r="L223" t="n">
        <v>0</v>
      </c>
      <c r="M223" t="n">
        <v>0</v>
      </c>
      <c r="N223" t="n">
        <v>0</v>
      </c>
      <c r="O223" t="n">
        <v>0</v>
      </c>
      <c r="P223" t="n">
        <v>0</v>
      </c>
      <c r="Q223" t="n">
        <v>0</v>
      </c>
      <c r="R223" s="2" t="inlineStr"/>
    </row>
    <row r="224" ht="15" customHeight="1">
      <c r="A224" t="inlineStr">
        <is>
          <t>A 34558-2022</t>
        </is>
      </c>
      <c r="B224" s="1" t="n">
        <v>44794.57594907407</v>
      </c>
      <c r="C224" s="1" t="n">
        <v>45974</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63489-2023</t>
        </is>
      </c>
      <c r="B225" s="1" t="n">
        <v>45274.66761574074</v>
      </c>
      <c r="C225" s="1" t="n">
        <v>45974</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12412-2022</t>
        </is>
      </c>
      <c r="B226" s="1" t="n">
        <v>44638</v>
      </c>
      <c r="C226" s="1" t="n">
        <v>45974</v>
      </c>
      <c r="D226" t="inlineStr">
        <is>
          <t>ÖSTERGÖTLANDS LÄN</t>
        </is>
      </c>
      <c r="E226" t="inlineStr">
        <is>
          <t>LINKÖPING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63559-2023</t>
        </is>
      </c>
      <c r="B227" s="1" t="n">
        <v>45275.35924768518</v>
      </c>
      <c r="C227" s="1" t="n">
        <v>45974</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34557-2022</t>
        </is>
      </c>
      <c r="B228" s="1" t="n">
        <v>44794.57074074074</v>
      </c>
      <c r="C228" s="1" t="n">
        <v>45974</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28266-2024</t>
        </is>
      </c>
      <c r="B229" s="1" t="n">
        <v>45477.43600694444</v>
      </c>
      <c r="C229" s="1" t="n">
        <v>45974</v>
      </c>
      <c r="D229" t="inlineStr">
        <is>
          <t>ÖSTERGÖTLANDS LÄN</t>
        </is>
      </c>
      <c r="E229" t="inlineStr">
        <is>
          <t>LINKÖPING</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13011-2022</t>
        </is>
      </c>
      <c r="B230" s="1" t="n">
        <v>44643</v>
      </c>
      <c r="C230" s="1" t="n">
        <v>45974</v>
      </c>
      <c r="D230" t="inlineStr">
        <is>
          <t>ÖSTERGÖTLANDS LÄN</t>
        </is>
      </c>
      <c r="E230" t="inlineStr">
        <is>
          <t>LINKÖPING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37154-2023</t>
        </is>
      </c>
      <c r="B231" s="1" t="n">
        <v>45155</v>
      </c>
      <c r="C231" s="1" t="n">
        <v>45974</v>
      </c>
      <c r="D231" t="inlineStr">
        <is>
          <t>ÖSTERGÖTLANDS LÄN</t>
        </is>
      </c>
      <c r="E231" t="inlineStr">
        <is>
          <t>LINKÖPING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617-2024</t>
        </is>
      </c>
      <c r="B232" s="1" t="n">
        <v>45299.66028935185</v>
      </c>
      <c r="C232" s="1" t="n">
        <v>45974</v>
      </c>
      <c r="D232" t="inlineStr">
        <is>
          <t>ÖSTERGÖTLANDS LÄN</t>
        </is>
      </c>
      <c r="E232" t="inlineStr">
        <is>
          <t>LINKÖPING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58114-2021</t>
        </is>
      </c>
      <c r="B233" s="1" t="n">
        <v>44487</v>
      </c>
      <c r="C233" s="1" t="n">
        <v>45974</v>
      </c>
      <c r="D233" t="inlineStr">
        <is>
          <t>ÖSTERGÖTLANDS LÄN</t>
        </is>
      </c>
      <c r="E233" t="inlineStr">
        <is>
          <t>LINKÖPING</t>
        </is>
      </c>
      <c r="F233" t="inlineStr">
        <is>
          <t>Övriga Aktiebolag</t>
        </is>
      </c>
      <c r="G233" t="n">
        <v>0.8</v>
      </c>
      <c r="H233" t="n">
        <v>0</v>
      </c>
      <c r="I233" t="n">
        <v>0</v>
      </c>
      <c r="J233" t="n">
        <v>0</v>
      </c>
      <c r="K233" t="n">
        <v>0</v>
      </c>
      <c r="L233" t="n">
        <v>0</v>
      </c>
      <c r="M233" t="n">
        <v>0</v>
      </c>
      <c r="N233" t="n">
        <v>0</v>
      </c>
      <c r="O233" t="n">
        <v>0</v>
      </c>
      <c r="P233" t="n">
        <v>0</v>
      </c>
      <c r="Q233" t="n">
        <v>0</v>
      </c>
      <c r="R233" s="2" t="inlineStr"/>
    </row>
    <row r="234" ht="15" customHeight="1">
      <c r="A234" t="inlineStr">
        <is>
          <t>A 53812-2023</t>
        </is>
      </c>
      <c r="B234" s="1" t="n">
        <v>45231.39583333334</v>
      </c>
      <c r="C234" s="1" t="n">
        <v>45974</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53830-2023</t>
        </is>
      </c>
      <c r="B235" s="1" t="n">
        <v>45230</v>
      </c>
      <c r="C235" s="1" t="n">
        <v>45974</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25418-2023</t>
        </is>
      </c>
      <c r="B236" s="1" t="n">
        <v>45089</v>
      </c>
      <c r="C236" s="1" t="n">
        <v>45974</v>
      </c>
      <c r="D236" t="inlineStr">
        <is>
          <t>ÖSTERGÖTLANDS LÄN</t>
        </is>
      </c>
      <c r="E236" t="inlineStr">
        <is>
          <t>LINKÖPING</t>
        </is>
      </c>
      <c r="F236" t="inlineStr">
        <is>
          <t>Övriga Aktiebolag</t>
        </is>
      </c>
      <c r="G236" t="n">
        <v>2.4</v>
      </c>
      <c r="H236" t="n">
        <v>0</v>
      </c>
      <c r="I236" t="n">
        <v>0</v>
      </c>
      <c r="J236" t="n">
        <v>0</v>
      </c>
      <c r="K236" t="n">
        <v>0</v>
      </c>
      <c r="L236" t="n">
        <v>0</v>
      </c>
      <c r="M236" t="n">
        <v>0</v>
      </c>
      <c r="N236" t="n">
        <v>0</v>
      </c>
      <c r="O236" t="n">
        <v>0</v>
      </c>
      <c r="P236" t="n">
        <v>0</v>
      </c>
      <c r="Q236" t="n">
        <v>0</v>
      </c>
      <c r="R236" s="2" t="inlineStr"/>
    </row>
    <row r="237" ht="15" customHeight="1">
      <c r="A237" t="inlineStr">
        <is>
          <t>A 56841-2023</t>
        </is>
      </c>
      <c r="B237" s="1" t="n">
        <v>45244</v>
      </c>
      <c r="C237" s="1" t="n">
        <v>45974</v>
      </c>
      <c r="D237" t="inlineStr">
        <is>
          <t>ÖSTERGÖTLANDS LÄN</t>
        </is>
      </c>
      <c r="E237" t="inlineStr">
        <is>
          <t>LINKÖPING</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22772-2024</t>
        </is>
      </c>
      <c r="B238" s="1" t="n">
        <v>45448.46712962963</v>
      </c>
      <c r="C238" s="1" t="n">
        <v>45974</v>
      </c>
      <c r="D238" t="inlineStr">
        <is>
          <t>ÖSTERGÖTLANDS LÄN</t>
        </is>
      </c>
      <c r="E238" t="inlineStr">
        <is>
          <t>LINKÖPING</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56741-2023</t>
        </is>
      </c>
      <c r="B239" s="1" t="n">
        <v>45244</v>
      </c>
      <c r="C239" s="1" t="n">
        <v>45974</v>
      </c>
      <c r="D239" t="inlineStr">
        <is>
          <t>ÖSTERGÖTLANDS LÄN</t>
        </is>
      </c>
      <c r="E239" t="inlineStr">
        <is>
          <t>LINKÖPING</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53816-2023</t>
        </is>
      </c>
      <c r="B240" s="1" t="n">
        <v>45231.40012731482</v>
      </c>
      <c r="C240" s="1" t="n">
        <v>45974</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20455-2024</t>
        </is>
      </c>
      <c r="B241" s="1" t="n">
        <v>45435.65314814815</v>
      </c>
      <c r="C241" s="1" t="n">
        <v>45974</v>
      </c>
      <c r="D241" t="inlineStr">
        <is>
          <t>ÖSTERGÖTLANDS LÄN</t>
        </is>
      </c>
      <c r="E241" t="inlineStr">
        <is>
          <t>LINKÖPING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19362-2023</t>
        </is>
      </c>
      <c r="B242" s="1" t="n">
        <v>45049</v>
      </c>
      <c r="C242" s="1" t="n">
        <v>45974</v>
      </c>
      <c r="D242" t="inlineStr">
        <is>
          <t>ÖSTERGÖTLANDS LÄN</t>
        </is>
      </c>
      <c r="E242" t="inlineStr">
        <is>
          <t>LINKÖPING</t>
        </is>
      </c>
      <c r="G242" t="n">
        <v>0.1</v>
      </c>
      <c r="H242" t="n">
        <v>0</v>
      </c>
      <c r="I242" t="n">
        <v>0</v>
      </c>
      <c r="J242" t="n">
        <v>0</v>
      </c>
      <c r="K242" t="n">
        <v>0</v>
      </c>
      <c r="L242" t="n">
        <v>0</v>
      </c>
      <c r="M242" t="n">
        <v>0</v>
      </c>
      <c r="N242" t="n">
        <v>0</v>
      </c>
      <c r="O242" t="n">
        <v>0</v>
      </c>
      <c r="P242" t="n">
        <v>0</v>
      </c>
      <c r="Q242" t="n">
        <v>0</v>
      </c>
      <c r="R242" s="2" t="inlineStr"/>
    </row>
    <row r="243" ht="15" customHeight="1">
      <c r="A243" t="inlineStr">
        <is>
          <t>A 224-2024</t>
        </is>
      </c>
      <c r="B243" s="1" t="n">
        <v>45294</v>
      </c>
      <c r="C243" s="1" t="n">
        <v>45974</v>
      </c>
      <c r="D243" t="inlineStr">
        <is>
          <t>ÖSTERGÖTLANDS LÄN</t>
        </is>
      </c>
      <c r="E243" t="inlineStr">
        <is>
          <t>LINKÖPING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63935-2021</t>
        </is>
      </c>
      <c r="B244" s="1" t="n">
        <v>44509</v>
      </c>
      <c r="C244" s="1" t="n">
        <v>45974</v>
      </c>
      <c r="D244" t="inlineStr">
        <is>
          <t>ÖSTERGÖTLANDS LÄN</t>
        </is>
      </c>
      <c r="E244" t="inlineStr">
        <is>
          <t>LINKÖPING</t>
        </is>
      </c>
      <c r="F244" t="inlineStr">
        <is>
          <t>Övriga statliga verk och myndigheter</t>
        </is>
      </c>
      <c r="G244" t="n">
        <v>2.8</v>
      </c>
      <c r="H244" t="n">
        <v>0</v>
      </c>
      <c r="I244" t="n">
        <v>0</v>
      </c>
      <c r="J244" t="n">
        <v>0</v>
      </c>
      <c r="K244" t="n">
        <v>0</v>
      </c>
      <c r="L244" t="n">
        <v>0</v>
      </c>
      <c r="M244" t="n">
        <v>0</v>
      </c>
      <c r="N244" t="n">
        <v>0</v>
      </c>
      <c r="O244" t="n">
        <v>0</v>
      </c>
      <c r="P244" t="n">
        <v>0</v>
      </c>
      <c r="Q244" t="n">
        <v>0</v>
      </c>
      <c r="R244" s="2" t="inlineStr"/>
    </row>
    <row r="245" ht="15" customHeight="1">
      <c r="A245" t="inlineStr">
        <is>
          <t>A 54845-2023</t>
        </is>
      </c>
      <c r="B245" s="1" t="n">
        <v>45236</v>
      </c>
      <c r="C245" s="1" t="n">
        <v>45974</v>
      </c>
      <c r="D245" t="inlineStr">
        <is>
          <t>ÖSTERGÖTLANDS LÄN</t>
        </is>
      </c>
      <c r="E245" t="inlineStr">
        <is>
          <t>LINKÖPING</t>
        </is>
      </c>
      <c r="F245" t="inlineStr">
        <is>
          <t>Övriga Aktiebolag</t>
        </is>
      </c>
      <c r="G245" t="n">
        <v>5.7</v>
      </c>
      <c r="H245" t="n">
        <v>0</v>
      </c>
      <c r="I245" t="n">
        <v>0</v>
      </c>
      <c r="J245" t="n">
        <v>0</v>
      </c>
      <c r="K245" t="n">
        <v>0</v>
      </c>
      <c r="L245" t="n">
        <v>0</v>
      </c>
      <c r="M245" t="n">
        <v>0</v>
      </c>
      <c r="N245" t="n">
        <v>0</v>
      </c>
      <c r="O245" t="n">
        <v>0</v>
      </c>
      <c r="P245" t="n">
        <v>0</v>
      </c>
      <c r="Q245" t="n">
        <v>0</v>
      </c>
      <c r="R245" s="2" t="inlineStr"/>
    </row>
    <row r="246" ht="15" customHeight="1">
      <c r="A246" t="inlineStr">
        <is>
          <t>A 6726-2024</t>
        </is>
      </c>
      <c r="B246" s="1" t="n">
        <v>45341</v>
      </c>
      <c r="C246" s="1" t="n">
        <v>45974</v>
      </c>
      <c r="D246" t="inlineStr">
        <is>
          <t>ÖSTERGÖTLANDS LÄN</t>
        </is>
      </c>
      <c r="E246" t="inlineStr">
        <is>
          <t>LINKÖPING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19132-2023</t>
        </is>
      </c>
      <c r="B247" s="1" t="n">
        <v>45048.54754629629</v>
      </c>
      <c r="C247" s="1" t="n">
        <v>45974</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3007-2023</t>
        </is>
      </c>
      <c r="B248" s="1" t="n">
        <v>44945</v>
      </c>
      <c r="C248" s="1" t="n">
        <v>45974</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18145-2021</t>
        </is>
      </c>
      <c r="B249" s="1" t="n">
        <v>44302</v>
      </c>
      <c r="C249" s="1" t="n">
        <v>45974</v>
      </c>
      <c r="D249" t="inlineStr">
        <is>
          <t>ÖSTERGÖTLANDS LÄN</t>
        </is>
      </c>
      <c r="E249" t="inlineStr">
        <is>
          <t>LINKÖPING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55944-2024</t>
        </is>
      </c>
      <c r="B250" s="1" t="n">
        <v>45623.61640046296</v>
      </c>
      <c r="C250" s="1" t="n">
        <v>45974</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55947-2024</t>
        </is>
      </c>
      <c r="B251" s="1" t="n">
        <v>45623</v>
      </c>
      <c r="C251" s="1" t="n">
        <v>45974</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3374-2023</t>
        </is>
      </c>
      <c r="B252" s="1" t="n">
        <v>44949</v>
      </c>
      <c r="C252" s="1" t="n">
        <v>45974</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62488-2023</t>
        </is>
      </c>
      <c r="B253" s="1" t="n">
        <v>45268.5847337963</v>
      </c>
      <c r="C253" s="1" t="n">
        <v>45974</v>
      </c>
      <c r="D253" t="inlineStr">
        <is>
          <t>ÖSTERGÖTLANDS LÄN</t>
        </is>
      </c>
      <c r="E253" t="inlineStr">
        <is>
          <t>LINKÖPING</t>
        </is>
      </c>
      <c r="G253" t="n">
        <v>4.1</v>
      </c>
      <c r="H253" t="n">
        <v>0</v>
      </c>
      <c r="I253" t="n">
        <v>0</v>
      </c>
      <c r="J253" t="n">
        <v>0</v>
      </c>
      <c r="K253" t="n">
        <v>0</v>
      </c>
      <c r="L253" t="n">
        <v>0</v>
      </c>
      <c r="M253" t="n">
        <v>0</v>
      </c>
      <c r="N253" t="n">
        <v>0</v>
      </c>
      <c r="O253" t="n">
        <v>0</v>
      </c>
      <c r="P253" t="n">
        <v>0</v>
      </c>
      <c r="Q253" t="n">
        <v>0</v>
      </c>
      <c r="R253" s="2" t="inlineStr"/>
    </row>
    <row r="254" ht="15" customHeight="1">
      <c r="A254" t="inlineStr">
        <is>
          <t>A 29309-2024</t>
        </is>
      </c>
      <c r="B254" s="1" t="n">
        <v>45483</v>
      </c>
      <c r="C254" s="1" t="n">
        <v>45974</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24351-2024</t>
        </is>
      </c>
      <c r="B255" s="1" t="n">
        <v>45457.59011574074</v>
      </c>
      <c r="C255" s="1" t="n">
        <v>45974</v>
      </c>
      <c r="D255" t="inlineStr">
        <is>
          <t>ÖSTERGÖTLANDS LÄN</t>
        </is>
      </c>
      <c r="E255" t="inlineStr">
        <is>
          <t>LINKÖPING</t>
        </is>
      </c>
      <c r="G255" t="n">
        <v>11.9</v>
      </c>
      <c r="H255" t="n">
        <v>0</v>
      </c>
      <c r="I255" t="n">
        <v>0</v>
      </c>
      <c r="J255" t="n">
        <v>0</v>
      </c>
      <c r="K255" t="n">
        <v>0</v>
      </c>
      <c r="L255" t="n">
        <v>0</v>
      </c>
      <c r="M255" t="n">
        <v>0</v>
      </c>
      <c r="N255" t="n">
        <v>0</v>
      </c>
      <c r="O255" t="n">
        <v>0</v>
      </c>
      <c r="P255" t="n">
        <v>0</v>
      </c>
      <c r="Q255" t="n">
        <v>0</v>
      </c>
      <c r="R255" s="2" t="inlineStr"/>
    </row>
    <row r="256" ht="15" customHeight="1">
      <c r="A256" t="inlineStr">
        <is>
          <t>A 24151-2024</t>
        </is>
      </c>
      <c r="B256" s="1" t="n">
        <v>45456.67717592593</v>
      </c>
      <c r="C256" s="1" t="n">
        <v>45974</v>
      </c>
      <c r="D256" t="inlineStr">
        <is>
          <t>ÖSTERGÖTLANDS LÄN</t>
        </is>
      </c>
      <c r="E256" t="inlineStr">
        <is>
          <t>LINKÖPING</t>
        </is>
      </c>
      <c r="G256" t="n">
        <v>2.1</v>
      </c>
      <c r="H256" t="n">
        <v>0</v>
      </c>
      <c r="I256" t="n">
        <v>0</v>
      </c>
      <c r="J256" t="n">
        <v>0</v>
      </c>
      <c r="K256" t="n">
        <v>0</v>
      </c>
      <c r="L256" t="n">
        <v>0</v>
      </c>
      <c r="M256" t="n">
        <v>0</v>
      </c>
      <c r="N256" t="n">
        <v>0</v>
      </c>
      <c r="O256" t="n">
        <v>0</v>
      </c>
      <c r="P256" t="n">
        <v>0</v>
      </c>
      <c r="Q256" t="n">
        <v>0</v>
      </c>
      <c r="R256" s="2" t="inlineStr"/>
    </row>
    <row r="257" ht="15" customHeight="1">
      <c r="A257" t="inlineStr">
        <is>
          <t>A 53411-2023</t>
        </is>
      </c>
      <c r="B257" s="1" t="n">
        <v>45229.81049768518</v>
      </c>
      <c r="C257" s="1" t="n">
        <v>45974</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26788-2022</t>
        </is>
      </c>
      <c r="B258" s="1" t="n">
        <v>44740</v>
      </c>
      <c r="C258" s="1" t="n">
        <v>45974</v>
      </c>
      <c r="D258" t="inlineStr">
        <is>
          <t>ÖSTERGÖTLANDS LÄN</t>
        </is>
      </c>
      <c r="E258" t="inlineStr">
        <is>
          <t>LINKÖPING</t>
        </is>
      </c>
      <c r="G258" t="n">
        <v>3.2</v>
      </c>
      <c r="H258" t="n">
        <v>0</v>
      </c>
      <c r="I258" t="n">
        <v>0</v>
      </c>
      <c r="J258" t="n">
        <v>0</v>
      </c>
      <c r="K258" t="n">
        <v>0</v>
      </c>
      <c r="L258" t="n">
        <v>0</v>
      </c>
      <c r="M258" t="n">
        <v>0</v>
      </c>
      <c r="N258" t="n">
        <v>0</v>
      </c>
      <c r="O258" t="n">
        <v>0</v>
      </c>
      <c r="P258" t="n">
        <v>0</v>
      </c>
      <c r="Q258" t="n">
        <v>0</v>
      </c>
      <c r="R258" s="2" t="inlineStr"/>
    </row>
    <row r="259" ht="15" customHeight="1">
      <c r="A259" t="inlineStr">
        <is>
          <t>A 52796-2023</t>
        </is>
      </c>
      <c r="B259" s="1" t="n">
        <v>45219</v>
      </c>
      <c r="C259" s="1" t="n">
        <v>45974</v>
      </c>
      <c r="D259" t="inlineStr">
        <is>
          <t>ÖSTERGÖTLANDS LÄN</t>
        </is>
      </c>
      <c r="E259" t="inlineStr">
        <is>
          <t>LINKÖPING</t>
        </is>
      </c>
      <c r="F259" t="inlineStr">
        <is>
          <t>Övriga statliga verk och myndigheter</t>
        </is>
      </c>
      <c r="G259" t="n">
        <v>3.9</v>
      </c>
      <c r="H259" t="n">
        <v>0</v>
      </c>
      <c r="I259" t="n">
        <v>0</v>
      </c>
      <c r="J259" t="n">
        <v>0</v>
      </c>
      <c r="K259" t="n">
        <v>0</v>
      </c>
      <c r="L259" t="n">
        <v>0</v>
      </c>
      <c r="M259" t="n">
        <v>0</v>
      </c>
      <c r="N259" t="n">
        <v>0</v>
      </c>
      <c r="O259" t="n">
        <v>0</v>
      </c>
      <c r="P259" t="n">
        <v>0</v>
      </c>
      <c r="Q259" t="n">
        <v>0</v>
      </c>
      <c r="R259" s="2" t="inlineStr"/>
    </row>
    <row r="260" ht="15" customHeight="1">
      <c r="A260" t="inlineStr">
        <is>
          <t>A 24462-2023</t>
        </is>
      </c>
      <c r="B260" s="1" t="n">
        <v>45082</v>
      </c>
      <c r="C260" s="1" t="n">
        <v>45974</v>
      </c>
      <c r="D260" t="inlineStr">
        <is>
          <t>ÖSTERGÖTLANDS LÄN</t>
        </is>
      </c>
      <c r="E260" t="inlineStr">
        <is>
          <t>LINKÖPING</t>
        </is>
      </c>
      <c r="G260" t="n">
        <v>3.5</v>
      </c>
      <c r="H260" t="n">
        <v>0</v>
      </c>
      <c r="I260" t="n">
        <v>0</v>
      </c>
      <c r="J260" t="n">
        <v>0</v>
      </c>
      <c r="K260" t="n">
        <v>0</v>
      </c>
      <c r="L260" t="n">
        <v>0</v>
      </c>
      <c r="M260" t="n">
        <v>0</v>
      </c>
      <c r="N260" t="n">
        <v>0</v>
      </c>
      <c r="O260" t="n">
        <v>0</v>
      </c>
      <c r="P260" t="n">
        <v>0</v>
      </c>
      <c r="Q260" t="n">
        <v>0</v>
      </c>
      <c r="R260" s="2" t="inlineStr"/>
    </row>
    <row r="261" ht="15" customHeight="1">
      <c r="A261" t="inlineStr">
        <is>
          <t>A 62015-2024</t>
        </is>
      </c>
      <c r="B261" s="1" t="n">
        <v>45655.80457175926</v>
      </c>
      <c r="C261" s="1" t="n">
        <v>45974</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31635-2023</t>
        </is>
      </c>
      <c r="B262" s="1" t="n">
        <v>45105</v>
      </c>
      <c r="C262" s="1" t="n">
        <v>45974</v>
      </c>
      <c r="D262" t="inlineStr">
        <is>
          <t>ÖSTERGÖTLANDS LÄN</t>
        </is>
      </c>
      <c r="E262" t="inlineStr">
        <is>
          <t>LINKÖPING</t>
        </is>
      </c>
      <c r="F262" t="inlineStr">
        <is>
          <t>Övriga statliga verk och myndigheter</t>
        </is>
      </c>
      <c r="G262" t="n">
        <v>4.6</v>
      </c>
      <c r="H262" t="n">
        <v>0</v>
      </c>
      <c r="I262" t="n">
        <v>0</v>
      </c>
      <c r="J262" t="n">
        <v>0</v>
      </c>
      <c r="K262" t="n">
        <v>0</v>
      </c>
      <c r="L262" t="n">
        <v>0</v>
      </c>
      <c r="M262" t="n">
        <v>0</v>
      </c>
      <c r="N262" t="n">
        <v>0</v>
      </c>
      <c r="O262" t="n">
        <v>0</v>
      </c>
      <c r="P262" t="n">
        <v>0</v>
      </c>
      <c r="Q262" t="n">
        <v>0</v>
      </c>
      <c r="R262" s="2" t="inlineStr"/>
    </row>
    <row r="263" ht="15" customHeight="1">
      <c r="A263" t="inlineStr">
        <is>
          <t>A 20296-2025</t>
        </is>
      </c>
      <c r="B263" s="1" t="n">
        <v>45774.74922453704</v>
      </c>
      <c r="C263" s="1" t="n">
        <v>45974</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67129-2020</t>
        </is>
      </c>
      <c r="B264" s="1" t="n">
        <v>44180</v>
      </c>
      <c r="C264" s="1" t="n">
        <v>45974</v>
      </c>
      <c r="D264" t="inlineStr">
        <is>
          <t>ÖSTERGÖTLANDS LÄN</t>
        </is>
      </c>
      <c r="E264" t="inlineStr">
        <is>
          <t>LINKÖPING</t>
        </is>
      </c>
      <c r="F264" t="inlineStr">
        <is>
          <t>Övriga statliga verk och myndigheter</t>
        </is>
      </c>
      <c r="G264" t="n">
        <v>2.7</v>
      </c>
      <c r="H264" t="n">
        <v>0</v>
      </c>
      <c r="I264" t="n">
        <v>0</v>
      </c>
      <c r="J264" t="n">
        <v>0</v>
      </c>
      <c r="K264" t="n">
        <v>0</v>
      </c>
      <c r="L264" t="n">
        <v>0</v>
      </c>
      <c r="M264" t="n">
        <v>0</v>
      </c>
      <c r="N264" t="n">
        <v>0</v>
      </c>
      <c r="O264" t="n">
        <v>0</v>
      </c>
      <c r="P264" t="n">
        <v>0</v>
      </c>
      <c r="Q264" t="n">
        <v>0</v>
      </c>
      <c r="R264" s="2" t="inlineStr"/>
    </row>
    <row r="265" ht="15" customHeight="1">
      <c r="A265" t="inlineStr">
        <is>
          <t>A 10741-2023</t>
        </is>
      </c>
      <c r="B265" s="1" t="n">
        <v>44988.70084490741</v>
      </c>
      <c r="C265" s="1" t="n">
        <v>45974</v>
      </c>
      <c r="D265" t="inlineStr">
        <is>
          <t>ÖSTERGÖTLANDS LÄN</t>
        </is>
      </c>
      <c r="E265" t="inlineStr">
        <is>
          <t>LINKÖPING</t>
        </is>
      </c>
      <c r="F265" t="inlineStr">
        <is>
          <t>Allmännings- och besparingsskogar</t>
        </is>
      </c>
      <c r="G265" t="n">
        <v>11.2</v>
      </c>
      <c r="H265" t="n">
        <v>0</v>
      </c>
      <c r="I265" t="n">
        <v>0</v>
      </c>
      <c r="J265" t="n">
        <v>0</v>
      </c>
      <c r="K265" t="n">
        <v>0</v>
      </c>
      <c r="L265" t="n">
        <v>0</v>
      </c>
      <c r="M265" t="n">
        <v>0</v>
      </c>
      <c r="N265" t="n">
        <v>0</v>
      </c>
      <c r="O265" t="n">
        <v>0</v>
      </c>
      <c r="P265" t="n">
        <v>0</v>
      </c>
      <c r="Q265" t="n">
        <v>0</v>
      </c>
      <c r="R265" s="2" t="inlineStr"/>
    </row>
    <row r="266" ht="15" customHeight="1">
      <c r="A266" t="inlineStr">
        <is>
          <t>A 67123-2020</t>
        </is>
      </c>
      <c r="B266" s="1" t="n">
        <v>44180</v>
      </c>
      <c r="C266" s="1" t="n">
        <v>45974</v>
      </c>
      <c r="D266" t="inlineStr">
        <is>
          <t>ÖSTERGÖTLANDS LÄN</t>
        </is>
      </c>
      <c r="E266" t="inlineStr">
        <is>
          <t>LINKÖPING</t>
        </is>
      </c>
      <c r="F266" t="inlineStr">
        <is>
          <t>Övriga statliga verk och myndigheter</t>
        </is>
      </c>
      <c r="G266" t="n">
        <v>1.3</v>
      </c>
      <c r="H266" t="n">
        <v>0</v>
      </c>
      <c r="I266" t="n">
        <v>0</v>
      </c>
      <c r="J266" t="n">
        <v>0</v>
      </c>
      <c r="K266" t="n">
        <v>0</v>
      </c>
      <c r="L266" t="n">
        <v>0</v>
      </c>
      <c r="M266" t="n">
        <v>0</v>
      </c>
      <c r="N266" t="n">
        <v>0</v>
      </c>
      <c r="O266" t="n">
        <v>0</v>
      </c>
      <c r="P266" t="n">
        <v>0</v>
      </c>
      <c r="Q266" t="n">
        <v>0</v>
      </c>
      <c r="R266" s="2" t="inlineStr"/>
    </row>
    <row r="267" ht="15" customHeight="1">
      <c r="A267" t="inlineStr">
        <is>
          <t>A 43473-2024</t>
        </is>
      </c>
      <c r="B267" s="1" t="n">
        <v>45568</v>
      </c>
      <c r="C267" s="1" t="n">
        <v>45974</v>
      </c>
      <c r="D267" t="inlineStr">
        <is>
          <t>ÖSTERGÖTLANDS LÄN</t>
        </is>
      </c>
      <c r="E267" t="inlineStr">
        <is>
          <t>LINKÖPING</t>
        </is>
      </c>
      <c r="G267" t="n">
        <v>0.7</v>
      </c>
      <c r="H267" t="n">
        <v>0</v>
      </c>
      <c r="I267" t="n">
        <v>0</v>
      </c>
      <c r="J267" t="n">
        <v>0</v>
      </c>
      <c r="K267" t="n">
        <v>0</v>
      </c>
      <c r="L267" t="n">
        <v>0</v>
      </c>
      <c r="M267" t="n">
        <v>0</v>
      </c>
      <c r="N267" t="n">
        <v>0</v>
      </c>
      <c r="O267" t="n">
        <v>0</v>
      </c>
      <c r="P267" t="n">
        <v>0</v>
      </c>
      <c r="Q267" t="n">
        <v>0</v>
      </c>
      <c r="R267" s="2" t="inlineStr"/>
    </row>
    <row r="268" ht="15" customHeight="1">
      <c r="A268" t="inlineStr">
        <is>
          <t>A 43475-2024</t>
        </is>
      </c>
      <c r="B268" s="1" t="n">
        <v>45568</v>
      </c>
      <c r="C268" s="1" t="n">
        <v>45974</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1207-2023</t>
        </is>
      </c>
      <c r="B269" s="1" t="n">
        <v>44930</v>
      </c>
      <c r="C269" s="1" t="n">
        <v>45974</v>
      </c>
      <c r="D269" t="inlineStr">
        <is>
          <t>ÖSTERGÖTLANDS LÄN</t>
        </is>
      </c>
      <c r="E269" t="inlineStr">
        <is>
          <t>LINKÖPING</t>
        </is>
      </c>
      <c r="F269" t="inlineStr">
        <is>
          <t>Övriga statliga verk och myndigheter</t>
        </is>
      </c>
      <c r="G269" t="n">
        <v>32.8</v>
      </c>
      <c r="H269" t="n">
        <v>0</v>
      </c>
      <c r="I269" t="n">
        <v>0</v>
      </c>
      <c r="J269" t="n">
        <v>0</v>
      </c>
      <c r="K269" t="n">
        <v>0</v>
      </c>
      <c r="L269" t="n">
        <v>0</v>
      </c>
      <c r="M269" t="n">
        <v>0</v>
      </c>
      <c r="N269" t="n">
        <v>0</v>
      </c>
      <c r="O269" t="n">
        <v>0</v>
      </c>
      <c r="P269" t="n">
        <v>0</v>
      </c>
      <c r="Q269" t="n">
        <v>0</v>
      </c>
      <c r="R269" s="2" t="inlineStr"/>
    </row>
    <row r="270" ht="15" customHeight="1">
      <c r="A270" t="inlineStr">
        <is>
          <t>A 29859-2024</t>
        </is>
      </c>
      <c r="B270" s="1" t="n">
        <v>45485.6846412037</v>
      </c>
      <c r="C270" s="1" t="n">
        <v>45974</v>
      </c>
      <c r="D270" t="inlineStr">
        <is>
          <t>ÖSTERGÖTLANDS LÄN</t>
        </is>
      </c>
      <c r="E270" t="inlineStr">
        <is>
          <t>LINKÖPING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45819-2024</t>
        </is>
      </c>
      <c r="B271" s="1" t="n">
        <v>45579.7454050926</v>
      </c>
      <c r="C271" s="1" t="n">
        <v>45974</v>
      </c>
      <c r="D271" t="inlineStr">
        <is>
          <t>ÖSTERGÖTLANDS LÄN</t>
        </is>
      </c>
      <c r="E271" t="inlineStr">
        <is>
          <t>LINKÖPING</t>
        </is>
      </c>
      <c r="G271" t="n">
        <v>5</v>
      </c>
      <c r="H271" t="n">
        <v>0</v>
      </c>
      <c r="I271" t="n">
        <v>0</v>
      </c>
      <c r="J271" t="n">
        <v>0</v>
      </c>
      <c r="K271" t="n">
        <v>0</v>
      </c>
      <c r="L271" t="n">
        <v>0</v>
      </c>
      <c r="M271" t="n">
        <v>0</v>
      </c>
      <c r="N271" t="n">
        <v>0</v>
      </c>
      <c r="O271" t="n">
        <v>0</v>
      </c>
      <c r="P271" t="n">
        <v>0</v>
      </c>
      <c r="Q271" t="n">
        <v>0</v>
      </c>
      <c r="R271" s="2" t="inlineStr"/>
    </row>
    <row r="272" ht="15" customHeight="1">
      <c r="A272" t="inlineStr">
        <is>
          <t>A 15748-2025</t>
        </is>
      </c>
      <c r="B272" s="1" t="n">
        <v>45748.55282407408</v>
      </c>
      <c r="C272" s="1" t="n">
        <v>45974</v>
      </c>
      <c r="D272" t="inlineStr">
        <is>
          <t>ÖSTERGÖTLANDS LÄN</t>
        </is>
      </c>
      <c r="E272" t="inlineStr">
        <is>
          <t>LINKÖPING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15754-2025</t>
        </is>
      </c>
      <c r="B273" s="1" t="n">
        <v>45748.56105324074</v>
      </c>
      <c r="C273" s="1" t="n">
        <v>45974</v>
      </c>
      <c r="D273" t="inlineStr">
        <is>
          <t>ÖSTERGÖTLANDS LÄN</t>
        </is>
      </c>
      <c r="E273" t="inlineStr">
        <is>
          <t>LINKÖPING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30855-2022</t>
        </is>
      </c>
      <c r="B274" s="1" t="n">
        <v>44767</v>
      </c>
      <c r="C274" s="1" t="n">
        <v>45974</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22770-2024</t>
        </is>
      </c>
      <c r="B275" s="1" t="n">
        <v>45448.4634375</v>
      </c>
      <c r="C275" s="1" t="n">
        <v>45974</v>
      </c>
      <c r="D275" t="inlineStr">
        <is>
          <t>ÖSTERGÖTLANDS LÄN</t>
        </is>
      </c>
      <c r="E275" t="inlineStr">
        <is>
          <t>LINKÖPING</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30518-2024</t>
        </is>
      </c>
      <c r="B276" s="1" t="n">
        <v>45492</v>
      </c>
      <c r="C276" s="1" t="n">
        <v>45974</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14576-2023</t>
        </is>
      </c>
      <c r="B277" s="1" t="n">
        <v>45013</v>
      </c>
      <c r="C277" s="1" t="n">
        <v>45974</v>
      </c>
      <c r="D277" t="inlineStr">
        <is>
          <t>ÖSTERGÖTLANDS LÄN</t>
        </is>
      </c>
      <c r="E277" t="inlineStr">
        <is>
          <t>LINKÖPING</t>
        </is>
      </c>
      <c r="G277" t="n">
        <v>3.2</v>
      </c>
      <c r="H277" t="n">
        <v>0</v>
      </c>
      <c r="I277" t="n">
        <v>0</v>
      </c>
      <c r="J277" t="n">
        <v>0</v>
      </c>
      <c r="K277" t="n">
        <v>0</v>
      </c>
      <c r="L277" t="n">
        <v>0</v>
      </c>
      <c r="M277" t="n">
        <v>0</v>
      </c>
      <c r="N277" t="n">
        <v>0</v>
      </c>
      <c r="O277" t="n">
        <v>0</v>
      </c>
      <c r="P277" t="n">
        <v>0</v>
      </c>
      <c r="Q277" t="n">
        <v>0</v>
      </c>
      <c r="R277" s="2" t="inlineStr"/>
    </row>
    <row r="278" ht="15" customHeight="1">
      <c r="A278" t="inlineStr">
        <is>
          <t>A 34877-2023</t>
        </is>
      </c>
      <c r="B278" s="1" t="n">
        <v>45140</v>
      </c>
      <c r="C278" s="1" t="n">
        <v>45974</v>
      </c>
      <c r="D278" t="inlineStr">
        <is>
          <t>ÖSTERGÖTLANDS LÄN</t>
        </is>
      </c>
      <c r="E278" t="inlineStr">
        <is>
          <t>LINKÖPING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53797-2023</t>
        </is>
      </c>
      <c r="B279" s="1" t="n">
        <v>45230</v>
      </c>
      <c r="C279" s="1" t="n">
        <v>45974</v>
      </c>
      <c r="D279" t="inlineStr">
        <is>
          <t>ÖSTERGÖTLANDS LÄN</t>
        </is>
      </c>
      <c r="E279" t="inlineStr">
        <is>
          <t>LINKÖPING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30856-2022</t>
        </is>
      </c>
      <c r="B280" s="1" t="n">
        <v>44767</v>
      </c>
      <c r="C280" s="1" t="n">
        <v>45974</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11595-2025</t>
        </is>
      </c>
      <c r="B281" s="1" t="n">
        <v>45727.41893518518</v>
      </c>
      <c r="C281" s="1" t="n">
        <v>45974</v>
      </c>
      <c r="D281" t="inlineStr">
        <is>
          <t>ÖSTERGÖTLANDS LÄN</t>
        </is>
      </c>
      <c r="E281" t="inlineStr">
        <is>
          <t>LINKÖPING</t>
        </is>
      </c>
      <c r="G281" t="n">
        <v>6.6</v>
      </c>
      <c r="H281" t="n">
        <v>0</v>
      </c>
      <c r="I281" t="n">
        <v>0</v>
      </c>
      <c r="J281" t="n">
        <v>0</v>
      </c>
      <c r="K281" t="n">
        <v>0</v>
      </c>
      <c r="L281" t="n">
        <v>0</v>
      </c>
      <c r="M281" t="n">
        <v>0</v>
      </c>
      <c r="N281" t="n">
        <v>0</v>
      </c>
      <c r="O281" t="n">
        <v>0</v>
      </c>
      <c r="P281" t="n">
        <v>0</v>
      </c>
      <c r="Q281" t="n">
        <v>0</v>
      </c>
      <c r="R281" s="2" t="inlineStr"/>
    </row>
    <row r="282" ht="15" customHeight="1">
      <c r="A282" t="inlineStr">
        <is>
          <t>A 74160-2021</t>
        </is>
      </c>
      <c r="B282" s="1" t="n">
        <v>44558</v>
      </c>
      <c r="C282" s="1" t="n">
        <v>45974</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55345-2021</t>
        </is>
      </c>
      <c r="B283" s="1" t="n">
        <v>44475</v>
      </c>
      <c r="C283" s="1" t="n">
        <v>45974</v>
      </c>
      <c r="D283" t="inlineStr">
        <is>
          <t>ÖSTERGÖTLANDS LÄN</t>
        </is>
      </c>
      <c r="E283" t="inlineStr">
        <is>
          <t>LINKÖPING</t>
        </is>
      </c>
      <c r="G283" t="n">
        <v>5.7</v>
      </c>
      <c r="H283" t="n">
        <v>0</v>
      </c>
      <c r="I283" t="n">
        <v>0</v>
      </c>
      <c r="J283" t="n">
        <v>0</v>
      </c>
      <c r="K283" t="n">
        <v>0</v>
      </c>
      <c r="L283" t="n">
        <v>0</v>
      </c>
      <c r="M283" t="n">
        <v>0</v>
      </c>
      <c r="N283" t="n">
        <v>0</v>
      </c>
      <c r="O283" t="n">
        <v>0</v>
      </c>
      <c r="P283" t="n">
        <v>0</v>
      </c>
      <c r="Q283" t="n">
        <v>0</v>
      </c>
      <c r="R283" s="2" t="inlineStr"/>
    </row>
    <row r="284" ht="15" customHeight="1">
      <c r="A284" t="inlineStr">
        <is>
          <t>A 59954-2020</t>
        </is>
      </c>
      <c r="B284" s="1" t="n">
        <v>44151</v>
      </c>
      <c r="C284" s="1" t="n">
        <v>45974</v>
      </c>
      <c r="D284" t="inlineStr">
        <is>
          <t>ÖSTERGÖTLANDS LÄN</t>
        </is>
      </c>
      <c r="E284" t="inlineStr">
        <is>
          <t>LINKÖPING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59969-2020</t>
        </is>
      </c>
      <c r="B285" s="1" t="n">
        <v>44151</v>
      </c>
      <c r="C285" s="1" t="n">
        <v>45974</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10198-2023</t>
        </is>
      </c>
      <c r="B286" s="1" t="n">
        <v>44986.54665509259</v>
      </c>
      <c r="C286" s="1" t="n">
        <v>45974</v>
      </c>
      <c r="D286" t="inlineStr">
        <is>
          <t>ÖSTERGÖTLANDS LÄN</t>
        </is>
      </c>
      <c r="E286" t="inlineStr">
        <is>
          <t>LINKÖPING</t>
        </is>
      </c>
      <c r="G286" t="n">
        <v>4.6</v>
      </c>
      <c r="H286" t="n">
        <v>0</v>
      </c>
      <c r="I286" t="n">
        <v>0</v>
      </c>
      <c r="J286" t="n">
        <v>0</v>
      </c>
      <c r="K286" t="n">
        <v>0</v>
      </c>
      <c r="L286" t="n">
        <v>0</v>
      </c>
      <c r="M286" t="n">
        <v>0</v>
      </c>
      <c r="N286" t="n">
        <v>0</v>
      </c>
      <c r="O286" t="n">
        <v>0</v>
      </c>
      <c r="P286" t="n">
        <v>0</v>
      </c>
      <c r="Q286" t="n">
        <v>0</v>
      </c>
      <c r="R286" s="2" t="inlineStr"/>
    </row>
    <row r="287" ht="15" customHeight="1">
      <c r="A287" t="inlineStr">
        <is>
          <t>A 4298-2023</t>
        </is>
      </c>
      <c r="B287" s="1" t="n">
        <v>44953</v>
      </c>
      <c r="C287" s="1" t="n">
        <v>45974</v>
      </c>
      <c r="D287" t="inlineStr">
        <is>
          <t>ÖSTERGÖTLANDS LÄN</t>
        </is>
      </c>
      <c r="E287" t="inlineStr">
        <is>
          <t>LINKÖPING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57745-2022</t>
        </is>
      </c>
      <c r="B288" s="1" t="n">
        <v>44897.58119212963</v>
      </c>
      <c r="C288" s="1" t="n">
        <v>45974</v>
      </c>
      <c r="D288" t="inlineStr">
        <is>
          <t>ÖSTERGÖTLANDS LÄN</t>
        </is>
      </c>
      <c r="E288" t="inlineStr">
        <is>
          <t>LINKÖPING</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27766-2022</t>
        </is>
      </c>
      <c r="B289" s="1" t="n">
        <v>44743.53112268518</v>
      </c>
      <c r="C289" s="1" t="n">
        <v>45974</v>
      </c>
      <c r="D289" t="inlineStr">
        <is>
          <t>ÖSTERGÖTLANDS LÄN</t>
        </is>
      </c>
      <c r="E289" t="inlineStr">
        <is>
          <t>LINKÖPING</t>
        </is>
      </c>
      <c r="G289" t="n">
        <v>2</v>
      </c>
      <c r="H289" t="n">
        <v>0</v>
      </c>
      <c r="I289" t="n">
        <v>0</v>
      </c>
      <c r="J289" t="n">
        <v>0</v>
      </c>
      <c r="K289" t="n">
        <v>0</v>
      </c>
      <c r="L289" t="n">
        <v>0</v>
      </c>
      <c r="M289" t="n">
        <v>0</v>
      </c>
      <c r="N289" t="n">
        <v>0</v>
      </c>
      <c r="O289" t="n">
        <v>0</v>
      </c>
      <c r="P289" t="n">
        <v>0</v>
      </c>
      <c r="Q289" t="n">
        <v>0</v>
      </c>
      <c r="R289" s="2" t="inlineStr"/>
    </row>
    <row r="290" ht="15" customHeight="1">
      <c r="A290" t="inlineStr">
        <is>
          <t>A 34889-2023</t>
        </is>
      </c>
      <c r="B290" s="1" t="n">
        <v>45140</v>
      </c>
      <c r="C290" s="1" t="n">
        <v>45974</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48839-2022</t>
        </is>
      </c>
      <c r="B291" s="1" t="n">
        <v>44859</v>
      </c>
      <c r="C291" s="1" t="n">
        <v>45974</v>
      </c>
      <c r="D291" t="inlineStr">
        <is>
          <t>ÖSTERGÖTLANDS LÄN</t>
        </is>
      </c>
      <c r="E291" t="inlineStr">
        <is>
          <t>LINKÖPING</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53641-2023</t>
        </is>
      </c>
      <c r="B292" s="1" t="n">
        <v>45230</v>
      </c>
      <c r="C292" s="1" t="n">
        <v>45974</v>
      </c>
      <c r="D292" t="inlineStr">
        <is>
          <t>ÖSTERGÖTLANDS LÄN</t>
        </is>
      </c>
      <c r="E292" t="inlineStr">
        <is>
          <t>LINKÖPING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33000-2023</t>
        </is>
      </c>
      <c r="B293" s="1" t="n">
        <v>45125</v>
      </c>
      <c r="C293" s="1" t="n">
        <v>45974</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8967-2025</t>
        </is>
      </c>
      <c r="B294" s="1" t="n">
        <v>45712</v>
      </c>
      <c r="C294" s="1" t="n">
        <v>45974</v>
      </c>
      <c r="D294" t="inlineStr">
        <is>
          <t>ÖSTERGÖTLANDS LÄN</t>
        </is>
      </c>
      <c r="E294" t="inlineStr">
        <is>
          <t>LINKÖPING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52892-2024</t>
        </is>
      </c>
      <c r="B295" s="1" t="n">
        <v>45610</v>
      </c>
      <c r="C295" s="1" t="n">
        <v>45974</v>
      </c>
      <c r="D295" t="inlineStr">
        <is>
          <t>ÖSTERGÖTLANDS LÄN</t>
        </is>
      </c>
      <c r="E295" t="inlineStr">
        <is>
          <t>LINKÖPING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1993-2023</t>
        </is>
      </c>
      <c r="B296" s="1" t="n">
        <v>44939</v>
      </c>
      <c r="C296" s="1" t="n">
        <v>45974</v>
      </c>
      <c r="D296" t="inlineStr">
        <is>
          <t>ÖSTERGÖTLANDS LÄN</t>
        </is>
      </c>
      <c r="E296" t="inlineStr">
        <is>
          <t>LINKÖPING</t>
        </is>
      </c>
      <c r="G296" t="n">
        <v>3.7</v>
      </c>
      <c r="H296" t="n">
        <v>0</v>
      </c>
      <c r="I296" t="n">
        <v>0</v>
      </c>
      <c r="J296" t="n">
        <v>0</v>
      </c>
      <c r="K296" t="n">
        <v>0</v>
      </c>
      <c r="L296" t="n">
        <v>0</v>
      </c>
      <c r="M296" t="n">
        <v>0</v>
      </c>
      <c r="N296" t="n">
        <v>0</v>
      </c>
      <c r="O296" t="n">
        <v>0</v>
      </c>
      <c r="P296" t="n">
        <v>0</v>
      </c>
      <c r="Q296" t="n">
        <v>0</v>
      </c>
      <c r="R296" s="2" t="inlineStr"/>
    </row>
    <row r="297" ht="15" customHeight="1">
      <c r="A297" t="inlineStr">
        <is>
          <t>A 30521-2024</t>
        </is>
      </c>
      <c r="B297" s="1" t="n">
        <v>45492</v>
      </c>
      <c r="C297" s="1" t="n">
        <v>45974</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51191-2022</t>
        </is>
      </c>
      <c r="B298" s="1" t="n">
        <v>44865</v>
      </c>
      <c r="C298" s="1" t="n">
        <v>45974</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63678-2023</t>
        </is>
      </c>
      <c r="B299" s="1" t="n">
        <v>45275.64769675926</v>
      </c>
      <c r="C299" s="1" t="n">
        <v>45974</v>
      </c>
      <c r="D299" t="inlineStr">
        <is>
          <t>ÖSTERGÖTLANDS LÄN</t>
        </is>
      </c>
      <c r="E299" t="inlineStr">
        <is>
          <t>LINKÖPING</t>
        </is>
      </c>
      <c r="F299" t="inlineStr">
        <is>
          <t>Övriga Aktiebolag</t>
        </is>
      </c>
      <c r="G299" t="n">
        <v>0.4</v>
      </c>
      <c r="H299" t="n">
        <v>0</v>
      </c>
      <c r="I299" t="n">
        <v>0</v>
      </c>
      <c r="J299" t="n">
        <v>0</v>
      </c>
      <c r="K299" t="n">
        <v>0</v>
      </c>
      <c r="L299" t="n">
        <v>0</v>
      </c>
      <c r="M299" t="n">
        <v>0</v>
      </c>
      <c r="N299" t="n">
        <v>0</v>
      </c>
      <c r="O299" t="n">
        <v>0</v>
      </c>
      <c r="P299" t="n">
        <v>0</v>
      </c>
      <c r="Q299" t="n">
        <v>0</v>
      </c>
      <c r="R299" s="2" t="inlineStr"/>
    </row>
    <row r="300" ht="15" customHeight="1">
      <c r="A300" t="inlineStr">
        <is>
          <t>A 22771-2024</t>
        </is>
      </c>
      <c r="B300" s="1" t="n">
        <v>45448.46574074074</v>
      </c>
      <c r="C300" s="1" t="n">
        <v>45974</v>
      </c>
      <c r="D300" t="inlineStr">
        <is>
          <t>ÖSTERGÖTLANDS LÄN</t>
        </is>
      </c>
      <c r="E300" t="inlineStr">
        <is>
          <t>LINKÖPING</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52220-2023</t>
        </is>
      </c>
      <c r="B301" s="1" t="n">
        <v>45217</v>
      </c>
      <c r="C301" s="1" t="n">
        <v>45974</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52225-2023</t>
        </is>
      </c>
      <c r="B302" s="1" t="n">
        <v>45217</v>
      </c>
      <c r="C302" s="1" t="n">
        <v>45974</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12289-2025</t>
        </is>
      </c>
      <c r="B303" s="1" t="n">
        <v>45729</v>
      </c>
      <c r="C303" s="1" t="n">
        <v>45974</v>
      </c>
      <c r="D303" t="inlineStr">
        <is>
          <t>ÖSTERGÖTLANDS LÄN</t>
        </is>
      </c>
      <c r="E303" t="inlineStr">
        <is>
          <t>LINKÖPING</t>
        </is>
      </c>
      <c r="F303" t="inlineStr">
        <is>
          <t>Övriga statliga verk och myndigheter</t>
        </is>
      </c>
      <c r="G303" t="n">
        <v>6.5</v>
      </c>
      <c r="H303" t="n">
        <v>0</v>
      </c>
      <c r="I303" t="n">
        <v>0</v>
      </c>
      <c r="J303" t="n">
        <v>0</v>
      </c>
      <c r="K303" t="n">
        <v>0</v>
      </c>
      <c r="L303" t="n">
        <v>0</v>
      </c>
      <c r="M303" t="n">
        <v>0</v>
      </c>
      <c r="N303" t="n">
        <v>0</v>
      </c>
      <c r="O303" t="n">
        <v>0</v>
      </c>
      <c r="P303" t="n">
        <v>0</v>
      </c>
      <c r="Q303" t="n">
        <v>0</v>
      </c>
      <c r="R303" s="2" t="inlineStr"/>
    </row>
    <row r="304" ht="15" customHeight="1">
      <c r="A304" t="inlineStr">
        <is>
          <t>A 42832-2023</t>
        </is>
      </c>
      <c r="B304" s="1" t="n">
        <v>45182.38091435185</v>
      </c>
      <c r="C304" s="1" t="n">
        <v>45974</v>
      </c>
      <c r="D304" t="inlineStr">
        <is>
          <t>ÖSTERGÖTLANDS LÄN</t>
        </is>
      </c>
      <c r="E304" t="inlineStr">
        <is>
          <t>LINKÖPING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56560-2023</t>
        </is>
      </c>
      <c r="B305" s="1" t="n">
        <v>45238</v>
      </c>
      <c r="C305" s="1" t="n">
        <v>45974</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52412-2023</t>
        </is>
      </c>
      <c r="B306" s="1" t="n">
        <v>45225.27888888889</v>
      </c>
      <c r="C306" s="1" t="n">
        <v>45974</v>
      </c>
      <c r="D306" t="inlineStr">
        <is>
          <t>ÖSTERGÖTLANDS LÄN</t>
        </is>
      </c>
      <c r="E306" t="inlineStr">
        <is>
          <t>LINKÖPING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52413-2023</t>
        </is>
      </c>
      <c r="B307" s="1" t="n">
        <v>45225.27950231481</v>
      </c>
      <c r="C307" s="1" t="n">
        <v>45974</v>
      </c>
      <c r="D307" t="inlineStr">
        <is>
          <t>ÖSTERGÖTLANDS LÄN</t>
        </is>
      </c>
      <c r="E307" t="inlineStr">
        <is>
          <t>LINKÖPING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9434-2024</t>
        </is>
      </c>
      <c r="B308" s="1" t="n">
        <v>45359</v>
      </c>
      <c r="C308" s="1" t="n">
        <v>45974</v>
      </c>
      <c r="D308" t="inlineStr">
        <is>
          <t>ÖSTERGÖTLANDS LÄN</t>
        </is>
      </c>
      <c r="E308" t="inlineStr">
        <is>
          <t>LINKÖPING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7354-2025</t>
        </is>
      </c>
      <c r="B309" s="1" t="n">
        <v>45704.41174768518</v>
      </c>
      <c r="C309" s="1" t="n">
        <v>45974</v>
      </c>
      <c r="D309" t="inlineStr">
        <is>
          <t>ÖSTERGÖTLANDS LÄN</t>
        </is>
      </c>
      <c r="E309" t="inlineStr">
        <is>
          <t>LINKÖPING</t>
        </is>
      </c>
      <c r="G309" t="n">
        <v>4.8</v>
      </c>
      <c r="H309" t="n">
        <v>0</v>
      </c>
      <c r="I309" t="n">
        <v>0</v>
      </c>
      <c r="J309" t="n">
        <v>0</v>
      </c>
      <c r="K309" t="n">
        <v>0</v>
      </c>
      <c r="L309" t="n">
        <v>0</v>
      </c>
      <c r="M309" t="n">
        <v>0</v>
      </c>
      <c r="N309" t="n">
        <v>0</v>
      </c>
      <c r="O309" t="n">
        <v>0</v>
      </c>
      <c r="P309" t="n">
        <v>0</v>
      </c>
      <c r="Q309" t="n">
        <v>0</v>
      </c>
      <c r="R309" s="2" t="inlineStr"/>
    </row>
    <row r="310" ht="15" customHeight="1">
      <c r="A310" t="inlineStr">
        <is>
          <t>A 12428-2024</t>
        </is>
      </c>
      <c r="B310" s="1" t="n">
        <v>45379</v>
      </c>
      <c r="C310" s="1" t="n">
        <v>45974</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42054-2022</t>
        </is>
      </c>
      <c r="B311" s="1" t="n">
        <v>44830</v>
      </c>
      <c r="C311" s="1" t="n">
        <v>45974</v>
      </c>
      <c r="D311" t="inlineStr">
        <is>
          <t>ÖSTERGÖTLANDS LÄN</t>
        </is>
      </c>
      <c r="E311" t="inlineStr">
        <is>
          <t>LINKÖPING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1844-2025</t>
        </is>
      </c>
      <c r="B312" s="1" t="n">
        <v>45671.57730324074</v>
      </c>
      <c r="C312" s="1" t="n">
        <v>45974</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50182-2023</t>
        </is>
      </c>
      <c r="B313" s="1" t="n">
        <v>45208</v>
      </c>
      <c r="C313" s="1" t="n">
        <v>45974</v>
      </c>
      <c r="D313" t="inlineStr">
        <is>
          <t>ÖSTERGÖTLANDS LÄN</t>
        </is>
      </c>
      <c r="E313" t="inlineStr">
        <is>
          <t>LINKÖPING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35781-2023</t>
        </is>
      </c>
      <c r="B314" s="1" t="n">
        <v>45147</v>
      </c>
      <c r="C314" s="1" t="n">
        <v>45974</v>
      </c>
      <c r="D314" t="inlineStr">
        <is>
          <t>ÖSTERGÖTLANDS LÄN</t>
        </is>
      </c>
      <c r="E314" t="inlineStr">
        <is>
          <t>LINKÖPING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26618-2023</t>
        </is>
      </c>
      <c r="B315" s="1" t="n">
        <v>45092.70306712963</v>
      </c>
      <c r="C315" s="1" t="n">
        <v>45974</v>
      </c>
      <c r="D315" t="inlineStr">
        <is>
          <t>ÖSTERGÖTLANDS LÄN</t>
        </is>
      </c>
      <c r="E315" t="inlineStr">
        <is>
          <t>LINKÖPING</t>
        </is>
      </c>
      <c r="G315" t="n">
        <v>6.9</v>
      </c>
      <c r="H315" t="n">
        <v>0</v>
      </c>
      <c r="I315" t="n">
        <v>0</v>
      </c>
      <c r="J315" t="n">
        <v>0</v>
      </c>
      <c r="K315" t="n">
        <v>0</v>
      </c>
      <c r="L315" t="n">
        <v>0</v>
      </c>
      <c r="M315" t="n">
        <v>0</v>
      </c>
      <c r="N315" t="n">
        <v>0</v>
      </c>
      <c r="O315" t="n">
        <v>0</v>
      </c>
      <c r="P315" t="n">
        <v>0</v>
      </c>
      <c r="Q315" t="n">
        <v>0</v>
      </c>
      <c r="R315" s="2" t="inlineStr"/>
    </row>
    <row r="316" ht="15" customHeight="1">
      <c r="A316" t="inlineStr">
        <is>
          <t>A 21165-2025</t>
        </is>
      </c>
      <c r="B316" s="1" t="n">
        <v>45779.39417824074</v>
      </c>
      <c r="C316" s="1" t="n">
        <v>45974</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21155-2025</t>
        </is>
      </c>
      <c r="B317" s="1" t="n">
        <v>45779.37586805555</v>
      </c>
      <c r="C317" s="1" t="n">
        <v>45974</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6387-2022</t>
        </is>
      </c>
      <c r="B318" s="1" t="n">
        <v>44600</v>
      </c>
      <c r="C318" s="1" t="n">
        <v>45974</v>
      </c>
      <c r="D318" t="inlineStr">
        <is>
          <t>ÖSTERGÖTLANDS LÄN</t>
        </is>
      </c>
      <c r="E318" t="inlineStr">
        <is>
          <t>LINKÖPING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48707-2023</t>
        </is>
      </c>
      <c r="B319" s="1" t="n">
        <v>45202</v>
      </c>
      <c r="C319" s="1" t="n">
        <v>45974</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55945-2024</t>
        </is>
      </c>
      <c r="B320" s="1" t="n">
        <v>45623.61754629629</v>
      </c>
      <c r="C320" s="1" t="n">
        <v>45974</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34930-2023</t>
        </is>
      </c>
      <c r="B321" s="1" t="n">
        <v>45142</v>
      </c>
      <c r="C321" s="1" t="n">
        <v>45974</v>
      </c>
      <c r="D321" t="inlineStr">
        <is>
          <t>ÖSTERGÖTLANDS LÄN</t>
        </is>
      </c>
      <c r="E321" t="inlineStr">
        <is>
          <t>LINKÖPING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34928-2023</t>
        </is>
      </c>
      <c r="B322" s="1" t="n">
        <v>45142</v>
      </c>
      <c r="C322" s="1" t="n">
        <v>45974</v>
      </c>
      <c r="D322" t="inlineStr">
        <is>
          <t>ÖSTERGÖTLANDS LÄN</t>
        </is>
      </c>
      <c r="E322" t="inlineStr">
        <is>
          <t>LINKÖPING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670-2024</t>
        </is>
      </c>
      <c r="B323" s="1" t="n">
        <v>45300.3408912037</v>
      </c>
      <c r="C323" s="1" t="n">
        <v>45974</v>
      </c>
      <c r="D323" t="inlineStr">
        <is>
          <t>ÖSTERGÖTLANDS LÄN</t>
        </is>
      </c>
      <c r="E323" t="inlineStr">
        <is>
          <t>LINKÖPING</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1263-2024</t>
        </is>
      </c>
      <c r="B324" s="1" t="n">
        <v>45302</v>
      </c>
      <c r="C324" s="1" t="n">
        <v>45974</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52531-2023</t>
        </is>
      </c>
      <c r="B325" s="1" t="n">
        <v>45225</v>
      </c>
      <c r="C325" s="1" t="n">
        <v>45974</v>
      </c>
      <c r="D325" t="inlineStr">
        <is>
          <t>ÖSTERGÖTLANDS LÄN</t>
        </is>
      </c>
      <c r="E325" t="inlineStr">
        <is>
          <t>LINKÖPING</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12089-2025</t>
        </is>
      </c>
      <c r="B326" s="1" t="n">
        <v>45729</v>
      </c>
      <c r="C326" s="1" t="n">
        <v>45974</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63845-2021</t>
        </is>
      </c>
      <c r="B327" s="1" t="n">
        <v>44509</v>
      </c>
      <c r="C327" s="1" t="n">
        <v>45974</v>
      </c>
      <c r="D327" t="inlineStr">
        <is>
          <t>ÖSTERGÖTLANDS LÄN</t>
        </is>
      </c>
      <c r="E327" t="inlineStr">
        <is>
          <t>LINKÖPING</t>
        </is>
      </c>
      <c r="G327" t="n">
        <v>5</v>
      </c>
      <c r="H327" t="n">
        <v>0</v>
      </c>
      <c r="I327" t="n">
        <v>0</v>
      </c>
      <c r="J327" t="n">
        <v>0</v>
      </c>
      <c r="K327" t="n">
        <v>0</v>
      </c>
      <c r="L327" t="n">
        <v>0</v>
      </c>
      <c r="M327" t="n">
        <v>0</v>
      </c>
      <c r="N327" t="n">
        <v>0</v>
      </c>
      <c r="O327" t="n">
        <v>0</v>
      </c>
      <c r="P327" t="n">
        <v>0</v>
      </c>
      <c r="Q327" t="n">
        <v>0</v>
      </c>
      <c r="R327" s="2" t="inlineStr"/>
    </row>
    <row r="328" ht="15" customHeight="1">
      <c r="A328" t="inlineStr">
        <is>
          <t>A 15658-2023</t>
        </is>
      </c>
      <c r="B328" s="1" t="n">
        <v>45021.41194444444</v>
      </c>
      <c r="C328" s="1" t="n">
        <v>45974</v>
      </c>
      <c r="D328" t="inlineStr">
        <is>
          <t>ÖSTERGÖTLANDS LÄN</t>
        </is>
      </c>
      <c r="E328" t="inlineStr">
        <is>
          <t>LINKÖPING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20291-2025</t>
        </is>
      </c>
      <c r="B329" s="1" t="n">
        <v>45774.74288194445</v>
      </c>
      <c r="C329" s="1" t="n">
        <v>45974</v>
      </c>
      <c r="D329" t="inlineStr">
        <is>
          <t>ÖSTERGÖTLANDS LÄN</t>
        </is>
      </c>
      <c r="E329" t="inlineStr">
        <is>
          <t>LINKÖPING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20293-2025</t>
        </is>
      </c>
      <c r="B330" s="1" t="n">
        <v>45774.74611111111</v>
      </c>
      <c r="C330" s="1" t="n">
        <v>45974</v>
      </c>
      <c r="D330" t="inlineStr">
        <is>
          <t>ÖSTERGÖTLANDS LÄN</t>
        </is>
      </c>
      <c r="E330" t="inlineStr">
        <is>
          <t>LINKÖPING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22264-2025</t>
        </is>
      </c>
      <c r="B331" s="1" t="n">
        <v>45785</v>
      </c>
      <c r="C331" s="1" t="n">
        <v>45974</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38886-2024</t>
        </is>
      </c>
      <c r="B332" s="1" t="n">
        <v>45547.66443287037</v>
      </c>
      <c r="C332" s="1" t="n">
        <v>45974</v>
      </c>
      <c r="D332" t="inlineStr">
        <is>
          <t>ÖSTERGÖTLANDS LÄN</t>
        </is>
      </c>
      <c r="E332" t="inlineStr">
        <is>
          <t>LINKÖPING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51583-2024</t>
        </is>
      </c>
      <c r="B333" s="1" t="n">
        <v>45604.6397337963</v>
      </c>
      <c r="C333" s="1" t="n">
        <v>45974</v>
      </c>
      <c r="D333" t="inlineStr">
        <is>
          <t>ÖSTERGÖTLANDS LÄN</t>
        </is>
      </c>
      <c r="E333" t="inlineStr">
        <is>
          <t>LINKÖPING</t>
        </is>
      </c>
      <c r="F333" t="inlineStr">
        <is>
          <t>Övriga Aktiebolag</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64694-2023</t>
        </is>
      </c>
      <c r="B334" s="1" t="n">
        <v>45281</v>
      </c>
      <c r="C334" s="1" t="n">
        <v>45974</v>
      </c>
      <c r="D334" t="inlineStr">
        <is>
          <t>ÖSTERGÖTLANDS LÄN</t>
        </is>
      </c>
      <c r="E334" t="inlineStr">
        <is>
          <t>LINKÖPING</t>
        </is>
      </c>
      <c r="F334" t="inlineStr">
        <is>
          <t>Övriga statliga verk och myndigheter</t>
        </is>
      </c>
      <c r="G334" t="n">
        <v>4.9</v>
      </c>
      <c r="H334" t="n">
        <v>0</v>
      </c>
      <c r="I334" t="n">
        <v>0</v>
      </c>
      <c r="J334" t="n">
        <v>0</v>
      </c>
      <c r="K334" t="n">
        <v>0</v>
      </c>
      <c r="L334" t="n">
        <v>0</v>
      </c>
      <c r="M334" t="n">
        <v>0</v>
      </c>
      <c r="N334" t="n">
        <v>0</v>
      </c>
      <c r="O334" t="n">
        <v>0</v>
      </c>
      <c r="P334" t="n">
        <v>0</v>
      </c>
      <c r="Q334" t="n">
        <v>0</v>
      </c>
      <c r="R334" s="2" t="inlineStr"/>
    </row>
    <row r="335" ht="15" customHeight="1">
      <c r="A335" t="inlineStr">
        <is>
          <t>A 32602-2022</t>
        </is>
      </c>
      <c r="B335" s="1" t="n">
        <v>44783.43192129629</v>
      </c>
      <c r="C335" s="1" t="n">
        <v>45974</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9473-2024</t>
        </is>
      </c>
      <c r="B336" s="1" t="n">
        <v>45359.55474537037</v>
      </c>
      <c r="C336" s="1" t="n">
        <v>45974</v>
      </c>
      <c r="D336" t="inlineStr">
        <is>
          <t>ÖSTERGÖTLANDS LÄN</t>
        </is>
      </c>
      <c r="E336" t="inlineStr">
        <is>
          <t>LINKÖPING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6859-2024</t>
        </is>
      </c>
      <c r="B337" s="1" t="n">
        <v>45342</v>
      </c>
      <c r="C337" s="1" t="n">
        <v>45974</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44287-2024</t>
        </is>
      </c>
      <c r="B338" s="1" t="n">
        <v>45573.50582175926</v>
      </c>
      <c r="C338" s="1" t="n">
        <v>45974</v>
      </c>
      <c r="D338" t="inlineStr">
        <is>
          <t>ÖSTERGÖTLANDS LÄN</t>
        </is>
      </c>
      <c r="E338" t="inlineStr">
        <is>
          <t>LINKÖPING</t>
        </is>
      </c>
      <c r="G338" t="n">
        <v>12.7</v>
      </c>
      <c r="H338" t="n">
        <v>0</v>
      </c>
      <c r="I338" t="n">
        <v>0</v>
      </c>
      <c r="J338" t="n">
        <v>0</v>
      </c>
      <c r="K338" t="n">
        <v>0</v>
      </c>
      <c r="L338" t="n">
        <v>0</v>
      </c>
      <c r="M338" t="n">
        <v>0</v>
      </c>
      <c r="N338" t="n">
        <v>0</v>
      </c>
      <c r="O338" t="n">
        <v>0</v>
      </c>
      <c r="P338" t="n">
        <v>0</v>
      </c>
      <c r="Q338" t="n">
        <v>0</v>
      </c>
      <c r="R338" s="2" t="inlineStr"/>
    </row>
    <row r="339" ht="15" customHeight="1">
      <c r="A339" t="inlineStr">
        <is>
          <t>A 3041-2024</t>
        </is>
      </c>
      <c r="B339" s="1" t="n">
        <v>45316.34875</v>
      </c>
      <c r="C339" s="1" t="n">
        <v>45974</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50963-2021</t>
        </is>
      </c>
      <c r="B340" s="1" t="n">
        <v>44460</v>
      </c>
      <c r="C340" s="1" t="n">
        <v>45974</v>
      </c>
      <c r="D340" t="inlineStr">
        <is>
          <t>ÖSTERGÖTLANDS LÄN</t>
        </is>
      </c>
      <c r="E340" t="inlineStr">
        <is>
          <t>LINKÖPING</t>
        </is>
      </c>
      <c r="G340" t="n">
        <v>4.4</v>
      </c>
      <c r="H340" t="n">
        <v>0</v>
      </c>
      <c r="I340" t="n">
        <v>0</v>
      </c>
      <c r="J340" t="n">
        <v>0</v>
      </c>
      <c r="K340" t="n">
        <v>0</v>
      </c>
      <c r="L340" t="n">
        <v>0</v>
      </c>
      <c r="M340" t="n">
        <v>0</v>
      </c>
      <c r="N340" t="n">
        <v>0</v>
      </c>
      <c r="O340" t="n">
        <v>0</v>
      </c>
      <c r="P340" t="n">
        <v>0</v>
      </c>
      <c r="Q340" t="n">
        <v>0</v>
      </c>
      <c r="R340" s="2" t="inlineStr"/>
    </row>
    <row r="341" ht="15" customHeight="1">
      <c r="A341" t="inlineStr">
        <is>
          <t>A 62321-2022</t>
        </is>
      </c>
      <c r="B341" s="1" t="n">
        <v>44916</v>
      </c>
      <c r="C341" s="1" t="n">
        <v>45974</v>
      </c>
      <c r="D341" t="inlineStr">
        <is>
          <t>ÖSTERGÖTLANDS LÄN</t>
        </is>
      </c>
      <c r="E341" t="inlineStr">
        <is>
          <t>LINKÖPING</t>
        </is>
      </c>
      <c r="F341" t="inlineStr">
        <is>
          <t>Kommuner</t>
        </is>
      </c>
      <c r="G341" t="n">
        <v>5.3</v>
      </c>
      <c r="H341" t="n">
        <v>0</v>
      </c>
      <c r="I341" t="n">
        <v>0</v>
      </c>
      <c r="J341" t="n">
        <v>0</v>
      </c>
      <c r="K341" t="n">
        <v>0</v>
      </c>
      <c r="L341" t="n">
        <v>0</v>
      </c>
      <c r="M341" t="n">
        <v>0</v>
      </c>
      <c r="N341" t="n">
        <v>0</v>
      </c>
      <c r="O341" t="n">
        <v>0</v>
      </c>
      <c r="P341" t="n">
        <v>0</v>
      </c>
      <c r="Q341" t="n">
        <v>0</v>
      </c>
      <c r="R341" s="2" t="inlineStr"/>
    </row>
    <row r="342" ht="15" customHeight="1">
      <c r="A342" t="inlineStr">
        <is>
          <t>A 61307-2021</t>
        </is>
      </c>
      <c r="B342" s="1" t="n">
        <v>44498.63928240741</v>
      </c>
      <c r="C342" s="1" t="n">
        <v>45974</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61325-2021</t>
        </is>
      </c>
      <c r="B343" s="1" t="n">
        <v>44498.66814814815</v>
      </c>
      <c r="C343" s="1" t="n">
        <v>45974</v>
      </c>
      <c r="D343" t="inlineStr">
        <is>
          <t>ÖSTERGÖTLANDS LÄN</t>
        </is>
      </c>
      <c r="E343" t="inlineStr">
        <is>
          <t>LINKÖPING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22364-2025</t>
        </is>
      </c>
      <c r="B344" s="1" t="n">
        <v>45786.46930555555</v>
      </c>
      <c r="C344" s="1" t="n">
        <v>45974</v>
      </c>
      <c r="D344" t="inlineStr">
        <is>
          <t>ÖSTERGÖTLANDS LÄN</t>
        </is>
      </c>
      <c r="E344" t="inlineStr">
        <is>
          <t>LINKÖPING</t>
        </is>
      </c>
      <c r="G344" t="n">
        <v>2.2</v>
      </c>
      <c r="H344" t="n">
        <v>0</v>
      </c>
      <c r="I344" t="n">
        <v>0</v>
      </c>
      <c r="J344" t="n">
        <v>0</v>
      </c>
      <c r="K344" t="n">
        <v>0</v>
      </c>
      <c r="L344" t="n">
        <v>0</v>
      </c>
      <c r="M344" t="n">
        <v>0</v>
      </c>
      <c r="N344" t="n">
        <v>0</v>
      </c>
      <c r="O344" t="n">
        <v>0</v>
      </c>
      <c r="P344" t="n">
        <v>0</v>
      </c>
      <c r="Q344" t="n">
        <v>0</v>
      </c>
      <c r="R344" s="2" t="inlineStr"/>
    </row>
    <row r="345" ht="15" customHeight="1">
      <c r="A345" t="inlineStr">
        <is>
          <t>A 63665-2023</t>
        </is>
      </c>
      <c r="B345" s="1" t="n">
        <v>45275</v>
      </c>
      <c r="C345" s="1" t="n">
        <v>45974</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54034-2022</t>
        </is>
      </c>
      <c r="B346" s="1" t="n">
        <v>44881</v>
      </c>
      <c r="C346" s="1" t="n">
        <v>45974</v>
      </c>
      <c r="D346" t="inlineStr">
        <is>
          <t>ÖSTERGÖTLANDS LÄN</t>
        </is>
      </c>
      <c r="E346" t="inlineStr">
        <is>
          <t>LINKÖPING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33867-2023</t>
        </is>
      </c>
      <c r="B347" s="1" t="n">
        <v>45133.94640046296</v>
      </c>
      <c r="C347" s="1" t="n">
        <v>45974</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1084-2023</t>
        </is>
      </c>
      <c r="B348" s="1" t="n">
        <v>44929</v>
      </c>
      <c r="C348" s="1" t="n">
        <v>45974</v>
      </c>
      <c r="D348" t="inlineStr">
        <is>
          <t>ÖSTERGÖTLANDS LÄN</t>
        </is>
      </c>
      <c r="E348" t="inlineStr">
        <is>
          <t>LINKÖPING</t>
        </is>
      </c>
      <c r="G348" t="n">
        <v>10.4</v>
      </c>
      <c r="H348" t="n">
        <v>0</v>
      </c>
      <c r="I348" t="n">
        <v>0</v>
      </c>
      <c r="J348" t="n">
        <v>0</v>
      </c>
      <c r="K348" t="n">
        <v>0</v>
      </c>
      <c r="L348" t="n">
        <v>0</v>
      </c>
      <c r="M348" t="n">
        <v>0</v>
      </c>
      <c r="N348" t="n">
        <v>0</v>
      </c>
      <c r="O348" t="n">
        <v>0</v>
      </c>
      <c r="P348" t="n">
        <v>0</v>
      </c>
      <c r="Q348" t="n">
        <v>0</v>
      </c>
      <c r="R348" s="2" t="inlineStr"/>
    </row>
    <row r="349" ht="15" customHeight="1">
      <c r="A349" t="inlineStr">
        <is>
          <t>A 267-2023</t>
        </is>
      </c>
      <c r="B349" s="1" t="n">
        <v>44928.80907407407</v>
      </c>
      <c r="C349" s="1" t="n">
        <v>45974</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940-2023</t>
        </is>
      </c>
      <c r="B350" s="1" t="n">
        <v>44933</v>
      </c>
      <c r="C350" s="1" t="n">
        <v>45974</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572-2025</t>
        </is>
      </c>
      <c r="B351" s="1" t="n">
        <v>45664.56349537037</v>
      </c>
      <c r="C351" s="1" t="n">
        <v>45974</v>
      </c>
      <c r="D351" t="inlineStr">
        <is>
          <t>ÖSTERGÖTLANDS LÄN</t>
        </is>
      </c>
      <c r="E351" t="inlineStr">
        <is>
          <t>LINKÖPING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10797-2024</t>
        </is>
      </c>
      <c r="B352" s="1" t="n">
        <v>45369.6190162037</v>
      </c>
      <c r="C352" s="1" t="n">
        <v>45974</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6369-2023</t>
        </is>
      </c>
      <c r="B353" s="1" t="n">
        <v>44965.61106481482</v>
      </c>
      <c r="C353" s="1" t="n">
        <v>45974</v>
      </c>
      <c r="D353" t="inlineStr">
        <is>
          <t>ÖSTERGÖTLANDS LÄN</t>
        </is>
      </c>
      <c r="E353" t="inlineStr">
        <is>
          <t>LINKÖPING</t>
        </is>
      </c>
      <c r="G353" t="n">
        <v>4</v>
      </c>
      <c r="H353" t="n">
        <v>0</v>
      </c>
      <c r="I353" t="n">
        <v>0</v>
      </c>
      <c r="J353" t="n">
        <v>0</v>
      </c>
      <c r="K353" t="n">
        <v>0</v>
      </c>
      <c r="L353" t="n">
        <v>0</v>
      </c>
      <c r="M353" t="n">
        <v>0</v>
      </c>
      <c r="N353" t="n">
        <v>0</v>
      </c>
      <c r="O353" t="n">
        <v>0</v>
      </c>
      <c r="P353" t="n">
        <v>0</v>
      </c>
      <c r="Q353" t="n">
        <v>0</v>
      </c>
      <c r="R353" s="2" t="inlineStr"/>
    </row>
    <row r="354" ht="15" customHeight="1">
      <c r="A354" t="inlineStr">
        <is>
          <t>A 38580-2024</t>
        </is>
      </c>
      <c r="B354" s="1" t="n">
        <v>45546.64825231482</v>
      </c>
      <c r="C354" s="1" t="n">
        <v>45974</v>
      </c>
      <c r="D354" t="inlineStr">
        <is>
          <t>ÖSTERGÖTLANDS LÄN</t>
        </is>
      </c>
      <c r="E354" t="inlineStr">
        <is>
          <t>LINKÖPING</t>
        </is>
      </c>
      <c r="G354" t="n">
        <v>4.8</v>
      </c>
      <c r="H354" t="n">
        <v>0</v>
      </c>
      <c r="I354" t="n">
        <v>0</v>
      </c>
      <c r="J354" t="n">
        <v>0</v>
      </c>
      <c r="K354" t="n">
        <v>0</v>
      </c>
      <c r="L354" t="n">
        <v>0</v>
      </c>
      <c r="M354" t="n">
        <v>0</v>
      </c>
      <c r="N354" t="n">
        <v>0</v>
      </c>
      <c r="O354" t="n">
        <v>0</v>
      </c>
      <c r="P354" t="n">
        <v>0</v>
      </c>
      <c r="Q354" t="n">
        <v>0</v>
      </c>
      <c r="R354" s="2" t="inlineStr"/>
    </row>
    <row r="355" ht="15" customHeight="1">
      <c r="A355" t="inlineStr">
        <is>
          <t>A 57752-2023</t>
        </is>
      </c>
      <c r="B355" s="1" t="n">
        <v>45246.78474537037</v>
      </c>
      <c r="C355" s="1" t="n">
        <v>45974</v>
      </c>
      <c r="D355" t="inlineStr">
        <is>
          <t>ÖSTERGÖTLANDS LÄN</t>
        </is>
      </c>
      <c r="E355" t="inlineStr">
        <is>
          <t>LINKÖPING</t>
        </is>
      </c>
      <c r="G355" t="n">
        <v>1.1</v>
      </c>
      <c r="H355" t="n">
        <v>0</v>
      </c>
      <c r="I355" t="n">
        <v>0</v>
      </c>
      <c r="J355" t="n">
        <v>0</v>
      </c>
      <c r="K355" t="n">
        <v>0</v>
      </c>
      <c r="L355" t="n">
        <v>0</v>
      </c>
      <c r="M355" t="n">
        <v>0</v>
      </c>
      <c r="N355" t="n">
        <v>0</v>
      </c>
      <c r="O355" t="n">
        <v>0</v>
      </c>
      <c r="P355" t="n">
        <v>0</v>
      </c>
      <c r="Q355" t="n">
        <v>0</v>
      </c>
      <c r="R355" s="2" t="inlineStr"/>
    </row>
    <row r="356" ht="15" customHeight="1">
      <c r="A356" t="inlineStr">
        <is>
          <t>A 36336-2023</t>
        </is>
      </c>
      <c r="B356" s="1" t="n">
        <v>45152.45078703704</v>
      </c>
      <c r="C356" s="1" t="n">
        <v>45974</v>
      </c>
      <c r="D356" t="inlineStr">
        <is>
          <t>ÖSTERGÖTLANDS LÄN</t>
        </is>
      </c>
      <c r="E356" t="inlineStr">
        <is>
          <t>LINKÖPING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30980-2022</t>
        </is>
      </c>
      <c r="B357" s="1" t="n">
        <v>44768</v>
      </c>
      <c r="C357" s="1" t="n">
        <v>45974</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30985-2022</t>
        </is>
      </c>
      <c r="B358" s="1" t="n">
        <v>44768</v>
      </c>
      <c r="C358" s="1" t="n">
        <v>45974</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38317-2024</t>
        </is>
      </c>
      <c r="B359" s="1" t="n">
        <v>45545.65766203704</v>
      </c>
      <c r="C359" s="1" t="n">
        <v>45974</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60007-2022</t>
        </is>
      </c>
      <c r="B360" s="1" t="n">
        <v>44909.47282407407</v>
      </c>
      <c r="C360" s="1" t="n">
        <v>45974</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50799-2022</t>
        </is>
      </c>
      <c r="B361" s="1" t="n">
        <v>44862</v>
      </c>
      <c r="C361" s="1" t="n">
        <v>45974</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56064-2022</t>
        </is>
      </c>
      <c r="B362" s="1" t="n">
        <v>44889.59107638889</v>
      </c>
      <c r="C362" s="1" t="n">
        <v>45974</v>
      </c>
      <c r="D362" t="inlineStr">
        <is>
          <t>ÖSTERGÖTLANDS LÄN</t>
        </is>
      </c>
      <c r="E362" t="inlineStr">
        <is>
          <t>LINKÖPING</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29312-2024</t>
        </is>
      </c>
      <c r="B363" s="1" t="n">
        <v>45483</v>
      </c>
      <c r="C363" s="1" t="n">
        <v>45974</v>
      </c>
      <c r="D363" t="inlineStr">
        <is>
          <t>ÖSTERGÖTLANDS LÄN</t>
        </is>
      </c>
      <c r="E363" t="inlineStr">
        <is>
          <t>LINKÖPING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47703-2023</t>
        </is>
      </c>
      <c r="B364" s="1" t="n">
        <v>45203</v>
      </c>
      <c r="C364" s="1" t="n">
        <v>45974</v>
      </c>
      <c r="D364" t="inlineStr">
        <is>
          <t>ÖSTERGÖTLANDS LÄN</t>
        </is>
      </c>
      <c r="E364" t="inlineStr">
        <is>
          <t>LINKÖPING</t>
        </is>
      </c>
      <c r="G364" t="n">
        <v>4.1</v>
      </c>
      <c r="H364" t="n">
        <v>0</v>
      </c>
      <c r="I364" t="n">
        <v>0</v>
      </c>
      <c r="J364" t="n">
        <v>0</v>
      </c>
      <c r="K364" t="n">
        <v>0</v>
      </c>
      <c r="L364" t="n">
        <v>0</v>
      </c>
      <c r="M364" t="n">
        <v>0</v>
      </c>
      <c r="N364" t="n">
        <v>0</v>
      </c>
      <c r="O364" t="n">
        <v>0</v>
      </c>
      <c r="P364" t="n">
        <v>0</v>
      </c>
      <c r="Q364" t="n">
        <v>0</v>
      </c>
      <c r="R364" s="2" t="inlineStr"/>
    </row>
    <row r="365" ht="15" customHeight="1">
      <c r="A365" t="inlineStr">
        <is>
          <t>A 23120-2025</t>
        </is>
      </c>
      <c r="B365" s="1" t="n">
        <v>45791.37481481482</v>
      </c>
      <c r="C365" s="1" t="n">
        <v>45974</v>
      </c>
      <c r="D365" t="inlineStr">
        <is>
          <t>ÖSTERGÖTLANDS LÄN</t>
        </is>
      </c>
      <c r="E365" t="inlineStr">
        <is>
          <t>LINKÖPING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48829-2023</t>
        </is>
      </c>
      <c r="B366" s="1" t="n">
        <v>45209.38177083333</v>
      </c>
      <c r="C366" s="1" t="n">
        <v>45974</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16111-2022</t>
        </is>
      </c>
      <c r="B367" s="1" t="n">
        <v>44665</v>
      </c>
      <c r="C367" s="1" t="n">
        <v>45974</v>
      </c>
      <c r="D367" t="inlineStr">
        <is>
          <t>ÖSTERGÖTLANDS LÄN</t>
        </is>
      </c>
      <c r="E367" t="inlineStr">
        <is>
          <t>LINKÖPING</t>
        </is>
      </c>
      <c r="F367" t="inlineStr">
        <is>
          <t>Övriga Aktiebolag</t>
        </is>
      </c>
      <c r="G367" t="n">
        <v>2.9</v>
      </c>
      <c r="H367" t="n">
        <v>0</v>
      </c>
      <c r="I367" t="n">
        <v>0</v>
      </c>
      <c r="J367" t="n">
        <v>0</v>
      </c>
      <c r="K367" t="n">
        <v>0</v>
      </c>
      <c r="L367" t="n">
        <v>0</v>
      </c>
      <c r="M367" t="n">
        <v>0</v>
      </c>
      <c r="N367" t="n">
        <v>0</v>
      </c>
      <c r="O367" t="n">
        <v>0</v>
      </c>
      <c r="P367" t="n">
        <v>0</v>
      </c>
      <c r="Q367" t="n">
        <v>0</v>
      </c>
      <c r="R367" s="2" t="inlineStr"/>
    </row>
    <row r="368" ht="15" customHeight="1">
      <c r="A368" t="inlineStr">
        <is>
          <t>A 48962-2022</t>
        </is>
      </c>
      <c r="B368" s="1" t="n">
        <v>44860.31635416667</v>
      </c>
      <c r="C368" s="1" t="n">
        <v>45974</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58947-2022</t>
        </is>
      </c>
      <c r="B369" s="1" t="n">
        <v>44903.64769675926</v>
      </c>
      <c r="C369" s="1" t="n">
        <v>45974</v>
      </c>
      <c r="D369" t="inlineStr">
        <is>
          <t>ÖSTERGÖTLANDS LÄN</t>
        </is>
      </c>
      <c r="E369" t="inlineStr">
        <is>
          <t>LINKÖPING</t>
        </is>
      </c>
      <c r="G369" t="n">
        <v>4</v>
      </c>
      <c r="H369" t="n">
        <v>0</v>
      </c>
      <c r="I369" t="n">
        <v>0</v>
      </c>
      <c r="J369" t="n">
        <v>0</v>
      </c>
      <c r="K369" t="n">
        <v>0</v>
      </c>
      <c r="L369" t="n">
        <v>0</v>
      </c>
      <c r="M369" t="n">
        <v>0</v>
      </c>
      <c r="N369" t="n">
        <v>0</v>
      </c>
      <c r="O369" t="n">
        <v>0</v>
      </c>
      <c r="P369" t="n">
        <v>0</v>
      </c>
      <c r="Q369" t="n">
        <v>0</v>
      </c>
      <c r="R369" s="2" t="inlineStr"/>
    </row>
    <row r="370" ht="15" customHeight="1">
      <c r="A370" t="inlineStr">
        <is>
          <t>A 27891-2021</t>
        </is>
      </c>
      <c r="B370" s="1" t="n">
        <v>44354.65108796296</v>
      </c>
      <c r="C370" s="1" t="n">
        <v>45974</v>
      </c>
      <c r="D370" t="inlineStr">
        <is>
          <t>ÖSTERGÖTLANDS LÄN</t>
        </is>
      </c>
      <c r="E370" t="inlineStr">
        <is>
          <t>LINKÖPING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23768-2025</t>
        </is>
      </c>
      <c r="B371" s="1" t="n">
        <v>45793.47493055555</v>
      </c>
      <c r="C371" s="1" t="n">
        <v>45974</v>
      </c>
      <c r="D371" t="inlineStr">
        <is>
          <t>ÖSTERGÖTLANDS LÄN</t>
        </is>
      </c>
      <c r="E371" t="inlineStr">
        <is>
          <t>LINKÖPING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16665-2023</t>
        </is>
      </c>
      <c r="B372" s="1" t="n">
        <v>45030.5583912037</v>
      </c>
      <c r="C372" s="1" t="n">
        <v>45974</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60001-2022</t>
        </is>
      </c>
      <c r="B373" s="1" t="n">
        <v>44909.47087962963</v>
      </c>
      <c r="C373" s="1" t="n">
        <v>45974</v>
      </c>
      <c r="D373" t="inlineStr">
        <is>
          <t>ÖSTERGÖTLANDS LÄN</t>
        </is>
      </c>
      <c r="E373" t="inlineStr">
        <is>
          <t>LINKÖPING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60013-2022</t>
        </is>
      </c>
      <c r="B374" s="1" t="n">
        <v>44909.47482638889</v>
      </c>
      <c r="C374" s="1" t="n">
        <v>45974</v>
      </c>
      <c r="D374" t="inlineStr">
        <is>
          <t>ÖSTERGÖTLANDS LÄN</t>
        </is>
      </c>
      <c r="E374" t="inlineStr">
        <is>
          <t>LINKÖPING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1268-2023</t>
        </is>
      </c>
      <c r="B375" s="1" t="n">
        <v>44936</v>
      </c>
      <c r="C375" s="1" t="n">
        <v>45974</v>
      </c>
      <c r="D375" t="inlineStr">
        <is>
          <t>ÖSTERGÖTLANDS LÄN</t>
        </is>
      </c>
      <c r="E375" t="inlineStr">
        <is>
          <t>LINKÖPING</t>
        </is>
      </c>
      <c r="G375" t="n">
        <v>4.6</v>
      </c>
      <c r="H375" t="n">
        <v>0</v>
      </c>
      <c r="I375" t="n">
        <v>0</v>
      </c>
      <c r="J375" t="n">
        <v>0</v>
      </c>
      <c r="K375" t="n">
        <v>0</v>
      </c>
      <c r="L375" t="n">
        <v>0</v>
      </c>
      <c r="M375" t="n">
        <v>0</v>
      </c>
      <c r="N375" t="n">
        <v>0</v>
      </c>
      <c r="O375" t="n">
        <v>0</v>
      </c>
      <c r="P375" t="n">
        <v>0</v>
      </c>
      <c r="Q375" t="n">
        <v>0</v>
      </c>
      <c r="R375" s="2" t="inlineStr"/>
    </row>
    <row r="376" ht="15" customHeight="1">
      <c r="A376" t="inlineStr">
        <is>
          <t>A 1211-2023</t>
        </is>
      </c>
      <c r="B376" s="1" t="n">
        <v>44930</v>
      </c>
      <c r="C376" s="1" t="n">
        <v>45974</v>
      </c>
      <c r="D376" t="inlineStr">
        <is>
          <t>ÖSTERGÖTLANDS LÄN</t>
        </is>
      </c>
      <c r="E376" t="inlineStr">
        <is>
          <t>LINKÖPING</t>
        </is>
      </c>
      <c r="F376" t="inlineStr">
        <is>
          <t>Övriga statliga verk och myndigheter</t>
        </is>
      </c>
      <c r="G376" t="n">
        <v>7.9</v>
      </c>
      <c r="H376" t="n">
        <v>0</v>
      </c>
      <c r="I376" t="n">
        <v>0</v>
      </c>
      <c r="J376" t="n">
        <v>0</v>
      </c>
      <c r="K376" t="n">
        <v>0</v>
      </c>
      <c r="L376" t="n">
        <v>0</v>
      </c>
      <c r="M376" t="n">
        <v>0</v>
      </c>
      <c r="N376" t="n">
        <v>0</v>
      </c>
      <c r="O376" t="n">
        <v>0</v>
      </c>
      <c r="P376" t="n">
        <v>0</v>
      </c>
      <c r="Q376" t="n">
        <v>0</v>
      </c>
      <c r="R376" s="2" t="inlineStr"/>
    </row>
    <row r="377" ht="15" customHeight="1">
      <c r="A377" t="inlineStr">
        <is>
          <t>A 48186-2022</t>
        </is>
      </c>
      <c r="B377" s="1" t="n">
        <v>44858</v>
      </c>
      <c r="C377" s="1" t="n">
        <v>45974</v>
      </c>
      <c r="D377" t="inlineStr">
        <is>
          <t>ÖSTERGÖTLANDS LÄN</t>
        </is>
      </c>
      <c r="E377" t="inlineStr">
        <is>
          <t>LINKÖPING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48699-2024</t>
        </is>
      </c>
      <c r="B378" s="1" t="n">
        <v>45593.52091435185</v>
      </c>
      <c r="C378" s="1" t="n">
        <v>45974</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63669-2023</t>
        </is>
      </c>
      <c r="B379" s="1" t="n">
        <v>45275</v>
      </c>
      <c r="C379" s="1" t="n">
        <v>45974</v>
      </c>
      <c r="D379" t="inlineStr">
        <is>
          <t>ÖSTERGÖTLANDS LÄN</t>
        </is>
      </c>
      <c r="E379" t="inlineStr">
        <is>
          <t>LINKÖPING</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38136-2023</t>
        </is>
      </c>
      <c r="B380" s="1" t="n">
        <v>45161.37310185185</v>
      </c>
      <c r="C380" s="1" t="n">
        <v>45974</v>
      </c>
      <c r="D380" t="inlineStr">
        <is>
          <t>ÖSTERGÖTLANDS LÄN</t>
        </is>
      </c>
      <c r="E380" t="inlineStr">
        <is>
          <t>LINKÖPING</t>
        </is>
      </c>
      <c r="G380" t="n">
        <v>5.6</v>
      </c>
      <c r="H380" t="n">
        <v>0</v>
      </c>
      <c r="I380" t="n">
        <v>0</v>
      </c>
      <c r="J380" t="n">
        <v>0</v>
      </c>
      <c r="K380" t="n">
        <v>0</v>
      </c>
      <c r="L380" t="n">
        <v>0</v>
      </c>
      <c r="M380" t="n">
        <v>0</v>
      </c>
      <c r="N380" t="n">
        <v>0</v>
      </c>
      <c r="O380" t="n">
        <v>0</v>
      </c>
      <c r="P380" t="n">
        <v>0</v>
      </c>
      <c r="Q380" t="n">
        <v>0</v>
      </c>
      <c r="R380" s="2" t="inlineStr"/>
    </row>
    <row r="381" ht="15" customHeight="1">
      <c r="A381" t="inlineStr">
        <is>
          <t>A 24586-2024</t>
        </is>
      </c>
      <c r="B381" s="1" t="n">
        <v>45460.46664351852</v>
      </c>
      <c r="C381" s="1" t="n">
        <v>45974</v>
      </c>
      <c r="D381" t="inlineStr">
        <is>
          <t>ÖSTERGÖTLANDS LÄN</t>
        </is>
      </c>
      <c r="E381" t="inlineStr">
        <is>
          <t>LINKÖPING</t>
        </is>
      </c>
      <c r="G381" t="n">
        <v>4</v>
      </c>
      <c r="H381" t="n">
        <v>0</v>
      </c>
      <c r="I381" t="n">
        <v>0</v>
      </c>
      <c r="J381" t="n">
        <v>0</v>
      </c>
      <c r="K381" t="n">
        <v>0</v>
      </c>
      <c r="L381" t="n">
        <v>0</v>
      </c>
      <c r="M381" t="n">
        <v>0</v>
      </c>
      <c r="N381" t="n">
        <v>0</v>
      </c>
      <c r="O381" t="n">
        <v>0</v>
      </c>
      <c r="P381" t="n">
        <v>0</v>
      </c>
      <c r="Q381" t="n">
        <v>0</v>
      </c>
      <c r="R381" s="2" t="inlineStr"/>
    </row>
    <row r="382" ht="15" customHeight="1">
      <c r="A382" t="inlineStr">
        <is>
          <t>A 59576-2024</t>
        </is>
      </c>
      <c r="B382" s="1" t="n">
        <v>45638.66378472222</v>
      </c>
      <c r="C382" s="1" t="n">
        <v>45974</v>
      </c>
      <c r="D382" t="inlineStr">
        <is>
          <t>ÖSTERGÖTLANDS LÄN</t>
        </is>
      </c>
      <c r="E382" t="inlineStr">
        <is>
          <t>LINKÖPING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59642-2024</t>
        </is>
      </c>
      <c r="B383" s="1" t="n">
        <v>45639.31511574074</v>
      </c>
      <c r="C383" s="1" t="n">
        <v>45974</v>
      </c>
      <c r="D383" t="inlineStr">
        <is>
          <t>ÖSTERGÖTLANDS LÄN</t>
        </is>
      </c>
      <c r="E383" t="inlineStr">
        <is>
          <t>LINKÖPING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59674-2024</t>
        </is>
      </c>
      <c r="B384" s="1" t="n">
        <v>45639</v>
      </c>
      <c r="C384" s="1" t="n">
        <v>45974</v>
      </c>
      <c r="D384" t="inlineStr">
        <is>
          <t>ÖSTERGÖTLANDS LÄN</t>
        </is>
      </c>
      <c r="E384" t="inlineStr">
        <is>
          <t>LINKÖPING</t>
        </is>
      </c>
      <c r="G384" t="n">
        <v>6.3</v>
      </c>
      <c r="H384" t="n">
        <v>0</v>
      </c>
      <c r="I384" t="n">
        <v>0</v>
      </c>
      <c r="J384" t="n">
        <v>0</v>
      </c>
      <c r="K384" t="n">
        <v>0</v>
      </c>
      <c r="L384" t="n">
        <v>0</v>
      </c>
      <c r="M384" t="n">
        <v>0</v>
      </c>
      <c r="N384" t="n">
        <v>0</v>
      </c>
      <c r="O384" t="n">
        <v>0</v>
      </c>
      <c r="P384" t="n">
        <v>0</v>
      </c>
      <c r="Q384" t="n">
        <v>0</v>
      </c>
      <c r="R384" s="2" t="inlineStr"/>
    </row>
    <row r="385" ht="15" customHeight="1">
      <c r="A385" t="inlineStr">
        <is>
          <t>A 62687-2023</t>
        </is>
      </c>
      <c r="B385" s="1" t="n">
        <v>45271</v>
      </c>
      <c r="C385" s="1" t="n">
        <v>45974</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3742-2021</t>
        </is>
      </c>
      <c r="B386" s="1" t="n">
        <v>44221</v>
      </c>
      <c r="C386" s="1" t="n">
        <v>45974</v>
      </c>
      <c r="D386" t="inlineStr">
        <is>
          <t>ÖSTERGÖTLANDS LÄN</t>
        </is>
      </c>
      <c r="E386" t="inlineStr">
        <is>
          <t>LINKÖPING</t>
        </is>
      </c>
      <c r="G386" t="n">
        <v>5.5</v>
      </c>
      <c r="H386" t="n">
        <v>0</v>
      </c>
      <c r="I386" t="n">
        <v>0</v>
      </c>
      <c r="J386" t="n">
        <v>0</v>
      </c>
      <c r="K386" t="n">
        <v>0</v>
      </c>
      <c r="L386" t="n">
        <v>0</v>
      </c>
      <c r="M386" t="n">
        <v>0</v>
      </c>
      <c r="N386" t="n">
        <v>0</v>
      </c>
      <c r="O386" t="n">
        <v>0</v>
      </c>
      <c r="P386" t="n">
        <v>0</v>
      </c>
      <c r="Q386" t="n">
        <v>0</v>
      </c>
      <c r="R386" s="2" t="inlineStr"/>
    </row>
    <row r="387" ht="15" customHeight="1">
      <c r="A387" t="inlineStr">
        <is>
          <t>A 18916-2024</t>
        </is>
      </c>
      <c r="B387" s="1" t="n">
        <v>45427.39541666667</v>
      </c>
      <c r="C387" s="1" t="n">
        <v>45974</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11084-2022</t>
        </is>
      </c>
      <c r="B388" s="1" t="n">
        <v>44628</v>
      </c>
      <c r="C388" s="1" t="n">
        <v>45974</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34641-2022</t>
        </is>
      </c>
      <c r="B389" s="1" t="n">
        <v>44795</v>
      </c>
      <c r="C389" s="1" t="n">
        <v>45974</v>
      </c>
      <c r="D389" t="inlineStr">
        <is>
          <t>ÖSTERGÖTLANDS LÄN</t>
        </is>
      </c>
      <c r="E389" t="inlineStr">
        <is>
          <t>LINKÖPING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10203-2023</t>
        </is>
      </c>
      <c r="B390" s="1" t="n">
        <v>44986.55711805556</v>
      </c>
      <c r="C390" s="1" t="n">
        <v>45974</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938-2023</t>
        </is>
      </c>
      <c r="B391" s="1" t="n">
        <v>44933</v>
      </c>
      <c r="C391" s="1" t="n">
        <v>45974</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2389-2023</t>
        </is>
      </c>
      <c r="B392" s="1" t="n">
        <v>44942</v>
      </c>
      <c r="C392" s="1" t="n">
        <v>45974</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13911-2025</t>
        </is>
      </c>
      <c r="B393" s="1" t="n">
        <v>45737.64784722222</v>
      </c>
      <c r="C393" s="1" t="n">
        <v>45974</v>
      </c>
      <c r="D393" t="inlineStr">
        <is>
          <t>ÖSTERGÖTLANDS LÄN</t>
        </is>
      </c>
      <c r="E393" t="inlineStr">
        <is>
          <t>LINKÖPING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48-2024</t>
        </is>
      </c>
      <c r="B394" s="1" t="n">
        <v>45293</v>
      </c>
      <c r="C394" s="1" t="n">
        <v>45974</v>
      </c>
      <c r="D394" t="inlineStr">
        <is>
          <t>ÖSTERGÖTLANDS LÄN</t>
        </is>
      </c>
      <c r="E394" t="inlineStr">
        <is>
          <t>LINKÖPING</t>
        </is>
      </c>
      <c r="G394" t="n">
        <v>4.6</v>
      </c>
      <c r="H394" t="n">
        <v>0</v>
      </c>
      <c r="I394" t="n">
        <v>0</v>
      </c>
      <c r="J394" t="n">
        <v>0</v>
      </c>
      <c r="K394" t="n">
        <v>0</v>
      </c>
      <c r="L394" t="n">
        <v>0</v>
      </c>
      <c r="M394" t="n">
        <v>0</v>
      </c>
      <c r="N394" t="n">
        <v>0</v>
      </c>
      <c r="O394" t="n">
        <v>0</v>
      </c>
      <c r="P394" t="n">
        <v>0</v>
      </c>
      <c r="Q394" t="n">
        <v>0</v>
      </c>
      <c r="R394" s="2" t="inlineStr"/>
    </row>
    <row r="395" ht="15" customHeight="1">
      <c r="A395" t="inlineStr">
        <is>
          <t>A 12317-2025</t>
        </is>
      </c>
      <c r="B395" s="1" t="n">
        <v>45729.8487037037</v>
      </c>
      <c r="C395" s="1" t="n">
        <v>45974</v>
      </c>
      <c r="D395" t="inlineStr">
        <is>
          <t>ÖSTERGÖTLANDS LÄN</t>
        </is>
      </c>
      <c r="E395" t="inlineStr">
        <is>
          <t>LINKÖPING</t>
        </is>
      </c>
      <c r="G395" t="n">
        <v>8</v>
      </c>
      <c r="H395" t="n">
        <v>0</v>
      </c>
      <c r="I395" t="n">
        <v>0</v>
      </c>
      <c r="J395" t="n">
        <v>0</v>
      </c>
      <c r="K395" t="n">
        <v>0</v>
      </c>
      <c r="L395" t="n">
        <v>0</v>
      </c>
      <c r="M395" t="n">
        <v>0</v>
      </c>
      <c r="N395" t="n">
        <v>0</v>
      </c>
      <c r="O395" t="n">
        <v>0</v>
      </c>
      <c r="P395" t="n">
        <v>0</v>
      </c>
      <c r="Q395" t="n">
        <v>0</v>
      </c>
      <c r="R395" s="2" t="inlineStr"/>
    </row>
    <row r="396" ht="15" customHeight="1">
      <c r="A396" t="inlineStr">
        <is>
          <t>A 36557-2023</t>
        </is>
      </c>
      <c r="B396" s="1" t="n">
        <v>45153</v>
      </c>
      <c r="C396" s="1" t="n">
        <v>45974</v>
      </c>
      <c r="D396" t="inlineStr">
        <is>
          <t>ÖSTERGÖTLANDS LÄN</t>
        </is>
      </c>
      <c r="E396" t="inlineStr">
        <is>
          <t>LINKÖPING</t>
        </is>
      </c>
      <c r="F396" t="inlineStr">
        <is>
          <t>Övriga Aktiebolag</t>
        </is>
      </c>
      <c r="G396" t="n">
        <v>3.1</v>
      </c>
      <c r="H396" t="n">
        <v>0</v>
      </c>
      <c r="I396" t="n">
        <v>0</v>
      </c>
      <c r="J396" t="n">
        <v>0</v>
      </c>
      <c r="K396" t="n">
        <v>0</v>
      </c>
      <c r="L396" t="n">
        <v>0</v>
      </c>
      <c r="M396" t="n">
        <v>0</v>
      </c>
      <c r="N396" t="n">
        <v>0</v>
      </c>
      <c r="O396" t="n">
        <v>0</v>
      </c>
      <c r="P396" t="n">
        <v>0</v>
      </c>
      <c r="Q396" t="n">
        <v>0</v>
      </c>
      <c r="R396" s="2" t="inlineStr"/>
    </row>
    <row r="397" ht="15" customHeight="1">
      <c r="A397" t="inlineStr">
        <is>
          <t>A 2618-2023</t>
        </is>
      </c>
      <c r="B397" s="1" t="n">
        <v>44944.35847222222</v>
      </c>
      <c r="C397" s="1" t="n">
        <v>45974</v>
      </c>
      <c r="D397" t="inlineStr">
        <is>
          <t>ÖSTERGÖTLANDS LÄN</t>
        </is>
      </c>
      <c r="E397" t="inlineStr">
        <is>
          <t>LINKÖPING</t>
        </is>
      </c>
      <c r="G397" t="n">
        <v>4.3</v>
      </c>
      <c r="H397" t="n">
        <v>0</v>
      </c>
      <c r="I397" t="n">
        <v>0</v>
      </c>
      <c r="J397" t="n">
        <v>0</v>
      </c>
      <c r="K397" t="n">
        <v>0</v>
      </c>
      <c r="L397" t="n">
        <v>0</v>
      </c>
      <c r="M397" t="n">
        <v>0</v>
      </c>
      <c r="N397" t="n">
        <v>0</v>
      </c>
      <c r="O397" t="n">
        <v>0</v>
      </c>
      <c r="P397" t="n">
        <v>0</v>
      </c>
      <c r="Q397" t="n">
        <v>0</v>
      </c>
      <c r="R397" s="2" t="inlineStr"/>
    </row>
    <row r="398" ht="15" customHeight="1">
      <c r="A398" t="inlineStr">
        <is>
          <t>A 45771-2023</t>
        </is>
      </c>
      <c r="B398" s="1" t="n">
        <v>45195.4384375</v>
      </c>
      <c r="C398" s="1" t="n">
        <v>45974</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30547-2023</t>
        </is>
      </c>
      <c r="B399" s="1" t="n">
        <v>45111.75905092592</v>
      </c>
      <c r="C399" s="1" t="n">
        <v>45974</v>
      </c>
      <c r="D399" t="inlineStr">
        <is>
          <t>ÖSTERGÖTLANDS LÄN</t>
        </is>
      </c>
      <c r="E399" t="inlineStr">
        <is>
          <t>LINKÖPING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2085-2024</t>
        </is>
      </c>
      <c r="B400" s="1" t="n">
        <v>45309</v>
      </c>
      <c r="C400" s="1" t="n">
        <v>45974</v>
      </c>
      <c r="D400" t="inlineStr">
        <is>
          <t>ÖSTERGÖTLANDS LÄN</t>
        </is>
      </c>
      <c r="E400" t="inlineStr">
        <is>
          <t>LINKÖPING</t>
        </is>
      </c>
      <c r="G400" t="n">
        <v>4.5</v>
      </c>
      <c r="H400" t="n">
        <v>0</v>
      </c>
      <c r="I400" t="n">
        <v>0</v>
      </c>
      <c r="J400" t="n">
        <v>0</v>
      </c>
      <c r="K400" t="n">
        <v>0</v>
      </c>
      <c r="L400" t="n">
        <v>0</v>
      </c>
      <c r="M400" t="n">
        <v>0</v>
      </c>
      <c r="N400" t="n">
        <v>0</v>
      </c>
      <c r="O400" t="n">
        <v>0</v>
      </c>
      <c r="P400" t="n">
        <v>0</v>
      </c>
      <c r="Q400" t="n">
        <v>0</v>
      </c>
      <c r="R400" s="2" t="inlineStr"/>
    </row>
    <row r="401" ht="15" customHeight="1">
      <c r="A401" t="inlineStr">
        <is>
          <t>A 40502-2024</t>
        </is>
      </c>
      <c r="B401" s="1" t="n">
        <v>45555.57263888889</v>
      </c>
      <c r="C401" s="1" t="n">
        <v>45974</v>
      </c>
      <c r="D401" t="inlineStr">
        <is>
          <t>ÖSTERGÖTLANDS LÄN</t>
        </is>
      </c>
      <c r="E401" t="inlineStr">
        <is>
          <t>LINKÖPING</t>
        </is>
      </c>
      <c r="F401" t="inlineStr">
        <is>
          <t>Allmännings- och besparingsskogar</t>
        </is>
      </c>
      <c r="G401" t="n">
        <v>17.5</v>
      </c>
      <c r="H401" t="n">
        <v>0</v>
      </c>
      <c r="I401" t="n">
        <v>0</v>
      </c>
      <c r="J401" t="n">
        <v>0</v>
      </c>
      <c r="K401" t="n">
        <v>0</v>
      </c>
      <c r="L401" t="n">
        <v>0</v>
      </c>
      <c r="M401" t="n">
        <v>0</v>
      </c>
      <c r="N401" t="n">
        <v>0</v>
      </c>
      <c r="O401" t="n">
        <v>0</v>
      </c>
      <c r="P401" t="n">
        <v>0</v>
      </c>
      <c r="Q401" t="n">
        <v>0</v>
      </c>
      <c r="R401" s="2" t="inlineStr"/>
    </row>
    <row r="402" ht="15" customHeight="1">
      <c r="A402" t="inlineStr">
        <is>
          <t>A 62020-2024</t>
        </is>
      </c>
      <c r="B402" s="1" t="n">
        <v>45655.83563657408</v>
      </c>
      <c r="C402" s="1" t="n">
        <v>45974</v>
      </c>
      <c r="D402" t="inlineStr">
        <is>
          <t>ÖSTERGÖTLANDS LÄN</t>
        </is>
      </c>
      <c r="E402" t="inlineStr">
        <is>
          <t>LINKÖPING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62021-2024</t>
        </is>
      </c>
      <c r="B403" s="1" t="n">
        <v>45655.84232638889</v>
      </c>
      <c r="C403" s="1" t="n">
        <v>45974</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44280-2024</t>
        </is>
      </c>
      <c r="B404" s="1" t="n">
        <v>45573.49461805556</v>
      </c>
      <c r="C404" s="1" t="n">
        <v>45974</v>
      </c>
      <c r="D404" t="inlineStr">
        <is>
          <t>ÖSTERGÖTLANDS LÄN</t>
        </is>
      </c>
      <c r="E404" t="inlineStr">
        <is>
          <t>LINKÖPING</t>
        </is>
      </c>
      <c r="G404" t="n">
        <v>5.3</v>
      </c>
      <c r="H404" t="n">
        <v>0</v>
      </c>
      <c r="I404" t="n">
        <v>0</v>
      </c>
      <c r="J404" t="n">
        <v>0</v>
      </c>
      <c r="K404" t="n">
        <v>0</v>
      </c>
      <c r="L404" t="n">
        <v>0</v>
      </c>
      <c r="M404" t="n">
        <v>0</v>
      </c>
      <c r="N404" t="n">
        <v>0</v>
      </c>
      <c r="O404" t="n">
        <v>0</v>
      </c>
      <c r="P404" t="n">
        <v>0</v>
      </c>
      <c r="Q404" t="n">
        <v>0</v>
      </c>
      <c r="R404" s="2" t="inlineStr"/>
    </row>
    <row r="405" ht="15" customHeight="1">
      <c r="A405" t="inlineStr">
        <is>
          <t>A 30468-2023</t>
        </is>
      </c>
      <c r="B405" s="1" t="n">
        <v>45111.58732638889</v>
      </c>
      <c r="C405" s="1" t="n">
        <v>45974</v>
      </c>
      <c r="D405" t="inlineStr">
        <is>
          <t>ÖSTERGÖTLANDS LÄN</t>
        </is>
      </c>
      <c r="E405" t="inlineStr">
        <is>
          <t>LINKÖPING</t>
        </is>
      </c>
      <c r="G405" t="n">
        <v>10.1</v>
      </c>
      <c r="H405" t="n">
        <v>0</v>
      </c>
      <c r="I405" t="n">
        <v>0</v>
      </c>
      <c r="J405" t="n">
        <v>0</v>
      </c>
      <c r="K405" t="n">
        <v>0</v>
      </c>
      <c r="L405" t="n">
        <v>0</v>
      </c>
      <c r="M405" t="n">
        <v>0</v>
      </c>
      <c r="N405" t="n">
        <v>0</v>
      </c>
      <c r="O405" t="n">
        <v>0</v>
      </c>
      <c r="P405" t="n">
        <v>0</v>
      </c>
      <c r="Q405" t="n">
        <v>0</v>
      </c>
      <c r="R405" s="2" t="inlineStr"/>
    </row>
    <row r="406" ht="15" customHeight="1">
      <c r="A406" t="inlineStr">
        <is>
          <t>A 38715-2023</t>
        </is>
      </c>
      <c r="B406" s="1" t="n">
        <v>45160</v>
      </c>
      <c r="C406" s="1" t="n">
        <v>45974</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24464-2023</t>
        </is>
      </c>
      <c r="B407" s="1" t="n">
        <v>45082.58068287037</v>
      </c>
      <c r="C407" s="1" t="n">
        <v>45974</v>
      </c>
      <c r="D407" t="inlineStr">
        <is>
          <t>ÖSTERGÖTLANDS LÄN</t>
        </is>
      </c>
      <c r="E407" t="inlineStr">
        <is>
          <t>LINKÖPING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24467-2023</t>
        </is>
      </c>
      <c r="B408" s="1" t="n">
        <v>45082</v>
      </c>
      <c r="C408" s="1" t="n">
        <v>45974</v>
      </c>
      <c r="D408" t="inlineStr">
        <is>
          <t>ÖSTERGÖTLANDS LÄN</t>
        </is>
      </c>
      <c r="E408" t="inlineStr">
        <is>
          <t>LINKÖPING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39457-2023</t>
        </is>
      </c>
      <c r="B409" s="1" t="n">
        <v>45166</v>
      </c>
      <c r="C409" s="1" t="n">
        <v>45974</v>
      </c>
      <c r="D409" t="inlineStr">
        <is>
          <t>ÖSTERGÖTLANDS LÄN</t>
        </is>
      </c>
      <c r="E409" t="inlineStr">
        <is>
          <t>LINKÖPING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48389-2024</t>
        </is>
      </c>
      <c r="B410" s="1" t="n">
        <v>45590.59991898148</v>
      </c>
      <c r="C410" s="1" t="n">
        <v>45974</v>
      </c>
      <c r="D410" t="inlineStr">
        <is>
          <t>ÖSTERGÖTLANDS LÄN</t>
        </is>
      </c>
      <c r="E410" t="inlineStr">
        <is>
          <t>LINKÖPING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34864-2023</t>
        </is>
      </c>
      <c r="B411" s="1" t="n">
        <v>45141</v>
      </c>
      <c r="C411" s="1" t="n">
        <v>45974</v>
      </c>
      <c r="D411" t="inlineStr">
        <is>
          <t>ÖSTERGÖTLANDS LÄN</t>
        </is>
      </c>
      <c r="E411" t="inlineStr">
        <is>
          <t>LINKÖPING</t>
        </is>
      </c>
      <c r="G411" t="n">
        <v>3.3</v>
      </c>
      <c r="H411" t="n">
        <v>0</v>
      </c>
      <c r="I411" t="n">
        <v>0</v>
      </c>
      <c r="J411" t="n">
        <v>0</v>
      </c>
      <c r="K411" t="n">
        <v>0</v>
      </c>
      <c r="L411" t="n">
        <v>0</v>
      </c>
      <c r="M411" t="n">
        <v>0</v>
      </c>
      <c r="N411" t="n">
        <v>0</v>
      </c>
      <c r="O411" t="n">
        <v>0</v>
      </c>
      <c r="P411" t="n">
        <v>0</v>
      </c>
      <c r="Q411" t="n">
        <v>0</v>
      </c>
      <c r="R411" s="2" t="inlineStr"/>
    </row>
    <row r="412" ht="15" customHeight="1">
      <c r="A412" t="inlineStr">
        <is>
          <t>A 56792-2023</t>
        </is>
      </c>
      <c r="B412" s="1" t="n">
        <v>45244</v>
      </c>
      <c r="C412" s="1" t="n">
        <v>45974</v>
      </c>
      <c r="D412" t="inlineStr">
        <is>
          <t>ÖSTERGÖTLANDS LÄN</t>
        </is>
      </c>
      <c r="E412" t="inlineStr">
        <is>
          <t>LINKÖPING</t>
        </is>
      </c>
      <c r="F412" t="inlineStr">
        <is>
          <t>Övriga Aktiebolag</t>
        </is>
      </c>
      <c r="G412" t="n">
        <v>0.9</v>
      </c>
      <c r="H412" t="n">
        <v>0</v>
      </c>
      <c r="I412" t="n">
        <v>0</v>
      </c>
      <c r="J412" t="n">
        <v>0</v>
      </c>
      <c r="K412" t="n">
        <v>0</v>
      </c>
      <c r="L412" t="n">
        <v>0</v>
      </c>
      <c r="M412" t="n">
        <v>0</v>
      </c>
      <c r="N412" t="n">
        <v>0</v>
      </c>
      <c r="O412" t="n">
        <v>0</v>
      </c>
      <c r="P412" t="n">
        <v>0</v>
      </c>
      <c r="Q412" t="n">
        <v>0</v>
      </c>
      <c r="R412" s="2" t="inlineStr"/>
    </row>
    <row r="413" ht="15" customHeight="1">
      <c r="A413" t="inlineStr">
        <is>
          <t>A 46687-2021</t>
        </is>
      </c>
      <c r="B413" s="1" t="n">
        <v>44445</v>
      </c>
      <c r="C413" s="1" t="n">
        <v>45974</v>
      </c>
      <c r="D413" t="inlineStr">
        <is>
          <t>ÖSTERGÖTLANDS LÄN</t>
        </is>
      </c>
      <c r="E413" t="inlineStr">
        <is>
          <t>LINKÖPING</t>
        </is>
      </c>
      <c r="F413" t="inlineStr">
        <is>
          <t>Övriga statliga verk och myndigheter</t>
        </is>
      </c>
      <c r="G413" t="n">
        <v>2.3</v>
      </c>
      <c r="H413" t="n">
        <v>0</v>
      </c>
      <c r="I413" t="n">
        <v>0</v>
      </c>
      <c r="J413" t="n">
        <v>0</v>
      </c>
      <c r="K413" t="n">
        <v>0</v>
      </c>
      <c r="L413" t="n">
        <v>0</v>
      </c>
      <c r="M413" t="n">
        <v>0</v>
      </c>
      <c r="N413" t="n">
        <v>0</v>
      </c>
      <c r="O413" t="n">
        <v>0</v>
      </c>
      <c r="P413" t="n">
        <v>0</v>
      </c>
      <c r="Q413" t="n">
        <v>0</v>
      </c>
      <c r="R413" s="2" t="inlineStr"/>
    </row>
    <row r="414" ht="15" customHeight="1">
      <c r="A414" t="inlineStr">
        <is>
          <t>A 17103-2025</t>
        </is>
      </c>
      <c r="B414" s="1" t="n">
        <v>45755.66143518518</v>
      </c>
      <c r="C414" s="1" t="n">
        <v>45974</v>
      </c>
      <c r="D414" t="inlineStr">
        <is>
          <t>ÖSTERGÖTLANDS LÄN</t>
        </is>
      </c>
      <c r="E414" t="inlineStr">
        <is>
          <t>LINKÖPING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1362-2023</t>
        </is>
      </c>
      <c r="B415" s="1" t="n">
        <v>44931</v>
      </c>
      <c r="C415" s="1" t="n">
        <v>45974</v>
      </c>
      <c r="D415" t="inlineStr">
        <is>
          <t>ÖSTERGÖTLANDS LÄN</t>
        </is>
      </c>
      <c r="E415" t="inlineStr">
        <is>
          <t>LINKÖPING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39017-2021</t>
        </is>
      </c>
      <c r="B416" s="1" t="n">
        <v>44412</v>
      </c>
      <c r="C416" s="1" t="n">
        <v>45974</v>
      </c>
      <c r="D416" t="inlineStr">
        <is>
          <t>ÖSTERGÖTLANDS LÄN</t>
        </is>
      </c>
      <c r="E416" t="inlineStr">
        <is>
          <t>LINKÖPING</t>
        </is>
      </c>
      <c r="F416" t="inlineStr">
        <is>
          <t>Övriga statliga verk och myndigheter</t>
        </is>
      </c>
      <c r="G416" t="n">
        <v>0.8</v>
      </c>
      <c r="H416" t="n">
        <v>0</v>
      </c>
      <c r="I416" t="n">
        <v>0</v>
      </c>
      <c r="J416" t="n">
        <v>0</v>
      </c>
      <c r="K416" t="n">
        <v>0</v>
      </c>
      <c r="L416" t="n">
        <v>0</v>
      </c>
      <c r="M416" t="n">
        <v>0</v>
      </c>
      <c r="N416" t="n">
        <v>0</v>
      </c>
      <c r="O416" t="n">
        <v>0</v>
      </c>
      <c r="P416" t="n">
        <v>0</v>
      </c>
      <c r="Q416" t="n">
        <v>0</v>
      </c>
      <c r="R416" s="2" t="inlineStr"/>
    </row>
    <row r="417" ht="15" customHeight="1">
      <c r="A417" t="inlineStr">
        <is>
          <t>A 26002-2025</t>
        </is>
      </c>
      <c r="B417" s="1" t="n">
        <v>45804.66534722222</v>
      </c>
      <c r="C417" s="1" t="n">
        <v>45974</v>
      </c>
      <c r="D417" t="inlineStr">
        <is>
          <t>ÖSTERGÖTLANDS LÄN</t>
        </is>
      </c>
      <c r="E417" t="inlineStr">
        <is>
          <t>LINKÖPING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40618-2021</t>
        </is>
      </c>
      <c r="B418" s="1" t="n">
        <v>44420.49575231481</v>
      </c>
      <c r="C418" s="1" t="n">
        <v>45974</v>
      </c>
      <c r="D418" t="inlineStr">
        <is>
          <t>ÖSTERGÖTLANDS LÄN</t>
        </is>
      </c>
      <c r="E418" t="inlineStr">
        <is>
          <t>LINKÖPING</t>
        </is>
      </c>
      <c r="G418" t="n">
        <v>2.3</v>
      </c>
      <c r="H418" t="n">
        <v>0</v>
      </c>
      <c r="I418" t="n">
        <v>0</v>
      </c>
      <c r="J418" t="n">
        <v>0</v>
      </c>
      <c r="K418" t="n">
        <v>0</v>
      </c>
      <c r="L418" t="n">
        <v>0</v>
      </c>
      <c r="M418" t="n">
        <v>0</v>
      </c>
      <c r="N418" t="n">
        <v>0</v>
      </c>
      <c r="O418" t="n">
        <v>0</v>
      </c>
      <c r="P418" t="n">
        <v>0</v>
      </c>
      <c r="Q418" t="n">
        <v>0</v>
      </c>
      <c r="R418" s="2" t="inlineStr"/>
    </row>
    <row r="419" ht="15" customHeight="1">
      <c r="A419" t="inlineStr">
        <is>
          <t>A 1260-2023</t>
        </is>
      </c>
      <c r="B419" s="1" t="n">
        <v>44936</v>
      </c>
      <c r="C419" s="1" t="n">
        <v>45974</v>
      </c>
      <c r="D419" t="inlineStr">
        <is>
          <t>ÖSTERGÖTLANDS LÄN</t>
        </is>
      </c>
      <c r="E419" t="inlineStr">
        <is>
          <t>LINKÖPING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56180-2024</t>
        </is>
      </c>
      <c r="B420" s="1" t="n">
        <v>45624.56611111111</v>
      </c>
      <c r="C420" s="1" t="n">
        <v>45974</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1355-2023</t>
        </is>
      </c>
      <c r="B421" s="1" t="n">
        <v>44931</v>
      </c>
      <c r="C421" s="1" t="n">
        <v>45974</v>
      </c>
      <c r="D421" t="inlineStr">
        <is>
          <t>ÖSTERGÖTLANDS LÄN</t>
        </is>
      </c>
      <c r="E421" t="inlineStr">
        <is>
          <t>LINKÖPING</t>
        </is>
      </c>
      <c r="G421" t="n">
        <v>4</v>
      </c>
      <c r="H421" t="n">
        <v>0</v>
      </c>
      <c r="I421" t="n">
        <v>0</v>
      </c>
      <c r="J421" t="n">
        <v>0</v>
      </c>
      <c r="K421" t="n">
        <v>0</v>
      </c>
      <c r="L421" t="n">
        <v>0</v>
      </c>
      <c r="M421" t="n">
        <v>0</v>
      </c>
      <c r="N421" t="n">
        <v>0</v>
      </c>
      <c r="O421" t="n">
        <v>0</v>
      </c>
      <c r="P421" t="n">
        <v>0</v>
      </c>
      <c r="Q421" t="n">
        <v>0</v>
      </c>
      <c r="R421" s="2" t="inlineStr"/>
    </row>
    <row r="422" ht="15" customHeight="1">
      <c r="A422" t="inlineStr">
        <is>
          <t>A 25996-2025</t>
        </is>
      </c>
      <c r="B422" s="1" t="n">
        <v>45804.65851851852</v>
      </c>
      <c r="C422" s="1" t="n">
        <v>45974</v>
      </c>
      <c r="D422" t="inlineStr">
        <is>
          <t>ÖSTERGÖTLANDS LÄN</t>
        </is>
      </c>
      <c r="E422" t="inlineStr">
        <is>
          <t>LINKÖPING</t>
        </is>
      </c>
      <c r="G422" t="n">
        <v>3.2</v>
      </c>
      <c r="H422" t="n">
        <v>0</v>
      </c>
      <c r="I422" t="n">
        <v>0</v>
      </c>
      <c r="J422" t="n">
        <v>0</v>
      </c>
      <c r="K422" t="n">
        <v>0</v>
      </c>
      <c r="L422" t="n">
        <v>0</v>
      </c>
      <c r="M422" t="n">
        <v>0</v>
      </c>
      <c r="N422" t="n">
        <v>0</v>
      </c>
      <c r="O422" t="n">
        <v>0</v>
      </c>
      <c r="P422" t="n">
        <v>0</v>
      </c>
      <c r="Q422" t="n">
        <v>0</v>
      </c>
      <c r="R422" s="2" t="inlineStr"/>
    </row>
    <row r="423" ht="15" customHeight="1">
      <c r="A423" t="inlineStr">
        <is>
          <t>A 3007-2025</t>
        </is>
      </c>
      <c r="B423" s="1" t="n">
        <v>45678.56328703704</v>
      </c>
      <c r="C423" s="1" t="n">
        <v>45974</v>
      </c>
      <c r="D423" t="inlineStr">
        <is>
          <t>ÖSTERGÖTLANDS LÄN</t>
        </is>
      </c>
      <c r="E423" t="inlineStr">
        <is>
          <t>LINKÖPING</t>
        </is>
      </c>
      <c r="G423" t="n">
        <v>3.1</v>
      </c>
      <c r="H423" t="n">
        <v>0</v>
      </c>
      <c r="I423" t="n">
        <v>0</v>
      </c>
      <c r="J423" t="n">
        <v>0</v>
      </c>
      <c r="K423" t="n">
        <v>0</v>
      </c>
      <c r="L423" t="n">
        <v>0</v>
      </c>
      <c r="M423" t="n">
        <v>0</v>
      </c>
      <c r="N423" t="n">
        <v>0</v>
      </c>
      <c r="O423" t="n">
        <v>0</v>
      </c>
      <c r="P423" t="n">
        <v>0</v>
      </c>
      <c r="Q423" t="n">
        <v>0</v>
      </c>
      <c r="R423" s="2" t="inlineStr"/>
    </row>
    <row r="424" ht="15" customHeight="1">
      <c r="A424" t="inlineStr">
        <is>
          <t>A 10492-2022</t>
        </is>
      </c>
      <c r="B424" s="1" t="n">
        <v>44623.6377199074</v>
      </c>
      <c r="C424" s="1" t="n">
        <v>45974</v>
      </c>
      <c r="D424" t="inlineStr">
        <is>
          <t>ÖSTERGÖTLANDS LÄN</t>
        </is>
      </c>
      <c r="E424" t="inlineStr">
        <is>
          <t>LINKÖPING</t>
        </is>
      </c>
      <c r="G424" t="n">
        <v>2.1</v>
      </c>
      <c r="H424" t="n">
        <v>0</v>
      </c>
      <c r="I424" t="n">
        <v>0</v>
      </c>
      <c r="J424" t="n">
        <v>0</v>
      </c>
      <c r="K424" t="n">
        <v>0</v>
      </c>
      <c r="L424" t="n">
        <v>0</v>
      </c>
      <c r="M424" t="n">
        <v>0</v>
      </c>
      <c r="N424" t="n">
        <v>0</v>
      </c>
      <c r="O424" t="n">
        <v>0</v>
      </c>
      <c r="P424" t="n">
        <v>0</v>
      </c>
      <c r="Q424" t="n">
        <v>0</v>
      </c>
      <c r="R424" s="2" t="inlineStr"/>
    </row>
    <row r="425" ht="15" customHeight="1">
      <c r="A425" t="inlineStr">
        <is>
          <t>A 30471-2023</t>
        </is>
      </c>
      <c r="B425" s="1" t="n">
        <v>45111.58931712963</v>
      </c>
      <c r="C425" s="1" t="n">
        <v>45974</v>
      </c>
      <c r="D425" t="inlineStr">
        <is>
          <t>ÖSTERGÖTLANDS LÄN</t>
        </is>
      </c>
      <c r="E425" t="inlineStr">
        <is>
          <t>LINKÖPING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227-2024</t>
        </is>
      </c>
      <c r="B426" s="1" t="n">
        <v>45294.73603009259</v>
      </c>
      <c r="C426" s="1" t="n">
        <v>45974</v>
      </c>
      <c r="D426" t="inlineStr">
        <is>
          <t>ÖSTERGÖTLANDS LÄN</t>
        </is>
      </c>
      <c r="E426" t="inlineStr">
        <is>
          <t>LINKÖPING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30465-2023</t>
        </is>
      </c>
      <c r="B427" s="1" t="n">
        <v>45111</v>
      </c>
      <c r="C427" s="1" t="n">
        <v>45974</v>
      </c>
      <c r="D427" t="inlineStr">
        <is>
          <t>ÖSTERGÖTLANDS LÄN</t>
        </is>
      </c>
      <c r="E427" t="inlineStr">
        <is>
          <t>LINKÖPING</t>
        </is>
      </c>
      <c r="F427" t="inlineStr">
        <is>
          <t>Övriga Aktiebolag</t>
        </is>
      </c>
      <c r="G427" t="n">
        <v>0.7</v>
      </c>
      <c r="H427" t="n">
        <v>0</v>
      </c>
      <c r="I427" t="n">
        <v>0</v>
      </c>
      <c r="J427" t="n">
        <v>0</v>
      </c>
      <c r="K427" t="n">
        <v>0</v>
      </c>
      <c r="L427" t="n">
        <v>0</v>
      </c>
      <c r="M427" t="n">
        <v>0</v>
      </c>
      <c r="N427" t="n">
        <v>0</v>
      </c>
      <c r="O427" t="n">
        <v>0</v>
      </c>
      <c r="P427" t="n">
        <v>0</v>
      </c>
      <c r="Q427" t="n">
        <v>0</v>
      </c>
      <c r="R427" s="2" t="inlineStr"/>
    </row>
    <row r="428" ht="15" customHeight="1">
      <c r="A428" t="inlineStr">
        <is>
          <t>A 39021-2021</t>
        </is>
      </c>
      <c r="B428" s="1" t="n">
        <v>44412</v>
      </c>
      <c r="C428" s="1" t="n">
        <v>45974</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62353-2022</t>
        </is>
      </c>
      <c r="B429" s="1" t="n">
        <v>44923</v>
      </c>
      <c r="C429" s="1" t="n">
        <v>45974</v>
      </c>
      <c r="D429" t="inlineStr">
        <is>
          <t>ÖSTERGÖTLANDS LÄN</t>
        </is>
      </c>
      <c r="E429" t="inlineStr">
        <is>
          <t>LINKÖPING</t>
        </is>
      </c>
      <c r="F429" t="inlineStr">
        <is>
          <t>Allmännings- och besparingsskogar</t>
        </is>
      </c>
      <c r="G429" t="n">
        <v>1.7</v>
      </c>
      <c r="H429" t="n">
        <v>0</v>
      </c>
      <c r="I429" t="n">
        <v>0</v>
      </c>
      <c r="J429" t="n">
        <v>0</v>
      </c>
      <c r="K429" t="n">
        <v>0</v>
      </c>
      <c r="L429" t="n">
        <v>0</v>
      </c>
      <c r="M429" t="n">
        <v>0</v>
      </c>
      <c r="N429" t="n">
        <v>0</v>
      </c>
      <c r="O429" t="n">
        <v>0</v>
      </c>
      <c r="P429" t="n">
        <v>0</v>
      </c>
      <c r="Q429" t="n">
        <v>0</v>
      </c>
      <c r="R429" s="2" t="inlineStr"/>
    </row>
    <row r="430" ht="15" customHeight="1">
      <c r="A430" t="inlineStr">
        <is>
          <t>A 44155-2024</t>
        </is>
      </c>
      <c r="B430" s="1" t="n">
        <v>45572.68226851852</v>
      </c>
      <c r="C430" s="1" t="n">
        <v>45974</v>
      </c>
      <c r="D430" t="inlineStr">
        <is>
          <t>ÖSTERGÖTLANDS LÄN</t>
        </is>
      </c>
      <c r="E430" t="inlineStr">
        <is>
          <t>LINKÖPING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30111-2024</t>
        </is>
      </c>
      <c r="B431" s="1" t="n">
        <v>45489.46947916667</v>
      </c>
      <c r="C431" s="1" t="n">
        <v>45974</v>
      </c>
      <c r="D431" t="inlineStr">
        <is>
          <t>ÖSTERGÖTLANDS LÄN</t>
        </is>
      </c>
      <c r="E431" t="inlineStr">
        <is>
          <t>LINKÖPING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30119-2024</t>
        </is>
      </c>
      <c r="B432" s="1" t="n">
        <v>45489</v>
      </c>
      <c r="C432" s="1" t="n">
        <v>45974</v>
      </c>
      <c r="D432" t="inlineStr">
        <is>
          <t>ÖSTERGÖTLANDS LÄN</t>
        </is>
      </c>
      <c r="E432" t="inlineStr">
        <is>
          <t>LINKÖPING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29411-2023</t>
        </is>
      </c>
      <c r="B433" s="1" t="n">
        <v>45106.46225694445</v>
      </c>
      <c r="C433" s="1" t="n">
        <v>45974</v>
      </c>
      <c r="D433" t="inlineStr">
        <is>
          <t>ÖSTERGÖTLANDS LÄN</t>
        </is>
      </c>
      <c r="E433" t="inlineStr">
        <is>
          <t>LINKÖPING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29412-2023</t>
        </is>
      </c>
      <c r="B434" s="1" t="n">
        <v>45106.46359953703</v>
      </c>
      <c r="C434" s="1" t="n">
        <v>45974</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49928-2024</t>
        </is>
      </c>
      <c r="B435" s="1" t="n">
        <v>45597.57811342592</v>
      </c>
      <c r="C435" s="1" t="n">
        <v>45974</v>
      </c>
      <c r="D435" t="inlineStr">
        <is>
          <t>ÖSTERGÖTLANDS LÄN</t>
        </is>
      </c>
      <c r="E435" t="inlineStr">
        <is>
          <t>LINKÖPING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30434-2024</t>
        </is>
      </c>
      <c r="B436" s="1" t="n">
        <v>45491.69811342593</v>
      </c>
      <c r="C436" s="1" t="n">
        <v>45974</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3627-2023</t>
        </is>
      </c>
      <c r="B437" s="1" t="n">
        <v>44950.64782407408</v>
      </c>
      <c r="C437" s="1" t="n">
        <v>45974</v>
      </c>
      <c r="D437" t="inlineStr">
        <is>
          <t>ÖSTERGÖTLANDS LÄN</t>
        </is>
      </c>
      <c r="E437" t="inlineStr">
        <is>
          <t>LINKÖPING</t>
        </is>
      </c>
      <c r="G437" t="n">
        <v>3.1</v>
      </c>
      <c r="H437" t="n">
        <v>0</v>
      </c>
      <c r="I437" t="n">
        <v>0</v>
      </c>
      <c r="J437" t="n">
        <v>0</v>
      </c>
      <c r="K437" t="n">
        <v>0</v>
      </c>
      <c r="L437" t="n">
        <v>0</v>
      </c>
      <c r="M437" t="n">
        <v>0</v>
      </c>
      <c r="N437" t="n">
        <v>0</v>
      </c>
      <c r="O437" t="n">
        <v>0</v>
      </c>
      <c r="P437" t="n">
        <v>0</v>
      </c>
      <c r="Q437" t="n">
        <v>0</v>
      </c>
      <c r="R437" s="2" t="inlineStr"/>
    </row>
    <row r="438" ht="15" customHeight="1">
      <c r="A438" t="inlineStr">
        <is>
          <t>A 56917-2022</t>
        </is>
      </c>
      <c r="B438" s="1" t="n">
        <v>44894</v>
      </c>
      <c r="C438" s="1" t="n">
        <v>45974</v>
      </c>
      <c r="D438" t="inlineStr">
        <is>
          <t>ÖSTERGÖTLANDS LÄN</t>
        </is>
      </c>
      <c r="E438" t="inlineStr">
        <is>
          <t>LINKÖPING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31792-2021</t>
        </is>
      </c>
      <c r="B439" s="1" t="n">
        <v>44369</v>
      </c>
      <c r="C439" s="1" t="n">
        <v>45974</v>
      </c>
      <c r="D439" t="inlineStr">
        <is>
          <t>ÖSTERGÖTLANDS LÄN</t>
        </is>
      </c>
      <c r="E439" t="inlineStr">
        <is>
          <t>LINKÖPING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57766-2023</t>
        </is>
      </c>
      <c r="B440" s="1" t="n">
        <v>45246</v>
      </c>
      <c r="C440" s="1" t="n">
        <v>45974</v>
      </c>
      <c r="D440" t="inlineStr">
        <is>
          <t>ÖSTERGÖTLANDS LÄN</t>
        </is>
      </c>
      <c r="E440" t="inlineStr">
        <is>
          <t>LINKÖPING</t>
        </is>
      </c>
      <c r="F440" t="inlineStr">
        <is>
          <t>Allmännings- och besparingsskogar</t>
        </is>
      </c>
      <c r="G440" t="n">
        <v>12.8</v>
      </c>
      <c r="H440" t="n">
        <v>0</v>
      </c>
      <c r="I440" t="n">
        <v>0</v>
      </c>
      <c r="J440" t="n">
        <v>0</v>
      </c>
      <c r="K440" t="n">
        <v>0</v>
      </c>
      <c r="L440" t="n">
        <v>0</v>
      </c>
      <c r="M440" t="n">
        <v>0</v>
      </c>
      <c r="N440" t="n">
        <v>0</v>
      </c>
      <c r="O440" t="n">
        <v>0</v>
      </c>
      <c r="P440" t="n">
        <v>0</v>
      </c>
      <c r="Q440" t="n">
        <v>0</v>
      </c>
      <c r="R440" s="2" t="inlineStr"/>
    </row>
    <row r="441" ht="15" customHeight="1">
      <c r="A441" t="inlineStr">
        <is>
          <t>A 51405-2023</t>
        </is>
      </c>
      <c r="B441" s="1" t="n">
        <v>45219</v>
      </c>
      <c r="C441" s="1" t="n">
        <v>45974</v>
      </c>
      <c r="D441" t="inlineStr">
        <is>
          <t>ÖSTERGÖTLANDS LÄN</t>
        </is>
      </c>
      <c r="E441" t="inlineStr">
        <is>
          <t>LINKÖPING</t>
        </is>
      </c>
      <c r="F441" t="inlineStr">
        <is>
          <t>Övriga Aktiebolag</t>
        </is>
      </c>
      <c r="G441" t="n">
        <v>3</v>
      </c>
      <c r="H441" t="n">
        <v>0</v>
      </c>
      <c r="I441" t="n">
        <v>0</v>
      </c>
      <c r="J441" t="n">
        <v>0</v>
      </c>
      <c r="K441" t="n">
        <v>0</v>
      </c>
      <c r="L441" t="n">
        <v>0</v>
      </c>
      <c r="M441" t="n">
        <v>0</v>
      </c>
      <c r="N441" t="n">
        <v>0</v>
      </c>
      <c r="O441" t="n">
        <v>0</v>
      </c>
      <c r="P441" t="n">
        <v>0</v>
      </c>
      <c r="Q441" t="n">
        <v>0</v>
      </c>
      <c r="R441" s="2" t="inlineStr"/>
    </row>
    <row r="442" ht="15" customHeight="1">
      <c r="A442" t="inlineStr">
        <is>
          <t>A 11601-2023</t>
        </is>
      </c>
      <c r="B442" s="1" t="n">
        <v>44994</v>
      </c>
      <c r="C442" s="1" t="n">
        <v>45974</v>
      </c>
      <c r="D442" t="inlineStr">
        <is>
          <t>ÖSTERGÖTLANDS LÄN</t>
        </is>
      </c>
      <c r="E442" t="inlineStr">
        <is>
          <t>LINKÖPING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40338-2024</t>
        </is>
      </c>
      <c r="B443" s="1" t="n">
        <v>45555.32940972222</v>
      </c>
      <c r="C443" s="1" t="n">
        <v>45974</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167-2024</t>
        </is>
      </c>
      <c r="B444" s="1" t="n">
        <v>45294</v>
      </c>
      <c r="C444" s="1" t="n">
        <v>45974</v>
      </c>
      <c r="D444" t="inlineStr">
        <is>
          <t>ÖSTERGÖTLANDS LÄN</t>
        </is>
      </c>
      <c r="E444" t="inlineStr">
        <is>
          <t>LINKÖPING</t>
        </is>
      </c>
      <c r="F444" t="inlineStr">
        <is>
          <t>Allmännings- och besparingsskogar</t>
        </is>
      </c>
      <c r="G444" t="n">
        <v>11.6</v>
      </c>
      <c r="H444" t="n">
        <v>0</v>
      </c>
      <c r="I444" t="n">
        <v>0</v>
      </c>
      <c r="J444" t="n">
        <v>0</v>
      </c>
      <c r="K444" t="n">
        <v>0</v>
      </c>
      <c r="L444" t="n">
        <v>0</v>
      </c>
      <c r="M444" t="n">
        <v>0</v>
      </c>
      <c r="N444" t="n">
        <v>0</v>
      </c>
      <c r="O444" t="n">
        <v>0</v>
      </c>
      <c r="P444" t="n">
        <v>0</v>
      </c>
      <c r="Q444" t="n">
        <v>0</v>
      </c>
      <c r="R444" s="2" t="inlineStr"/>
    </row>
    <row r="445" ht="15" customHeight="1">
      <c r="A445" t="inlineStr">
        <is>
          <t>A 27186-2021</t>
        </is>
      </c>
      <c r="B445" s="1" t="n">
        <v>44350.67715277777</v>
      </c>
      <c r="C445" s="1" t="n">
        <v>45974</v>
      </c>
      <c r="D445" t="inlineStr">
        <is>
          <t>ÖSTERGÖTLANDS LÄN</t>
        </is>
      </c>
      <c r="E445" t="inlineStr">
        <is>
          <t>LINKÖPING</t>
        </is>
      </c>
      <c r="F445" t="inlineStr">
        <is>
          <t>Allmännings- och besparingsskogar</t>
        </is>
      </c>
      <c r="G445" t="n">
        <v>1.4</v>
      </c>
      <c r="H445" t="n">
        <v>0</v>
      </c>
      <c r="I445" t="n">
        <v>0</v>
      </c>
      <c r="J445" t="n">
        <v>0</v>
      </c>
      <c r="K445" t="n">
        <v>0</v>
      </c>
      <c r="L445" t="n">
        <v>0</v>
      </c>
      <c r="M445" t="n">
        <v>0</v>
      </c>
      <c r="N445" t="n">
        <v>0</v>
      </c>
      <c r="O445" t="n">
        <v>0</v>
      </c>
      <c r="P445" t="n">
        <v>0</v>
      </c>
      <c r="Q445" t="n">
        <v>0</v>
      </c>
      <c r="R445" s="2" t="inlineStr"/>
    </row>
    <row r="446" ht="15" customHeight="1">
      <c r="A446" t="inlineStr">
        <is>
          <t>A 7343-2025</t>
        </is>
      </c>
      <c r="B446" s="1" t="n">
        <v>45703.67853009259</v>
      </c>
      <c r="C446" s="1" t="n">
        <v>45974</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48271-2023</t>
        </is>
      </c>
      <c r="B447" s="1" t="n">
        <v>45205</v>
      </c>
      <c r="C447" s="1" t="n">
        <v>45974</v>
      </c>
      <c r="D447" t="inlineStr">
        <is>
          <t>ÖSTERGÖTLANDS LÄN</t>
        </is>
      </c>
      <c r="E447" t="inlineStr">
        <is>
          <t>LINKÖPING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12720-2022</t>
        </is>
      </c>
      <c r="B448" s="1" t="n">
        <v>44641</v>
      </c>
      <c r="C448" s="1" t="n">
        <v>45974</v>
      </c>
      <c r="D448" t="inlineStr">
        <is>
          <t>ÖSTERGÖTLANDS LÄN</t>
        </is>
      </c>
      <c r="E448" t="inlineStr">
        <is>
          <t>LINKÖPING</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421-2024</t>
        </is>
      </c>
      <c r="B449" s="1" t="n">
        <v>45296.51877314815</v>
      </c>
      <c r="C449" s="1" t="n">
        <v>45974</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62018-2024</t>
        </is>
      </c>
      <c r="B450" s="1" t="n">
        <v>45655.81387731482</v>
      </c>
      <c r="C450" s="1" t="n">
        <v>45974</v>
      </c>
      <c r="D450" t="inlineStr">
        <is>
          <t>ÖSTERGÖTLANDS LÄN</t>
        </is>
      </c>
      <c r="E450" t="inlineStr">
        <is>
          <t>LINKÖPING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22043-2023</t>
        </is>
      </c>
      <c r="B451" s="1" t="n">
        <v>45069.39050925926</v>
      </c>
      <c r="C451" s="1" t="n">
        <v>45974</v>
      </c>
      <c r="D451" t="inlineStr">
        <is>
          <t>ÖSTERGÖTLANDS LÄN</t>
        </is>
      </c>
      <c r="E451" t="inlineStr">
        <is>
          <t>LINKÖPING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61532-2021</t>
        </is>
      </c>
      <c r="B452" s="1" t="n">
        <v>44501</v>
      </c>
      <c r="C452" s="1" t="n">
        <v>45974</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14028-2024</t>
        </is>
      </c>
      <c r="B453" s="1" t="n">
        <v>45392</v>
      </c>
      <c r="C453" s="1" t="n">
        <v>45974</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40431-2024</t>
        </is>
      </c>
      <c r="B454" s="1" t="n">
        <v>45555.47070601852</v>
      </c>
      <c r="C454" s="1" t="n">
        <v>45974</v>
      </c>
      <c r="D454" t="inlineStr">
        <is>
          <t>ÖSTERGÖTLANDS LÄN</t>
        </is>
      </c>
      <c r="E454" t="inlineStr">
        <is>
          <t>LINKÖPING</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30551-2023</t>
        </is>
      </c>
      <c r="B455" s="1" t="n">
        <v>45111</v>
      </c>
      <c r="C455" s="1" t="n">
        <v>45974</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30860-2022</t>
        </is>
      </c>
      <c r="B456" s="1" t="n">
        <v>44767</v>
      </c>
      <c r="C456" s="1" t="n">
        <v>45974</v>
      </c>
      <c r="D456" t="inlineStr">
        <is>
          <t>ÖSTERGÖTLANDS LÄN</t>
        </is>
      </c>
      <c r="E456" t="inlineStr">
        <is>
          <t>LINKÖPING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60004-2022</t>
        </is>
      </c>
      <c r="B457" s="1" t="n">
        <v>44909.47206018519</v>
      </c>
      <c r="C457" s="1" t="n">
        <v>45974</v>
      </c>
      <c r="D457" t="inlineStr">
        <is>
          <t>ÖSTERGÖTLANDS LÄN</t>
        </is>
      </c>
      <c r="E457" t="inlineStr">
        <is>
          <t>LINKÖPING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60010-2022</t>
        </is>
      </c>
      <c r="B458" s="1" t="n">
        <v>44909.4740625</v>
      </c>
      <c r="C458" s="1" t="n">
        <v>45974</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53827-2023</t>
        </is>
      </c>
      <c r="B459" s="1" t="n">
        <v>45230</v>
      </c>
      <c r="C459" s="1" t="n">
        <v>45974</v>
      </c>
      <c r="D459" t="inlineStr">
        <is>
          <t>ÖSTERGÖTLANDS LÄN</t>
        </is>
      </c>
      <c r="E459" t="inlineStr">
        <is>
          <t>LINKÖPING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25568-2024</t>
        </is>
      </c>
      <c r="B460" s="1" t="n">
        <v>45463.58699074074</v>
      </c>
      <c r="C460" s="1" t="n">
        <v>45974</v>
      </c>
      <c r="D460" t="inlineStr">
        <is>
          <t>ÖSTERGÖTLANDS LÄN</t>
        </is>
      </c>
      <c r="E460" t="inlineStr">
        <is>
          <t>LINKÖPING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60860-2024</t>
        </is>
      </c>
      <c r="B461" s="1" t="n">
        <v>45644.6893287037</v>
      </c>
      <c r="C461" s="1" t="n">
        <v>45974</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27950-2025</t>
        </is>
      </c>
      <c r="B462" s="1" t="n">
        <v>45817.52960648148</v>
      </c>
      <c r="C462" s="1" t="n">
        <v>45974</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4256-2022</t>
        </is>
      </c>
      <c r="B463" s="1" t="n">
        <v>44588</v>
      </c>
      <c r="C463" s="1" t="n">
        <v>45974</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61649-2023</t>
        </is>
      </c>
      <c r="B464" s="1" t="n">
        <v>45265</v>
      </c>
      <c r="C464" s="1" t="n">
        <v>45974</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2697-2023</t>
        </is>
      </c>
      <c r="B465" s="1" t="n">
        <v>44944</v>
      </c>
      <c r="C465" s="1" t="n">
        <v>45974</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27797-2025</t>
        </is>
      </c>
      <c r="B466" s="1" t="n">
        <v>45816.80521990741</v>
      </c>
      <c r="C466" s="1" t="n">
        <v>45974</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27798-2025</t>
        </is>
      </c>
      <c r="B467" s="1" t="n">
        <v>45816.81532407407</v>
      </c>
      <c r="C467" s="1" t="n">
        <v>45974</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22833-2023</t>
        </is>
      </c>
      <c r="B468" s="1" t="n">
        <v>45071</v>
      </c>
      <c r="C468" s="1" t="n">
        <v>45974</v>
      </c>
      <c r="D468" t="inlineStr">
        <is>
          <t>ÖSTERGÖTLANDS LÄN</t>
        </is>
      </c>
      <c r="E468" t="inlineStr">
        <is>
          <t>LINKÖPING</t>
        </is>
      </c>
      <c r="F468" t="inlineStr">
        <is>
          <t>Kommuner</t>
        </is>
      </c>
      <c r="G468" t="n">
        <v>1</v>
      </c>
      <c r="H468" t="n">
        <v>0</v>
      </c>
      <c r="I468" t="n">
        <v>0</v>
      </c>
      <c r="J468" t="n">
        <v>0</v>
      </c>
      <c r="K468" t="n">
        <v>0</v>
      </c>
      <c r="L468" t="n">
        <v>0</v>
      </c>
      <c r="M468" t="n">
        <v>0</v>
      </c>
      <c r="N468" t="n">
        <v>0</v>
      </c>
      <c r="O468" t="n">
        <v>0</v>
      </c>
      <c r="P468" t="n">
        <v>0</v>
      </c>
      <c r="Q468" t="n">
        <v>0</v>
      </c>
      <c r="R468" s="2" t="inlineStr"/>
    </row>
    <row r="469" ht="15" customHeight="1">
      <c r="A469" t="inlineStr">
        <is>
          <t>A 45806-2024</t>
        </is>
      </c>
      <c r="B469" s="1" t="n">
        <v>45579.69619212963</v>
      </c>
      <c r="C469" s="1" t="n">
        <v>45974</v>
      </c>
      <c r="D469" t="inlineStr">
        <is>
          <t>ÖSTERGÖTLANDS LÄN</t>
        </is>
      </c>
      <c r="E469" t="inlineStr">
        <is>
          <t>LINKÖPING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28200-2025</t>
        </is>
      </c>
      <c r="B470" s="1" t="n">
        <v>45818.4428125</v>
      </c>
      <c r="C470" s="1" t="n">
        <v>45974</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56756-2023</t>
        </is>
      </c>
      <c r="B471" s="1" t="n">
        <v>45244</v>
      </c>
      <c r="C471" s="1" t="n">
        <v>45974</v>
      </c>
      <c r="D471" t="inlineStr">
        <is>
          <t>ÖSTERGÖTLANDS LÄN</t>
        </is>
      </c>
      <c r="E471" t="inlineStr">
        <is>
          <t>LINKÖPING</t>
        </is>
      </c>
      <c r="F471" t="inlineStr">
        <is>
          <t>Övriga Aktiebolag</t>
        </is>
      </c>
      <c r="G471" t="n">
        <v>0.8</v>
      </c>
      <c r="H471" t="n">
        <v>0</v>
      </c>
      <c r="I471" t="n">
        <v>0</v>
      </c>
      <c r="J471" t="n">
        <v>0</v>
      </c>
      <c r="K471" t="n">
        <v>0</v>
      </c>
      <c r="L471" t="n">
        <v>0</v>
      </c>
      <c r="M471" t="n">
        <v>0</v>
      </c>
      <c r="N471" t="n">
        <v>0</v>
      </c>
      <c r="O471" t="n">
        <v>0</v>
      </c>
      <c r="P471" t="n">
        <v>0</v>
      </c>
      <c r="Q471" t="n">
        <v>0</v>
      </c>
      <c r="R471" s="2" t="inlineStr"/>
    </row>
    <row r="472" ht="15" customHeight="1">
      <c r="A472" t="inlineStr">
        <is>
          <t>A 28204-2025</t>
        </is>
      </c>
      <c r="B472" s="1" t="n">
        <v>45818.4477662037</v>
      </c>
      <c r="C472" s="1" t="n">
        <v>45974</v>
      </c>
      <c r="D472" t="inlineStr">
        <is>
          <t>ÖSTERGÖTLANDS LÄN</t>
        </is>
      </c>
      <c r="E472" t="inlineStr">
        <is>
          <t>LINKÖPING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28416-2025</t>
        </is>
      </c>
      <c r="B473" s="1" t="n">
        <v>45819.35346064815</v>
      </c>
      <c r="C473" s="1" t="n">
        <v>45974</v>
      </c>
      <c r="D473" t="inlineStr">
        <is>
          <t>ÖSTERGÖTLANDS LÄN</t>
        </is>
      </c>
      <c r="E473" t="inlineStr">
        <is>
          <t>LINKÖPING</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2997-2025</t>
        </is>
      </c>
      <c r="B474" s="1" t="n">
        <v>45678.54631944445</v>
      </c>
      <c r="C474" s="1" t="n">
        <v>45974</v>
      </c>
      <c r="D474" t="inlineStr">
        <is>
          <t>ÖSTERGÖTLANDS LÄN</t>
        </is>
      </c>
      <c r="E474" t="inlineStr">
        <is>
          <t>LINKÖPING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28398-2025</t>
        </is>
      </c>
      <c r="B475" s="1" t="n">
        <v>45819.34208333334</v>
      </c>
      <c r="C475" s="1" t="n">
        <v>45974</v>
      </c>
      <c r="D475" t="inlineStr">
        <is>
          <t>ÖSTERGÖTLANDS LÄN</t>
        </is>
      </c>
      <c r="E475" t="inlineStr">
        <is>
          <t>LINKÖPING</t>
        </is>
      </c>
      <c r="F475" t="inlineStr">
        <is>
          <t>Sveaskog</t>
        </is>
      </c>
      <c r="G475" t="n">
        <v>7.9</v>
      </c>
      <c r="H475" t="n">
        <v>0</v>
      </c>
      <c r="I475" t="n">
        <v>0</v>
      </c>
      <c r="J475" t="n">
        <v>0</v>
      </c>
      <c r="K475" t="n">
        <v>0</v>
      </c>
      <c r="L475" t="n">
        <v>0</v>
      </c>
      <c r="M475" t="n">
        <v>0</v>
      </c>
      <c r="N475" t="n">
        <v>0</v>
      </c>
      <c r="O475" t="n">
        <v>0</v>
      </c>
      <c r="P475" t="n">
        <v>0</v>
      </c>
      <c r="Q475" t="n">
        <v>0</v>
      </c>
      <c r="R475" s="2" t="inlineStr"/>
    </row>
    <row r="476" ht="15" customHeight="1">
      <c r="A476" t="inlineStr">
        <is>
          <t>A 28209-2025</t>
        </is>
      </c>
      <c r="B476" s="1" t="n">
        <v>45818.45112268518</v>
      </c>
      <c r="C476" s="1" t="n">
        <v>45974</v>
      </c>
      <c r="D476" t="inlineStr">
        <is>
          <t>ÖSTERGÖTLANDS LÄN</t>
        </is>
      </c>
      <c r="E476" t="inlineStr">
        <is>
          <t>LINKÖPING</t>
        </is>
      </c>
      <c r="G476" t="n">
        <v>4.2</v>
      </c>
      <c r="H476" t="n">
        <v>0</v>
      </c>
      <c r="I476" t="n">
        <v>0</v>
      </c>
      <c r="J476" t="n">
        <v>0</v>
      </c>
      <c r="K476" t="n">
        <v>0</v>
      </c>
      <c r="L476" t="n">
        <v>0</v>
      </c>
      <c r="M476" t="n">
        <v>0</v>
      </c>
      <c r="N476" t="n">
        <v>0</v>
      </c>
      <c r="O476" t="n">
        <v>0</v>
      </c>
      <c r="P476" t="n">
        <v>0</v>
      </c>
      <c r="Q476" t="n">
        <v>0</v>
      </c>
      <c r="R476" s="2" t="inlineStr"/>
    </row>
    <row r="477" ht="15" customHeight="1">
      <c r="A477" t="inlineStr">
        <is>
          <t>A 60985-2023</t>
        </is>
      </c>
      <c r="B477" s="1" t="n">
        <v>45261.48429398148</v>
      </c>
      <c r="C477" s="1" t="n">
        <v>45974</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24904-2024</t>
        </is>
      </c>
      <c r="B478" s="1" t="n">
        <v>45461</v>
      </c>
      <c r="C478" s="1" t="n">
        <v>45974</v>
      </c>
      <c r="D478" t="inlineStr">
        <is>
          <t>ÖSTERGÖTLANDS LÄN</t>
        </is>
      </c>
      <c r="E478" t="inlineStr">
        <is>
          <t>LINKÖPING</t>
        </is>
      </c>
      <c r="G478" t="n">
        <v>3.8</v>
      </c>
      <c r="H478" t="n">
        <v>0</v>
      </c>
      <c r="I478" t="n">
        <v>0</v>
      </c>
      <c r="J478" t="n">
        <v>0</v>
      </c>
      <c r="K478" t="n">
        <v>0</v>
      </c>
      <c r="L478" t="n">
        <v>0</v>
      </c>
      <c r="M478" t="n">
        <v>0</v>
      </c>
      <c r="N478" t="n">
        <v>0</v>
      </c>
      <c r="O478" t="n">
        <v>0</v>
      </c>
      <c r="P478" t="n">
        <v>0</v>
      </c>
      <c r="Q478" t="n">
        <v>0</v>
      </c>
      <c r="R478" s="2" t="inlineStr"/>
    </row>
    <row r="479" ht="15" customHeight="1">
      <c r="A479" t="inlineStr">
        <is>
          <t>A 55009-2023</t>
        </is>
      </c>
      <c r="B479" s="1" t="n">
        <v>45237</v>
      </c>
      <c r="C479" s="1" t="n">
        <v>45974</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34872-2023</t>
        </is>
      </c>
      <c r="B480" s="1" t="n">
        <v>45140</v>
      </c>
      <c r="C480" s="1" t="n">
        <v>45974</v>
      </c>
      <c r="D480" t="inlineStr">
        <is>
          <t>ÖSTERGÖTLANDS LÄN</t>
        </is>
      </c>
      <c r="E480" t="inlineStr">
        <is>
          <t>LINKÖPING</t>
        </is>
      </c>
      <c r="G480" t="n">
        <v>4.8</v>
      </c>
      <c r="H480" t="n">
        <v>0</v>
      </c>
      <c r="I480" t="n">
        <v>0</v>
      </c>
      <c r="J480" t="n">
        <v>0</v>
      </c>
      <c r="K480" t="n">
        <v>0</v>
      </c>
      <c r="L480" t="n">
        <v>0</v>
      </c>
      <c r="M480" t="n">
        <v>0</v>
      </c>
      <c r="N480" t="n">
        <v>0</v>
      </c>
      <c r="O480" t="n">
        <v>0</v>
      </c>
      <c r="P480" t="n">
        <v>0</v>
      </c>
      <c r="Q480" t="n">
        <v>0</v>
      </c>
      <c r="R480" s="2" t="inlineStr"/>
    </row>
    <row r="481" ht="15" customHeight="1">
      <c r="A481" t="inlineStr">
        <is>
          <t>A 29027-2025</t>
        </is>
      </c>
      <c r="B481" s="1" t="n">
        <v>45821.4375462963</v>
      </c>
      <c r="C481" s="1" t="n">
        <v>45974</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29411-2025</t>
        </is>
      </c>
      <c r="B482" s="1" t="n">
        <v>45824.6219212963</v>
      </c>
      <c r="C482" s="1" t="n">
        <v>45974</v>
      </c>
      <c r="D482" t="inlineStr">
        <is>
          <t>ÖSTERGÖTLANDS LÄN</t>
        </is>
      </c>
      <c r="E482" t="inlineStr">
        <is>
          <t>LINKÖPING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223-2024</t>
        </is>
      </c>
      <c r="B483" s="1" t="n">
        <v>45294.72739583333</v>
      </c>
      <c r="C483" s="1" t="n">
        <v>45974</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29393-2025</t>
        </is>
      </c>
      <c r="B484" s="1" t="n">
        <v>45824.6057175926</v>
      </c>
      <c r="C484" s="1" t="n">
        <v>45974</v>
      </c>
      <c r="D484" t="inlineStr">
        <is>
          <t>ÖSTERGÖTLANDS LÄN</t>
        </is>
      </c>
      <c r="E484" t="inlineStr">
        <is>
          <t>LINKÖPING</t>
        </is>
      </c>
      <c r="F484" t="inlineStr">
        <is>
          <t>Sveaskog</t>
        </is>
      </c>
      <c r="G484" t="n">
        <v>24.6</v>
      </c>
      <c r="H484" t="n">
        <v>0</v>
      </c>
      <c r="I484" t="n">
        <v>0</v>
      </c>
      <c r="J484" t="n">
        <v>0</v>
      </c>
      <c r="K484" t="n">
        <v>0</v>
      </c>
      <c r="L484" t="n">
        <v>0</v>
      </c>
      <c r="M484" t="n">
        <v>0</v>
      </c>
      <c r="N484" t="n">
        <v>0</v>
      </c>
      <c r="O484" t="n">
        <v>0</v>
      </c>
      <c r="P484" t="n">
        <v>0</v>
      </c>
      <c r="Q484" t="n">
        <v>0</v>
      </c>
      <c r="R484" s="2" t="inlineStr"/>
    </row>
    <row r="485" ht="15" customHeight="1">
      <c r="A485" t="inlineStr">
        <is>
          <t>A 61281-2021</t>
        </is>
      </c>
      <c r="B485" s="1" t="n">
        <v>44498.60736111111</v>
      </c>
      <c r="C485" s="1" t="n">
        <v>45974</v>
      </c>
      <c r="D485" t="inlineStr">
        <is>
          <t>ÖSTERGÖTLANDS LÄN</t>
        </is>
      </c>
      <c r="E485" t="inlineStr">
        <is>
          <t>LINKÖPING</t>
        </is>
      </c>
      <c r="G485" t="n">
        <v>4.5</v>
      </c>
      <c r="H485" t="n">
        <v>0</v>
      </c>
      <c r="I485" t="n">
        <v>0</v>
      </c>
      <c r="J485" t="n">
        <v>0</v>
      </c>
      <c r="K485" t="n">
        <v>0</v>
      </c>
      <c r="L485" t="n">
        <v>0</v>
      </c>
      <c r="M485" t="n">
        <v>0</v>
      </c>
      <c r="N485" t="n">
        <v>0</v>
      </c>
      <c r="O485" t="n">
        <v>0</v>
      </c>
      <c r="P485" t="n">
        <v>0</v>
      </c>
      <c r="Q485" t="n">
        <v>0</v>
      </c>
      <c r="R485" s="2" t="inlineStr"/>
    </row>
    <row r="486" ht="15" customHeight="1">
      <c r="A486" t="inlineStr">
        <is>
          <t>A 25292-2021</t>
        </is>
      </c>
      <c r="B486" s="1" t="n">
        <v>44342</v>
      </c>
      <c r="C486" s="1" t="n">
        <v>45974</v>
      </c>
      <c r="D486" t="inlineStr">
        <is>
          <t>ÖSTERGÖTLANDS LÄN</t>
        </is>
      </c>
      <c r="E486" t="inlineStr">
        <is>
          <t>LINKÖPING</t>
        </is>
      </c>
      <c r="F486" t="inlineStr">
        <is>
          <t>Övriga Aktiebolag</t>
        </is>
      </c>
      <c r="G486" t="n">
        <v>12.8</v>
      </c>
      <c r="H486" t="n">
        <v>0</v>
      </c>
      <c r="I486" t="n">
        <v>0</v>
      </c>
      <c r="J486" t="n">
        <v>0</v>
      </c>
      <c r="K486" t="n">
        <v>0</v>
      </c>
      <c r="L486" t="n">
        <v>0</v>
      </c>
      <c r="M486" t="n">
        <v>0</v>
      </c>
      <c r="N486" t="n">
        <v>0</v>
      </c>
      <c r="O486" t="n">
        <v>0</v>
      </c>
      <c r="P486" t="n">
        <v>0</v>
      </c>
      <c r="Q486" t="n">
        <v>0</v>
      </c>
      <c r="R486" s="2" t="inlineStr"/>
    </row>
    <row r="487" ht="15" customHeight="1">
      <c r="A487" t="inlineStr">
        <is>
          <t>A 36336-2022</t>
        </is>
      </c>
      <c r="B487" s="1" t="n">
        <v>44803</v>
      </c>
      <c r="C487" s="1" t="n">
        <v>45974</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63935-2021</t>
        </is>
      </c>
      <c r="B488" s="1" t="n">
        <v>44509</v>
      </c>
      <c r="C488" s="1" t="n">
        <v>45974</v>
      </c>
      <c r="D488" t="inlineStr">
        <is>
          <t>ÖSTERGÖTLANDS LÄN</t>
        </is>
      </c>
      <c r="E488" t="inlineStr">
        <is>
          <t>LINKÖPING</t>
        </is>
      </c>
      <c r="F488" t="inlineStr">
        <is>
          <t>Övriga statliga verk och myndigheter</t>
        </is>
      </c>
      <c r="G488" t="n">
        <v>2.8</v>
      </c>
      <c r="H488" t="n">
        <v>0</v>
      </c>
      <c r="I488" t="n">
        <v>0</v>
      </c>
      <c r="J488" t="n">
        <v>0</v>
      </c>
      <c r="K488" t="n">
        <v>0</v>
      </c>
      <c r="L488" t="n">
        <v>0</v>
      </c>
      <c r="M488" t="n">
        <v>0</v>
      </c>
      <c r="N488" t="n">
        <v>0</v>
      </c>
      <c r="O488" t="n">
        <v>0</v>
      </c>
      <c r="P488" t="n">
        <v>0</v>
      </c>
      <c r="Q488" t="n">
        <v>0</v>
      </c>
      <c r="R488" s="2" t="inlineStr"/>
    </row>
    <row r="489" ht="15" customHeight="1">
      <c r="A489" t="inlineStr">
        <is>
          <t>A 38971-2025</t>
        </is>
      </c>
      <c r="B489" s="1" t="n">
        <v>45887.71827546296</v>
      </c>
      <c r="C489" s="1" t="n">
        <v>45974</v>
      </c>
      <c r="D489" t="inlineStr">
        <is>
          <t>ÖSTERGÖTLANDS LÄN</t>
        </is>
      </c>
      <c r="E489" t="inlineStr">
        <is>
          <t>LINKÖPING</t>
        </is>
      </c>
      <c r="G489" t="n">
        <v>3.9</v>
      </c>
      <c r="H489" t="n">
        <v>0</v>
      </c>
      <c r="I489" t="n">
        <v>0</v>
      </c>
      <c r="J489" t="n">
        <v>0</v>
      </c>
      <c r="K489" t="n">
        <v>0</v>
      </c>
      <c r="L489" t="n">
        <v>0</v>
      </c>
      <c r="M489" t="n">
        <v>0</v>
      </c>
      <c r="N489" t="n">
        <v>0</v>
      </c>
      <c r="O489" t="n">
        <v>0</v>
      </c>
      <c r="P489" t="n">
        <v>0</v>
      </c>
      <c r="Q489" t="n">
        <v>0</v>
      </c>
      <c r="R489" s="2" t="inlineStr"/>
    </row>
    <row r="490" ht="15" customHeight="1">
      <c r="A490" t="inlineStr">
        <is>
          <t>A 55345-2021</t>
        </is>
      </c>
      <c r="B490" s="1" t="n">
        <v>44475</v>
      </c>
      <c r="C490" s="1" t="n">
        <v>45974</v>
      </c>
      <c r="D490" t="inlineStr">
        <is>
          <t>ÖSTERGÖTLANDS LÄN</t>
        </is>
      </c>
      <c r="E490" t="inlineStr">
        <is>
          <t>LINKÖPING</t>
        </is>
      </c>
      <c r="G490" t="n">
        <v>5.7</v>
      </c>
      <c r="H490" t="n">
        <v>0</v>
      </c>
      <c r="I490" t="n">
        <v>0</v>
      </c>
      <c r="J490" t="n">
        <v>0</v>
      </c>
      <c r="K490" t="n">
        <v>0</v>
      </c>
      <c r="L490" t="n">
        <v>0</v>
      </c>
      <c r="M490" t="n">
        <v>0</v>
      </c>
      <c r="N490" t="n">
        <v>0</v>
      </c>
      <c r="O490" t="n">
        <v>0</v>
      </c>
      <c r="P490" t="n">
        <v>0</v>
      </c>
      <c r="Q490" t="n">
        <v>0</v>
      </c>
      <c r="R490" s="2" t="inlineStr"/>
    </row>
    <row r="491" ht="15" customHeight="1">
      <c r="A491" t="inlineStr">
        <is>
          <t>A 29599-2025</t>
        </is>
      </c>
      <c r="B491" s="1" t="n">
        <v>45825.41101851852</v>
      </c>
      <c r="C491" s="1" t="n">
        <v>45974</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25097-2023</t>
        </is>
      </c>
      <c r="B492" s="1" t="n">
        <v>45086</v>
      </c>
      <c r="C492" s="1" t="n">
        <v>45974</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19464-2024</t>
        </is>
      </c>
      <c r="B493" s="1" t="n">
        <v>45429</v>
      </c>
      <c r="C493" s="1" t="n">
        <v>45974</v>
      </c>
      <c r="D493" t="inlineStr">
        <is>
          <t>ÖSTERGÖTLANDS LÄN</t>
        </is>
      </c>
      <c r="E493" t="inlineStr">
        <is>
          <t>LINKÖPING</t>
        </is>
      </c>
      <c r="G493" t="n">
        <v>2.7</v>
      </c>
      <c r="H493" t="n">
        <v>0</v>
      </c>
      <c r="I493" t="n">
        <v>0</v>
      </c>
      <c r="J493" t="n">
        <v>0</v>
      </c>
      <c r="K493" t="n">
        <v>0</v>
      </c>
      <c r="L493" t="n">
        <v>0</v>
      </c>
      <c r="M493" t="n">
        <v>0</v>
      </c>
      <c r="N493" t="n">
        <v>0</v>
      </c>
      <c r="O493" t="n">
        <v>0</v>
      </c>
      <c r="P493" t="n">
        <v>0</v>
      </c>
      <c r="Q493" t="n">
        <v>0</v>
      </c>
      <c r="R493" s="2" t="inlineStr"/>
    </row>
    <row r="494" ht="15" customHeight="1">
      <c r="A494" t="inlineStr">
        <is>
          <t>A 30355-2025</t>
        </is>
      </c>
      <c r="B494" s="1" t="n">
        <v>45827</v>
      </c>
      <c r="C494" s="1" t="n">
        <v>45974</v>
      </c>
      <c r="D494" t="inlineStr">
        <is>
          <t>ÖSTERGÖTLANDS LÄN</t>
        </is>
      </c>
      <c r="E494" t="inlineStr">
        <is>
          <t>LINKÖPING</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10461-2023</t>
        </is>
      </c>
      <c r="B495" s="1" t="n">
        <v>44987.5969212963</v>
      </c>
      <c r="C495" s="1" t="n">
        <v>45974</v>
      </c>
      <c r="D495" t="inlineStr">
        <is>
          <t>ÖSTERGÖTLANDS LÄN</t>
        </is>
      </c>
      <c r="E495" t="inlineStr">
        <is>
          <t>LINKÖPING</t>
        </is>
      </c>
      <c r="G495" t="n">
        <v>7.8</v>
      </c>
      <c r="H495" t="n">
        <v>0</v>
      </c>
      <c r="I495" t="n">
        <v>0</v>
      </c>
      <c r="J495" t="n">
        <v>0</v>
      </c>
      <c r="K495" t="n">
        <v>0</v>
      </c>
      <c r="L495" t="n">
        <v>0</v>
      </c>
      <c r="M495" t="n">
        <v>0</v>
      </c>
      <c r="N495" t="n">
        <v>0</v>
      </c>
      <c r="O495" t="n">
        <v>0</v>
      </c>
      <c r="P495" t="n">
        <v>0</v>
      </c>
      <c r="Q495" t="n">
        <v>0</v>
      </c>
      <c r="R495" s="2" t="inlineStr"/>
    </row>
    <row r="496" ht="15" customHeight="1">
      <c r="A496" t="inlineStr">
        <is>
          <t>A 630-2024</t>
        </is>
      </c>
      <c r="B496" s="1" t="n">
        <v>45299.67736111111</v>
      </c>
      <c r="C496" s="1" t="n">
        <v>45974</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30353-2025</t>
        </is>
      </c>
      <c r="B497" s="1" t="n">
        <v>45827</v>
      </c>
      <c r="C497" s="1" t="n">
        <v>45974</v>
      </c>
      <c r="D497" t="inlineStr">
        <is>
          <t>ÖSTERGÖTLANDS LÄN</t>
        </is>
      </c>
      <c r="E497" t="inlineStr">
        <is>
          <t>LINKÖPING</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50386-2021</t>
        </is>
      </c>
      <c r="B498" s="1" t="n">
        <v>44459</v>
      </c>
      <c r="C498" s="1" t="n">
        <v>45974</v>
      </c>
      <c r="D498" t="inlineStr">
        <is>
          <t>ÖSTERGÖTLANDS LÄN</t>
        </is>
      </c>
      <c r="E498" t="inlineStr">
        <is>
          <t>LINKÖPING</t>
        </is>
      </c>
      <c r="G498" t="n">
        <v>2.3</v>
      </c>
      <c r="H498" t="n">
        <v>0</v>
      </c>
      <c r="I498" t="n">
        <v>0</v>
      </c>
      <c r="J498" t="n">
        <v>0</v>
      </c>
      <c r="K498" t="n">
        <v>0</v>
      </c>
      <c r="L498" t="n">
        <v>0</v>
      </c>
      <c r="M498" t="n">
        <v>0</v>
      </c>
      <c r="N498" t="n">
        <v>0</v>
      </c>
      <c r="O498" t="n">
        <v>0</v>
      </c>
      <c r="P498" t="n">
        <v>0</v>
      </c>
      <c r="Q498" t="n">
        <v>0</v>
      </c>
      <c r="R498" s="2" t="inlineStr"/>
    </row>
    <row r="499" ht="15" customHeight="1">
      <c r="A499" t="inlineStr">
        <is>
          <t>A 30433-2024</t>
        </is>
      </c>
      <c r="B499" s="1" t="n">
        <v>45491.69741898148</v>
      </c>
      <c r="C499" s="1" t="n">
        <v>45974</v>
      </c>
      <c r="D499" t="inlineStr">
        <is>
          <t>ÖSTERGÖTLANDS LÄN</t>
        </is>
      </c>
      <c r="E499" t="inlineStr">
        <is>
          <t>LINKÖPING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350-2022</t>
        </is>
      </c>
      <c r="B500" s="1" t="n">
        <v>44565</v>
      </c>
      <c r="C500" s="1" t="n">
        <v>45974</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63528-2023</t>
        </is>
      </c>
      <c r="B501" s="1" t="n">
        <v>45274.94810185185</v>
      </c>
      <c r="C501" s="1" t="n">
        <v>45974</v>
      </c>
      <c r="D501" t="inlineStr">
        <is>
          <t>ÖSTERGÖTLANDS LÄN</t>
        </is>
      </c>
      <c r="E501" t="inlineStr">
        <is>
          <t>LINKÖPING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18891-2022</t>
        </is>
      </c>
      <c r="B502" s="1" t="n">
        <v>44690</v>
      </c>
      <c r="C502" s="1" t="n">
        <v>45974</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61936-2023</t>
        </is>
      </c>
      <c r="B503" s="1" t="n">
        <v>45266.54534722222</v>
      </c>
      <c r="C503" s="1" t="n">
        <v>45974</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62492-2023</t>
        </is>
      </c>
      <c r="B504" s="1" t="n">
        <v>45268.58987268519</v>
      </c>
      <c r="C504" s="1" t="n">
        <v>45974</v>
      </c>
      <c r="D504" t="inlineStr">
        <is>
          <t>ÖSTERGÖTLANDS LÄN</t>
        </is>
      </c>
      <c r="E504" t="inlineStr">
        <is>
          <t>LINKÖPING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674-2024</t>
        </is>
      </c>
      <c r="B505" s="1" t="n">
        <v>45300.34408564815</v>
      </c>
      <c r="C505" s="1" t="n">
        <v>45974</v>
      </c>
      <c r="D505" t="inlineStr">
        <is>
          <t>ÖSTERGÖTLANDS LÄN</t>
        </is>
      </c>
      <c r="E505" t="inlineStr">
        <is>
          <t>LINKÖPING</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31581-2025</t>
        </is>
      </c>
      <c r="B506" s="1" t="n">
        <v>45833.6840162037</v>
      </c>
      <c r="C506" s="1" t="n">
        <v>45974</v>
      </c>
      <c r="D506" t="inlineStr">
        <is>
          <t>ÖSTERGÖTLANDS LÄN</t>
        </is>
      </c>
      <c r="E506" t="inlineStr">
        <is>
          <t>LINKÖPING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31585-2025</t>
        </is>
      </c>
      <c r="B507" s="1" t="n">
        <v>45833.68815972222</v>
      </c>
      <c r="C507" s="1" t="n">
        <v>45974</v>
      </c>
      <c r="D507" t="inlineStr">
        <is>
          <t>ÖSTERGÖTLANDS LÄN</t>
        </is>
      </c>
      <c r="E507" t="inlineStr">
        <is>
          <t>LINKÖPING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30976-2022</t>
        </is>
      </c>
      <c r="B508" s="1" t="n">
        <v>44768</v>
      </c>
      <c r="C508" s="1" t="n">
        <v>45974</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6782-2024</t>
        </is>
      </c>
      <c r="B509" s="1" t="n">
        <v>45342</v>
      </c>
      <c r="C509" s="1" t="n">
        <v>45974</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3008-2023</t>
        </is>
      </c>
      <c r="B510" s="1" t="n">
        <v>44945.79784722222</v>
      </c>
      <c r="C510" s="1" t="n">
        <v>45974</v>
      </c>
      <c r="D510" t="inlineStr">
        <is>
          <t>ÖSTERGÖTLANDS LÄN</t>
        </is>
      </c>
      <c r="E510" t="inlineStr">
        <is>
          <t>LINKÖPING</t>
        </is>
      </c>
      <c r="G510" t="n">
        <v>19.3</v>
      </c>
      <c r="H510" t="n">
        <v>0</v>
      </c>
      <c r="I510" t="n">
        <v>0</v>
      </c>
      <c r="J510" t="n">
        <v>0</v>
      </c>
      <c r="K510" t="n">
        <v>0</v>
      </c>
      <c r="L510" t="n">
        <v>0</v>
      </c>
      <c r="M510" t="n">
        <v>0</v>
      </c>
      <c r="N510" t="n">
        <v>0</v>
      </c>
      <c r="O510" t="n">
        <v>0</v>
      </c>
      <c r="P510" t="n">
        <v>0</v>
      </c>
      <c r="Q510" t="n">
        <v>0</v>
      </c>
      <c r="R510" s="2" t="inlineStr"/>
    </row>
    <row r="511" ht="15" customHeight="1">
      <c r="A511" t="inlineStr">
        <is>
          <t>A 55736-2022</t>
        </is>
      </c>
      <c r="B511" s="1" t="n">
        <v>44888</v>
      </c>
      <c r="C511" s="1" t="n">
        <v>45974</v>
      </c>
      <c r="D511" t="inlineStr">
        <is>
          <t>ÖSTERGÖTLANDS LÄN</t>
        </is>
      </c>
      <c r="E511" t="inlineStr">
        <is>
          <t>LINKÖPING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10094-2024</t>
        </is>
      </c>
      <c r="B512" s="1" t="n">
        <v>45364</v>
      </c>
      <c r="C512" s="1" t="n">
        <v>45974</v>
      </c>
      <c r="D512" t="inlineStr">
        <is>
          <t>ÖSTERGÖTLANDS LÄN</t>
        </is>
      </c>
      <c r="E512" t="inlineStr">
        <is>
          <t>LINKÖPING</t>
        </is>
      </c>
      <c r="F512" t="inlineStr">
        <is>
          <t>Övriga Aktiebolag</t>
        </is>
      </c>
      <c r="G512" t="n">
        <v>1.9</v>
      </c>
      <c r="H512" t="n">
        <v>0</v>
      </c>
      <c r="I512" t="n">
        <v>0</v>
      </c>
      <c r="J512" t="n">
        <v>0</v>
      </c>
      <c r="K512" t="n">
        <v>0</v>
      </c>
      <c r="L512" t="n">
        <v>0</v>
      </c>
      <c r="M512" t="n">
        <v>0</v>
      </c>
      <c r="N512" t="n">
        <v>0</v>
      </c>
      <c r="O512" t="n">
        <v>0</v>
      </c>
      <c r="P512" t="n">
        <v>0</v>
      </c>
      <c r="Q512" t="n">
        <v>0</v>
      </c>
      <c r="R512" s="2" t="inlineStr"/>
    </row>
    <row r="513" ht="15" customHeight="1">
      <c r="A513" t="inlineStr">
        <is>
          <t>A 63684-2023</t>
        </is>
      </c>
      <c r="B513" s="1" t="n">
        <v>45275</v>
      </c>
      <c r="C513" s="1" t="n">
        <v>45974</v>
      </c>
      <c r="D513" t="inlineStr">
        <is>
          <t>ÖSTERGÖTLANDS LÄN</t>
        </is>
      </c>
      <c r="E513" t="inlineStr">
        <is>
          <t>LINKÖPING</t>
        </is>
      </c>
      <c r="G513" t="n">
        <v>0.4</v>
      </c>
      <c r="H513" t="n">
        <v>0</v>
      </c>
      <c r="I513" t="n">
        <v>0</v>
      </c>
      <c r="J513" t="n">
        <v>0</v>
      </c>
      <c r="K513" t="n">
        <v>0</v>
      </c>
      <c r="L513" t="n">
        <v>0</v>
      </c>
      <c r="M513" t="n">
        <v>0</v>
      </c>
      <c r="N513" t="n">
        <v>0</v>
      </c>
      <c r="O513" t="n">
        <v>0</v>
      </c>
      <c r="P513" t="n">
        <v>0</v>
      </c>
      <c r="Q513" t="n">
        <v>0</v>
      </c>
      <c r="R513" s="2" t="inlineStr"/>
    </row>
    <row r="514" ht="15" customHeight="1">
      <c r="A514" t="inlineStr">
        <is>
          <t>A 63688-2023</t>
        </is>
      </c>
      <c r="B514" s="1" t="n">
        <v>45275</v>
      </c>
      <c r="C514" s="1" t="n">
        <v>45974</v>
      </c>
      <c r="D514" t="inlineStr">
        <is>
          <t>ÖSTERGÖTLANDS LÄN</t>
        </is>
      </c>
      <c r="E514" t="inlineStr">
        <is>
          <t>LINKÖPING</t>
        </is>
      </c>
      <c r="F514" t="inlineStr">
        <is>
          <t>Övriga Aktiebolag</t>
        </is>
      </c>
      <c r="G514" t="n">
        <v>2.4</v>
      </c>
      <c r="H514" t="n">
        <v>0</v>
      </c>
      <c r="I514" t="n">
        <v>0</v>
      </c>
      <c r="J514" t="n">
        <v>0</v>
      </c>
      <c r="K514" t="n">
        <v>0</v>
      </c>
      <c r="L514" t="n">
        <v>0</v>
      </c>
      <c r="M514" t="n">
        <v>0</v>
      </c>
      <c r="N514" t="n">
        <v>0</v>
      </c>
      <c r="O514" t="n">
        <v>0</v>
      </c>
      <c r="P514" t="n">
        <v>0</v>
      </c>
      <c r="Q514" t="n">
        <v>0</v>
      </c>
      <c r="R514" s="2" t="inlineStr"/>
    </row>
    <row r="515" ht="15" customHeight="1">
      <c r="A515" t="inlineStr">
        <is>
          <t>A 63691-2023</t>
        </is>
      </c>
      <c r="B515" s="1" t="n">
        <v>45275</v>
      </c>
      <c r="C515" s="1" t="n">
        <v>45974</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36657-2023</t>
        </is>
      </c>
      <c r="B516" s="1" t="n">
        <v>45153.5702662037</v>
      </c>
      <c r="C516" s="1" t="n">
        <v>45974</v>
      </c>
      <c r="D516" t="inlineStr">
        <is>
          <t>ÖSTERGÖTLANDS LÄN</t>
        </is>
      </c>
      <c r="E516" t="inlineStr">
        <is>
          <t>LINKÖPING</t>
        </is>
      </c>
      <c r="F516" t="inlineStr">
        <is>
          <t>Allmännings- och besparingsskogar</t>
        </is>
      </c>
      <c r="G516" t="n">
        <v>2</v>
      </c>
      <c r="H516" t="n">
        <v>0</v>
      </c>
      <c r="I516" t="n">
        <v>0</v>
      </c>
      <c r="J516" t="n">
        <v>0</v>
      </c>
      <c r="K516" t="n">
        <v>0</v>
      </c>
      <c r="L516" t="n">
        <v>0</v>
      </c>
      <c r="M516" t="n">
        <v>0</v>
      </c>
      <c r="N516" t="n">
        <v>0</v>
      </c>
      <c r="O516" t="n">
        <v>0</v>
      </c>
      <c r="P516" t="n">
        <v>0</v>
      </c>
      <c r="Q516" t="n">
        <v>0</v>
      </c>
      <c r="R516" s="2" t="inlineStr"/>
    </row>
    <row r="517" ht="15" customHeight="1">
      <c r="A517" t="inlineStr">
        <is>
          <t>A 39438-2025</t>
        </is>
      </c>
      <c r="B517" s="1" t="n">
        <v>45889.68641203704</v>
      </c>
      <c r="C517" s="1" t="n">
        <v>45974</v>
      </c>
      <c r="D517" t="inlineStr">
        <is>
          <t>ÖSTERGÖTLANDS LÄN</t>
        </is>
      </c>
      <c r="E517" t="inlineStr">
        <is>
          <t>LINKÖPING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14667-2024</t>
        </is>
      </c>
      <c r="B518" s="1" t="n">
        <v>45397.42005787037</v>
      </c>
      <c r="C518" s="1" t="n">
        <v>45974</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27264-2025</t>
        </is>
      </c>
      <c r="B519" s="1" t="n">
        <v>45812.4794212963</v>
      </c>
      <c r="C519" s="1" t="n">
        <v>45974</v>
      </c>
      <c r="D519" t="inlineStr">
        <is>
          <t>ÖSTERGÖTLANDS LÄN</t>
        </is>
      </c>
      <c r="E519" t="inlineStr">
        <is>
          <t>LINKÖPING</t>
        </is>
      </c>
      <c r="G519" t="n">
        <v>2.6</v>
      </c>
      <c r="H519" t="n">
        <v>0</v>
      </c>
      <c r="I519" t="n">
        <v>0</v>
      </c>
      <c r="J519" t="n">
        <v>0</v>
      </c>
      <c r="K519" t="n">
        <v>0</v>
      </c>
      <c r="L519" t="n">
        <v>0</v>
      </c>
      <c r="M519" t="n">
        <v>0</v>
      </c>
      <c r="N519" t="n">
        <v>0</v>
      </c>
      <c r="O519" t="n">
        <v>0</v>
      </c>
      <c r="P519" t="n">
        <v>0</v>
      </c>
      <c r="Q519" t="n">
        <v>0</v>
      </c>
      <c r="R519" s="2" t="inlineStr"/>
    </row>
    <row r="520" ht="15" customHeight="1">
      <c r="A520" t="inlineStr">
        <is>
          <t>A 10194-2023</t>
        </is>
      </c>
      <c r="B520" s="1" t="n">
        <v>44986.52277777778</v>
      </c>
      <c r="C520" s="1" t="n">
        <v>45974</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39074-2025</t>
        </is>
      </c>
      <c r="B521" s="1" t="n">
        <v>45888</v>
      </c>
      <c r="C521" s="1" t="n">
        <v>45974</v>
      </c>
      <c r="D521" t="inlineStr">
        <is>
          <t>ÖSTERGÖTLANDS LÄN</t>
        </is>
      </c>
      <c r="E521" t="inlineStr">
        <is>
          <t>LINKÖPING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72567-2021</t>
        </is>
      </c>
      <c r="B522" s="1" t="n">
        <v>44546.45023148148</v>
      </c>
      <c r="C522" s="1" t="n">
        <v>45974</v>
      </c>
      <c r="D522" t="inlineStr">
        <is>
          <t>ÖSTERGÖTLANDS LÄN</t>
        </is>
      </c>
      <c r="E522" t="inlineStr">
        <is>
          <t>LINKÖPING</t>
        </is>
      </c>
      <c r="G522" t="n">
        <v>1.6</v>
      </c>
      <c r="H522" t="n">
        <v>0</v>
      </c>
      <c r="I522" t="n">
        <v>0</v>
      </c>
      <c r="J522" t="n">
        <v>0</v>
      </c>
      <c r="K522" t="n">
        <v>0</v>
      </c>
      <c r="L522" t="n">
        <v>0</v>
      </c>
      <c r="M522" t="n">
        <v>0</v>
      </c>
      <c r="N522" t="n">
        <v>0</v>
      </c>
      <c r="O522" t="n">
        <v>0</v>
      </c>
      <c r="P522" t="n">
        <v>0</v>
      </c>
      <c r="Q522" t="n">
        <v>0</v>
      </c>
      <c r="R522" s="2" t="inlineStr"/>
    </row>
    <row r="523" ht="15" customHeight="1">
      <c r="A523" t="inlineStr">
        <is>
          <t>A 32723-2025</t>
        </is>
      </c>
      <c r="B523" s="1" t="n">
        <v>45838</v>
      </c>
      <c r="C523" s="1" t="n">
        <v>45974</v>
      </c>
      <c r="D523" t="inlineStr">
        <is>
          <t>ÖSTERGÖTLANDS LÄN</t>
        </is>
      </c>
      <c r="E523" t="inlineStr">
        <is>
          <t>LINKÖPING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15714-2024</t>
        </is>
      </c>
      <c r="B524" s="1" t="n">
        <v>45404.48288194444</v>
      </c>
      <c r="C524" s="1" t="n">
        <v>45974</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48343-2025</t>
        </is>
      </c>
      <c r="B525" s="1" t="n">
        <v>45932</v>
      </c>
      <c r="C525" s="1" t="n">
        <v>45974</v>
      </c>
      <c r="D525" t="inlineStr">
        <is>
          <t>ÖSTERGÖTLANDS LÄN</t>
        </is>
      </c>
      <c r="E525" t="inlineStr">
        <is>
          <t>LINKÖPING</t>
        </is>
      </c>
      <c r="F525" t="inlineStr">
        <is>
          <t>Övriga Aktiebolag</t>
        </is>
      </c>
      <c r="G525" t="n">
        <v>2</v>
      </c>
      <c r="H525" t="n">
        <v>0</v>
      </c>
      <c r="I525" t="n">
        <v>0</v>
      </c>
      <c r="J525" t="n">
        <v>0</v>
      </c>
      <c r="K525" t="n">
        <v>0</v>
      </c>
      <c r="L525" t="n">
        <v>0</v>
      </c>
      <c r="M525" t="n">
        <v>0</v>
      </c>
      <c r="N525" t="n">
        <v>0</v>
      </c>
      <c r="O525" t="n">
        <v>0</v>
      </c>
      <c r="P525" t="n">
        <v>0</v>
      </c>
      <c r="Q525" t="n">
        <v>0</v>
      </c>
      <c r="R525" s="2" t="inlineStr"/>
    </row>
    <row r="526" ht="15" customHeight="1">
      <c r="A526" t="inlineStr">
        <is>
          <t>A 37715-2022</t>
        </is>
      </c>
      <c r="B526" s="1" t="n">
        <v>44810</v>
      </c>
      <c r="C526" s="1" t="n">
        <v>45974</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48266-2025</t>
        </is>
      </c>
      <c r="B527" s="1" t="n">
        <v>45932</v>
      </c>
      <c r="C527" s="1" t="n">
        <v>45974</v>
      </c>
      <c r="D527" t="inlineStr">
        <is>
          <t>ÖSTERGÖTLANDS LÄN</t>
        </is>
      </c>
      <c r="E527" t="inlineStr">
        <is>
          <t>LINKÖPING</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30429-2024</t>
        </is>
      </c>
      <c r="B528" s="1" t="n">
        <v>45491.68972222223</v>
      </c>
      <c r="C528" s="1" t="n">
        <v>45974</v>
      </c>
      <c r="D528" t="inlineStr">
        <is>
          <t>ÖSTERGÖTLANDS LÄN</t>
        </is>
      </c>
      <c r="E528" t="inlineStr">
        <is>
          <t>LINKÖPING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30435-2024</t>
        </is>
      </c>
      <c r="B529" s="1" t="n">
        <v>45491.69962962963</v>
      </c>
      <c r="C529" s="1" t="n">
        <v>45974</v>
      </c>
      <c r="D529" t="inlineStr">
        <is>
          <t>ÖSTERGÖTLANDS LÄN</t>
        </is>
      </c>
      <c r="E529" t="inlineStr">
        <is>
          <t>LINKÖPING</t>
        </is>
      </c>
      <c r="G529" t="n">
        <v>1.9</v>
      </c>
      <c r="H529" t="n">
        <v>0</v>
      </c>
      <c r="I529" t="n">
        <v>0</v>
      </c>
      <c r="J529" t="n">
        <v>0</v>
      </c>
      <c r="K529" t="n">
        <v>0</v>
      </c>
      <c r="L529" t="n">
        <v>0</v>
      </c>
      <c r="M529" t="n">
        <v>0</v>
      </c>
      <c r="N529" t="n">
        <v>0</v>
      </c>
      <c r="O529" t="n">
        <v>0</v>
      </c>
      <c r="P529" t="n">
        <v>0</v>
      </c>
      <c r="Q529" t="n">
        <v>0</v>
      </c>
      <c r="R529" s="2" t="inlineStr"/>
    </row>
    <row r="530" ht="15" customHeight="1">
      <c r="A530" t="inlineStr">
        <is>
          <t>A 7702-2023</t>
        </is>
      </c>
      <c r="B530" s="1" t="n">
        <v>44967</v>
      </c>
      <c r="C530" s="1" t="n">
        <v>45974</v>
      </c>
      <c r="D530" t="inlineStr">
        <is>
          <t>ÖSTERGÖTLANDS LÄN</t>
        </is>
      </c>
      <c r="E530" t="inlineStr">
        <is>
          <t>LINKÖPING</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4927-2021</t>
        </is>
      </c>
      <c r="B531" s="1" t="n">
        <v>44227.57215277778</v>
      </c>
      <c r="C531" s="1" t="n">
        <v>45974</v>
      </c>
      <c r="D531" t="inlineStr">
        <is>
          <t>ÖSTERGÖTLANDS LÄN</t>
        </is>
      </c>
      <c r="E531" t="inlineStr">
        <is>
          <t>LINKÖPING</t>
        </is>
      </c>
      <c r="G531" t="n">
        <v>0.3</v>
      </c>
      <c r="H531" t="n">
        <v>0</v>
      </c>
      <c r="I531" t="n">
        <v>0</v>
      </c>
      <c r="J531" t="n">
        <v>0</v>
      </c>
      <c r="K531" t="n">
        <v>0</v>
      </c>
      <c r="L531" t="n">
        <v>0</v>
      </c>
      <c r="M531" t="n">
        <v>0</v>
      </c>
      <c r="N531" t="n">
        <v>0</v>
      </c>
      <c r="O531" t="n">
        <v>0</v>
      </c>
      <c r="P531" t="n">
        <v>0</v>
      </c>
      <c r="Q531" t="n">
        <v>0</v>
      </c>
      <c r="R531" s="2" t="inlineStr"/>
    </row>
    <row r="532" ht="15" customHeight="1">
      <c r="A532" t="inlineStr">
        <is>
          <t>A 38231-2022</t>
        </is>
      </c>
      <c r="B532" s="1" t="n">
        <v>44812</v>
      </c>
      <c r="C532" s="1" t="n">
        <v>45974</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48254-2025</t>
        </is>
      </c>
      <c r="B533" s="1" t="n">
        <v>45932</v>
      </c>
      <c r="C533" s="1" t="n">
        <v>45974</v>
      </c>
      <c r="D533" t="inlineStr">
        <is>
          <t>ÖSTERGÖTLANDS LÄN</t>
        </is>
      </c>
      <c r="E533" t="inlineStr">
        <is>
          <t>LINKÖPING</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42000-2023</t>
        </is>
      </c>
      <c r="B534" s="1" t="n">
        <v>45177</v>
      </c>
      <c r="C534" s="1" t="n">
        <v>45974</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33947-2025</t>
        </is>
      </c>
      <c r="B535" s="1" t="n">
        <v>45842.65444444444</v>
      </c>
      <c r="C535" s="1" t="n">
        <v>45974</v>
      </c>
      <c r="D535" t="inlineStr">
        <is>
          <t>ÖSTERGÖTLANDS LÄN</t>
        </is>
      </c>
      <c r="E535" t="inlineStr">
        <is>
          <t>LINKÖPING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53529-2024</t>
        </is>
      </c>
      <c r="B536" s="1" t="n">
        <v>45614</v>
      </c>
      <c r="C536" s="1" t="n">
        <v>45974</v>
      </c>
      <c r="D536" t="inlineStr">
        <is>
          <t>ÖSTERGÖTLANDS LÄN</t>
        </is>
      </c>
      <c r="E536" t="inlineStr">
        <is>
          <t>LINKÖPING</t>
        </is>
      </c>
      <c r="G536" t="n">
        <v>6.7</v>
      </c>
      <c r="H536" t="n">
        <v>0</v>
      </c>
      <c r="I536" t="n">
        <v>0</v>
      </c>
      <c r="J536" t="n">
        <v>0</v>
      </c>
      <c r="K536" t="n">
        <v>0</v>
      </c>
      <c r="L536" t="n">
        <v>0</v>
      </c>
      <c r="M536" t="n">
        <v>0</v>
      </c>
      <c r="N536" t="n">
        <v>0</v>
      </c>
      <c r="O536" t="n">
        <v>0</v>
      </c>
      <c r="P536" t="n">
        <v>0</v>
      </c>
      <c r="Q536" t="n">
        <v>0</v>
      </c>
      <c r="R536" s="2" t="inlineStr"/>
    </row>
    <row r="537" ht="15" customHeight="1">
      <c r="A537" t="inlineStr">
        <is>
          <t>A 62012-2024</t>
        </is>
      </c>
      <c r="B537" s="1" t="n">
        <v>45655.79679398148</v>
      </c>
      <c r="C537" s="1" t="n">
        <v>45974</v>
      </c>
      <c r="D537" t="inlineStr">
        <is>
          <t>ÖSTERGÖTLANDS LÄN</t>
        </is>
      </c>
      <c r="E537" t="inlineStr">
        <is>
          <t>LINKÖPING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31534-2023</t>
        </is>
      </c>
      <c r="B538" s="1" t="n">
        <v>45116</v>
      </c>
      <c r="C538" s="1" t="n">
        <v>45974</v>
      </c>
      <c r="D538" t="inlineStr">
        <is>
          <t>ÖSTERGÖTLANDS LÄN</t>
        </is>
      </c>
      <c r="E538" t="inlineStr">
        <is>
          <t>LINKÖPING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35427-2023</t>
        </is>
      </c>
      <c r="B539" s="1" t="n">
        <v>45146</v>
      </c>
      <c r="C539" s="1" t="n">
        <v>45974</v>
      </c>
      <c r="D539" t="inlineStr">
        <is>
          <t>ÖSTERGÖTLANDS LÄN</t>
        </is>
      </c>
      <c r="E539" t="inlineStr">
        <is>
          <t>LINKÖPING</t>
        </is>
      </c>
      <c r="F539" t="inlineStr">
        <is>
          <t>Övriga Aktiebolag</t>
        </is>
      </c>
      <c r="G539" t="n">
        <v>2.5</v>
      </c>
      <c r="H539" t="n">
        <v>0</v>
      </c>
      <c r="I539" t="n">
        <v>0</v>
      </c>
      <c r="J539" t="n">
        <v>0</v>
      </c>
      <c r="K539" t="n">
        <v>0</v>
      </c>
      <c r="L539" t="n">
        <v>0</v>
      </c>
      <c r="M539" t="n">
        <v>0</v>
      </c>
      <c r="N539" t="n">
        <v>0</v>
      </c>
      <c r="O539" t="n">
        <v>0</v>
      </c>
      <c r="P539" t="n">
        <v>0</v>
      </c>
      <c r="Q539" t="n">
        <v>0</v>
      </c>
      <c r="R539" s="2" t="inlineStr"/>
    </row>
    <row r="540" ht="15" customHeight="1">
      <c r="A540" t="inlineStr">
        <is>
          <t>A 40169-2025</t>
        </is>
      </c>
      <c r="B540" s="1" t="n">
        <v>45894.62824074074</v>
      </c>
      <c r="C540" s="1" t="n">
        <v>45974</v>
      </c>
      <c r="D540" t="inlineStr">
        <is>
          <t>ÖSTERGÖTLANDS LÄN</t>
        </is>
      </c>
      <c r="E540" t="inlineStr">
        <is>
          <t>LINKÖPING</t>
        </is>
      </c>
      <c r="G540" t="n">
        <v>2.8</v>
      </c>
      <c r="H540" t="n">
        <v>0</v>
      </c>
      <c r="I540" t="n">
        <v>0</v>
      </c>
      <c r="J540" t="n">
        <v>0</v>
      </c>
      <c r="K540" t="n">
        <v>0</v>
      </c>
      <c r="L540" t="n">
        <v>0</v>
      </c>
      <c r="M540" t="n">
        <v>0</v>
      </c>
      <c r="N540" t="n">
        <v>0</v>
      </c>
      <c r="O540" t="n">
        <v>0</v>
      </c>
      <c r="P540" t="n">
        <v>0</v>
      </c>
      <c r="Q540" t="n">
        <v>0</v>
      </c>
      <c r="R540" s="2" t="inlineStr"/>
    </row>
    <row r="541" ht="15" customHeight="1">
      <c r="A541" t="inlineStr">
        <is>
          <t>A 36725-2023</t>
        </is>
      </c>
      <c r="B541" s="1" t="n">
        <v>45153.68471064815</v>
      </c>
      <c r="C541" s="1" t="n">
        <v>45974</v>
      </c>
      <c r="D541" t="inlineStr">
        <is>
          <t>ÖSTERGÖTLANDS LÄN</t>
        </is>
      </c>
      <c r="E541" t="inlineStr">
        <is>
          <t>LINKÖPING</t>
        </is>
      </c>
      <c r="F541" t="inlineStr">
        <is>
          <t>Allmännings- och besparingsskogar</t>
        </is>
      </c>
      <c r="G541" t="n">
        <v>2.6</v>
      </c>
      <c r="H541" t="n">
        <v>0</v>
      </c>
      <c r="I541" t="n">
        <v>0</v>
      </c>
      <c r="J541" t="n">
        <v>0</v>
      </c>
      <c r="K541" t="n">
        <v>0</v>
      </c>
      <c r="L541" t="n">
        <v>0</v>
      </c>
      <c r="M541" t="n">
        <v>0</v>
      </c>
      <c r="N541" t="n">
        <v>0</v>
      </c>
      <c r="O541" t="n">
        <v>0</v>
      </c>
      <c r="P541" t="n">
        <v>0</v>
      </c>
      <c r="Q541" t="n">
        <v>0</v>
      </c>
      <c r="R541" s="2" t="inlineStr"/>
    </row>
    <row r="542" ht="15" customHeight="1">
      <c r="A542" t="inlineStr">
        <is>
          <t>A 20469-2025</t>
        </is>
      </c>
      <c r="B542" s="1" t="n">
        <v>45775</v>
      </c>
      <c r="C542" s="1" t="n">
        <v>45974</v>
      </c>
      <c r="D542" t="inlineStr">
        <is>
          <t>ÖSTERGÖTLANDS LÄN</t>
        </is>
      </c>
      <c r="E542" t="inlineStr">
        <is>
          <t>LINKÖPING</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53639-2023</t>
        </is>
      </c>
      <c r="B543" s="1" t="n">
        <v>45230.59686342593</v>
      </c>
      <c r="C543" s="1" t="n">
        <v>45974</v>
      </c>
      <c r="D543" t="inlineStr">
        <is>
          <t>ÖSTERGÖTLANDS LÄN</t>
        </is>
      </c>
      <c r="E543" t="inlineStr">
        <is>
          <t>LINKÖPING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1657-2024</t>
        </is>
      </c>
      <c r="B544" s="1" t="n">
        <v>45306.82501157407</v>
      </c>
      <c r="C544" s="1" t="n">
        <v>45974</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50784-2022</t>
        </is>
      </c>
      <c r="B545" s="1" t="n">
        <v>44862</v>
      </c>
      <c r="C545" s="1" t="n">
        <v>45974</v>
      </c>
      <c r="D545" t="inlineStr">
        <is>
          <t>ÖSTERGÖTLANDS LÄN</t>
        </is>
      </c>
      <c r="E545" t="inlineStr">
        <is>
          <t>LINKÖPING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26803-2024</t>
        </is>
      </c>
      <c r="B546" s="1" t="n">
        <v>45470</v>
      </c>
      <c r="C546" s="1" t="n">
        <v>45974</v>
      </c>
      <c r="D546" t="inlineStr">
        <is>
          <t>ÖSTERGÖTLANDS LÄN</t>
        </is>
      </c>
      <c r="E546" t="inlineStr">
        <is>
          <t>LINKÖPING</t>
        </is>
      </c>
      <c r="F546" t="inlineStr">
        <is>
          <t>Allmännings- och besparingsskogar</t>
        </is>
      </c>
      <c r="G546" t="n">
        <v>4.5</v>
      </c>
      <c r="H546" t="n">
        <v>0</v>
      </c>
      <c r="I546" t="n">
        <v>0</v>
      </c>
      <c r="J546" t="n">
        <v>0</v>
      </c>
      <c r="K546" t="n">
        <v>0</v>
      </c>
      <c r="L546" t="n">
        <v>0</v>
      </c>
      <c r="M546" t="n">
        <v>0</v>
      </c>
      <c r="N546" t="n">
        <v>0</v>
      </c>
      <c r="O546" t="n">
        <v>0</v>
      </c>
      <c r="P546" t="n">
        <v>0</v>
      </c>
      <c r="Q546" t="n">
        <v>0</v>
      </c>
      <c r="R546" s="2" t="inlineStr"/>
    </row>
    <row r="547" ht="15" customHeight="1">
      <c r="A547" t="inlineStr">
        <is>
          <t>A 33800-2023</t>
        </is>
      </c>
      <c r="B547" s="1" t="n">
        <v>45121</v>
      </c>
      <c r="C547" s="1" t="n">
        <v>45974</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26007-2025</t>
        </is>
      </c>
      <c r="B548" s="1" t="n">
        <v>45804.67081018518</v>
      </c>
      <c r="C548" s="1" t="n">
        <v>45974</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35174-2025</t>
        </is>
      </c>
      <c r="B549" s="1" t="n">
        <v>45852.90648148148</v>
      </c>
      <c r="C549" s="1" t="n">
        <v>45974</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19187-2021</t>
        </is>
      </c>
      <c r="B550" s="1" t="n">
        <v>44308</v>
      </c>
      <c r="C550" s="1" t="n">
        <v>45974</v>
      </c>
      <c r="D550" t="inlineStr">
        <is>
          <t>ÖSTERGÖTLANDS LÄN</t>
        </is>
      </c>
      <c r="E550" t="inlineStr">
        <is>
          <t>LINKÖPING</t>
        </is>
      </c>
      <c r="F550" t="inlineStr">
        <is>
          <t>Allmännings- och besparingsskogar</t>
        </is>
      </c>
      <c r="G550" t="n">
        <v>20</v>
      </c>
      <c r="H550" t="n">
        <v>0</v>
      </c>
      <c r="I550" t="n">
        <v>0</v>
      </c>
      <c r="J550" t="n">
        <v>0</v>
      </c>
      <c r="K550" t="n">
        <v>0</v>
      </c>
      <c r="L550" t="n">
        <v>0</v>
      </c>
      <c r="M550" t="n">
        <v>0</v>
      </c>
      <c r="N550" t="n">
        <v>0</v>
      </c>
      <c r="O550" t="n">
        <v>0</v>
      </c>
      <c r="P550" t="n">
        <v>0</v>
      </c>
      <c r="Q550" t="n">
        <v>0</v>
      </c>
      <c r="R550" s="2" t="inlineStr"/>
    </row>
    <row r="551" ht="15" customHeight="1">
      <c r="A551" t="inlineStr">
        <is>
          <t>A 47991-2023</t>
        </is>
      </c>
      <c r="B551" s="1" t="n">
        <v>45204.62655092592</v>
      </c>
      <c r="C551" s="1" t="n">
        <v>45974</v>
      </c>
      <c r="D551" t="inlineStr">
        <is>
          <t>ÖSTERGÖTLANDS LÄN</t>
        </is>
      </c>
      <c r="E551" t="inlineStr">
        <is>
          <t>LINKÖPING</t>
        </is>
      </c>
      <c r="F551" t="inlineStr">
        <is>
          <t>Allmännings- och besparingsskogar</t>
        </is>
      </c>
      <c r="G551" t="n">
        <v>7.3</v>
      </c>
      <c r="H551" t="n">
        <v>0</v>
      </c>
      <c r="I551" t="n">
        <v>0</v>
      </c>
      <c r="J551" t="n">
        <v>0</v>
      </c>
      <c r="K551" t="n">
        <v>0</v>
      </c>
      <c r="L551" t="n">
        <v>0</v>
      </c>
      <c r="M551" t="n">
        <v>0</v>
      </c>
      <c r="N551" t="n">
        <v>0</v>
      </c>
      <c r="O551" t="n">
        <v>0</v>
      </c>
      <c r="P551" t="n">
        <v>0</v>
      </c>
      <c r="Q551" t="n">
        <v>0</v>
      </c>
      <c r="R551" s="2" t="inlineStr"/>
    </row>
    <row r="552" ht="15" customHeight="1">
      <c r="A552" t="inlineStr">
        <is>
          <t>A 35179-2025</t>
        </is>
      </c>
      <c r="B552" s="1" t="n">
        <v>45852.93737268518</v>
      </c>
      <c r="C552" s="1" t="n">
        <v>45974</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35180-2025</t>
        </is>
      </c>
      <c r="B553" s="1" t="n">
        <v>45852.9413425926</v>
      </c>
      <c r="C553" s="1" t="n">
        <v>45974</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35178-2025</t>
        </is>
      </c>
      <c r="B554" s="1" t="n">
        <v>45852.91939814815</v>
      </c>
      <c r="C554" s="1" t="n">
        <v>45974</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49615-2025</t>
        </is>
      </c>
      <c r="B555" s="1" t="n">
        <v>45938</v>
      </c>
      <c r="C555" s="1" t="n">
        <v>45974</v>
      </c>
      <c r="D555" t="inlineStr">
        <is>
          <t>ÖSTERGÖTLANDS LÄN</t>
        </is>
      </c>
      <c r="E555" t="inlineStr">
        <is>
          <t>LINKÖPING</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49619-2025</t>
        </is>
      </c>
      <c r="B556" s="1" t="n">
        <v>45938</v>
      </c>
      <c r="C556" s="1" t="n">
        <v>45974</v>
      </c>
      <c r="D556" t="inlineStr">
        <is>
          <t>ÖSTERGÖTLANDS LÄN</t>
        </is>
      </c>
      <c r="E556" t="inlineStr">
        <is>
          <t>LINKÖPING</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49629-2025</t>
        </is>
      </c>
      <c r="B557" s="1" t="n">
        <v>45938</v>
      </c>
      <c r="C557" s="1" t="n">
        <v>45974</v>
      </c>
      <c r="D557" t="inlineStr">
        <is>
          <t>ÖSTERGÖTLANDS LÄN</t>
        </is>
      </c>
      <c r="E557" t="inlineStr">
        <is>
          <t>LINKÖPING</t>
        </is>
      </c>
      <c r="F557" t="inlineStr">
        <is>
          <t>Övriga Aktiebolag</t>
        </is>
      </c>
      <c r="G557" t="n">
        <v>4.5</v>
      </c>
      <c r="H557" t="n">
        <v>0</v>
      </c>
      <c r="I557" t="n">
        <v>0</v>
      </c>
      <c r="J557" t="n">
        <v>0</v>
      </c>
      <c r="K557" t="n">
        <v>0</v>
      </c>
      <c r="L557" t="n">
        <v>0</v>
      </c>
      <c r="M557" t="n">
        <v>0</v>
      </c>
      <c r="N557" t="n">
        <v>0</v>
      </c>
      <c r="O557" t="n">
        <v>0</v>
      </c>
      <c r="P557" t="n">
        <v>0</v>
      </c>
      <c r="Q557" t="n">
        <v>0</v>
      </c>
      <c r="R557" s="2" t="inlineStr"/>
    </row>
    <row r="558" ht="15" customHeight="1">
      <c r="A558" t="inlineStr">
        <is>
          <t>A 49633-2025</t>
        </is>
      </c>
      <c r="B558" s="1" t="n">
        <v>45938</v>
      </c>
      <c r="C558" s="1" t="n">
        <v>45974</v>
      </c>
      <c r="D558" t="inlineStr">
        <is>
          <t>ÖSTERGÖTLANDS LÄN</t>
        </is>
      </c>
      <c r="E558" t="inlineStr">
        <is>
          <t>LINKÖPING</t>
        </is>
      </c>
      <c r="F558" t="inlineStr">
        <is>
          <t>Övriga Aktiebolag</t>
        </is>
      </c>
      <c r="G558" t="n">
        <v>0.7</v>
      </c>
      <c r="H558" t="n">
        <v>0</v>
      </c>
      <c r="I558" t="n">
        <v>0</v>
      </c>
      <c r="J558" t="n">
        <v>0</v>
      </c>
      <c r="K558" t="n">
        <v>0</v>
      </c>
      <c r="L558" t="n">
        <v>0</v>
      </c>
      <c r="M558" t="n">
        <v>0</v>
      </c>
      <c r="N558" t="n">
        <v>0</v>
      </c>
      <c r="O558" t="n">
        <v>0</v>
      </c>
      <c r="P558" t="n">
        <v>0</v>
      </c>
      <c r="Q558" t="n">
        <v>0</v>
      </c>
      <c r="R558" s="2" t="inlineStr"/>
    </row>
    <row r="559" ht="15" customHeight="1">
      <c r="A559" t="inlineStr">
        <is>
          <t>A 49455-2025</t>
        </is>
      </c>
      <c r="B559" s="1" t="n">
        <v>45938</v>
      </c>
      <c r="C559" s="1" t="n">
        <v>45974</v>
      </c>
      <c r="D559" t="inlineStr">
        <is>
          <t>ÖSTERGÖTLANDS LÄN</t>
        </is>
      </c>
      <c r="E559" t="inlineStr">
        <is>
          <t>LINKÖPING</t>
        </is>
      </c>
      <c r="F559" t="inlineStr">
        <is>
          <t>Övriga Aktiebolag</t>
        </is>
      </c>
      <c r="G559" t="n">
        <v>5.9</v>
      </c>
      <c r="H559" t="n">
        <v>0</v>
      </c>
      <c r="I559" t="n">
        <v>0</v>
      </c>
      <c r="J559" t="n">
        <v>0</v>
      </c>
      <c r="K559" t="n">
        <v>0</v>
      </c>
      <c r="L559" t="n">
        <v>0</v>
      </c>
      <c r="M559" t="n">
        <v>0</v>
      </c>
      <c r="N559" t="n">
        <v>0</v>
      </c>
      <c r="O559" t="n">
        <v>0</v>
      </c>
      <c r="P559" t="n">
        <v>0</v>
      </c>
      <c r="Q559" t="n">
        <v>0</v>
      </c>
      <c r="R559" s="2" t="inlineStr"/>
    </row>
    <row r="560" ht="15" customHeight="1">
      <c r="A560" t="inlineStr">
        <is>
          <t>A 60472-2022</t>
        </is>
      </c>
      <c r="B560" s="1" t="n">
        <v>44911.41037037037</v>
      </c>
      <c r="C560" s="1" t="n">
        <v>45974</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43934-2023</t>
        </is>
      </c>
      <c r="B561" s="1" t="n">
        <v>45187</v>
      </c>
      <c r="C561" s="1" t="n">
        <v>45974</v>
      </c>
      <c r="D561" t="inlineStr">
        <is>
          <t>ÖSTERGÖTLANDS LÄN</t>
        </is>
      </c>
      <c r="E561" t="inlineStr">
        <is>
          <t>LINKÖPING</t>
        </is>
      </c>
      <c r="F561" t="inlineStr">
        <is>
          <t>Övriga Aktiebolag</t>
        </is>
      </c>
      <c r="G561" t="n">
        <v>3.8</v>
      </c>
      <c r="H561" t="n">
        <v>0</v>
      </c>
      <c r="I561" t="n">
        <v>0</v>
      </c>
      <c r="J561" t="n">
        <v>0</v>
      </c>
      <c r="K561" t="n">
        <v>0</v>
      </c>
      <c r="L561" t="n">
        <v>0</v>
      </c>
      <c r="M561" t="n">
        <v>0</v>
      </c>
      <c r="N561" t="n">
        <v>0</v>
      </c>
      <c r="O561" t="n">
        <v>0</v>
      </c>
      <c r="P561" t="n">
        <v>0</v>
      </c>
      <c r="Q561" t="n">
        <v>0</v>
      </c>
      <c r="R561" s="2" t="inlineStr"/>
    </row>
    <row r="562" ht="15" customHeight="1">
      <c r="A562" t="inlineStr">
        <is>
          <t>A 22774-2024</t>
        </is>
      </c>
      <c r="B562" s="1" t="n">
        <v>45448.46924768519</v>
      </c>
      <c r="C562" s="1" t="n">
        <v>45974</v>
      </c>
      <c r="D562" t="inlineStr">
        <is>
          <t>ÖSTERGÖTLANDS LÄN</t>
        </is>
      </c>
      <c r="E562" t="inlineStr">
        <is>
          <t>LINKÖPING</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22778-2024</t>
        </is>
      </c>
      <c r="B563" s="1" t="n">
        <v>45448.47233796296</v>
      </c>
      <c r="C563" s="1" t="n">
        <v>45974</v>
      </c>
      <c r="D563" t="inlineStr">
        <is>
          <t>ÖSTERGÖTLANDS LÄN</t>
        </is>
      </c>
      <c r="E563" t="inlineStr">
        <is>
          <t>LINKÖPING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1209-2023</t>
        </is>
      </c>
      <c r="B564" s="1" t="n">
        <v>44930</v>
      </c>
      <c r="C564" s="1" t="n">
        <v>45974</v>
      </c>
      <c r="D564" t="inlineStr">
        <is>
          <t>ÖSTERGÖTLANDS LÄN</t>
        </is>
      </c>
      <c r="E564" t="inlineStr">
        <is>
          <t>LINKÖPING</t>
        </is>
      </c>
      <c r="F564" t="inlineStr">
        <is>
          <t>Övriga statliga verk och myndigheter</t>
        </is>
      </c>
      <c r="G564" t="n">
        <v>25.8</v>
      </c>
      <c r="H564" t="n">
        <v>0</v>
      </c>
      <c r="I564" t="n">
        <v>0</v>
      </c>
      <c r="J564" t="n">
        <v>0</v>
      </c>
      <c r="K564" t="n">
        <v>0</v>
      </c>
      <c r="L564" t="n">
        <v>0</v>
      </c>
      <c r="M564" t="n">
        <v>0</v>
      </c>
      <c r="N564" t="n">
        <v>0</v>
      </c>
      <c r="O564" t="n">
        <v>0</v>
      </c>
      <c r="P564" t="n">
        <v>0</v>
      </c>
      <c r="Q564" t="n">
        <v>0</v>
      </c>
      <c r="R564" s="2" t="inlineStr"/>
    </row>
    <row r="565" ht="15" customHeight="1">
      <c r="A565" t="inlineStr">
        <is>
          <t>A 49647-2025</t>
        </is>
      </c>
      <c r="B565" s="1" t="n">
        <v>45938</v>
      </c>
      <c r="C565" s="1" t="n">
        <v>45974</v>
      </c>
      <c r="D565" t="inlineStr">
        <is>
          <t>ÖSTERGÖTLANDS LÄN</t>
        </is>
      </c>
      <c r="E565" t="inlineStr">
        <is>
          <t>LINKÖPING</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49650-2025</t>
        </is>
      </c>
      <c r="B566" s="1" t="n">
        <v>45938</v>
      </c>
      <c r="C566" s="1" t="n">
        <v>45974</v>
      </c>
      <c r="D566" t="inlineStr">
        <is>
          <t>ÖSTERGÖTLANDS LÄN</t>
        </is>
      </c>
      <c r="E566" t="inlineStr">
        <is>
          <t>LINKÖPING</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49652-2025</t>
        </is>
      </c>
      <c r="B567" s="1" t="n">
        <v>45938</v>
      </c>
      <c r="C567" s="1" t="n">
        <v>45974</v>
      </c>
      <c r="D567" t="inlineStr">
        <is>
          <t>ÖSTERGÖTLANDS LÄN</t>
        </is>
      </c>
      <c r="E567" t="inlineStr">
        <is>
          <t>LINKÖPING</t>
        </is>
      </c>
      <c r="F567" t="inlineStr">
        <is>
          <t>Övriga Aktiebolag</t>
        </is>
      </c>
      <c r="G567" t="n">
        <v>1.8</v>
      </c>
      <c r="H567" t="n">
        <v>0</v>
      </c>
      <c r="I567" t="n">
        <v>0</v>
      </c>
      <c r="J567" t="n">
        <v>0</v>
      </c>
      <c r="K567" t="n">
        <v>0</v>
      </c>
      <c r="L567" t="n">
        <v>0</v>
      </c>
      <c r="M567" t="n">
        <v>0</v>
      </c>
      <c r="N567" t="n">
        <v>0</v>
      </c>
      <c r="O567" t="n">
        <v>0</v>
      </c>
      <c r="P567" t="n">
        <v>0</v>
      </c>
      <c r="Q567" t="n">
        <v>0</v>
      </c>
      <c r="R567" s="2" t="inlineStr"/>
    </row>
    <row r="568" ht="15" customHeight="1">
      <c r="A568" t="inlineStr">
        <is>
          <t>A 49663-2025</t>
        </is>
      </c>
      <c r="B568" s="1" t="n">
        <v>45938</v>
      </c>
      <c r="C568" s="1" t="n">
        <v>45974</v>
      </c>
      <c r="D568" t="inlineStr">
        <is>
          <t>ÖSTERGÖTLANDS LÄN</t>
        </is>
      </c>
      <c r="E568" t="inlineStr">
        <is>
          <t>LINKÖPING</t>
        </is>
      </c>
      <c r="F568" t="inlineStr">
        <is>
          <t>Övriga Aktiebolag</t>
        </is>
      </c>
      <c r="G568" t="n">
        <v>1.2</v>
      </c>
      <c r="H568" t="n">
        <v>0</v>
      </c>
      <c r="I568" t="n">
        <v>0</v>
      </c>
      <c r="J568" t="n">
        <v>0</v>
      </c>
      <c r="K568" t="n">
        <v>0</v>
      </c>
      <c r="L568" t="n">
        <v>0</v>
      </c>
      <c r="M568" t="n">
        <v>0</v>
      </c>
      <c r="N568" t="n">
        <v>0</v>
      </c>
      <c r="O568" t="n">
        <v>0</v>
      </c>
      <c r="P568" t="n">
        <v>0</v>
      </c>
      <c r="Q568" t="n">
        <v>0</v>
      </c>
      <c r="R568" s="2" t="inlineStr"/>
    </row>
    <row r="569" ht="15" customHeight="1">
      <c r="A569" t="inlineStr">
        <is>
          <t>A 49632-2025</t>
        </is>
      </c>
      <c r="B569" s="1" t="n">
        <v>45938</v>
      </c>
      <c r="C569" s="1" t="n">
        <v>45974</v>
      </c>
      <c r="D569" t="inlineStr">
        <is>
          <t>ÖSTERGÖTLANDS LÄN</t>
        </is>
      </c>
      <c r="E569" t="inlineStr">
        <is>
          <t>LINKÖPING</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49654-2025</t>
        </is>
      </c>
      <c r="B570" s="1" t="n">
        <v>45938</v>
      </c>
      <c r="C570" s="1" t="n">
        <v>45974</v>
      </c>
      <c r="D570" t="inlineStr">
        <is>
          <t>ÖSTERGÖTLANDS LÄN</t>
        </is>
      </c>
      <c r="E570" t="inlineStr">
        <is>
          <t>LINKÖPING</t>
        </is>
      </c>
      <c r="F570" t="inlineStr">
        <is>
          <t>Övriga Aktiebolag</t>
        </is>
      </c>
      <c r="G570" t="n">
        <v>3.1</v>
      </c>
      <c r="H570" t="n">
        <v>0</v>
      </c>
      <c r="I570" t="n">
        <v>0</v>
      </c>
      <c r="J570" t="n">
        <v>0</v>
      </c>
      <c r="K570" t="n">
        <v>0</v>
      </c>
      <c r="L570" t="n">
        <v>0</v>
      </c>
      <c r="M570" t="n">
        <v>0</v>
      </c>
      <c r="N570" t="n">
        <v>0</v>
      </c>
      <c r="O570" t="n">
        <v>0</v>
      </c>
      <c r="P570" t="n">
        <v>0</v>
      </c>
      <c r="Q570" t="n">
        <v>0</v>
      </c>
      <c r="R570" s="2" t="inlineStr"/>
    </row>
    <row r="571" ht="15" customHeight="1">
      <c r="A571" t="inlineStr">
        <is>
          <t>A 49605-2025</t>
        </is>
      </c>
      <c r="B571" s="1" t="n">
        <v>45938</v>
      </c>
      <c r="C571" s="1" t="n">
        <v>45974</v>
      </c>
      <c r="D571" t="inlineStr">
        <is>
          <t>ÖSTERGÖTLANDS LÄN</t>
        </is>
      </c>
      <c r="E571" t="inlineStr">
        <is>
          <t>LINKÖPING</t>
        </is>
      </c>
      <c r="F571" t="inlineStr">
        <is>
          <t>Övriga Aktiebolag</t>
        </is>
      </c>
      <c r="G571" t="n">
        <v>3.3</v>
      </c>
      <c r="H571" t="n">
        <v>0</v>
      </c>
      <c r="I571" t="n">
        <v>0</v>
      </c>
      <c r="J571" t="n">
        <v>0</v>
      </c>
      <c r="K571" t="n">
        <v>0</v>
      </c>
      <c r="L571" t="n">
        <v>0</v>
      </c>
      <c r="M571" t="n">
        <v>0</v>
      </c>
      <c r="N571" t="n">
        <v>0</v>
      </c>
      <c r="O571" t="n">
        <v>0</v>
      </c>
      <c r="P571" t="n">
        <v>0</v>
      </c>
      <c r="Q571" t="n">
        <v>0</v>
      </c>
      <c r="R571" s="2" t="inlineStr"/>
    </row>
    <row r="572" ht="15" customHeight="1">
      <c r="A572" t="inlineStr">
        <is>
          <t>A 35757-2025</t>
        </is>
      </c>
      <c r="B572" s="1" t="n">
        <v>45860.59876157407</v>
      </c>
      <c r="C572" s="1" t="n">
        <v>45974</v>
      </c>
      <c r="D572" t="inlineStr">
        <is>
          <t>ÖSTERGÖTLANDS LÄN</t>
        </is>
      </c>
      <c r="E572" t="inlineStr">
        <is>
          <t>LINKÖPING</t>
        </is>
      </c>
      <c r="G572" t="n">
        <v>5.7</v>
      </c>
      <c r="H572" t="n">
        <v>0</v>
      </c>
      <c r="I572" t="n">
        <v>0</v>
      </c>
      <c r="J572" t="n">
        <v>0</v>
      </c>
      <c r="K572" t="n">
        <v>0</v>
      </c>
      <c r="L572" t="n">
        <v>0</v>
      </c>
      <c r="M572" t="n">
        <v>0</v>
      </c>
      <c r="N572" t="n">
        <v>0</v>
      </c>
      <c r="O572" t="n">
        <v>0</v>
      </c>
      <c r="P572" t="n">
        <v>0</v>
      </c>
      <c r="Q572" t="n">
        <v>0</v>
      </c>
      <c r="R572" s="2" t="inlineStr"/>
    </row>
    <row r="573" ht="15" customHeight="1">
      <c r="A573" t="inlineStr">
        <is>
          <t>A 10407-2025</t>
        </is>
      </c>
      <c r="B573" s="1" t="n">
        <v>45720.62863425926</v>
      </c>
      <c r="C573" s="1" t="n">
        <v>45974</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35745-2025</t>
        </is>
      </c>
      <c r="B574" s="1" t="n">
        <v>45860.54739583333</v>
      </c>
      <c r="C574" s="1" t="n">
        <v>45974</v>
      </c>
      <c r="D574" t="inlineStr">
        <is>
          <t>ÖSTERGÖTLANDS LÄN</t>
        </is>
      </c>
      <c r="E574" t="inlineStr">
        <is>
          <t>LINKÖPING</t>
        </is>
      </c>
      <c r="G574" t="n">
        <v>4.4</v>
      </c>
      <c r="H574" t="n">
        <v>0</v>
      </c>
      <c r="I574" t="n">
        <v>0</v>
      </c>
      <c r="J574" t="n">
        <v>0</v>
      </c>
      <c r="K574" t="n">
        <v>0</v>
      </c>
      <c r="L574" t="n">
        <v>0</v>
      </c>
      <c r="M574" t="n">
        <v>0</v>
      </c>
      <c r="N574" t="n">
        <v>0</v>
      </c>
      <c r="O574" t="n">
        <v>0</v>
      </c>
      <c r="P574" t="n">
        <v>0</v>
      </c>
      <c r="Q574" t="n">
        <v>0</v>
      </c>
      <c r="R574" s="2" t="inlineStr"/>
    </row>
    <row r="575" ht="15" customHeight="1">
      <c r="A575" t="inlineStr">
        <is>
          <t>A 11590-2023</t>
        </is>
      </c>
      <c r="B575" s="1" t="n">
        <v>44994.36689814815</v>
      </c>
      <c r="C575" s="1" t="n">
        <v>45974</v>
      </c>
      <c r="D575" t="inlineStr">
        <is>
          <t>ÖSTERGÖTLANDS LÄN</t>
        </is>
      </c>
      <c r="E575" t="inlineStr">
        <is>
          <t>LINKÖPING</t>
        </is>
      </c>
      <c r="G575" t="n">
        <v>3.1</v>
      </c>
      <c r="H575" t="n">
        <v>0</v>
      </c>
      <c r="I575" t="n">
        <v>0</v>
      </c>
      <c r="J575" t="n">
        <v>0</v>
      </c>
      <c r="K575" t="n">
        <v>0</v>
      </c>
      <c r="L575" t="n">
        <v>0</v>
      </c>
      <c r="M575" t="n">
        <v>0</v>
      </c>
      <c r="N575" t="n">
        <v>0</v>
      </c>
      <c r="O575" t="n">
        <v>0</v>
      </c>
      <c r="P575" t="n">
        <v>0</v>
      </c>
      <c r="Q575" t="n">
        <v>0</v>
      </c>
      <c r="R575" s="2" t="inlineStr"/>
    </row>
    <row r="576" ht="15" customHeight="1">
      <c r="A576" t="inlineStr">
        <is>
          <t>A 35747-2025</t>
        </is>
      </c>
      <c r="B576" s="1" t="n">
        <v>45860.56385416666</v>
      </c>
      <c r="C576" s="1" t="n">
        <v>45974</v>
      </c>
      <c r="D576" t="inlineStr">
        <is>
          <t>ÖSTERGÖTLANDS LÄN</t>
        </is>
      </c>
      <c r="E576" t="inlineStr">
        <is>
          <t>LINKÖPING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19169-2023</t>
        </is>
      </c>
      <c r="B577" s="1" t="n">
        <v>45044</v>
      </c>
      <c r="C577" s="1" t="n">
        <v>45974</v>
      </c>
      <c r="D577" t="inlineStr">
        <is>
          <t>ÖSTERGÖTLANDS LÄN</t>
        </is>
      </c>
      <c r="E577" t="inlineStr">
        <is>
          <t>LINKÖPING</t>
        </is>
      </c>
      <c r="G577" t="n">
        <v>2.7</v>
      </c>
      <c r="H577" t="n">
        <v>0</v>
      </c>
      <c r="I577" t="n">
        <v>0</v>
      </c>
      <c r="J577" t="n">
        <v>0</v>
      </c>
      <c r="K577" t="n">
        <v>0</v>
      </c>
      <c r="L577" t="n">
        <v>0</v>
      </c>
      <c r="M577" t="n">
        <v>0</v>
      </c>
      <c r="N577" t="n">
        <v>0</v>
      </c>
      <c r="O577" t="n">
        <v>0</v>
      </c>
      <c r="P577" t="n">
        <v>0</v>
      </c>
      <c r="Q577" t="n">
        <v>0</v>
      </c>
      <c r="R577" s="2" t="inlineStr"/>
    </row>
    <row r="578" ht="15" customHeight="1">
      <c r="A578" t="inlineStr">
        <is>
          <t>A 35759-2025</t>
        </is>
      </c>
      <c r="B578" s="1" t="n">
        <v>45860</v>
      </c>
      <c r="C578" s="1" t="n">
        <v>45974</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672-2024</t>
        </is>
      </c>
      <c r="B579" s="1" t="n">
        <v>45300</v>
      </c>
      <c r="C579" s="1" t="n">
        <v>45974</v>
      </c>
      <c r="D579" t="inlineStr">
        <is>
          <t>ÖSTERGÖTLANDS LÄN</t>
        </is>
      </c>
      <c r="E579" t="inlineStr">
        <is>
          <t>LINKÖPING</t>
        </is>
      </c>
      <c r="F579" t="inlineStr">
        <is>
          <t>Sveaskog</t>
        </is>
      </c>
      <c r="G579" t="n">
        <v>4.5</v>
      </c>
      <c r="H579" t="n">
        <v>0</v>
      </c>
      <c r="I579" t="n">
        <v>0</v>
      </c>
      <c r="J579" t="n">
        <v>0</v>
      </c>
      <c r="K579" t="n">
        <v>0</v>
      </c>
      <c r="L579" t="n">
        <v>0</v>
      </c>
      <c r="M579" t="n">
        <v>0</v>
      </c>
      <c r="N579" t="n">
        <v>0</v>
      </c>
      <c r="O579" t="n">
        <v>0</v>
      </c>
      <c r="P579" t="n">
        <v>0</v>
      </c>
      <c r="Q579" t="n">
        <v>0</v>
      </c>
      <c r="R579" s="2" t="inlineStr"/>
    </row>
    <row r="580" ht="15" customHeight="1">
      <c r="A580" t="inlineStr">
        <is>
          <t>A 55493-2021</t>
        </is>
      </c>
      <c r="B580" s="1" t="n">
        <v>44475.61988425926</v>
      </c>
      <c r="C580" s="1" t="n">
        <v>45974</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14093-2024</t>
        </is>
      </c>
      <c r="B581" s="1" t="n">
        <v>45392.60278935185</v>
      </c>
      <c r="C581" s="1" t="n">
        <v>45974</v>
      </c>
      <c r="D581" t="inlineStr">
        <is>
          <t>ÖSTERGÖTLANDS LÄN</t>
        </is>
      </c>
      <c r="E581" t="inlineStr">
        <is>
          <t>LINKÖPING</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62019-2024</t>
        </is>
      </c>
      <c r="B582" s="1" t="n">
        <v>45655.82</v>
      </c>
      <c r="C582" s="1" t="n">
        <v>45974</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25119-2023</t>
        </is>
      </c>
      <c r="B583" s="1" t="n">
        <v>45086.42326388889</v>
      </c>
      <c r="C583" s="1" t="n">
        <v>45974</v>
      </c>
      <c r="D583" t="inlineStr">
        <is>
          <t>ÖSTERGÖTLANDS LÄN</t>
        </is>
      </c>
      <c r="E583" t="inlineStr">
        <is>
          <t>LINKÖPING</t>
        </is>
      </c>
      <c r="G583" t="n">
        <v>3.2</v>
      </c>
      <c r="H583" t="n">
        <v>0</v>
      </c>
      <c r="I583" t="n">
        <v>0</v>
      </c>
      <c r="J583" t="n">
        <v>0</v>
      </c>
      <c r="K583" t="n">
        <v>0</v>
      </c>
      <c r="L583" t="n">
        <v>0</v>
      </c>
      <c r="M583" t="n">
        <v>0</v>
      </c>
      <c r="N583" t="n">
        <v>0</v>
      </c>
      <c r="O583" t="n">
        <v>0</v>
      </c>
      <c r="P583" t="n">
        <v>0</v>
      </c>
      <c r="Q583" t="n">
        <v>0</v>
      </c>
      <c r="R583" s="2" t="inlineStr"/>
    </row>
    <row r="584" ht="15" customHeight="1">
      <c r="A584" t="inlineStr">
        <is>
          <t>A 40983-2025</t>
        </is>
      </c>
      <c r="B584" s="1" t="n">
        <v>45898</v>
      </c>
      <c r="C584" s="1" t="n">
        <v>45974</v>
      </c>
      <c r="D584" t="inlineStr">
        <is>
          <t>ÖSTERGÖTLANDS LÄN</t>
        </is>
      </c>
      <c r="E584" t="inlineStr">
        <is>
          <t>LINKÖPING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57396-2021</t>
        </is>
      </c>
      <c r="B585" s="1" t="n">
        <v>44483.56151620371</v>
      </c>
      <c r="C585" s="1" t="n">
        <v>45974</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51571-2024</t>
        </is>
      </c>
      <c r="B586" s="1" t="n">
        <v>45604</v>
      </c>
      <c r="C586" s="1" t="n">
        <v>45974</v>
      </c>
      <c r="D586" t="inlineStr">
        <is>
          <t>ÖSTERGÖTLANDS LÄN</t>
        </is>
      </c>
      <c r="E586" t="inlineStr">
        <is>
          <t>LINKÖPING</t>
        </is>
      </c>
      <c r="F586" t="inlineStr">
        <is>
          <t>Övriga Aktiebolag</t>
        </is>
      </c>
      <c r="G586" t="n">
        <v>1.4</v>
      </c>
      <c r="H586" t="n">
        <v>0</v>
      </c>
      <c r="I586" t="n">
        <v>0</v>
      </c>
      <c r="J586" t="n">
        <v>0</v>
      </c>
      <c r="K586" t="n">
        <v>0</v>
      </c>
      <c r="L586" t="n">
        <v>0</v>
      </c>
      <c r="M586" t="n">
        <v>0</v>
      </c>
      <c r="N586" t="n">
        <v>0</v>
      </c>
      <c r="O586" t="n">
        <v>0</v>
      </c>
      <c r="P586" t="n">
        <v>0</v>
      </c>
      <c r="Q586" t="n">
        <v>0</v>
      </c>
      <c r="R586" s="2" t="inlineStr"/>
    </row>
    <row r="587" ht="15" customHeight="1">
      <c r="A587" t="inlineStr">
        <is>
          <t>A 17143-2025</t>
        </is>
      </c>
      <c r="B587" s="1" t="n">
        <v>45755.92731481481</v>
      </c>
      <c r="C587" s="1" t="n">
        <v>45974</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17124-2025</t>
        </is>
      </c>
      <c r="B588" s="1" t="n">
        <v>45755.69678240741</v>
      </c>
      <c r="C588" s="1" t="n">
        <v>45974</v>
      </c>
      <c r="D588" t="inlineStr">
        <is>
          <t>ÖSTERGÖTLANDS LÄN</t>
        </is>
      </c>
      <c r="E588" t="inlineStr">
        <is>
          <t>LINKÖPING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17126-2025</t>
        </is>
      </c>
      <c r="B589" s="1" t="n">
        <v>45755.70814814815</v>
      </c>
      <c r="C589" s="1" t="n">
        <v>45974</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37057-2025</t>
        </is>
      </c>
      <c r="B590" s="1" t="n">
        <v>45875.37489583333</v>
      </c>
      <c r="C590" s="1" t="n">
        <v>45974</v>
      </c>
      <c r="D590" t="inlineStr">
        <is>
          <t>ÖSTERGÖTLANDS LÄN</t>
        </is>
      </c>
      <c r="E590" t="inlineStr">
        <is>
          <t>LINKÖPING</t>
        </is>
      </c>
      <c r="G590" t="n">
        <v>3.3</v>
      </c>
      <c r="H590" t="n">
        <v>0</v>
      </c>
      <c r="I590" t="n">
        <v>0</v>
      </c>
      <c r="J590" t="n">
        <v>0</v>
      </c>
      <c r="K590" t="n">
        <v>0</v>
      </c>
      <c r="L590" t="n">
        <v>0</v>
      </c>
      <c r="M590" t="n">
        <v>0</v>
      </c>
      <c r="N590" t="n">
        <v>0</v>
      </c>
      <c r="O590" t="n">
        <v>0</v>
      </c>
      <c r="P590" t="n">
        <v>0</v>
      </c>
      <c r="Q590" t="n">
        <v>0</v>
      </c>
      <c r="R590" s="2" t="inlineStr"/>
    </row>
    <row r="591" ht="15" customHeight="1">
      <c r="A591" t="inlineStr">
        <is>
          <t>A 41511-2025</t>
        </is>
      </c>
      <c r="B591" s="1" t="n">
        <v>45901.53839120371</v>
      </c>
      <c r="C591" s="1" t="n">
        <v>45974</v>
      </c>
      <c r="D591" t="inlineStr">
        <is>
          <t>ÖSTERGÖTLANDS LÄN</t>
        </is>
      </c>
      <c r="E591" t="inlineStr">
        <is>
          <t>LINKÖPING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31640-2023</t>
        </is>
      </c>
      <c r="B592" s="1" t="n">
        <v>45117</v>
      </c>
      <c r="C592" s="1" t="n">
        <v>45974</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41706-2025</t>
        </is>
      </c>
      <c r="B593" s="1" t="n">
        <v>45902.42209490741</v>
      </c>
      <c r="C593" s="1" t="n">
        <v>45974</v>
      </c>
      <c r="D593" t="inlineStr">
        <is>
          <t>ÖSTERGÖTLANDS LÄN</t>
        </is>
      </c>
      <c r="E593" t="inlineStr">
        <is>
          <t>LINKÖPING</t>
        </is>
      </c>
      <c r="G593" t="n">
        <v>1.9</v>
      </c>
      <c r="H593" t="n">
        <v>0</v>
      </c>
      <c r="I593" t="n">
        <v>0</v>
      </c>
      <c r="J593" t="n">
        <v>0</v>
      </c>
      <c r="K593" t="n">
        <v>0</v>
      </c>
      <c r="L593" t="n">
        <v>0</v>
      </c>
      <c r="M593" t="n">
        <v>0</v>
      </c>
      <c r="N593" t="n">
        <v>0</v>
      </c>
      <c r="O593" t="n">
        <v>0</v>
      </c>
      <c r="P593" t="n">
        <v>0</v>
      </c>
      <c r="Q593" t="n">
        <v>0</v>
      </c>
      <c r="R593" s="2" t="inlineStr"/>
    </row>
    <row r="594" ht="15" customHeight="1">
      <c r="A594" t="inlineStr">
        <is>
          <t>A 11790-2024</t>
        </is>
      </c>
      <c r="B594" s="1" t="n">
        <v>45374</v>
      </c>
      <c r="C594" s="1" t="n">
        <v>45974</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61281-2021</t>
        </is>
      </c>
      <c r="B595" s="1" t="n">
        <v>44498.60736111111</v>
      </c>
      <c r="C595" s="1" t="n">
        <v>45974</v>
      </c>
      <c r="D595" t="inlineStr">
        <is>
          <t>ÖSTERGÖTLANDS LÄN</t>
        </is>
      </c>
      <c r="E595" t="inlineStr">
        <is>
          <t>LINKÖPING</t>
        </is>
      </c>
      <c r="G595" t="n">
        <v>4.5</v>
      </c>
      <c r="H595" t="n">
        <v>0</v>
      </c>
      <c r="I595" t="n">
        <v>0</v>
      </c>
      <c r="J595" t="n">
        <v>0</v>
      </c>
      <c r="K595" t="n">
        <v>0</v>
      </c>
      <c r="L595" t="n">
        <v>0</v>
      </c>
      <c r="M595" t="n">
        <v>0</v>
      </c>
      <c r="N595" t="n">
        <v>0</v>
      </c>
      <c r="O595" t="n">
        <v>0</v>
      </c>
      <c r="P595" t="n">
        <v>0</v>
      </c>
      <c r="Q595" t="n">
        <v>0</v>
      </c>
      <c r="R595" s="2" t="inlineStr"/>
    </row>
    <row r="596" ht="15" customHeight="1">
      <c r="A596" t="inlineStr">
        <is>
          <t>A 50667-2025</t>
        </is>
      </c>
      <c r="B596" s="1" t="n">
        <v>45945</v>
      </c>
      <c r="C596" s="1" t="n">
        <v>45974</v>
      </c>
      <c r="D596" t="inlineStr">
        <is>
          <t>ÖSTERGÖTLANDS LÄN</t>
        </is>
      </c>
      <c r="E596" t="inlineStr">
        <is>
          <t>LINKÖPING</t>
        </is>
      </c>
      <c r="G596" t="n">
        <v>3.3</v>
      </c>
      <c r="H596" t="n">
        <v>0</v>
      </c>
      <c r="I596" t="n">
        <v>0</v>
      </c>
      <c r="J596" t="n">
        <v>0</v>
      </c>
      <c r="K596" t="n">
        <v>0</v>
      </c>
      <c r="L596" t="n">
        <v>0</v>
      </c>
      <c r="M596" t="n">
        <v>0</v>
      </c>
      <c r="N596" t="n">
        <v>0</v>
      </c>
      <c r="O596" t="n">
        <v>0</v>
      </c>
      <c r="P596" t="n">
        <v>0</v>
      </c>
      <c r="Q596" t="n">
        <v>0</v>
      </c>
      <c r="R596" s="2" t="inlineStr"/>
    </row>
    <row r="597" ht="15" customHeight="1">
      <c r="A597" t="inlineStr">
        <is>
          <t>A 3042-2024</t>
        </is>
      </c>
      <c r="B597" s="1" t="n">
        <v>45316.35028935185</v>
      </c>
      <c r="C597" s="1" t="n">
        <v>45974</v>
      </c>
      <c r="D597" t="inlineStr">
        <is>
          <t>ÖSTERGÖTLANDS LÄN</t>
        </is>
      </c>
      <c r="E597" t="inlineStr">
        <is>
          <t>LINKÖPING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6206-2024</t>
        </is>
      </c>
      <c r="B598" s="1" t="n">
        <v>45337.5977662037</v>
      </c>
      <c r="C598" s="1" t="n">
        <v>45974</v>
      </c>
      <c r="D598" t="inlineStr">
        <is>
          <t>ÖSTERGÖTLANDS LÄN</t>
        </is>
      </c>
      <c r="E598" t="inlineStr">
        <is>
          <t>LINKÖPING</t>
        </is>
      </c>
      <c r="G598" t="n">
        <v>2</v>
      </c>
      <c r="H598" t="n">
        <v>0</v>
      </c>
      <c r="I598" t="n">
        <v>0</v>
      </c>
      <c r="J598" t="n">
        <v>0</v>
      </c>
      <c r="K598" t="n">
        <v>0</v>
      </c>
      <c r="L598" t="n">
        <v>0</v>
      </c>
      <c r="M598" t="n">
        <v>0</v>
      </c>
      <c r="N598" t="n">
        <v>0</v>
      </c>
      <c r="O598" t="n">
        <v>0</v>
      </c>
      <c r="P598" t="n">
        <v>0</v>
      </c>
      <c r="Q598" t="n">
        <v>0</v>
      </c>
      <c r="R598" s="2" t="inlineStr"/>
    </row>
    <row r="599" ht="15" customHeight="1">
      <c r="A599" t="inlineStr">
        <is>
          <t>A 25829-2025</t>
        </is>
      </c>
      <c r="B599" s="1" t="n">
        <v>45804.44505787037</v>
      </c>
      <c r="C599" s="1" t="n">
        <v>45974</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38046-2025</t>
        </is>
      </c>
      <c r="B600" s="1" t="n">
        <v>45882.39939814815</v>
      </c>
      <c r="C600" s="1" t="n">
        <v>45974</v>
      </c>
      <c r="D600" t="inlineStr">
        <is>
          <t>ÖSTERGÖTLANDS LÄN</t>
        </is>
      </c>
      <c r="E600" t="inlineStr">
        <is>
          <t>LINKÖPING</t>
        </is>
      </c>
      <c r="G600" t="n">
        <v>1.3</v>
      </c>
      <c r="H600" t="n">
        <v>0</v>
      </c>
      <c r="I600" t="n">
        <v>0</v>
      </c>
      <c r="J600" t="n">
        <v>0</v>
      </c>
      <c r="K600" t="n">
        <v>0</v>
      </c>
      <c r="L600" t="n">
        <v>0</v>
      </c>
      <c r="M600" t="n">
        <v>0</v>
      </c>
      <c r="N600" t="n">
        <v>0</v>
      </c>
      <c r="O600" t="n">
        <v>0</v>
      </c>
      <c r="P600" t="n">
        <v>0</v>
      </c>
      <c r="Q600" t="n">
        <v>0</v>
      </c>
      <c r="R600" s="2" t="inlineStr"/>
    </row>
    <row r="601" ht="15" customHeight="1">
      <c r="A601" t="inlineStr">
        <is>
          <t>A 168-2024</t>
        </is>
      </c>
      <c r="B601" s="1" t="n">
        <v>45294</v>
      </c>
      <c r="C601" s="1" t="n">
        <v>45974</v>
      </c>
      <c r="D601" t="inlineStr">
        <is>
          <t>ÖSTERGÖTLANDS LÄN</t>
        </is>
      </c>
      <c r="E601" t="inlineStr">
        <is>
          <t>LINKÖPING</t>
        </is>
      </c>
      <c r="F601" t="inlineStr">
        <is>
          <t>Allmännings- och besparingsskogar</t>
        </is>
      </c>
      <c r="G601" t="n">
        <v>8.9</v>
      </c>
      <c r="H601" t="n">
        <v>0</v>
      </c>
      <c r="I601" t="n">
        <v>0</v>
      </c>
      <c r="J601" t="n">
        <v>0</v>
      </c>
      <c r="K601" t="n">
        <v>0</v>
      </c>
      <c r="L601" t="n">
        <v>0</v>
      </c>
      <c r="M601" t="n">
        <v>0</v>
      </c>
      <c r="N601" t="n">
        <v>0</v>
      </c>
      <c r="O601" t="n">
        <v>0</v>
      </c>
      <c r="P601" t="n">
        <v>0</v>
      </c>
      <c r="Q601" t="n">
        <v>0</v>
      </c>
      <c r="R601" s="2" t="inlineStr"/>
    </row>
    <row r="602" ht="15" customHeight="1">
      <c r="A602" t="inlineStr">
        <is>
          <t>A 29293-2025</t>
        </is>
      </c>
      <c r="B602" s="1" t="n">
        <v>45824</v>
      </c>
      <c r="C602" s="1" t="n">
        <v>45974</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51919-2024</t>
        </is>
      </c>
      <c r="B603" s="1" t="n">
        <v>45607.60791666667</v>
      </c>
      <c r="C603" s="1" t="n">
        <v>45974</v>
      </c>
      <c r="D603" t="inlineStr">
        <is>
          <t>ÖSTERGÖTLANDS LÄN</t>
        </is>
      </c>
      <c r="E603" t="inlineStr">
        <is>
          <t>LINKÖPING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56623-2024</t>
        </is>
      </c>
      <c r="B604" s="1" t="n">
        <v>45625</v>
      </c>
      <c r="C604" s="1" t="n">
        <v>45974</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10253-2022</t>
        </is>
      </c>
      <c r="B605" s="1" t="n">
        <v>44622</v>
      </c>
      <c r="C605" s="1" t="n">
        <v>45974</v>
      </c>
      <c r="D605" t="inlineStr">
        <is>
          <t>ÖSTERGÖTLANDS LÄN</t>
        </is>
      </c>
      <c r="E605" t="inlineStr">
        <is>
          <t>LINKÖPING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42624-2025</t>
        </is>
      </c>
      <c r="B606" s="1" t="n">
        <v>45905</v>
      </c>
      <c r="C606" s="1" t="n">
        <v>45974</v>
      </c>
      <c r="D606" t="inlineStr">
        <is>
          <t>ÖSTERGÖTLANDS LÄN</t>
        </is>
      </c>
      <c r="E606" t="inlineStr">
        <is>
          <t>LINKÖPING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42626-2025</t>
        </is>
      </c>
      <c r="B607" s="1" t="n">
        <v>45905</v>
      </c>
      <c r="C607" s="1" t="n">
        <v>45974</v>
      </c>
      <c r="D607" t="inlineStr">
        <is>
          <t>ÖSTERGÖTLANDS LÄN</t>
        </is>
      </c>
      <c r="E607" t="inlineStr">
        <is>
          <t>LINKÖPING</t>
        </is>
      </c>
      <c r="G607" t="n">
        <v>3.6</v>
      </c>
      <c r="H607" t="n">
        <v>0</v>
      </c>
      <c r="I607" t="n">
        <v>0</v>
      </c>
      <c r="J607" t="n">
        <v>0</v>
      </c>
      <c r="K607" t="n">
        <v>0</v>
      </c>
      <c r="L607" t="n">
        <v>0</v>
      </c>
      <c r="M607" t="n">
        <v>0</v>
      </c>
      <c r="N607" t="n">
        <v>0</v>
      </c>
      <c r="O607" t="n">
        <v>0</v>
      </c>
      <c r="P607" t="n">
        <v>0</v>
      </c>
      <c r="Q607" t="n">
        <v>0</v>
      </c>
      <c r="R607" s="2" t="inlineStr"/>
    </row>
    <row r="608" ht="15" customHeight="1">
      <c r="A608" t="inlineStr">
        <is>
          <t>A 11330-2023</t>
        </is>
      </c>
      <c r="B608" s="1" t="n">
        <v>44993.24648148148</v>
      </c>
      <c r="C608" s="1" t="n">
        <v>45974</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63304-2021</t>
        </is>
      </c>
      <c r="B609" s="1" t="n">
        <v>44508.4396412037</v>
      </c>
      <c r="C609" s="1" t="n">
        <v>45974</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14528-2025</t>
        </is>
      </c>
      <c r="B610" s="1" t="n">
        <v>45741</v>
      </c>
      <c r="C610" s="1" t="n">
        <v>45974</v>
      </c>
      <c r="D610" t="inlineStr">
        <is>
          <t>ÖSTERGÖTLANDS LÄN</t>
        </is>
      </c>
      <c r="E610" t="inlineStr">
        <is>
          <t>LINKÖPING</t>
        </is>
      </c>
      <c r="G610" t="n">
        <v>1.5</v>
      </c>
      <c r="H610" t="n">
        <v>0</v>
      </c>
      <c r="I610" t="n">
        <v>0</v>
      </c>
      <c r="J610" t="n">
        <v>0</v>
      </c>
      <c r="K610" t="n">
        <v>0</v>
      </c>
      <c r="L610" t="n">
        <v>0</v>
      </c>
      <c r="M610" t="n">
        <v>0</v>
      </c>
      <c r="N610" t="n">
        <v>0</v>
      </c>
      <c r="O610" t="n">
        <v>0</v>
      </c>
      <c r="P610" t="n">
        <v>0</v>
      </c>
      <c r="Q610" t="n">
        <v>0</v>
      </c>
      <c r="R610" s="2" t="inlineStr"/>
    </row>
    <row r="611" ht="15" customHeight="1">
      <c r="A611" t="inlineStr">
        <is>
          <t>A 42623-2025</t>
        </is>
      </c>
      <c r="B611" s="1" t="n">
        <v>45905</v>
      </c>
      <c r="C611" s="1" t="n">
        <v>45974</v>
      </c>
      <c r="D611" t="inlineStr">
        <is>
          <t>ÖSTERGÖTLANDS LÄN</t>
        </is>
      </c>
      <c r="E611" t="inlineStr">
        <is>
          <t>LINKÖPING</t>
        </is>
      </c>
      <c r="G611" t="n">
        <v>1.9</v>
      </c>
      <c r="H611" t="n">
        <v>0</v>
      </c>
      <c r="I611" t="n">
        <v>0</v>
      </c>
      <c r="J611" t="n">
        <v>0</v>
      </c>
      <c r="K611" t="n">
        <v>0</v>
      </c>
      <c r="L611" t="n">
        <v>0</v>
      </c>
      <c r="M611" t="n">
        <v>0</v>
      </c>
      <c r="N611" t="n">
        <v>0</v>
      </c>
      <c r="O611" t="n">
        <v>0</v>
      </c>
      <c r="P611" t="n">
        <v>0</v>
      </c>
      <c r="Q611" t="n">
        <v>0</v>
      </c>
      <c r="R611" s="2" t="inlineStr"/>
    </row>
    <row r="612" ht="15" customHeight="1">
      <c r="A612" t="inlineStr">
        <is>
          <t>A 3530-2024</t>
        </is>
      </c>
      <c r="B612" s="1" t="n">
        <v>45320.54717592592</v>
      </c>
      <c r="C612" s="1" t="n">
        <v>45974</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62073-2023</t>
        </is>
      </c>
      <c r="B613" s="1" t="n">
        <v>45266.73844907407</v>
      </c>
      <c r="C613" s="1" t="n">
        <v>45974</v>
      </c>
      <c r="D613" t="inlineStr">
        <is>
          <t>ÖSTERGÖTLANDS LÄN</t>
        </is>
      </c>
      <c r="E613" t="inlineStr">
        <is>
          <t>LINKÖPING</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5872-2025</t>
        </is>
      </c>
      <c r="B614" s="1" t="n">
        <v>45695.36659722222</v>
      </c>
      <c r="C614" s="1" t="n">
        <v>45974</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53814-2023</t>
        </is>
      </c>
      <c r="B615" s="1" t="n">
        <v>45231</v>
      </c>
      <c r="C615" s="1" t="n">
        <v>45974</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3432-2023</t>
        </is>
      </c>
      <c r="B616" s="1" t="n">
        <v>44949</v>
      </c>
      <c r="C616" s="1" t="n">
        <v>45974</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54425-2022</t>
        </is>
      </c>
      <c r="B617" s="1" t="n">
        <v>44882.57453703704</v>
      </c>
      <c r="C617" s="1" t="n">
        <v>45974</v>
      </c>
      <c r="D617" t="inlineStr">
        <is>
          <t>ÖSTERGÖTLANDS LÄN</t>
        </is>
      </c>
      <c r="E617" t="inlineStr">
        <is>
          <t>LINKÖPING</t>
        </is>
      </c>
      <c r="G617" t="n">
        <v>1.5</v>
      </c>
      <c r="H617" t="n">
        <v>0</v>
      </c>
      <c r="I617" t="n">
        <v>0</v>
      </c>
      <c r="J617" t="n">
        <v>0</v>
      </c>
      <c r="K617" t="n">
        <v>0</v>
      </c>
      <c r="L617" t="n">
        <v>0</v>
      </c>
      <c r="M617" t="n">
        <v>0</v>
      </c>
      <c r="N617" t="n">
        <v>0</v>
      </c>
      <c r="O617" t="n">
        <v>0</v>
      </c>
      <c r="P617" t="n">
        <v>0</v>
      </c>
      <c r="Q617" t="n">
        <v>0</v>
      </c>
      <c r="R617" s="2" t="inlineStr"/>
    </row>
    <row r="618" ht="15" customHeight="1">
      <c r="A618" t="inlineStr">
        <is>
          <t>A 54428-2022</t>
        </is>
      </c>
      <c r="B618" s="1" t="n">
        <v>44882.57643518518</v>
      </c>
      <c r="C618" s="1" t="n">
        <v>45974</v>
      </c>
      <c r="D618" t="inlineStr">
        <is>
          <t>ÖSTERGÖTLANDS LÄN</t>
        </is>
      </c>
      <c r="E618" t="inlineStr">
        <is>
          <t>LINKÖPING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51802-2025</t>
        </is>
      </c>
      <c r="B619" s="1" t="n">
        <v>45950</v>
      </c>
      <c r="C619" s="1" t="n">
        <v>45974</v>
      </c>
      <c r="D619" t="inlineStr">
        <is>
          <t>ÖSTERGÖTLANDS LÄN</t>
        </is>
      </c>
      <c r="E619" t="inlineStr">
        <is>
          <t>LINKÖPING</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660-2023</t>
        </is>
      </c>
      <c r="B620" s="1" t="n">
        <v>44930</v>
      </c>
      <c r="C620" s="1" t="n">
        <v>45974</v>
      </c>
      <c r="D620" t="inlineStr">
        <is>
          <t>ÖSTERGÖTLANDS LÄN</t>
        </is>
      </c>
      <c r="E620" t="inlineStr">
        <is>
          <t>LINKÖPING</t>
        </is>
      </c>
      <c r="F620" t="inlineStr">
        <is>
          <t>Kyrkan</t>
        </is>
      </c>
      <c r="G620" t="n">
        <v>1.6</v>
      </c>
      <c r="H620" t="n">
        <v>0</v>
      </c>
      <c r="I620" t="n">
        <v>0</v>
      </c>
      <c r="J620" t="n">
        <v>0</v>
      </c>
      <c r="K620" t="n">
        <v>0</v>
      </c>
      <c r="L620" t="n">
        <v>0</v>
      </c>
      <c r="M620" t="n">
        <v>0</v>
      </c>
      <c r="N620" t="n">
        <v>0</v>
      </c>
      <c r="O620" t="n">
        <v>0</v>
      </c>
      <c r="P620" t="n">
        <v>0</v>
      </c>
      <c r="Q620" t="n">
        <v>0</v>
      </c>
      <c r="R620" s="2" t="inlineStr"/>
    </row>
    <row r="621" ht="15" customHeight="1">
      <c r="A621" t="inlineStr">
        <is>
          <t>A 62501-2023</t>
        </is>
      </c>
      <c r="B621" s="1" t="n">
        <v>45268</v>
      </c>
      <c r="C621" s="1" t="n">
        <v>45974</v>
      </c>
      <c r="D621" t="inlineStr">
        <is>
          <t>ÖSTERGÖTLANDS LÄN</t>
        </is>
      </c>
      <c r="E621" t="inlineStr">
        <is>
          <t>LINKÖPING</t>
        </is>
      </c>
      <c r="G621" t="n">
        <v>7.4</v>
      </c>
      <c r="H621" t="n">
        <v>0</v>
      </c>
      <c r="I621" t="n">
        <v>0</v>
      </c>
      <c r="J621" t="n">
        <v>0</v>
      </c>
      <c r="K621" t="n">
        <v>0</v>
      </c>
      <c r="L621" t="n">
        <v>0</v>
      </c>
      <c r="M621" t="n">
        <v>0</v>
      </c>
      <c r="N621" t="n">
        <v>0</v>
      </c>
      <c r="O621" t="n">
        <v>0</v>
      </c>
      <c r="P621" t="n">
        <v>0</v>
      </c>
      <c r="Q621" t="n">
        <v>0</v>
      </c>
      <c r="R621" s="2" t="inlineStr"/>
    </row>
    <row r="622" ht="15" customHeight="1">
      <c r="A622" t="inlineStr">
        <is>
          <t>A 13413-2023</t>
        </is>
      </c>
      <c r="B622" s="1" t="n">
        <v>45005.58341435185</v>
      </c>
      <c r="C622" s="1" t="n">
        <v>45974</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26620-2023</t>
        </is>
      </c>
      <c r="B623" s="1" t="n">
        <v>45092.70390046296</v>
      </c>
      <c r="C623" s="1" t="n">
        <v>45974</v>
      </c>
      <c r="D623" t="inlineStr">
        <is>
          <t>ÖSTERGÖTLANDS LÄN</t>
        </is>
      </c>
      <c r="E623" t="inlineStr">
        <is>
          <t>LINKÖPING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62374-2020</t>
        </is>
      </c>
      <c r="B624" s="1" t="n">
        <v>44159</v>
      </c>
      <c r="C624" s="1" t="n">
        <v>45974</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52111-2025</t>
        </is>
      </c>
      <c r="B625" s="1" t="n">
        <v>45952.69527777778</v>
      </c>
      <c r="C625" s="1" t="n">
        <v>45974</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16462-2021</t>
        </is>
      </c>
      <c r="B626" s="1" t="n">
        <v>44293</v>
      </c>
      <c r="C626" s="1" t="n">
        <v>45974</v>
      </c>
      <c r="D626" t="inlineStr">
        <is>
          <t>ÖSTERGÖTLANDS LÄN</t>
        </is>
      </c>
      <c r="E626" t="inlineStr">
        <is>
          <t>LINKÖPING</t>
        </is>
      </c>
      <c r="F626" t="inlineStr">
        <is>
          <t>Allmännings- och besparingsskogar</t>
        </is>
      </c>
      <c r="G626" t="n">
        <v>24.7</v>
      </c>
      <c r="H626" t="n">
        <v>0</v>
      </c>
      <c r="I626" t="n">
        <v>0</v>
      </c>
      <c r="J626" t="n">
        <v>0</v>
      </c>
      <c r="K626" t="n">
        <v>0</v>
      </c>
      <c r="L626" t="n">
        <v>0</v>
      </c>
      <c r="M626" t="n">
        <v>0</v>
      </c>
      <c r="N626" t="n">
        <v>0</v>
      </c>
      <c r="O626" t="n">
        <v>0</v>
      </c>
      <c r="P626" t="n">
        <v>0</v>
      </c>
      <c r="Q626" t="n">
        <v>0</v>
      </c>
      <c r="R626" s="2" t="inlineStr"/>
    </row>
    <row r="627" ht="15" customHeight="1">
      <c r="A627" t="inlineStr">
        <is>
          <t>A 63554-2023</t>
        </is>
      </c>
      <c r="B627" s="1" t="n">
        <v>45275</v>
      </c>
      <c r="C627" s="1" t="n">
        <v>45974</v>
      </c>
      <c r="D627" t="inlineStr">
        <is>
          <t>ÖSTERGÖTLANDS LÄN</t>
        </is>
      </c>
      <c r="E627" t="inlineStr">
        <is>
          <t>LINKÖPING</t>
        </is>
      </c>
      <c r="G627" t="n">
        <v>4.3</v>
      </c>
      <c r="H627" t="n">
        <v>0</v>
      </c>
      <c r="I627" t="n">
        <v>0</v>
      </c>
      <c r="J627" t="n">
        <v>0</v>
      </c>
      <c r="K627" t="n">
        <v>0</v>
      </c>
      <c r="L627" t="n">
        <v>0</v>
      </c>
      <c r="M627" t="n">
        <v>0</v>
      </c>
      <c r="N627" t="n">
        <v>0</v>
      </c>
      <c r="O627" t="n">
        <v>0</v>
      </c>
      <c r="P627" t="n">
        <v>0</v>
      </c>
      <c r="Q627" t="n">
        <v>0</v>
      </c>
      <c r="R627" s="2" t="inlineStr"/>
    </row>
    <row r="628" ht="15" customHeight="1">
      <c r="A628" t="inlineStr">
        <is>
          <t>A 52743-2025</t>
        </is>
      </c>
      <c r="B628" s="1" t="n">
        <v>45957.38039351852</v>
      </c>
      <c r="C628" s="1" t="n">
        <v>45974</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63638-2023</t>
        </is>
      </c>
      <c r="B629" s="1" t="n">
        <v>45275</v>
      </c>
      <c r="C629" s="1" t="n">
        <v>45974</v>
      </c>
      <c r="D629" t="inlineStr">
        <is>
          <t>ÖSTERGÖTLANDS LÄN</t>
        </is>
      </c>
      <c r="E629" t="inlineStr">
        <is>
          <t>LINKÖPING</t>
        </is>
      </c>
      <c r="F629" t="inlineStr">
        <is>
          <t>Övriga Aktiebolag</t>
        </is>
      </c>
      <c r="G629" t="n">
        <v>2.4</v>
      </c>
      <c r="H629" t="n">
        <v>0</v>
      </c>
      <c r="I629" t="n">
        <v>0</v>
      </c>
      <c r="J629" t="n">
        <v>0</v>
      </c>
      <c r="K629" t="n">
        <v>0</v>
      </c>
      <c r="L629" t="n">
        <v>0</v>
      </c>
      <c r="M629" t="n">
        <v>0</v>
      </c>
      <c r="N629" t="n">
        <v>0</v>
      </c>
      <c r="O629" t="n">
        <v>0</v>
      </c>
      <c r="P629" t="n">
        <v>0</v>
      </c>
      <c r="Q629" t="n">
        <v>0</v>
      </c>
      <c r="R629" s="2" t="inlineStr"/>
    </row>
    <row r="630" ht="15" customHeight="1">
      <c r="A630" t="inlineStr">
        <is>
          <t>A 63658-2023</t>
        </is>
      </c>
      <c r="B630" s="1" t="n">
        <v>45275</v>
      </c>
      <c r="C630" s="1" t="n">
        <v>45974</v>
      </c>
      <c r="D630" t="inlineStr">
        <is>
          <t>ÖSTERGÖTLANDS LÄN</t>
        </is>
      </c>
      <c r="E630" t="inlineStr">
        <is>
          <t>LINKÖPING</t>
        </is>
      </c>
      <c r="F630" t="inlineStr">
        <is>
          <t>Övriga Aktiebolag</t>
        </is>
      </c>
      <c r="G630" t="n">
        <v>1.5</v>
      </c>
      <c r="H630" t="n">
        <v>0</v>
      </c>
      <c r="I630" t="n">
        <v>0</v>
      </c>
      <c r="J630" t="n">
        <v>0</v>
      </c>
      <c r="K630" t="n">
        <v>0</v>
      </c>
      <c r="L630" t="n">
        <v>0</v>
      </c>
      <c r="M630" t="n">
        <v>0</v>
      </c>
      <c r="N630" t="n">
        <v>0</v>
      </c>
      <c r="O630" t="n">
        <v>0</v>
      </c>
      <c r="P630" t="n">
        <v>0</v>
      </c>
      <c r="Q630" t="n">
        <v>0</v>
      </c>
      <c r="R630" s="2" t="inlineStr"/>
    </row>
    <row r="631" ht="15" customHeight="1">
      <c r="A631" t="inlineStr">
        <is>
          <t>A 52807-2025</t>
        </is>
      </c>
      <c r="B631" s="1" t="n">
        <v>45957.44837962963</v>
      </c>
      <c r="C631" s="1" t="n">
        <v>45974</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16820-2024</t>
        </is>
      </c>
      <c r="B632" s="1" t="n">
        <v>45411.46809027778</v>
      </c>
      <c r="C632" s="1" t="n">
        <v>45974</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44170-2025</t>
        </is>
      </c>
      <c r="B633" s="1" t="n">
        <v>45915.59864583334</v>
      </c>
      <c r="C633" s="1" t="n">
        <v>45974</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4456-2024</t>
        </is>
      </c>
      <c r="B634" s="1" t="n">
        <v>45327.52847222222</v>
      </c>
      <c r="C634" s="1" t="n">
        <v>45974</v>
      </c>
      <c r="D634" t="inlineStr">
        <is>
          <t>ÖSTERGÖTLANDS LÄN</t>
        </is>
      </c>
      <c r="E634" t="inlineStr">
        <is>
          <t>LINKÖPING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20298-2025</t>
        </is>
      </c>
      <c r="B635" s="1" t="n">
        <v>45774.75024305555</v>
      </c>
      <c r="C635" s="1" t="n">
        <v>45974</v>
      </c>
      <c r="D635" t="inlineStr">
        <is>
          <t>ÖSTERGÖTLANDS LÄN</t>
        </is>
      </c>
      <c r="E635" t="inlineStr">
        <is>
          <t>LINKÖPING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15121-2022</t>
        </is>
      </c>
      <c r="B636" s="1" t="n">
        <v>44658</v>
      </c>
      <c r="C636" s="1" t="n">
        <v>45974</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50743-2023</t>
        </is>
      </c>
      <c r="B637" s="1" t="n">
        <v>45217</v>
      </c>
      <c r="C637" s="1" t="n">
        <v>45974</v>
      </c>
      <c r="D637" t="inlineStr">
        <is>
          <t>ÖSTERGÖTLANDS LÄN</t>
        </is>
      </c>
      <c r="E637" t="inlineStr">
        <is>
          <t>LINKÖPING</t>
        </is>
      </c>
      <c r="G637" t="n">
        <v>2.7</v>
      </c>
      <c r="H637" t="n">
        <v>0</v>
      </c>
      <c r="I637" t="n">
        <v>0</v>
      </c>
      <c r="J637" t="n">
        <v>0</v>
      </c>
      <c r="K637" t="n">
        <v>0</v>
      </c>
      <c r="L637" t="n">
        <v>0</v>
      </c>
      <c r="M637" t="n">
        <v>0</v>
      </c>
      <c r="N637" t="n">
        <v>0</v>
      </c>
      <c r="O637" t="n">
        <v>0</v>
      </c>
      <c r="P637" t="n">
        <v>0</v>
      </c>
      <c r="Q637" t="n">
        <v>0</v>
      </c>
      <c r="R637" s="2" t="inlineStr"/>
    </row>
    <row r="638" ht="15" customHeight="1">
      <c r="A638" t="inlineStr">
        <is>
          <t>A 52740-2025</t>
        </is>
      </c>
      <c r="B638" s="1" t="n">
        <v>45957.37747685185</v>
      </c>
      <c r="C638" s="1" t="n">
        <v>45974</v>
      </c>
      <c r="D638" t="inlineStr">
        <is>
          <t>ÖSTERGÖTLANDS LÄN</t>
        </is>
      </c>
      <c r="E638" t="inlineStr">
        <is>
          <t>LINKÖPING</t>
        </is>
      </c>
      <c r="G638" t="n">
        <v>3.7</v>
      </c>
      <c r="H638" t="n">
        <v>0</v>
      </c>
      <c r="I638" t="n">
        <v>0</v>
      </c>
      <c r="J638" t="n">
        <v>0</v>
      </c>
      <c r="K638" t="n">
        <v>0</v>
      </c>
      <c r="L638" t="n">
        <v>0</v>
      </c>
      <c r="M638" t="n">
        <v>0</v>
      </c>
      <c r="N638" t="n">
        <v>0</v>
      </c>
      <c r="O638" t="n">
        <v>0</v>
      </c>
      <c r="P638" t="n">
        <v>0</v>
      </c>
      <c r="Q638" t="n">
        <v>0</v>
      </c>
      <c r="R638" s="2" t="inlineStr"/>
    </row>
    <row r="639" ht="15" customHeight="1">
      <c r="A639" t="inlineStr">
        <is>
          <t>A 1440-2021</t>
        </is>
      </c>
      <c r="B639" s="1" t="n">
        <v>44208</v>
      </c>
      <c r="C639" s="1" t="n">
        <v>45974</v>
      </c>
      <c r="D639" t="inlineStr">
        <is>
          <t>ÖSTERGÖTLANDS LÄN</t>
        </is>
      </c>
      <c r="E639" t="inlineStr">
        <is>
          <t>LINKÖPING</t>
        </is>
      </c>
      <c r="G639" t="n">
        <v>8.4</v>
      </c>
      <c r="H639" t="n">
        <v>0</v>
      </c>
      <c r="I639" t="n">
        <v>0</v>
      </c>
      <c r="J639" t="n">
        <v>0</v>
      </c>
      <c r="K639" t="n">
        <v>0</v>
      </c>
      <c r="L639" t="n">
        <v>0</v>
      </c>
      <c r="M639" t="n">
        <v>0</v>
      </c>
      <c r="N639" t="n">
        <v>0</v>
      </c>
      <c r="O639" t="n">
        <v>0</v>
      </c>
      <c r="P639" t="n">
        <v>0</v>
      </c>
      <c r="Q639" t="n">
        <v>0</v>
      </c>
      <c r="R639" s="2" t="inlineStr"/>
    </row>
    <row r="640" ht="15" customHeight="1">
      <c r="A640" t="inlineStr">
        <is>
          <t>A 43755-2025</t>
        </is>
      </c>
      <c r="B640" s="1" t="n">
        <v>45912.47329861111</v>
      </c>
      <c r="C640" s="1" t="n">
        <v>45974</v>
      </c>
      <c r="D640" t="inlineStr">
        <is>
          <t>ÖSTERGÖTLANDS LÄN</t>
        </is>
      </c>
      <c r="E640" t="inlineStr">
        <is>
          <t>LINKÖPING</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43758-2025</t>
        </is>
      </c>
      <c r="B641" s="1" t="n">
        <v>45912.47711805555</v>
      </c>
      <c r="C641" s="1" t="n">
        <v>45974</v>
      </c>
      <c r="D641" t="inlineStr">
        <is>
          <t>ÖSTERGÖTLANDS LÄN</t>
        </is>
      </c>
      <c r="E641" t="inlineStr">
        <is>
          <t>LINKÖPING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52802-2025</t>
        </is>
      </c>
      <c r="B642" s="1" t="n">
        <v>45957.44295138889</v>
      </c>
      <c r="C642" s="1" t="n">
        <v>45974</v>
      </c>
      <c r="D642" t="inlineStr">
        <is>
          <t>ÖSTERGÖTLANDS LÄN</t>
        </is>
      </c>
      <c r="E642" t="inlineStr">
        <is>
          <t>LINKÖPING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13687-2025</t>
        </is>
      </c>
      <c r="B643" s="1" t="n">
        <v>45737.31425925926</v>
      </c>
      <c r="C643" s="1" t="n">
        <v>45974</v>
      </c>
      <c r="D643" t="inlineStr">
        <is>
          <t>ÖSTERGÖTLANDS LÄN</t>
        </is>
      </c>
      <c r="E643" t="inlineStr">
        <is>
          <t>LINKÖPING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13695-2025</t>
        </is>
      </c>
      <c r="B644" s="1" t="n">
        <v>45737.32219907407</v>
      </c>
      <c r="C644" s="1" t="n">
        <v>45974</v>
      </c>
      <c r="D644" t="inlineStr">
        <is>
          <t>ÖSTERGÖTLANDS LÄN</t>
        </is>
      </c>
      <c r="E644" t="inlineStr">
        <is>
          <t>LINKÖPING</t>
        </is>
      </c>
      <c r="G644" t="n">
        <v>5.3</v>
      </c>
      <c r="H644" t="n">
        <v>0</v>
      </c>
      <c r="I644" t="n">
        <v>0</v>
      </c>
      <c r="J644" t="n">
        <v>0</v>
      </c>
      <c r="K644" t="n">
        <v>0</v>
      </c>
      <c r="L644" t="n">
        <v>0</v>
      </c>
      <c r="M644" t="n">
        <v>0</v>
      </c>
      <c r="N644" t="n">
        <v>0</v>
      </c>
      <c r="O644" t="n">
        <v>0</v>
      </c>
      <c r="P644" t="n">
        <v>0</v>
      </c>
      <c r="Q644" t="n">
        <v>0</v>
      </c>
      <c r="R644" s="2" t="inlineStr"/>
    </row>
    <row r="645" ht="15" customHeight="1">
      <c r="A645" t="inlineStr">
        <is>
          <t>A 43753-2025</t>
        </is>
      </c>
      <c r="B645" s="1" t="n">
        <v>45912.4715625</v>
      </c>
      <c r="C645" s="1" t="n">
        <v>45974</v>
      </c>
      <c r="D645" t="inlineStr">
        <is>
          <t>ÖSTERGÖTLANDS LÄN</t>
        </is>
      </c>
      <c r="E645" t="inlineStr">
        <is>
          <t>LINKÖPING</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20294-2025</t>
        </is>
      </c>
      <c r="B646" s="1" t="n">
        <v>45774.74667824074</v>
      </c>
      <c r="C646" s="1" t="n">
        <v>45974</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52800-2025</t>
        </is>
      </c>
      <c r="B647" s="1" t="n">
        <v>45957.44152777778</v>
      </c>
      <c r="C647" s="1" t="n">
        <v>45974</v>
      </c>
      <c r="D647" t="inlineStr">
        <is>
          <t>ÖSTERGÖTLANDS LÄN</t>
        </is>
      </c>
      <c r="E647" t="inlineStr">
        <is>
          <t>LINKÖPING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17128-2025</t>
        </is>
      </c>
      <c r="B648" s="1" t="n">
        <v>45755.72622685185</v>
      </c>
      <c r="C648" s="1" t="n">
        <v>45974</v>
      </c>
      <c r="D648" t="inlineStr">
        <is>
          <t>ÖSTERGÖTLANDS LÄN</t>
        </is>
      </c>
      <c r="E648" t="inlineStr">
        <is>
          <t>LINKÖPING</t>
        </is>
      </c>
      <c r="G648" t="n">
        <v>2.9</v>
      </c>
      <c r="H648" t="n">
        <v>0</v>
      </c>
      <c r="I648" t="n">
        <v>0</v>
      </c>
      <c r="J648" t="n">
        <v>0</v>
      </c>
      <c r="K648" t="n">
        <v>0</v>
      </c>
      <c r="L648" t="n">
        <v>0</v>
      </c>
      <c r="M648" t="n">
        <v>0</v>
      </c>
      <c r="N648" t="n">
        <v>0</v>
      </c>
      <c r="O648" t="n">
        <v>0</v>
      </c>
      <c r="P648" t="n">
        <v>0</v>
      </c>
      <c r="Q648" t="n">
        <v>0</v>
      </c>
      <c r="R648" s="2" t="inlineStr"/>
    </row>
    <row r="649" ht="15" customHeight="1">
      <c r="A649" t="inlineStr">
        <is>
          <t>A 52125-2022</t>
        </is>
      </c>
      <c r="B649" s="1" t="n">
        <v>44873</v>
      </c>
      <c r="C649" s="1" t="n">
        <v>45974</v>
      </c>
      <c r="D649" t="inlineStr">
        <is>
          <t>ÖSTERGÖTLANDS LÄN</t>
        </is>
      </c>
      <c r="E649" t="inlineStr">
        <is>
          <t>LINKÖPING</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44759-2025</t>
        </is>
      </c>
      <c r="B650" s="1" t="n">
        <v>45917.7152662037</v>
      </c>
      <c r="C650" s="1" t="n">
        <v>45974</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27343-2023</t>
        </is>
      </c>
      <c r="B651" s="1" t="n">
        <v>45096</v>
      </c>
      <c r="C651" s="1" t="n">
        <v>45974</v>
      </c>
      <c r="D651" t="inlineStr">
        <is>
          <t>ÖSTERGÖTLANDS LÄN</t>
        </is>
      </c>
      <c r="E651" t="inlineStr">
        <is>
          <t>LINKÖPING</t>
        </is>
      </c>
      <c r="F651" t="inlineStr">
        <is>
          <t>Allmännings- och besparingsskogar</t>
        </is>
      </c>
      <c r="G651" t="n">
        <v>6.9</v>
      </c>
      <c r="H651" t="n">
        <v>0</v>
      </c>
      <c r="I651" t="n">
        <v>0</v>
      </c>
      <c r="J651" t="n">
        <v>0</v>
      </c>
      <c r="K651" t="n">
        <v>0</v>
      </c>
      <c r="L651" t="n">
        <v>0</v>
      </c>
      <c r="M651" t="n">
        <v>0</v>
      </c>
      <c r="N651" t="n">
        <v>0</v>
      </c>
      <c r="O651" t="n">
        <v>0</v>
      </c>
      <c r="P651" t="n">
        <v>0</v>
      </c>
      <c r="Q651" t="n">
        <v>0</v>
      </c>
      <c r="R651" s="2" t="inlineStr"/>
    </row>
    <row r="652" ht="15" customHeight="1">
      <c r="A652" t="inlineStr">
        <is>
          <t>A 22842-2023</t>
        </is>
      </c>
      <c r="B652" s="1" t="n">
        <v>45071</v>
      </c>
      <c r="C652" s="1" t="n">
        <v>45974</v>
      </c>
      <c r="D652" t="inlineStr">
        <is>
          <t>ÖSTERGÖTLANDS LÄN</t>
        </is>
      </c>
      <c r="E652" t="inlineStr">
        <is>
          <t>LINKÖPING</t>
        </is>
      </c>
      <c r="F652" t="inlineStr">
        <is>
          <t>Kommuner</t>
        </is>
      </c>
      <c r="G652" t="n">
        <v>1.3</v>
      </c>
      <c r="H652" t="n">
        <v>0</v>
      </c>
      <c r="I652" t="n">
        <v>0</v>
      </c>
      <c r="J652" t="n">
        <v>0</v>
      </c>
      <c r="K652" t="n">
        <v>0</v>
      </c>
      <c r="L652" t="n">
        <v>0</v>
      </c>
      <c r="M652" t="n">
        <v>0</v>
      </c>
      <c r="N652" t="n">
        <v>0</v>
      </c>
      <c r="O652" t="n">
        <v>0</v>
      </c>
      <c r="P652" t="n">
        <v>0</v>
      </c>
      <c r="Q652" t="n">
        <v>0</v>
      </c>
      <c r="R652" s="2" t="inlineStr"/>
    </row>
    <row r="653" ht="15" customHeight="1">
      <c r="A653" t="inlineStr">
        <is>
          <t>A 14520-2025</t>
        </is>
      </c>
      <c r="B653" s="1" t="n">
        <v>45741</v>
      </c>
      <c r="C653" s="1" t="n">
        <v>45974</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31548-2022</t>
        </is>
      </c>
      <c r="B654" s="1" t="n">
        <v>44775.39832175926</v>
      </c>
      <c r="C654" s="1" t="n">
        <v>45974</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44764-2025</t>
        </is>
      </c>
      <c r="B655" s="1" t="n">
        <v>45917.72821759259</v>
      </c>
      <c r="C655" s="1" t="n">
        <v>45974</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62017-2024</t>
        </is>
      </c>
      <c r="B656" s="1" t="n">
        <v>45655.81140046296</v>
      </c>
      <c r="C656" s="1" t="n">
        <v>45974</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17785-2023</t>
        </is>
      </c>
      <c r="B657" s="1" t="n">
        <v>45037.55094907407</v>
      </c>
      <c r="C657" s="1" t="n">
        <v>45974</v>
      </c>
      <c r="D657" t="inlineStr">
        <is>
          <t>ÖSTERGÖTLANDS LÄN</t>
        </is>
      </c>
      <c r="E657" t="inlineStr">
        <is>
          <t>LINKÖPING</t>
        </is>
      </c>
      <c r="F657" t="inlineStr">
        <is>
          <t>Allmännings- och besparingsskogar</t>
        </is>
      </c>
      <c r="G657" t="n">
        <v>3.1</v>
      </c>
      <c r="H657" t="n">
        <v>0</v>
      </c>
      <c r="I657" t="n">
        <v>0</v>
      </c>
      <c r="J657" t="n">
        <v>0</v>
      </c>
      <c r="K657" t="n">
        <v>0</v>
      </c>
      <c r="L657" t="n">
        <v>0</v>
      </c>
      <c r="M657" t="n">
        <v>0</v>
      </c>
      <c r="N657" t="n">
        <v>0</v>
      </c>
      <c r="O657" t="n">
        <v>0</v>
      </c>
      <c r="P657" t="n">
        <v>0</v>
      </c>
      <c r="Q657" t="n">
        <v>0</v>
      </c>
      <c r="R657" s="2" t="inlineStr"/>
    </row>
    <row r="658" ht="15" customHeight="1">
      <c r="A658" t="inlineStr">
        <is>
          <t>A 62686-2023</t>
        </is>
      </c>
      <c r="B658" s="1" t="n">
        <v>45271</v>
      </c>
      <c r="C658" s="1" t="n">
        <v>45974</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42044-2023</t>
        </is>
      </c>
      <c r="B659" s="1" t="n">
        <v>45177</v>
      </c>
      <c r="C659" s="1" t="n">
        <v>45974</v>
      </c>
      <c r="D659" t="inlineStr">
        <is>
          <t>ÖSTERGÖTLANDS LÄN</t>
        </is>
      </c>
      <c r="E659" t="inlineStr">
        <is>
          <t>LINKÖPING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5314-2021</t>
        </is>
      </c>
      <c r="B660" s="1" t="n">
        <v>44229</v>
      </c>
      <c r="C660" s="1" t="n">
        <v>45974</v>
      </c>
      <c r="D660" t="inlineStr">
        <is>
          <t>ÖSTERGÖTLANDS LÄN</t>
        </is>
      </c>
      <c r="E660" t="inlineStr">
        <is>
          <t>LINKÖPING</t>
        </is>
      </c>
      <c r="G660" t="n">
        <v>6.2</v>
      </c>
      <c r="H660" t="n">
        <v>0</v>
      </c>
      <c r="I660" t="n">
        <v>0</v>
      </c>
      <c r="J660" t="n">
        <v>0</v>
      </c>
      <c r="K660" t="n">
        <v>0</v>
      </c>
      <c r="L660" t="n">
        <v>0</v>
      </c>
      <c r="M660" t="n">
        <v>0</v>
      </c>
      <c r="N660" t="n">
        <v>0</v>
      </c>
      <c r="O660" t="n">
        <v>0</v>
      </c>
      <c r="P660" t="n">
        <v>0</v>
      </c>
      <c r="Q660" t="n">
        <v>0</v>
      </c>
      <c r="R660" s="2" t="inlineStr"/>
    </row>
    <row r="661" ht="15" customHeight="1">
      <c r="A661" t="inlineStr">
        <is>
          <t>A 45112-2025</t>
        </is>
      </c>
      <c r="B661" s="1" t="n">
        <v>45919</v>
      </c>
      <c r="C661" s="1" t="n">
        <v>45974</v>
      </c>
      <c r="D661" t="inlineStr">
        <is>
          <t>ÖSTERGÖTLANDS LÄN</t>
        </is>
      </c>
      <c r="E661" t="inlineStr">
        <is>
          <t>LINKÖPING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50056-2025</t>
        </is>
      </c>
      <c r="B662" s="1" t="n">
        <v>45941</v>
      </c>
      <c r="C662" s="1" t="n">
        <v>45974</v>
      </c>
      <c r="D662" t="inlineStr">
        <is>
          <t>ÖSTERGÖTLANDS LÄN</t>
        </is>
      </c>
      <c r="E662" t="inlineStr">
        <is>
          <t>LINKÖPING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49656-2021</t>
        </is>
      </c>
      <c r="B663" s="1" t="n">
        <v>44454</v>
      </c>
      <c r="C663" s="1" t="n">
        <v>45974</v>
      </c>
      <c r="D663" t="inlineStr">
        <is>
          <t>ÖSTERGÖTLANDS LÄN</t>
        </is>
      </c>
      <c r="E663" t="inlineStr">
        <is>
          <t>LINKÖPING</t>
        </is>
      </c>
      <c r="G663" t="n">
        <v>2.3</v>
      </c>
      <c r="H663" t="n">
        <v>0</v>
      </c>
      <c r="I663" t="n">
        <v>0</v>
      </c>
      <c r="J663" t="n">
        <v>0</v>
      </c>
      <c r="K663" t="n">
        <v>0</v>
      </c>
      <c r="L663" t="n">
        <v>0</v>
      </c>
      <c r="M663" t="n">
        <v>0</v>
      </c>
      <c r="N663" t="n">
        <v>0</v>
      </c>
      <c r="O663" t="n">
        <v>0</v>
      </c>
      <c r="P663" t="n">
        <v>0</v>
      </c>
      <c r="Q663" t="n">
        <v>0</v>
      </c>
      <c r="R663" s="2" t="inlineStr"/>
    </row>
    <row r="664" ht="15" customHeight="1">
      <c r="A664" t="inlineStr">
        <is>
          <t>A 38230-2023</t>
        </is>
      </c>
      <c r="B664" s="1" t="n">
        <v>45161.55373842592</v>
      </c>
      <c r="C664" s="1" t="n">
        <v>45974</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45442-2024</t>
        </is>
      </c>
      <c r="B665" s="1" t="n">
        <v>45576.64189814815</v>
      </c>
      <c r="C665" s="1" t="n">
        <v>45974</v>
      </c>
      <c r="D665" t="inlineStr">
        <is>
          <t>ÖSTERGÖTLANDS LÄN</t>
        </is>
      </c>
      <c r="E665" t="inlineStr">
        <is>
          <t>LINKÖPING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4908-2023</t>
        </is>
      </c>
      <c r="B666" s="1" t="n">
        <v>44958</v>
      </c>
      <c r="C666" s="1" t="n">
        <v>45974</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1265-2023</t>
        </is>
      </c>
      <c r="B667" s="1" t="n">
        <v>44936</v>
      </c>
      <c r="C667" s="1" t="n">
        <v>45974</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45634-2025</t>
        </is>
      </c>
      <c r="B668" s="1" t="n">
        <v>45922.85089120371</v>
      </c>
      <c r="C668" s="1" t="n">
        <v>45974</v>
      </c>
      <c r="D668" t="inlineStr">
        <is>
          <t>ÖSTERGÖTLANDS LÄN</t>
        </is>
      </c>
      <c r="E668" t="inlineStr">
        <is>
          <t>LINKÖPING</t>
        </is>
      </c>
      <c r="F668" t="inlineStr">
        <is>
          <t>Övriga Aktiebolag</t>
        </is>
      </c>
      <c r="G668" t="n">
        <v>0.3</v>
      </c>
      <c r="H668" t="n">
        <v>0</v>
      </c>
      <c r="I668" t="n">
        <v>0</v>
      </c>
      <c r="J668" t="n">
        <v>0</v>
      </c>
      <c r="K668" t="n">
        <v>0</v>
      </c>
      <c r="L668" t="n">
        <v>0</v>
      </c>
      <c r="M668" t="n">
        <v>0</v>
      </c>
      <c r="N668" t="n">
        <v>0</v>
      </c>
      <c r="O668" t="n">
        <v>0</v>
      </c>
      <c r="P668" t="n">
        <v>0</v>
      </c>
      <c r="Q668" t="n">
        <v>0</v>
      </c>
      <c r="R668" s="2" t="inlineStr"/>
    </row>
    <row r="669" ht="15" customHeight="1">
      <c r="A669" t="inlineStr">
        <is>
          <t>A 54329-2025</t>
        </is>
      </c>
      <c r="B669" s="1" t="n">
        <v>45965.34706018519</v>
      </c>
      <c r="C669" s="1" t="n">
        <v>45974</v>
      </c>
      <c r="D669" t="inlineStr">
        <is>
          <t>ÖSTERGÖTLANDS LÄN</t>
        </is>
      </c>
      <c r="E669" t="inlineStr">
        <is>
          <t>LINKÖPING</t>
        </is>
      </c>
      <c r="F669" t="inlineStr">
        <is>
          <t>Sveaskog</t>
        </is>
      </c>
      <c r="G669" t="n">
        <v>5.1</v>
      </c>
      <c r="H669" t="n">
        <v>0</v>
      </c>
      <c r="I669" t="n">
        <v>0</v>
      </c>
      <c r="J669" t="n">
        <v>0</v>
      </c>
      <c r="K669" t="n">
        <v>0</v>
      </c>
      <c r="L669" t="n">
        <v>0</v>
      </c>
      <c r="M669" t="n">
        <v>0</v>
      </c>
      <c r="N669" t="n">
        <v>0</v>
      </c>
      <c r="O669" t="n">
        <v>0</v>
      </c>
      <c r="P669" t="n">
        <v>0</v>
      </c>
      <c r="Q669" t="n">
        <v>0</v>
      </c>
      <c r="R669" s="2" t="inlineStr"/>
    </row>
    <row r="670" ht="15" customHeight="1">
      <c r="A670" t="inlineStr">
        <is>
          <t>A 12411-2022</t>
        </is>
      </c>
      <c r="B670" s="1" t="n">
        <v>44638.21601851852</v>
      </c>
      <c r="C670" s="1" t="n">
        <v>45974</v>
      </c>
      <c r="D670" t="inlineStr">
        <is>
          <t>ÖSTERGÖTLANDS LÄN</t>
        </is>
      </c>
      <c r="E670" t="inlineStr">
        <is>
          <t>LINKÖPING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54332-2025</t>
        </is>
      </c>
      <c r="B671" s="1" t="n">
        <v>45965.34915509259</v>
      </c>
      <c r="C671" s="1" t="n">
        <v>45974</v>
      </c>
      <c r="D671" t="inlineStr">
        <is>
          <t>ÖSTERGÖTLANDS LÄN</t>
        </is>
      </c>
      <c r="E671" t="inlineStr">
        <is>
          <t>LINKÖPING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23491-2024</t>
        </is>
      </c>
      <c r="B672" s="1" t="n">
        <v>45453</v>
      </c>
      <c r="C672" s="1" t="n">
        <v>45974</v>
      </c>
      <c r="D672" t="inlineStr">
        <is>
          <t>ÖSTERGÖTLANDS LÄN</t>
        </is>
      </c>
      <c r="E672" t="inlineStr">
        <is>
          <t>LINKÖPING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70-2024</t>
        </is>
      </c>
      <c r="B673" s="1" t="n">
        <v>45293</v>
      </c>
      <c r="C673" s="1" t="n">
        <v>45974</v>
      </c>
      <c r="D673" t="inlineStr">
        <is>
          <t>ÖSTERGÖTLANDS LÄN</t>
        </is>
      </c>
      <c r="E673" t="inlineStr">
        <is>
          <t>LINKÖPING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6054-2022</t>
        </is>
      </c>
      <c r="B674" s="1" t="n">
        <v>44599.53623842593</v>
      </c>
      <c r="C674" s="1" t="n">
        <v>45974</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31725-2022</t>
        </is>
      </c>
      <c r="B675" s="1" t="n">
        <v>44776.48541666667</v>
      </c>
      <c r="C675" s="1" t="n">
        <v>45974</v>
      </c>
      <c r="D675" t="inlineStr">
        <is>
          <t>ÖSTERGÖTLANDS LÄN</t>
        </is>
      </c>
      <c r="E675" t="inlineStr">
        <is>
          <t>LINKÖPING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54333-2025</t>
        </is>
      </c>
      <c r="B676" s="1" t="n">
        <v>45965.35090277778</v>
      </c>
      <c r="C676" s="1" t="n">
        <v>45974</v>
      </c>
      <c r="D676" t="inlineStr">
        <is>
          <t>ÖSTERGÖTLANDS LÄN</t>
        </is>
      </c>
      <c r="E676" t="inlineStr">
        <is>
          <t>LINKÖPING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45792-2025</t>
        </is>
      </c>
      <c r="B677" s="1" t="n">
        <v>45923.56998842592</v>
      </c>
      <c r="C677" s="1" t="n">
        <v>45974</v>
      </c>
      <c r="D677" t="inlineStr">
        <is>
          <t>ÖSTERGÖTLANDS LÄN</t>
        </is>
      </c>
      <c r="E677" t="inlineStr">
        <is>
          <t>LINKÖPING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45804-2025</t>
        </is>
      </c>
      <c r="B678" s="1" t="n">
        <v>45923.5819675926</v>
      </c>
      <c r="C678" s="1" t="n">
        <v>45974</v>
      </c>
      <c r="D678" t="inlineStr">
        <is>
          <t>ÖSTERGÖTLANDS LÄN</t>
        </is>
      </c>
      <c r="E678" t="inlineStr">
        <is>
          <t>LINKÖPING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46426-2025</t>
        </is>
      </c>
      <c r="B679" s="1" t="n">
        <v>45925.6012962963</v>
      </c>
      <c r="C679" s="1" t="n">
        <v>45974</v>
      </c>
      <c r="D679" t="inlineStr">
        <is>
          <t>ÖSTERGÖTLANDS LÄN</t>
        </is>
      </c>
      <c r="E679" t="inlineStr">
        <is>
          <t>LINKÖPING</t>
        </is>
      </c>
      <c r="G679" t="n">
        <v>4.4</v>
      </c>
      <c r="H679" t="n">
        <v>0</v>
      </c>
      <c r="I679" t="n">
        <v>0</v>
      </c>
      <c r="J679" t="n">
        <v>0</v>
      </c>
      <c r="K679" t="n">
        <v>0</v>
      </c>
      <c r="L679" t="n">
        <v>0</v>
      </c>
      <c r="M679" t="n">
        <v>0</v>
      </c>
      <c r="N679" t="n">
        <v>0</v>
      </c>
      <c r="O679" t="n">
        <v>0</v>
      </c>
      <c r="P679" t="n">
        <v>0</v>
      </c>
      <c r="Q679" t="n">
        <v>0</v>
      </c>
      <c r="R679" s="2" t="inlineStr"/>
    </row>
    <row r="680" ht="15" customHeight="1">
      <c r="A680" t="inlineStr">
        <is>
          <t>A 57391-2023</t>
        </is>
      </c>
      <c r="B680" s="1" t="n">
        <v>45245</v>
      </c>
      <c r="C680" s="1" t="n">
        <v>45974</v>
      </c>
      <c r="D680" t="inlineStr">
        <is>
          <t>ÖSTERGÖTLANDS LÄN</t>
        </is>
      </c>
      <c r="E680" t="inlineStr">
        <is>
          <t>LINKÖPING</t>
        </is>
      </c>
      <c r="F680" t="inlineStr">
        <is>
          <t>Övriga Aktiebolag</t>
        </is>
      </c>
      <c r="G680" t="n">
        <v>1.7</v>
      </c>
      <c r="H680" t="n">
        <v>0</v>
      </c>
      <c r="I680" t="n">
        <v>0</v>
      </c>
      <c r="J680" t="n">
        <v>0</v>
      </c>
      <c r="K680" t="n">
        <v>0</v>
      </c>
      <c r="L680" t="n">
        <v>0</v>
      </c>
      <c r="M680" t="n">
        <v>0</v>
      </c>
      <c r="N680" t="n">
        <v>0</v>
      </c>
      <c r="O680" t="n">
        <v>0</v>
      </c>
      <c r="P680" t="n">
        <v>0</v>
      </c>
      <c r="Q680" t="n">
        <v>0</v>
      </c>
      <c r="R680" s="2" t="inlineStr"/>
    </row>
    <row r="681" ht="15" customHeight="1">
      <c r="A681" t="inlineStr">
        <is>
          <t>A 7992-2023</t>
        </is>
      </c>
      <c r="B681" s="1" t="n">
        <v>44970</v>
      </c>
      <c r="C681" s="1" t="n">
        <v>45974</v>
      </c>
      <c r="D681" t="inlineStr">
        <is>
          <t>ÖSTERGÖTLANDS LÄN</t>
        </is>
      </c>
      <c r="E681" t="inlineStr">
        <is>
          <t>LINKÖPING</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46428-2025</t>
        </is>
      </c>
      <c r="B682" s="1" t="n">
        <v>45925.60758101852</v>
      </c>
      <c r="C682" s="1" t="n">
        <v>45974</v>
      </c>
      <c r="D682" t="inlineStr">
        <is>
          <t>ÖSTERGÖTLANDS LÄN</t>
        </is>
      </c>
      <c r="E682" t="inlineStr">
        <is>
          <t>LINKÖPING</t>
        </is>
      </c>
      <c r="G682" t="n">
        <v>3</v>
      </c>
      <c r="H682" t="n">
        <v>0</v>
      </c>
      <c r="I682" t="n">
        <v>0</v>
      </c>
      <c r="J682" t="n">
        <v>0</v>
      </c>
      <c r="K682" t="n">
        <v>0</v>
      </c>
      <c r="L682" t="n">
        <v>0</v>
      </c>
      <c r="M682" t="n">
        <v>0</v>
      </c>
      <c r="N682" t="n">
        <v>0</v>
      </c>
      <c r="O682" t="n">
        <v>0</v>
      </c>
      <c r="P682" t="n">
        <v>0</v>
      </c>
      <c r="Q682" t="n">
        <v>0</v>
      </c>
      <c r="R682" s="2" t="inlineStr"/>
    </row>
    <row r="683" ht="15" customHeight="1">
      <c r="A683" t="inlineStr">
        <is>
          <t>A 13689-2025</t>
        </is>
      </c>
      <c r="B683" s="1" t="n">
        <v>45737.31590277778</v>
      </c>
      <c r="C683" s="1" t="n">
        <v>45974</v>
      </c>
      <c r="D683" t="inlineStr">
        <is>
          <t>ÖSTERGÖTLANDS LÄN</t>
        </is>
      </c>
      <c r="E683" t="inlineStr">
        <is>
          <t>LINKÖPING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13696-2025</t>
        </is>
      </c>
      <c r="B684" s="1" t="n">
        <v>45737.32273148148</v>
      </c>
      <c r="C684" s="1" t="n">
        <v>45974</v>
      </c>
      <c r="D684" t="inlineStr">
        <is>
          <t>ÖSTERGÖTLANDS LÄN</t>
        </is>
      </c>
      <c r="E684" t="inlineStr">
        <is>
          <t>LINKÖPING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1924-2024</t>
        </is>
      </c>
      <c r="B685" s="1" t="n">
        <v>45308</v>
      </c>
      <c r="C685" s="1" t="n">
        <v>45974</v>
      </c>
      <c r="D685" t="inlineStr">
        <is>
          <t>ÖSTERGÖTLANDS LÄN</t>
        </is>
      </c>
      <c r="E685" t="inlineStr">
        <is>
          <t>LINKÖPING</t>
        </is>
      </c>
      <c r="F685" t="inlineStr">
        <is>
          <t>Övriga Aktiebolag</t>
        </is>
      </c>
      <c r="G685" t="n">
        <v>0.5</v>
      </c>
      <c r="H685" t="n">
        <v>0</v>
      </c>
      <c r="I685" t="n">
        <v>0</v>
      </c>
      <c r="J685" t="n">
        <v>0</v>
      </c>
      <c r="K685" t="n">
        <v>0</v>
      </c>
      <c r="L685" t="n">
        <v>0</v>
      </c>
      <c r="M685" t="n">
        <v>0</v>
      </c>
      <c r="N685" t="n">
        <v>0</v>
      </c>
      <c r="O685" t="n">
        <v>0</v>
      </c>
      <c r="P685" t="n">
        <v>0</v>
      </c>
      <c r="Q685" t="n">
        <v>0</v>
      </c>
      <c r="R685" s="2" t="inlineStr"/>
    </row>
    <row r="686" ht="15" customHeight="1">
      <c r="A686" t="inlineStr">
        <is>
          <t>A 46377-2025</t>
        </is>
      </c>
      <c r="B686" s="1" t="n">
        <v>45925.51773148148</v>
      </c>
      <c r="C686" s="1" t="n">
        <v>45974</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32346-2023</t>
        </is>
      </c>
      <c r="B687" s="1" t="n">
        <v>45120</v>
      </c>
      <c r="C687" s="1" t="n">
        <v>45974</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50508-2024</t>
        </is>
      </c>
      <c r="B688" s="1" t="n">
        <v>45601.53907407408</v>
      </c>
      <c r="C688" s="1" t="n">
        <v>45974</v>
      </c>
      <c r="D688" t="inlineStr">
        <is>
          <t>ÖSTERGÖTLANDS LÄN</t>
        </is>
      </c>
      <c r="E688" t="inlineStr">
        <is>
          <t>LINKÖPING</t>
        </is>
      </c>
      <c r="F688" t="inlineStr">
        <is>
          <t>Övriga Aktiebolag</t>
        </is>
      </c>
      <c r="G688" t="n">
        <v>2</v>
      </c>
      <c r="H688" t="n">
        <v>0</v>
      </c>
      <c r="I688" t="n">
        <v>0</v>
      </c>
      <c r="J688" t="n">
        <v>0</v>
      </c>
      <c r="K688" t="n">
        <v>0</v>
      </c>
      <c r="L688" t="n">
        <v>0</v>
      </c>
      <c r="M688" t="n">
        <v>0</v>
      </c>
      <c r="N688" t="n">
        <v>0</v>
      </c>
      <c r="O688" t="n">
        <v>0</v>
      </c>
      <c r="P688" t="n">
        <v>0</v>
      </c>
      <c r="Q688" t="n">
        <v>0</v>
      </c>
      <c r="R688" s="2" t="inlineStr"/>
    </row>
    <row r="689" ht="15" customHeight="1">
      <c r="A689" t="inlineStr">
        <is>
          <t>A 55132-2025</t>
        </is>
      </c>
      <c r="B689" s="1" t="n">
        <v>45968.41912037037</v>
      </c>
      <c r="C689" s="1" t="n">
        <v>45974</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7808-2022</t>
        </is>
      </c>
      <c r="B690" s="1" t="n">
        <v>44608</v>
      </c>
      <c r="C690" s="1" t="n">
        <v>45974</v>
      </c>
      <c r="D690" t="inlineStr">
        <is>
          <t>ÖSTERGÖTLANDS LÄN</t>
        </is>
      </c>
      <c r="E690" t="inlineStr">
        <is>
          <t>LINKÖPING</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27844-2024</t>
        </is>
      </c>
      <c r="B691" s="1" t="n">
        <v>45475.63047453704</v>
      </c>
      <c r="C691" s="1" t="n">
        <v>45974</v>
      </c>
      <c r="D691" t="inlineStr">
        <is>
          <t>ÖSTERGÖTLANDS LÄN</t>
        </is>
      </c>
      <c r="E691" t="inlineStr">
        <is>
          <t>LINKÖPING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40810-2022</t>
        </is>
      </c>
      <c r="B692" s="1" t="n">
        <v>44824</v>
      </c>
      <c r="C692" s="1" t="n">
        <v>45974</v>
      </c>
      <c r="D692" t="inlineStr">
        <is>
          <t>ÖSTERGÖTLANDS LÄN</t>
        </is>
      </c>
      <c r="E692" t="inlineStr">
        <is>
          <t>LINKÖPING</t>
        </is>
      </c>
      <c r="G692" t="n">
        <v>2.8</v>
      </c>
      <c r="H692" t="n">
        <v>0</v>
      </c>
      <c r="I692" t="n">
        <v>0</v>
      </c>
      <c r="J692" t="n">
        <v>0</v>
      </c>
      <c r="K692" t="n">
        <v>0</v>
      </c>
      <c r="L692" t="n">
        <v>0</v>
      </c>
      <c r="M692" t="n">
        <v>0</v>
      </c>
      <c r="N692" t="n">
        <v>0</v>
      </c>
      <c r="O692" t="n">
        <v>0</v>
      </c>
      <c r="P692" t="n">
        <v>0</v>
      </c>
      <c r="Q692" t="n">
        <v>0</v>
      </c>
      <c r="R692" s="2" t="inlineStr"/>
    </row>
    <row r="693" ht="15" customHeight="1">
      <c r="A693" t="inlineStr">
        <is>
          <t>A 51559-2024</t>
        </is>
      </c>
      <c r="B693" s="1" t="n">
        <v>45604.61431712963</v>
      </c>
      <c r="C693" s="1" t="n">
        <v>45974</v>
      </c>
      <c r="D693" t="inlineStr">
        <is>
          <t>ÖSTERGÖTLANDS LÄN</t>
        </is>
      </c>
      <c r="E693" t="inlineStr">
        <is>
          <t>LINKÖPING</t>
        </is>
      </c>
      <c r="F693" t="inlineStr">
        <is>
          <t>Övriga Aktiebolag</t>
        </is>
      </c>
      <c r="G693" t="n">
        <v>2.4</v>
      </c>
      <c r="H693" t="n">
        <v>0</v>
      </c>
      <c r="I693" t="n">
        <v>0</v>
      </c>
      <c r="J693" t="n">
        <v>0</v>
      </c>
      <c r="K693" t="n">
        <v>0</v>
      </c>
      <c r="L693" t="n">
        <v>0</v>
      </c>
      <c r="M693" t="n">
        <v>0</v>
      </c>
      <c r="N693" t="n">
        <v>0</v>
      </c>
      <c r="O693" t="n">
        <v>0</v>
      </c>
      <c r="P693" t="n">
        <v>0</v>
      </c>
      <c r="Q693" t="n">
        <v>0</v>
      </c>
      <c r="R693" s="2" t="inlineStr"/>
    </row>
    <row r="694" ht="15" customHeight="1">
      <c r="A694" t="inlineStr">
        <is>
          <t>A 49979-2022</t>
        </is>
      </c>
      <c r="B694" s="1" t="n">
        <v>44865</v>
      </c>
      <c r="C694" s="1" t="n">
        <v>45974</v>
      </c>
      <c r="D694" t="inlineStr">
        <is>
          <t>ÖSTERGÖTLANDS LÄN</t>
        </is>
      </c>
      <c r="E694" t="inlineStr">
        <is>
          <t>LINKÖPING</t>
        </is>
      </c>
      <c r="F694" t="inlineStr">
        <is>
          <t>Övriga Aktiebolag</t>
        </is>
      </c>
      <c r="G694" t="n">
        <v>11.4</v>
      </c>
      <c r="H694" t="n">
        <v>0</v>
      </c>
      <c r="I694" t="n">
        <v>0</v>
      </c>
      <c r="J694" t="n">
        <v>0</v>
      </c>
      <c r="K694" t="n">
        <v>0</v>
      </c>
      <c r="L694" t="n">
        <v>0</v>
      </c>
      <c r="M694" t="n">
        <v>0</v>
      </c>
      <c r="N694" t="n">
        <v>0</v>
      </c>
      <c r="O694" t="n">
        <v>0</v>
      </c>
      <c r="P694" t="n">
        <v>0</v>
      </c>
      <c r="Q694" t="n">
        <v>0</v>
      </c>
      <c r="R694" s="2" t="inlineStr"/>
    </row>
    <row r="695" ht="15" customHeight="1">
      <c r="A695" t="inlineStr">
        <is>
          <t>A 39219-2021</t>
        </is>
      </c>
      <c r="B695" s="1" t="n">
        <v>44413</v>
      </c>
      <c r="C695" s="1" t="n">
        <v>45974</v>
      </c>
      <c r="D695" t="inlineStr">
        <is>
          <t>ÖSTERGÖTLANDS LÄN</t>
        </is>
      </c>
      <c r="E695" t="inlineStr">
        <is>
          <t>LINKÖPING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39224-2021</t>
        </is>
      </c>
      <c r="B696" s="1" t="n">
        <v>44413</v>
      </c>
      <c r="C696" s="1" t="n">
        <v>45974</v>
      </c>
      <c r="D696" t="inlineStr">
        <is>
          <t>ÖSTERGÖTLANDS LÄN</t>
        </is>
      </c>
      <c r="E696" t="inlineStr">
        <is>
          <t>LINKÖPING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62495-2023</t>
        </is>
      </c>
      <c r="B697" s="1" t="n">
        <v>45268.59717592593</v>
      </c>
      <c r="C697" s="1" t="n">
        <v>45974</v>
      </c>
      <c r="D697" t="inlineStr">
        <is>
          <t>ÖSTERGÖTLANDS LÄN</t>
        </is>
      </c>
      <c r="E697" t="inlineStr">
        <is>
          <t>LINKÖPING</t>
        </is>
      </c>
      <c r="G697" t="n">
        <v>4.1</v>
      </c>
      <c r="H697" t="n">
        <v>0</v>
      </c>
      <c r="I697" t="n">
        <v>0</v>
      </c>
      <c r="J697" t="n">
        <v>0</v>
      </c>
      <c r="K697" t="n">
        <v>0</v>
      </c>
      <c r="L697" t="n">
        <v>0</v>
      </c>
      <c r="M697" t="n">
        <v>0</v>
      </c>
      <c r="N697" t="n">
        <v>0</v>
      </c>
      <c r="O697" t="n">
        <v>0</v>
      </c>
      <c r="P697" t="n">
        <v>0</v>
      </c>
      <c r="Q697" t="n">
        <v>0</v>
      </c>
      <c r="R697" s="2" t="inlineStr"/>
    </row>
    <row r="698" ht="15" customHeight="1">
      <c r="A698" t="inlineStr">
        <is>
          <t>A 55102-2025</t>
        </is>
      </c>
      <c r="B698" s="1" t="n">
        <v>45968.35410879629</v>
      </c>
      <c r="C698" s="1" t="n">
        <v>45974</v>
      </c>
      <c r="D698" t="inlineStr">
        <is>
          <t>ÖSTERGÖTLANDS LÄN</t>
        </is>
      </c>
      <c r="E698" t="inlineStr">
        <is>
          <t>LINKÖPING</t>
        </is>
      </c>
      <c r="G698" t="n">
        <v>1.4</v>
      </c>
      <c r="H698" t="n">
        <v>0</v>
      </c>
      <c r="I698" t="n">
        <v>0</v>
      </c>
      <c r="J698" t="n">
        <v>0</v>
      </c>
      <c r="K698" t="n">
        <v>0</v>
      </c>
      <c r="L698" t="n">
        <v>0</v>
      </c>
      <c r="M698" t="n">
        <v>0</v>
      </c>
      <c r="N698" t="n">
        <v>0</v>
      </c>
      <c r="O698" t="n">
        <v>0</v>
      </c>
      <c r="P698" t="n">
        <v>0</v>
      </c>
      <c r="Q698" t="n">
        <v>0</v>
      </c>
      <c r="R698" s="2" t="inlineStr"/>
    </row>
    <row r="699" ht="15" customHeight="1">
      <c r="A699" t="inlineStr">
        <is>
          <t>A 55109-2025</t>
        </is>
      </c>
      <c r="B699" s="1" t="n">
        <v>45968.37731481482</v>
      </c>
      <c r="C699" s="1" t="n">
        <v>45974</v>
      </c>
      <c r="D699" t="inlineStr">
        <is>
          <t>ÖSTERGÖTLANDS LÄN</t>
        </is>
      </c>
      <c r="E699" t="inlineStr">
        <is>
          <t>LINKÖPING</t>
        </is>
      </c>
      <c r="G699" t="n">
        <v>3.2</v>
      </c>
      <c r="H699" t="n">
        <v>0</v>
      </c>
      <c r="I699" t="n">
        <v>0</v>
      </c>
      <c r="J699" t="n">
        <v>0</v>
      </c>
      <c r="K699" t="n">
        <v>0</v>
      </c>
      <c r="L699" t="n">
        <v>0</v>
      </c>
      <c r="M699" t="n">
        <v>0</v>
      </c>
      <c r="N699" t="n">
        <v>0</v>
      </c>
      <c r="O699" t="n">
        <v>0</v>
      </c>
      <c r="P699" t="n">
        <v>0</v>
      </c>
      <c r="Q699" t="n">
        <v>0</v>
      </c>
      <c r="R699" s="2" t="inlineStr"/>
    </row>
    <row r="700" ht="15" customHeight="1">
      <c r="A700" t="inlineStr">
        <is>
          <t>A 29413-2023</t>
        </is>
      </c>
      <c r="B700" s="1" t="n">
        <v>45106.46465277778</v>
      </c>
      <c r="C700" s="1" t="n">
        <v>45974</v>
      </c>
      <c r="D700" t="inlineStr">
        <is>
          <t>ÖSTERGÖTLANDS LÄN</t>
        </is>
      </c>
      <c r="E700" t="inlineStr">
        <is>
          <t>LINKÖPING</t>
        </is>
      </c>
      <c r="G700" t="n">
        <v>8</v>
      </c>
      <c r="H700" t="n">
        <v>0</v>
      </c>
      <c r="I700" t="n">
        <v>0</v>
      </c>
      <c r="J700" t="n">
        <v>0</v>
      </c>
      <c r="K700" t="n">
        <v>0</v>
      </c>
      <c r="L700" t="n">
        <v>0</v>
      </c>
      <c r="M700" t="n">
        <v>0</v>
      </c>
      <c r="N700" t="n">
        <v>0</v>
      </c>
      <c r="O700" t="n">
        <v>0</v>
      </c>
      <c r="P700" t="n">
        <v>0</v>
      </c>
      <c r="Q700" t="n">
        <v>0</v>
      </c>
      <c r="R700" s="2" t="inlineStr"/>
    </row>
    <row r="701" ht="15" customHeight="1">
      <c r="A701" t="inlineStr">
        <is>
          <t>A 55165-2025</t>
        </is>
      </c>
      <c r="B701" s="1" t="n">
        <v>45968.48194444444</v>
      </c>
      <c r="C701" s="1" t="n">
        <v>45974</v>
      </c>
      <c r="D701" t="inlineStr">
        <is>
          <t>ÖSTERGÖTLANDS LÄN</t>
        </is>
      </c>
      <c r="E701" t="inlineStr">
        <is>
          <t>LINKÖPING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46847-2025</t>
        </is>
      </c>
      <c r="B702" s="1" t="n">
        <v>45928.69971064815</v>
      </c>
      <c r="C702" s="1" t="n">
        <v>45974</v>
      </c>
      <c r="D702" t="inlineStr">
        <is>
          <t>ÖSTERGÖTLANDS LÄN</t>
        </is>
      </c>
      <c r="E702" t="inlineStr">
        <is>
          <t>LINKÖPING</t>
        </is>
      </c>
      <c r="G702" t="n">
        <v>4.6</v>
      </c>
      <c r="H702" t="n">
        <v>0</v>
      </c>
      <c r="I702" t="n">
        <v>0</v>
      </c>
      <c r="J702" t="n">
        <v>0</v>
      </c>
      <c r="K702" t="n">
        <v>0</v>
      </c>
      <c r="L702" t="n">
        <v>0</v>
      </c>
      <c r="M702" t="n">
        <v>0</v>
      </c>
      <c r="N702" t="n">
        <v>0</v>
      </c>
      <c r="O702" t="n">
        <v>0</v>
      </c>
      <c r="P702" t="n">
        <v>0</v>
      </c>
      <c r="Q702" t="n">
        <v>0</v>
      </c>
      <c r="R702" s="2" t="inlineStr"/>
    </row>
    <row r="703" ht="15" customHeight="1">
      <c r="A703" t="inlineStr">
        <is>
          <t>A 25948-2023</t>
        </is>
      </c>
      <c r="B703" s="1" t="n">
        <v>45090</v>
      </c>
      <c r="C703" s="1" t="n">
        <v>45974</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1627-2023</t>
        </is>
      </c>
      <c r="B704" s="1" t="n">
        <v>44937</v>
      </c>
      <c r="C704" s="1" t="n">
        <v>45974</v>
      </c>
      <c r="D704" t="inlineStr">
        <is>
          <t>ÖSTERGÖTLANDS LÄN</t>
        </is>
      </c>
      <c r="E704" t="inlineStr">
        <is>
          <t>LINKÖPING</t>
        </is>
      </c>
      <c r="G704" t="n">
        <v>10.8</v>
      </c>
      <c r="H704" t="n">
        <v>0</v>
      </c>
      <c r="I704" t="n">
        <v>0</v>
      </c>
      <c r="J704" t="n">
        <v>0</v>
      </c>
      <c r="K704" t="n">
        <v>0</v>
      </c>
      <c r="L704" t="n">
        <v>0</v>
      </c>
      <c r="M704" t="n">
        <v>0</v>
      </c>
      <c r="N704" t="n">
        <v>0</v>
      </c>
      <c r="O704" t="n">
        <v>0</v>
      </c>
      <c r="P704" t="n">
        <v>0</v>
      </c>
      <c r="Q704" t="n">
        <v>0</v>
      </c>
      <c r="R704" s="2" t="inlineStr"/>
    </row>
    <row r="705" ht="15" customHeight="1">
      <c r="A705" t="inlineStr">
        <is>
          <t>A 30481-2023</t>
        </is>
      </c>
      <c r="B705" s="1" t="n">
        <v>45111</v>
      </c>
      <c r="C705" s="1" t="n">
        <v>45974</v>
      </c>
      <c r="D705" t="inlineStr">
        <is>
          <t>ÖSTERGÖTLANDS LÄN</t>
        </is>
      </c>
      <c r="E705" t="inlineStr">
        <is>
          <t>LINKÖPING</t>
        </is>
      </c>
      <c r="F705" t="inlineStr">
        <is>
          <t>Övriga Aktiebolag</t>
        </is>
      </c>
      <c r="G705" t="n">
        <v>2</v>
      </c>
      <c r="H705" t="n">
        <v>0</v>
      </c>
      <c r="I705" t="n">
        <v>0</v>
      </c>
      <c r="J705" t="n">
        <v>0</v>
      </c>
      <c r="K705" t="n">
        <v>0</v>
      </c>
      <c r="L705" t="n">
        <v>0</v>
      </c>
      <c r="M705" t="n">
        <v>0</v>
      </c>
      <c r="N705" t="n">
        <v>0</v>
      </c>
      <c r="O705" t="n">
        <v>0</v>
      </c>
      <c r="P705" t="n">
        <v>0</v>
      </c>
      <c r="Q705" t="n">
        <v>0</v>
      </c>
      <c r="R705" s="2" t="inlineStr"/>
    </row>
    <row r="706" ht="15" customHeight="1">
      <c r="A706" t="inlineStr">
        <is>
          <t>A 21782-2024</t>
        </is>
      </c>
      <c r="B706" s="1" t="n">
        <v>45442.63368055555</v>
      </c>
      <c r="C706" s="1" t="n">
        <v>45974</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11671-2023</t>
        </is>
      </c>
      <c r="B707" s="1" t="n">
        <v>44994.48125</v>
      </c>
      <c r="C707" s="1" t="n">
        <v>45974</v>
      </c>
      <c r="D707" t="inlineStr">
        <is>
          <t>ÖSTERGÖTLANDS LÄN</t>
        </is>
      </c>
      <c r="E707" t="inlineStr">
        <is>
          <t>LINKÖPING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56113-2025</t>
        </is>
      </c>
      <c r="B708" s="1" t="n">
        <v>45973.73924768518</v>
      </c>
      <c r="C708" s="1" t="n">
        <v>45974</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47233-2025</t>
        </is>
      </c>
      <c r="B709" s="1" t="n">
        <v>45930.40612268518</v>
      </c>
      <c r="C709" s="1" t="n">
        <v>45974</v>
      </c>
      <c r="D709" t="inlineStr">
        <is>
          <t>ÖSTERGÖTLANDS LÄN</t>
        </is>
      </c>
      <c r="E709" t="inlineStr">
        <is>
          <t>LINKÖPING</t>
        </is>
      </c>
      <c r="G709" t="n">
        <v>4.3</v>
      </c>
      <c r="H709" t="n">
        <v>0</v>
      </c>
      <c r="I709" t="n">
        <v>0</v>
      </c>
      <c r="J709" t="n">
        <v>0</v>
      </c>
      <c r="K709" t="n">
        <v>0</v>
      </c>
      <c r="L709" t="n">
        <v>0</v>
      </c>
      <c r="M709" t="n">
        <v>0</v>
      </c>
      <c r="N709" t="n">
        <v>0</v>
      </c>
      <c r="O709" t="n">
        <v>0</v>
      </c>
      <c r="P709" t="n">
        <v>0</v>
      </c>
      <c r="Q709" t="n">
        <v>0</v>
      </c>
      <c r="R709" s="2" t="inlineStr"/>
    </row>
    <row r="710" ht="15" customHeight="1">
      <c r="A710" t="inlineStr">
        <is>
          <t>A 3013-2023</t>
        </is>
      </c>
      <c r="B710" s="1" t="n">
        <v>44945.8092824074</v>
      </c>
      <c r="C710" s="1" t="n">
        <v>45974</v>
      </c>
      <c r="D710" t="inlineStr">
        <is>
          <t>ÖSTERGÖTLANDS LÄN</t>
        </is>
      </c>
      <c r="E710" t="inlineStr">
        <is>
          <t>LINKÖPING</t>
        </is>
      </c>
      <c r="G710" t="n">
        <v>5.2</v>
      </c>
      <c r="H710" t="n">
        <v>0</v>
      </c>
      <c r="I710" t="n">
        <v>0</v>
      </c>
      <c r="J710" t="n">
        <v>0</v>
      </c>
      <c r="K710" t="n">
        <v>0</v>
      </c>
      <c r="L710" t="n">
        <v>0</v>
      </c>
      <c r="M710" t="n">
        <v>0</v>
      </c>
      <c r="N710" t="n">
        <v>0</v>
      </c>
      <c r="O710" t="n">
        <v>0</v>
      </c>
      <c r="P710" t="n">
        <v>0</v>
      </c>
      <c r="Q710" t="n">
        <v>0</v>
      </c>
      <c r="R710" s="2" t="inlineStr"/>
    </row>
    <row r="711" ht="15" customHeight="1">
      <c r="A711" t="inlineStr">
        <is>
          <t>A 47606-2025</t>
        </is>
      </c>
      <c r="B711" s="1" t="n">
        <v>45931.46402777778</v>
      </c>
      <c r="C711" s="1" t="n">
        <v>45974</v>
      </c>
      <c r="D711" t="inlineStr">
        <is>
          <t>ÖSTERGÖTLANDS LÄN</t>
        </is>
      </c>
      <c r="E711" t="inlineStr">
        <is>
          <t>LINKÖPING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55683-2025</t>
        </is>
      </c>
      <c r="B712" s="1" t="n">
        <v>45972.4255324074</v>
      </c>
      <c r="C712" s="1" t="n">
        <v>45974</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47304-2025</t>
        </is>
      </c>
      <c r="B713" s="1" t="n">
        <v>45930.52037037037</v>
      </c>
      <c r="C713" s="1" t="n">
        <v>45974</v>
      </c>
      <c r="D713" t="inlineStr">
        <is>
          <t>ÖSTERGÖTLANDS LÄN</t>
        </is>
      </c>
      <c r="E713" t="inlineStr">
        <is>
          <t>LINKÖPING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56105-2025</t>
        </is>
      </c>
      <c r="B714" s="1" t="n">
        <v>45973.72855324074</v>
      </c>
      <c r="C714" s="1" t="n">
        <v>45974</v>
      </c>
      <c r="D714" t="inlineStr">
        <is>
          <t>ÖSTERGÖTLANDS LÄN</t>
        </is>
      </c>
      <c r="E714" t="inlineStr">
        <is>
          <t>LINKÖPING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49747-2024</t>
        </is>
      </c>
      <c r="B715" s="1" t="n">
        <v>45596</v>
      </c>
      <c r="C715" s="1" t="n">
        <v>45974</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42997-2021</t>
        </is>
      </c>
      <c r="B716" s="1" t="n">
        <v>44431.45556712963</v>
      </c>
      <c r="C716" s="1" t="n">
        <v>45974</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c r="A717" t="inlineStr">
        <is>
          <t>A 3011-2023</t>
        </is>
      </c>
      <c r="B717" s="1" t="n">
        <v>44945</v>
      </c>
      <c r="C717" s="1" t="n">
        <v>45974</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2025-11-13T10:13:22Z</dcterms:created>
  <dcterms:modified xmlns:dcterms="http://purl.org/dc/terms/" xmlns:xsi="http://www.w3.org/2001/XMLSchema-instance" xsi:type="dcterms:W3CDTF">2025-11-13T10:13:23Z</dcterms:modified>
</cp:coreProperties>
</file>