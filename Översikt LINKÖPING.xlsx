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46170</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46170</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46170</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46170</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46170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46170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46170</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46170</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49999-2025</t>
        </is>
      </c>
      <c r="B17" s="1" t="n">
        <v>45943.30185185185</v>
      </c>
      <c r="C17" s="1" t="n">
        <v>46170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46170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46170</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11048-2026</t>
        </is>
      </c>
      <c r="B20" s="1" t="n">
        <v>46079.58841435185</v>
      </c>
      <c r="C20" s="1" t="n">
        <v>46170</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11097-2026</t>
        </is>
      </c>
      <c r="B21" s="1" t="n">
        <v>46079.64511574074</v>
      </c>
      <c r="C21" s="1" t="n">
        <v>46170</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12494-2026</t>
        </is>
      </c>
      <c r="B22" s="1" t="n">
        <v>46090.56896990741</v>
      </c>
      <c r="C22" s="1" t="n">
        <v>46170</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38913-2023</t>
        </is>
      </c>
      <c r="B23" s="1" t="n">
        <v>45163</v>
      </c>
      <c r="C23" s="1" t="n">
        <v>46170</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46170</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46170</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46170</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58068-2021</t>
        </is>
      </c>
      <c r="B27" s="1" t="n">
        <v>44487</v>
      </c>
      <c r="C27" s="1" t="n">
        <v>46170</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46170</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46170</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46170</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46170</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46170</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46170</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46170</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46170</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22040-2023</t>
        </is>
      </c>
      <c r="B36" s="1" t="n">
        <v>45068</v>
      </c>
      <c r="C36" s="1" t="n">
        <v>46170</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46170</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46170</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3912-2026</t>
        </is>
      </c>
      <c r="B39" s="1" t="n">
        <v>46043.71958333333</v>
      </c>
      <c r="C39" s="1" t="n">
        <v>46170</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20292-2025</t>
        </is>
      </c>
      <c r="B40" s="1" t="n">
        <v>45774.7449537037</v>
      </c>
      <c r="C40" s="1" t="n">
        <v>46170</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46170</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12247-2026</t>
        </is>
      </c>
      <c r="B42" s="1" t="n">
        <v>46087.44436342592</v>
      </c>
      <c r="C42" s="1" t="n">
        <v>46170</v>
      </c>
      <c r="D42" t="inlineStr">
        <is>
          <t>ÖSTERGÖTLANDS LÄN</t>
        </is>
      </c>
      <c r="E42" t="inlineStr">
        <is>
          <t>LINKÖPING</t>
        </is>
      </c>
      <c r="G42" t="n">
        <v>0.9</v>
      </c>
      <c r="H42" t="n">
        <v>1</v>
      </c>
      <c r="I42" t="n">
        <v>0</v>
      </c>
      <c r="J42" t="n">
        <v>2</v>
      </c>
      <c r="K42" t="n">
        <v>0</v>
      </c>
      <c r="L42" t="n">
        <v>0</v>
      </c>
      <c r="M42" t="n">
        <v>0</v>
      </c>
      <c r="N42" t="n">
        <v>0</v>
      </c>
      <c r="O42" t="n">
        <v>2</v>
      </c>
      <c r="P42" t="n">
        <v>0</v>
      </c>
      <c r="Q42" t="n">
        <v>2</v>
      </c>
      <c r="R42" s="2" t="inlineStr">
        <is>
          <t>Spillkråka
Vedtrappmossa</t>
        </is>
      </c>
      <c r="S42">
        <f>HYPERLINK("https://klasma.github.io/Logging_0580/artfynd/A 12247-2026 artfynd.xlsx", "A 12247-2026")</f>
        <v/>
      </c>
      <c r="T42">
        <f>HYPERLINK("https://klasma.github.io/Logging_0580/kartor/A 12247-2026 karta.png", "A 12247-2026")</f>
        <v/>
      </c>
      <c r="V42">
        <f>HYPERLINK("https://klasma.github.io/Logging_0580/klagomål/A 12247-2026 FSC-klagomål.docx", "A 12247-2026")</f>
        <v/>
      </c>
      <c r="W42">
        <f>HYPERLINK("https://klasma.github.io/Logging_0580/klagomålsmail/A 12247-2026 FSC-klagomål mail.docx", "A 12247-2026")</f>
        <v/>
      </c>
      <c r="X42">
        <f>HYPERLINK("https://klasma.github.io/Logging_0580/tillsyn/A 12247-2026 tillsynsbegäran.docx", "A 12247-2026")</f>
        <v/>
      </c>
      <c r="Y42">
        <f>HYPERLINK("https://klasma.github.io/Logging_0580/tillsynsmail/A 12247-2026 tillsynsbegäran mail.docx", "A 12247-2026")</f>
        <v/>
      </c>
      <c r="Z42">
        <f>HYPERLINK("https://klasma.github.io/Logging_0580/fåglar/A 12247-2026 prioriterade fågelarter.docx", "A 12247-2026")</f>
        <v/>
      </c>
    </row>
    <row r="43" ht="15" customHeight="1">
      <c r="A43" t="inlineStr">
        <is>
          <t>A 21228-2026</t>
        </is>
      </c>
      <c r="B43" s="1" t="n">
        <v>46146.7919212963</v>
      </c>
      <c r="C43" s="1" t="n">
        <v>46170</v>
      </c>
      <c r="D43" t="inlineStr">
        <is>
          <t>ÖSTERGÖTLANDS LÄN</t>
        </is>
      </c>
      <c r="E43" t="inlineStr">
        <is>
          <t>LINKÖPING</t>
        </is>
      </c>
      <c r="G43" t="n">
        <v>2.5</v>
      </c>
      <c r="H43" t="n">
        <v>2</v>
      </c>
      <c r="I43" t="n">
        <v>0</v>
      </c>
      <c r="J43" t="n">
        <v>0</v>
      </c>
      <c r="K43" t="n">
        <v>0</v>
      </c>
      <c r="L43" t="n">
        <v>0</v>
      </c>
      <c r="M43" t="n">
        <v>0</v>
      </c>
      <c r="N43" t="n">
        <v>0</v>
      </c>
      <c r="O43" t="n">
        <v>0</v>
      </c>
      <c r="P43" t="n">
        <v>0</v>
      </c>
      <c r="Q43" t="n">
        <v>2</v>
      </c>
      <c r="R43" s="2" t="inlineStr">
        <is>
          <t>Kungsfågel
Vanlig groda</t>
        </is>
      </c>
      <c r="S43">
        <f>HYPERLINK("https://klasma.github.io/Logging_0580/artfynd/A 21228-2026 artfynd.xlsx", "A 21228-2026")</f>
        <v/>
      </c>
      <c r="T43">
        <f>HYPERLINK("https://klasma.github.io/Logging_0580/kartor/A 21228-2026 karta.png", "A 21228-2026")</f>
        <v/>
      </c>
      <c r="V43">
        <f>HYPERLINK("https://klasma.github.io/Logging_0580/klagomål/A 21228-2026 FSC-klagomål.docx", "A 21228-2026")</f>
        <v/>
      </c>
      <c r="W43">
        <f>HYPERLINK("https://klasma.github.io/Logging_0580/klagomålsmail/A 21228-2026 FSC-klagomål mail.docx", "A 21228-2026")</f>
        <v/>
      </c>
      <c r="X43">
        <f>HYPERLINK("https://klasma.github.io/Logging_0580/tillsyn/A 21228-2026 tillsynsbegäran.docx", "A 21228-2026")</f>
        <v/>
      </c>
      <c r="Y43">
        <f>HYPERLINK("https://klasma.github.io/Logging_0580/tillsynsmail/A 21228-2026 tillsynsbegäran mail.docx", "A 21228-2026")</f>
        <v/>
      </c>
      <c r="Z43">
        <f>HYPERLINK("https://klasma.github.io/Logging_0580/fåglar/A 21228-2026 prioriterade fågelarter.docx", "A 21228-2026")</f>
        <v/>
      </c>
    </row>
    <row r="44" ht="15" customHeight="1">
      <c r="A44" t="inlineStr">
        <is>
          <t>A 15856-2026</t>
        </is>
      </c>
      <c r="B44" s="1" t="n">
        <v>46107.57620370371</v>
      </c>
      <c r="C44" s="1" t="n">
        <v>46170</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15844-2026</t>
        </is>
      </c>
      <c r="B45" s="1" t="n">
        <v>46107.56542824074</v>
      </c>
      <c r="C45" s="1" t="n">
        <v>46170</v>
      </c>
      <c r="D45" t="inlineStr">
        <is>
          <t>ÖSTERGÖTLANDS LÄN</t>
        </is>
      </c>
      <c r="E45" t="inlineStr">
        <is>
          <t>LINKÖPING</t>
        </is>
      </c>
      <c r="F45" t="inlineStr">
        <is>
          <t>Sveaskog</t>
        </is>
      </c>
      <c r="G45" t="n">
        <v>10.6</v>
      </c>
      <c r="H45" t="n">
        <v>0</v>
      </c>
      <c r="I45" t="n">
        <v>2</v>
      </c>
      <c r="J45" t="n">
        <v>0</v>
      </c>
      <c r="K45" t="n">
        <v>0</v>
      </c>
      <c r="L45" t="n">
        <v>0</v>
      </c>
      <c r="M45" t="n">
        <v>0</v>
      </c>
      <c r="N45" t="n">
        <v>0</v>
      </c>
      <c r="O45" t="n">
        <v>0</v>
      </c>
      <c r="P45" t="n">
        <v>0</v>
      </c>
      <c r="Q45" t="n">
        <v>2</v>
      </c>
      <c r="R45" s="2" t="inlineStr">
        <is>
          <t>Fällmossa
Toppvaxing</t>
        </is>
      </c>
      <c r="S45">
        <f>HYPERLINK("https://klasma.github.io/Logging_0580/artfynd/A 15844-2026 artfynd.xlsx", "A 15844-2026")</f>
        <v/>
      </c>
      <c r="T45">
        <f>HYPERLINK("https://klasma.github.io/Logging_0580/kartor/A 15844-2026 karta.png", "A 15844-2026")</f>
        <v/>
      </c>
      <c r="V45">
        <f>HYPERLINK("https://klasma.github.io/Logging_0580/klagomål/A 15844-2026 FSC-klagomål.docx", "A 15844-2026")</f>
        <v/>
      </c>
      <c r="W45">
        <f>HYPERLINK("https://klasma.github.io/Logging_0580/klagomålsmail/A 15844-2026 FSC-klagomål mail.docx", "A 15844-2026")</f>
        <v/>
      </c>
      <c r="X45">
        <f>HYPERLINK("https://klasma.github.io/Logging_0580/tillsyn/A 15844-2026 tillsynsbegäran.docx", "A 15844-2026")</f>
        <v/>
      </c>
      <c r="Y45">
        <f>HYPERLINK("https://klasma.github.io/Logging_0580/tillsynsmail/A 15844-2026 tillsynsbegäran mail.docx", "A 15844-2026")</f>
        <v/>
      </c>
    </row>
    <row r="46" ht="15" customHeight="1">
      <c r="A46" t="inlineStr">
        <is>
          <t>A 22074-2026</t>
        </is>
      </c>
      <c r="B46" s="1" t="n">
        <v>46153.50032407408</v>
      </c>
      <c r="C46" s="1" t="n">
        <v>46170</v>
      </c>
      <c r="D46" t="inlineStr">
        <is>
          <t>ÖSTERGÖTLANDS LÄN</t>
        </is>
      </c>
      <c r="E46" t="inlineStr">
        <is>
          <t>LINKÖPING</t>
        </is>
      </c>
      <c r="G46" t="n">
        <v>1.9</v>
      </c>
      <c r="H46" t="n">
        <v>0</v>
      </c>
      <c r="I46" t="n">
        <v>2</v>
      </c>
      <c r="J46" t="n">
        <v>0</v>
      </c>
      <c r="K46" t="n">
        <v>0</v>
      </c>
      <c r="L46" t="n">
        <v>0</v>
      </c>
      <c r="M46" t="n">
        <v>0</v>
      </c>
      <c r="N46" t="n">
        <v>0</v>
      </c>
      <c r="O46" t="n">
        <v>0</v>
      </c>
      <c r="P46" t="n">
        <v>0</v>
      </c>
      <c r="Q46" t="n">
        <v>2</v>
      </c>
      <c r="R46" s="2" t="inlineStr">
        <is>
          <t>Blomkålssvamp
Mandelriska</t>
        </is>
      </c>
      <c r="S46">
        <f>HYPERLINK("https://klasma.github.io/Logging_0580/artfynd/A 22074-2026 artfynd.xlsx", "A 22074-2026")</f>
        <v/>
      </c>
      <c r="T46">
        <f>HYPERLINK("https://klasma.github.io/Logging_0580/kartor/A 22074-2026 karta.png", "A 22074-2026")</f>
        <v/>
      </c>
      <c r="V46">
        <f>HYPERLINK("https://klasma.github.io/Logging_0580/klagomål/A 22074-2026 FSC-klagomål.docx", "A 22074-2026")</f>
        <v/>
      </c>
      <c r="W46">
        <f>HYPERLINK("https://klasma.github.io/Logging_0580/klagomålsmail/A 22074-2026 FSC-klagomål mail.docx", "A 22074-2026")</f>
        <v/>
      </c>
      <c r="X46">
        <f>HYPERLINK("https://klasma.github.io/Logging_0580/tillsyn/A 22074-2026 tillsynsbegäran.docx", "A 22074-2026")</f>
        <v/>
      </c>
      <c r="Y46">
        <f>HYPERLINK("https://klasma.github.io/Logging_0580/tillsynsmail/A 22074-2026 tillsynsbegäran mail.docx", "A 22074-2026")</f>
        <v/>
      </c>
    </row>
    <row r="47" ht="15" customHeight="1">
      <c r="A47" t="inlineStr">
        <is>
          <t>A 41751-2023</t>
        </is>
      </c>
      <c r="B47" s="1" t="n">
        <v>45176</v>
      </c>
      <c r="C47" s="1" t="n">
        <v>46170</v>
      </c>
      <c r="D47" t="inlineStr">
        <is>
          <t>ÖSTERGÖTLANDS LÄN</t>
        </is>
      </c>
      <c r="E47" t="inlineStr">
        <is>
          <t>LINKÖPING</t>
        </is>
      </c>
      <c r="G47" t="n">
        <v>1.5</v>
      </c>
      <c r="H47" t="n">
        <v>1</v>
      </c>
      <c r="I47" t="n">
        <v>0</v>
      </c>
      <c r="J47" t="n">
        <v>1</v>
      </c>
      <c r="K47" t="n">
        <v>0</v>
      </c>
      <c r="L47" t="n">
        <v>0</v>
      </c>
      <c r="M47" t="n">
        <v>0</v>
      </c>
      <c r="N47" t="n">
        <v>0</v>
      </c>
      <c r="O47" t="n">
        <v>1</v>
      </c>
      <c r="P47" t="n">
        <v>0</v>
      </c>
      <c r="Q47" t="n">
        <v>2</v>
      </c>
      <c r="R47" s="2" t="inlineStr">
        <is>
          <t>Svinrot
Grönvit nattviol</t>
        </is>
      </c>
      <c r="S47">
        <f>HYPERLINK("https://klasma.github.io/Logging_0580/artfynd/A 41751-2023 artfynd.xlsx", "A 41751-2023")</f>
        <v/>
      </c>
      <c r="T47">
        <f>HYPERLINK("https://klasma.github.io/Logging_0580/kartor/A 41751-2023 karta.png", "A 41751-2023")</f>
        <v/>
      </c>
      <c r="V47">
        <f>HYPERLINK("https://klasma.github.io/Logging_0580/klagomål/A 41751-2023 FSC-klagomål.docx", "A 41751-2023")</f>
        <v/>
      </c>
      <c r="W47">
        <f>HYPERLINK("https://klasma.github.io/Logging_0580/klagomålsmail/A 41751-2023 FSC-klagomål mail.docx", "A 41751-2023")</f>
        <v/>
      </c>
      <c r="X47">
        <f>HYPERLINK("https://klasma.github.io/Logging_0580/tillsyn/A 41751-2023 tillsynsbegäran.docx", "A 41751-2023")</f>
        <v/>
      </c>
      <c r="Y47">
        <f>HYPERLINK("https://klasma.github.io/Logging_0580/tillsynsmail/A 41751-2023 tillsynsbegäran mail.docx", "A 41751-2023")</f>
        <v/>
      </c>
    </row>
    <row r="48" ht="15" customHeight="1">
      <c r="A48" t="inlineStr">
        <is>
          <t>A 42858-2023</t>
        </is>
      </c>
      <c r="B48" s="1" t="n">
        <v>45177</v>
      </c>
      <c r="C48" s="1" t="n">
        <v>46170</v>
      </c>
      <c r="D48" t="inlineStr">
        <is>
          <t>ÖSTERGÖTLANDS LÄN</t>
        </is>
      </c>
      <c r="E48" t="inlineStr">
        <is>
          <t>LINKÖPING</t>
        </is>
      </c>
      <c r="G48" t="n">
        <v>5.3</v>
      </c>
      <c r="H48" t="n">
        <v>1</v>
      </c>
      <c r="I48" t="n">
        <v>0</v>
      </c>
      <c r="J48" t="n">
        <v>1</v>
      </c>
      <c r="K48" t="n">
        <v>0</v>
      </c>
      <c r="L48" t="n">
        <v>0</v>
      </c>
      <c r="M48" t="n">
        <v>0</v>
      </c>
      <c r="N48" t="n">
        <v>0</v>
      </c>
      <c r="O48" t="n">
        <v>1</v>
      </c>
      <c r="P48" t="n">
        <v>0</v>
      </c>
      <c r="Q48" t="n">
        <v>2</v>
      </c>
      <c r="R48" s="2" t="inlineStr">
        <is>
          <t>Svinrot
Skogsödla</t>
        </is>
      </c>
      <c r="S48">
        <f>HYPERLINK("https://klasma.github.io/Logging_0580/artfynd/A 42858-2023 artfynd.xlsx", "A 42858-2023")</f>
        <v/>
      </c>
      <c r="T48">
        <f>HYPERLINK("https://klasma.github.io/Logging_0580/kartor/A 42858-2023 karta.png", "A 42858-2023")</f>
        <v/>
      </c>
      <c r="V48">
        <f>HYPERLINK("https://klasma.github.io/Logging_0580/klagomål/A 42858-2023 FSC-klagomål.docx", "A 42858-2023")</f>
        <v/>
      </c>
      <c r="W48">
        <f>HYPERLINK("https://klasma.github.io/Logging_0580/klagomålsmail/A 42858-2023 FSC-klagomål mail.docx", "A 42858-2023")</f>
        <v/>
      </c>
      <c r="X48">
        <f>HYPERLINK("https://klasma.github.io/Logging_0580/tillsyn/A 42858-2023 tillsynsbegäran.docx", "A 42858-2023")</f>
        <v/>
      </c>
      <c r="Y48">
        <f>HYPERLINK("https://klasma.github.io/Logging_0580/tillsynsmail/A 42858-2023 tillsynsbegäran mail.docx", "A 42858-2023")</f>
        <v/>
      </c>
    </row>
    <row r="49" ht="15" customHeight="1">
      <c r="A49" t="inlineStr">
        <is>
          <t>A 55344-2024</t>
        </is>
      </c>
      <c r="B49" s="1" t="n">
        <v>45621.7202662037</v>
      </c>
      <c r="C49" s="1" t="n">
        <v>46170</v>
      </c>
      <c r="D49" t="inlineStr">
        <is>
          <t>ÖSTERGÖTLANDS LÄN</t>
        </is>
      </c>
      <c r="E49" t="inlineStr">
        <is>
          <t>LINKÖPING</t>
        </is>
      </c>
      <c r="G49" t="n">
        <v>6.6</v>
      </c>
      <c r="H49" t="n">
        <v>0</v>
      </c>
      <c r="I49" t="n">
        <v>0</v>
      </c>
      <c r="J49" t="n">
        <v>2</v>
      </c>
      <c r="K49" t="n">
        <v>0</v>
      </c>
      <c r="L49" t="n">
        <v>0</v>
      </c>
      <c r="M49" t="n">
        <v>0</v>
      </c>
      <c r="N49" t="n">
        <v>0</v>
      </c>
      <c r="O49" t="n">
        <v>2</v>
      </c>
      <c r="P49" t="n">
        <v>0</v>
      </c>
      <c r="Q49" t="n">
        <v>2</v>
      </c>
      <c r="R49" s="2" t="inlineStr">
        <is>
          <t>Kandelabersvamp
Stjärnnästing</t>
        </is>
      </c>
      <c r="S49">
        <f>HYPERLINK("https://klasma.github.io/Logging_0580/artfynd/A 55344-2024 artfynd.xlsx", "A 55344-2024")</f>
        <v/>
      </c>
      <c r="T49">
        <f>HYPERLINK("https://klasma.github.io/Logging_0580/kartor/A 55344-2024 karta.png", "A 55344-2024")</f>
        <v/>
      </c>
      <c r="V49">
        <f>HYPERLINK("https://klasma.github.io/Logging_0580/klagomål/A 55344-2024 FSC-klagomål.docx", "A 55344-2024")</f>
        <v/>
      </c>
      <c r="W49">
        <f>HYPERLINK("https://klasma.github.io/Logging_0580/klagomålsmail/A 55344-2024 FSC-klagomål mail.docx", "A 55344-2024")</f>
        <v/>
      </c>
      <c r="X49">
        <f>HYPERLINK("https://klasma.github.io/Logging_0580/tillsyn/A 55344-2024 tillsynsbegäran.docx", "A 55344-2024")</f>
        <v/>
      </c>
      <c r="Y49">
        <f>HYPERLINK("https://klasma.github.io/Logging_0580/tillsynsmail/A 55344-2024 tillsynsbegäran mail.docx", "A 55344-2024")</f>
        <v/>
      </c>
    </row>
    <row r="50" ht="15" customHeight="1">
      <c r="A50" t="inlineStr">
        <is>
          <t>A 21326-2025</t>
        </is>
      </c>
      <c r="B50" s="1" t="n">
        <v>45782.35407407407</v>
      </c>
      <c r="C50" s="1" t="n">
        <v>46170</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46170</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46170</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46170</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46170</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46170</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46170</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1716-2023</t>
        </is>
      </c>
      <c r="B57" s="1" t="n">
        <v>44938</v>
      </c>
      <c r="C57" s="1" t="n">
        <v>46170</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1716-2023 artfynd.xlsx", "A 1716-2023")</f>
        <v/>
      </c>
      <c r="T57">
        <f>HYPERLINK("https://klasma.github.io/Logging_0580/kartor/A 1716-2023 karta.png", "A 1716-2023")</f>
        <v/>
      </c>
      <c r="V57">
        <f>HYPERLINK("https://klasma.github.io/Logging_0580/klagomål/A 1716-2023 FSC-klagomål.docx", "A 1716-2023")</f>
        <v/>
      </c>
      <c r="W57">
        <f>HYPERLINK("https://klasma.github.io/Logging_0580/klagomålsmail/A 1716-2023 FSC-klagomål mail.docx", "A 1716-2023")</f>
        <v/>
      </c>
      <c r="X57">
        <f>HYPERLINK("https://klasma.github.io/Logging_0580/tillsyn/A 1716-2023 tillsynsbegäran.docx", "A 1716-2023")</f>
        <v/>
      </c>
      <c r="Y57">
        <f>HYPERLINK("https://klasma.github.io/Logging_0580/tillsynsmail/A 1716-2023 tillsynsbegäran mail.docx", "A 1716-2023")</f>
        <v/>
      </c>
    </row>
    <row r="58" ht="15" customHeight="1">
      <c r="A58" t="inlineStr">
        <is>
          <t>A 931-2025</t>
        </is>
      </c>
      <c r="B58" s="1" t="n">
        <v>45665.88498842593</v>
      </c>
      <c r="C58" s="1" t="n">
        <v>46170</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1213-2023</t>
        </is>
      </c>
      <c r="B59" s="1" t="n">
        <v>44930</v>
      </c>
      <c r="C59" s="1" t="n">
        <v>46170</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46170</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41749-2023</t>
        </is>
      </c>
      <c r="B61" s="1" t="n">
        <v>45176</v>
      </c>
      <c r="C61" s="1" t="n">
        <v>46170</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41749-2023 artfynd.xlsx", "A 41749-2023")</f>
        <v/>
      </c>
      <c r="T61">
        <f>HYPERLINK("https://klasma.github.io/Logging_0580/kartor/A 41749-2023 karta.png", "A 41749-2023")</f>
        <v/>
      </c>
      <c r="V61">
        <f>HYPERLINK("https://klasma.github.io/Logging_0580/klagomål/A 41749-2023 FSC-klagomål.docx", "A 41749-2023")</f>
        <v/>
      </c>
      <c r="W61">
        <f>HYPERLINK("https://klasma.github.io/Logging_0580/klagomålsmail/A 41749-2023 FSC-klagomål mail.docx", "A 41749-2023")</f>
        <v/>
      </c>
      <c r="X61">
        <f>HYPERLINK("https://klasma.github.io/Logging_0580/tillsyn/A 41749-2023 tillsynsbegäran.docx", "A 41749-2023")</f>
        <v/>
      </c>
      <c r="Y61">
        <f>HYPERLINK("https://klasma.github.io/Logging_0580/tillsynsmail/A 41749-2023 tillsynsbegäran mail.docx", "A 41749-2023")</f>
        <v/>
      </c>
    </row>
    <row r="62" ht="15" customHeight="1">
      <c r="A62" t="inlineStr">
        <is>
          <t>A 22526-2025</t>
        </is>
      </c>
      <c r="B62" s="1" t="n">
        <v>45786.78096064815</v>
      </c>
      <c r="C62" s="1" t="n">
        <v>46170</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59948-2022</t>
        </is>
      </c>
      <c r="B63" s="1" t="n">
        <v>44909</v>
      </c>
      <c r="C63" s="1" t="n">
        <v>46170</v>
      </c>
      <c r="D63" t="inlineStr">
        <is>
          <t>ÖSTERGÖTLANDS LÄN</t>
        </is>
      </c>
      <c r="E63" t="inlineStr">
        <is>
          <t>LINKÖPING</t>
        </is>
      </c>
      <c r="G63" t="n">
        <v>6.7</v>
      </c>
      <c r="H63" t="n">
        <v>0</v>
      </c>
      <c r="I63" t="n">
        <v>0</v>
      </c>
      <c r="J63" t="n">
        <v>0</v>
      </c>
      <c r="K63" t="n">
        <v>0</v>
      </c>
      <c r="L63" t="n">
        <v>0</v>
      </c>
      <c r="M63" t="n">
        <v>1</v>
      </c>
      <c r="N63" t="n">
        <v>0</v>
      </c>
      <c r="O63" t="n">
        <v>1</v>
      </c>
      <c r="P63" t="n">
        <v>1</v>
      </c>
      <c r="Q63" t="n">
        <v>1</v>
      </c>
      <c r="R63" s="2" t="inlineStr">
        <is>
          <t>Skogsalm</t>
        </is>
      </c>
      <c r="S63">
        <f>HYPERLINK("https://klasma.github.io/Logging_0580/artfynd/A 59948-2022 artfynd.xlsx", "A 59948-2022")</f>
        <v/>
      </c>
      <c r="T63">
        <f>HYPERLINK("https://klasma.github.io/Logging_0580/kartor/A 59948-2022 karta.png", "A 59948-2022")</f>
        <v/>
      </c>
      <c r="V63">
        <f>HYPERLINK("https://klasma.github.io/Logging_0580/klagomål/A 59948-2022 FSC-klagomål.docx", "A 59948-2022")</f>
        <v/>
      </c>
      <c r="W63">
        <f>HYPERLINK("https://klasma.github.io/Logging_0580/klagomålsmail/A 59948-2022 FSC-klagomål mail.docx", "A 59948-2022")</f>
        <v/>
      </c>
      <c r="X63">
        <f>HYPERLINK("https://klasma.github.io/Logging_0580/tillsyn/A 59948-2022 tillsynsbegäran.docx", "A 59948-2022")</f>
        <v/>
      </c>
      <c r="Y63">
        <f>HYPERLINK("https://klasma.github.io/Logging_0580/tillsynsmail/A 59948-2022 tillsynsbegäran mail.docx", "A 59948-2022")</f>
        <v/>
      </c>
    </row>
    <row r="64" ht="15" customHeight="1">
      <c r="A64" t="inlineStr">
        <is>
          <t>A 27403-2025</t>
        </is>
      </c>
      <c r="B64" s="1" t="n">
        <v>45812.72518518518</v>
      </c>
      <c r="C64" s="1" t="n">
        <v>46170</v>
      </c>
      <c r="D64" t="inlineStr">
        <is>
          <t>ÖSTERGÖTLANDS LÄN</t>
        </is>
      </c>
      <c r="E64" t="inlineStr">
        <is>
          <t>LINKÖPING</t>
        </is>
      </c>
      <c r="G64" t="n">
        <v>1.4</v>
      </c>
      <c r="H64" t="n">
        <v>0</v>
      </c>
      <c r="I64" t="n">
        <v>0</v>
      </c>
      <c r="J64" t="n">
        <v>1</v>
      </c>
      <c r="K64" t="n">
        <v>0</v>
      </c>
      <c r="L64" t="n">
        <v>0</v>
      </c>
      <c r="M64" t="n">
        <v>0</v>
      </c>
      <c r="N64" t="n">
        <v>0</v>
      </c>
      <c r="O64" t="n">
        <v>1</v>
      </c>
      <c r="P64" t="n">
        <v>0</v>
      </c>
      <c r="Q64" t="n">
        <v>1</v>
      </c>
      <c r="R64" s="2" t="inlineStr">
        <is>
          <t>Tallticka</t>
        </is>
      </c>
      <c r="S64">
        <f>HYPERLINK("https://klasma.github.io/Logging_0580/artfynd/A 27403-2025 artfynd.xlsx", "A 27403-2025")</f>
        <v/>
      </c>
      <c r="T64">
        <f>HYPERLINK("https://klasma.github.io/Logging_0580/kartor/A 27403-2025 karta.png", "A 27403-2025")</f>
        <v/>
      </c>
      <c r="V64">
        <f>HYPERLINK("https://klasma.github.io/Logging_0580/klagomål/A 27403-2025 FSC-klagomål.docx", "A 27403-2025")</f>
        <v/>
      </c>
      <c r="W64">
        <f>HYPERLINK("https://klasma.github.io/Logging_0580/klagomålsmail/A 27403-2025 FSC-klagomål mail.docx", "A 27403-2025")</f>
        <v/>
      </c>
      <c r="X64">
        <f>HYPERLINK("https://klasma.github.io/Logging_0580/tillsyn/A 27403-2025 tillsynsbegäran.docx", "A 27403-2025")</f>
        <v/>
      </c>
      <c r="Y64">
        <f>HYPERLINK("https://klasma.github.io/Logging_0580/tillsynsmail/A 27403-2025 tillsynsbegäran mail.docx", "A 27403-2025")</f>
        <v/>
      </c>
    </row>
    <row r="65" ht="15" customHeight="1">
      <c r="A65" t="inlineStr">
        <is>
          <t>A 43989-2025</t>
        </is>
      </c>
      <c r="B65" s="1" t="n">
        <v>45915.44128472222</v>
      </c>
      <c r="C65" s="1" t="n">
        <v>46170</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46170</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29393-2025</t>
        </is>
      </c>
      <c r="B67" s="1" t="n">
        <v>45824.6057175926</v>
      </c>
      <c r="C67" s="1" t="n">
        <v>46170</v>
      </c>
      <c r="D67" t="inlineStr">
        <is>
          <t>ÖSTERGÖTLANDS LÄN</t>
        </is>
      </c>
      <c r="E67" t="inlineStr">
        <is>
          <t>LINKÖPING</t>
        </is>
      </c>
      <c r="F67" t="inlineStr">
        <is>
          <t>Sveaskog</t>
        </is>
      </c>
      <c r="G67" t="n">
        <v>24.6</v>
      </c>
      <c r="H67" t="n">
        <v>1</v>
      </c>
      <c r="I67" t="n">
        <v>0</v>
      </c>
      <c r="J67" t="n">
        <v>0</v>
      </c>
      <c r="K67" t="n">
        <v>1</v>
      </c>
      <c r="L67" t="n">
        <v>0</v>
      </c>
      <c r="M67" t="n">
        <v>0</v>
      </c>
      <c r="N67" t="n">
        <v>0</v>
      </c>
      <c r="O67" t="n">
        <v>1</v>
      </c>
      <c r="P67" t="n">
        <v>1</v>
      </c>
      <c r="Q67" t="n">
        <v>1</v>
      </c>
      <c r="R67" s="2" t="inlineStr">
        <is>
          <t>Skogsgås</t>
        </is>
      </c>
      <c r="S67">
        <f>HYPERLINK("https://klasma.github.io/Logging_0580/artfynd/A 29393-2025 artfynd.xlsx", "A 29393-2025")</f>
        <v/>
      </c>
      <c r="T67">
        <f>HYPERLINK("https://klasma.github.io/Logging_0580/kartor/A 29393-2025 karta.png", "A 29393-2025")</f>
        <v/>
      </c>
      <c r="V67">
        <f>HYPERLINK("https://klasma.github.io/Logging_0580/klagomål/A 29393-2025 FSC-klagomål.docx", "A 29393-2025")</f>
        <v/>
      </c>
      <c r="W67">
        <f>HYPERLINK("https://klasma.github.io/Logging_0580/klagomålsmail/A 29393-2025 FSC-klagomål mail.docx", "A 29393-2025")</f>
        <v/>
      </c>
      <c r="X67">
        <f>HYPERLINK("https://klasma.github.io/Logging_0580/tillsyn/A 29393-2025 tillsynsbegäran.docx", "A 29393-2025")</f>
        <v/>
      </c>
      <c r="Y67">
        <f>HYPERLINK("https://klasma.github.io/Logging_0580/tillsynsmail/A 29393-2025 tillsynsbegäran mail.docx", "A 29393-2025")</f>
        <v/>
      </c>
      <c r="Z67">
        <f>HYPERLINK("https://klasma.github.io/Logging_0580/fåglar/A 29393-2025 prioriterade fågelarter.docx", "A 29393-2025")</f>
        <v/>
      </c>
    </row>
    <row r="68" ht="15" customHeight="1">
      <c r="A68" t="inlineStr">
        <is>
          <t>A 37683-2024</t>
        </is>
      </c>
      <c r="B68" s="1" t="n">
        <v>45541.59120370371</v>
      </c>
      <c r="C68" s="1" t="n">
        <v>46170</v>
      </c>
      <c r="D68" t="inlineStr">
        <is>
          <t>ÖSTERGÖTLANDS LÄN</t>
        </is>
      </c>
      <c r="E68" t="inlineStr">
        <is>
          <t>LINKÖPING</t>
        </is>
      </c>
      <c r="G68" t="n">
        <v>0.6</v>
      </c>
      <c r="H68" t="n">
        <v>0</v>
      </c>
      <c r="I68" t="n">
        <v>1</v>
      </c>
      <c r="J68" t="n">
        <v>0</v>
      </c>
      <c r="K68" t="n">
        <v>0</v>
      </c>
      <c r="L68" t="n">
        <v>0</v>
      </c>
      <c r="M68" t="n">
        <v>0</v>
      </c>
      <c r="N68" t="n">
        <v>0</v>
      </c>
      <c r="O68" t="n">
        <v>0</v>
      </c>
      <c r="P68" t="n">
        <v>0</v>
      </c>
      <c r="Q68" t="n">
        <v>1</v>
      </c>
      <c r="R68" s="2" t="inlineStr">
        <is>
          <t>Tibast</t>
        </is>
      </c>
      <c r="S68">
        <f>HYPERLINK("https://klasma.github.io/Logging_0580/artfynd/A 37683-2024 artfynd.xlsx", "A 37683-2024")</f>
        <v/>
      </c>
      <c r="T68">
        <f>HYPERLINK("https://klasma.github.io/Logging_0580/kartor/A 37683-2024 karta.png", "A 37683-2024")</f>
        <v/>
      </c>
      <c r="V68">
        <f>HYPERLINK("https://klasma.github.io/Logging_0580/klagomål/A 37683-2024 FSC-klagomål.docx", "A 37683-2024")</f>
        <v/>
      </c>
      <c r="W68">
        <f>HYPERLINK("https://klasma.github.io/Logging_0580/klagomålsmail/A 37683-2024 FSC-klagomål mail.docx", "A 37683-2024")</f>
        <v/>
      </c>
      <c r="X68">
        <f>HYPERLINK("https://klasma.github.io/Logging_0580/tillsyn/A 37683-2024 tillsynsbegäran.docx", "A 37683-2024")</f>
        <v/>
      </c>
      <c r="Y68">
        <f>HYPERLINK("https://klasma.github.io/Logging_0580/tillsynsmail/A 37683-2024 tillsynsbegäran mail.docx", "A 37683-2024")</f>
        <v/>
      </c>
    </row>
    <row r="69" ht="15" customHeight="1">
      <c r="A69" t="inlineStr">
        <is>
          <t>A 56112-2025</t>
        </is>
      </c>
      <c r="B69" s="1" t="n">
        <v>45973.73625</v>
      </c>
      <c r="C69" s="1" t="n">
        <v>46170</v>
      </c>
      <c r="D69" t="inlineStr">
        <is>
          <t>ÖSTERGÖTLANDS LÄN</t>
        </is>
      </c>
      <c r="E69" t="inlineStr">
        <is>
          <t>LINKÖPING</t>
        </is>
      </c>
      <c r="G69" t="n">
        <v>0.6</v>
      </c>
      <c r="H69" t="n">
        <v>0</v>
      </c>
      <c r="I69" t="n">
        <v>0</v>
      </c>
      <c r="J69" t="n">
        <v>1</v>
      </c>
      <c r="K69" t="n">
        <v>0</v>
      </c>
      <c r="L69" t="n">
        <v>0</v>
      </c>
      <c r="M69" t="n">
        <v>0</v>
      </c>
      <c r="N69" t="n">
        <v>0</v>
      </c>
      <c r="O69" t="n">
        <v>1</v>
      </c>
      <c r="P69" t="n">
        <v>0</v>
      </c>
      <c r="Q69" t="n">
        <v>1</v>
      </c>
      <c r="R69" s="2" t="inlineStr">
        <is>
          <t>Solvända</t>
        </is>
      </c>
      <c r="S69">
        <f>HYPERLINK("https://klasma.github.io/Logging_0580/artfynd/A 56112-2025 artfynd.xlsx", "A 56112-2025")</f>
        <v/>
      </c>
      <c r="T69">
        <f>HYPERLINK("https://klasma.github.io/Logging_0580/kartor/A 56112-2025 karta.png", "A 56112-2025")</f>
        <v/>
      </c>
      <c r="V69">
        <f>HYPERLINK("https://klasma.github.io/Logging_0580/klagomål/A 56112-2025 FSC-klagomål.docx", "A 56112-2025")</f>
        <v/>
      </c>
      <c r="W69">
        <f>HYPERLINK("https://klasma.github.io/Logging_0580/klagomålsmail/A 56112-2025 FSC-klagomål mail.docx", "A 56112-2025")</f>
        <v/>
      </c>
      <c r="X69">
        <f>HYPERLINK("https://klasma.github.io/Logging_0580/tillsyn/A 56112-2025 tillsynsbegäran.docx", "A 56112-2025")</f>
        <v/>
      </c>
      <c r="Y69">
        <f>HYPERLINK("https://klasma.github.io/Logging_0580/tillsynsmail/A 56112-2025 tillsynsbegäran mail.docx", "A 56112-2025")</f>
        <v/>
      </c>
    </row>
    <row r="70" ht="15" customHeight="1">
      <c r="A70" t="inlineStr">
        <is>
          <t>A 48347-2025</t>
        </is>
      </c>
      <c r="B70" s="1" t="n">
        <v>45932</v>
      </c>
      <c r="C70" s="1" t="n">
        <v>46170</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48353-2025</t>
        </is>
      </c>
      <c r="B71" s="1" t="n">
        <v>45932</v>
      </c>
      <c r="C71" s="1" t="n">
        <v>46170</v>
      </c>
      <c r="D71" t="inlineStr">
        <is>
          <t>ÖSTERGÖTLANDS LÄN</t>
        </is>
      </c>
      <c r="E71" t="inlineStr">
        <is>
          <t>LINKÖPING</t>
        </is>
      </c>
      <c r="F71" t="inlineStr">
        <is>
          <t>Övriga Aktiebolag</t>
        </is>
      </c>
      <c r="G71" t="n">
        <v>4.5</v>
      </c>
      <c r="H71" t="n">
        <v>1</v>
      </c>
      <c r="I71" t="n">
        <v>0</v>
      </c>
      <c r="J71" t="n">
        <v>1</v>
      </c>
      <c r="K71" t="n">
        <v>0</v>
      </c>
      <c r="L71" t="n">
        <v>0</v>
      </c>
      <c r="M71" t="n">
        <v>0</v>
      </c>
      <c r="N71" t="n">
        <v>0</v>
      </c>
      <c r="O71" t="n">
        <v>1</v>
      </c>
      <c r="P71" t="n">
        <v>0</v>
      </c>
      <c r="Q71" t="n">
        <v>1</v>
      </c>
      <c r="R71" s="2" t="inlineStr">
        <is>
          <t>Entita</t>
        </is>
      </c>
      <c r="S71">
        <f>HYPERLINK("https://klasma.github.io/Logging_0580/artfynd/A 48353-2025 artfynd.xlsx", "A 48353-2025")</f>
        <v/>
      </c>
      <c r="T71">
        <f>HYPERLINK("https://klasma.github.io/Logging_0580/kartor/A 48353-2025 karta.png", "A 48353-2025")</f>
        <v/>
      </c>
      <c r="V71">
        <f>HYPERLINK("https://klasma.github.io/Logging_0580/klagomål/A 48353-2025 FSC-klagomål.docx", "A 48353-2025")</f>
        <v/>
      </c>
      <c r="W71">
        <f>HYPERLINK("https://klasma.github.io/Logging_0580/klagomålsmail/A 48353-2025 FSC-klagomål mail.docx", "A 48353-2025")</f>
        <v/>
      </c>
      <c r="X71">
        <f>HYPERLINK("https://klasma.github.io/Logging_0580/tillsyn/A 48353-2025 tillsynsbegäran.docx", "A 48353-2025")</f>
        <v/>
      </c>
      <c r="Y71">
        <f>HYPERLINK("https://klasma.github.io/Logging_0580/tillsynsmail/A 48353-2025 tillsynsbegäran mail.docx", "A 48353-2025")</f>
        <v/>
      </c>
      <c r="Z71">
        <f>HYPERLINK("https://klasma.github.io/Logging_0580/fåglar/A 48353-2025 prioriterade fågelarter.docx", "A 48353-2025")</f>
        <v/>
      </c>
    </row>
    <row r="72" ht="15" customHeight="1">
      <c r="A72" t="inlineStr">
        <is>
          <t>A 48273-2025</t>
        </is>
      </c>
      <c r="B72" s="1" t="n">
        <v>45932</v>
      </c>
      <c r="C72" s="1" t="n">
        <v>46170</v>
      </c>
      <c r="D72" t="inlineStr">
        <is>
          <t>ÖSTERGÖTLANDS LÄN</t>
        </is>
      </c>
      <c r="E72" t="inlineStr">
        <is>
          <t>LINKÖPING</t>
        </is>
      </c>
      <c r="F72" t="inlineStr">
        <is>
          <t>Övriga Aktiebolag</t>
        </is>
      </c>
      <c r="G72" t="n">
        <v>4.6</v>
      </c>
      <c r="H72" t="n">
        <v>0</v>
      </c>
      <c r="I72" t="n">
        <v>0</v>
      </c>
      <c r="J72" t="n">
        <v>1</v>
      </c>
      <c r="K72" t="n">
        <v>0</v>
      </c>
      <c r="L72" t="n">
        <v>0</v>
      </c>
      <c r="M72" t="n">
        <v>0</v>
      </c>
      <c r="N72" t="n">
        <v>0</v>
      </c>
      <c r="O72" t="n">
        <v>1</v>
      </c>
      <c r="P72" t="n">
        <v>0</v>
      </c>
      <c r="Q72" t="n">
        <v>1</v>
      </c>
      <c r="R72" s="2" t="inlineStr">
        <is>
          <t>Barrviolspindling</t>
        </is>
      </c>
      <c r="S72">
        <f>HYPERLINK("https://klasma.github.io/Logging_0580/artfynd/A 48273-2025 artfynd.xlsx", "A 48273-2025")</f>
        <v/>
      </c>
      <c r="T72">
        <f>HYPERLINK("https://klasma.github.io/Logging_0580/kartor/A 48273-2025 karta.png", "A 48273-2025")</f>
        <v/>
      </c>
      <c r="V72">
        <f>HYPERLINK("https://klasma.github.io/Logging_0580/klagomål/A 48273-2025 FSC-klagomål.docx", "A 48273-2025")</f>
        <v/>
      </c>
      <c r="W72">
        <f>HYPERLINK("https://klasma.github.io/Logging_0580/klagomålsmail/A 48273-2025 FSC-klagomål mail.docx", "A 48273-2025")</f>
        <v/>
      </c>
      <c r="X72">
        <f>HYPERLINK("https://klasma.github.io/Logging_0580/tillsyn/A 48273-2025 tillsynsbegäran.docx", "A 48273-2025")</f>
        <v/>
      </c>
      <c r="Y72">
        <f>HYPERLINK("https://klasma.github.io/Logging_0580/tillsynsmail/A 48273-2025 tillsynsbegäran mail.docx", "A 48273-2025")</f>
        <v/>
      </c>
    </row>
    <row r="73" ht="15" customHeight="1">
      <c r="A73" t="inlineStr">
        <is>
          <t>A 48298-2025</t>
        </is>
      </c>
      <c r="B73" s="1" t="n">
        <v>45932</v>
      </c>
      <c r="C73" s="1" t="n">
        <v>46170</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56651-2023</t>
        </is>
      </c>
      <c r="B74" s="1" t="n">
        <v>45243</v>
      </c>
      <c r="C74" s="1" t="n">
        <v>46170</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36723-2023</t>
        </is>
      </c>
      <c r="B75" s="1" t="n">
        <v>45153</v>
      </c>
      <c r="C75" s="1" t="n">
        <v>46170</v>
      </c>
      <c r="D75" t="inlineStr">
        <is>
          <t>ÖSTERGÖTLANDS LÄN</t>
        </is>
      </c>
      <c r="E75" t="inlineStr">
        <is>
          <t>LINKÖPING</t>
        </is>
      </c>
      <c r="F75" t="inlineStr">
        <is>
          <t>Allmännings- och besparingsskogar</t>
        </is>
      </c>
      <c r="G75" t="n">
        <v>9.9</v>
      </c>
      <c r="H75" t="n">
        <v>0</v>
      </c>
      <c r="I75" t="n">
        <v>0</v>
      </c>
      <c r="J75" t="n">
        <v>0</v>
      </c>
      <c r="K75" t="n">
        <v>1</v>
      </c>
      <c r="L75" t="n">
        <v>0</v>
      </c>
      <c r="M75" t="n">
        <v>0</v>
      </c>
      <c r="N75" t="n">
        <v>0</v>
      </c>
      <c r="O75" t="n">
        <v>1</v>
      </c>
      <c r="P75" t="n">
        <v>1</v>
      </c>
      <c r="Q75" t="n">
        <v>1</v>
      </c>
      <c r="R75" s="2" t="inlineStr">
        <is>
          <t>Bitter taggsvamp</t>
        </is>
      </c>
      <c r="S75">
        <f>HYPERLINK("https://klasma.github.io/Logging_0580/artfynd/A 36723-2023 artfynd.xlsx", "A 36723-2023")</f>
        <v/>
      </c>
      <c r="T75">
        <f>HYPERLINK("https://klasma.github.io/Logging_0580/kartor/A 36723-2023 karta.png", "A 36723-2023")</f>
        <v/>
      </c>
      <c r="V75">
        <f>HYPERLINK("https://klasma.github.io/Logging_0580/klagomål/A 36723-2023 FSC-klagomål.docx", "A 36723-2023")</f>
        <v/>
      </c>
      <c r="W75">
        <f>HYPERLINK("https://klasma.github.io/Logging_0580/klagomålsmail/A 36723-2023 FSC-klagomål mail.docx", "A 36723-2023")</f>
        <v/>
      </c>
      <c r="X75">
        <f>HYPERLINK("https://klasma.github.io/Logging_0580/tillsyn/A 36723-2023 tillsynsbegäran.docx", "A 36723-2023")</f>
        <v/>
      </c>
      <c r="Y75">
        <f>HYPERLINK("https://klasma.github.io/Logging_0580/tillsynsmail/A 36723-2023 tillsynsbegäran mail.docx", "A 36723-2023")</f>
        <v/>
      </c>
    </row>
    <row r="76" ht="15" customHeight="1">
      <c r="A76" t="inlineStr">
        <is>
          <t>A 50034-2025</t>
        </is>
      </c>
      <c r="B76" s="1" t="n">
        <v>45941</v>
      </c>
      <c r="C76" s="1" t="n">
        <v>46170</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17444-2025</t>
        </is>
      </c>
      <c r="B77" s="1" t="n">
        <v>45757.43452546297</v>
      </c>
      <c r="C77" s="1" t="n">
        <v>46170</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42054-2022</t>
        </is>
      </c>
      <c r="B78" s="1" t="n">
        <v>44830</v>
      </c>
      <c r="C78" s="1" t="n">
        <v>46170</v>
      </c>
      <c r="D78" t="inlineStr">
        <is>
          <t>ÖSTERGÖTLANDS LÄN</t>
        </is>
      </c>
      <c r="E78" t="inlineStr">
        <is>
          <t>LINKÖPING</t>
        </is>
      </c>
      <c r="G78" t="n">
        <v>1.7</v>
      </c>
      <c r="H78" t="n">
        <v>0</v>
      </c>
      <c r="I78" t="n">
        <v>0</v>
      </c>
      <c r="J78" t="n">
        <v>1</v>
      </c>
      <c r="K78" t="n">
        <v>0</v>
      </c>
      <c r="L78" t="n">
        <v>0</v>
      </c>
      <c r="M78" t="n">
        <v>0</v>
      </c>
      <c r="N78" t="n">
        <v>0</v>
      </c>
      <c r="O78" t="n">
        <v>1</v>
      </c>
      <c r="P78" t="n">
        <v>0</v>
      </c>
      <c r="Q78" t="n">
        <v>1</v>
      </c>
      <c r="R78" s="2" t="inlineStr">
        <is>
          <t>Tallticka</t>
        </is>
      </c>
      <c r="S78">
        <f>HYPERLINK("https://klasma.github.io/Logging_0580/artfynd/A 42054-2022 artfynd.xlsx", "A 42054-2022")</f>
        <v/>
      </c>
      <c r="T78">
        <f>HYPERLINK("https://klasma.github.io/Logging_0580/kartor/A 42054-2022 karta.png", "A 42054-2022")</f>
        <v/>
      </c>
      <c r="V78">
        <f>HYPERLINK("https://klasma.github.io/Logging_0580/klagomål/A 42054-2022 FSC-klagomål.docx", "A 42054-2022")</f>
        <v/>
      </c>
      <c r="W78">
        <f>HYPERLINK("https://klasma.github.io/Logging_0580/klagomålsmail/A 42054-2022 FSC-klagomål mail.docx", "A 42054-2022")</f>
        <v/>
      </c>
      <c r="X78">
        <f>HYPERLINK("https://klasma.github.io/Logging_0580/tillsyn/A 42054-2022 tillsynsbegäran.docx", "A 42054-2022")</f>
        <v/>
      </c>
      <c r="Y78">
        <f>HYPERLINK("https://klasma.github.io/Logging_0580/tillsynsmail/A 42054-2022 tillsynsbegäran mail.docx", "A 42054-2022")</f>
        <v/>
      </c>
    </row>
    <row r="79" ht="15" customHeight="1">
      <c r="A79" t="inlineStr">
        <is>
          <t>A 5911-2022</t>
        </is>
      </c>
      <c r="B79" s="1" t="n">
        <v>44597</v>
      </c>
      <c r="C79" s="1" t="n">
        <v>46170</v>
      </c>
      <c r="D79" t="inlineStr">
        <is>
          <t>ÖSTERGÖTLANDS LÄN</t>
        </is>
      </c>
      <c r="E79" t="inlineStr">
        <is>
          <t>LINKÖPING</t>
        </is>
      </c>
      <c r="G79" t="n">
        <v>3.5</v>
      </c>
      <c r="H79" t="n">
        <v>0</v>
      </c>
      <c r="I79" t="n">
        <v>0</v>
      </c>
      <c r="J79" t="n">
        <v>1</v>
      </c>
      <c r="K79" t="n">
        <v>0</v>
      </c>
      <c r="L79" t="n">
        <v>0</v>
      </c>
      <c r="M79" t="n">
        <v>0</v>
      </c>
      <c r="N79" t="n">
        <v>0</v>
      </c>
      <c r="O79" t="n">
        <v>1</v>
      </c>
      <c r="P79" t="n">
        <v>0</v>
      </c>
      <c r="Q79" t="n">
        <v>1</v>
      </c>
      <c r="R79" s="2" t="inlineStr">
        <is>
          <t>Spindelört</t>
        </is>
      </c>
      <c r="S79">
        <f>HYPERLINK("https://klasma.github.io/Logging_0580/artfynd/A 5911-2022 artfynd.xlsx", "A 5911-2022")</f>
        <v/>
      </c>
      <c r="T79">
        <f>HYPERLINK("https://klasma.github.io/Logging_0580/kartor/A 5911-2022 karta.png", "A 5911-2022")</f>
        <v/>
      </c>
      <c r="V79">
        <f>HYPERLINK("https://klasma.github.io/Logging_0580/klagomål/A 5911-2022 FSC-klagomål.docx", "A 5911-2022")</f>
        <v/>
      </c>
      <c r="W79">
        <f>HYPERLINK("https://klasma.github.io/Logging_0580/klagomålsmail/A 5911-2022 FSC-klagomål mail.docx", "A 5911-2022")</f>
        <v/>
      </c>
      <c r="X79">
        <f>HYPERLINK("https://klasma.github.io/Logging_0580/tillsyn/A 5911-2022 tillsynsbegäran.docx", "A 5911-2022")</f>
        <v/>
      </c>
      <c r="Y79">
        <f>HYPERLINK("https://klasma.github.io/Logging_0580/tillsynsmail/A 5911-2022 tillsynsbegäran mail.docx", "A 5911-2022")</f>
        <v/>
      </c>
    </row>
    <row r="80" ht="15" customHeight="1">
      <c r="A80" t="inlineStr">
        <is>
          <t>A 90-2024</t>
        </is>
      </c>
      <c r="B80" s="1" t="n">
        <v>45293</v>
      </c>
      <c r="C80" s="1" t="n">
        <v>46170</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40315-2024</t>
        </is>
      </c>
      <c r="B81" s="1" t="n">
        <v>45554.7571875</v>
      </c>
      <c r="C81" s="1" t="n">
        <v>46170</v>
      </c>
      <c r="D81" t="inlineStr">
        <is>
          <t>ÖSTERGÖTLANDS LÄN</t>
        </is>
      </c>
      <c r="E81" t="inlineStr">
        <is>
          <t>LINKÖPING</t>
        </is>
      </c>
      <c r="F81" t="inlineStr">
        <is>
          <t>Allmännings- och besparingsskogar</t>
        </is>
      </c>
      <c r="G81" t="n">
        <v>15.8</v>
      </c>
      <c r="H81" t="n">
        <v>0</v>
      </c>
      <c r="I81" t="n">
        <v>0</v>
      </c>
      <c r="J81" t="n">
        <v>0</v>
      </c>
      <c r="K81" t="n">
        <v>0</v>
      </c>
      <c r="L81" t="n">
        <v>0</v>
      </c>
      <c r="M81" t="n">
        <v>1</v>
      </c>
      <c r="N81" t="n">
        <v>0</v>
      </c>
      <c r="O81" t="n">
        <v>1</v>
      </c>
      <c r="P81" t="n">
        <v>1</v>
      </c>
      <c r="Q81" t="n">
        <v>1</v>
      </c>
      <c r="R81" s="2" t="inlineStr">
        <is>
          <t>Skogsalm</t>
        </is>
      </c>
      <c r="S81">
        <f>HYPERLINK("https://klasma.github.io/Logging_0580/artfynd/A 40315-2024 artfynd.xlsx", "A 40315-2024")</f>
        <v/>
      </c>
      <c r="T81">
        <f>HYPERLINK("https://klasma.github.io/Logging_0580/kartor/A 40315-2024 karta.png", "A 40315-2024")</f>
        <v/>
      </c>
      <c r="V81">
        <f>HYPERLINK("https://klasma.github.io/Logging_0580/klagomål/A 40315-2024 FSC-klagomål.docx", "A 40315-2024")</f>
        <v/>
      </c>
      <c r="W81">
        <f>HYPERLINK("https://klasma.github.io/Logging_0580/klagomålsmail/A 40315-2024 FSC-klagomål mail.docx", "A 40315-2024")</f>
        <v/>
      </c>
      <c r="X81">
        <f>HYPERLINK("https://klasma.github.io/Logging_0580/tillsyn/A 40315-2024 tillsynsbegäran.docx", "A 40315-2024")</f>
        <v/>
      </c>
      <c r="Y81">
        <f>HYPERLINK("https://klasma.github.io/Logging_0580/tillsynsmail/A 40315-2024 tillsynsbegäran mail.docx", "A 40315-2024")</f>
        <v/>
      </c>
    </row>
    <row r="82" ht="15" customHeight="1">
      <c r="A82" t="inlineStr">
        <is>
          <t>A 59474-2025</t>
        </is>
      </c>
      <c r="B82" s="1" t="n">
        <v>45989.58512731481</v>
      </c>
      <c r="C82" s="1" t="n">
        <v>46170</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60311-2025</t>
        </is>
      </c>
      <c r="B83" s="1" t="n">
        <v>45994</v>
      </c>
      <c r="C83" s="1" t="n">
        <v>46170</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15290-2025</t>
        </is>
      </c>
      <c r="B84" s="1" t="n">
        <v>45745.45288194445</v>
      </c>
      <c r="C84" s="1" t="n">
        <v>46170</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34881-2023</t>
        </is>
      </c>
      <c r="B85" s="1" t="n">
        <v>45140</v>
      </c>
      <c r="C85" s="1" t="n">
        <v>46170</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Tallticka</t>
        </is>
      </c>
      <c r="S85">
        <f>HYPERLINK("https://klasma.github.io/Logging_0580/artfynd/A 34881-2023 artfynd.xlsx", "A 34881-2023")</f>
        <v/>
      </c>
      <c r="T85">
        <f>HYPERLINK("https://klasma.github.io/Logging_0580/kartor/A 34881-2023 karta.png", "A 34881-2023")</f>
        <v/>
      </c>
      <c r="U85">
        <f>HYPERLINK("https://klasma.github.io/Logging_0580/knärot/A 34881-2023 karta knärot.png", "A 34881-2023")</f>
        <v/>
      </c>
      <c r="V85">
        <f>HYPERLINK("https://klasma.github.io/Logging_0580/klagomål/A 34881-2023 FSC-klagomål.docx", "A 34881-2023")</f>
        <v/>
      </c>
      <c r="W85">
        <f>HYPERLINK("https://klasma.github.io/Logging_0580/klagomålsmail/A 34881-2023 FSC-klagomål mail.docx", "A 34881-2023")</f>
        <v/>
      </c>
      <c r="X85">
        <f>HYPERLINK("https://klasma.github.io/Logging_0580/tillsyn/A 34881-2023 tillsynsbegäran.docx", "A 34881-2023")</f>
        <v/>
      </c>
      <c r="Y85">
        <f>HYPERLINK("https://klasma.github.io/Logging_0580/tillsynsmail/A 34881-2023 tillsynsbegäran mail.docx", "A 34881-2023")</f>
        <v/>
      </c>
    </row>
    <row r="86" ht="15" customHeight="1">
      <c r="A86" t="inlineStr">
        <is>
          <t>A 50471-2024</t>
        </is>
      </c>
      <c r="B86" s="1" t="n">
        <v>45601.47166666666</v>
      </c>
      <c r="C86" s="1" t="n">
        <v>46170</v>
      </c>
      <c r="D86" t="inlineStr">
        <is>
          <t>ÖSTERGÖTLANDS LÄN</t>
        </is>
      </c>
      <c r="E86" t="inlineStr">
        <is>
          <t>LINKÖPING</t>
        </is>
      </c>
      <c r="F86" t="inlineStr">
        <is>
          <t>Övriga Aktiebolag</t>
        </is>
      </c>
      <c r="G86" t="n">
        <v>2</v>
      </c>
      <c r="H86" t="n">
        <v>0</v>
      </c>
      <c r="I86" t="n">
        <v>1</v>
      </c>
      <c r="J86" t="n">
        <v>0</v>
      </c>
      <c r="K86" t="n">
        <v>0</v>
      </c>
      <c r="L86" t="n">
        <v>0</v>
      </c>
      <c r="M86" t="n">
        <v>0</v>
      </c>
      <c r="N86" t="n">
        <v>0</v>
      </c>
      <c r="O86" t="n">
        <v>0</v>
      </c>
      <c r="P86" t="n">
        <v>0</v>
      </c>
      <c r="Q86" t="n">
        <v>1</v>
      </c>
      <c r="R86" s="2" t="inlineStr">
        <is>
          <t>Västlig hakmossa</t>
        </is>
      </c>
      <c r="S86">
        <f>HYPERLINK("https://klasma.github.io/Logging_0580/artfynd/A 50471-2024 artfynd.xlsx", "A 50471-2024")</f>
        <v/>
      </c>
      <c r="T86">
        <f>HYPERLINK("https://klasma.github.io/Logging_0580/kartor/A 50471-2024 karta.png", "A 50471-2024")</f>
        <v/>
      </c>
      <c r="V86">
        <f>HYPERLINK("https://klasma.github.io/Logging_0580/klagomål/A 50471-2024 FSC-klagomål.docx", "A 50471-2024")</f>
        <v/>
      </c>
      <c r="W86">
        <f>HYPERLINK("https://klasma.github.io/Logging_0580/klagomålsmail/A 50471-2024 FSC-klagomål mail.docx", "A 50471-2024")</f>
        <v/>
      </c>
      <c r="X86">
        <f>HYPERLINK("https://klasma.github.io/Logging_0580/tillsyn/A 50471-2024 tillsynsbegäran.docx", "A 50471-2024")</f>
        <v/>
      </c>
      <c r="Y86">
        <f>HYPERLINK("https://klasma.github.io/Logging_0580/tillsynsmail/A 50471-2024 tillsynsbegäran mail.docx", "A 50471-2024")</f>
        <v/>
      </c>
    </row>
    <row r="87" ht="15" customHeight="1">
      <c r="A87" t="inlineStr">
        <is>
          <t>A 56128-2022</t>
        </is>
      </c>
      <c r="B87" s="1" t="n">
        <v>44889</v>
      </c>
      <c r="C87" s="1" t="n">
        <v>46170</v>
      </c>
      <c r="D87" t="inlineStr">
        <is>
          <t>ÖSTERGÖTLANDS LÄN</t>
        </is>
      </c>
      <c r="E87" t="inlineStr">
        <is>
          <t>LINKÖPING</t>
        </is>
      </c>
      <c r="G87" t="n">
        <v>2</v>
      </c>
      <c r="H87" t="n">
        <v>0</v>
      </c>
      <c r="I87" t="n">
        <v>1</v>
      </c>
      <c r="J87" t="n">
        <v>0</v>
      </c>
      <c r="K87" t="n">
        <v>0</v>
      </c>
      <c r="L87" t="n">
        <v>0</v>
      </c>
      <c r="M87" t="n">
        <v>0</v>
      </c>
      <c r="N87" t="n">
        <v>0</v>
      </c>
      <c r="O87" t="n">
        <v>0</v>
      </c>
      <c r="P87" t="n">
        <v>0</v>
      </c>
      <c r="Q87" t="n">
        <v>1</v>
      </c>
      <c r="R87" s="2" t="inlineStr">
        <is>
          <t>Tibast</t>
        </is>
      </c>
      <c r="S87">
        <f>HYPERLINK("https://klasma.github.io/Logging_0580/artfynd/A 56128-2022 artfynd.xlsx", "A 56128-2022")</f>
        <v/>
      </c>
      <c r="T87">
        <f>HYPERLINK("https://klasma.github.io/Logging_0580/kartor/A 56128-2022 karta.png", "A 56128-2022")</f>
        <v/>
      </c>
      <c r="V87">
        <f>HYPERLINK("https://klasma.github.io/Logging_0580/klagomål/A 56128-2022 FSC-klagomål.docx", "A 56128-2022")</f>
        <v/>
      </c>
      <c r="W87">
        <f>HYPERLINK("https://klasma.github.io/Logging_0580/klagomålsmail/A 56128-2022 FSC-klagomål mail.docx", "A 56128-2022")</f>
        <v/>
      </c>
      <c r="X87">
        <f>HYPERLINK("https://klasma.github.io/Logging_0580/tillsyn/A 56128-2022 tillsynsbegäran.docx", "A 56128-2022")</f>
        <v/>
      </c>
      <c r="Y87">
        <f>HYPERLINK("https://klasma.github.io/Logging_0580/tillsynsmail/A 56128-2022 tillsynsbegäran mail.docx", "A 56128-2022")</f>
        <v/>
      </c>
    </row>
    <row r="88" ht="15" customHeight="1">
      <c r="A88" t="inlineStr">
        <is>
          <t>A 40309-2024</t>
        </is>
      </c>
      <c r="B88" s="1" t="n">
        <v>45554.724375</v>
      </c>
      <c r="C88" s="1" t="n">
        <v>46170</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54835-2023</t>
        </is>
      </c>
      <c r="B89" s="1" t="n">
        <v>45236</v>
      </c>
      <c r="C89" s="1" t="n">
        <v>46170</v>
      </c>
      <c r="D89" t="inlineStr">
        <is>
          <t>ÖSTERGÖTLANDS LÄN</t>
        </is>
      </c>
      <c r="E89" t="inlineStr">
        <is>
          <t>LINKÖPING</t>
        </is>
      </c>
      <c r="G89" t="n">
        <v>2</v>
      </c>
      <c r="H89" t="n">
        <v>1</v>
      </c>
      <c r="I89" t="n">
        <v>0</v>
      </c>
      <c r="J89" t="n">
        <v>0</v>
      </c>
      <c r="K89" t="n">
        <v>0</v>
      </c>
      <c r="L89" t="n">
        <v>0</v>
      </c>
      <c r="M89" t="n">
        <v>0</v>
      </c>
      <c r="N89" t="n">
        <v>0</v>
      </c>
      <c r="O89" t="n">
        <v>0</v>
      </c>
      <c r="P89" t="n">
        <v>0</v>
      </c>
      <c r="Q89" t="n">
        <v>1</v>
      </c>
      <c r="R89" s="2" t="inlineStr">
        <is>
          <t>Sparvuggla</t>
        </is>
      </c>
      <c r="S89">
        <f>HYPERLINK("https://klasma.github.io/Logging_0580/artfynd/A 54835-2023 artfynd.xlsx", "A 54835-2023")</f>
        <v/>
      </c>
      <c r="T89">
        <f>HYPERLINK("https://klasma.github.io/Logging_0580/kartor/A 54835-2023 karta.png", "A 54835-2023")</f>
        <v/>
      </c>
      <c r="V89">
        <f>HYPERLINK("https://klasma.github.io/Logging_0580/klagomål/A 54835-2023 FSC-klagomål.docx", "A 54835-2023")</f>
        <v/>
      </c>
      <c r="W89">
        <f>HYPERLINK("https://klasma.github.io/Logging_0580/klagomålsmail/A 54835-2023 FSC-klagomål mail.docx", "A 54835-2023")</f>
        <v/>
      </c>
      <c r="X89">
        <f>HYPERLINK("https://klasma.github.io/Logging_0580/tillsyn/A 54835-2023 tillsynsbegäran.docx", "A 54835-2023")</f>
        <v/>
      </c>
      <c r="Y89">
        <f>HYPERLINK("https://klasma.github.io/Logging_0580/tillsynsmail/A 54835-2023 tillsynsbegäran mail.docx", "A 54835-2023")</f>
        <v/>
      </c>
      <c r="Z89">
        <f>HYPERLINK("https://klasma.github.io/Logging_0580/fåglar/A 54835-2023 prioriterade fågelarter.docx", "A 54835-2023")</f>
        <v/>
      </c>
    </row>
    <row r="90" ht="15" customHeight="1">
      <c r="A90" t="inlineStr">
        <is>
          <t>A 126-2024</t>
        </is>
      </c>
      <c r="B90" s="1" t="n">
        <v>45294</v>
      </c>
      <c r="C90" s="1" t="n">
        <v>46170</v>
      </c>
      <c r="D90" t="inlineStr">
        <is>
          <t>ÖSTERGÖTLANDS LÄN</t>
        </is>
      </c>
      <c r="E90" t="inlineStr">
        <is>
          <t>LINKÖPING</t>
        </is>
      </c>
      <c r="G90" t="n">
        <v>1</v>
      </c>
      <c r="H90" t="n">
        <v>0</v>
      </c>
      <c r="I90" t="n">
        <v>1</v>
      </c>
      <c r="J90" t="n">
        <v>0</v>
      </c>
      <c r="K90" t="n">
        <v>0</v>
      </c>
      <c r="L90" t="n">
        <v>0</v>
      </c>
      <c r="M90" t="n">
        <v>0</v>
      </c>
      <c r="N90" t="n">
        <v>0</v>
      </c>
      <c r="O90" t="n">
        <v>0</v>
      </c>
      <c r="P90" t="n">
        <v>0</v>
      </c>
      <c r="Q90" t="n">
        <v>1</v>
      </c>
      <c r="R90" s="2" t="inlineStr">
        <is>
          <t>Blåmossa</t>
        </is>
      </c>
      <c r="S90">
        <f>HYPERLINK("https://klasma.github.io/Logging_0580/artfynd/A 126-2024 artfynd.xlsx", "A 126-2024")</f>
        <v/>
      </c>
      <c r="T90">
        <f>HYPERLINK("https://klasma.github.io/Logging_0580/kartor/A 126-2024 karta.png", "A 126-2024")</f>
        <v/>
      </c>
      <c r="V90">
        <f>HYPERLINK("https://klasma.github.io/Logging_0580/klagomål/A 126-2024 FSC-klagomål.docx", "A 126-2024")</f>
        <v/>
      </c>
      <c r="W90">
        <f>HYPERLINK("https://klasma.github.io/Logging_0580/klagomålsmail/A 126-2024 FSC-klagomål mail.docx", "A 126-2024")</f>
        <v/>
      </c>
      <c r="X90">
        <f>HYPERLINK("https://klasma.github.io/Logging_0580/tillsyn/A 126-2024 tillsynsbegäran.docx", "A 126-2024")</f>
        <v/>
      </c>
      <c r="Y90">
        <f>HYPERLINK("https://klasma.github.io/Logging_0580/tillsynsmail/A 126-2024 tillsynsbegäran mail.docx", "A 126-2024")</f>
        <v/>
      </c>
    </row>
    <row r="91" ht="15" customHeight="1">
      <c r="A91" t="inlineStr">
        <is>
          <t>A 21227-2026</t>
        </is>
      </c>
      <c r="B91" s="1" t="n">
        <v>46146.78898148148</v>
      </c>
      <c r="C91" s="1" t="n">
        <v>46170</v>
      </c>
      <c r="D91" t="inlineStr">
        <is>
          <t>ÖSTERGÖTLANDS LÄN</t>
        </is>
      </c>
      <c r="E91" t="inlineStr">
        <is>
          <t>LINKÖPING</t>
        </is>
      </c>
      <c r="G91" t="n">
        <v>1.8</v>
      </c>
      <c r="H91" t="n">
        <v>1</v>
      </c>
      <c r="I91" t="n">
        <v>0</v>
      </c>
      <c r="J91" t="n">
        <v>1</v>
      </c>
      <c r="K91" t="n">
        <v>0</v>
      </c>
      <c r="L91" t="n">
        <v>0</v>
      </c>
      <c r="M91" t="n">
        <v>0</v>
      </c>
      <c r="N91" t="n">
        <v>0</v>
      </c>
      <c r="O91" t="n">
        <v>1</v>
      </c>
      <c r="P91" t="n">
        <v>0</v>
      </c>
      <c r="Q91" t="n">
        <v>1</v>
      </c>
      <c r="R91" s="2" t="inlineStr">
        <is>
          <t>Rödvingetrast</t>
        </is>
      </c>
      <c r="S91">
        <f>HYPERLINK("https://klasma.github.io/Logging_0580/artfynd/A 21227-2026 artfynd.xlsx", "A 21227-2026")</f>
        <v/>
      </c>
      <c r="T91">
        <f>HYPERLINK("https://klasma.github.io/Logging_0580/kartor/A 21227-2026 karta.png", "A 21227-2026")</f>
        <v/>
      </c>
      <c r="V91">
        <f>HYPERLINK("https://klasma.github.io/Logging_0580/klagomål/A 21227-2026 FSC-klagomål.docx", "A 21227-2026")</f>
        <v/>
      </c>
      <c r="W91">
        <f>HYPERLINK("https://klasma.github.io/Logging_0580/klagomålsmail/A 21227-2026 FSC-klagomål mail.docx", "A 21227-2026")</f>
        <v/>
      </c>
      <c r="X91">
        <f>HYPERLINK("https://klasma.github.io/Logging_0580/tillsyn/A 21227-2026 tillsynsbegäran.docx", "A 21227-2026")</f>
        <v/>
      </c>
      <c r="Y91">
        <f>HYPERLINK("https://klasma.github.io/Logging_0580/tillsynsmail/A 21227-2026 tillsynsbegäran mail.docx", "A 21227-2026")</f>
        <v/>
      </c>
      <c r="Z91">
        <f>HYPERLINK("https://klasma.github.io/Logging_0580/fåglar/A 21227-2026 prioriterade fågelarter.docx", "A 21227-2026")</f>
        <v/>
      </c>
    </row>
    <row r="92" ht="15" customHeight="1">
      <c r="A92" t="inlineStr">
        <is>
          <t>A 3395-2023</t>
        </is>
      </c>
      <c r="B92" s="1" t="n">
        <v>44949</v>
      </c>
      <c r="C92" s="1" t="n">
        <v>46170</v>
      </c>
      <c r="D92" t="inlineStr">
        <is>
          <t>ÖSTERGÖTLANDS LÄN</t>
        </is>
      </c>
      <c r="E92" t="inlineStr">
        <is>
          <t>LINKÖPING</t>
        </is>
      </c>
      <c r="G92" t="n">
        <v>2</v>
      </c>
      <c r="H92" t="n">
        <v>0</v>
      </c>
      <c r="I92" t="n">
        <v>0</v>
      </c>
      <c r="J92" t="n">
        <v>1</v>
      </c>
      <c r="K92" t="n">
        <v>0</v>
      </c>
      <c r="L92" t="n">
        <v>0</v>
      </c>
      <c r="M92" t="n">
        <v>0</v>
      </c>
      <c r="N92" t="n">
        <v>0</v>
      </c>
      <c r="O92" t="n">
        <v>1</v>
      </c>
      <c r="P92" t="n">
        <v>0</v>
      </c>
      <c r="Q92" t="n">
        <v>1</v>
      </c>
      <c r="R92" s="2" t="inlineStr">
        <is>
          <t>Sommarfibbla</t>
        </is>
      </c>
      <c r="S92">
        <f>HYPERLINK("https://klasma.github.io/Logging_0580/artfynd/A 3395-2023 artfynd.xlsx", "A 3395-2023")</f>
        <v/>
      </c>
      <c r="T92">
        <f>HYPERLINK("https://klasma.github.io/Logging_0580/kartor/A 3395-2023 karta.png", "A 3395-2023")</f>
        <v/>
      </c>
      <c r="V92">
        <f>HYPERLINK("https://klasma.github.io/Logging_0580/klagomål/A 3395-2023 FSC-klagomål.docx", "A 3395-2023")</f>
        <v/>
      </c>
      <c r="W92">
        <f>HYPERLINK("https://klasma.github.io/Logging_0580/klagomålsmail/A 3395-2023 FSC-klagomål mail.docx", "A 3395-2023")</f>
        <v/>
      </c>
      <c r="X92">
        <f>HYPERLINK("https://klasma.github.io/Logging_0580/tillsyn/A 3395-2023 tillsynsbegäran.docx", "A 3395-2023")</f>
        <v/>
      </c>
      <c r="Y92">
        <f>HYPERLINK("https://klasma.github.io/Logging_0580/tillsynsmail/A 3395-2023 tillsynsbegäran mail.docx", "A 3395-2023")</f>
        <v/>
      </c>
    </row>
    <row r="93" ht="15" customHeight="1">
      <c r="A93" t="inlineStr">
        <is>
          <t>A 50806-2023</t>
        </is>
      </c>
      <c r="B93" s="1" t="n">
        <v>45217</v>
      </c>
      <c r="C93" s="1" t="n">
        <v>46170</v>
      </c>
      <c r="D93" t="inlineStr">
        <is>
          <t>ÖSTERGÖTLANDS LÄN</t>
        </is>
      </c>
      <c r="E93" t="inlineStr">
        <is>
          <t>LINKÖPING</t>
        </is>
      </c>
      <c r="F93" t="inlineStr">
        <is>
          <t>Övriga Aktiebolag</t>
        </is>
      </c>
      <c r="G93" t="n">
        <v>0.7</v>
      </c>
      <c r="H93" t="n">
        <v>1</v>
      </c>
      <c r="I93" t="n">
        <v>0</v>
      </c>
      <c r="J93" t="n">
        <v>0</v>
      </c>
      <c r="K93" t="n">
        <v>0</v>
      </c>
      <c r="L93" t="n">
        <v>0</v>
      </c>
      <c r="M93" t="n">
        <v>0</v>
      </c>
      <c r="N93" t="n">
        <v>0</v>
      </c>
      <c r="O93" t="n">
        <v>0</v>
      </c>
      <c r="P93" t="n">
        <v>0</v>
      </c>
      <c r="Q93" t="n">
        <v>1</v>
      </c>
      <c r="R93" s="2" t="inlineStr">
        <is>
          <t>Gullviva</t>
        </is>
      </c>
      <c r="S93">
        <f>HYPERLINK("https://klasma.github.io/Logging_0580/artfynd/A 50806-2023 artfynd.xlsx", "A 50806-2023")</f>
        <v/>
      </c>
      <c r="T93">
        <f>HYPERLINK("https://klasma.github.io/Logging_0580/kartor/A 50806-2023 karta.png", "A 50806-2023")</f>
        <v/>
      </c>
      <c r="V93">
        <f>HYPERLINK("https://klasma.github.io/Logging_0580/klagomål/A 50806-2023 FSC-klagomål.docx", "A 50806-2023")</f>
        <v/>
      </c>
      <c r="W93">
        <f>HYPERLINK("https://klasma.github.io/Logging_0580/klagomålsmail/A 50806-2023 FSC-klagomål mail.docx", "A 50806-2023")</f>
        <v/>
      </c>
      <c r="X93">
        <f>HYPERLINK("https://klasma.github.io/Logging_0580/tillsyn/A 50806-2023 tillsynsbegäran.docx", "A 50806-2023")</f>
        <v/>
      </c>
      <c r="Y93">
        <f>HYPERLINK("https://klasma.github.io/Logging_0580/tillsynsmail/A 50806-2023 tillsynsbegäran mail.docx", "A 50806-2023")</f>
        <v/>
      </c>
    </row>
    <row r="94" ht="15" customHeight="1">
      <c r="A94" t="inlineStr">
        <is>
          <t>A 39457-2023</t>
        </is>
      </c>
      <c r="B94" s="1" t="n">
        <v>45166</v>
      </c>
      <c r="C94" s="1" t="n">
        <v>46170</v>
      </c>
      <c r="D94" t="inlineStr">
        <is>
          <t>ÖSTERGÖTLANDS LÄN</t>
        </is>
      </c>
      <c r="E94" t="inlineStr">
        <is>
          <t>LINKÖPING</t>
        </is>
      </c>
      <c r="G94" t="n">
        <v>2.1</v>
      </c>
      <c r="H94" t="n">
        <v>1</v>
      </c>
      <c r="I94" t="n">
        <v>0</v>
      </c>
      <c r="J94" t="n">
        <v>0</v>
      </c>
      <c r="K94" t="n">
        <v>0</v>
      </c>
      <c r="L94" t="n">
        <v>0</v>
      </c>
      <c r="M94" t="n">
        <v>0</v>
      </c>
      <c r="N94" t="n">
        <v>0</v>
      </c>
      <c r="O94" t="n">
        <v>0</v>
      </c>
      <c r="P94" t="n">
        <v>0</v>
      </c>
      <c r="Q94" t="n">
        <v>1</v>
      </c>
      <c r="R94" s="2" t="inlineStr">
        <is>
          <t>Sparvuggla</t>
        </is>
      </c>
      <c r="S94">
        <f>HYPERLINK("https://klasma.github.io/Logging_0580/artfynd/A 39457-2023 artfynd.xlsx", "A 39457-2023")</f>
        <v/>
      </c>
      <c r="T94">
        <f>HYPERLINK("https://klasma.github.io/Logging_0580/kartor/A 39457-2023 karta.png", "A 39457-2023")</f>
        <v/>
      </c>
      <c r="V94">
        <f>HYPERLINK("https://klasma.github.io/Logging_0580/klagomål/A 39457-2023 FSC-klagomål.docx", "A 39457-2023")</f>
        <v/>
      </c>
      <c r="W94">
        <f>HYPERLINK("https://klasma.github.io/Logging_0580/klagomålsmail/A 39457-2023 FSC-klagomål mail.docx", "A 39457-2023")</f>
        <v/>
      </c>
      <c r="X94">
        <f>HYPERLINK("https://klasma.github.io/Logging_0580/tillsyn/A 39457-2023 tillsynsbegäran.docx", "A 39457-2023")</f>
        <v/>
      </c>
      <c r="Y94">
        <f>HYPERLINK("https://klasma.github.io/Logging_0580/tillsynsmail/A 39457-2023 tillsynsbegäran mail.docx", "A 39457-2023")</f>
        <v/>
      </c>
      <c r="Z94">
        <f>HYPERLINK("https://klasma.github.io/Logging_0580/fåglar/A 39457-2023 prioriterade fågelarter.docx", "A 39457-2023")</f>
        <v/>
      </c>
    </row>
    <row r="95" ht="15" customHeight="1">
      <c r="A95" t="inlineStr">
        <is>
          <t>A 35948-2023</t>
        </is>
      </c>
      <c r="B95" s="1" t="n">
        <v>45148</v>
      </c>
      <c r="C95" s="1" t="n">
        <v>46170</v>
      </c>
      <c r="D95" t="inlineStr">
        <is>
          <t>ÖSTERGÖTLANDS LÄN</t>
        </is>
      </c>
      <c r="E95" t="inlineStr">
        <is>
          <t>LINKÖPING</t>
        </is>
      </c>
      <c r="G95" t="n">
        <v>1.9</v>
      </c>
      <c r="H95" t="n">
        <v>0</v>
      </c>
      <c r="I95" t="n">
        <v>1</v>
      </c>
      <c r="J95" t="n">
        <v>0</v>
      </c>
      <c r="K95" t="n">
        <v>0</v>
      </c>
      <c r="L95" t="n">
        <v>0</v>
      </c>
      <c r="M95" t="n">
        <v>0</v>
      </c>
      <c r="N95" t="n">
        <v>0</v>
      </c>
      <c r="O95" t="n">
        <v>0</v>
      </c>
      <c r="P95" t="n">
        <v>0</v>
      </c>
      <c r="Q95" t="n">
        <v>1</v>
      </c>
      <c r="R95" s="2" t="inlineStr">
        <is>
          <t>Brun nållav</t>
        </is>
      </c>
      <c r="S95">
        <f>HYPERLINK("https://klasma.github.io/Logging_0580/artfynd/A 35948-2023 artfynd.xlsx", "A 35948-2023")</f>
        <v/>
      </c>
      <c r="T95">
        <f>HYPERLINK("https://klasma.github.io/Logging_0580/kartor/A 35948-2023 karta.png", "A 35948-2023")</f>
        <v/>
      </c>
      <c r="V95">
        <f>HYPERLINK("https://klasma.github.io/Logging_0580/klagomål/A 35948-2023 FSC-klagomål.docx", "A 35948-2023")</f>
        <v/>
      </c>
      <c r="W95">
        <f>HYPERLINK("https://klasma.github.io/Logging_0580/klagomålsmail/A 35948-2023 FSC-klagomål mail.docx", "A 35948-2023")</f>
        <v/>
      </c>
      <c r="X95">
        <f>HYPERLINK("https://klasma.github.io/Logging_0580/tillsyn/A 35948-2023 tillsynsbegäran.docx", "A 35948-2023")</f>
        <v/>
      </c>
      <c r="Y95">
        <f>HYPERLINK("https://klasma.github.io/Logging_0580/tillsynsmail/A 35948-2023 tillsynsbegäran mail.docx", "A 35948-2023")</f>
        <v/>
      </c>
    </row>
    <row r="96" ht="15" customHeight="1">
      <c r="A96" t="inlineStr">
        <is>
          <t>A 62071-2023</t>
        </is>
      </c>
      <c r="B96" s="1" t="n">
        <v>45266.73542824074</v>
      </c>
      <c r="C96" s="1" t="n">
        <v>46170</v>
      </c>
      <c r="D96" t="inlineStr">
        <is>
          <t>ÖSTERGÖTLANDS LÄN</t>
        </is>
      </c>
      <c r="E96" t="inlineStr">
        <is>
          <t>LINKÖPING</t>
        </is>
      </c>
      <c r="G96" t="n">
        <v>6.5</v>
      </c>
      <c r="H96" t="n">
        <v>0</v>
      </c>
      <c r="I96" t="n">
        <v>0</v>
      </c>
      <c r="J96" t="n">
        <v>1</v>
      </c>
      <c r="K96" t="n">
        <v>0</v>
      </c>
      <c r="L96" t="n">
        <v>0</v>
      </c>
      <c r="M96" t="n">
        <v>0</v>
      </c>
      <c r="N96" t="n">
        <v>0</v>
      </c>
      <c r="O96" t="n">
        <v>1</v>
      </c>
      <c r="P96" t="n">
        <v>0</v>
      </c>
      <c r="Q96" t="n">
        <v>1</v>
      </c>
      <c r="R96" s="2" t="inlineStr">
        <is>
          <t>Svinrot</t>
        </is>
      </c>
      <c r="S96">
        <f>HYPERLINK("https://klasma.github.io/Logging_0580/artfynd/A 62071-2023 artfynd.xlsx", "A 62071-2023")</f>
        <v/>
      </c>
      <c r="T96">
        <f>HYPERLINK("https://klasma.github.io/Logging_0580/kartor/A 62071-2023 karta.png", "A 62071-2023")</f>
        <v/>
      </c>
      <c r="V96">
        <f>HYPERLINK("https://klasma.github.io/Logging_0580/klagomål/A 62071-2023 FSC-klagomål.docx", "A 62071-2023")</f>
        <v/>
      </c>
      <c r="W96">
        <f>HYPERLINK("https://klasma.github.io/Logging_0580/klagomålsmail/A 62071-2023 FSC-klagomål mail.docx", "A 62071-2023")</f>
        <v/>
      </c>
      <c r="X96">
        <f>HYPERLINK("https://klasma.github.io/Logging_0580/tillsyn/A 62071-2023 tillsynsbegäran.docx", "A 62071-2023")</f>
        <v/>
      </c>
      <c r="Y96">
        <f>HYPERLINK("https://klasma.github.io/Logging_0580/tillsynsmail/A 62071-2023 tillsynsbegäran mail.docx", "A 62071-2023")</f>
        <v/>
      </c>
    </row>
    <row r="97" ht="15" customHeight="1">
      <c r="A97" t="inlineStr">
        <is>
          <t>A 3397-2023</t>
        </is>
      </c>
      <c r="B97" s="1" t="n">
        <v>44949</v>
      </c>
      <c r="C97" s="1" t="n">
        <v>46170</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20295-2025</t>
        </is>
      </c>
      <c r="B98" s="1" t="n">
        <v>45774.74846064814</v>
      </c>
      <c r="C98" s="1" t="n">
        <v>46170</v>
      </c>
      <c r="D98" t="inlineStr">
        <is>
          <t>ÖSTERGÖTLANDS LÄN</t>
        </is>
      </c>
      <c r="E98" t="inlineStr">
        <is>
          <t>LINKÖPING</t>
        </is>
      </c>
      <c r="G98" t="n">
        <v>3</v>
      </c>
      <c r="H98" t="n">
        <v>0</v>
      </c>
      <c r="I98" t="n">
        <v>0</v>
      </c>
      <c r="J98" t="n">
        <v>1</v>
      </c>
      <c r="K98" t="n">
        <v>0</v>
      </c>
      <c r="L98" t="n">
        <v>0</v>
      </c>
      <c r="M98" t="n">
        <v>0</v>
      </c>
      <c r="N98" t="n">
        <v>0</v>
      </c>
      <c r="O98" t="n">
        <v>1</v>
      </c>
      <c r="P98" t="n">
        <v>0</v>
      </c>
      <c r="Q98" t="n">
        <v>1</v>
      </c>
      <c r="R98" s="2" t="inlineStr">
        <is>
          <t>Tallticka</t>
        </is>
      </c>
      <c r="S98">
        <f>HYPERLINK("https://klasma.github.io/Logging_0580/artfynd/A 20295-2025 artfynd.xlsx", "A 20295-2025")</f>
        <v/>
      </c>
      <c r="T98">
        <f>HYPERLINK("https://klasma.github.io/Logging_0580/kartor/A 20295-2025 karta.png", "A 20295-2025")</f>
        <v/>
      </c>
      <c r="V98">
        <f>HYPERLINK("https://klasma.github.io/Logging_0580/klagomål/A 20295-2025 FSC-klagomål.docx", "A 20295-2025")</f>
        <v/>
      </c>
      <c r="W98">
        <f>HYPERLINK("https://klasma.github.io/Logging_0580/klagomålsmail/A 20295-2025 FSC-klagomål mail.docx", "A 20295-2025")</f>
        <v/>
      </c>
      <c r="X98">
        <f>HYPERLINK("https://klasma.github.io/Logging_0580/tillsyn/A 20295-2025 tillsynsbegäran.docx", "A 20295-2025")</f>
        <v/>
      </c>
      <c r="Y98">
        <f>HYPERLINK("https://klasma.github.io/Logging_0580/tillsynsmail/A 20295-2025 tillsynsbegäran mail.docx", "A 20295-2025")</f>
        <v/>
      </c>
    </row>
    <row r="99" ht="15" customHeight="1">
      <c r="A99" t="inlineStr">
        <is>
          <t>A 60573-2021</t>
        </is>
      </c>
      <c r="B99" s="1" t="n">
        <v>44496</v>
      </c>
      <c r="C99" s="1" t="n">
        <v>46170</v>
      </c>
      <c r="D99" t="inlineStr">
        <is>
          <t>ÖSTERGÖTLANDS LÄN</t>
        </is>
      </c>
      <c r="E99" t="inlineStr">
        <is>
          <t>LINKÖPING</t>
        </is>
      </c>
      <c r="F99" t="inlineStr">
        <is>
          <t>Övriga Aktiebolag</t>
        </is>
      </c>
      <c r="G99" t="n">
        <v>5.6</v>
      </c>
      <c r="H99" t="n">
        <v>0</v>
      </c>
      <c r="I99" t="n">
        <v>0</v>
      </c>
      <c r="J99" t="n">
        <v>1</v>
      </c>
      <c r="K99" t="n">
        <v>0</v>
      </c>
      <c r="L99" t="n">
        <v>0</v>
      </c>
      <c r="M99" t="n">
        <v>0</v>
      </c>
      <c r="N99" t="n">
        <v>0</v>
      </c>
      <c r="O99" t="n">
        <v>1</v>
      </c>
      <c r="P99" t="n">
        <v>0</v>
      </c>
      <c r="Q99" t="n">
        <v>1</v>
      </c>
      <c r="R99" s="2" t="inlineStr">
        <is>
          <t>Sommarfibbla</t>
        </is>
      </c>
      <c r="S99">
        <f>HYPERLINK("https://klasma.github.io/Logging_0580/artfynd/A 60573-2021 artfynd.xlsx", "A 60573-2021")</f>
        <v/>
      </c>
      <c r="T99">
        <f>HYPERLINK("https://klasma.github.io/Logging_0580/kartor/A 60573-2021 karta.png", "A 60573-2021")</f>
        <v/>
      </c>
      <c r="V99">
        <f>HYPERLINK("https://klasma.github.io/Logging_0580/klagomål/A 60573-2021 FSC-klagomål.docx", "A 60573-2021")</f>
        <v/>
      </c>
      <c r="W99">
        <f>HYPERLINK("https://klasma.github.io/Logging_0580/klagomålsmail/A 60573-2021 FSC-klagomål mail.docx", "A 60573-2021")</f>
        <v/>
      </c>
      <c r="X99">
        <f>HYPERLINK("https://klasma.github.io/Logging_0580/tillsyn/A 60573-2021 tillsynsbegäran.docx", "A 60573-2021")</f>
        <v/>
      </c>
      <c r="Y99">
        <f>HYPERLINK("https://klasma.github.io/Logging_0580/tillsynsmail/A 60573-2021 tillsynsbegäran mail.docx", "A 60573-2021")</f>
        <v/>
      </c>
    </row>
    <row r="100" ht="15" customHeight="1">
      <c r="A100" t="inlineStr">
        <is>
          <t>A 38881-2021</t>
        </is>
      </c>
      <c r="B100" s="1" t="n">
        <v>44411.46893518518</v>
      </c>
      <c r="C100" s="1" t="n">
        <v>46170</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46170</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46170</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46170</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46170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46170</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46170</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46170</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46170</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46170</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46170</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46170</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46170</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46170</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46170</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46170</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46170</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46170</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46170</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46170</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46170</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46170</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46170</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46170</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46170</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46170</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46170</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46170</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46170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46170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46170</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46170</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46170</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46170</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46170</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46170</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46170</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46170</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46170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46170</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46170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46170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46170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46170</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46170</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46170</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46170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46170</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46170</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46170</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46170</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46170</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46170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46170</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46170</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46170</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46170</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46170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46170</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46170</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46170</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46170</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46170</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46170</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46170</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46170</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46170</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46170</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46170</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67912-2021</t>
        </is>
      </c>
      <c r="B169" s="1" t="n">
        <v>44525</v>
      </c>
      <c r="C169" s="1" t="n">
        <v>46170</v>
      </c>
      <c r="D169" t="inlineStr">
        <is>
          <t>ÖSTERGÖTLANDS LÄN</t>
        </is>
      </c>
      <c r="E169" t="inlineStr">
        <is>
          <t>LINKÖPING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67940-2021</t>
        </is>
      </c>
      <c r="B170" s="1" t="n">
        <v>44525.62849537037</v>
      </c>
      <c r="C170" s="1" t="n">
        <v>46170</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46170</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33134-2022</t>
        </is>
      </c>
      <c r="B172" s="1" t="n">
        <v>44785</v>
      </c>
      <c r="C172" s="1" t="n">
        <v>46170</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13075-2022</t>
        </is>
      </c>
      <c r="B173" s="1" t="n">
        <v>44643</v>
      </c>
      <c r="C173" s="1" t="n">
        <v>46170</v>
      </c>
      <c r="D173" t="inlineStr">
        <is>
          <t>ÖSTERGÖTLANDS LÄN</t>
        </is>
      </c>
      <c r="E173" t="inlineStr">
        <is>
          <t>LINKÖPING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46170</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56688-2021</t>
        </is>
      </c>
      <c r="B175" s="1" t="n">
        <v>44481</v>
      </c>
      <c r="C175" s="1" t="n">
        <v>46170</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46170</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46170</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46170</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46170</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46170</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46170</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46170</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34486-2021</t>
        </is>
      </c>
      <c r="B183" s="1" t="n">
        <v>44382.29295138889</v>
      </c>
      <c r="C183" s="1" t="n">
        <v>46170</v>
      </c>
      <c r="D183" t="inlineStr">
        <is>
          <t>ÖSTERGÖTLANDS LÄN</t>
        </is>
      </c>
      <c r="E183" t="inlineStr">
        <is>
          <t>LINKÖPING</t>
        </is>
      </c>
      <c r="G183" t="n">
        <v>4.4</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46170</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61302-2021</t>
        </is>
      </c>
      <c r="B185" s="1" t="n">
        <v>44498.63189814815</v>
      </c>
      <c r="C185" s="1" t="n">
        <v>46170</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41426-2022</t>
        </is>
      </c>
      <c r="B186" s="1" t="n">
        <v>44826</v>
      </c>
      <c r="C186" s="1" t="n">
        <v>46170</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34162-2022</t>
        </is>
      </c>
      <c r="B187" s="1" t="n">
        <v>44791</v>
      </c>
      <c r="C187" s="1" t="n">
        <v>46170</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46170</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46170</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46170</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32255-2021</t>
        </is>
      </c>
      <c r="B191" s="1" t="n">
        <v>44371.45949074074</v>
      </c>
      <c r="C191" s="1" t="n">
        <v>46170</v>
      </c>
      <c r="D191" t="inlineStr">
        <is>
          <t>ÖSTERGÖTLANDS LÄN</t>
        </is>
      </c>
      <c r="E191" t="inlineStr">
        <is>
          <t>LINKÖPING</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34880-2022</t>
        </is>
      </c>
      <c r="B192" s="1" t="n">
        <v>44796</v>
      </c>
      <c r="C192" s="1" t="n">
        <v>46170</v>
      </c>
      <c r="D192" t="inlineStr">
        <is>
          <t>ÖSTERGÖTLANDS LÄN</t>
        </is>
      </c>
      <c r="E192" t="inlineStr">
        <is>
          <t>LINKÖPING</t>
        </is>
      </c>
      <c r="F192" t="inlineStr">
        <is>
          <t>Övriga statliga verk och myndigheter</t>
        </is>
      </c>
      <c r="G192" t="n">
        <v>4</v>
      </c>
      <c r="H192" t="n">
        <v>0</v>
      </c>
      <c r="I192" t="n">
        <v>0</v>
      </c>
      <c r="J192" t="n">
        <v>0</v>
      </c>
      <c r="K192" t="n">
        <v>0</v>
      </c>
      <c r="L192" t="n">
        <v>0</v>
      </c>
      <c r="M192" t="n">
        <v>0</v>
      </c>
      <c r="N192" t="n">
        <v>0</v>
      </c>
      <c r="O192" t="n">
        <v>0</v>
      </c>
      <c r="P192" t="n">
        <v>0</v>
      </c>
      <c r="Q192" t="n">
        <v>0</v>
      </c>
      <c r="R192" s="2" t="inlineStr"/>
    </row>
    <row r="193" ht="15" customHeight="1">
      <c r="A193" t="inlineStr">
        <is>
          <t>A 48042-2022</t>
        </is>
      </c>
      <c r="B193" s="1" t="n">
        <v>44855</v>
      </c>
      <c r="C193" s="1" t="n">
        <v>46170</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46170</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34558-2022</t>
        </is>
      </c>
      <c r="B195" s="1" t="n">
        <v>44794.57594907407</v>
      </c>
      <c r="C195" s="1" t="n">
        <v>46170</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63489-2023</t>
        </is>
      </c>
      <c r="B196" s="1" t="n">
        <v>45274.66761574074</v>
      </c>
      <c r="C196" s="1" t="n">
        <v>46170</v>
      </c>
      <c r="D196" t="inlineStr">
        <is>
          <t>ÖSTERGÖTLANDS LÄN</t>
        </is>
      </c>
      <c r="E196" t="inlineStr">
        <is>
          <t>LINKÖPING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28266-2024</t>
        </is>
      </c>
      <c r="B197" s="1" t="n">
        <v>45477.43600694444</v>
      </c>
      <c r="C197" s="1" t="n">
        <v>46170</v>
      </c>
      <c r="D197" t="inlineStr">
        <is>
          <t>ÖSTERGÖTLANDS LÄN</t>
        </is>
      </c>
      <c r="E197" t="inlineStr">
        <is>
          <t>LINKÖPING</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3008-2023</t>
        </is>
      </c>
      <c r="B198" s="1" t="n">
        <v>44945.79784722222</v>
      </c>
      <c r="C198" s="1" t="n">
        <v>46170</v>
      </c>
      <c r="D198" t="inlineStr">
        <is>
          <t>ÖSTERGÖTLANDS LÄN</t>
        </is>
      </c>
      <c r="E198" t="inlineStr">
        <is>
          <t>LINKÖPING</t>
        </is>
      </c>
      <c r="G198" t="n">
        <v>19.3</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46170</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46170</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46170</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20455-2024</t>
        </is>
      </c>
      <c r="B202" s="1" t="n">
        <v>45435.65314814815</v>
      </c>
      <c r="C202" s="1" t="n">
        <v>46170</v>
      </c>
      <c r="D202" t="inlineStr">
        <is>
          <t>ÖSTERGÖTLANDS LÄN</t>
        </is>
      </c>
      <c r="E202" t="inlineStr">
        <is>
          <t>LINKÖPING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224-2024</t>
        </is>
      </c>
      <c r="B203" s="1" t="n">
        <v>45294</v>
      </c>
      <c r="C203" s="1" t="n">
        <v>46170</v>
      </c>
      <c r="D203" t="inlineStr">
        <is>
          <t>ÖSTERGÖTLANDS LÄN</t>
        </is>
      </c>
      <c r="E203" t="inlineStr">
        <is>
          <t>LINKÖPING</t>
        </is>
      </c>
      <c r="G203" t="n">
        <v>2.8</v>
      </c>
      <c r="H203" t="n">
        <v>0</v>
      </c>
      <c r="I203" t="n">
        <v>0</v>
      </c>
      <c r="J203" t="n">
        <v>0</v>
      </c>
      <c r="K203" t="n">
        <v>0</v>
      </c>
      <c r="L203" t="n">
        <v>0</v>
      </c>
      <c r="M203" t="n">
        <v>0</v>
      </c>
      <c r="N203" t="n">
        <v>0</v>
      </c>
      <c r="O203" t="n">
        <v>0</v>
      </c>
      <c r="P203" t="n">
        <v>0</v>
      </c>
      <c r="Q203" t="n">
        <v>0</v>
      </c>
      <c r="R203" s="2" t="inlineStr"/>
    </row>
    <row r="204" ht="15" customHeight="1">
      <c r="A204" t="inlineStr">
        <is>
          <t>A 25418-2023</t>
        </is>
      </c>
      <c r="B204" s="1" t="n">
        <v>45089</v>
      </c>
      <c r="C204" s="1" t="n">
        <v>46170</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52796-2023</t>
        </is>
      </c>
      <c r="B205" s="1" t="n">
        <v>45219</v>
      </c>
      <c r="C205" s="1" t="n">
        <v>46170</v>
      </c>
      <c r="D205" t="inlineStr">
        <is>
          <t>ÖSTERGÖTLANDS LÄN</t>
        </is>
      </c>
      <c r="E205" t="inlineStr">
        <is>
          <t>LINKÖPING</t>
        </is>
      </c>
      <c r="F205" t="inlineStr">
        <is>
          <t>Övriga statliga verk och myndigheter</t>
        </is>
      </c>
      <c r="G205" t="n">
        <v>3.9</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46170</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46170</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46170</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46170</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46170</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57745-2022</t>
        </is>
      </c>
      <c r="B211" s="1" t="n">
        <v>44897.58119212963</v>
      </c>
      <c r="C211" s="1" t="n">
        <v>46170</v>
      </c>
      <c r="D211" t="inlineStr">
        <is>
          <t>ÖSTERGÖTLANDS LÄN</t>
        </is>
      </c>
      <c r="E211" t="inlineStr">
        <is>
          <t>LINKÖPING</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34889-2023</t>
        </is>
      </c>
      <c r="B212" s="1" t="n">
        <v>45140</v>
      </c>
      <c r="C212" s="1" t="n">
        <v>46170</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1993-2023</t>
        </is>
      </c>
      <c r="B213" s="1" t="n">
        <v>44939</v>
      </c>
      <c r="C213" s="1" t="n">
        <v>46170</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22771-2024</t>
        </is>
      </c>
      <c r="B214" s="1" t="n">
        <v>45448.46574074074</v>
      </c>
      <c r="C214" s="1" t="n">
        <v>46170</v>
      </c>
      <c r="D214" t="inlineStr">
        <is>
          <t>ÖSTERGÖTLANDS LÄN</t>
        </is>
      </c>
      <c r="E214" t="inlineStr">
        <is>
          <t>LINKÖPING</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52220-2023</t>
        </is>
      </c>
      <c r="B215" s="1" t="n">
        <v>45217</v>
      </c>
      <c r="C215" s="1" t="n">
        <v>46170</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52225-2023</t>
        </is>
      </c>
      <c r="B216" s="1" t="n">
        <v>45217</v>
      </c>
      <c r="C216" s="1" t="n">
        <v>46170</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42832-2023</t>
        </is>
      </c>
      <c r="B217" s="1" t="n">
        <v>45182.38091435185</v>
      </c>
      <c r="C217" s="1" t="n">
        <v>46170</v>
      </c>
      <c r="D217" t="inlineStr">
        <is>
          <t>ÖSTERGÖTLANDS LÄN</t>
        </is>
      </c>
      <c r="E217" t="inlineStr">
        <is>
          <t>LINKÖPING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46170</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52412-2023</t>
        </is>
      </c>
      <c r="B219" s="1" t="n">
        <v>45225.27888888889</v>
      </c>
      <c r="C219" s="1" t="n">
        <v>46170</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52413-2023</t>
        </is>
      </c>
      <c r="B220" s="1" t="n">
        <v>45225.27950231481</v>
      </c>
      <c r="C220" s="1" t="n">
        <v>46170</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7354-2025</t>
        </is>
      </c>
      <c r="B221" s="1" t="n">
        <v>45704.41174768518</v>
      </c>
      <c r="C221" s="1" t="n">
        <v>46170</v>
      </c>
      <c r="D221" t="inlineStr">
        <is>
          <t>ÖSTERGÖTLANDS LÄN</t>
        </is>
      </c>
      <c r="E221" t="inlineStr">
        <is>
          <t>LINKÖPING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22264-2025</t>
        </is>
      </c>
      <c r="B222" s="1" t="n">
        <v>45785</v>
      </c>
      <c r="C222" s="1" t="n">
        <v>46170</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9473-2024</t>
        </is>
      </c>
      <c r="B223" s="1" t="n">
        <v>45359.55474537037</v>
      </c>
      <c r="C223" s="1" t="n">
        <v>46170</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6859-2024</t>
        </is>
      </c>
      <c r="B224" s="1" t="n">
        <v>45342</v>
      </c>
      <c r="C224" s="1" t="n">
        <v>46170</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44287-2024</t>
        </is>
      </c>
      <c r="B225" s="1" t="n">
        <v>45573.50582175926</v>
      </c>
      <c r="C225" s="1" t="n">
        <v>46170</v>
      </c>
      <c r="D225" t="inlineStr">
        <is>
          <t>ÖSTERGÖTLANDS LÄN</t>
        </is>
      </c>
      <c r="E225" t="inlineStr">
        <is>
          <t>LINKÖPING</t>
        </is>
      </c>
      <c r="G225" t="n">
        <v>12.7</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46170</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22364-2025</t>
        </is>
      </c>
      <c r="B227" s="1" t="n">
        <v>45786.46930555555</v>
      </c>
      <c r="C227" s="1" t="n">
        <v>46170</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34928-2023</t>
        </is>
      </c>
      <c r="B228" s="1" t="n">
        <v>45142</v>
      </c>
      <c r="C228" s="1" t="n">
        <v>46170</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1263-2024</t>
        </is>
      </c>
      <c r="B229" s="1" t="n">
        <v>45302</v>
      </c>
      <c r="C229" s="1" t="n">
        <v>46170</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46170</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572-2025</t>
        </is>
      </c>
      <c r="B231" s="1" t="n">
        <v>45664.56349537037</v>
      </c>
      <c r="C231" s="1" t="n">
        <v>46170</v>
      </c>
      <c r="D231" t="inlineStr">
        <is>
          <t>ÖSTERGÖTLANDS LÄN</t>
        </is>
      </c>
      <c r="E231" t="inlineStr">
        <is>
          <t>LINKÖPING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10797-2024</t>
        </is>
      </c>
      <c r="B232" s="1" t="n">
        <v>45369.6190162037</v>
      </c>
      <c r="C232" s="1" t="n">
        <v>46170</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38580-2024</t>
        </is>
      </c>
      <c r="B233" s="1" t="n">
        <v>45546.64825231482</v>
      </c>
      <c r="C233" s="1" t="n">
        <v>46170</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57752-2023</t>
        </is>
      </c>
      <c r="B234" s="1" t="n">
        <v>45246.78474537037</v>
      </c>
      <c r="C234" s="1" t="n">
        <v>46170</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20291-2025</t>
        </is>
      </c>
      <c r="B235" s="1" t="n">
        <v>45774.74288194445</v>
      </c>
      <c r="C235" s="1" t="n">
        <v>46170</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20293-2025</t>
        </is>
      </c>
      <c r="B236" s="1" t="n">
        <v>45774.74611111111</v>
      </c>
      <c r="C236" s="1" t="n">
        <v>46170</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29312-2024</t>
        </is>
      </c>
      <c r="B237" s="1" t="n">
        <v>45483</v>
      </c>
      <c r="C237" s="1" t="n">
        <v>46170</v>
      </c>
      <c r="D237" t="inlineStr">
        <is>
          <t>ÖSTERGÖTLANDS LÄN</t>
        </is>
      </c>
      <c r="E237" t="inlineStr">
        <is>
          <t>LINKÖPING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23120-2025</t>
        </is>
      </c>
      <c r="B238" s="1" t="n">
        <v>45791.37481481482</v>
      </c>
      <c r="C238" s="1" t="n">
        <v>46170</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51802-2025</t>
        </is>
      </c>
      <c r="B239" s="1" t="n">
        <v>45950</v>
      </c>
      <c r="C239" s="1" t="n">
        <v>46170</v>
      </c>
      <c r="D239" t="inlineStr">
        <is>
          <t>ÖSTERGÖTLANDS LÄN</t>
        </is>
      </c>
      <c r="E239" t="inlineStr">
        <is>
          <t>LINKÖPING</t>
        </is>
      </c>
      <c r="F239" t="inlineStr">
        <is>
          <t>Övriga Aktiebolag</t>
        </is>
      </c>
      <c r="G239" t="n">
        <v>2</v>
      </c>
      <c r="H239" t="n">
        <v>0</v>
      </c>
      <c r="I239" t="n">
        <v>0</v>
      </c>
      <c r="J239" t="n">
        <v>0</v>
      </c>
      <c r="K239" t="n">
        <v>0</v>
      </c>
      <c r="L239" t="n">
        <v>0</v>
      </c>
      <c r="M239" t="n">
        <v>0</v>
      </c>
      <c r="N239" t="n">
        <v>0</v>
      </c>
      <c r="O239" t="n">
        <v>0</v>
      </c>
      <c r="P239" t="n">
        <v>0</v>
      </c>
      <c r="Q239" t="n">
        <v>0</v>
      </c>
      <c r="R239" s="2" t="inlineStr"/>
    </row>
    <row r="240" ht="15" customHeight="1">
      <c r="A240" t="inlineStr">
        <is>
          <t>A 3041-2024</t>
        </is>
      </c>
      <c r="B240" s="1" t="n">
        <v>45316.34875</v>
      </c>
      <c r="C240" s="1" t="n">
        <v>46170</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3008-2023</t>
        </is>
      </c>
      <c r="B241" s="1" t="n">
        <v>44945.79784722222</v>
      </c>
      <c r="C241" s="1" t="n">
        <v>46170</v>
      </c>
      <c r="D241" t="inlineStr">
        <is>
          <t>ÖSTERGÖTLANDS LÄN</t>
        </is>
      </c>
      <c r="E241" t="inlineStr">
        <is>
          <t>LINKÖPING</t>
        </is>
      </c>
      <c r="G241" t="n">
        <v>19.3</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46170</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46170</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46170</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63665-2023</t>
        </is>
      </c>
      <c r="B245" s="1" t="n">
        <v>45275</v>
      </c>
      <c r="C245" s="1" t="n">
        <v>46170</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33867-2023</t>
        </is>
      </c>
      <c r="B246" s="1" t="n">
        <v>45133.94640046296</v>
      </c>
      <c r="C246" s="1" t="n">
        <v>46170</v>
      </c>
      <c r="D246" t="inlineStr">
        <is>
          <t>ÖSTERGÖTLANDS LÄN</t>
        </is>
      </c>
      <c r="E246" t="inlineStr">
        <is>
          <t>LINKÖPING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46170</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39438-2025</t>
        </is>
      </c>
      <c r="B248" s="1" t="n">
        <v>45889.68641203704</v>
      </c>
      <c r="C248" s="1" t="n">
        <v>46170</v>
      </c>
      <c r="D248" t="inlineStr">
        <is>
          <t>ÖSTERGÖTLANDS LÄN</t>
        </is>
      </c>
      <c r="E248" t="inlineStr">
        <is>
          <t>LINKÖPING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27264-2025</t>
        </is>
      </c>
      <c r="B249" s="1" t="n">
        <v>45812.4794212963</v>
      </c>
      <c r="C249" s="1" t="n">
        <v>46170</v>
      </c>
      <c r="D249" t="inlineStr">
        <is>
          <t>ÖSTERGÖTLANDS LÄN</t>
        </is>
      </c>
      <c r="E249" t="inlineStr">
        <is>
          <t>LINKÖPING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30985-2022</t>
        </is>
      </c>
      <c r="B250" s="1" t="n">
        <v>44768</v>
      </c>
      <c r="C250" s="1" t="n">
        <v>46170</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38317-2024</t>
        </is>
      </c>
      <c r="B251" s="1" t="n">
        <v>45545.65766203704</v>
      </c>
      <c r="C251" s="1" t="n">
        <v>46170</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48699-2024</t>
        </is>
      </c>
      <c r="B252" s="1" t="n">
        <v>45593.52091435185</v>
      </c>
      <c r="C252" s="1" t="n">
        <v>46170</v>
      </c>
      <c r="D252" t="inlineStr">
        <is>
          <t>ÖSTERGÖTLANDS LÄN</t>
        </is>
      </c>
      <c r="E252" t="inlineStr">
        <is>
          <t>LINKÖPING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39074-2025</t>
        </is>
      </c>
      <c r="B253" s="1" t="n">
        <v>45888</v>
      </c>
      <c r="C253" s="1" t="n">
        <v>46170</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46170</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13911-2025</t>
        </is>
      </c>
      <c r="B255" s="1" t="n">
        <v>45737.64784722222</v>
      </c>
      <c r="C255" s="1" t="n">
        <v>46170</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58947-2022</t>
        </is>
      </c>
      <c r="B256" s="1" t="n">
        <v>44903.64769675926</v>
      </c>
      <c r="C256" s="1" t="n">
        <v>46170</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40169-2025</t>
        </is>
      </c>
      <c r="B257" s="1" t="n">
        <v>45894.62824074074</v>
      </c>
      <c r="C257" s="1" t="n">
        <v>46170</v>
      </c>
      <c r="D257" t="inlineStr">
        <is>
          <t>ÖSTERGÖTLANDS LÄN</t>
        </is>
      </c>
      <c r="E257" t="inlineStr">
        <is>
          <t>LINKÖPING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16665-2023</t>
        </is>
      </c>
      <c r="B258" s="1" t="n">
        <v>45030.5583912037</v>
      </c>
      <c r="C258" s="1" t="n">
        <v>46170</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44280-2024</t>
        </is>
      </c>
      <c r="B259" s="1" t="n">
        <v>45573.49461805556</v>
      </c>
      <c r="C259" s="1" t="n">
        <v>46170</v>
      </c>
      <c r="D259" t="inlineStr">
        <is>
          <t>ÖSTERGÖTLANDS LÄN</t>
        </is>
      </c>
      <c r="E259" t="inlineStr">
        <is>
          <t>LINKÖPING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52111-2025</t>
        </is>
      </c>
      <c r="B260" s="1" t="n">
        <v>45952.69527777778</v>
      </c>
      <c r="C260" s="1" t="n">
        <v>46170</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60001-2022</t>
        </is>
      </c>
      <c r="B261" s="1" t="n">
        <v>44909.47087962963</v>
      </c>
      <c r="C261" s="1" t="n">
        <v>46170</v>
      </c>
      <c r="D261" t="inlineStr">
        <is>
          <t>ÖSTERGÖTLANDS LÄN</t>
        </is>
      </c>
      <c r="E261" t="inlineStr">
        <is>
          <t>LINKÖPING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60013-2022</t>
        </is>
      </c>
      <c r="B262" s="1" t="n">
        <v>44909.47482638889</v>
      </c>
      <c r="C262" s="1" t="n">
        <v>46170</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1211-2023</t>
        </is>
      </c>
      <c r="B263" s="1" t="n">
        <v>44930</v>
      </c>
      <c r="C263" s="1" t="n">
        <v>46170</v>
      </c>
      <c r="D263" t="inlineStr">
        <is>
          <t>ÖSTERGÖTLANDS LÄN</t>
        </is>
      </c>
      <c r="E263" t="inlineStr">
        <is>
          <t>LINKÖPING</t>
        </is>
      </c>
      <c r="F263" t="inlineStr">
        <is>
          <t>Övriga statliga verk och myndigheter</t>
        </is>
      </c>
      <c r="G263" t="n">
        <v>7.9</v>
      </c>
      <c r="H263" t="n">
        <v>0</v>
      </c>
      <c r="I263" t="n">
        <v>0</v>
      </c>
      <c r="J263" t="n">
        <v>0</v>
      </c>
      <c r="K263" t="n">
        <v>0</v>
      </c>
      <c r="L263" t="n">
        <v>0</v>
      </c>
      <c r="M263" t="n">
        <v>0</v>
      </c>
      <c r="N263" t="n">
        <v>0</v>
      </c>
      <c r="O263" t="n">
        <v>0</v>
      </c>
      <c r="P263" t="n">
        <v>0</v>
      </c>
      <c r="Q263" t="n">
        <v>0</v>
      </c>
      <c r="R263" s="2" t="inlineStr"/>
    </row>
    <row r="264" ht="15" customHeight="1">
      <c r="A264" t="inlineStr">
        <is>
          <t>A 38136-2023</t>
        </is>
      </c>
      <c r="B264" s="1" t="n">
        <v>45161.37310185185</v>
      </c>
      <c r="C264" s="1" t="n">
        <v>46170</v>
      </c>
      <c r="D264" t="inlineStr">
        <is>
          <t>ÖSTERGÖTLANDS LÄN</t>
        </is>
      </c>
      <c r="E264" t="inlineStr">
        <is>
          <t>LINKÖPING</t>
        </is>
      </c>
      <c r="G264" t="n">
        <v>5.6</v>
      </c>
      <c r="H264" t="n">
        <v>0</v>
      </c>
      <c r="I264" t="n">
        <v>0</v>
      </c>
      <c r="J264" t="n">
        <v>0</v>
      </c>
      <c r="K264" t="n">
        <v>0</v>
      </c>
      <c r="L264" t="n">
        <v>0</v>
      </c>
      <c r="M264" t="n">
        <v>0</v>
      </c>
      <c r="N264" t="n">
        <v>0</v>
      </c>
      <c r="O264" t="n">
        <v>0</v>
      </c>
      <c r="P264" t="n">
        <v>0</v>
      </c>
      <c r="Q264" t="n">
        <v>0</v>
      </c>
      <c r="R264" s="2" t="inlineStr"/>
    </row>
    <row r="265" ht="15" customHeight="1">
      <c r="A265" t="inlineStr">
        <is>
          <t>A 26002-2025</t>
        </is>
      </c>
      <c r="B265" s="1" t="n">
        <v>45804.66534722222</v>
      </c>
      <c r="C265" s="1" t="n">
        <v>46170</v>
      </c>
      <c r="D265" t="inlineStr">
        <is>
          <t>ÖSTERGÖTLANDS LÄN</t>
        </is>
      </c>
      <c r="E265" t="inlineStr">
        <is>
          <t>LINKÖPING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12317-2025</t>
        </is>
      </c>
      <c r="B266" s="1" t="n">
        <v>45729.8487037037</v>
      </c>
      <c r="C266" s="1" t="n">
        <v>46170</v>
      </c>
      <c r="D266" t="inlineStr">
        <is>
          <t>ÖSTERGÖTLANDS LÄN</t>
        </is>
      </c>
      <c r="E266" t="inlineStr">
        <is>
          <t>LINKÖPING</t>
        </is>
      </c>
      <c r="G266" t="n">
        <v>8</v>
      </c>
      <c r="H266" t="n">
        <v>0</v>
      </c>
      <c r="I266" t="n">
        <v>0</v>
      </c>
      <c r="J266" t="n">
        <v>0</v>
      </c>
      <c r="K266" t="n">
        <v>0</v>
      </c>
      <c r="L266" t="n">
        <v>0</v>
      </c>
      <c r="M266" t="n">
        <v>0</v>
      </c>
      <c r="N266" t="n">
        <v>0</v>
      </c>
      <c r="O266" t="n">
        <v>0</v>
      </c>
      <c r="P266" t="n">
        <v>0</v>
      </c>
      <c r="Q266" t="n">
        <v>0</v>
      </c>
      <c r="R266" s="2" t="inlineStr"/>
    </row>
    <row r="267" ht="15" customHeight="1">
      <c r="A267" t="inlineStr">
        <is>
          <t>A 36557-2023</t>
        </is>
      </c>
      <c r="B267" s="1" t="n">
        <v>45153</v>
      </c>
      <c r="C267" s="1" t="n">
        <v>46170</v>
      </c>
      <c r="D267" t="inlineStr">
        <is>
          <t>ÖSTERGÖTLANDS LÄN</t>
        </is>
      </c>
      <c r="E267" t="inlineStr">
        <is>
          <t>LINKÖPING</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25996-2025</t>
        </is>
      </c>
      <c r="B268" s="1" t="n">
        <v>45804.65851851852</v>
      </c>
      <c r="C268" s="1" t="n">
        <v>46170</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2085-2024</t>
        </is>
      </c>
      <c r="B269" s="1" t="n">
        <v>45309</v>
      </c>
      <c r="C269" s="1" t="n">
        <v>46170</v>
      </c>
      <c r="D269" t="inlineStr">
        <is>
          <t>ÖSTERGÖTLANDS LÄN</t>
        </is>
      </c>
      <c r="E269" t="inlineStr">
        <is>
          <t>LINKÖPING</t>
        </is>
      </c>
      <c r="G269" t="n">
        <v>4.5</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46170</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30468-2023</t>
        </is>
      </c>
      <c r="B271" s="1" t="n">
        <v>45111.58732638889</v>
      </c>
      <c r="C271" s="1" t="n">
        <v>46170</v>
      </c>
      <c r="D271" t="inlineStr">
        <is>
          <t>ÖSTERGÖTLANDS LÄN</t>
        </is>
      </c>
      <c r="E271" t="inlineStr">
        <is>
          <t>LINKÖPING</t>
        </is>
      </c>
      <c r="G271" t="n">
        <v>10.1</v>
      </c>
      <c r="H271" t="n">
        <v>0</v>
      </c>
      <c r="I271" t="n">
        <v>0</v>
      </c>
      <c r="J271" t="n">
        <v>0</v>
      </c>
      <c r="K271" t="n">
        <v>0</v>
      </c>
      <c r="L271" t="n">
        <v>0</v>
      </c>
      <c r="M271" t="n">
        <v>0</v>
      </c>
      <c r="N271" t="n">
        <v>0</v>
      </c>
      <c r="O271" t="n">
        <v>0</v>
      </c>
      <c r="P271" t="n">
        <v>0</v>
      </c>
      <c r="Q271" t="n">
        <v>0</v>
      </c>
      <c r="R271" s="2" t="inlineStr"/>
    </row>
    <row r="272" ht="15" customHeight="1">
      <c r="A272" t="inlineStr">
        <is>
          <t>A 38715-2023</t>
        </is>
      </c>
      <c r="B272" s="1" t="n">
        <v>45160</v>
      </c>
      <c r="C272" s="1" t="n">
        <v>46170</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41706-2025</t>
        </is>
      </c>
      <c r="B273" s="1" t="n">
        <v>45902.42209490741</v>
      </c>
      <c r="C273" s="1" t="n">
        <v>46170</v>
      </c>
      <c r="D273" t="inlineStr">
        <is>
          <t>ÖSTERGÖTLANDS LÄN</t>
        </is>
      </c>
      <c r="E273" t="inlineStr">
        <is>
          <t>LINKÖPING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3042-2024</t>
        </is>
      </c>
      <c r="B274" s="1" t="n">
        <v>45316.35028935185</v>
      </c>
      <c r="C274" s="1" t="n">
        <v>46170</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34864-2023</t>
        </is>
      </c>
      <c r="B275" s="1" t="n">
        <v>45141</v>
      </c>
      <c r="C275" s="1" t="n">
        <v>46170</v>
      </c>
      <c r="D275" t="inlineStr">
        <is>
          <t>ÖSTERGÖTLANDS LÄN</t>
        </is>
      </c>
      <c r="E275" t="inlineStr">
        <is>
          <t>LINKÖPING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46687-2021</t>
        </is>
      </c>
      <c r="B276" s="1" t="n">
        <v>44445</v>
      </c>
      <c r="C276" s="1" t="n">
        <v>46170</v>
      </c>
      <c r="D276" t="inlineStr">
        <is>
          <t>ÖSTERGÖTLANDS LÄN</t>
        </is>
      </c>
      <c r="E276" t="inlineStr">
        <is>
          <t>LINKÖPING</t>
        </is>
      </c>
      <c r="F276" t="inlineStr">
        <is>
          <t>Övriga statliga verk och myndigheter</t>
        </is>
      </c>
      <c r="G276" t="n">
        <v>2.3</v>
      </c>
      <c r="H276" t="n">
        <v>0</v>
      </c>
      <c r="I276" t="n">
        <v>0</v>
      </c>
      <c r="J276" t="n">
        <v>0</v>
      </c>
      <c r="K276" t="n">
        <v>0</v>
      </c>
      <c r="L276" t="n">
        <v>0</v>
      </c>
      <c r="M276" t="n">
        <v>0</v>
      </c>
      <c r="N276" t="n">
        <v>0</v>
      </c>
      <c r="O276" t="n">
        <v>0</v>
      </c>
      <c r="P276" t="n">
        <v>0</v>
      </c>
      <c r="Q276" t="n">
        <v>0</v>
      </c>
      <c r="R276" s="2" t="inlineStr"/>
    </row>
    <row r="277" ht="15" customHeight="1">
      <c r="A277" t="inlineStr">
        <is>
          <t>A 29293-2025</t>
        </is>
      </c>
      <c r="B277" s="1" t="n">
        <v>45824</v>
      </c>
      <c r="C277" s="1" t="n">
        <v>46170</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42624-2025</t>
        </is>
      </c>
      <c r="B278" s="1" t="n">
        <v>45905</v>
      </c>
      <c r="C278" s="1" t="n">
        <v>46170</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42626-2025</t>
        </is>
      </c>
      <c r="B279" s="1" t="n">
        <v>45905</v>
      </c>
      <c r="C279" s="1" t="n">
        <v>46170</v>
      </c>
      <c r="D279" t="inlineStr">
        <is>
          <t>ÖSTERGÖTLANDS LÄN</t>
        </is>
      </c>
      <c r="E279" t="inlineStr">
        <is>
          <t>LINKÖPING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17103-2025</t>
        </is>
      </c>
      <c r="B280" s="1" t="n">
        <v>45755.66143518518</v>
      </c>
      <c r="C280" s="1" t="n">
        <v>46170</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52740-2025</t>
        </is>
      </c>
      <c r="B281" s="1" t="n">
        <v>45957.37747685185</v>
      </c>
      <c r="C281" s="1" t="n">
        <v>46170</v>
      </c>
      <c r="D281" t="inlineStr">
        <is>
          <t>ÖSTERGÖTLANDS LÄN</t>
        </is>
      </c>
      <c r="E281" t="inlineStr">
        <is>
          <t>LINKÖPING</t>
        </is>
      </c>
      <c r="G281" t="n">
        <v>3.7</v>
      </c>
      <c r="H281" t="n">
        <v>0</v>
      </c>
      <c r="I281" t="n">
        <v>0</v>
      </c>
      <c r="J281" t="n">
        <v>0</v>
      </c>
      <c r="K281" t="n">
        <v>0</v>
      </c>
      <c r="L281" t="n">
        <v>0</v>
      </c>
      <c r="M281" t="n">
        <v>0</v>
      </c>
      <c r="N281" t="n">
        <v>0</v>
      </c>
      <c r="O281" t="n">
        <v>0</v>
      </c>
      <c r="P281" t="n">
        <v>0</v>
      </c>
      <c r="Q281" t="n">
        <v>0</v>
      </c>
      <c r="R281" s="2" t="inlineStr"/>
    </row>
    <row r="282" ht="15" customHeight="1">
      <c r="A282" t="inlineStr">
        <is>
          <t>A 42623-2025</t>
        </is>
      </c>
      <c r="B282" s="1" t="n">
        <v>45905</v>
      </c>
      <c r="C282" s="1" t="n">
        <v>46170</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52800-2025</t>
        </is>
      </c>
      <c r="B283" s="1" t="n">
        <v>45957.44152777778</v>
      </c>
      <c r="C283" s="1" t="n">
        <v>46170</v>
      </c>
      <c r="D283" t="inlineStr">
        <is>
          <t>ÖSTERGÖTLANDS LÄN</t>
        </is>
      </c>
      <c r="E283" t="inlineStr">
        <is>
          <t>LINKÖPING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52802-2025</t>
        </is>
      </c>
      <c r="B284" s="1" t="n">
        <v>45957.44295138889</v>
      </c>
      <c r="C284" s="1" t="n">
        <v>46170</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52743-2025</t>
        </is>
      </c>
      <c r="B285" s="1" t="n">
        <v>45957.38039351852</v>
      </c>
      <c r="C285" s="1" t="n">
        <v>46170</v>
      </c>
      <c r="D285" t="inlineStr">
        <is>
          <t>ÖSTERGÖTLANDS LÄN</t>
        </is>
      </c>
      <c r="E285" t="inlineStr">
        <is>
          <t>LINKÖPING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52807-2025</t>
        </is>
      </c>
      <c r="B286" s="1" t="n">
        <v>45957.44837962963</v>
      </c>
      <c r="C286" s="1" t="n">
        <v>46170</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40618-2021</t>
        </is>
      </c>
      <c r="B287" s="1" t="n">
        <v>44420.49575231481</v>
      </c>
      <c r="C287" s="1" t="n">
        <v>46170</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56180-2024</t>
        </is>
      </c>
      <c r="B288" s="1" t="n">
        <v>45624.56611111111</v>
      </c>
      <c r="C288" s="1" t="n">
        <v>46170</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54332-2025</t>
        </is>
      </c>
      <c r="B289" s="1" t="n">
        <v>45965.34915509259</v>
      </c>
      <c r="C289" s="1" t="n">
        <v>46170</v>
      </c>
      <c r="D289" t="inlineStr">
        <is>
          <t>ÖSTERGÖTLANDS LÄN</t>
        </is>
      </c>
      <c r="E289" t="inlineStr">
        <is>
          <t>LINKÖPING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54329-2025</t>
        </is>
      </c>
      <c r="B290" s="1" t="n">
        <v>45965.34706018519</v>
      </c>
      <c r="C290" s="1" t="n">
        <v>46170</v>
      </c>
      <c r="D290" t="inlineStr">
        <is>
          <t>ÖSTERGÖTLANDS LÄN</t>
        </is>
      </c>
      <c r="E290" t="inlineStr">
        <is>
          <t>LINKÖPING</t>
        </is>
      </c>
      <c r="F290" t="inlineStr">
        <is>
          <t>Sveaskog</t>
        </is>
      </c>
      <c r="G290" t="n">
        <v>5.1</v>
      </c>
      <c r="H290" t="n">
        <v>0</v>
      </c>
      <c r="I290" t="n">
        <v>0</v>
      </c>
      <c r="J290" t="n">
        <v>0</v>
      </c>
      <c r="K290" t="n">
        <v>0</v>
      </c>
      <c r="L290" t="n">
        <v>0</v>
      </c>
      <c r="M290" t="n">
        <v>0</v>
      </c>
      <c r="N290" t="n">
        <v>0</v>
      </c>
      <c r="O290" t="n">
        <v>0</v>
      </c>
      <c r="P290" t="n">
        <v>0</v>
      </c>
      <c r="Q290" t="n">
        <v>0</v>
      </c>
      <c r="R290" s="2" t="inlineStr"/>
    </row>
    <row r="291" ht="15" customHeight="1">
      <c r="A291" t="inlineStr">
        <is>
          <t>A 30471-2023</t>
        </is>
      </c>
      <c r="B291" s="1" t="n">
        <v>45111.58931712963</v>
      </c>
      <c r="C291" s="1" t="n">
        <v>46170</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46170</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227-2024</t>
        </is>
      </c>
      <c r="B293" s="1" t="n">
        <v>45294.73603009259</v>
      </c>
      <c r="C293" s="1" t="n">
        <v>46170</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27797-2025</t>
        </is>
      </c>
      <c r="B294" s="1" t="n">
        <v>45816.80521990741</v>
      </c>
      <c r="C294" s="1" t="n">
        <v>46170</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27798-2025</t>
        </is>
      </c>
      <c r="B295" s="1" t="n">
        <v>45816.81532407407</v>
      </c>
      <c r="C295" s="1" t="n">
        <v>46170</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28200-2025</t>
        </is>
      </c>
      <c r="B296" s="1" t="n">
        <v>45818.4428125</v>
      </c>
      <c r="C296" s="1" t="n">
        <v>46170</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44155-2024</t>
        </is>
      </c>
      <c r="B297" s="1" t="n">
        <v>45572.68226851852</v>
      </c>
      <c r="C297" s="1" t="n">
        <v>46170</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28204-2025</t>
        </is>
      </c>
      <c r="B298" s="1" t="n">
        <v>45818.4477662037</v>
      </c>
      <c r="C298" s="1" t="n">
        <v>46170</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28416-2025</t>
        </is>
      </c>
      <c r="B299" s="1" t="n">
        <v>45819.35346064815</v>
      </c>
      <c r="C299" s="1" t="n">
        <v>46170</v>
      </c>
      <c r="D299" t="inlineStr">
        <is>
          <t>ÖSTERGÖTLANDS LÄN</t>
        </is>
      </c>
      <c r="E299" t="inlineStr">
        <is>
          <t>LINKÖPING</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44170-2025</t>
        </is>
      </c>
      <c r="B300" s="1" t="n">
        <v>45915.59864583334</v>
      </c>
      <c r="C300" s="1" t="n">
        <v>46170</v>
      </c>
      <c r="D300" t="inlineStr">
        <is>
          <t>ÖSTERGÖTLANDS LÄN</t>
        </is>
      </c>
      <c r="E300" t="inlineStr">
        <is>
          <t>LINKÖPING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30434-2024</t>
        </is>
      </c>
      <c r="B301" s="1" t="n">
        <v>45491.69811342593</v>
      </c>
      <c r="C301" s="1" t="n">
        <v>46170</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56917-2022</t>
        </is>
      </c>
      <c r="B302" s="1" t="n">
        <v>44894</v>
      </c>
      <c r="C302" s="1" t="n">
        <v>46170</v>
      </c>
      <c r="D302" t="inlineStr">
        <is>
          <t>ÖSTERGÖTLANDS LÄN</t>
        </is>
      </c>
      <c r="E302" t="inlineStr">
        <is>
          <t>LINKÖPING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57766-2023</t>
        </is>
      </c>
      <c r="B303" s="1" t="n">
        <v>45246</v>
      </c>
      <c r="C303" s="1" t="n">
        <v>46170</v>
      </c>
      <c r="D303" t="inlineStr">
        <is>
          <t>ÖSTERGÖTLANDS LÄN</t>
        </is>
      </c>
      <c r="E303" t="inlineStr">
        <is>
          <t>LINKÖPING</t>
        </is>
      </c>
      <c r="F303" t="inlineStr">
        <is>
          <t>Allmännings- och besparingsskogar</t>
        </is>
      </c>
      <c r="G303" t="n">
        <v>12.8</v>
      </c>
      <c r="H303" t="n">
        <v>0</v>
      </c>
      <c r="I303" t="n">
        <v>0</v>
      </c>
      <c r="J303" t="n">
        <v>0</v>
      </c>
      <c r="K303" t="n">
        <v>0</v>
      </c>
      <c r="L303" t="n">
        <v>0</v>
      </c>
      <c r="M303" t="n">
        <v>0</v>
      </c>
      <c r="N303" t="n">
        <v>0</v>
      </c>
      <c r="O303" t="n">
        <v>0</v>
      </c>
      <c r="P303" t="n">
        <v>0</v>
      </c>
      <c r="Q303" t="n">
        <v>0</v>
      </c>
      <c r="R303" s="2" t="inlineStr"/>
    </row>
    <row r="304" ht="15" customHeight="1">
      <c r="A304" t="inlineStr">
        <is>
          <t>A 43755-2025</t>
        </is>
      </c>
      <c r="B304" s="1" t="n">
        <v>45912.47329861111</v>
      </c>
      <c r="C304" s="1" t="n">
        <v>46170</v>
      </c>
      <c r="D304" t="inlineStr">
        <is>
          <t>ÖSTERGÖTLANDS LÄN</t>
        </is>
      </c>
      <c r="E304" t="inlineStr">
        <is>
          <t>LINKÖPING</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43758-2025</t>
        </is>
      </c>
      <c r="B305" s="1" t="n">
        <v>45912.47711805555</v>
      </c>
      <c r="C305" s="1" t="n">
        <v>46170</v>
      </c>
      <c r="D305" t="inlineStr">
        <is>
          <t>ÖSTERGÖTLANDS LÄN</t>
        </is>
      </c>
      <c r="E305" t="inlineStr">
        <is>
          <t>LINKÖPING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28398-2025</t>
        </is>
      </c>
      <c r="B306" s="1" t="n">
        <v>45819.34208333334</v>
      </c>
      <c r="C306" s="1" t="n">
        <v>46170</v>
      </c>
      <c r="D306" t="inlineStr">
        <is>
          <t>ÖSTERGÖTLANDS LÄN</t>
        </is>
      </c>
      <c r="E306" t="inlineStr">
        <is>
          <t>LINKÖPING</t>
        </is>
      </c>
      <c r="F306" t="inlineStr">
        <is>
          <t>Sveaskog</t>
        </is>
      </c>
      <c r="G306" t="n">
        <v>7.9</v>
      </c>
      <c r="H306" t="n">
        <v>0</v>
      </c>
      <c r="I306" t="n">
        <v>0</v>
      </c>
      <c r="J306" t="n">
        <v>0</v>
      </c>
      <c r="K306" t="n">
        <v>0</v>
      </c>
      <c r="L306" t="n">
        <v>0</v>
      </c>
      <c r="M306" t="n">
        <v>0</v>
      </c>
      <c r="N306" t="n">
        <v>0</v>
      </c>
      <c r="O306" t="n">
        <v>0</v>
      </c>
      <c r="P306" t="n">
        <v>0</v>
      </c>
      <c r="Q306" t="n">
        <v>0</v>
      </c>
      <c r="R306" s="2" t="inlineStr"/>
    </row>
    <row r="307" ht="15" customHeight="1">
      <c r="A307" t="inlineStr">
        <is>
          <t>A 28209-2025</t>
        </is>
      </c>
      <c r="B307" s="1" t="n">
        <v>45818.45112268518</v>
      </c>
      <c r="C307" s="1" t="n">
        <v>46170</v>
      </c>
      <c r="D307" t="inlineStr">
        <is>
          <t>ÖSTERGÖTLANDS LÄN</t>
        </is>
      </c>
      <c r="E307" t="inlineStr">
        <is>
          <t>LINKÖPING</t>
        </is>
      </c>
      <c r="G307" t="n">
        <v>4.2</v>
      </c>
      <c r="H307" t="n">
        <v>0</v>
      </c>
      <c r="I307" t="n">
        <v>0</v>
      </c>
      <c r="J307" t="n">
        <v>0</v>
      </c>
      <c r="K307" t="n">
        <v>0</v>
      </c>
      <c r="L307" t="n">
        <v>0</v>
      </c>
      <c r="M307" t="n">
        <v>0</v>
      </c>
      <c r="N307" t="n">
        <v>0</v>
      </c>
      <c r="O307" t="n">
        <v>0</v>
      </c>
      <c r="P307" t="n">
        <v>0</v>
      </c>
      <c r="Q307" t="n">
        <v>0</v>
      </c>
      <c r="R307" s="2" t="inlineStr"/>
    </row>
    <row r="308" ht="15" customHeight="1">
      <c r="A308" t="inlineStr">
        <is>
          <t>A 43753-2025</t>
        </is>
      </c>
      <c r="B308" s="1" t="n">
        <v>45912.4715625</v>
      </c>
      <c r="C308" s="1" t="n">
        <v>46170</v>
      </c>
      <c r="D308" t="inlineStr">
        <is>
          <t>ÖSTERGÖTLANDS LÄN</t>
        </is>
      </c>
      <c r="E308" t="inlineStr">
        <is>
          <t>LINKÖPING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54333-2025</t>
        </is>
      </c>
      <c r="B309" s="1" t="n">
        <v>45965.35090277778</v>
      </c>
      <c r="C309" s="1" t="n">
        <v>46170</v>
      </c>
      <c r="D309" t="inlineStr">
        <is>
          <t>ÖSTERGÖTLANDS LÄN</t>
        </is>
      </c>
      <c r="E309" t="inlineStr">
        <is>
          <t>LINKÖPING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44759-2025</t>
        </is>
      </c>
      <c r="B310" s="1" t="n">
        <v>45917.7152662037</v>
      </c>
      <c r="C310" s="1" t="n">
        <v>46170</v>
      </c>
      <c r="D310" t="inlineStr">
        <is>
          <t>ÖSTERGÖTLANDS LÄN</t>
        </is>
      </c>
      <c r="E310" t="inlineStr">
        <is>
          <t>LINKÖPING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29027-2025</t>
        </is>
      </c>
      <c r="B311" s="1" t="n">
        <v>45821.4375462963</v>
      </c>
      <c r="C311" s="1" t="n">
        <v>46170</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29411-2025</t>
        </is>
      </c>
      <c r="B312" s="1" t="n">
        <v>45824.6219212963</v>
      </c>
      <c r="C312" s="1" t="n">
        <v>46170</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44764-2025</t>
        </is>
      </c>
      <c r="B313" s="1" t="n">
        <v>45917.72821759259</v>
      </c>
      <c r="C313" s="1" t="n">
        <v>46170</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25568-2024</t>
        </is>
      </c>
      <c r="B314" s="1" t="n">
        <v>45463.58699074074</v>
      </c>
      <c r="C314" s="1" t="n">
        <v>46170</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29599-2025</t>
        </is>
      </c>
      <c r="B315" s="1" t="n">
        <v>45825.41101851852</v>
      </c>
      <c r="C315" s="1" t="n">
        <v>46170</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45112-2025</t>
        </is>
      </c>
      <c r="B316" s="1" t="n">
        <v>45919</v>
      </c>
      <c r="C316" s="1" t="n">
        <v>46170</v>
      </c>
      <c r="D316" t="inlineStr">
        <is>
          <t>ÖSTERGÖTLANDS LÄN</t>
        </is>
      </c>
      <c r="E316" t="inlineStr">
        <is>
          <t>LINKÖPING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46170</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30355-2025</t>
        </is>
      </c>
      <c r="B318" s="1" t="n">
        <v>45827</v>
      </c>
      <c r="C318" s="1" t="n">
        <v>46170</v>
      </c>
      <c r="D318" t="inlineStr">
        <is>
          <t>ÖSTERGÖTLANDS LÄN</t>
        </is>
      </c>
      <c r="E318" t="inlineStr">
        <is>
          <t>LINKÖPING</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45634-2025</t>
        </is>
      </c>
      <c r="B319" s="1" t="n">
        <v>45922.85089120371</v>
      </c>
      <c r="C319" s="1" t="n">
        <v>46170</v>
      </c>
      <c r="D319" t="inlineStr">
        <is>
          <t>ÖSTERGÖTLANDS LÄN</t>
        </is>
      </c>
      <c r="E319" t="inlineStr">
        <is>
          <t>LINKÖPING</t>
        </is>
      </c>
      <c r="F319" t="inlineStr">
        <is>
          <t>Övriga Aktiebolag</t>
        </is>
      </c>
      <c r="G319" t="n">
        <v>0.3</v>
      </c>
      <c r="H319" t="n">
        <v>0</v>
      </c>
      <c r="I319" t="n">
        <v>0</v>
      </c>
      <c r="J319" t="n">
        <v>0</v>
      </c>
      <c r="K319" t="n">
        <v>0</v>
      </c>
      <c r="L319" t="n">
        <v>0</v>
      </c>
      <c r="M319" t="n">
        <v>0</v>
      </c>
      <c r="N319" t="n">
        <v>0</v>
      </c>
      <c r="O319" t="n">
        <v>0</v>
      </c>
      <c r="P319" t="n">
        <v>0</v>
      </c>
      <c r="Q319" t="n">
        <v>0</v>
      </c>
      <c r="R319" s="2" t="inlineStr"/>
    </row>
    <row r="320" ht="15" customHeight="1">
      <c r="A320" t="inlineStr">
        <is>
          <t>A 30353-2025</t>
        </is>
      </c>
      <c r="B320" s="1" t="n">
        <v>45827</v>
      </c>
      <c r="C320" s="1" t="n">
        <v>46170</v>
      </c>
      <c r="D320" t="inlineStr">
        <is>
          <t>ÖSTERGÖTLANDS LÄN</t>
        </is>
      </c>
      <c r="E320" t="inlineStr">
        <is>
          <t>LINKÖPING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2997-2025</t>
        </is>
      </c>
      <c r="B321" s="1" t="n">
        <v>45678.54631944445</v>
      </c>
      <c r="C321" s="1" t="n">
        <v>46170</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41345-2021</t>
        </is>
      </c>
      <c r="B322" s="1" t="n">
        <v>44424.61851851852</v>
      </c>
      <c r="C322" s="1" t="n">
        <v>46170</v>
      </c>
      <c r="D322" t="inlineStr">
        <is>
          <t>ÖSTERGÖTLANDS LÄN</t>
        </is>
      </c>
      <c r="E322" t="inlineStr">
        <is>
          <t>LINKÖPING</t>
        </is>
      </c>
      <c r="F322" t="inlineStr">
        <is>
          <t>Sveaskog</t>
        </is>
      </c>
      <c r="G322" t="n">
        <v>6.3</v>
      </c>
      <c r="H322" t="n">
        <v>0</v>
      </c>
      <c r="I322" t="n">
        <v>0</v>
      </c>
      <c r="J322" t="n">
        <v>0</v>
      </c>
      <c r="K322" t="n">
        <v>0</v>
      </c>
      <c r="L322" t="n">
        <v>0</v>
      </c>
      <c r="M322" t="n">
        <v>0</v>
      </c>
      <c r="N322" t="n">
        <v>0</v>
      </c>
      <c r="O322" t="n">
        <v>0</v>
      </c>
      <c r="P322" t="n">
        <v>0</v>
      </c>
      <c r="Q322" t="n">
        <v>0</v>
      </c>
      <c r="R322" s="2" t="inlineStr"/>
    </row>
    <row r="323" ht="15" customHeight="1">
      <c r="A323" t="inlineStr">
        <is>
          <t>A 13266-2025</t>
        </is>
      </c>
      <c r="B323" s="1" t="n">
        <v>45735.53318287037</v>
      </c>
      <c r="C323" s="1" t="n">
        <v>46170</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16213-2025</t>
        </is>
      </c>
      <c r="B324" s="1" t="n">
        <v>45750.62740740741</v>
      </c>
      <c r="C324" s="1" t="n">
        <v>46170</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45792-2025</t>
        </is>
      </c>
      <c r="B325" s="1" t="n">
        <v>45923.56998842592</v>
      </c>
      <c r="C325" s="1" t="n">
        <v>46170</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45804-2025</t>
        </is>
      </c>
      <c r="B326" s="1" t="n">
        <v>45923.5819675926</v>
      </c>
      <c r="C326" s="1" t="n">
        <v>46170</v>
      </c>
      <c r="D326" t="inlineStr">
        <is>
          <t>ÖSTERGÖTLANDS LÄN</t>
        </is>
      </c>
      <c r="E326" t="inlineStr">
        <is>
          <t>LINKÖPING</t>
        </is>
      </c>
      <c r="G326" t="n">
        <v>3.3</v>
      </c>
      <c r="H326" t="n">
        <v>0</v>
      </c>
      <c r="I326" t="n">
        <v>0</v>
      </c>
      <c r="J326" t="n">
        <v>0</v>
      </c>
      <c r="K326" t="n">
        <v>0</v>
      </c>
      <c r="L326" t="n">
        <v>0</v>
      </c>
      <c r="M326" t="n">
        <v>0</v>
      </c>
      <c r="N326" t="n">
        <v>0</v>
      </c>
      <c r="O326" t="n">
        <v>0</v>
      </c>
      <c r="P326" t="n">
        <v>0</v>
      </c>
      <c r="Q326" t="n">
        <v>0</v>
      </c>
      <c r="R326" s="2" t="inlineStr"/>
    </row>
    <row r="327" ht="15" customHeight="1">
      <c r="A327" t="inlineStr">
        <is>
          <t>A 46426-2025</t>
        </is>
      </c>
      <c r="B327" s="1" t="n">
        <v>45925.6012962963</v>
      </c>
      <c r="C327" s="1" t="n">
        <v>46170</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46170</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46225-2021</t>
        </is>
      </c>
      <c r="B329" s="1" t="n">
        <v>44442</v>
      </c>
      <c r="C329" s="1" t="n">
        <v>46170</v>
      </c>
      <c r="D329" t="inlineStr">
        <is>
          <t>ÖSTERGÖTLANDS LÄN</t>
        </is>
      </c>
      <c r="E329" t="inlineStr">
        <is>
          <t>LINKÖPING</t>
        </is>
      </c>
      <c r="G329" t="n">
        <v>2.9</v>
      </c>
      <c r="H329" t="n">
        <v>0</v>
      </c>
      <c r="I329" t="n">
        <v>0</v>
      </c>
      <c r="J329" t="n">
        <v>0</v>
      </c>
      <c r="K329" t="n">
        <v>0</v>
      </c>
      <c r="L329" t="n">
        <v>0</v>
      </c>
      <c r="M329" t="n">
        <v>0</v>
      </c>
      <c r="N329" t="n">
        <v>0</v>
      </c>
      <c r="O329" t="n">
        <v>0</v>
      </c>
      <c r="P329" t="n">
        <v>0</v>
      </c>
      <c r="Q329" t="n">
        <v>0</v>
      </c>
      <c r="R329" s="2" t="inlineStr"/>
    </row>
    <row r="330" ht="15" customHeight="1">
      <c r="A330" t="inlineStr">
        <is>
          <t>A 25776-2021</t>
        </is>
      </c>
      <c r="B330" s="1" t="n">
        <v>44343</v>
      </c>
      <c r="C330" s="1" t="n">
        <v>46170</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46377-2025</t>
        </is>
      </c>
      <c r="B331" s="1" t="n">
        <v>45925.51773148148</v>
      </c>
      <c r="C331" s="1" t="n">
        <v>46170</v>
      </c>
      <c r="D331" t="inlineStr">
        <is>
          <t>ÖSTERGÖTLANDS LÄN</t>
        </is>
      </c>
      <c r="E331" t="inlineStr">
        <is>
          <t>LINKÖPING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51484-2023</t>
        </is>
      </c>
      <c r="B332" s="1" t="n">
        <v>45222</v>
      </c>
      <c r="C332" s="1" t="n">
        <v>46170</v>
      </c>
      <c r="D332" t="inlineStr">
        <is>
          <t>ÖSTERGÖTLANDS LÄN</t>
        </is>
      </c>
      <c r="E332" t="inlineStr">
        <is>
          <t>LINKÖPING</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31581-2025</t>
        </is>
      </c>
      <c r="B333" s="1" t="n">
        <v>45833.6840162037</v>
      </c>
      <c r="C333" s="1" t="n">
        <v>46170</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31585-2025</t>
        </is>
      </c>
      <c r="B334" s="1" t="n">
        <v>45833.68815972222</v>
      </c>
      <c r="C334" s="1" t="n">
        <v>46170</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17898-2022</t>
        </is>
      </c>
      <c r="B335" s="1" t="n">
        <v>44683</v>
      </c>
      <c r="C335" s="1" t="n">
        <v>46170</v>
      </c>
      <c r="D335" t="inlineStr">
        <is>
          <t>ÖSTERGÖTLANDS LÄN</t>
        </is>
      </c>
      <c r="E335" t="inlineStr">
        <is>
          <t>LINKÖPING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55102-2025</t>
        </is>
      </c>
      <c r="B336" s="1" t="n">
        <v>45968.35410879629</v>
      </c>
      <c r="C336" s="1" t="n">
        <v>46170</v>
      </c>
      <c r="D336" t="inlineStr">
        <is>
          <t>ÖSTERGÖTLANDS LÄN</t>
        </is>
      </c>
      <c r="E336" t="inlineStr">
        <is>
          <t>LINKÖPING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55132-2025</t>
        </is>
      </c>
      <c r="B337" s="1" t="n">
        <v>45968.41912037037</v>
      </c>
      <c r="C337" s="1" t="n">
        <v>46170</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63487-2023</t>
        </is>
      </c>
      <c r="B338" s="1" t="n">
        <v>45274.66712962963</v>
      </c>
      <c r="C338" s="1" t="n">
        <v>46170</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35463-2023</t>
        </is>
      </c>
      <c r="B339" s="1" t="n">
        <v>45146</v>
      </c>
      <c r="C339" s="1" t="n">
        <v>46170</v>
      </c>
      <c r="D339" t="inlineStr">
        <is>
          <t>ÖSTERGÖTLANDS LÄN</t>
        </is>
      </c>
      <c r="E339" t="inlineStr">
        <is>
          <t>LINKÖPING</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55109-2025</t>
        </is>
      </c>
      <c r="B340" s="1" t="n">
        <v>45968.37731481482</v>
      </c>
      <c r="C340" s="1" t="n">
        <v>46170</v>
      </c>
      <c r="D340" t="inlineStr">
        <is>
          <t>ÖSTERGÖTLANDS LÄN</t>
        </is>
      </c>
      <c r="E340" t="inlineStr">
        <is>
          <t>LINKÖPING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46847-2025</t>
        </is>
      </c>
      <c r="B341" s="1" t="n">
        <v>45928.69971064815</v>
      </c>
      <c r="C341" s="1" t="n">
        <v>46170</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55632-2022</t>
        </is>
      </c>
      <c r="B342" s="1" t="n">
        <v>44888</v>
      </c>
      <c r="C342" s="1" t="n">
        <v>46170</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63559-2023</t>
        </is>
      </c>
      <c r="B343" s="1" t="n">
        <v>45275.35924768518</v>
      </c>
      <c r="C343" s="1" t="n">
        <v>46170</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47233-2025</t>
        </is>
      </c>
      <c r="B344" s="1" t="n">
        <v>45930.40612268518</v>
      </c>
      <c r="C344" s="1" t="n">
        <v>46170</v>
      </c>
      <c r="D344" t="inlineStr">
        <is>
          <t>ÖSTERGÖTLANDS LÄN</t>
        </is>
      </c>
      <c r="E344" t="inlineStr">
        <is>
          <t>LINKÖPING</t>
        </is>
      </c>
      <c r="G344" t="n">
        <v>4.3</v>
      </c>
      <c r="H344" t="n">
        <v>0</v>
      </c>
      <c r="I344" t="n">
        <v>0</v>
      </c>
      <c r="J344" t="n">
        <v>0</v>
      </c>
      <c r="K344" t="n">
        <v>0</v>
      </c>
      <c r="L344" t="n">
        <v>0</v>
      </c>
      <c r="M344" t="n">
        <v>0</v>
      </c>
      <c r="N344" t="n">
        <v>0</v>
      </c>
      <c r="O344" t="n">
        <v>0</v>
      </c>
      <c r="P344" t="n">
        <v>0</v>
      </c>
      <c r="Q344" t="n">
        <v>0</v>
      </c>
      <c r="R344" s="2" t="inlineStr"/>
    </row>
    <row r="345" ht="15" customHeight="1">
      <c r="A345" t="inlineStr">
        <is>
          <t>A 55165-2025</t>
        </is>
      </c>
      <c r="B345" s="1" t="n">
        <v>45968.48194444444</v>
      </c>
      <c r="C345" s="1" t="n">
        <v>46170</v>
      </c>
      <c r="D345" t="inlineStr">
        <is>
          <t>ÖSTERGÖTLANDS LÄN</t>
        </is>
      </c>
      <c r="E345" t="inlineStr">
        <is>
          <t>LINKÖPING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46170</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46170</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46170</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32723-2025</t>
        </is>
      </c>
      <c r="B349" s="1" t="n">
        <v>45838</v>
      </c>
      <c r="C349" s="1" t="n">
        <v>46170</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55944-2024</t>
        </is>
      </c>
      <c r="B350" s="1" t="n">
        <v>45623.61640046296</v>
      </c>
      <c r="C350" s="1" t="n">
        <v>46170</v>
      </c>
      <c r="D350" t="inlineStr">
        <is>
          <t>ÖSTERGÖTLANDS LÄN</t>
        </is>
      </c>
      <c r="E350" t="inlineStr">
        <is>
          <t>LINKÖPING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55947-2024</t>
        </is>
      </c>
      <c r="B351" s="1" t="n">
        <v>45623</v>
      </c>
      <c r="C351" s="1" t="n">
        <v>46170</v>
      </c>
      <c r="D351" t="inlineStr">
        <is>
          <t>ÖSTERGÖTLANDS LÄN</t>
        </is>
      </c>
      <c r="E351" t="inlineStr">
        <is>
          <t>LINKÖPING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3374-2023</t>
        </is>
      </c>
      <c r="B352" s="1" t="n">
        <v>44949</v>
      </c>
      <c r="C352" s="1" t="n">
        <v>46170</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48343-2025</t>
        </is>
      </c>
      <c r="B353" s="1" t="n">
        <v>45932</v>
      </c>
      <c r="C353" s="1" t="n">
        <v>46170</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48266-2025</t>
        </is>
      </c>
      <c r="B354" s="1" t="n">
        <v>45932</v>
      </c>
      <c r="C354" s="1" t="n">
        <v>46170</v>
      </c>
      <c r="D354" t="inlineStr">
        <is>
          <t>ÖSTERGÖTLANDS LÄN</t>
        </is>
      </c>
      <c r="E354" t="inlineStr">
        <is>
          <t>LINKÖPING</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24151-2024</t>
        </is>
      </c>
      <c r="B355" s="1" t="n">
        <v>45456.67717592593</v>
      </c>
      <c r="C355" s="1" t="n">
        <v>46170</v>
      </c>
      <c r="D355" t="inlineStr">
        <is>
          <t>ÖSTERGÖTLANDS LÄN</t>
        </is>
      </c>
      <c r="E355" t="inlineStr">
        <is>
          <t>LINKÖPING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48254-2025</t>
        </is>
      </c>
      <c r="B356" s="1" t="n">
        <v>45932</v>
      </c>
      <c r="C356" s="1" t="n">
        <v>46170</v>
      </c>
      <c r="D356" t="inlineStr">
        <is>
          <t>ÖSTERGÖTLANDS LÄN</t>
        </is>
      </c>
      <c r="E356" t="inlineStr">
        <is>
          <t>LINKÖPING</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14576-2023</t>
        </is>
      </c>
      <c r="B357" s="1" t="n">
        <v>45013</v>
      </c>
      <c r="C357" s="1" t="n">
        <v>46170</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33947-2025</t>
        </is>
      </c>
      <c r="B358" s="1" t="n">
        <v>45842.65444444444</v>
      </c>
      <c r="C358" s="1" t="n">
        <v>46170</v>
      </c>
      <c r="D358" t="inlineStr">
        <is>
          <t>ÖSTERGÖTLANDS LÄN</t>
        </is>
      </c>
      <c r="E358" t="inlineStr">
        <is>
          <t>LINKÖPING</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53529-2024</t>
        </is>
      </c>
      <c r="B359" s="1" t="n">
        <v>45614</v>
      </c>
      <c r="C359" s="1" t="n">
        <v>46170</v>
      </c>
      <c r="D359" t="inlineStr">
        <is>
          <t>ÖSTERGÖTLANDS LÄN</t>
        </is>
      </c>
      <c r="E359" t="inlineStr">
        <is>
          <t>LINKÖPING</t>
        </is>
      </c>
      <c r="G359" t="n">
        <v>6.7</v>
      </c>
      <c r="H359" t="n">
        <v>0</v>
      </c>
      <c r="I359" t="n">
        <v>0</v>
      </c>
      <c r="J359" t="n">
        <v>0</v>
      </c>
      <c r="K359" t="n">
        <v>0</v>
      </c>
      <c r="L359" t="n">
        <v>0</v>
      </c>
      <c r="M359" t="n">
        <v>0</v>
      </c>
      <c r="N359" t="n">
        <v>0</v>
      </c>
      <c r="O359" t="n">
        <v>0</v>
      </c>
      <c r="P359" t="n">
        <v>0</v>
      </c>
      <c r="Q359" t="n">
        <v>0</v>
      </c>
      <c r="R359" s="2" t="inlineStr"/>
    </row>
    <row r="360" ht="15" customHeight="1">
      <c r="A360" t="inlineStr">
        <is>
          <t>A 62012-2024</t>
        </is>
      </c>
      <c r="B360" s="1" t="n">
        <v>45655.79679398148</v>
      </c>
      <c r="C360" s="1" t="n">
        <v>46170</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49455-2025</t>
        </is>
      </c>
      <c r="B361" s="1" t="n">
        <v>45938</v>
      </c>
      <c r="C361" s="1" t="n">
        <v>46170</v>
      </c>
      <c r="D361" t="inlineStr">
        <is>
          <t>ÖSTERGÖTLANDS LÄN</t>
        </is>
      </c>
      <c r="E361" t="inlineStr">
        <is>
          <t>LINKÖPING</t>
        </is>
      </c>
      <c r="F361" t="inlineStr">
        <is>
          <t>Övriga Aktiebolag</t>
        </is>
      </c>
      <c r="G361" t="n">
        <v>5.9</v>
      </c>
      <c r="H361" t="n">
        <v>0</v>
      </c>
      <c r="I361" t="n">
        <v>0</v>
      </c>
      <c r="J361" t="n">
        <v>0</v>
      </c>
      <c r="K361" t="n">
        <v>0</v>
      </c>
      <c r="L361" t="n">
        <v>0</v>
      </c>
      <c r="M361" t="n">
        <v>0</v>
      </c>
      <c r="N361" t="n">
        <v>0</v>
      </c>
      <c r="O361" t="n">
        <v>0</v>
      </c>
      <c r="P361" t="n">
        <v>0</v>
      </c>
      <c r="Q361" t="n">
        <v>0</v>
      </c>
      <c r="R361" s="2" t="inlineStr"/>
    </row>
    <row r="362" ht="15" customHeight="1">
      <c r="A362" t="inlineStr">
        <is>
          <t>A 74160-2021</t>
        </is>
      </c>
      <c r="B362" s="1" t="n">
        <v>44558</v>
      </c>
      <c r="C362" s="1" t="n">
        <v>46170</v>
      </c>
      <c r="D362" t="inlineStr">
        <is>
          <t>ÖSTERGÖTLANDS LÄN</t>
        </is>
      </c>
      <c r="E362" t="inlineStr">
        <is>
          <t>LINKÖPING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20469-2025</t>
        </is>
      </c>
      <c r="B363" s="1" t="n">
        <v>45775</v>
      </c>
      <c r="C363" s="1" t="n">
        <v>46170</v>
      </c>
      <c r="D363" t="inlineStr">
        <is>
          <t>ÖSTERGÖTLANDS LÄN</t>
        </is>
      </c>
      <c r="E363" t="inlineStr">
        <is>
          <t>LINKÖPING</t>
        </is>
      </c>
      <c r="F363" t="inlineStr">
        <is>
          <t>Kyrkan</t>
        </is>
      </c>
      <c r="G363" t="n">
        <v>6.1</v>
      </c>
      <c r="H363" t="n">
        <v>0</v>
      </c>
      <c r="I363" t="n">
        <v>0</v>
      </c>
      <c r="J363" t="n">
        <v>0</v>
      </c>
      <c r="K363" t="n">
        <v>0</v>
      </c>
      <c r="L363" t="n">
        <v>0</v>
      </c>
      <c r="M363" t="n">
        <v>0</v>
      </c>
      <c r="N363" t="n">
        <v>0</v>
      </c>
      <c r="O363" t="n">
        <v>0</v>
      </c>
      <c r="P363" t="n">
        <v>0</v>
      </c>
      <c r="Q363" t="n">
        <v>0</v>
      </c>
      <c r="R363" s="2" t="inlineStr"/>
    </row>
    <row r="364" ht="15" customHeight="1">
      <c r="A364" t="inlineStr">
        <is>
          <t>A 49605-2025</t>
        </is>
      </c>
      <c r="B364" s="1" t="n">
        <v>45938</v>
      </c>
      <c r="C364" s="1" t="n">
        <v>46170</v>
      </c>
      <c r="D364" t="inlineStr">
        <is>
          <t>ÖSTERGÖTLANDS LÄN</t>
        </is>
      </c>
      <c r="E364" t="inlineStr">
        <is>
          <t>LINKÖPING</t>
        </is>
      </c>
      <c r="F364" t="inlineStr">
        <is>
          <t>Övriga Aktiebolag</t>
        </is>
      </c>
      <c r="G364" t="n">
        <v>3.3</v>
      </c>
      <c r="H364" t="n">
        <v>0</v>
      </c>
      <c r="I364" t="n">
        <v>0</v>
      </c>
      <c r="J364" t="n">
        <v>0</v>
      </c>
      <c r="K364" t="n">
        <v>0</v>
      </c>
      <c r="L364" t="n">
        <v>0</v>
      </c>
      <c r="M364" t="n">
        <v>0</v>
      </c>
      <c r="N364" t="n">
        <v>0</v>
      </c>
      <c r="O364" t="n">
        <v>0</v>
      </c>
      <c r="P364" t="n">
        <v>0</v>
      </c>
      <c r="Q364" t="n">
        <v>0</v>
      </c>
      <c r="R364" s="2" t="inlineStr"/>
    </row>
    <row r="365" ht="15" customHeight="1">
      <c r="A365" t="inlineStr">
        <is>
          <t>A 49663-2025</t>
        </is>
      </c>
      <c r="B365" s="1" t="n">
        <v>45938</v>
      </c>
      <c r="C365" s="1" t="n">
        <v>46170</v>
      </c>
      <c r="D365" t="inlineStr">
        <is>
          <t>ÖSTERGÖTLANDS LÄN</t>
        </is>
      </c>
      <c r="E365" t="inlineStr">
        <is>
          <t>LINKÖPING</t>
        </is>
      </c>
      <c r="F365" t="inlineStr">
        <is>
          <t>Övriga Aktiebolag</t>
        </is>
      </c>
      <c r="G365" t="n">
        <v>1.2</v>
      </c>
      <c r="H365" t="n">
        <v>0</v>
      </c>
      <c r="I365" t="n">
        <v>0</v>
      </c>
      <c r="J365" t="n">
        <v>0</v>
      </c>
      <c r="K365" t="n">
        <v>0</v>
      </c>
      <c r="L365" t="n">
        <v>0</v>
      </c>
      <c r="M365" t="n">
        <v>0</v>
      </c>
      <c r="N365" t="n">
        <v>0</v>
      </c>
      <c r="O365" t="n">
        <v>0</v>
      </c>
      <c r="P365" t="n">
        <v>0</v>
      </c>
      <c r="Q365" t="n">
        <v>0</v>
      </c>
      <c r="R365" s="2" t="inlineStr"/>
    </row>
    <row r="366" ht="15" customHeight="1">
      <c r="A366" t="inlineStr">
        <is>
          <t>A 56113-2025</t>
        </is>
      </c>
      <c r="B366" s="1" t="n">
        <v>45973.73924768518</v>
      </c>
      <c r="C366" s="1" t="n">
        <v>46170</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49632-2025</t>
        </is>
      </c>
      <c r="B367" s="1" t="n">
        <v>45938</v>
      </c>
      <c r="C367" s="1" t="n">
        <v>46170</v>
      </c>
      <c r="D367" t="inlineStr">
        <is>
          <t>ÖSTERGÖTLANDS LÄN</t>
        </is>
      </c>
      <c r="E367" t="inlineStr">
        <is>
          <t>LINKÖPING</t>
        </is>
      </c>
      <c r="F367" t="inlineStr">
        <is>
          <t>Övriga Aktiebolag</t>
        </is>
      </c>
      <c r="G367" t="n">
        <v>1.6</v>
      </c>
      <c r="H367" t="n">
        <v>0</v>
      </c>
      <c r="I367" t="n">
        <v>0</v>
      </c>
      <c r="J367" t="n">
        <v>0</v>
      </c>
      <c r="K367" t="n">
        <v>0</v>
      </c>
      <c r="L367" t="n">
        <v>0</v>
      </c>
      <c r="M367" t="n">
        <v>0</v>
      </c>
      <c r="N367" t="n">
        <v>0</v>
      </c>
      <c r="O367" t="n">
        <v>0</v>
      </c>
      <c r="P367" t="n">
        <v>0</v>
      </c>
      <c r="Q367" t="n">
        <v>0</v>
      </c>
      <c r="R367" s="2" t="inlineStr"/>
    </row>
    <row r="368" ht="15" customHeight="1">
      <c r="A368" t="inlineStr">
        <is>
          <t>A 49647-2025</t>
        </is>
      </c>
      <c r="B368" s="1" t="n">
        <v>45938</v>
      </c>
      <c r="C368" s="1" t="n">
        <v>46170</v>
      </c>
      <c r="D368" t="inlineStr">
        <is>
          <t>ÖSTERGÖTLANDS LÄN</t>
        </is>
      </c>
      <c r="E368" t="inlineStr">
        <is>
          <t>LINKÖPING</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49652-2025</t>
        </is>
      </c>
      <c r="B369" s="1" t="n">
        <v>45938</v>
      </c>
      <c r="C369" s="1" t="n">
        <v>46170</v>
      </c>
      <c r="D369" t="inlineStr">
        <is>
          <t>ÖSTERGÖTLANDS LÄN</t>
        </is>
      </c>
      <c r="E369" t="inlineStr">
        <is>
          <t>LINKÖPING</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49654-2025</t>
        </is>
      </c>
      <c r="B370" s="1" t="n">
        <v>45938</v>
      </c>
      <c r="C370" s="1" t="n">
        <v>46170</v>
      </c>
      <c r="D370" t="inlineStr">
        <is>
          <t>ÖSTERGÖTLANDS LÄN</t>
        </is>
      </c>
      <c r="E370" t="inlineStr">
        <is>
          <t>LINKÖPING</t>
        </is>
      </c>
      <c r="F370" t="inlineStr">
        <is>
          <t>Övriga Aktiebolag</t>
        </is>
      </c>
      <c r="G370" t="n">
        <v>3.1</v>
      </c>
      <c r="H370" t="n">
        <v>0</v>
      </c>
      <c r="I370" t="n">
        <v>0</v>
      </c>
      <c r="J370" t="n">
        <v>0</v>
      </c>
      <c r="K370" t="n">
        <v>0</v>
      </c>
      <c r="L370" t="n">
        <v>0</v>
      </c>
      <c r="M370" t="n">
        <v>0</v>
      </c>
      <c r="N370" t="n">
        <v>0</v>
      </c>
      <c r="O370" t="n">
        <v>0</v>
      </c>
      <c r="P370" t="n">
        <v>0</v>
      </c>
      <c r="Q370" t="n">
        <v>0</v>
      </c>
      <c r="R370" s="2" t="inlineStr"/>
    </row>
    <row r="371" ht="15" customHeight="1">
      <c r="A371" t="inlineStr">
        <is>
          <t>A 56105-2025</t>
        </is>
      </c>
      <c r="B371" s="1" t="n">
        <v>45973.72855324074</v>
      </c>
      <c r="C371" s="1" t="n">
        <v>46170</v>
      </c>
      <c r="D371" t="inlineStr">
        <is>
          <t>ÖSTERGÖTLANDS LÄN</t>
        </is>
      </c>
      <c r="E371" t="inlineStr">
        <is>
          <t>LINKÖPING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49615-2025</t>
        </is>
      </c>
      <c r="B372" s="1" t="n">
        <v>45938</v>
      </c>
      <c r="C372" s="1" t="n">
        <v>46170</v>
      </c>
      <c r="D372" t="inlineStr">
        <is>
          <t>ÖSTERGÖTLANDS LÄN</t>
        </is>
      </c>
      <c r="E372" t="inlineStr">
        <is>
          <t>LINKÖPING</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49619-2025</t>
        </is>
      </c>
      <c r="B373" s="1" t="n">
        <v>45938</v>
      </c>
      <c r="C373" s="1" t="n">
        <v>46170</v>
      </c>
      <c r="D373" t="inlineStr">
        <is>
          <t>ÖSTERGÖTLANDS LÄN</t>
        </is>
      </c>
      <c r="E373" t="inlineStr">
        <is>
          <t>LINKÖPING</t>
        </is>
      </c>
      <c r="F373" t="inlineStr">
        <is>
          <t>Övriga Aktiebolag</t>
        </is>
      </c>
      <c r="G373" t="n">
        <v>2.3</v>
      </c>
      <c r="H373" t="n">
        <v>0</v>
      </c>
      <c r="I373" t="n">
        <v>0</v>
      </c>
      <c r="J373" t="n">
        <v>0</v>
      </c>
      <c r="K373" t="n">
        <v>0</v>
      </c>
      <c r="L373" t="n">
        <v>0</v>
      </c>
      <c r="M373" t="n">
        <v>0</v>
      </c>
      <c r="N373" t="n">
        <v>0</v>
      </c>
      <c r="O373" t="n">
        <v>0</v>
      </c>
      <c r="P373" t="n">
        <v>0</v>
      </c>
      <c r="Q373" t="n">
        <v>0</v>
      </c>
      <c r="R373" s="2" t="inlineStr"/>
    </row>
    <row r="374" ht="15" customHeight="1">
      <c r="A374" t="inlineStr">
        <is>
          <t>A 49629-2025</t>
        </is>
      </c>
      <c r="B374" s="1" t="n">
        <v>45938</v>
      </c>
      <c r="C374" s="1" t="n">
        <v>46170</v>
      </c>
      <c r="D374" t="inlineStr">
        <is>
          <t>ÖSTERGÖTLANDS LÄN</t>
        </is>
      </c>
      <c r="E374" t="inlineStr">
        <is>
          <t>LINKÖPING</t>
        </is>
      </c>
      <c r="F374" t="inlineStr">
        <is>
          <t>Övriga Aktiebolag</t>
        </is>
      </c>
      <c r="G374" t="n">
        <v>4.5</v>
      </c>
      <c r="H374" t="n">
        <v>0</v>
      </c>
      <c r="I374" t="n">
        <v>0</v>
      </c>
      <c r="J374" t="n">
        <v>0</v>
      </c>
      <c r="K374" t="n">
        <v>0</v>
      </c>
      <c r="L374" t="n">
        <v>0</v>
      </c>
      <c r="M374" t="n">
        <v>0</v>
      </c>
      <c r="N374" t="n">
        <v>0</v>
      </c>
      <c r="O374" t="n">
        <v>0</v>
      </c>
      <c r="P374" t="n">
        <v>0</v>
      </c>
      <c r="Q374" t="n">
        <v>0</v>
      </c>
      <c r="R374" s="2" t="inlineStr"/>
    </row>
    <row r="375" ht="15" customHeight="1">
      <c r="A375" t="inlineStr">
        <is>
          <t>A 49650-2025</t>
        </is>
      </c>
      <c r="B375" s="1" t="n">
        <v>45938</v>
      </c>
      <c r="C375" s="1" t="n">
        <v>46170</v>
      </c>
      <c r="D375" t="inlineStr">
        <is>
          <t>ÖSTERGÖTLANDS LÄN</t>
        </is>
      </c>
      <c r="E375" t="inlineStr">
        <is>
          <t>LINKÖPING</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46170</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49633-2025</t>
        </is>
      </c>
      <c r="B377" s="1" t="n">
        <v>45938</v>
      </c>
      <c r="C377" s="1" t="n">
        <v>46170</v>
      </c>
      <c r="D377" t="inlineStr">
        <is>
          <t>ÖSTERGÖTLANDS LÄN</t>
        </is>
      </c>
      <c r="E377" t="inlineStr">
        <is>
          <t>LINKÖPING</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33800-2023</t>
        </is>
      </c>
      <c r="B378" s="1" t="n">
        <v>45121</v>
      </c>
      <c r="C378" s="1" t="n">
        <v>46170</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26007-2025</t>
        </is>
      </c>
      <c r="B379" s="1" t="n">
        <v>45804.67081018518</v>
      </c>
      <c r="C379" s="1" t="n">
        <v>46170</v>
      </c>
      <c r="D379" t="inlineStr">
        <is>
          <t>ÖSTERGÖTLANDS LÄN</t>
        </is>
      </c>
      <c r="E379" t="inlineStr">
        <is>
          <t>LINKÖPING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53641-2023</t>
        </is>
      </c>
      <c r="B380" s="1" t="n">
        <v>45230</v>
      </c>
      <c r="C380" s="1" t="n">
        <v>46170</v>
      </c>
      <c r="D380" t="inlineStr">
        <is>
          <t>ÖSTERGÖTLANDS LÄN</t>
        </is>
      </c>
      <c r="E380" t="inlineStr">
        <is>
          <t>LINKÖPING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35174-2025</t>
        </is>
      </c>
      <c r="B381" s="1" t="n">
        <v>45852.90648148148</v>
      </c>
      <c r="C381" s="1" t="n">
        <v>46170</v>
      </c>
      <c r="D381" t="inlineStr">
        <is>
          <t>ÖSTERGÖTLANDS LÄN</t>
        </is>
      </c>
      <c r="E381" t="inlineStr">
        <is>
          <t>LINKÖPING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33000-2023</t>
        </is>
      </c>
      <c r="B382" s="1" t="n">
        <v>45125</v>
      </c>
      <c r="C382" s="1" t="n">
        <v>46170</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52892-2024</t>
        </is>
      </c>
      <c r="B383" s="1" t="n">
        <v>45610</v>
      </c>
      <c r="C383" s="1" t="n">
        <v>46170</v>
      </c>
      <c r="D383" t="inlineStr">
        <is>
          <t>ÖSTERGÖTLANDS LÄN</t>
        </is>
      </c>
      <c r="E383" t="inlineStr">
        <is>
          <t>LINKÖPING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47991-2023</t>
        </is>
      </c>
      <c r="B384" s="1" t="n">
        <v>45204.62655092592</v>
      </c>
      <c r="C384" s="1" t="n">
        <v>46170</v>
      </c>
      <c r="D384" t="inlineStr">
        <is>
          <t>ÖSTERGÖTLANDS LÄN</t>
        </is>
      </c>
      <c r="E384" t="inlineStr">
        <is>
          <t>LINKÖPING</t>
        </is>
      </c>
      <c r="F384" t="inlineStr">
        <is>
          <t>Allmännings- och besparingsskogar</t>
        </is>
      </c>
      <c r="G384" t="n">
        <v>7.3</v>
      </c>
      <c r="H384" t="n">
        <v>0</v>
      </c>
      <c r="I384" t="n">
        <v>0</v>
      </c>
      <c r="J384" t="n">
        <v>0</v>
      </c>
      <c r="K384" t="n">
        <v>0</v>
      </c>
      <c r="L384" t="n">
        <v>0</v>
      </c>
      <c r="M384" t="n">
        <v>0</v>
      </c>
      <c r="N384" t="n">
        <v>0</v>
      </c>
      <c r="O384" t="n">
        <v>0</v>
      </c>
      <c r="P384" t="n">
        <v>0</v>
      </c>
      <c r="Q384" t="n">
        <v>0</v>
      </c>
      <c r="R384" s="2" t="inlineStr"/>
    </row>
    <row r="385" ht="15" customHeight="1">
      <c r="A385" t="inlineStr">
        <is>
          <t>A 35179-2025</t>
        </is>
      </c>
      <c r="B385" s="1" t="n">
        <v>45852.93737268518</v>
      </c>
      <c r="C385" s="1" t="n">
        <v>46170</v>
      </c>
      <c r="D385" t="inlineStr">
        <is>
          <t>ÖSTERGÖTLANDS LÄN</t>
        </is>
      </c>
      <c r="E385" t="inlineStr">
        <is>
          <t>LINKÖPING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46170</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40983-2025</t>
        </is>
      </c>
      <c r="B387" s="1" t="n">
        <v>45898</v>
      </c>
      <c r="C387" s="1" t="n">
        <v>46170</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35178-2025</t>
        </is>
      </c>
      <c r="B388" s="1" t="n">
        <v>45852.91939814815</v>
      </c>
      <c r="C388" s="1" t="n">
        <v>46170</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50056-2025</t>
        </is>
      </c>
      <c r="B389" s="1" t="n">
        <v>45941</v>
      </c>
      <c r="C389" s="1" t="n">
        <v>46170</v>
      </c>
      <c r="D389" t="inlineStr">
        <is>
          <t>ÖSTERGÖTLANDS LÄN</t>
        </is>
      </c>
      <c r="E389" t="inlineStr">
        <is>
          <t>LINKÖPING</t>
        </is>
      </c>
      <c r="G389" t="n">
        <v>0.3</v>
      </c>
      <c r="H389" t="n">
        <v>0</v>
      </c>
      <c r="I389" t="n">
        <v>0</v>
      </c>
      <c r="J389" t="n">
        <v>0</v>
      </c>
      <c r="K389" t="n">
        <v>0</v>
      </c>
      <c r="L389" t="n">
        <v>0</v>
      </c>
      <c r="M389" t="n">
        <v>0</v>
      </c>
      <c r="N389" t="n">
        <v>0</v>
      </c>
      <c r="O389" t="n">
        <v>0</v>
      </c>
      <c r="P389" t="n">
        <v>0</v>
      </c>
      <c r="Q389" t="n">
        <v>0</v>
      </c>
      <c r="R389" s="2" t="inlineStr"/>
    </row>
    <row r="390" ht="15" customHeight="1">
      <c r="A390" t="inlineStr">
        <is>
          <t>A 30521-2024</t>
        </is>
      </c>
      <c r="B390" s="1" t="n">
        <v>45492</v>
      </c>
      <c r="C390" s="1" t="n">
        <v>46170</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51191-2022</t>
        </is>
      </c>
      <c r="B391" s="1" t="n">
        <v>44865</v>
      </c>
      <c r="C391" s="1" t="n">
        <v>46170</v>
      </c>
      <c r="D391" t="inlineStr">
        <is>
          <t>ÖSTERGÖTLANDS LÄN</t>
        </is>
      </c>
      <c r="E391" t="inlineStr">
        <is>
          <t>LINKÖPING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50667-2025</t>
        </is>
      </c>
      <c r="B392" s="1" t="n">
        <v>45945</v>
      </c>
      <c r="C392" s="1" t="n">
        <v>46170</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12289-2025</t>
        </is>
      </c>
      <c r="B393" s="1" t="n">
        <v>45729</v>
      </c>
      <c r="C393" s="1" t="n">
        <v>46170</v>
      </c>
      <c r="D393" t="inlineStr">
        <is>
          <t>ÖSTERGÖTLANDS LÄN</t>
        </is>
      </c>
      <c r="E393" t="inlineStr">
        <is>
          <t>LINKÖPING</t>
        </is>
      </c>
      <c r="F393" t="inlineStr">
        <is>
          <t>Övriga statliga verk och myndigheter</t>
        </is>
      </c>
      <c r="G393" t="n">
        <v>6.5</v>
      </c>
      <c r="H393" t="n">
        <v>0</v>
      </c>
      <c r="I393" t="n">
        <v>0</v>
      </c>
      <c r="J393" t="n">
        <v>0</v>
      </c>
      <c r="K393" t="n">
        <v>0</v>
      </c>
      <c r="L393" t="n">
        <v>0</v>
      </c>
      <c r="M393" t="n">
        <v>0</v>
      </c>
      <c r="N393" t="n">
        <v>0</v>
      </c>
      <c r="O393" t="n">
        <v>0</v>
      </c>
      <c r="P393" t="n">
        <v>0</v>
      </c>
      <c r="Q393" t="n">
        <v>0</v>
      </c>
      <c r="R393" s="2" t="inlineStr"/>
    </row>
    <row r="394" ht="15" customHeight="1">
      <c r="A394" t="inlineStr">
        <is>
          <t>A 9434-2024</t>
        </is>
      </c>
      <c r="B394" s="1" t="n">
        <v>45359</v>
      </c>
      <c r="C394" s="1" t="n">
        <v>46170</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35757-2025</t>
        </is>
      </c>
      <c r="B395" s="1" t="n">
        <v>45860.59876157407</v>
      </c>
      <c r="C395" s="1" t="n">
        <v>46170</v>
      </c>
      <c r="D395" t="inlineStr">
        <is>
          <t>ÖSTERGÖTLANDS LÄN</t>
        </is>
      </c>
      <c r="E395" t="inlineStr">
        <is>
          <t>LINKÖPING</t>
        </is>
      </c>
      <c r="G395" t="n">
        <v>5.7</v>
      </c>
      <c r="H395" t="n">
        <v>0</v>
      </c>
      <c r="I395" t="n">
        <v>0</v>
      </c>
      <c r="J395" t="n">
        <v>0</v>
      </c>
      <c r="K395" t="n">
        <v>0</v>
      </c>
      <c r="L395" t="n">
        <v>0</v>
      </c>
      <c r="M395" t="n">
        <v>0</v>
      </c>
      <c r="N395" t="n">
        <v>0</v>
      </c>
      <c r="O395" t="n">
        <v>0</v>
      </c>
      <c r="P395" t="n">
        <v>0</v>
      </c>
      <c r="Q395" t="n">
        <v>0</v>
      </c>
      <c r="R395" s="2" t="inlineStr"/>
    </row>
    <row r="396" ht="15" customHeight="1">
      <c r="A396" t="inlineStr">
        <is>
          <t>A 35745-2025</t>
        </is>
      </c>
      <c r="B396" s="1" t="n">
        <v>45860.54739583333</v>
      </c>
      <c r="C396" s="1" t="n">
        <v>46170</v>
      </c>
      <c r="D396" t="inlineStr">
        <is>
          <t>ÖSTERGÖTLANDS LÄN</t>
        </is>
      </c>
      <c r="E396" t="inlineStr">
        <is>
          <t>LINKÖPING</t>
        </is>
      </c>
      <c r="G396" t="n">
        <v>4.4</v>
      </c>
      <c r="H396" t="n">
        <v>0</v>
      </c>
      <c r="I396" t="n">
        <v>0</v>
      </c>
      <c r="J396" t="n">
        <v>0</v>
      </c>
      <c r="K396" t="n">
        <v>0</v>
      </c>
      <c r="L396" t="n">
        <v>0</v>
      </c>
      <c r="M396" t="n">
        <v>0</v>
      </c>
      <c r="N396" t="n">
        <v>0</v>
      </c>
      <c r="O396" t="n">
        <v>0</v>
      </c>
      <c r="P396" t="n">
        <v>0</v>
      </c>
      <c r="Q396" t="n">
        <v>0</v>
      </c>
      <c r="R396" s="2" t="inlineStr"/>
    </row>
    <row r="397" ht="15" customHeight="1">
      <c r="A397" t="inlineStr">
        <is>
          <t>A 56403-2025</t>
        </is>
      </c>
      <c r="B397" s="1" t="n">
        <v>45974</v>
      </c>
      <c r="C397" s="1" t="n">
        <v>46170</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50182-2023</t>
        </is>
      </c>
      <c r="B398" s="1" t="n">
        <v>45208</v>
      </c>
      <c r="C398" s="1" t="n">
        <v>46170</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35747-2025</t>
        </is>
      </c>
      <c r="B399" s="1" t="n">
        <v>45860.56385416666</v>
      </c>
      <c r="C399" s="1" t="n">
        <v>46170</v>
      </c>
      <c r="D399" t="inlineStr">
        <is>
          <t>ÖSTERGÖTLANDS LÄN</t>
        </is>
      </c>
      <c r="E399" t="inlineStr">
        <is>
          <t>LINKÖPING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35759-2025</t>
        </is>
      </c>
      <c r="B400" s="1" t="n">
        <v>45860</v>
      </c>
      <c r="C400" s="1" t="n">
        <v>46170</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35781-2023</t>
        </is>
      </c>
      <c r="B401" s="1" t="n">
        <v>45147</v>
      </c>
      <c r="C401" s="1" t="n">
        <v>46170</v>
      </c>
      <c r="D401" t="inlineStr">
        <is>
          <t>ÖSTERGÖTLANDS LÄN</t>
        </is>
      </c>
      <c r="E401" t="inlineStr">
        <is>
          <t>LINKÖPING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6387-2022</t>
        </is>
      </c>
      <c r="B402" s="1" t="n">
        <v>44600</v>
      </c>
      <c r="C402" s="1" t="n">
        <v>46170</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48707-2023</t>
        </is>
      </c>
      <c r="B403" s="1" t="n">
        <v>45202</v>
      </c>
      <c r="C403" s="1" t="n">
        <v>46170</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56704-2025</t>
        </is>
      </c>
      <c r="B404" s="1" t="n">
        <v>45977.50608796296</v>
      </c>
      <c r="C404" s="1" t="n">
        <v>46170</v>
      </c>
      <c r="D404" t="inlineStr">
        <is>
          <t>ÖSTERGÖTLANDS LÄN</t>
        </is>
      </c>
      <c r="E404" t="inlineStr">
        <is>
          <t>LINKÖPING</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46170</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15658-2023</t>
        </is>
      </c>
      <c r="B406" s="1" t="n">
        <v>45021.41194444444</v>
      </c>
      <c r="C406" s="1" t="n">
        <v>46170</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51583-2024</t>
        </is>
      </c>
      <c r="B407" s="1" t="n">
        <v>45604.6397337963</v>
      </c>
      <c r="C407" s="1" t="n">
        <v>46170</v>
      </c>
      <c r="D407" t="inlineStr">
        <is>
          <t>ÖSTERGÖTLANDS LÄN</t>
        </is>
      </c>
      <c r="E407" t="inlineStr">
        <is>
          <t>LINKÖPING</t>
        </is>
      </c>
      <c r="F407" t="inlineStr">
        <is>
          <t>Övriga Aktiebolag</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64694-2023</t>
        </is>
      </c>
      <c r="B408" s="1" t="n">
        <v>45281</v>
      </c>
      <c r="C408" s="1" t="n">
        <v>46170</v>
      </c>
      <c r="D408" t="inlineStr">
        <is>
          <t>ÖSTERGÖTLANDS LÄN</t>
        </is>
      </c>
      <c r="E408" t="inlineStr">
        <is>
          <t>LINKÖPING</t>
        </is>
      </c>
      <c r="F408" t="inlineStr">
        <is>
          <t>Övriga statliga verk och myndigheter</t>
        </is>
      </c>
      <c r="G408" t="n">
        <v>4.9</v>
      </c>
      <c r="H408" t="n">
        <v>0</v>
      </c>
      <c r="I408" t="n">
        <v>0</v>
      </c>
      <c r="J408" t="n">
        <v>0</v>
      </c>
      <c r="K408" t="n">
        <v>0</v>
      </c>
      <c r="L408" t="n">
        <v>0</v>
      </c>
      <c r="M408" t="n">
        <v>0</v>
      </c>
      <c r="N408" t="n">
        <v>0</v>
      </c>
      <c r="O408" t="n">
        <v>0</v>
      </c>
      <c r="P408" t="n">
        <v>0</v>
      </c>
      <c r="Q408" t="n">
        <v>0</v>
      </c>
      <c r="R408" s="2" t="inlineStr"/>
    </row>
    <row r="409" ht="15" customHeight="1">
      <c r="A409" t="inlineStr">
        <is>
          <t>A 32602-2022</t>
        </is>
      </c>
      <c r="B409" s="1" t="n">
        <v>44783.43192129629</v>
      </c>
      <c r="C409" s="1" t="n">
        <v>46170</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37057-2025</t>
        </is>
      </c>
      <c r="B410" s="1" t="n">
        <v>45875.37489583333</v>
      </c>
      <c r="C410" s="1" t="n">
        <v>46170</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62321-2022</t>
        </is>
      </c>
      <c r="B411" s="1" t="n">
        <v>44916</v>
      </c>
      <c r="C411" s="1" t="n">
        <v>46170</v>
      </c>
      <c r="D411" t="inlineStr">
        <is>
          <t>ÖSTERGÖTLANDS LÄN</t>
        </is>
      </c>
      <c r="E411" t="inlineStr">
        <is>
          <t>LINKÖPING</t>
        </is>
      </c>
      <c r="F411" t="inlineStr">
        <is>
          <t>Kommuner</t>
        </is>
      </c>
      <c r="G411" t="n">
        <v>5.3</v>
      </c>
      <c r="H411" t="n">
        <v>0</v>
      </c>
      <c r="I411" t="n">
        <v>0</v>
      </c>
      <c r="J411" t="n">
        <v>0</v>
      </c>
      <c r="K411" t="n">
        <v>0</v>
      </c>
      <c r="L411" t="n">
        <v>0</v>
      </c>
      <c r="M411" t="n">
        <v>0</v>
      </c>
      <c r="N411" t="n">
        <v>0</v>
      </c>
      <c r="O411" t="n">
        <v>0</v>
      </c>
      <c r="P411" t="n">
        <v>0</v>
      </c>
      <c r="Q411" t="n">
        <v>0</v>
      </c>
      <c r="R411" s="2" t="inlineStr"/>
    </row>
    <row r="412" ht="15" customHeight="1">
      <c r="A412" t="inlineStr">
        <is>
          <t>A 1084-2023</t>
        </is>
      </c>
      <c r="B412" s="1" t="n">
        <v>44929</v>
      </c>
      <c r="C412" s="1" t="n">
        <v>46170</v>
      </c>
      <c r="D412" t="inlineStr">
        <is>
          <t>ÖSTERGÖTLANDS LÄN</t>
        </is>
      </c>
      <c r="E412" t="inlineStr">
        <is>
          <t>LINKÖPING</t>
        </is>
      </c>
      <c r="G412" t="n">
        <v>10.4</v>
      </c>
      <c r="H412" t="n">
        <v>0</v>
      </c>
      <c r="I412" t="n">
        <v>0</v>
      </c>
      <c r="J412" t="n">
        <v>0</v>
      </c>
      <c r="K412" t="n">
        <v>0</v>
      </c>
      <c r="L412" t="n">
        <v>0</v>
      </c>
      <c r="M412" t="n">
        <v>0</v>
      </c>
      <c r="N412" t="n">
        <v>0</v>
      </c>
      <c r="O412" t="n">
        <v>0</v>
      </c>
      <c r="P412" t="n">
        <v>0</v>
      </c>
      <c r="Q412" t="n">
        <v>0</v>
      </c>
      <c r="R412" s="2" t="inlineStr"/>
    </row>
    <row r="413" ht="15" customHeight="1">
      <c r="A413" t="inlineStr">
        <is>
          <t>A 267-2023</t>
        </is>
      </c>
      <c r="B413" s="1" t="n">
        <v>44928.80907407407</v>
      </c>
      <c r="C413" s="1" t="n">
        <v>46170</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940-2023</t>
        </is>
      </c>
      <c r="B414" s="1" t="n">
        <v>44933</v>
      </c>
      <c r="C414" s="1" t="n">
        <v>46170</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6369-2023</t>
        </is>
      </c>
      <c r="B415" s="1" t="n">
        <v>44965.61106481482</v>
      </c>
      <c r="C415" s="1" t="n">
        <v>46170</v>
      </c>
      <c r="D415" t="inlineStr">
        <is>
          <t>ÖSTERGÖTLANDS LÄN</t>
        </is>
      </c>
      <c r="E415" t="inlineStr">
        <is>
          <t>LINKÖPING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30980-2022</t>
        </is>
      </c>
      <c r="B416" s="1" t="n">
        <v>44768</v>
      </c>
      <c r="C416" s="1" t="n">
        <v>46170</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60007-2022</t>
        </is>
      </c>
      <c r="B417" s="1" t="n">
        <v>44909.47282407407</v>
      </c>
      <c r="C417" s="1" t="n">
        <v>46170</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50799-2022</t>
        </is>
      </c>
      <c r="B418" s="1" t="n">
        <v>44862</v>
      </c>
      <c r="C418" s="1" t="n">
        <v>46170</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56064-2022</t>
        </is>
      </c>
      <c r="B419" s="1" t="n">
        <v>44889.59107638889</v>
      </c>
      <c r="C419" s="1" t="n">
        <v>46170</v>
      </c>
      <c r="D419" t="inlineStr">
        <is>
          <t>ÖSTERGÖTLANDS LÄN</t>
        </is>
      </c>
      <c r="E419" t="inlineStr">
        <is>
          <t>LINKÖPING</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47703-2023</t>
        </is>
      </c>
      <c r="B420" s="1" t="n">
        <v>45203</v>
      </c>
      <c r="C420" s="1" t="n">
        <v>46170</v>
      </c>
      <c r="D420" t="inlineStr">
        <is>
          <t>ÖSTERGÖTLANDS LÄN</t>
        </is>
      </c>
      <c r="E420" t="inlineStr">
        <is>
          <t>LINKÖPING</t>
        </is>
      </c>
      <c r="G420" t="n">
        <v>4.1</v>
      </c>
      <c r="H420" t="n">
        <v>0</v>
      </c>
      <c r="I420" t="n">
        <v>0</v>
      </c>
      <c r="J420" t="n">
        <v>0</v>
      </c>
      <c r="K420" t="n">
        <v>0</v>
      </c>
      <c r="L420" t="n">
        <v>0</v>
      </c>
      <c r="M420" t="n">
        <v>0</v>
      </c>
      <c r="N420" t="n">
        <v>0</v>
      </c>
      <c r="O420" t="n">
        <v>0</v>
      </c>
      <c r="P420" t="n">
        <v>0</v>
      </c>
      <c r="Q420" t="n">
        <v>0</v>
      </c>
      <c r="R420" s="2" t="inlineStr"/>
    </row>
    <row r="421" ht="15" customHeight="1">
      <c r="A421" t="inlineStr">
        <is>
          <t>A 25829-2025</t>
        </is>
      </c>
      <c r="B421" s="1" t="n">
        <v>45804.44505787037</v>
      </c>
      <c r="C421" s="1" t="n">
        <v>46170</v>
      </c>
      <c r="D421" t="inlineStr">
        <is>
          <t>ÖSTERGÖTLANDS LÄN</t>
        </is>
      </c>
      <c r="E421" t="inlineStr">
        <is>
          <t>LINKÖPING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38046-2025</t>
        </is>
      </c>
      <c r="B422" s="1" t="n">
        <v>45882.39939814815</v>
      </c>
      <c r="C422" s="1" t="n">
        <v>46170</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46170</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48962-2022</t>
        </is>
      </c>
      <c r="B424" s="1" t="n">
        <v>44860.31635416667</v>
      </c>
      <c r="C424" s="1" t="n">
        <v>46170</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27891-2021</t>
        </is>
      </c>
      <c r="B425" s="1" t="n">
        <v>44354.65108796296</v>
      </c>
      <c r="C425" s="1" t="n">
        <v>46170</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1268-2023</t>
        </is>
      </c>
      <c r="B426" s="1" t="n">
        <v>44936</v>
      </c>
      <c r="C426" s="1" t="n">
        <v>46170</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62687-2023</t>
        </is>
      </c>
      <c r="B427" s="1" t="n">
        <v>45271</v>
      </c>
      <c r="C427" s="1" t="n">
        <v>46170</v>
      </c>
      <c r="D427" t="inlineStr">
        <is>
          <t>ÖSTERGÖTLANDS LÄN</t>
        </is>
      </c>
      <c r="E427" t="inlineStr">
        <is>
          <t>LINKÖPING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34641-2022</t>
        </is>
      </c>
      <c r="B428" s="1" t="n">
        <v>44795</v>
      </c>
      <c r="C428" s="1" t="n">
        <v>46170</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938-2023</t>
        </is>
      </c>
      <c r="B429" s="1" t="n">
        <v>44933</v>
      </c>
      <c r="C429" s="1" t="n">
        <v>46170</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2389-2023</t>
        </is>
      </c>
      <c r="B430" s="1" t="n">
        <v>44942</v>
      </c>
      <c r="C430" s="1" t="n">
        <v>46170</v>
      </c>
      <c r="D430" t="inlineStr">
        <is>
          <t>ÖSTERGÖTLANDS LÄN</t>
        </is>
      </c>
      <c r="E430" t="inlineStr">
        <is>
          <t>LINKÖPING</t>
        </is>
      </c>
      <c r="G430" t="n">
        <v>3.3</v>
      </c>
      <c r="H430" t="n">
        <v>0</v>
      </c>
      <c r="I430" t="n">
        <v>0</v>
      </c>
      <c r="J430" t="n">
        <v>0</v>
      </c>
      <c r="K430" t="n">
        <v>0</v>
      </c>
      <c r="L430" t="n">
        <v>0</v>
      </c>
      <c r="M430" t="n">
        <v>0</v>
      </c>
      <c r="N430" t="n">
        <v>0</v>
      </c>
      <c r="O430" t="n">
        <v>0</v>
      </c>
      <c r="P430" t="n">
        <v>0</v>
      </c>
      <c r="Q430" t="n">
        <v>0</v>
      </c>
      <c r="R430" s="2" t="inlineStr"/>
    </row>
    <row r="431" ht="15" customHeight="1">
      <c r="A431" t="inlineStr">
        <is>
          <t>A 48-2024</t>
        </is>
      </c>
      <c r="B431" s="1" t="n">
        <v>45293</v>
      </c>
      <c r="C431" s="1" t="n">
        <v>46170</v>
      </c>
      <c r="D431" t="inlineStr">
        <is>
          <t>ÖSTERGÖTLANDS LÄN</t>
        </is>
      </c>
      <c r="E431" t="inlineStr">
        <is>
          <t>LINKÖPING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45771-2023</t>
        </is>
      </c>
      <c r="B432" s="1" t="n">
        <v>45195.4384375</v>
      </c>
      <c r="C432" s="1" t="n">
        <v>46170</v>
      </c>
      <c r="D432" t="inlineStr">
        <is>
          <t>ÖSTERGÖTLANDS LÄN</t>
        </is>
      </c>
      <c r="E432" t="inlineStr">
        <is>
          <t>LINKÖPING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30547-2023</t>
        </is>
      </c>
      <c r="B433" s="1" t="n">
        <v>45111.75905092592</v>
      </c>
      <c r="C433" s="1" t="n">
        <v>46170</v>
      </c>
      <c r="D433" t="inlineStr">
        <is>
          <t>ÖSTERGÖTLANDS LÄN</t>
        </is>
      </c>
      <c r="E433" t="inlineStr">
        <is>
          <t>LINKÖPING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40502-2024</t>
        </is>
      </c>
      <c r="B434" s="1" t="n">
        <v>45555.57263888889</v>
      </c>
      <c r="C434" s="1" t="n">
        <v>46170</v>
      </c>
      <c r="D434" t="inlineStr">
        <is>
          <t>ÖSTERGÖTLANDS LÄN</t>
        </is>
      </c>
      <c r="E434" t="inlineStr">
        <is>
          <t>LINKÖPING</t>
        </is>
      </c>
      <c r="F434" t="inlineStr">
        <is>
          <t>Allmännings- och besparingsskogar</t>
        </is>
      </c>
      <c r="G434" t="n">
        <v>17.5</v>
      </c>
      <c r="H434" t="n">
        <v>0</v>
      </c>
      <c r="I434" t="n">
        <v>0</v>
      </c>
      <c r="J434" t="n">
        <v>0</v>
      </c>
      <c r="K434" t="n">
        <v>0</v>
      </c>
      <c r="L434" t="n">
        <v>0</v>
      </c>
      <c r="M434" t="n">
        <v>0</v>
      </c>
      <c r="N434" t="n">
        <v>0</v>
      </c>
      <c r="O434" t="n">
        <v>0</v>
      </c>
      <c r="P434" t="n">
        <v>0</v>
      </c>
      <c r="Q434" t="n">
        <v>0</v>
      </c>
      <c r="R434" s="2" t="inlineStr"/>
    </row>
    <row r="435" ht="15" customHeight="1">
      <c r="A435" t="inlineStr">
        <is>
          <t>A 58802-2025</t>
        </is>
      </c>
      <c r="B435" s="1" t="n">
        <v>45986.8768287037</v>
      </c>
      <c r="C435" s="1" t="n">
        <v>46170</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24464-2023</t>
        </is>
      </c>
      <c r="B436" s="1" t="n">
        <v>45082.58068287037</v>
      </c>
      <c r="C436" s="1" t="n">
        <v>46170</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24467-2023</t>
        </is>
      </c>
      <c r="B437" s="1" t="n">
        <v>45082</v>
      </c>
      <c r="C437" s="1" t="n">
        <v>46170</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61281-2021</t>
        </is>
      </c>
      <c r="B438" s="1" t="n">
        <v>44498.60736111111</v>
      </c>
      <c r="C438" s="1" t="n">
        <v>46170</v>
      </c>
      <c r="D438" t="inlineStr">
        <is>
          <t>ÖSTERGÖTLANDS LÄN</t>
        </is>
      </c>
      <c r="E438" t="inlineStr">
        <is>
          <t>LINKÖPING</t>
        </is>
      </c>
      <c r="G438" t="n">
        <v>4.5</v>
      </c>
      <c r="H438" t="n">
        <v>0</v>
      </c>
      <c r="I438" t="n">
        <v>0</v>
      </c>
      <c r="J438" t="n">
        <v>0</v>
      </c>
      <c r="K438" t="n">
        <v>0</v>
      </c>
      <c r="L438" t="n">
        <v>0</v>
      </c>
      <c r="M438" t="n">
        <v>0</v>
      </c>
      <c r="N438" t="n">
        <v>0</v>
      </c>
      <c r="O438" t="n">
        <v>0</v>
      </c>
      <c r="P438" t="n">
        <v>0</v>
      </c>
      <c r="Q438" t="n">
        <v>0</v>
      </c>
      <c r="R438" s="2" t="inlineStr"/>
    </row>
    <row r="439" ht="15" customHeight="1">
      <c r="A439" t="inlineStr">
        <is>
          <t>A 63935-2021</t>
        </is>
      </c>
      <c r="B439" s="1" t="n">
        <v>44509</v>
      </c>
      <c r="C439" s="1" t="n">
        <v>46170</v>
      </c>
      <c r="D439" t="inlineStr">
        <is>
          <t>ÖSTERGÖTLANDS LÄN</t>
        </is>
      </c>
      <c r="E439" t="inlineStr">
        <is>
          <t>LINKÖPING</t>
        </is>
      </c>
      <c r="F439" t="inlineStr">
        <is>
          <t>Övriga statliga verk och myndigheter</t>
        </is>
      </c>
      <c r="G439" t="n">
        <v>2.8</v>
      </c>
      <c r="H439" t="n">
        <v>0</v>
      </c>
      <c r="I439" t="n">
        <v>0</v>
      </c>
      <c r="J439" t="n">
        <v>0</v>
      </c>
      <c r="K439" t="n">
        <v>0</v>
      </c>
      <c r="L439" t="n">
        <v>0</v>
      </c>
      <c r="M439" t="n">
        <v>0</v>
      </c>
      <c r="N439" t="n">
        <v>0</v>
      </c>
      <c r="O439" t="n">
        <v>0</v>
      </c>
      <c r="P439" t="n">
        <v>0</v>
      </c>
      <c r="Q439" t="n">
        <v>0</v>
      </c>
      <c r="R439" s="2" t="inlineStr"/>
    </row>
    <row r="440" ht="15" customHeight="1">
      <c r="A440" t="inlineStr">
        <is>
          <t>A 55004-2025</t>
        </is>
      </c>
      <c r="B440" s="1" t="n">
        <v>45967</v>
      </c>
      <c r="C440" s="1" t="n">
        <v>46170</v>
      </c>
      <c r="D440" t="inlineStr">
        <is>
          <t>ÖSTERGÖTLANDS LÄN</t>
        </is>
      </c>
      <c r="E440" t="inlineStr">
        <is>
          <t>LINKÖPING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48389-2024</t>
        </is>
      </c>
      <c r="B441" s="1" t="n">
        <v>45590.59991898148</v>
      </c>
      <c r="C441" s="1" t="n">
        <v>46170</v>
      </c>
      <c r="D441" t="inlineStr">
        <is>
          <t>ÖSTERGÖTLANDS LÄN</t>
        </is>
      </c>
      <c r="E441" t="inlineStr">
        <is>
          <t>LINKÖPING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38971-2025</t>
        </is>
      </c>
      <c r="B442" s="1" t="n">
        <v>45887.71827546296</v>
      </c>
      <c r="C442" s="1" t="n">
        <v>46170</v>
      </c>
      <c r="D442" t="inlineStr">
        <is>
          <t>ÖSTERGÖTLANDS LÄN</t>
        </is>
      </c>
      <c r="E442" t="inlineStr">
        <is>
          <t>LINKÖPING</t>
        </is>
      </c>
      <c r="G442" t="n">
        <v>3.9</v>
      </c>
      <c r="H442" t="n">
        <v>0</v>
      </c>
      <c r="I442" t="n">
        <v>0</v>
      </c>
      <c r="J442" t="n">
        <v>0</v>
      </c>
      <c r="K442" t="n">
        <v>0</v>
      </c>
      <c r="L442" t="n">
        <v>0</v>
      </c>
      <c r="M442" t="n">
        <v>0</v>
      </c>
      <c r="N442" t="n">
        <v>0</v>
      </c>
      <c r="O442" t="n">
        <v>0</v>
      </c>
      <c r="P442" t="n">
        <v>0</v>
      </c>
      <c r="Q442" t="n">
        <v>0</v>
      </c>
      <c r="R442" s="2" t="inlineStr"/>
    </row>
    <row r="443" ht="15" customHeight="1">
      <c r="A443" t="inlineStr">
        <is>
          <t>A 55345-2021</t>
        </is>
      </c>
      <c r="B443" s="1" t="n">
        <v>44475</v>
      </c>
      <c r="C443" s="1" t="n">
        <v>46170</v>
      </c>
      <c r="D443" t="inlineStr">
        <is>
          <t>ÖSTERGÖTLANDS LÄN</t>
        </is>
      </c>
      <c r="E443" t="inlineStr">
        <is>
          <t>LINKÖPING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56792-2023</t>
        </is>
      </c>
      <c r="B444" s="1" t="n">
        <v>45244</v>
      </c>
      <c r="C444" s="1" t="n">
        <v>46170</v>
      </c>
      <c r="D444" t="inlineStr">
        <is>
          <t>ÖSTERGÖTLANDS LÄN</t>
        </is>
      </c>
      <c r="E444" t="inlineStr">
        <is>
          <t>LINKÖPING</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59205-2025</t>
        </is>
      </c>
      <c r="B445" s="1" t="n">
        <v>45988.60721064815</v>
      </c>
      <c r="C445" s="1" t="n">
        <v>46170</v>
      </c>
      <c r="D445" t="inlineStr">
        <is>
          <t>ÖSTERGÖTLANDS LÄN</t>
        </is>
      </c>
      <c r="E445" t="inlineStr">
        <is>
          <t>LINKÖPING</t>
        </is>
      </c>
      <c r="F445" t="inlineStr">
        <is>
          <t>Sveaskog</t>
        </is>
      </c>
      <c r="G445" t="n">
        <v>11.3</v>
      </c>
      <c r="H445" t="n">
        <v>0</v>
      </c>
      <c r="I445" t="n">
        <v>0</v>
      </c>
      <c r="J445" t="n">
        <v>0</v>
      </c>
      <c r="K445" t="n">
        <v>0</v>
      </c>
      <c r="L445" t="n">
        <v>0</v>
      </c>
      <c r="M445" t="n">
        <v>0</v>
      </c>
      <c r="N445" t="n">
        <v>0</v>
      </c>
      <c r="O445" t="n">
        <v>0</v>
      </c>
      <c r="P445" t="n">
        <v>0</v>
      </c>
      <c r="Q445" t="n">
        <v>0</v>
      </c>
      <c r="R445" s="2" t="inlineStr"/>
    </row>
    <row r="446" ht="15" customHeight="1">
      <c r="A446" t="inlineStr">
        <is>
          <t>A 39017-2021</t>
        </is>
      </c>
      <c r="B446" s="1" t="n">
        <v>44412</v>
      </c>
      <c r="C446" s="1" t="n">
        <v>46170</v>
      </c>
      <c r="D446" t="inlineStr">
        <is>
          <t>ÖSTERGÖTLANDS LÄN</t>
        </is>
      </c>
      <c r="E446" t="inlineStr">
        <is>
          <t>LINKÖPING</t>
        </is>
      </c>
      <c r="F446" t="inlineStr">
        <is>
          <t>Övriga statliga verk och myndigheter</t>
        </is>
      </c>
      <c r="G446" t="n">
        <v>0.8</v>
      </c>
      <c r="H446" t="n">
        <v>0</v>
      </c>
      <c r="I446" t="n">
        <v>0</v>
      </c>
      <c r="J446" t="n">
        <v>0</v>
      </c>
      <c r="K446" t="n">
        <v>0</v>
      </c>
      <c r="L446" t="n">
        <v>0</v>
      </c>
      <c r="M446" t="n">
        <v>0</v>
      </c>
      <c r="N446" t="n">
        <v>0</v>
      </c>
      <c r="O446" t="n">
        <v>0</v>
      </c>
      <c r="P446" t="n">
        <v>0</v>
      </c>
      <c r="Q446" t="n">
        <v>0</v>
      </c>
      <c r="R446" s="2" t="inlineStr"/>
    </row>
    <row r="447" ht="15" customHeight="1">
      <c r="A447" t="inlineStr">
        <is>
          <t>A 59472-2025</t>
        </is>
      </c>
      <c r="B447" s="1" t="n">
        <v>45989.58321759259</v>
      </c>
      <c r="C447" s="1" t="n">
        <v>46170</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1260-2023</t>
        </is>
      </c>
      <c r="B448" s="1" t="n">
        <v>44936</v>
      </c>
      <c r="C448" s="1" t="n">
        <v>46170</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1355-2023</t>
        </is>
      </c>
      <c r="B449" s="1" t="n">
        <v>44931</v>
      </c>
      <c r="C449" s="1" t="n">
        <v>46170</v>
      </c>
      <c r="D449" t="inlineStr">
        <is>
          <t>ÖSTERGÖTLANDS LÄN</t>
        </is>
      </c>
      <c r="E449" t="inlineStr">
        <is>
          <t>LINKÖPING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3007-2025</t>
        </is>
      </c>
      <c r="B450" s="1" t="n">
        <v>45678.56328703704</v>
      </c>
      <c r="C450" s="1" t="n">
        <v>46170</v>
      </c>
      <c r="D450" t="inlineStr">
        <is>
          <t>ÖSTERGÖTLANDS LÄN</t>
        </is>
      </c>
      <c r="E450" t="inlineStr">
        <is>
          <t>LINKÖPING</t>
        </is>
      </c>
      <c r="G450" t="n">
        <v>3.1</v>
      </c>
      <c r="H450" t="n">
        <v>0</v>
      </c>
      <c r="I450" t="n">
        <v>0</v>
      </c>
      <c r="J450" t="n">
        <v>0</v>
      </c>
      <c r="K450" t="n">
        <v>0</v>
      </c>
      <c r="L450" t="n">
        <v>0</v>
      </c>
      <c r="M450" t="n">
        <v>0</v>
      </c>
      <c r="N450" t="n">
        <v>0</v>
      </c>
      <c r="O450" t="n">
        <v>0</v>
      </c>
      <c r="P450" t="n">
        <v>0</v>
      </c>
      <c r="Q450" t="n">
        <v>0</v>
      </c>
      <c r="R450" s="2" t="inlineStr"/>
    </row>
    <row r="451" ht="15" customHeight="1">
      <c r="A451" t="inlineStr">
        <is>
          <t>A 10492-2022</t>
        </is>
      </c>
      <c r="B451" s="1" t="n">
        <v>44623.6377199074</v>
      </c>
      <c r="C451" s="1" t="n">
        <v>46170</v>
      </c>
      <c r="D451" t="inlineStr">
        <is>
          <t>ÖSTERGÖTLANDS LÄN</t>
        </is>
      </c>
      <c r="E451" t="inlineStr">
        <is>
          <t>LINKÖPING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30465-2023</t>
        </is>
      </c>
      <c r="B452" s="1" t="n">
        <v>45111</v>
      </c>
      <c r="C452" s="1" t="n">
        <v>46170</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60087-2025</t>
        </is>
      </c>
      <c r="B453" s="1" t="n">
        <v>45993.71726851852</v>
      </c>
      <c r="C453" s="1" t="n">
        <v>46170</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39021-2021</t>
        </is>
      </c>
      <c r="B454" s="1" t="n">
        <v>44412</v>
      </c>
      <c r="C454" s="1" t="n">
        <v>46170</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62353-2022</t>
        </is>
      </c>
      <c r="B455" s="1" t="n">
        <v>44923</v>
      </c>
      <c r="C455" s="1" t="n">
        <v>46170</v>
      </c>
      <c r="D455" t="inlineStr">
        <is>
          <t>ÖSTERGÖTLANDS LÄN</t>
        </is>
      </c>
      <c r="E455" t="inlineStr">
        <is>
          <t>LINKÖPING</t>
        </is>
      </c>
      <c r="F455" t="inlineStr">
        <is>
          <t>Allmännings- och besparingsskogar</t>
        </is>
      </c>
      <c r="G455" t="n">
        <v>1.7</v>
      </c>
      <c r="H455" t="n">
        <v>0</v>
      </c>
      <c r="I455" t="n">
        <v>0</v>
      </c>
      <c r="J455" t="n">
        <v>0</v>
      </c>
      <c r="K455" t="n">
        <v>0</v>
      </c>
      <c r="L455" t="n">
        <v>0</v>
      </c>
      <c r="M455" t="n">
        <v>0</v>
      </c>
      <c r="N455" t="n">
        <v>0</v>
      </c>
      <c r="O455" t="n">
        <v>0</v>
      </c>
      <c r="P455" t="n">
        <v>0</v>
      </c>
      <c r="Q455" t="n">
        <v>0</v>
      </c>
      <c r="R455" s="2" t="inlineStr"/>
    </row>
    <row r="456" ht="15" customHeight="1">
      <c r="A456" t="inlineStr">
        <is>
          <t>A 30111-2024</t>
        </is>
      </c>
      <c r="B456" s="1" t="n">
        <v>45489.46947916667</v>
      </c>
      <c r="C456" s="1" t="n">
        <v>46170</v>
      </c>
      <c r="D456" t="inlineStr">
        <is>
          <t>ÖSTERGÖTLANDS LÄN</t>
        </is>
      </c>
      <c r="E456" t="inlineStr">
        <is>
          <t>LINKÖPING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30119-2024</t>
        </is>
      </c>
      <c r="B457" s="1" t="n">
        <v>45489</v>
      </c>
      <c r="C457" s="1" t="n">
        <v>46170</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29411-2023</t>
        </is>
      </c>
      <c r="B458" s="1" t="n">
        <v>45106.46225694445</v>
      </c>
      <c r="C458" s="1" t="n">
        <v>46170</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29412-2023</t>
        </is>
      </c>
      <c r="B459" s="1" t="n">
        <v>45106.46359953703</v>
      </c>
      <c r="C459" s="1" t="n">
        <v>46170</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31792-2021</t>
        </is>
      </c>
      <c r="B460" s="1" t="n">
        <v>44369</v>
      </c>
      <c r="C460" s="1" t="n">
        <v>46170</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60306-2025</t>
        </is>
      </c>
      <c r="B461" s="1" t="n">
        <v>45994.68326388889</v>
      </c>
      <c r="C461" s="1" t="n">
        <v>46170</v>
      </c>
      <c r="D461" t="inlineStr">
        <is>
          <t>ÖSTERGÖTLANDS LÄN</t>
        </is>
      </c>
      <c r="E461" t="inlineStr">
        <is>
          <t>LINKÖPING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60284-2025</t>
        </is>
      </c>
      <c r="B462" s="1" t="n">
        <v>45994.64373842593</v>
      </c>
      <c r="C462" s="1" t="n">
        <v>46170</v>
      </c>
      <c r="D462" t="inlineStr">
        <is>
          <t>ÖSTERGÖTLANDS LÄN</t>
        </is>
      </c>
      <c r="E462" t="inlineStr">
        <is>
          <t>LINKÖPING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421-2024</t>
        </is>
      </c>
      <c r="B463" s="1" t="n">
        <v>45296.51877314815</v>
      </c>
      <c r="C463" s="1" t="n">
        <v>46170</v>
      </c>
      <c r="D463" t="inlineStr">
        <is>
          <t>ÖSTERGÖTLANDS LÄN</t>
        </is>
      </c>
      <c r="E463" t="inlineStr">
        <is>
          <t>LINKÖPING</t>
        </is>
      </c>
      <c r="G463" t="n">
        <v>3.7</v>
      </c>
      <c r="H463" t="n">
        <v>0</v>
      </c>
      <c r="I463" t="n">
        <v>0</v>
      </c>
      <c r="J463" t="n">
        <v>0</v>
      </c>
      <c r="K463" t="n">
        <v>0</v>
      </c>
      <c r="L463" t="n">
        <v>0</v>
      </c>
      <c r="M463" t="n">
        <v>0</v>
      </c>
      <c r="N463" t="n">
        <v>0</v>
      </c>
      <c r="O463" t="n">
        <v>0</v>
      </c>
      <c r="P463" t="n">
        <v>0</v>
      </c>
      <c r="Q463" t="n">
        <v>0</v>
      </c>
      <c r="R463" s="2" t="inlineStr"/>
    </row>
    <row r="464" ht="15" customHeight="1">
      <c r="A464" t="inlineStr">
        <is>
          <t>A 22043-2023</t>
        </is>
      </c>
      <c r="B464" s="1" t="n">
        <v>45069.39050925926</v>
      </c>
      <c r="C464" s="1" t="n">
        <v>46170</v>
      </c>
      <c r="D464" t="inlineStr">
        <is>
          <t>ÖSTERGÖTLANDS LÄN</t>
        </is>
      </c>
      <c r="E464" t="inlineStr">
        <is>
          <t>LINKÖPING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61532-2021</t>
        </is>
      </c>
      <c r="B465" s="1" t="n">
        <v>44501</v>
      </c>
      <c r="C465" s="1" t="n">
        <v>46170</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14028-2024</t>
        </is>
      </c>
      <c r="B466" s="1" t="n">
        <v>45392</v>
      </c>
      <c r="C466" s="1" t="n">
        <v>46170</v>
      </c>
      <c r="D466" t="inlineStr">
        <is>
          <t>ÖSTERGÖTLANDS LÄN</t>
        </is>
      </c>
      <c r="E466" t="inlineStr">
        <is>
          <t>LINKÖPING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40431-2024</t>
        </is>
      </c>
      <c r="B467" s="1" t="n">
        <v>45555.47070601852</v>
      </c>
      <c r="C467" s="1" t="n">
        <v>46170</v>
      </c>
      <c r="D467" t="inlineStr">
        <is>
          <t>ÖSTERGÖTLANDS LÄN</t>
        </is>
      </c>
      <c r="E467" t="inlineStr">
        <is>
          <t>LINKÖPING</t>
        </is>
      </c>
      <c r="F467" t="inlineStr">
        <is>
          <t>Allmännings- och besparingsskogar</t>
        </is>
      </c>
      <c r="G467" t="n">
        <v>2.9</v>
      </c>
      <c r="H467" t="n">
        <v>0</v>
      </c>
      <c r="I467" t="n">
        <v>0</v>
      </c>
      <c r="J467" t="n">
        <v>0</v>
      </c>
      <c r="K467" t="n">
        <v>0</v>
      </c>
      <c r="L467" t="n">
        <v>0</v>
      </c>
      <c r="M467" t="n">
        <v>0</v>
      </c>
      <c r="N467" t="n">
        <v>0</v>
      </c>
      <c r="O467" t="n">
        <v>0</v>
      </c>
      <c r="P467" t="n">
        <v>0</v>
      </c>
      <c r="Q467" t="n">
        <v>0</v>
      </c>
      <c r="R467" s="2" t="inlineStr"/>
    </row>
    <row r="468" ht="15" customHeight="1">
      <c r="A468" t="inlineStr">
        <is>
          <t>A 60860-2024</t>
        </is>
      </c>
      <c r="B468" s="1" t="n">
        <v>45644.6893287037</v>
      </c>
      <c r="C468" s="1" t="n">
        <v>46170</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60703-2025</t>
        </is>
      </c>
      <c r="B469" s="1" t="n">
        <v>45996.6052662037</v>
      </c>
      <c r="C469" s="1" t="n">
        <v>46170</v>
      </c>
      <c r="D469" t="inlineStr">
        <is>
          <t>ÖSTERGÖTLANDS LÄN</t>
        </is>
      </c>
      <c r="E469" t="inlineStr">
        <is>
          <t>LINKÖPING</t>
        </is>
      </c>
      <c r="F469" t="inlineStr">
        <is>
          <t>Övriga Aktiebolag</t>
        </is>
      </c>
      <c r="G469" t="n">
        <v>1.3</v>
      </c>
      <c r="H469" t="n">
        <v>0</v>
      </c>
      <c r="I469" t="n">
        <v>0</v>
      </c>
      <c r="J469" t="n">
        <v>0</v>
      </c>
      <c r="K469" t="n">
        <v>0</v>
      </c>
      <c r="L469" t="n">
        <v>0</v>
      </c>
      <c r="M469" t="n">
        <v>0</v>
      </c>
      <c r="N469" t="n">
        <v>0</v>
      </c>
      <c r="O469" t="n">
        <v>0</v>
      </c>
      <c r="P469" t="n">
        <v>0</v>
      </c>
      <c r="Q469" t="n">
        <v>0</v>
      </c>
      <c r="R469" s="2" t="inlineStr"/>
    </row>
    <row r="470" ht="15" customHeight="1">
      <c r="A470" t="inlineStr">
        <is>
          <t>A 60866-2025</t>
        </is>
      </c>
      <c r="B470" s="1" t="n">
        <v>45999</v>
      </c>
      <c r="C470" s="1" t="n">
        <v>46170</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2697-2023</t>
        </is>
      </c>
      <c r="B471" s="1" t="n">
        <v>44944</v>
      </c>
      <c r="C471" s="1" t="n">
        <v>46170</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45806-2024</t>
        </is>
      </c>
      <c r="B472" s="1" t="n">
        <v>45579.69619212963</v>
      </c>
      <c r="C472" s="1" t="n">
        <v>46170</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56756-2023</t>
        </is>
      </c>
      <c r="B473" s="1" t="n">
        <v>45244</v>
      </c>
      <c r="C473" s="1" t="n">
        <v>46170</v>
      </c>
      <c r="D473" t="inlineStr">
        <is>
          <t>ÖSTERGÖTLANDS LÄN</t>
        </is>
      </c>
      <c r="E473" t="inlineStr">
        <is>
          <t>LINKÖPING</t>
        </is>
      </c>
      <c r="F473" t="inlineStr">
        <is>
          <t>Övriga Aktiebolag</t>
        </is>
      </c>
      <c r="G473" t="n">
        <v>0.8</v>
      </c>
      <c r="H473" t="n">
        <v>0</v>
      </c>
      <c r="I473" t="n">
        <v>0</v>
      </c>
      <c r="J473" t="n">
        <v>0</v>
      </c>
      <c r="K473" t="n">
        <v>0</v>
      </c>
      <c r="L473" t="n">
        <v>0</v>
      </c>
      <c r="M473" t="n">
        <v>0</v>
      </c>
      <c r="N473" t="n">
        <v>0</v>
      </c>
      <c r="O473" t="n">
        <v>0</v>
      </c>
      <c r="P473" t="n">
        <v>0</v>
      </c>
      <c r="Q473" t="n">
        <v>0</v>
      </c>
      <c r="R473" s="2" t="inlineStr"/>
    </row>
    <row r="474" ht="15" customHeight="1">
      <c r="A474" t="inlineStr">
        <is>
          <t>A 61230-2025</t>
        </is>
      </c>
      <c r="B474" s="1" t="n">
        <v>46000.63111111111</v>
      </c>
      <c r="C474" s="1" t="n">
        <v>46170</v>
      </c>
      <c r="D474" t="inlineStr">
        <is>
          <t>ÖSTERGÖTLANDS LÄN</t>
        </is>
      </c>
      <c r="E474" t="inlineStr">
        <is>
          <t>LINKÖPING</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60985-2023</t>
        </is>
      </c>
      <c r="B475" s="1" t="n">
        <v>45261.48429398148</v>
      </c>
      <c r="C475" s="1" t="n">
        <v>46170</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61447-2025</t>
        </is>
      </c>
      <c r="B476" s="1" t="n">
        <v>46001.57554398148</v>
      </c>
      <c r="C476" s="1" t="n">
        <v>46170</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24904-2024</t>
        </is>
      </c>
      <c r="B477" s="1" t="n">
        <v>45461</v>
      </c>
      <c r="C477" s="1" t="n">
        <v>46170</v>
      </c>
      <c r="D477" t="inlineStr">
        <is>
          <t>ÖSTERGÖTLANDS LÄN</t>
        </is>
      </c>
      <c r="E477" t="inlineStr">
        <is>
          <t>LINKÖPING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55009-2023</t>
        </is>
      </c>
      <c r="B478" s="1" t="n">
        <v>45237</v>
      </c>
      <c r="C478" s="1" t="n">
        <v>46170</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34872-2023</t>
        </is>
      </c>
      <c r="B479" s="1" t="n">
        <v>45140</v>
      </c>
      <c r="C479" s="1" t="n">
        <v>46170</v>
      </c>
      <c r="D479" t="inlineStr">
        <is>
          <t>ÖSTERGÖTLANDS LÄN</t>
        </is>
      </c>
      <c r="E479" t="inlineStr">
        <is>
          <t>LINKÖPING</t>
        </is>
      </c>
      <c r="G479" t="n">
        <v>4.8</v>
      </c>
      <c r="H479" t="n">
        <v>0</v>
      </c>
      <c r="I479" t="n">
        <v>0</v>
      </c>
      <c r="J479" t="n">
        <v>0</v>
      </c>
      <c r="K479" t="n">
        <v>0</v>
      </c>
      <c r="L479" t="n">
        <v>0</v>
      </c>
      <c r="M479" t="n">
        <v>0</v>
      </c>
      <c r="N479" t="n">
        <v>0</v>
      </c>
      <c r="O479" t="n">
        <v>0</v>
      </c>
      <c r="P479" t="n">
        <v>0</v>
      </c>
      <c r="Q479" t="n">
        <v>0</v>
      </c>
      <c r="R479" s="2" t="inlineStr"/>
    </row>
    <row r="480" ht="15" customHeight="1">
      <c r="A480" t="inlineStr">
        <is>
          <t>A 61899-2025</t>
        </is>
      </c>
      <c r="B480" s="1" t="n">
        <v>46003.46635416667</v>
      </c>
      <c r="C480" s="1" t="n">
        <v>46170</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36336-2022</t>
        </is>
      </c>
      <c r="B481" s="1" t="n">
        <v>44803</v>
      </c>
      <c r="C481" s="1" t="n">
        <v>46170</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61643-2025</t>
        </is>
      </c>
      <c r="B482" s="1" t="n">
        <v>46002.43575231481</v>
      </c>
      <c r="C482" s="1" t="n">
        <v>46170</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61645-2025</t>
        </is>
      </c>
      <c r="B483" s="1" t="n">
        <v>46002.43697916667</v>
      </c>
      <c r="C483" s="1" t="n">
        <v>46170</v>
      </c>
      <c r="D483" t="inlineStr">
        <is>
          <t>ÖSTERGÖTLANDS LÄN</t>
        </is>
      </c>
      <c r="E483" t="inlineStr">
        <is>
          <t>LINKÖPING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25097-2023</t>
        </is>
      </c>
      <c r="B484" s="1" t="n">
        <v>45086</v>
      </c>
      <c r="C484" s="1" t="n">
        <v>46170</v>
      </c>
      <c r="D484" t="inlineStr">
        <is>
          <t>ÖSTERGÖTLANDS LÄN</t>
        </is>
      </c>
      <c r="E484" t="inlineStr">
        <is>
          <t>LINKÖPING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10461-2023</t>
        </is>
      </c>
      <c r="B485" s="1" t="n">
        <v>44987.5969212963</v>
      </c>
      <c r="C485" s="1" t="n">
        <v>46170</v>
      </c>
      <c r="D485" t="inlineStr">
        <is>
          <t>ÖSTERGÖTLANDS LÄN</t>
        </is>
      </c>
      <c r="E485" t="inlineStr">
        <is>
          <t>LINKÖPING</t>
        </is>
      </c>
      <c r="G485" t="n">
        <v>7.8</v>
      </c>
      <c r="H485" t="n">
        <v>0</v>
      </c>
      <c r="I485" t="n">
        <v>0</v>
      </c>
      <c r="J485" t="n">
        <v>0</v>
      </c>
      <c r="K485" t="n">
        <v>0</v>
      </c>
      <c r="L485" t="n">
        <v>0</v>
      </c>
      <c r="M485" t="n">
        <v>0</v>
      </c>
      <c r="N485" t="n">
        <v>0</v>
      </c>
      <c r="O485" t="n">
        <v>0</v>
      </c>
      <c r="P485" t="n">
        <v>0</v>
      </c>
      <c r="Q485" t="n">
        <v>0</v>
      </c>
      <c r="R485" s="2" t="inlineStr"/>
    </row>
    <row r="486" ht="15" customHeight="1">
      <c r="A486" t="inlineStr">
        <is>
          <t>A 62515-2025</t>
        </is>
      </c>
      <c r="B486" s="1" t="n">
        <v>46007.60548611111</v>
      </c>
      <c r="C486" s="1" t="n">
        <v>46170</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50386-2021</t>
        </is>
      </c>
      <c r="B487" s="1" t="n">
        <v>44459</v>
      </c>
      <c r="C487" s="1" t="n">
        <v>46170</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350-2022</t>
        </is>
      </c>
      <c r="B488" s="1" t="n">
        <v>44565</v>
      </c>
      <c r="C488" s="1" t="n">
        <v>46170</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62791-2025</t>
        </is>
      </c>
      <c r="B489" s="1" t="n">
        <v>46008.63266203704</v>
      </c>
      <c r="C489" s="1" t="n">
        <v>46170</v>
      </c>
      <c r="D489" t="inlineStr">
        <is>
          <t>ÖSTERGÖTLANDS LÄN</t>
        </is>
      </c>
      <c r="E489" t="inlineStr">
        <is>
          <t>LINKÖPING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18891-2022</t>
        </is>
      </c>
      <c r="B490" s="1" t="n">
        <v>44690</v>
      </c>
      <c r="C490" s="1" t="n">
        <v>46170</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62686-2025</t>
        </is>
      </c>
      <c r="B491" s="1" t="n">
        <v>46008.46769675926</v>
      </c>
      <c r="C491" s="1" t="n">
        <v>46170</v>
      </c>
      <c r="D491" t="inlineStr">
        <is>
          <t>ÖSTERGÖTLANDS LÄN</t>
        </is>
      </c>
      <c r="E491" t="inlineStr">
        <is>
          <t>LINKÖPING</t>
        </is>
      </c>
      <c r="G491" t="n">
        <v>7.6</v>
      </c>
      <c r="H491" t="n">
        <v>0</v>
      </c>
      <c r="I491" t="n">
        <v>0</v>
      </c>
      <c r="J491" t="n">
        <v>0</v>
      </c>
      <c r="K491" t="n">
        <v>0</v>
      </c>
      <c r="L491" t="n">
        <v>0</v>
      </c>
      <c r="M491" t="n">
        <v>0</v>
      </c>
      <c r="N491" t="n">
        <v>0</v>
      </c>
      <c r="O491" t="n">
        <v>0</v>
      </c>
      <c r="P491" t="n">
        <v>0</v>
      </c>
      <c r="Q491" t="n">
        <v>0</v>
      </c>
      <c r="R491" s="2" t="inlineStr"/>
    </row>
    <row r="492" ht="15" customHeight="1">
      <c r="A492" t="inlineStr">
        <is>
          <t>A 63147-2025</t>
        </is>
      </c>
      <c r="B492" s="1" t="n">
        <v>46010.35003472222</v>
      </c>
      <c r="C492" s="1" t="n">
        <v>46170</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30976-2022</t>
        </is>
      </c>
      <c r="B493" s="1" t="n">
        <v>44768</v>
      </c>
      <c r="C493" s="1" t="n">
        <v>46170</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55736-2022</t>
        </is>
      </c>
      <c r="B494" s="1" t="n">
        <v>44888</v>
      </c>
      <c r="C494" s="1" t="n">
        <v>46170</v>
      </c>
      <c r="D494" t="inlineStr">
        <is>
          <t>ÖSTERGÖTLANDS LÄN</t>
        </is>
      </c>
      <c r="E494" t="inlineStr">
        <is>
          <t>LINKÖPING</t>
        </is>
      </c>
      <c r="G494" t="n">
        <v>5.5</v>
      </c>
      <c r="H494" t="n">
        <v>0</v>
      </c>
      <c r="I494" t="n">
        <v>0</v>
      </c>
      <c r="J494" t="n">
        <v>0</v>
      </c>
      <c r="K494" t="n">
        <v>0</v>
      </c>
      <c r="L494" t="n">
        <v>0</v>
      </c>
      <c r="M494" t="n">
        <v>0</v>
      </c>
      <c r="N494" t="n">
        <v>0</v>
      </c>
      <c r="O494" t="n">
        <v>0</v>
      </c>
      <c r="P494" t="n">
        <v>0</v>
      </c>
      <c r="Q494" t="n">
        <v>0</v>
      </c>
      <c r="R494" s="2" t="inlineStr"/>
    </row>
    <row r="495" ht="15" customHeight="1">
      <c r="A495" t="inlineStr">
        <is>
          <t>A 10194-2023</t>
        </is>
      </c>
      <c r="B495" s="1" t="n">
        <v>44986.52277777778</v>
      </c>
      <c r="C495" s="1" t="n">
        <v>46170</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63144-2025</t>
        </is>
      </c>
      <c r="B496" s="1" t="n">
        <v>46010.34716435185</v>
      </c>
      <c r="C496" s="1" t="n">
        <v>46170</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7702-2023</t>
        </is>
      </c>
      <c r="B497" s="1" t="n">
        <v>44967</v>
      </c>
      <c r="C497" s="1" t="n">
        <v>46170</v>
      </c>
      <c r="D497" t="inlineStr">
        <is>
          <t>ÖSTERGÖTLANDS LÄN</t>
        </is>
      </c>
      <c r="E497" t="inlineStr">
        <is>
          <t>LINKÖPING</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42000-2023</t>
        </is>
      </c>
      <c r="B498" s="1" t="n">
        <v>45177</v>
      </c>
      <c r="C498" s="1" t="n">
        <v>46170</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31534-2023</t>
        </is>
      </c>
      <c r="B499" s="1" t="n">
        <v>45116</v>
      </c>
      <c r="C499" s="1" t="n">
        <v>46170</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35427-2023</t>
        </is>
      </c>
      <c r="B500" s="1" t="n">
        <v>45146</v>
      </c>
      <c r="C500" s="1" t="n">
        <v>46170</v>
      </c>
      <c r="D500" t="inlineStr">
        <is>
          <t>ÖSTERGÖTLANDS LÄN</t>
        </is>
      </c>
      <c r="E500" t="inlineStr">
        <is>
          <t>LINKÖPING</t>
        </is>
      </c>
      <c r="F500" t="inlineStr">
        <is>
          <t>Övriga Aktiebolag</t>
        </is>
      </c>
      <c r="G500" t="n">
        <v>2.5</v>
      </c>
      <c r="H500" t="n">
        <v>0</v>
      </c>
      <c r="I500" t="n">
        <v>0</v>
      </c>
      <c r="J500" t="n">
        <v>0</v>
      </c>
      <c r="K500" t="n">
        <v>0</v>
      </c>
      <c r="L500" t="n">
        <v>0</v>
      </c>
      <c r="M500" t="n">
        <v>0</v>
      </c>
      <c r="N500" t="n">
        <v>0</v>
      </c>
      <c r="O500" t="n">
        <v>0</v>
      </c>
      <c r="P500" t="n">
        <v>0</v>
      </c>
      <c r="Q500" t="n">
        <v>0</v>
      </c>
      <c r="R500" s="2" t="inlineStr"/>
    </row>
    <row r="501" ht="15" customHeight="1">
      <c r="A501" t="inlineStr">
        <is>
          <t>A 36725-2023</t>
        </is>
      </c>
      <c r="B501" s="1" t="n">
        <v>45153.68471064815</v>
      </c>
      <c r="C501" s="1" t="n">
        <v>46170</v>
      </c>
      <c r="D501" t="inlineStr">
        <is>
          <t>ÖSTERGÖTLANDS LÄN</t>
        </is>
      </c>
      <c r="E501" t="inlineStr">
        <is>
          <t>LINKÖPING</t>
        </is>
      </c>
      <c r="F501" t="inlineStr">
        <is>
          <t>Allmännings- och besparingsskogar</t>
        </is>
      </c>
      <c r="G501" t="n">
        <v>2.6</v>
      </c>
      <c r="H501" t="n">
        <v>0</v>
      </c>
      <c r="I501" t="n">
        <v>0</v>
      </c>
      <c r="J501" t="n">
        <v>0</v>
      </c>
      <c r="K501" t="n">
        <v>0</v>
      </c>
      <c r="L501" t="n">
        <v>0</v>
      </c>
      <c r="M501" t="n">
        <v>0</v>
      </c>
      <c r="N501" t="n">
        <v>0</v>
      </c>
      <c r="O501" t="n">
        <v>0</v>
      </c>
      <c r="P501" t="n">
        <v>0</v>
      </c>
      <c r="Q501" t="n">
        <v>0</v>
      </c>
      <c r="R501" s="2" t="inlineStr"/>
    </row>
    <row r="502" ht="15" customHeight="1">
      <c r="A502" t="inlineStr">
        <is>
          <t>A 53639-2023</t>
        </is>
      </c>
      <c r="B502" s="1" t="n">
        <v>45230.59686342593</v>
      </c>
      <c r="C502" s="1" t="n">
        <v>46170</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1657-2024</t>
        </is>
      </c>
      <c r="B503" s="1" t="n">
        <v>45306.82501157407</v>
      </c>
      <c r="C503" s="1" t="n">
        <v>46170</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50784-2022</t>
        </is>
      </c>
      <c r="B504" s="1" t="n">
        <v>44862</v>
      </c>
      <c r="C504" s="1" t="n">
        <v>46170</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26803-2024</t>
        </is>
      </c>
      <c r="B505" s="1" t="n">
        <v>45470</v>
      </c>
      <c r="C505" s="1" t="n">
        <v>46170</v>
      </c>
      <c r="D505" t="inlineStr">
        <is>
          <t>ÖSTERGÖTLANDS LÄN</t>
        </is>
      </c>
      <c r="E505" t="inlineStr">
        <is>
          <t>LINKÖPING</t>
        </is>
      </c>
      <c r="F505" t="inlineStr">
        <is>
          <t>Allmännings- och besparingsskogar</t>
        </is>
      </c>
      <c r="G505" t="n">
        <v>4.5</v>
      </c>
      <c r="H505" t="n">
        <v>0</v>
      </c>
      <c r="I505" t="n">
        <v>0</v>
      </c>
      <c r="J505" t="n">
        <v>0</v>
      </c>
      <c r="K505" t="n">
        <v>0</v>
      </c>
      <c r="L505" t="n">
        <v>0</v>
      </c>
      <c r="M505" t="n">
        <v>0</v>
      </c>
      <c r="N505" t="n">
        <v>0</v>
      </c>
      <c r="O505" t="n">
        <v>0</v>
      </c>
      <c r="P505" t="n">
        <v>0</v>
      </c>
      <c r="Q505" t="n">
        <v>0</v>
      </c>
      <c r="R505" s="2" t="inlineStr"/>
    </row>
    <row r="506" ht="15" customHeight="1">
      <c r="A506" t="inlineStr">
        <is>
          <t>A 1223-2026</t>
        </is>
      </c>
      <c r="B506" s="1" t="n">
        <v>46031.40233796297</v>
      </c>
      <c r="C506" s="1" t="n">
        <v>46170</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858-2026</t>
        </is>
      </c>
      <c r="B507" s="1" t="n">
        <v>46030.41200231481</v>
      </c>
      <c r="C507" s="1" t="n">
        <v>46170</v>
      </c>
      <c r="D507" t="inlineStr">
        <is>
          <t>ÖSTERGÖTLANDS LÄN</t>
        </is>
      </c>
      <c r="E507" t="inlineStr">
        <is>
          <t>LINKÖPING</t>
        </is>
      </c>
      <c r="G507" t="n">
        <v>1.9</v>
      </c>
      <c r="H507" t="n">
        <v>0</v>
      </c>
      <c r="I507" t="n">
        <v>0</v>
      </c>
      <c r="J507" t="n">
        <v>0</v>
      </c>
      <c r="K507" t="n">
        <v>0</v>
      </c>
      <c r="L507" t="n">
        <v>0</v>
      </c>
      <c r="M507" t="n">
        <v>0</v>
      </c>
      <c r="N507" t="n">
        <v>0</v>
      </c>
      <c r="O507" t="n">
        <v>0</v>
      </c>
      <c r="P507" t="n">
        <v>0</v>
      </c>
      <c r="Q507" t="n">
        <v>0</v>
      </c>
      <c r="R507" s="2" t="inlineStr"/>
    </row>
    <row r="508" ht="15" customHeight="1">
      <c r="A508" t="inlineStr">
        <is>
          <t>A 873-2026</t>
        </is>
      </c>
      <c r="B508" s="1" t="n">
        <v>46030.43818287037</v>
      </c>
      <c r="C508" s="1" t="n">
        <v>46170</v>
      </c>
      <c r="D508" t="inlineStr">
        <is>
          <t>ÖSTERGÖTLANDS LÄN</t>
        </is>
      </c>
      <c r="E508" t="inlineStr">
        <is>
          <t>LINKÖPING</t>
        </is>
      </c>
      <c r="G508" t="n">
        <v>4.1</v>
      </c>
      <c r="H508" t="n">
        <v>0</v>
      </c>
      <c r="I508" t="n">
        <v>0</v>
      </c>
      <c r="J508" t="n">
        <v>0</v>
      </c>
      <c r="K508" t="n">
        <v>0</v>
      </c>
      <c r="L508" t="n">
        <v>0</v>
      </c>
      <c r="M508" t="n">
        <v>0</v>
      </c>
      <c r="N508" t="n">
        <v>0</v>
      </c>
      <c r="O508" t="n">
        <v>0</v>
      </c>
      <c r="P508" t="n">
        <v>0</v>
      </c>
      <c r="Q508" t="n">
        <v>0</v>
      </c>
      <c r="R508" s="2" t="inlineStr"/>
    </row>
    <row r="509" ht="15" customHeight="1">
      <c r="A509" t="inlineStr">
        <is>
          <t>A 856-2026</t>
        </is>
      </c>
      <c r="B509" s="1" t="n">
        <v>46030.40644675926</v>
      </c>
      <c r="C509" s="1" t="n">
        <v>46170</v>
      </c>
      <c r="D509" t="inlineStr">
        <is>
          <t>ÖSTERGÖTLANDS LÄN</t>
        </is>
      </c>
      <c r="E509" t="inlineStr">
        <is>
          <t>LINKÖPING</t>
        </is>
      </c>
      <c r="G509" t="n">
        <v>6.4</v>
      </c>
      <c r="H509" t="n">
        <v>0</v>
      </c>
      <c r="I509" t="n">
        <v>0</v>
      </c>
      <c r="J509" t="n">
        <v>0</v>
      </c>
      <c r="K509" t="n">
        <v>0</v>
      </c>
      <c r="L509" t="n">
        <v>0</v>
      </c>
      <c r="M509" t="n">
        <v>0</v>
      </c>
      <c r="N509" t="n">
        <v>0</v>
      </c>
      <c r="O509" t="n">
        <v>0</v>
      </c>
      <c r="P509" t="n">
        <v>0</v>
      </c>
      <c r="Q509" t="n">
        <v>0</v>
      </c>
      <c r="R509" s="2" t="inlineStr"/>
    </row>
    <row r="510" ht="15" customHeight="1">
      <c r="A510" t="inlineStr">
        <is>
          <t>A 860-2026</t>
        </is>
      </c>
      <c r="B510" s="1" t="n">
        <v>46030.41974537037</v>
      </c>
      <c r="C510" s="1" t="n">
        <v>46170</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60472-2022</t>
        </is>
      </c>
      <c r="B511" s="1" t="n">
        <v>44911.41037037037</v>
      </c>
      <c r="C511" s="1" t="n">
        <v>46170</v>
      </c>
      <c r="D511" t="inlineStr">
        <is>
          <t>ÖSTERGÖTLANDS LÄN</t>
        </is>
      </c>
      <c r="E511" t="inlineStr">
        <is>
          <t>LINKÖPING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940-2026</t>
        </is>
      </c>
      <c r="B512" s="1" t="n">
        <v>46030.53052083333</v>
      </c>
      <c r="C512" s="1" t="n">
        <v>46170</v>
      </c>
      <c r="D512" t="inlineStr">
        <is>
          <t>ÖSTERGÖTLANDS LÄN</t>
        </is>
      </c>
      <c r="E512" t="inlineStr">
        <is>
          <t>LINKÖPING</t>
        </is>
      </c>
      <c r="F512" t="inlineStr">
        <is>
          <t>Allmännings- och besparingsskogar</t>
        </is>
      </c>
      <c r="G512" t="n">
        <v>2.9</v>
      </c>
      <c r="H512" t="n">
        <v>0</v>
      </c>
      <c r="I512" t="n">
        <v>0</v>
      </c>
      <c r="J512" t="n">
        <v>0</v>
      </c>
      <c r="K512" t="n">
        <v>0</v>
      </c>
      <c r="L512" t="n">
        <v>0</v>
      </c>
      <c r="M512" t="n">
        <v>0</v>
      </c>
      <c r="N512" t="n">
        <v>0</v>
      </c>
      <c r="O512" t="n">
        <v>0</v>
      </c>
      <c r="P512" t="n">
        <v>0</v>
      </c>
      <c r="Q512" t="n">
        <v>0</v>
      </c>
      <c r="R512" s="2" t="inlineStr"/>
    </row>
    <row r="513" ht="15" customHeight="1">
      <c r="A513" t="inlineStr">
        <is>
          <t>A 944-2026</t>
        </is>
      </c>
      <c r="B513" s="1" t="n">
        <v>46030.53461805556</v>
      </c>
      <c r="C513" s="1" t="n">
        <v>46170</v>
      </c>
      <c r="D513" t="inlineStr">
        <is>
          <t>ÖSTERGÖTLANDS LÄN</t>
        </is>
      </c>
      <c r="E513" t="inlineStr">
        <is>
          <t>LINKÖPING</t>
        </is>
      </c>
      <c r="F513" t="inlineStr">
        <is>
          <t>Allmännings- och besparingsskogar</t>
        </is>
      </c>
      <c r="G513" t="n">
        <v>0.9</v>
      </c>
      <c r="H513" t="n">
        <v>0</v>
      </c>
      <c r="I513" t="n">
        <v>0</v>
      </c>
      <c r="J513" t="n">
        <v>0</v>
      </c>
      <c r="K513" t="n">
        <v>0</v>
      </c>
      <c r="L513" t="n">
        <v>0</v>
      </c>
      <c r="M513" t="n">
        <v>0</v>
      </c>
      <c r="N513" t="n">
        <v>0</v>
      </c>
      <c r="O513" t="n">
        <v>0</v>
      </c>
      <c r="P513" t="n">
        <v>0</v>
      </c>
      <c r="Q513" t="n">
        <v>0</v>
      </c>
      <c r="R513" s="2" t="inlineStr"/>
    </row>
    <row r="514" ht="15" customHeight="1">
      <c r="A514" t="inlineStr">
        <is>
          <t>A 43934-2023</t>
        </is>
      </c>
      <c r="B514" s="1" t="n">
        <v>45187</v>
      </c>
      <c r="C514" s="1" t="n">
        <v>46170</v>
      </c>
      <c r="D514" t="inlineStr">
        <is>
          <t>ÖSTERGÖTLANDS LÄN</t>
        </is>
      </c>
      <c r="E514" t="inlineStr">
        <is>
          <t>LINKÖPING</t>
        </is>
      </c>
      <c r="F514" t="inlineStr">
        <is>
          <t>Övriga Aktiebolag</t>
        </is>
      </c>
      <c r="G514" t="n">
        <v>3.8</v>
      </c>
      <c r="H514" t="n">
        <v>0</v>
      </c>
      <c r="I514" t="n">
        <v>0</v>
      </c>
      <c r="J514" t="n">
        <v>0</v>
      </c>
      <c r="K514" t="n">
        <v>0</v>
      </c>
      <c r="L514" t="n">
        <v>0</v>
      </c>
      <c r="M514" t="n">
        <v>0</v>
      </c>
      <c r="N514" t="n">
        <v>0</v>
      </c>
      <c r="O514" t="n">
        <v>0</v>
      </c>
      <c r="P514" t="n">
        <v>0</v>
      </c>
      <c r="Q514" t="n">
        <v>0</v>
      </c>
      <c r="R514" s="2" t="inlineStr"/>
    </row>
    <row r="515" ht="15" customHeight="1">
      <c r="A515" t="inlineStr">
        <is>
          <t>A 22774-2024</t>
        </is>
      </c>
      <c r="B515" s="1" t="n">
        <v>45448.46924768519</v>
      </c>
      <c r="C515" s="1" t="n">
        <v>46170</v>
      </c>
      <c r="D515" t="inlineStr">
        <is>
          <t>ÖSTERGÖTLANDS LÄN</t>
        </is>
      </c>
      <c r="E515" t="inlineStr">
        <is>
          <t>LINKÖPING</t>
        </is>
      </c>
      <c r="F515" t="inlineStr">
        <is>
          <t>Sveaskog</t>
        </is>
      </c>
      <c r="G515" t="n">
        <v>3.3</v>
      </c>
      <c r="H515" t="n">
        <v>0</v>
      </c>
      <c r="I515" t="n">
        <v>0</v>
      </c>
      <c r="J515" t="n">
        <v>0</v>
      </c>
      <c r="K515" t="n">
        <v>0</v>
      </c>
      <c r="L515" t="n">
        <v>0</v>
      </c>
      <c r="M515" t="n">
        <v>0</v>
      </c>
      <c r="N515" t="n">
        <v>0</v>
      </c>
      <c r="O515" t="n">
        <v>0</v>
      </c>
      <c r="P515" t="n">
        <v>0</v>
      </c>
      <c r="Q515" t="n">
        <v>0</v>
      </c>
      <c r="R515" s="2" t="inlineStr"/>
    </row>
    <row r="516" ht="15" customHeight="1">
      <c r="A516" t="inlineStr">
        <is>
          <t>A 22778-2024</t>
        </is>
      </c>
      <c r="B516" s="1" t="n">
        <v>45448.47233796296</v>
      </c>
      <c r="C516" s="1" t="n">
        <v>46170</v>
      </c>
      <c r="D516" t="inlineStr">
        <is>
          <t>ÖSTERGÖTLANDS LÄN</t>
        </is>
      </c>
      <c r="E516" t="inlineStr">
        <is>
          <t>LINKÖPING</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927-2026</t>
        </is>
      </c>
      <c r="B517" s="1" t="n">
        <v>46030.50560185185</v>
      </c>
      <c r="C517" s="1" t="n">
        <v>46170</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1209-2023</t>
        </is>
      </c>
      <c r="B518" s="1" t="n">
        <v>44930</v>
      </c>
      <c r="C518" s="1" t="n">
        <v>46170</v>
      </c>
      <c r="D518" t="inlineStr">
        <is>
          <t>ÖSTERGÖTLANDS LÄN</t>
        </is>
      </c>
      <c r="E518" t="inlineStr">
        <is>
          <t>LINKÖPING</t>
        </is>
      </c>
      <c r="F518" t="inlineStr">
        <is>
          <t>Övriga statliga verk och myndigheter</t>
        </is>
      </c>
      <c r="G518" t="n">
        <v>25.8</v>
      </c>
      <c r="H518" t="n">
        <v>0</v>
      </c>
      <c r="I518" t="n">
        <v>0</v>
      </c>
      <c r="J518" t="n">
        <v>0</v>
      </c>
      <c r="K518" t="n">
        <v>0</v>
      </c>
      <c r="L518" t="n">
        <v>0</v>
      </c>
      <c r="M518" t="n">
        <v>0</v>
      </c>
      <c r="N518" t="n">
        <v>0</v>
      </c>
      <c r="O518" t="n">
        <v>0</v>
      </c>
      <c r="P518" t="n">
        <v>0</v>
      </c>
      <c r="Q518" t="n">
        <v>0</v>
      </c>
      <c r="R518" s="2" t="inlineStr"/>
    </row>
    <row r="519" ht="15" customHeight="1">
      <c r="A519" t="inlineStr">
        <is>
          <t>A 859-2026</t>
        </is>
      </c>
      <c r="B519" s="1" t="n">
        <v>46030.41450231482</v>
      </c>
      <c r="C519" s="1" t="n">
        <v>46170</v>
      </c>
      <c r="D519" t="inlineStr">
        <is>
          <t>ÖSTERGÖTLANDS LÄN</t>
        </is>
      </c>
      <c r="E519" t="inlineStr">
        <is>
          <t>LINKÖPING</t>
        </is>
      </c>
      <c r="G519" t="n">
        <v>0.2</v>
      </c>
      <c r="H519" t="n">
        <v>0</v>
      </c>
      <c r="I519" t="n">
        <v>0</v>
      </c>
      <c r="J519" t="n">
        <v>0</v>
      </c>
      <c r="K519" t="n">
        <v>0</v>
      </c>
      <c r="L519" t="n">
        <v>0</v>
      </c>
      <c r="M519" t="n">
        <v>0</v>
      </c>
      <c r="N519" t="n">
        <v>0</v>
      </c>
      <c r="O519" t="n">
        <v>0</v>
      </c>
      <c r="P519" t="n">
        <v>0</v>
      </c>
      <c r="Q519" t="n">
        <v>0</v>
      </c>
      <c r="R519" s="2" t="inlineStr"/>
    </row>
    <row r="520" ht="15" customHeight="1">
      <c r="A520" t="inlineStr">
        <is>
          <t>A 10407-2025</t>
        </is>
      </c>
      <c r="B520" s="1" t="n">
        <v>45720.62863425926</v>
      </c>
      <c r="C520" s="1" t="n">
        <v>46170</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2030-2026</t>
        </is>
      </c>
      <c r="B521" s="1" t="n">
        <v>46035.73590277778</v>
      </c>
      <c r="C521" s="1" t="n">
        <v>46170</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46170</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19169-2023</t>
        </is>
      </c>
      <c r="B523" s="1" t="n">
        <v>45044</v>
      </c>
      <c r="C523" s="1" t="n">
        <v>46170</v>
      </c>
      <c r="D523" t="inlineStr">
        <is>
          <t>ÖSTERGÖTLANDS LÄN</t>
        </is>
      </c>
      <c r="E523" t="inlineStr">
        <is>
          <t>LINKÖPING</t>
        </is>
      </c>
      <c r="G523" t="n">
        <v>2.7</v>
      </c>
      <c r="H523" t="n">
        <v>0</v>
      </c>
      <c r="I523" t="n">
        <v>0</v>
      </c>
      <c r="J523" t="n">
        <v>0</v>
      </c>
      <c r="K523" t="n">
        <v>0</v>
      </c>
      <c r="L523" t="n">
        <v>0</v>
      </c>
      <c r="M523" t="n">
        <v>0</v>
      </c>
      <c r="N523" t="n">
        <v>0</v>
      </c>
      <c r="O523" t="n">
        <v>0</v>
      </c>
      <c r="P523" t="n">
        <v>0</v>
      </c>
      <c r="Q523" t="n">
        <v>0</v>
      </c>
      <c r="R523" s="2" t="inlineStr"/>
    </row>
    <row r="524" ht="15" customHeight="1">
      <c r="A524" t="inlineStr">
        <is>
          <t>A 672-2024</t>
        </is>
      </c>
      <c r="B524" s="1" t="n">
        <v>45300</v>
      </c>
      <c r="C524" s="1" t="n">
        <v>46170</v>
      </c>
      <c r="D524" t="inlineStr">
        <is>
          <t>ÖSTERGÖTLANDS LÄN</t>
        </is>
      </c>
      <c r="E524" t="inlineStr">
        <is>
          <t>LINKÖPING</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55493-2021</t>
        </is>
      </c>
      <c r="B525" s="1" t="n">
        <v>44475.61988425926</v>
      </c>
      <c r="C525" s="1" t="n">
        <v>46170</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2031-2026</t>
        </is>
      </c>
      <c r="B526" s="1" t="n">
        <v>46035.74182870371</v>
      </c>
      <c r="C526" s="1" t="n">
        <v>46170</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14093-2024</t>
        </is>
      </c>
      <c r="B527" s="1" t="n">
        <v>45392.60278935185</v>
      </c>
      <c r="C527" s="1" t="n">
        <v>46170</v>
      </c>
      <c r="D527" t="inlineStr">
        <is>
          <t>ÖSTERGÖTLANDS LÄN</t>
        </is>
      </c>
      <c r="E527" t="inlineStr">
        <is>
          <t>LINKÖPING</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62019-2024</t>
        </is>
      </c>
      <c r="B528" s="1" t="n">
        <v>45655.82</v>
      </c>
      <c r="C528" s="1" t="n">
        <v>46170</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25119-2023</t>
        </is>
      </c>
      <c r="B529" s="1" t="n">
        <v>45086.42326388889</v>
      </c>
      <c r="C529" s="1" t="n">
        <v>46170</v>
      </c>
      <c r="D529" t="inlineStr">
        <is>
          <t>ÖSTERGÖTLANDS LÄN</t>
        </is>
      </c>
      <c r="E529" t="inlineStr">
        <is>
          <t>LINKÖPING</t>
        </is>
      </c>
      <c r="G529" t="n">
        <v>3.2</v>
      </c>
      <c r="H529" t="n">
        <v>0</v>
      </c>
      <c r="I529" t="n">
        <v>0</v>
      </c>
      <c r="J529" t="n">
        <v>0</v>
      </c>
      <c r="K529" t="n">
        <v>0</v>
      </c>
      <c r="L529" t="n">
        <v>0</v>
      </c>
      <c r="M529" t="n">
        <v>0</v>
      </c>
      <c r="N529" t="n">
        <v>0</v>
      </c>
      <c r="O529" t="n">
        <v>0</v>
      </c>
      <c r="P529" t="n">
        <v>0</v>
      </c>
      <c r="Q529" t="n">
        <v>0</v>
      </c>
      <c r="R529" s="2" t="inlineStr"/>
    </row>
    <row r="530" ht="15" customHeight="1">
      <c r="A530" t="inlineStr">
        <is>
          <t>A 57396-2021</t>
        </is>
      </c>
      <c r="B530" s="1" t="n">
        <v>44483.56151620371</v>
      </c>
      <c r="C530" s="1" t="n">
        <v>46170</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51571-2024</t>
        </is>
      </c>
      <c r="B531" s="1" t="n">
        <v>45604</v>
      </c>
      <c r="C531" s="1" t="n">
        <v>46170</v>
      </c>
      <c r="D531" t="inlineStr">
        <is>
          <t>ÖSTERGÖTLANDS LÄN</t>
        </is>
      </c>
      <c r="E531" t="inlineStr">
        <is>
          <t>LINKÖPING</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17143-2025</t>
        </is>
      </c>
      <c r="B532" s="1" t="n">
        <v>45755.92731481481</v>
      </c>
      <c r="C532" s="1" t="n">
        <v>46170</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3045-2026</t>
        </is>
      </c>
      <c r="B533" s="1" t="n">
        <v>46038.74047453704</v>
      </c>
      <c r="C533" s="1" t="n">
        <v>46170</v>
      </c>
      <c r="D533" t="inlineStr">
        <is>
          <t>ÖSTERGÖTLANDS LÄN</t>
        </is>
      </c>
      <c r="E533" t="inlineStr">
        <is>
          <t>LINKÖPING</t>
        </is>
      </c>
      <c r="G533" t="n">
        <v>2</v>
      </c>
      <c r="H533" t="n">
        <v>0</v>
      </c>
      <c r="I533" t="n">
        <v>0</v>
      </c>
      <c r="J533" t="n">
        <v>0</v>
      </c>
      <c r="K533" t="n">
        <v>0</v>
      </c>
      <c r="L533" t="n">
        <v>0</v>
      </c>
      <c r="M533" t="n">
        <v>0</v>
      </c>
      <c r="N533" t="n">
        <v>0</v>
      </c>
      <c r="O533" t="n">
        <v>0</v>
      </c>
      <c r="P533" t="n">
        <v>0</v>
      </c>
      <c r="Q533" t="n">
        <v>0</v>
      </c>
      <c r="R533" s="2" t="inlineStr"/>
    </row>
    <row r="534" ht="15" customHeight="1">
      <c r="A534" t="inlineStr">
        <is>
          <t>A 17124-2025</t>
        </is>
      </c>
      <c r="B534" s="1" t="n">
        <v>45755.69678240741</v>
      </c>
      <c r="C534" s="1" t="n">
        <v>46170</v>
      </c>
      <c r="D534" t="inlineStr">
        <is>
          <t>ÖSTERGÖTLANDS LÄN</t>
        </is>
      </c>
      <c r="E534" t="inlineStr">
        <is>
          <t>LINKÖPING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17126-2025</t>
        </is>
      </c>
      <c r="B535" s="1" t="n">
        <v>45755.70814814815</v>
      </c>
      <c r="C535" s="1" t="n">
        <v>46170</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3043-2026</t>
        </is>
      </c>
      <c r="B536" s="1" t="n">
        <v>46038.73675925926</v>
      </c>
      <c r="C536" s="1" t="n">
        <v>46170</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3044-2026</t>
        </is>
      </c>
      <c r="B537" s="1" t="n">
        <v>46038.73855324074</v>
      </c>
      <c r="C537" s="1" t="n">
        <v>46170</v>
      </c>
      <c r="D537" t="inlineStr">
        <is>
          <t>ÖSTERGÖTLANDS LÄN</t>
        </is>
      </c>
      <c r="E537" t="inlineStr">
        <is>
          <t>LINKÖPING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31640-2023</t>
        </is>
      </c>
      <c r="B538" s="1" t="n">
        <v>45117</v>
      </c>
      <c r="C538" s="1" t="n">
        <v>46170</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3046-2026</t>
        </is>
      </c>
      <c r="B539" s="1" t="n">
        <v>46038.74182870371</v>
      </c>
      <c r="C539" s="1" t="n">
        <v>46170</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11790-2024</t>
        </is>
      </c>
      <c r="B540" s="1" t="n">
        <v>45374</v>
      </c>
      <c r="C540" s="1" t="n">
        <v>46170</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61281-2021</t>
        </is>
      </c>
      <c r="B541" s="1" t="n">
        <v>44498.60736111111</v>
      </c>
      <c r="C541" s="1" t="n">
        <v>46170</v>
      </c>
      <c r="D541" t="inlineStr">
        <is>
          <t>ÖSTERGÖTLANDS LÄN</t>
        </is>
      </c>
      <c r="E541" t="inlineStr">
        <is>
          <t>LINKÖPING</t>
        </is>
      </c>
      <c r="G541" t="n">
        <v>4.5</v>
      </c>
      <c r="H541" t="n">
        <v>0</v>
      </c>
      <c r="I541" t="n">
        <v>0</v>
      </c>
      <c r="J541" t="n">
        <v>0</v>
      </c>
      <c r="K541" t="n">
        <v>0</v>
      </c>
      <c r="L541" t="n">
        <v>0</v>
      </c>
      <c r="M541" t="n">
        <v>0</v>
      </c>
      <c r="N541" t="n">
        <v>0</v>
      </c>
      <c r="O541" t="n">
        <v>0</v>
      </c>
      <c r="P541" t="n">
        <v>0</v>
      </c>
      <c r="Q541" t="n">
        <v>0</v>
      </c>
      <c r="R541" s="2" t="inlineStr"/>
    </row>
    <row r="542" ht="15" customHeight="1">
      <c r="A542" t="inlineStr">
        <is>
          <t>A 6206-2024</t>
        </is>
      </c>
      <c r="B542" s="1" t="n">
        <v>45337.5977662037</v>
      </c>
      <c r="C542" s="1" t="n">
        <v>46170</v>
      </c>
      <c r="D542" t="inlineStr">
        <is>
          <t>ÖSTERGÖTLANDS LÄN</t>
        </is>
      </c>
      <c r="E542" t="inlineStr">
        <is>
          <t>LINKÖPING</t>
        </is>
      </c>
      <c r="G542" t="n">
        <v>2</v>
      </c>
      <c r="H542" t="n">
        <v>0</v>
      </c>
      <c r="I542" t="n">
        <v>0</v>
      </c>
      <c r="J542" t="n">
        <v>0</v>
      </c>
      <c r="K542" t="n">
        <v>0</v>
      </c>
      <c r="L542" t="n">
        <v>0</v>
      </c>
      <c r="M542" t="n">
        <v>0</v>
      </c>
      <c r="N542" t="n">
        <v>0</v>
      </c>
      <c r="O542" t="n">
        <v>0</v>
      </c>
      <c r="P542" t="n">
        <v>0</v>
      </c>
      <c r="Q542" t="n">
        <v>0</v>
      </c>
      <c r="R542" s="2" t="inlineStr"/>
    </row>
    <row r="543" ht="15" customHeight="1">
      <c r="A543" t="inlineStr">
        <is>
          <t>A 4469-2026</t>
        </is>
      </c>
      <c r="B543" s="1" t="n">
        <v>46045.65662037037</v>
      </c>
      <c r="C543" s="1" t="n">
        <v>46170</v>
      </c>
      <c r="D543" t="inlineStr">
        <is>
          <t>ÖSTERGÖTLANDS LÄN</t>
        </is>
      </c>
      <c r="E543" t="inlineStr">
        <is>
          <t>LINKÖPING</t>
        </is>
      </c>
      <c r="F543" t="inlineStr">
        <is>
          <t>Övriga Aktiebolag</t>
        </is>
      </c>
      <c r="G543" t="n">
        <v>3.8</v>
      </c>
      <c r="H543" t="n">
        <v>0</v>
      </c>
      <c r="I543" t="n">
        <v>0</v>
      </c>
      <c r="J543" t="n">
        <v>0</v>
      </c>
      <c r="K543" t="n">
        <v>0</v>
      </c>
      <c r="L543" t="n">
        <v>0</v>
      </c>
      <c r="M543" t="n">
        <v>0</v>
      </c>
      <c r="N543" t="n">
        <v>0</v>
      </c>
      <c r="O543" t="n">
        <v>0</v>
      </c>
      <c r="P543" t="n">
        <v>0</v>
      </c>
      <c r="Q543" t="n">
        <v>0</v>
      </c>
      <c r="R543" s="2" t="inlineStr"/>
    </row>
    <row r="544" ht="15" customHeight="1">
      <c r="A544" t="inlineStr">
        <is>
          <t>A 168-2024</t>
        </is>
      </c>
      <c r="B544" s="1" t="n">
        <v>45294</v>
      </c>
      <c r="C544" s="1" t="n">
        <v>46170</v>
      </c>
      <c r="D544" t="inlineStr">
        <is>
          <t>ÖSTERGÖTLANDS LÄN</t>
        </is>
      </c>
      <c r="E544" t="inlineStr">
        <is>
          <t>LINKÖPING</t>
        </is>
      </c>
      <c r="F544" t="inlineStr">
        <is>
          <t>Allmännings- och besparingsskogar</t>
        </is>
      </c>
      <c r="G544" t="n">
        <v>8.9</v>
      </c>
      <c r="H544" t="n">
        <v>0</v>
      </c>
      <c r="I544" t="n">
        <v>0</v>
      </c>
      <c r="J544" t="n">
        <v>0</v>
      </c>
      <c r="K544" t="n">
        <v>0</v>
      </c>
      <c r="L544" t="n">
        <v>0</v>
      </c>
      <c r="M544" t="n">
        <v>0</v>
      </c>
      <c r="N544" t="n">
        <v>0</v>
      </c>
      <c r="O544" t="n">
        <v>0</v>
      </c>
      <c r="P544" t="n">
        <v>0</v>
      </c>
      <c r="Q544" t="n">
        <v>0</v>
      </c>
      <c r="R544" s="2" t="inlineStr"/>
    </row>
    <row r="545" ht="15" customHeight="1">
      <c r="A545" t="inlineStr">
        <is>
          <t>A 51919-2024</t>
        </is>
      </c>
      <c r="B545" s="1" t="n">
        <v>45607.60791666667</v>
      </c>
      <c r="C545" s="1" t="n">
        <v>46170</v>
      </c>
      <c r="D545" t="inlineStr">
        <is>
          <t>ÖSTERGÖTLANDS LÄN</t>
        </is>
      </c>
      <c r="E545" t="inlineStr">
        <is>
          <t>LINKÖPING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56623-2024</t>
        </is>
      </c>
      <c r="B546" s="1" t="n">
        <v>45625</v>
      </c>
      <c r="C546" s="1" t="n">
        <v>46170</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38886-2024</t>
        </is>
      </c>
      <c r="B547" s="1" t="n">
        <v>45547.66443287037</v>
      </c>
      <c r="C547" s="1" t="n">
        <v>46170</v>
      </c>
      <c r="D547" t="inlineStr">
        <is>
          <t>ÖSTERGÖTLANDS LÄN</t>
        </is>
      </c>
      <c r="E547" t="inlineStr">
        <is>
          <t>LINKÖPING</t>
        </is>
      </c>
      <c r="G547" t="n">
        <v>5.3</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46170</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63304-2021</t>
        </is>
      </c>
      <c r="B549" s="1" t="n">
        <v>44508.4396412037</v>
      </c>
      <c r="C549" s="1" t="n">
        <v>46170</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14528-2025</t>
        </is>
      </c>
      <c r="B550" s="1" t="n">
        <v>45741</v>
      </c>
      <c r="C550" s="1" t="n">
        <v>46170</v>
      </c>
      <c r="D550" t="inlineStr">
        <is>
          <t>ÖSTERGÖTLANDS LÄN</t>
        </is>
      </c>
      <c r="E550" t="inlineStr">
        <is>
          <t>LINKÖPING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3530-2024</t>
        </is>
      </c>
      <c r="B551" s="1" t="n">
        <v>45320.54717592592</v>
      </c>
      <c r="C551" s="1" t="n">
        <v>46170</v>
      </c>
      <c r="D551" t="inlineStr">
        <is>
          <t>ÖSTERGÖTLANDS LÄN</t>
        </is>
      </c>
      <c r="E551" t="inlineStr">
        <is>
          <t>LINKÖPING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62073-2023</t>
        </is>
      </c>
      <c r="B552" s="1" t="n">
        <v>45266.73844907407</v>
      </c>
      <c r="C552" s="1" t="n">
        <v>46170</v>
      </c>
      <c r="D552" t="inlineStr">
        <is>
          <t>ÖSTERGÖTLANDS LÄN</t>
        </is>
      </c>
      <c r="E552" t="inlineStr">
        <is>
          <t>LINKÖPING</t>
        </is>
      </c>
      <c r="F552" t="inlineStr">
        <is>
          <t>Allmännings- och besparingsskogar</t>
        </is>
      </c>
      <c r="G552" t="n">
        <v>1.8</v>
      </c>
      <c r="H552" t="n">
        <v>0</v>
      </c>
      <c r="I552" t="n">
        <v>0</v>
      </c>
      <c r="J552" t="n">
        <v>0</v>
      </c>
      <c r="K552" t="n">
        <v>0</v>
      </c>
      <c r="L552" t="n">
        <v>0</v>
      </c>
      <c r="M552" t="n">
        <v>0</v>
      </c>
      <c r="N552" t="n">
        <v>0</v>
      </c>
      <c r="O552" t="n">
        <v>0</v>
      </c>
      <c r="P552" t="n">
        <v>0</v>
      </c>
      <c r="Q552" t="n">
        <v>0</v>
      </c>
      <c r="R552" s="2" t="inlineStr"/>
    </row>
    <row r="553" ht="15" customHeight="1">
      <c r="A553" t="inlineStr">
        <is>
          <t>A 5872-2025</t>
        </is>
      </c>
      <c r="B553" s="1" t="n">
        <v>45695.36659722222</v>
      </c>
      <c r="C553" s="1" t="n">
        <v>46170</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53814-2023</t>
        </is>
      </c>
      <c r="B554" s="1" t="n">
        <v>45231</v>
      </c>
      <c r="C554" s="1" t="n">
        <v>46170</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3432-2023</t>
        </is>
      </c>
      <c r="B555" s="1" t="n">
        <v>44949</v>
      </c>
      <c r="C555" s="1" t="n">
        <v>46170</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46170</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54425-2022</t>
        </is>
      </c>
      <c r="B557" s="1" t="n">
        <v>44882.57453703704</v>
      </c>
      <c r="C557" s="1" t="n">
        <v>46170</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54428-2022</t>
        </is>
      </c>
      <c r="B558" s="1" t="n">
        <v>44882.57643518518</v>
      </c>
      <c r="C558" s="1" t="n">
        <v>46170</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660-2023</t>
        </is>
      </c>
      <c r="B559" s="1" t="n">
        <v>44930</v>
      </c>
      <c r="C559" s="1" t="n">
        <v>46170</v>
      </c>
      <c r="D559" t="inlineStr">
        <is>
          <t>ÖSTERGÖTLANDS LÄN</t>
        </is>
      </c>
      <c r="E559" t="inlineStr">
        <is>
          <t>LINKÖPING</t>
        </is>
      </c>
      <c r="F559" t="inlineStr">
        <is>
          <t>Kyrkan</t>
        </is>
      </c>
      <c r="G559" t="n">
        <v>1.6</v>
      </c>
      <c r="H559" t="n">
        <v>0</v>
      </c>
      <c r="I559" t="n">
        <v>0</v>
      </c>
      <c r="J559" t="n">
        <v>0</v>
      </c>
      <c r="K559" t="n">
        <v>0</v>
      </c>
      <c r="L559" t="n">
        <v>0</v>
      </c>
      <c r="M559" t="n">
        <v>0</v>
      </c>
      <c r="N559" t="n">
        <v>0</v>
      </c>
      <c r="O559" t="n">
        <v>0</v>
      </c>
      <c r="P559" t="n">
        <v>0</v>
      </c>
      <c r="Q559" t="n">
        <v>0</v>
      </c>
      <c r="R559" s="2" t="inlineStr"/>
    </row>
    <row r="560" ht="15" customHeight="1">
      <c r="A560" t="inlineStr">
        <is>
          <t>A 62501-2023</t>
        </is>
      </c>
      <c r="B560" s="1" t="n">
        <v>45268</v>
      </c>
      <c r="C560" s="1" t="n">
        <v>46170</v>
      </c>
      <c r="D560" t="inlineStr">
        <is>
          <t>ÖSTERGÖTLANDS LÄN</t>
        </is>
      </c>
      <c r="E560" t="inlineStr">
        <is>
          <t>LINKÖPING</t>
        </is>
      </c>
      <c r="G560" t="n">
        <v>7.4</v>
      </c>
      <c r="H560" t="n">
        <v>0</v>
      </c>
      <c r="I560" t="n">
        <v>0</v>
      </c>
      <c r="J560" t="n">
        <v>0</v>
      </c>
      <c r="K560" t="n">
        <v>0</v>
      </c>
      <c r="L560" t="n">
        <v>0</v>
      </c>
      <c r="M560" t="n">
        <v>0</v>
      </c>
      <c r="N560" t="n">
        <v>0</v>
      </c>
      <c r="O560" t="n">
        <v>0</v>
      </c>
      <c r="P560" t="n">
        <v>0</v>
      </c>
      <c r="Q560" t="n">
        <v>0</v>
      </c>
      <c r="R560" s="2" t="inlineStr"/>
    </row>
    <row r="561" ht="15" customHeight="1">
      <c r="A561" t="inlineStr">
        <is>
          <t>A 13413-2023</t>
        </is>
      </c>
      <c r="B561" s="1" t="n">
        <v>45005.58341435185</v>
      </c>
      <c r="C561" s="1" t="n">
        <v>46170</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26620-2023</t>
        </is>
      </c>
      <c r="B562" s="1" t="n">
        <v>45092.70390046296</v>
      </c>
      <c r="C562" s="1" t="n">
        <v>46170</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6384-2026</t>
        </is>
      </c>
      <c r="B563" s="1" t="n">
        <v>46055.63732638889</v>
      </c>
      <c r="C563" s="1" t="n">
        <v>46170</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6164-2026</t>
        </is>
      </c>
      <c r="B564" s="1" t="n">
        <v>46055.32596064815</v>
      </c>
      <c r="C564" s="1" t="n">
        <v>46170</v>
      </c>
      <c r="D564" t="inlineStr">
        <is>
          <t>ÖSTERGÖTLANDS LÄN</t>
        </is>
      </c>
      <c r="E564" t="inlineStr">
        <is>
          <t>LINKÖPING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7133-2026</t>
        </is>
      </c>
      <c r="B565" s="1" t="n">
        <v>46057</v>
      </c>
      <c r="C565" s="1" t="n">
        <v>46170</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63554-2023</t>
        </is>
      </c>
      <c r="B566" s="1" t="n">
        <v>45275</v>
      </c>
      <c r="C566" s="1" t="n">
        <v>46170</v>
      </c>
      <c r="D566" t="inlineStr">
        <is>
          <t>ÖSTERGÖTLANDS LÄN</t>
        </is>
      </c>
      <c r="E566" t="inlineStr">
        <is>
          <t>LINKÖPING</t>
        </is>
      </c>
      <c r="G566" t="n">
        <v>4.3</v>
      </c>
      <c r="H566" t="n">
        <v>0</v>
      </c>
      <c r="I566" t="n">
        <v>0</v>
      </c>
      <c r="J566" t="n">
        <v>0</v>
      </c>
      <c r="K566" t="n">
        <v>0</v>
      </c>
      <c r="L566" t="n">
        <v>0</v>
      </c>
      <c r="M566" t="n">
        <v>0</v>
      </c>
      <c r="N566" t="n">
        <v>0</v>
      </c>
      <c r="O566" t="n">
        <v>0</v>
      </c>
      <c r="P566" t="n">
        <v>0</v>
      </c>
      <c r="Q566" t="n">
        <v>0</v>
      </c>
      <c r="R566" s="2" t="inlineStr"/>
    </row>
    <row r="567" ht="15" customHeight="1">
      <c r="A567" t="inlineStr">
        <is>
          <t>A 63638-2023</t>
        </is>
      </c>
      <c r="B567" s="1" t="n">
        <v>45275</v>
      </c>
      <c r="C567" s="1" t="n">
        <v>46170</v>
      </c>
      <c r="D567" t="inlineStr">
        <is>
          <t>ÖSTERGÖTLANDS LÄN</t>
        </is>
      </c>
      <c r="E567" t="inlineStr">
        <is>
          <t>LINKÖPING</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63658-2023</t>
        </is>
      </c>
      <c r="B568" s="1" t="n">
        <v>45275</v>
      </c>
      <c r="C568" s="1" t="n">
        <v>46170</v>
      </c>
      <c r="D568" t="inlineStr">
        <is>
          <t>ÖSTERGÖTLANDS LÄN</t>
        </is>
      </c>
      <c r="E568" t="inlineStr">
        <is>
          <t>LINKÖPING</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16820-2024</t>
        </is>
      </c>
      <c r="B569" s="1" t="n">
        <v>45411.46809027778</v>
      </c>
      <c r="C569" s="1" t="n">
        <v>46170</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4456-2024</t>
        </is>
      </c>
      <c r="B570" s="1" t="n">
        <v>45327.52847222222</v>
      </c>
      <c r="C570" s="1" t="n">
        <v>46170</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20298-2025</t>
        </is>
      </c>
      <c r="B571" s="1" t="n">
        <v>45774.75024305555</v>
      </c>
      <c r="C571" s="1" t="n">
        <v>46170</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15121-2022</t>
        </is>
      </c>
      <c r="B572" s="1" t="n">
        <v>44658</v>
      </c>
      <c r="C572" s="1" t="n">
        <v>46170</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50743-2023</t>
        </is>
      </c>
      <c r="B573" s="1" t="n">
        <v>45217</v>
      </c>
      <c r="C573" s="1" t="n">
        <v>46170</v>
      </c>
      <c r="D573" t="inlineStr">
        <is>
          <t>ÖSTERGÖTLANDS LÄN</t>
        </is>
      </c>
      <c r="E573" t="inlineStr">
        <is>
          <t>LINKÖPING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13687-2025</t>
        </is>
      </c>
      <c r="B574" s="1" t="n">
        <v>45737.31425925926</v>
      </c>
      <c r="C574" s="1" t="n">
        <v>46170</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13695-2025</t>
        </is>
      </c>
      <c r="B575" s="1" t="n">
        <v>45737.32219907407</v>
      </c>
      <c r="C575" s="1" t="n">
        <v>46170</v>
      </c>
      <c r="D575" t="inlineStr">
        <is>
          <t>ÖSTERGÖTLANDS LÄN</t>
        </is>
      </c>
      <c r="E575" t="inlineStr">
        <is>
          <t>LINKÖPING</t>
        </is>
      </c>
      <c r="G575" t="n">
        <v>5.3</v>
      </c>
      <c r="H575" t="n">
        <v>0</v>
      </c>
      <c r="I575" t="n">
        <v>0</v>
      </c>
      <c r="J575" t="n">
        <v>0</v>
      </c>
      <c r="K575" t="n">
        <v>0</v>
      </c>
      <c r="L575" t="n">
        <v>0</v>
      </c>
      <c r="M575" t="n">
        <v>0</v>
      </c>
      <c r="N575" t="n">
        <v>0</v>
      </c>
      <c r="O575" t="n">
        <v>0</v>
      </c>
      <c r="P575" t="n">
        <v>0</v>
      </c>
      <c r="Q575" t="n">
        <v>0</v>
      </c>
      <c r="R575" s="2" t="inlineStr"/>
    </row>
    <row r="576" ht="15" customHeight="1">
      <c r="A576" t="inlineStr">
        <is>
          <t>A 20294-2025</t>
        </is>
      </c>
      <c r="B576" s="1" t="n">
        <v>45774.74667824074</v>
      </c>
      <c r="C576" s="1" t="n">
        <v>46170</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17128-2025</t>
        </is>
      </c>
      <c r="B577" s="1" t="n">
        <v>45755.72622685185</v>
      </c>
      <c r="C577" s="1" t="n">
        <v>46170</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52125-2022</t>
        </is>
      </c>
      <c r="B578" s="1" t="n">
        <v>44873</v>
      </c>
      <c r="C578" s="1" t="n">
        <v>46170</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27343-2023</t>
        </is>
      </c>
      <c r="B579" s="1" t="n">
        <v>45096</v>
      </c>
      <c r="C579" s="1" t="n">
        <v>46170</v>
      </c>
      <c r="D579" t="inlineStr">
        <is>
          <t>ÖSTERGÖTLANDS LÄN</t>
        </is>
      </c>
      <c r="E579" t="inlineStr">
        <is>
          <t>LINKÖPING</t>
        </is>
      </c>
      <c r="F579" t="inlineStr">
        <is>
          <t>Allmännings- och besparingsskogar</t>
        </is>
      </c>
      <c r="G579" t="n">
        <v>6.9</v>
      </c>
      <c r="H579" t="n">
        <v>0</v>
      </c>
      <c r="I579" t="n">
        <v>0</v>
      </c>
      <c r="J579" t="n">
        <v>0</v>
      </c>
      <c r="K579" t="n">
        <v>0</v>
      </c>
      <c r="L579" t="n">
        <v>0</v>
      </c>
      <c r="M579" t="n">
        <v>0</v>
      </c>
      <c r="N579" t="n">
        <v>0</v>
      </c>
      <c r="O579" t="n">
        <v>0</v>
      </c>
      <c r="P579" t="n">
        <v>0</v>
      </c>
      <c r="Q579" t="n">
        <v>0</v>
      </c>
      <c r="R579" s="2" t="inlineStr"/>
    </row>
    <row r="580" ht="15" customHeight="1">
      <c r="A580" t="inlineStr">
        <is>
          <t>A 22842-2023</t>
        </is>
      </c>
      <c r="B580" s="1" t="n">
        <v>45071</v>
      </c>
      <c r="C580" s="1" t="n">
        <v>46170</v>
      </c>
      <c r="D580" t="inlineStr">
        <is>
          <t>ÖSTERGÖTLANDS LÄN</t>
        </is>
      </c>
      <c r="E580" t="inlineStr">
        <is>
          <t>LINKÖPING</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14520-2025</t>
        </is>
      </c>
      <c r="B581" s="1" t="n">
        <v>45741</v>
      </c>
      <c r="C581" s="1" t="n">
        <v>46170</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31548-2022</t>
        </is>
      </c>
      <c r="B582" s="1" t="n">
        <v>44775.39832175926</v>
      </c>
      <c r="C582" s="1" t="n">
        <v>46170</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62017-2024</t>
        </is>
      </c>
      <c r="B583" s="1" t="n">
        <v>45655.81140046296</v>
      </c>
      <c r="C583" s="1" t="n">
        <v>46170</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17785-2023</t>
        </is>
      </c>
      <c r="B584" s="1" t="n">
        <v>45037.55094907407</v>
      </c>
      <c r="C584" s="1" t="n">
        <v>46170</v>
      </c>
      <c r="D584" t="inlineStr">
        <is>
          <t>ÖSTERGÖTLANDS LÄN</t>
        </is>
      </c>
      <c r="E584" t="inlineStr">
        <is>
          <t>LINKÖPING</t>
        </is>
      </c>
      <c r="F584" t="inlineStr">
        <is>
          <t>Allmännings- och besparingsskogar</t>
        </is>
      </c>
      <c r="G584" t="n">
        <v>3.1</v>
      </c>
      <c r="H584" t="n">
        <v>0</v>
      </c>
      <c r="I584" t="n">
        <v>0</v>
      </c>
      <c r="J584" t="n">
        <v>0</v>
      </c>
      <c r="K584" t="n">
        <v>0</v>
      </c>
      <c r="L584" t="n">
        <v>0</v>
      </c>
      <c r="M584" t="n">
        <v>0</v>
      </c>
      <c r="N584" t="n">
        <v>0</v>
      </c>
      <c r="O584" t="n">
        <v>0</v>
      </c>
      <c r="P584" t="n">
        <v>0</v>
      </c>
      <c r="Q584" t="n">
        <v>0</v>
      </c>
      <c r="R584" s="2" t="inlineStr"/>
    </row>
    <row r="585" ht="15" customHeight="1">
      <c r="A585" t="inlineStr">
        <is>
          <t>A 62686-2023</t>
        </is>
      </c>
      <c r="B585" s="1" t="n">
        <v>45271</v>
      </c>
      <c r="C585" s="1" t="n">
        <v>46170</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42044-2023</t>
        </is>
      </c>
      <c r="B586" s="1" t="n">
        <v>45177</v>
      </c>
      <c r="C586" s="1" t="n">
        <v>46170</v>
      </c>
      <c r="D586" t="inlineStr">
        <is>
          <t>ÖSTERGÖTLANDS LÄN</t>
        </is>
      </c>
      <c r="E586" t="inlineStr">
        <is>
          <t>LINKÖPING</t>
        </is>
      </c>
      <c r="G586" t="n">
        <v>3.9</v>
      </c>
      <c r="H586" t="n">
        <v>0</v>
      </c>
      <c r="I586" t="n">
        <v>0</v>
      </c>
      <c r="J586" t="n">
        <v>0</v>
      </c>
      <c r="K586" t="n">
        <v>0</v>
      </c>
      <c r="L586" t="n">
        <v>0</v>
      </c>
      <c r="M586" t="n">
        <v>0</v>
      </c>
      <c r="N586" t="n">
        <v>0</v>
      </c>
      <c r="O586" t="n">
        <v>0</v>
      </c>
      <c r="P586" t="n">
        <v>0</v>
      </c>
      <c r="Q586" t="n">
        <v>0</v>
      </c>
      <c r="R586" s="2" t="inlineStr"/>
    </row>
    <row r="587" ht="15" customHeight="1">
      <c r="A587" t="inlineStr">
        <is>
          <t>A 49656-2021</t>
        </is>
      </c>
      <c r="B587" s="1" t="n">
        <v>44454</v>
      </c>
      <c r="C587" s="1" t="n">
        <v>46170</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10479-2026</t>
        </is>
      </c>
      <c r="B588" s="1" t="n">
        <v>46077.49231481482</v>
      </c>
      <c r="C588" s="1" t="n">
        <v>46170</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38230-2023</t>
        </is>
      </c>
      <c r="B589" s="1" t="n">
        <v>45161.55373842592</v>
      </c>
      <c r="C589" s="1" t="n">
        <v>46170</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45442-2024</t>
        </is>
      </c>
      <c r="B590" s="1" t="n">
        <v>45576.64189814815</v>
      </c>
      <c r="C590" s="1" t="n">
        <v>46170</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4908-2023</t>
        </is>
      </c>
      <c r="B591" s="1" t="n">
        <v>44958</v>
      </c>
      <c r="C591" s="1" t="n">
        <v>46170</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1265-2023</t>
        </is>
      </c>
      <c r="B592" s="1" t="n">
        <v>44936</v>
      </c>
      <c r="C592" s="1" t="n">
        <v>46170</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10756-2026</t>
        </is>
      </c>
      <c r="B593" s="1" t="n">
        <v>46078.55412037037</v>
      </c>
      <c r="C593" s="1" t="n">
        <v>46170</v>
      </c>
      <c r="D593" t="inlineStr">
        <is>
          <t>ÖSTERGÖTLANDS LÄN</t>
        </is>
      </c>
      <c r="E593" t="inlineStr">
        <is>
          <t>LINKÖPING</t>
        </is>
      </c>
      <c r="F593" t="inlineStr">
        <is>
          <t>Övriga Aktiebolag</t>
        </is>
      </c>
      <c r="G593" t="n">
        <v>1.2</v>
      </c>
      <c r="H593" t="n">
        <v>0</v>
      </c>
      <c r="I593" t="n">
        <v>0</v>
      </c>
      <c r="J593" t="n">
        <v>0</v>
      </c>
      <c r="K593" t="n">
        <v>0</v>
      </c>
      <c r="L593" t="n">
        <v>0</v>
      </c>
      <c r="M593" t="n">
        <v>0</v>
      </c>
      <c r="N593" t="n">
        <v>0</v>
      </c>
      <c r="O593" t="n">
        <v>0</v>
      </c>
      <c r="P593" t="n">
        <v>0</v>
      </c>
      <c r="Q593" t="n">
        <v>0</v>
      </c>
      <c r="R593" s="2" t="inlineStr"/>
    </row>
    <row r="594" ht="15" customHeight="1">
      <c r="A594" t="inlineStr">
        <is>
          <t>A 10764-2026</t>
        </is>
      </c>
      <c r="B594" s="1" t="n">
        <v>46078</v>
      </c>
      <c r="C594" s="1" t="n">
        <v>46170</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10477-2026</t>
        </is>
      </c>
      <c r="B595" s="1" t="n">
        <v>46077.4871875</v>
      </c>
      <c r="C595" s="1" t="n">
        <v>46170</v>
      </c>
      <c r="D595" t="inlineStr">
        <is>
          <t>ÖSTERGÖTLANDS LÄN</t>
        </is>
      </c>
      <c r="E595" t="inlineStr">
        <is>
          <t>LINKÖPING</t>
        </is>
      </c>
      <c r="G595" t="n">
        <v>9.6</v>
      </c>
      <c r="H595" t="n">
        <v>0</v>
      </c>
      <c r="I595" t="n">
        <v>0</v>
      </c>
      <c r="J595" t="n">
        <v>0</v>
      </c>
      <c r="K595" t="n">
        <v>0</v>
      </c>
      <c r="L595" t="n">
        <v>0</v>
      </c>
      <c r="M595" t="n">
        <v>0</v>
      </c>
      <c r="N595" t="n">
        <v>0</v>
      </c>
      <c r="O595" t="n">
        <v>0</v>
      </c>
      <c r="P595" t="n">
        <v>0</v>
      </c>
      <c r="Q595" t="n">
        <v>0</v>
      </c>
      <c r="R595" s="2" t="inlineStr"/>
    </row>
    <row r="596" ht="15" customHeight="1">
      <c r="A596" t="inlineStr">
        <is>
          <t>A 12411-2022</t>
        </is>
      </c>
      <c r="B596" s="1" t="n">
        <v>44638.21601851852</v>
      </c>
      <c r="C596" s="1" t="n">
        <v>46170</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11169-2026</t>
        </is>
      </c>
      <c r="B597" s="1" t="n">
        <v>46080.37020833333</v>
      </c>
      <c r="C597" s="1" t="n">
        <v>46170</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11033-2026</t>
        </is>
      </c>
      <c r="B598" s="1" t="n">
        <v>46079.57361111111</v>
      </c>
      <c r="C598" s="1" t="n">
        <v>46170</v>
      </c>
      <c r="D598" t="inlineStr">
        <is>
          <t>ÖSTERGÖTLANDS LÄN</t>
        </is>
      </c>
      <c r="E598" t="inlineStr">
        <is>
          <t>LINKÖPING</t>
        </is>
      </c>
      <c r="G598" t="n">
        <v>7.9</v>
      </c>
      <c r="H598" t="n">
        <v>0</v>
      </c>
      <c r="I598" t="n">
        <v>0</v>
      </c>
      <c r="J598" t="n">
        <v>0</v>
      </c>
      <c r="K598" t="n">
        <v>0</v>
      </c>
      <c r="L598" t="n">
        <v>0</v>
      </c>
      <c r="M598" t="n">
        <v>0</v>
      </c>
      <c r="N598" t="n">
        <v>0</v>
      </c>
      <c r="O598" t="n">
        <v>0</v>
      </c>
      <c r="P598" t="n">
        <v>0</v>
      </c>
      <c r="Q598" t="n">
        <v>0</v>
      </c>
      <c r="R598" s="2" t="inlineStr"/>
    </row>
    <row r="599" ht="15" customHeight="1">
      <c r="A599" t="inlineStr">
        <is>
          <t>A 11036-2026</t>
        </is>
      </c>
      <c r="B599" s="1" t="n">
        <v>46079.57836805555</v>
      </c>
      <c r="C599" s="1" t="n">
        <v>46170</v>
      </c>
      <c r="D599" t="inlineStr">
        <is>
          <t>ÖSTERGÖTLANDS LÄN</t>
        </is>
      </c>
      <c r="E599" t="inlineStr">
        <is>
          <t>LINKÖPING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11057-2026</t>
        </is>
      </c>
      <c r="B600" s="1" t="n">
        <v>46079.59515046296</v>
      </c>
      <c r="C600" s="1" t="n">
        <v>46170</v>
      </c>
      <c r="D600" t="inlineStr">
        <is>
          <t>ÖSTERGÖTLANDS LÄN</t>
        </is>
      </c>
      <c r="E600" t="inlineStr">
        <is>
          <t>LINKÖPING</t>
        </is>
      </c>
      <c r="G600" t="n">
        <v>2.9</v>
      </c>
      <c r="H600" t="n">
        <v>0</v>
      </c>
      <c r="I600" t="n">
        <v>0</v>
      </c>
      <c r="J600" t="n">
        <v>0</v>
      </c>
      <c r="K600" t="n">
        <v>0</v>
      </c>
      <c r="L600" t="n">
        <v>0</v>
      </c>
      <c r="M600" t="n">
        <v>0</v>
      </c>
      <c r="N600" t="n">
        <v>0</v>
      </c>
      <c r="O600" t="n">
        <v>0</v>
      </c>
      <c r="P600" t="n">
        <v>0</v>
      </c>
      <c r="Q600" t="n">
        <v>0</v>
      </c>
      <c r="R600" s="2" t="inlineStr"/>
    </row>
    <row r="601" ht="15" customHeight="1">
      <c r="A601" t="inlineStr">
        <is>
          <t>A 23491-2024</t>
        </is>
      </c>
      <c r="B601" s="1" t="n">
        <v>45453</v>
      </c>
      <c r="C601" s="1" t="n">
        <v>46170</v>
      </c>
      <c r="D601" t="inlineStr">
        <is>
          <t>ÖSTERGÖTLANDS LÄN</t>
        </is>
      </c>
      <c r="E601" t="inlineStr">
        <is>
          <t>LINKÖPING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70-2024</t>
        </is>
      </c>
      <c r="B602" s="1" t="n">
        <v>45293</v>
      </c>
      <c r="C602" s="1" t="n">
        <v>46170</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6054-2022</t>
        </is>
      </c>
      <c r="B603" s="1" t="n">
        <v>44599.53623842593</v>
      </c>
      <c r="C603" s="1" t="n">
        <v>46170</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31725-2022</t>
        </is>
      </c>
      <c r="B604" s="1" t="n">
        <v>44776.48541666667</v>
      </c>
      <c r="C604" s="1" t="n">
        <v>46170</v>
      </c>
      <c r="D604" t="inlineStr">
        <is>
          <t>ÖSTERGÖTLANDS LÄN</t>
        </is>
      </c>
      <c r="E604" t="inlineStr">
        <is>
          <t>LINKÖPING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11891-2026</t>
        </is>
      </c>
      <c r="B605" s="1" t="n">
        <v>46085.5197800926</v>
      </c>
      <c r="C605" s="1" t="n">
        <v>46170</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57391-2023</t>
        </is>
      </c>
      <c r="B606" s="1" t="n">
        <v>45245</v>
      </c>
      <c r="C606" s="1" t="n">
        <v>46170</v>
      </c>
      <c r="D606" t="inlineStr">
        <is>
          <t>ÖSTERGÖTLANDS LÄN</t>
        </is>
      </c>
      <c r="E606" t="inlineStr">
        <is>
          <t>LINKÖPING</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7992-2023</t>
        </is>
      </c>
      <c r="B607" s="1" t="n">
        <v>44970</v>
      </c>
      <c r="C607" s="1" t="n">
        <v>46170</v>
      </c>
      <c r="D607" t="inlineStr">
        <is>
          <t>ÖSTERGÖTLANDS LÄN</t>
        </is>
      </c>
      <c r="E607" t="inlineStr">
        <is>
          <t>LINKÖPING</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46085.51813657407</v>
      </c>
      <c r="C608" s="1" t="n">
        <v>46170</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13689-2025</t>
        </is>
      </c>
      <c r="B609" s="1" t="n">
        <v>45737.31590277778</v>
      </c>
      <c r="C609" s="1" t="n">
        <v>46170</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13696-2025</t>
        </is>
      </c>
      <c r="B610" s="1" t="n">
        <v>45737.32273148148</v>
      </c>
      <c r="C610" s="1" t="n">
        <v>46170</v>
      </c>
      <c r="D610" t="inlineStr">
        <is>
          <t>ÖSTERGÖTLANDS LÄN</t>
        </is>
      </c>
      <c r="E610" t="inlineStr">
        <is>
          <t>LINKÖPING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1924-2024</t>
        </is>
      </c>
      <c r="B611" s="1" t="n">
        <v>45308</v>
      </c>
      <c r="C611" s="1" t="n">
        <v>46170</v>
      </c>
      <c r="D611" t="inlineStr">
        <is>
          <t>ÖSTERGÖTLANDS LÄN</t>
        </is>
      </c>
      <c r="E611" t="inlineStr">
        <is>
          <t>LINKÖPING</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12251-2026</t>
        </is>
      </c>
      <c r="B612" s="1" t="n">
        <v>46087.45278935185</v>
      </c>
      <c r="C612" s="1" t="n">
        <v>46170</v>
      </c>
      <c r="D612" t="inlineStr">
        <is>
          <t>ÖSTERGÖTLANDS LÄN</t>
        </is>
      </c>
      <c r="E612" t="inlineStr">
        <is>
          <t>LINKÖPING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32346-2023</t>
        </is>
      </c>
      <c r="B613" s="1" t="n">
        <v>45120</v>
      </c>
      <c r="C613" s="1" t="n">
        <v>46170</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50508-2024</t>
        </is>
      </c>
      <c r="B614" s="1" t="n">
        <v>45601.53907407408</v>
      </c>
      <c r="C614" s="1" t="n">
        <v>46170</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7808-2022</t>
        </is>
      </c>
      <c r="B615" s="1" t="n">
        <v>44608</v>
      </c>
      <c r="C615" s="1" t="n">
        <v>46170</v>
      </c>
      <c r="D615" t="inlineStr">
        <is>
          <t>ÖSTERGÖTLANDS LÄN</t>
        </is>
      </c>
      <c r="E615" t="inlineStr">
        <is>
          <t>LINKÖPING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27844-2024</t>
        </is>
      </c>
      <c r="B616" s="1" t="n">
        <v>45475.63047453704</v>
      </c>
      <c r="C616" s="1" t="n">
        <v>46170</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12254-2026</t>
        </is>
      </c>
      <c r="B617" s="1" t="n">
        <v>46087.46196759259</v>
      </c>
      <c r="C617" s="1" t="n">
        <v>46170</v>
      </c>
      <c r="D617" t="inlineStr">
        <is>
          <t>ÖSTERGÖTLANDS LÄN</t>
        </is>
      </c>
      <c r="E617" t="inlineStr">
        <is>
          <t>LINKÖPING</t>
        </is>
      </c>
      <c r="G617" t="n">
        <v>10.4</v>
      </c>
      <c r="H617" t="n">
        <v>0</v>
      </c>
      <c r="I617" t="n">
        <v>0</v>
      </c>
      <c r="J617" t="n">
        <v>0</v>
      </c>
      <c r="K617" t="n">
        <v>0</v>
      </c>
      <c r="L617" t="n">
        <v>0</v>
      </c>
      <c r="M617" t="n">
        <v>0</v>
      </c>
      <c r="N617" t="n">
        <v>0</v>
      </c>
      <c r="O617" t="n">
        <v>0</v>
      </c>
      <c r="P617" t="n">
        <v>0</v>
      </c>
      <c r="Q617" t="n">
        <v>0</v>
      </c>
      <c r="R617" s="2" t="inlineStr"/>
    </row>
    <row r="618" ht="15" customHeight="1">
      <c r="A618" t="inlineStr">
        <is>
          <t>A 12482-2026</t>
        </is>
      </c>
      <c r="B618" s="1" t="n">
        <v>46090.56292824074</v>
      </c>
      <c r="C618" s="1" t="n">
        <v>46170</v>
      </c>
      <c r="D618" t="inlineStr">
        <is>
          <t>ÖSTERGÖTLANDS LÄN</t>
        </is>
      </c>
      <c r="E618" t="inlineStr">
        <is>
          <t>LINKÖPING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12486-2026</t>
        </is>
      </c>
      <c r="B619" s="1" t="n">
        <v>46090.56501157407</v>
      </c>
      <c r="C619" s="1" t="n">
        <v>46170</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40810-2022</t>
        </is>
      </c>
      <c r="B620" s="1" t="n">
        <v>44824</v>
      </c>
      <c r="C620" s="1" t="n">
        <v>46170</v>
      </c>
      <c r="D620" t="inlineStr">
        <is>
          <t>ÖSTERGÖTLANDS LÄN</t>
        </is>
      </c>
      <c r="E620" t="inlineStr">
        <is>
          <t>LINKÖPING</t>
        </is>
      </c>
      <c r="G620" t="n">
        <v>2.8</v>
      </c>
      <c r="H620" t="n">
        <v>0</v>
      </c>
      <c r="I620" t="n">
        <v>0</v>
      </c>
      <c r="J620" t="n">
        <v>0</v>
      </c>
      <c r="K620" t="n">
        <v>0</v>
      </c>
      <c r="L620" t="n">
        <v>0</v>
      </c>
      <c r="M620" t="n">
        <v>0</v>
      </c>
      <c r="N620" t="n">
        <v>0</v>
      </c>
      <c r="O620" t="n">
        <v>0</v>
      </c>
      <c r="P620" t="n">
        <v>0</v>
      </c>
      <c r="Q620" t="n">
        <v>0</v>
      </c>
      <c r="R620" s="2" t="inlineStr"/>
    </row>
    <row r="621" ht="15" customHeight="1">
      <c r="A621" t="inlineStr">
        <is>
          <t>A 51559-2024</t>
        </is>
      </c>
      <c r="B621" s="1" t="n">
        <v>45604.61431712963</v>
      </c>
      <c r="C621" s="1" t="n">
        <v>46170</v>
      </c>
      <c r="D621" t="inlineStr">
        <is>
          <t>ÖSTERGÖTLANDS LÄN</t>
        </is>
      </c>
      <c r="E621" t="inlineStr">
        <is>
          <t>LINKÖPING</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49979-2022</t>
        </is>
      </c>
      <c r="B622" s="1" t="n">
        <v>44865</v>
      </c>
      <c r="C622" s="1" t="n">
        <v>46170</v>
      </c>
      <c r="D622" t="inlineStr">
        <is>
          <t>ÖSTERGÖTLANDS LÄN</t>
        </is>
      </c>
      <c r="E622" t="inlineStr">
        <is>
          <t>LINKÖPING</t>
        </is>
      </c>
      <c r="F622" t="inlineStr">
        <is>
          <t>Övriga Aktiebolag</t>
        </is>
      </c>
      <c r="G622" t="n">
        <v>11.4</v>
      </c>
      <c r="H622" t="n">
        <v>0</v>
      </c>
      <c r="I622" t="n">
        <v>0</v>
      </c>
      <c r="J622" t="n">
        <v>0</v>
      </c>
      <c r="K622" t="n">
        <v>0</v>
      </c>
      <c r="L622" t="n">
        <v>0</v>
      </c>
      <c r="M622" t="n">
        <v>0</v>
      </c>
      <c r="N622" t="n">
        <v>0</v>
      </c>
      <c r="O622" t="n">
        <v>0</v>
      </c>
      <c r="P622" t="n">
        <v>0</v>
      </c>
      <c r="Q622" t="n">
        <v>0</v>
      </c>
      <c r="R622" s="2" t="inlineStr"/>
    </row>
    <row r="623" ht="15" customHeight="1">
      <c r="A623" t="inlineStr">
        <is>
          <t>A 39219-2021</t>
        </is>
      </c>
      <c r="B623" s="1" t="n">
        <v>44413</v>
      </c>
      <c r="C623" s="1" t="n">
        <v>46170</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39224-2021</t>
        </is>
      </c>
      <c r="B624" s="1" t="n">
        <v>44413</v>
      </c>
      <c r="C624" s="1" t="n">
        <v>46170</v>
      </c>
      <c r="D624" t="inlineStr">
        <is>
          <t>ÖSTERGÖTLANDS LÄN</t>
        </is>
      </c>
      <c r="E624" t="inlineStr">
        <is>
          <t>LINKÖPING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62495-2023</t>
        </is>
      </c>
      <c r="B625" s="1" t="n">
        <v>45268.59717592593</v>
      </c>
      <c r="C625" s="1" t="n">
        <v>46170</v>
      </c>
      <c r="D625" t="inlineStr">
        <is>
          <t>ÖSTERGÖTLANDS LÄN</t>
        </is>
      </c>
      <c r="E625" t="inlineStr">
        <is>
          <t>LINKÖPING</t>
        </is>
      </c>
      <c r="G625" t="n">
        <v>4.1</v>
      </c>
      <c r="H625" t="n">
        <v>0</v>
      </c>
      <c r="I625" t="n">
        <v>0</v>
      </c>
      <c r="J625" t="n">
        <v>0</v>
      </c>
      <c r="K625" t="n">
        <v>0</v>
      </c>
      <c r="L625" t="n">
        <v>0</v>
      </c>
      <c r="M625" t="n">
        <v>0</v>
      </c>
      <c r="N625" t="n">
        <v>0</v>
      </c>
      <c r="O625" t="n">
        <v>0</v>
      </c>
      <c r="P625" t="n">
        <v>0</v>
      </c>
      <c r="Q625" t="n">
        <v>0</v>
      </c>
      <c r="R625" s="2" t="inlineStr"/>
    </row>
    <row r="626" ht="15" customHeight="1">
      <c r="A626" t="inlineStr">
        <is>
          <t>A 19523-2026</t>
        </is>
      </c>
      <c r="B626" s="1" t="n">
        <v>46134.35099537037</v>
      </c>
      <c r="C626" s="1" t="n">
        <v>46170</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29413-2023</t>
        </is>
      </c>
      <c r="B627" s="1" t="n">
        <v>45106.46465277778</v>
      </c>
      <c r="C627" s="1" t="n">
        <v>46170</v>
      </c>
      <c r="D627" t="inlineStr">
        <is>
          <t>ÖSTERGÖTLANDS LÄN</t>
        </is>
      </c>
      <c r="E627" t="inlineStr">
        <is>
          <t>LINKÖPING</t>
        </is>
      </c>
      <c r="G627" t="n">
        <v>8</v>
      </c>
      <c r="H627" t="n">
        <v>0</v>
      </c>
      <c r="I627" t="n">
        <v>0</v>
      </c>
      <c r="J627" t="n">
        <v>0</v>
      </c>
      <c r="K627" t="n">
        <v>0</v>
      </c>
      <c r="L627" t="n">
        <v>0</v>
      </c>
      <c r="M627" t="n">
        <v>0</v>
      </c>
      <c r="N627" t="n">
        <v>0</v>
      </c>
      <c r="O627" t="n">
        <v>0</v>
      </c>
      <c r="P627" t="n">
        <v>0</v>
      </c>
      <c r="Q627" t="n">
        <v>0</v>
      </c>
      <c r="R627" s="2" t="inlineStr"/>
    </row>
    <row r="628" ht="15" customHeight="1">
      <c r="A628" t="inlineStr">
        <is>
          <t>A 25948-2023</t>
        </is>
      </c>
      <c r="B628" s="1" t="n">
        <v>45090</v>
      </c>
      <c r="C628" s="1" t="n">
        <v>46170</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1627-2023</t>
        </is>
      </c>
      <c r="B629" s="1" t="n">
        <v>44937</v>
      </c>
      <c r="C629" s="1" t="n">
        <v>46170</v>
      </c>
      <c r="D629" t="inlineStr">
        <is>
          <t>ÖSTERGÖTLANDS LÄN</t>
        </is>
      </c>
      <c r="E629" t="inlineStr">
        <is>
          <t>LINKÖPING</t>
        </is>
      </c>
      <c r="G629" t="n">
        <v>10.8</v>
      </c>
      <c r="H629" t="n">
        <v>0</v>
      </c>
      <c r="I629" t="n">
        <v>0</v>
      </c>
      <c r="J629" t="n">
        <v>0</v>
      </c>
      <c r="K629" t="n">
        <v>0</v>
      </c>
      <c r="L629" t="n">
        <v>0</v>
      </c>
      <c r="M629" t="n">
        <v>0</v>
      </c>
      <c r="N629" t="n">
        <v>0</v>
      </c>
      <c r="O629" t="n">
        <v>0</v>
      </c>
      <c r="P629" t="n">
        <v>0</v>
      </c>
      <c r="Q629" t="n">
        <v>0</v>
      </c>
      <c r="R629" s="2" t="inlineStr"/>
    </row>
    <row r="630" ht="15" customHeight="1">
      <c r="A630" t="inlineStr">
        <is>
          <t>A 30481-2023</t>
        </is>
      </c>
      <c r="B630" s="1" t="n">
        <v>45111</v>
      </c>
      <c r="C630" s="1" t="n">
        <v>46170</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21782-2024</t>
        </is>
      </c>
      <c r="B631" s="1" t="n">
        <v>45442.63368055555</v>
      </c>
      <c r="C631" s="1" t="n">
        <v>46170</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11671-2023</t>
        </is>
      </c>
      <c r="B632" s="1" t="n">
        <v>44994.48125</v>
      </c>
      <c r="C632" s="1" t="n">
        <v>46170</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3013-2023</t>
        </is>
      </c>
      <c r="B633" s="1" t="n">
        <v>44945.8092824074</v>
      </c>
      <c r="C633" s="1" t="n">
        <v>46170</v>
      </c>
      <c r="D633" t="inlineStr">
        <is>
          <t>ÖSTERGÖTLANDS LÄN</t>
        </is>
      </c>
      <c r="E633" t="inlineStr">
        <is>
          <t>LINKÖPING</t>
        </is>
      </c>
      <c r="G633" t="n">
        <v>5.2</v>
      </c>
      <c r="H633" t="n">
        <v>0</v>
      </c>
      <c r="I633" t="n">
        <v>0</v>
      </c>
      <c r="J633" t="n">
        <v>0</v>
      </c>
      <c r="K633" t="n">
        <v>0</v>
      </c>
      <c r="L633" t="n">
        <v>0</v>
      </c>
      <c r="M633" t="n">
        <v>0</v>
      </c>
      <c r="N633" t="n">
        <v>0</v>
      </c>
      <c r="O633" t="n">
        <v>0</v>
      </c>
      <c r="P633" t="n">
        <v>0</v>
      </c>
      <c r="Q633" t="n">
        <v>0</v>
      </c>
      <c r="R633" s="2" t="inlineStr"/>
    </row>
    <row r="634" ht="15" customHeight="1">
      <c r="A634" t="inlineStr">
        <is>
          <t>A 49747-2024</t>
        </is>
      </c>
      <c r="B634" s="1" t="n">
        <v>45596</v>
      </c>
      <c r="C634" s="1" t="n">
        <v>46170</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42997-2021</t>
        </is>
      </c>
      <c r="B635" s="1" t="n">
        <v>44431.45556712963</v>
      </c>
      <c r="C635" s="1" t="n">
        <v>46170</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3011-2023</t>
        </is>
      </c>
      <c r="B636" s="1" t="n">
        <v>44945</v>
      </c>
      <c r="C636" s="1" t="n">
        <v>46170</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23735-2023</t>
        </is>
      </c>
      <c r="B637" s="1" t="n">
        <v>45077</v>
      </c>
      <c r="C637" s="1" t="n">
        <v>46170</v>
      </c>
      <c r="D637" t="inlineStr">
        <is>
          <t>ÖSTERGÖTLANDS LÄN</t>
        </is>
      </c>
      <c r="E637" t="inlineStr">
        <is>
          <t>LINKÖPING</t>
        </is>
      </c>
      <c r="G637" t="n">
        <v>1.7</v>
      </c>
      <c r="H637" t="n">
        <v>0</v>
      </c>
      <c r="I637" t="n">
        <v>0</v>
      </c>
      <c r="J637" t="n">
        <v>0</v>
      </c>
      <c r="K637" t="n">
        <v>0</v>
      </c>
      <c r="L637" t="n">
        <v>0</v>
      </c>
      <c r="M637" t="n">
        <v>0</v>
      </c>
      <c r="N637" t="n">
        <v>0</v>
      </c>
      <c r="O637" t="n">
        <v>0</v>
      </c>
      <c r="P637" t="n">
        <v>0</v>
      </c>
      <c r="Q637" t="n">
        <v>0</v>
      </c>
      <c r="R637" s="2" t="inlineStr"/>
    </row>
    <row r="638" ht="15" customHeight="1">
      <c r="A638" t="inlineStr">
        <is>
          <t>A 45821-2024</t>
        </is>
      </c>
      <c r="B638" s="1" t="n">
        <v>45579.75803240741</v>
      </c>
      <c r="C638" s="1" t="n">
        <v>46170</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53647-2021</t>
        </is>
      </c>
      <c r="B639" s="1" t="n">
        <v>44469</v>
      </c>
      <c r="C639" s="1" t="n">
        <v>46170</v>
      </c>
      <c r="D639" t="inlineStr">
        <is>
          <t>ÖSTERGÖTLANDS LÄN</t>
        </is>
      </c>
      <c r="E639" t="inlineStr">
        <is>
          <t>LINKÖPING</t>
        </is>
      </c>
      <c r="G639" t="n">
        <v>2.3</v>
      </c>
      <c r="H639" t="n">
        <v>0</v>
      </c>
      <c r="I639" t="n">
        <v>0</v>
      </c>
      <c r="J639" t="n">
        <v>0</v>
      </c>
      <c r="K639" t="n">
        <v>0</v>
      </c>
      <c r="L639" t="n">
        <v>0</v>
      </c>
      <c r="M639" t="n">
        <v>0</v>
      </c>
      <c r="N639" t="n">
        <v>0</v>
      </c>
      <c r="O639" t="n">
        <v>0</v>
      </c>
      <c r="P639" t="n">
        <v>0</v>
      </c>
      <c r="Q639" t="n">
        <v>0</v>
      </c>
      <c r="R639" s="2" t="inlineStr"/>
    </row>
    <row r="640" ht="15" customHeight="1">
      <c r="A640" t="inlineStr">
        <is>
          <t>A 13927-2026</t>
        </is>
      </c>
      <c r="B640" s="1" t="n">
        <v>46098</v>
      </c>
      <c r="C640" s="1" t="n">
        <v>46170</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5099-2026</t>
        </is>
      </c>
      <c r="B641" s="1" t="n">
        <v>46049.56158564815</v>
      </c>
      <c r="C641" s="1" t="n">
        <v>46170</v>
      </c>
      <c r="D641" t="inlineStr">
        <is>
          <t>ÖSTERGÖTLANDS LÄN</t>
        </is>
      </c>
      <c r="E641" t="inlineStr">
        <is>
          <t>LINKÖPING</t>
        </is>
      </c>
      <c r="G641" t="n">
        <v>5</v>
      </c>
      <c r="H641" t="n">
        <v>0</v>
      </c>
      <c r="I641" t="n">
        <v>0</v>
      </c>
      <c r="J641" t="n">
        <v>0</v>
      </c>
      <c r="K641" t="n">
        <v>0</v>
      </c>
      <c r="L641" t="n">
        <v>0</v>
      </c>
      <c r="M641" t="n">
        <v>0</v>
      </c>
      <c r="N641" t="n">
        <v>0</v>
      </c>
      <c r="O641" t="n">
        <v>0</v>
      </c>
      <c r="P641" t="n">
        <v>0</v>
      </c>
      <c r="Q641" t="n">
        <v>0</v>
      </c>
      <c r="R641" s="2" t="inlineStr"/>
    </row>
    <row r="642" ht="15" customHeight="1">
      <c r="A642" t="inlineStr">
        <is>
          <t>A 14135-2026</t>
        </is>
      </c>
      <c r="B642" s="1" t="n">
        <v>46099</v>
      </c>
      <c r="C642" s="1" t="n">
        <v>46170</v>
      </c>
      <c r="D642" t="inlineStr">
        <is>
          <t>ÖSTERGÖTLANDS LÄN</t>
        </is>
      </c>
      <c r="E642" t="inlineStr">
        <is>
          <t>LINKÖPING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6599-2023</t>
        </is>
      </c>
      <c r="B643" s="1" t="n">
        <v>44966.52603009259</v>
      </c>
      <c r="C643" s="1" t="n">
        <v>46170</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13565-2026</t>
        </is>
      </c>
      <c r="B644" s="1" t="n">
        <v>46094.80006944444</v>
      </c>
      <c r="C644" s="1" t="n">
        <v>46170</v>
      </c>
      <c r="D644" t="inlineStr">
        <is>
          <t>ÖSTERGÖTLANDS LÄN</t>
        </is>
      </c>
      <c r="E644" t="inlineStr">
        <is>
          <t>LINKÖPING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12174-2026</t>
        </is>
      </c>
      <c r="B645" s="1" t="n">
        <v>46086</v>
      </c>
      <c r="C645" s="1" t="n">
        <v>46170</v>
      </c>
      <c r="D645" t="inlineStr">
        <is>
          <t>ÖSTERGÖTLANDS LÄN</t>
        </is>
      </c>
      <c r="E645" t="inlineStr">
        <is>
          <t>LINKÖPING</t>
        </is>
      </c>
      <c r="G645" t="n">
        <v>7.2</v>
      </c>
      <c r="H645" t="n">
        <v>0</v>
      </c>
      <c r="I645" t="n">
        <v>0</v>
      </c>
      <c r="J645" t="n">
        <v>0</v>
      </c>
      <c r="K645" t="n">
        <v>0</v>
      </c>
      <c r="L645" t="n">
        <v>0</v>
      </c>
      <c r="M645" t="n">
        <v>0</v>
      </c>
      <c r="N645" t="n">
        <v>0</v>
      </c>
      <c r="O645" t="n">
        <v>0</v>
      </c>
      <c r="P645" t="n">
        <v>0</v>
      </c>
      <c r="Q645" t="n">
        <v>0</v>
      </c>
      <c r="R645" s="2" t="inlineStr"/>
    </row>
    <row r="646" ht="15" customHeight="1">
      <c r="A646" t="inlineStr">
        <is>
          <t>A 12175-2026</t>
        </is>
      </c>
      <c r="B646" s="1" t="n">
        <v>46086</v>
      </c>
      <c r="C646" s="1" t="n">
        <v>46170</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12181-2026</t>
        </is>
      </c>
      <c r="B647" s="1" t="n">
        <v>46086</v>
      </c>
      <c r="C647" s="1" t="n">
        <v>46170</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35735-2023</t>
        </is>
      </c>
      <c r="B648" s="1" t="n">
        <v>45147</v>
      </c>
      <c r="C648" s="1" t="n">
        <v>46170</v>
      </c>
      <c r="D648" t="inlineStr">
        <is>
          <t>ÖSTERGÖTLANDS LÄN</t>
        </is>
      </c>
      <c r="E648" t="inlineStr">
        <is>
          <t>LINKÖPING</t>
        </is>
      </c>
      <c r="G648" t="n">
        <v>2.8</v>
      </c>
      <c r="H648" t="n">
        <v>0</v>
      </c>
      <c r="I648" t="n">
        <v>0</v>
      </c>
      <c r="J648" t="n">
        <v>0</v>
      </c>
      <c r="K648" t="n">
        <v>0</v>
      </c>
      <c r="L648" t="n">
        <v>0</v>
      </c>
      <c r="M648" t="n">
        <v>0</v>
      </c>
      <c r="N648" t="n">
        <v>0</v>
      </c>
      <c r="O648" t="n">
        <v>0</v>
      </c>
      <c r="P648" t="n">
        <v>0</v>
      </c>
      <c r="Q648" t="n">
        <v>0</v>
      </c>
      <c r="R648" s="2" t="inlineStr"/>
    </row>
    <row r="649" ht="15" customHeight="1">
      <c r="A649" t="inlineStr">
        <is>
          <t>A 45831-2024</t>
        </is>
      </c>
      <c r="B649" s="1" t="n">
        <v>45579.90508101852</v>
      </c>
      <c r="C649" s="1" t="n">
        <v>46170</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17157-2024</t>
        </is>
      </c>
      <c r="B650" s="1" t="n">
        <v>45412.70567129629</v>
      </c>
      <c r="C650" s="1" t="n">
        <v>46170</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37154-2023</t>
        </is>
      </c>
      <c r="B651" s="1" t="n">
        <v>45155</v>
      </c>
      <c r="C651" s="1" t="n">
        <v>46170</v>
      </c>
      <c r="D651" t="inlineStr">
        <is>
          <t>ÖSTERGÖTLANDS LÄN</t>
        </is>
      </c>
      <c r="E651" t="inlineStr">
        <is>
          <t>LINKÖPING</t>
        </is>
      </c>
      <c r="G651" t="n">
        <v>1.7</v>
      </c>
      <c r="H651" t="n">
        <v>0</v>
      </c>
      <c r="I651" t="n">
        <v>0</v>
      </c>
      <c r="J651" t="n">
        <v>0</v>
      </c>
      <c r="K651" t="n">
        <v>0</v>
      </c>
      <c r="L651" t="n">
        <v>0</v>
      </c>
      <c r="M651" t="n">
        <v>0</v>
      </c>
      <c r="N651" t="n">
        <v>0</v>
      </c>
      <c r="O651" t="n">
        <v>0</v>
      </c>
      <c r="P651" t="n">
        <v>0</v>
      </c>
      <c r="Q651" t="n">
        <v>0</v>
      </c>
      <c r="R651" s="2" t="inlineStr"/>
    </row>
    <row r="652" ht="15" customHeight="1">
      <c r="A652" t="inlineStr">
        <is>
          <t>A 53812-2023</t>
        </is>
      </c>
      <c r="B652" s="1" t="n">
        <v>45231.39583333334</v>
      </c>
      <c r="C652" s="1" t="n">
        <v>46170</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53830-2023</t>
        </is>
      </c>
      <c r="B653" s="1" t="n">
        <v>45230</v>
      </c>
      <c r="C653" s="1" t="n">
        <v>46170</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14157-2026</t>
        </is>
      </c>
      <c r="B654" s="1" t="n">
        <v>46099.46829861111</v>
      </c>
      <c r="C654" s="1" t="n">
        <v>46170</v>
      </c>
      <c r="D654" t="inlineStr">
        <is>
          <t>ÖSTERGÖTLANDS LÄN</t>
        </is>
      </c>
      <c r="E654" t="inlineStr">
        <is>
          <t>LINKÖPING</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56841-2023</t>
        </is>
      </c>
      <c r="B655" s="1" t="n">
        <v>45244</v>
      </c>
      <c r="C655" s="1" t="n">
        <v>46170</v>
      </c>
      <c r="D655" t="inlineStr">
        <is>
          <t>ÖSTERGÖTLANDS LÄN</t>
        </is>
      </c>
      <c r="E655" t="inlineStr">
        <is>
          <t>LINKÖPING</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56741-2023</t>
        </is>
      </c>
      <c r="B656" s="1" t="n">
        <v>45244</v>
      </c>
      <c r="C656" s="1" t="n">
        <v>46170</v>
      </c>
      <c r="D656" t="inlineStr">
        <is>
          <t>ÖSTERGÖTLANDS LÄN</t>
        </is>
      </c>
      <c r="E656" t="inlineStr">
        <is>
          <t>LINKÖPING</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53816-2023</t>
        </is>
      </c>
      <c r="B657" s="1" t="n">
        <v>45231.40012731482</v>
      </c>
      <c r="C657" s="1" t="n">
        <v>46170</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63935-2021</t>
        </is>
      </c>
      <c r="B658" s="1" t="n">
        <v>44509</v>
      </c>
      <c r="C658" s="1" t="n">
        <v>46170</v>
      </c>
      <c r="D658" t="inlineStr">
        <is>
          <t>ÖSTERGÖTLANDS LÄN</t>
        </is>
      </c>
      <c r="E658" t="inlineStr">
        <is>
          <t>LINKÖPING</t>
        </is>
      </c>
      <c r="F658" t="inlineStr">
        <is>
          <t>Övriga statliga verk och myndigheter</t>
        </is>
      </c>
      <c r="G658" t="n">
        <v>2.8</v>
      </c>
      <c r="H658" t="n">
        <v>0</v>
      </c>
      <c r="I658" t="n">
        <v>0</v>
      </c>
      <c r="J658" t="n">
        <v>0</v>
      </c>
      <c r="K658" t="n">
        <v>0</v>
      </c>
      <c r="L658" t="n">
        <v>0</v>
      </c>
      <c r="M658" t="n">
        <v>0</v>
      </c>
      <c r="N658" t="n">
        <v>0</v>
      </c>
      <c r="O658" t="n">
        <v>0</v>
      </c>
      <c r="P658" t="n">
        <v>0</v>
      </c>
      <c r="Q658" t="n">
        <v>0</v>
      </c>
      <c r="R658" s="2" t="inlineStr"/>
    </row>
    <row r="659" ht="15" customHeight="1">
      <c r="A659" t="inlineStr">
        <is>
          <t>A 6726-2024</t>
        </is>
      </c>
      <c r="B659" s="1" t="n">
        <v>45341</v>
      </c>
      <c r="C659" s="1" t="n">
        <v>46170</v>
      </c>
      <c r="D659" t="inlineStr">
        <is>
          <t>ÖSTERGÖTLANDS LÄN</t>
        </is>
      </c>
      <c r="E659" t="inlineStr">
        <is>
          <t>LINKÖPING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3007-2023</t>
        </is>
      </c>
      <c r="B660" s="1" t="n">
        <v>44945</v>
      </c>
      <c r="C660" s="1" t="n">
        <v>46170</v>
      </c>
      <c r="D660" t="inlineStr">
        <is>
          <t>ÖSTERGÖTLANDS LÄN</t>
        </is>
      </c>
      <c r="E660" t="inlineStr">
        <is>
          <t>LINKÖPING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29309-2024</t>
        </is>
      </c>
      <c r="B661" s="1" t="n">
        <v>45483</v>
      </c>
      <c r="C661" s="1" t="n">
        <v>46170</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21246-2026</t>
        </is>
      </c>
      <c r="B662" s="1" t="n">
        <v>46147.36642361111</v>
      </c>
      <c r="C662" s="1" t="n">
        <v>46170</v>
      </c>
      <c r="D662" t="inlineStr">
        <is>
          <t>ÖSTERGÖTLANDS LÄN</t>
        </is>
      </c>
      <c r="E662" t="inlineStr">
        <is>
          <t>LINKÖPING</t>
        </is>
      </c>
      <c r="F662" t="inlineStr">
        <is>
          <t>Sveaskog</t>
        </is>
      </c>
      <c r="G662" t="n">
        <v>6.5</v>
      </c>
      <c r="H662" t="n">
        <v>0</v>
      </c>
      <c r="I662" t="n">
        <v>0</v>
      </c>
      <c r="J662" t="n">
        <v>0</v>
      </c>
      <c r="K662" t="n">
        <v>0</v>
      </c>
      <c r="L662" t="n">
        <v>0</v>
      </c>
      <c r="M662" t="n">
        <v>0</v>
      </c>
      <c r="N662" t="n">
        <v>0</v>
      </c>
      <c r="O662" t="n">
        <v>0</v>
      </c>
      <c r="P662" t="n">
        <v>0</v>
      </c>
      <c r="Q662" t="n">
        <v>0</v>
      </c>
      <c r="R662" s="2" t="inlineStr"/>
    </row>
    <row r="663" ht="15" customHeight="1">
      <c r="A663" t="inlineStr">
        <is>
          <t>A 21248-2026</t>
        </is>
      </c>
      <c r="B663" s="1" t="n">
        <v>46147.36969907407</v>
      </c>
      <c r="C663" s="1" t="n">
        <v>46170</v>
      </c>
      <c r="D663" t="inlineStr">
        <is>
          <t>ÖSTERGÖTLANDS LÄN</t>
        </is>
      </c>
      <c r="E663" t="inlineStr">
        <is>
          <t>LINKÖPING</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53411-2023</t>
        </is>
      </c>
      <c r="B664" s="1" t="n">
        <v>45229.81049768518</v>
      </c>
      <c r="C664" s="1" t="n">
        <v>46170</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26788-2022</t>
        </is>
      </c>
      <c r="B665" s="1" t="n">
        <v>44740</v>
      </c>
      <c r="C665" s="1" t="n">
        <v>46170</v>
      </c>
      <c r="D665" t="inlineStr">
        <is>
          <t>ÖSTERGÖTLANDS LÄN</t>
        </is>
      </c>
      <c r="E665" t="inlineStr">
        <is>
          <t>LINKÖPING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24462-2023</t>
        </is>
      </c>
      <c r="B666" s="1" t="n">
        <v>45082</v>
      </c>
      <c r="C666" s="1" t="n">
        <v>46170</v>
      </c>
      <c r="D666" t="inlineStr">
        <is>
          <t>ÖSTERGÖTLANDS LÄN</t>
        </is>
      </c>
      <c r="E666" t="inlineStr">
        <is>
          <t>LINKÖPING</t>
        </is>
      </c>
      <c r="G666" t="n">
        <v>3.5</v>
      </c>
      <c r="H666" t="n">
        <v>0</v>
      </c>
      <c r="I666" t="n">
        <v>0</v>
      </c>
      <c r="J666" t="n">
        <v>0</v>
      </c>
      <c r="K666" t="n">
        <v>0</v>
      </c>
      <c r="L666" t="n">
        <v>0</v>
      </c>
      <c r="M666" t="n">
        <v>0</v>
      </c>
      <c r="N666" t="n">
        <v>0</v>
      </c>
      <c r="O666" t="n">
        <v>0</v>
      </c>
      <c r="P666" t="n">
        <v>0</v>
      </c>
      <c r="Q666" t="n">
        <v>0</v>
      </c>
      <c r="R666" s="2" t="inlineStr"/>
    </row>
    <row r="667" ht="15" customHeight="1">
      <c r="A667" t="inlineStr">
        <is>
          <t>A 62015-2024</t>
        </is>
      </c>
      <c r="B667" s="1" t="n">
        <v>45655.80457175926</v>
      </c>
      <c r="C667" s="1" t="n">
        <v>46170</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21374-2026</t>
        </is>
      </c>
      <c r="B668" s="1" t="n">
        <v>46145</v>
      </c>
      <c r="C668" s="1" t="n">
        <v>46170</v>
      </c>
      <c r="D668" t="inlineStr">
        <is>
          <t>ÖSTERGÖTLANDS LÄN</t>
        </is>
      </c>
      <c r="E668" t="inlineStr">
        <is>
          <t>LINKÖPING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10741-2023</t>
        </is>
      </c>
      <c r="B669" s="1" t="n">
        <v>44988.70084490741</v>
      </c>
      <c r="C669" s="1" t="n">
        <v>46170</v>
      </c>
      <c r="D669" t="inlineStr">
        <is>
          <t>ÖSTERGÖTLANDS LÄN</t>
        </is>
      </c>
      <c r="E669" t="inlineStr">
        <is>
          <t>LINKÖPING</t>
        </is>
      </c>
      <c r="F669" t="inlineStr">
        <is>
          <t>Allmännings- och besparingsskogar</t>
        </is>
      </c>
      <c r="G669" t="n">
        <v>11.2</v>
      </c>
      <c r="H669" t="n">
        <v>0</v>
      </c>
      <c r="I669" t="n">
        <v>0</v>
      </c>
      <c r="J669" t="n">
        <v>0</v>
      </c>
      <c r="K669" t="n">
        <v>0</v>
      </c>
      <c r="L669" t="n">
        <v>0</v>
      </c>
      <c r="M669" t="n">
        <v>0</v>
      </c>
      <c r="N669" t="n">
        <v>0</v>
      </c>
      <c r="O669" t="n">
        <v>0</v>
      </c>
      <c r="P669" t="n">
        <v>0</v>
      </c>
      <c r="Q669" t="n">
        <v>0</v>
      </c>
      <c r="R669" s="2" t="inlineStr"/>
    </row>
    <row r="670" ht="15" customHeight="1">
      <c r="A670" t="inlineStr">
        <is>
          <t>A 43473-2024</t>
        </is>
      </c>
      <c r="B670" s="1" t="n">
        <v>45568</v>
      </c>
      <c r="C670" s="1" t="n">
        <v>46170</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43475-2024</t>
        </is>
      </c>
      <c r="B671" s="1" t="n">
        <v>45568</v>
      </c>
      <c r="C671" s="1" t="n">
        <v>46170</v>
      </c>
      <c r="D671" t="inlineStr">
        <is>
          <t>ÖSTERGÖTLANDS LÄN</t>
        </is>
      </c>
      <c r="E671" t="inlineStr">
        <is>
          <t>LINKÖPING</t>
        </is>
      </c>
      <c r="G671" t="n">
        <v>3.2</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46170</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29859-2024</t>
        </is>
      </c>
      <c r="B673" s="1" t="n">
        <v>45485.6846412037</v>
      </c>
      <c r="C673" s="1" t="n">
        <v>46170</v>
      </c>
      <c r="D673" t="inlineStr">
        <is>
          <t>ÖSTERGÖTLANDS LÄN</t>
        </is>
      </c>
      <c r="E673" t="inlineStr">
        <is>
          <t>LINKÖPING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45819-2024</t>
        </is>
      </c>
      <c r="B674" s="1" t="n">
        <v>45579.7454050926</v>
      </c>
      <c r="C674" s="1" t="n">
        <v>46170</v>
      </c>
      <c r="D674" t="inlineStr">
        <is>
          <t>ÖSTERGÖTLANDS LÄN</t>
        </is>
      </c>
      <c r="E674" t="inlineStr">
        <is>
          <t>LINKÖPING</t>
        </is>
      </c>
      <c r="G674" t="n">
        <v>5</v>
      </c>
      <c r="H674" t="n">
        <v>0</v>
      </c>
      <c r="I674" t="n">
        <v>0</v>
      </c>
      <c r="J674" t="n">
        <v>0</v>
      </c>
      <c r="K674" t="n">
        <v>0</v>
      </c>
      <c r="L674" t="n">
        <v>0</v>
      </c>
      <c r="M674" t="n">
        <v>0</v>
      </c>
      <c r="N674" t="n">
        <v>0</v>
      </c>
      <c r="O674" t="n">
        <v>0</v>
      </c>
      <c r="P674" t="n">
        <v>0</v>
      </c>
      <c r="Q674" t="n">
        <v>0</v>
      </c>
      <c r="R674" s="2" t="inlineStr"/>
    </row>
    <row r="675" ht="15" customHeight="1">
      <c r="A675" t="inlineStr">
        <is>
          <t>A 15748-2025</t>
        </is>
      </c>
      <c r="B675" s="1" t="n">
        <v>45748.55282407408</v>
      </c>
      <c r="C675" s="1" t="n">
        <v>46170</v>
      </c>
      <c r="D675" t="inlineStr">
        <is>
          <t>ÖSTERGÖTLANDS LÄN</t>
        </is>
      </c>
      <c r="E675" t="inlineStr">
        <is>
          <t>LINKÖPING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15754-2025</t>
        </is>
      </c>
      <c r="B676" s="1" t="n">
        <v>45748.56105324074</v>
      </c>
      <c r="C676" s="1" t="n">
        <v>46170</v>
      </c>
      <c r="D676" t="inlineStr">
        <is>
          <t>ÖSTERGÖTLANDS LÄN</t>
        </is>
      </c>
      <c r="E676" t="inlineStr">
        <is>
          <t>LINKÖPING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30518-2024</t>
        </is>
      </c>
      <c r="B677" s="1" t="n">
        <v>45492</v>
      </c>
      <c r="C677" s="1" t="n">
        <v>46170</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53797-2023</t>
        </is>
      </c>
      <c r="B678" s="1" t="n">
        <v>45230</v>
      </c>
      <c r="C678" s="1" t="n">
        <v>46170</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55345-2021</t>
        </is>
      </c>
      <c r="B679" s="1" t="n">
        <v>44475</v>
      </c>
      <c r="C679" s="1" t="n">
        <v>46170</v>
      </c>
      <c r="D679" t="inlineStr">
        <is>
          <t>ÖSTERGÖTLANDS LÄN</t>
        </is>
      </c>
      <c r="E679" t="inlineStr">
        <is>
          <t>LINKÖPING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15850-2026</t>
        </is>
      </c>
      <c r="B680" s="1" t="n">
        <v>46107.57224537037</v>
      </c>
      <c r="C680" s="1" t="n">
        <v>46170</v>
      </c>
      <c r="D680" t="inlineStr">
        <is>
          <t>ÖSTERGÖTLANDS LÄN</t>
        </is>
      </c>
      <c r="E680" t="inlineStr">
        <is>
          <t>LINKÖPING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10198-2023</t>
        </is>
      </c>
      <c r="B681" s="1" t="n">
        <v>44986.54665509259</v>
      </c>
      <c r="C681" s="1" t="n">
        <v>46170</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4298-2023</t>
        </is>
      </c>
      <c r="B682" s="1" t="n">
        <v>44953</v>
      </c>
      <c r="C682" s="1" t="n">
        <v>46170</v>
      </c>
      <c r="D682" t="inlineStr">
        <is>
          <t>ÖSTERGÖTLANDS LÄN</t>
        </is>
      </c>
      <c r="E682" t="inlineStr">
        <is>
          <t>LINKÖPING</t>
        </is>
      </c>
      <c r="G682" t="n">
        <v>2.8</v>
      </c>
      <c r="H682" t="n">
        <v>0</v>
      </c>
      <c r="I682" t="n">
        <v>0</v>
      </c>
      <c r="J682" t="n">
        <v>0</v>
      </c>
      <c r="K682" t="n">
        <v>0</v>
      </c>
      <c r="L682" t="n">
        <v>0</v>
      </c>
      <c r="M682" t="n">
        <v>0</v>
      </c>
      <c r="N682" t="n">
        <v>0</v>
      </c>
      <c r="O682" t="n">
        <v>0</v>
      </c>
      <c r="P682" t="n">
        <v>0</v>
      </c>
      <c r="Q682" t="n">
        <v>0</v>
      </c>
      <c r="R682" s="2" t="inlineStr"/>
    </row>
    <row r="683" ht="15" customHeight="1">
      <c r="A683" t="inlineStr">
        <is>
          <t>A 22289-2026</t>
        </is>
      </c>
      <c r="B683" s="1" t="n">
        <v>46154.43842592592</v>
      </c>
      <c r="C683" s="1" t="n">
        <v>46170</v>
      </c>
      <c r="D683" t="inlineStr">
        <is>
          <t>ÖSTERGÖTLANDS LÄN</t>
        </is>
      </c>
      <c r="E683" t="inlineStr">
        <is>
          <t>LINKÖPING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12428-2024</t>
        </is>
      </c>
      <c r="B684" s="1" t="n">
        <v>45379</v>
      </c>
      <c r="C684" s="1" t="n">
        <v>46170</v>
      </c>
      <c r="D684" t="inlineStr">
        <is>
          <t>ÖSTERGÖTLANDS LÄN</t>
        </is>
      </c>
      <c r="E684" t="inlineStr">
        <is>
          <t>LINKÖPING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26618-2023</t>
        </is>
      </c>
      <c r="B685" s="1" t="n">
        <v>45092.70306712963</v>
      </c>
      <c r="C685" s="1" t="n">
        <v>46170</v>
      </c>
      <c r="D685" t="inlineStr">
        <is>
          <t>ÖSTERGÖTLANDS LÄN</t>
        </is>
      </c>
      <c r="E685" t="inlineStr">
        <is>
          <t>LINKÖPING</t>
        </is>
      </c>
      <c r="G685" t="n">
        <v>6.9</v>
      </c>
      <c r="H685" t="n">
        <v>0</v>
      </c>
      <c r="I685" t="n">
        <v>0</v>
      </c>
      <c r="J685" t="n">
        <v>0</v>
      </c>
      <c r="K685" t="n">
        <v>0</v>
      </c>
      <c r="L685" t="n">
        <v>0</v>
      </c>
      <c r="M685" t="n">
        <v>0</v>
      </c>
      <c r="N685" t="n">
        <v>0</v>
      </c>
      <c r="O685" t="n">
        <v>0</v>
      </c>
      <c r="P685" t="n">
        <v>0</v>
      </c>
      <c r="Q685" t="n">
        <v>0</v>
      </c>
      <c r="R685" s="2" t="inlineStr"/>
    </row>
    <row r="686" ht="15" customHeight="1">
      <c r="A686" t="inlineStr">
        <is>
          <t>A 22271-2026</t>
        </is>
      </c>
      <c r="B686" s="1" t="n">
        <v>46154.41280092593</v>
      </c>
      <c r="C686" s="1" t="n">
        <v>46170</v>
      </c>
      <c r="D686" t="inlineStr">
        <is>
          <t>ÖSTERGÖTLANDS LÄN</t>
        </is>
      </c>
      <c r="E686" t="inlineStr">
        <is>
          <t>LINKÖPING</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34930-2023</t>
        </is>
      </c>
      <c r="B687" s="1" t="n">
        <v>45142</v>
      </c>
      <c r="C687" s="1" t="n">
        <v>46170</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670-2024</t>
        </is>
      </c>
      <c r="B688" s="1" t="n">
        <v>45300.3408912037</v>
      </c>
      <c r="C688" s="1" t="n">
        <v>46170</v>
      </c>
      <c r="D688" t="inlineStr">
        <is>
          <t>ÖSTERGÖTLANDS LÄN</t>
        </is>
      </c>
      <c r="E688" t="inlineStr">
        <is>
          <t>LINKÖPING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63845-2021</t>
        </is>
      </c>
      <c r="B689" s="1" t="n">
        <v>44509</v>
      </c>
      <c r="C689" s="1" t="n">
        <v>46170</v>
      </c>
      <c r="D689" t="inlineStr">
        <is>
          <t>ÖSTERGÖTLANDS LÄN</t>
        </is>
      </c>
      <c r="E689" t="inlineStr">
        <is>
          <t>LINKÖPING</t>
        </is>
      </c>
      <c r="G689" t="n">
        <v>5</v>
      </c>
      <c r="H689" t="n">
        <v>0</v>
      </c>
      <c r="I689" t="n">
        <v>0</v>
      </c>
      <c r="J689" t="n">
        <v>0</v>
      </c>
      <c r="K689" t="n">
        <v>0</v>
      </c>
      <c r="L689" t="n">
        <v>0</v>
      </c>
      <c r="M689" t="n">
        <v>0</v>
      </c>
      <c r="N689" t="n">
        <v>0</v>
      </c>
      <c r="O689" t="n">
        <v>0</v>
      </c>
      <c r="P689" t="n">
        <v>0</v>
      </c>
      <c r="Q689" t="n">
        <v>0</v>
      </c>
      <c r="R689" s="2" t="inlineStr"/>
    </row>
    <row r="690" ht="15" customHeight="1">
      <c r="A690" t="inlineStr">
        <is>
          <t>A 22272-2026</t>
        </is>
      </c>
      <c r="B690" s="1" t="n">
        <v>46154.41445601852</v>
      </c>
      <c r="C690" s="1" t="n">
        <v>46170</v>
      </c>
      <c r="D690" t="inlineStr">
        <is>
          <t>ÖSTERGÖTLANDS LÄN</t>
        </is>
      </c>
      <c r="E690" t="inlineStr">
        <is>
          <t>LINKÖPING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22286-2026</t>
        </is>
      </c>
      <c r="B691" s="1" t="n">
        <v>46154.43436342593</v>
      </c>
      <c r="C691" s="1" t="n">
        <v>46170</v>
      </c>
      <c r="D691" t="inlineStr">
        <is>
          <t>ÖSTERGÖTLANDS LÄN</t>
        </is>
      </c>
      <c r="E691" t="inlineStr">
        <is>
          <t>LINKÖPING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22070-2026</t>
        </is>
      </c>
      <c r="B692" s="1" t="n">
        <v>46153.49255787037</v>
      </c>
      <c r="C692" s="1" t="n">
        <v>46170</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22284-2026</t>
        </is>
      </c>
      <c r="B693" s="1" t="n">
        <v>46154.4333449074</v>
      </c>
      <c r="C693" s="1" t="n">
        <v>46170</v>
      </c>
      <c r="D693" t="inlineStr">
        <is>
          <t>ÖSTERGÖTLANDS LÄN</t>
        </is>
      </c>
      <c r="E693" t="inlineStr">
        <is>
          <t>LINKÖPING</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54034-2022</t>
        </is>
      </c>
      <c r="B694" s="1" t="n">
        <v>44881</v>
      </c>
      <c r="C694" s="1" t="n">
        <v>46170</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22282-2026</t>
        </is>
      </c>
      <c r="B695" s="1" t="n">
        <v>46154.42961805555</v>
      </c>
      <c r="C695" s="1" t="n">
        <v>46170</v>
      </c>
      <c r="D695" t="inlineStr">
        <is>
          <t>ÖSTERGÖTLANDS LÄN</t>
        </is>
      </c>
      <c r="E695" t="inlineStr">
        <is>
          <t>LINKÖPING</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36336-2023</t>
        </is>
      </c>
      <c r="B696" s="1" t="n">
        <v>45152.45078703704</v>
      </c>
      <c r="C696" s="1" t="n">
        <v>46170</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48829-2023</t>
        </is>
      </c>
      <c r="B697" s="1" t="n">
        <v>45209.38177083333</v>
      </c>
      <c r="C697" s="1" t="n">
        <v>46170</v>
      </c>
      <c r="D697" t="inlineStr">
        <is>
          <t>ÖSTERGÖTLANDS LÄN</t>
        </is>
      </c>
      <c r="E697" t="inlineStr">
        <is>
          <t>LINKÖPING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16967-2026</t>
        </is>
      </c>
      <c r="B698" s="1" t="n">
        <v>46114.36207175926</v>
      </c>
      <c r="C698" s="1" t="n">
        <v>46170</v>
      </c>
      <c r="D698" t="inlineStr">
        <is>
          <t>ÖSTERGÖTLANDS LÄN</t>
        </is>
      </c>
      <c r="E698" t="inlineStr">
        <is>
          <t>LINKÖPING</t>
        </is>
      </c>
      <c r="F698" t="inlineStr">
        <is>
          <t>Sveaskog</t>
        </is>
      </c>
      <c r="G698" t="n">
        <v>3.4</v>
      </c>
      <c r="H698" t="n">
        <v>0</v>
      </c>
      <c r="I698" t="n">
        <v>0</v>
      </c>
      <c r="J698" t="n">
        <v>0</v>
      </c>
      <c r="K698" t="n">
        <v>0</v>
      </c>
      <c r="L698" t="n">
        <v>0</v>
      </c>
      <c r="M698" t="n">
        <v>0</v>
      </c>
      <c r="N698" t="n">
        <v>0</v>
      </c>
      <c r="O698" t="n">
        <v>0</v>
      </c>
      <c r="P698" t="n">
        <v>0</v>
      </c>
      <c r="Q698" t="n">
        <v>0</v>
      </c>
      <c r="R698" s="2" t="inlineStr"/>
    </row>
    <row r="699" ht="15" customHeight="1">
      <c r="A699" t="inlineStr">
        <is>
          <t>A 48186-2022</t>
        </is>
      </c>
      <c r="B699" s="1" t="n">
        <v>44858</v>
      </c>
      <c r="C699" s="1" t="n">
        <v>46170</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63669-2023</t>
        </is>
      </c>
      <c r="B700" s="1" t="n">
        <v>45275</v>
      </c>
      <c r="C700" s="1" t="n">
        <v>46170</v>
      </c>
      <c r="D700" t="inlineStr">
        <is>
          <t>ÖSTERGÖTLANDS LÄN</t>
        </is>
      </c>
      <c r="E700" t="inlineStr">
        <is>
          <t>LINKÖPING</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24586-2024</t>
        </is>
      </c>
      <c r="B701" s="1" t="n">
        <v>45460.46664351852</v>
      </c>
      <c r="C701" s="1" t="n">
        <v>46170</v>
      </c>
      <c r="D701" t="inlineStr">
        <is>
          <t>ÖSTERGÖTLANDS LÄN</t>
        </is>
      </c>
      <c r="E701" t="inlineStr">
        <is>
          <t>LINKÖPING</t>
        </is>
      </c>
      <c r="G701" t="n">
        <v>4</v>
      </c>
      <c r="H701" t="n">
        <v>0</v>
      </c>
      <c r="I701" t="n">
        <v>0</v>
      </c>
      <c r="J701" t="n">
        <v>0</v>
      </c>
      <c r="K701" t="n">
        <v>0</v>
      </c>
      <c r="L701" t="n">
        <v>0</v>
      </c>
      <c r="M701" t="n">
        <v>0</v>
      </c>
      <c r="N701" t="n">
        <v>0</v>
      </c>
      <c r="O701" t="n">
        <v>0</v>
      </c>
      <c r="P701" t="n">
        <v>0</v>
      </c>
      <c r="Q701" t="n">
        <v>0</v>
      </c>
      <c r="R701" s="2" t="inlineStr"/>
    </row>
    <row r="702" ht="15" customHeight="1">
      <c r="A702" t="inlineStr">
        <is>
          <t>A 59576-2024</t>
        </is>
      </c>
      <c r="B702" s="1" t="n">
        <v>45638.66378472222</v>
      </c>
      <c r="C702" s="1" t="n">
        <v>46170</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59642-2024</t>
        </is>
      </c>
      <c r="B703" s="1" t="n">
        <v>45639.31511574074</v>
      </c>
      <c r="C703" s="1" t="n">
        <v>46170</v>
      </c>
      <c r="D703" t="inlineStr">
        <is>
          <t>ÖSTERGÖTLANDS LÄN</t>
        </is>
      </c>
      <c r="E703" t="inlineStr">
        <is>
          <t>LINKÖPING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59674-2024</t>
        </is>
      </c>
      <c r="B704" s="1" t="n">
        <v>45639</v>
      </c>
      <c r="C704" s="1" t="n">
        <v>46170</v>
      </c>
      <c r="D704" t="inlineStr">
        <is>
          <t>ÖSTERGÖTLANDS LÄN</t>
        </is>
      </c>
      <c r="E704" t="inlineStr">
        <is>
          <t>LINKÖPING</t>
        </is>
      </c>
      <c r="G704" t="n">
        <v>6.3</v>
      </c>
      <c r="H704" t="n">
        <v>0</v>
      </c>
      <c r="I704" t="n">
        <v>0</v>
      </c>
      <c r="J704" t="n">
        <v>0</v>
      </c>
      <c r="K704" t="n">
        <v>0</v>
      </c>
      <c r="L704" t="n">
        <v>0</v>
      </c>
      <c r="M704" t="n">
        <v>0</v>
      </c>
      <c r="N704" t="n">
        <v>0</v>
      </c>
      <c r="O704" t="n">
        <v>0</v>
      </c>
      <c r="P704" t="n">
        <v>0</v>
      </c>
      <c r="Q704" t="n">
        <v>0</v>
      </c>
      <c r="R704" s="2" t="inlineStr"/>
    </row>
    <row r="705" ht="15" customHeight="1">
      <c r="A705" t="inlineStr">
        <is>
          <t>A 18916-2024</t>
        </is>
      </c>
      <c r="B705" s="1" t="n">
        <v>45427.39541666667</v>
      </c>
      <c r="C705" s="1" t="n">
        <v>46170</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11084-2022</t>
        </is>
      </c>
      <c r="B706" s="1" t="n">
        <v>44628</v>
      </c>
      <c r="C706" s="1" t="n">
        <v>46170</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10203-2023</t>
        </is>
      </c>
      <c r="B707" s="1" t="n">
        <v>44986.55711805556</v>
      </c>
      <c r="C707" s="1" t="n">
        <v>46170</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2618-2023</t>
        </is>
      </c>
      <c r="B708" s="1" t="n">
        <v>44944.35847222222</v>
      </c>
      <c r="C708" s="1" t="n">
        <v>46170</v>
      </c>
      <c r="D708" t="inlineStr">
        <is>
          <t>ÖSTERGÖTLANDS LÄN</t>
        </is>
      </c>
      <c r="E708" t="inlineStr">
        <is>
          <t>LINKÖPING</t>
        </is>
      </c>
      <c r="G708" t="n">
        <v>4.3</v>
      </c>
      <c r="H708" t="n">
        <v>0</v>
      </c>
      <c r="I708" t="n">
        <v>0</v>
      </c>
      <c r="J708" t="n">
        <v>0</v>
      </c>
      <c r="K708" t="n">
        <v>0</v>
      </c>
      <c r="L708" t="n">
        <v>0</v>
      </c>
      <c r="M708" t="n">
        <v>0</v>
      </c>
      <c r="N708" t="n">
        <v>0</v>
      </c>
      <c r="O708" t="n">
        <v>0</v>
      </c>
      <c r="P708" t="n">
        <v>0</v>
      </c>
      <c r="Q708" t="n">
        <v>0</v>
      </c>
      <c r="R708" s="2" t="inlineStr"/>
    </row>
    <row r="709" ht="15" customHeight="1">
      <c r="A709" t="inlineStr">
        <is>
          <t>A 17513-2026</t>
        </is>
      </c>
      <c r="B709" s="1" t="n">
        <v>46120</v>
      </c>
      <c r="C709" s="1" t="n">
        <v>46170</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62020-2024</t>
        </is>
      </c>
      <c r="B710" s="1" t="n">
        <v>45655.83563657408</v>
      </c>
      <c r="C710" s="1" t="n">
        <v>46170</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62021-2024</t>
        </is>
      </c>
      <c r="B711" s="1" t="n">
        <v>45655.84232638889</v>
      </c>
      <c r="C711" s="1" t="n">
        <v>46170</v>
      </c>
      <c r="D711" t="inlineStr">
        <is>
          <t>ÖSTERGÖTLANDS LÄN</t>
        </is>
      </c>
      <c r="E711" t="inlineStr">
        <is>
          <t>LINKÖPING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1362-2023</t>
        </is>
      </c>
      <c r="B712" s="1" t="n">
        <v>44931</v>
      </c>
      <c r="C712" s="1" t="n">
        <v>46170</v>
      </c>
      <c r="D712" t="inlineStr">
        <is>
          <t>ÖSTERGÖTLANDS LÄN</t>
        </is>
      </c>
      <c r="E712" t="inlineStr">
        <is>
          <t>LINKÖPING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21247-2026</t>
        </is>
      </c>
      <c r="B713" s="1" t="n">
        <v>46147.36827546296</v>
      </c>
      <c r="C713" s="1" t="n">
        <v>46170</v>
      </c>
      <c r="D713" t="inlineStr">
        <is>
          <t>ÖSTERGÖTLANDS LÄN</t>
        </is>
      </c>
      <c r="E713" t="inlineStr">
        <is>
          <t>LINKÖPING</t>
        </is>
      </c>
      <c r="F713" t="inlineStr">
        <is>
          <t>Sveaskog</t>
        </is>
      </c>
      <c r="G713" t="n">
        <v>0.4</v>
      </c>
      <c r="H713" t="n">
        <v>0</v>
      </c>
      <c r="I713" t="n">
        <v>0</v>
      </c>
      <c r="J713" t="n">
        <v>0</v>
      </c>
      <c r="K713" t="n">
        <v>0</v>
      </c>
      <c r="L713" t="n">
        <v>0</v>
      </c>
      <c r="M713" t="n">
        <v>0</v>
      </c>
      <c r="N713" t="n">
        <v>0</v>
      </c>
      <c r="O713" t="n">
        <v>0</v>
      </c>
      <c r="P713" t="n">
        <v>0</v>
      </c>
      <c r="Q713" t="n">
        <v>0</v>
      </c>
      <c r="R713" s="2" t="inlineStr"/>
    </row>
    <row r="714" ht="15" customHeight="1">
      <c r="A714" t="inlineStr">
        <is>
          <t>A 49928-2024</t>
        </is>
      </c>
      <c r="B714" s="1" t="n">
        <v>45597.57811342592</v>
      </c>
      <c r="C714" s="1" t="n">
        <v>46170</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3627-2023</t>
        </is>
      </c>
      <c r="B715" s="1" t="n">
        <v>44950.64782407408</v>
      </c>
      <c r="C715" s="1" t="n">
        <v>46170</v>
      </c>
      <c r="D715" t="inlineStr">
        <is>
          <t>ÖSTERGÖTLANDS LÄN</t>
        </is>
      </c>
      <c r="E715" t="inlineStr">
        <is>
          <t>LINKÖPING</t>
        </is>
      </c>
      <c r="G715" t="n">
        <v>3.1</v>
      </c>
      <c r="H715" t="n">
        <v>0</v>
      </c>
      <c r="I715" t="n">
        <v>0</v>
      </c>
      <c r="J715" t="n">
        <v>0</v>
      </c>
      <c r="K715" t="n">
        <v>0</v>
      </c>
      <c r="L715" t="n">
        <v>0</v>
      </c>
      <c r="M715" t="n">
        <v>0</v>
      </c>
      <c r="N715" t="n">
        <v>0</v>
      </c>
      <c r="O715" t="n">
        <v>0</v>
      </c>
      <c r="P715" t="n">
        <v>0</v>
      </c>
      <c r="Q715" t="n">
        <v>0</v>
      </c>
      <c r="R715" s="2" t="inlineStr"/>
    </row>
    <row r="716" ht="15" customHeight="1">
      <c r="A716" t="inlineStr">
        <is>
          <t>A 51405-2023</t>
        </is>
      </c>
      <c r="B716" s="1" t="n">
        <v>45219</v>
      </c>
      <c r="C716" s="1" t="n">
        <v>46170</v>
      </c>
      <c r="D716" t="inlineStr">
        <is>
          <t>ÖSTERGÖTLANDS LÄN</t>
        </is>
      </c>
      <c r="E716" t="inlineStr">
        <is>
          <t>LINKÖPING</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11601-2023</t>
        </is>
      </c>
      <c r="B717" s="1" t="n">
        <v>44994</v>
      </c>
      <c r="C717" s="1" t="n">
        <v>46170</v>
      </c>
      <c r="D717" t="inlineStr">
        <is>
          <t>ÖSTERGÖTLANDS LÄN</t>
        </is>
      </c>
      <c r="E717" t="inlineStr">
        <is>
          <t>LINKÖPING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40338-2024</t>
        </is>
      </c>
      <c r="B718" s="1" t="n">
        <v>45555.32940972222</v>
      </c>
      <c r="C718" s="1" t="n">
        <v>46170</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167-2024</t>
        </is>
      </c>
      <c r="B719" s="1" t="n">
        <v>45294</v>
      </c>
      <c r="C719" s="1" t="n">
        <v>46170</v>
      </c>
      <c r="D719" t="inlineStr">
        <is>
          <t>ÖSTERGÖTLANDS LÄN</t>
        </is>
      </c>
      <c r="E719" t="inlineStr">
        <is>
          <t>LINKÖPING</t>
        </is>
      </c>
      <c r="F719" t="inlineStr">
        <is>
          <t>Allmännings- och besparingsskogar</t>
        </is>
      </c>
      <c r="G719" t="n">
        <v>11.6</v>
      </c>
      <c r="H719" t="n">
        <v>0</v>
      </c>
      <c r="I719" t="n">
        <v>0</v>
      </c>
      <c r="J719" t="n">
        <v>0</v>
      </c>
      <c r="K719" t="n">
        <v>0</v>
      </c>
      <c r="L719" t="n">
        <v>0</v>
      </c>
      <c r="M719" t="n">
        <v>0</v>
      </c>
      <c r="N719" t="n">
        <v>0</v>
      </c>
      <c r="O719" t="n">
        <v>0</v>
      </c>
      <c r="P719" t="n">
        <v>0</v>
      </c>
      <c r="Q719" t="n">
        <v>0</v>
      </c>
      <c r="R719" s="2" t="inlineStr"/>
    </row>
    <row r="720" ht="15" customHeight="1">
      <c r="A720" t="inlineStr">
        <is>
          <t>A 27186-2021</t>
        </is>
      </c>
      <c r="B720" s="1" t="n">
        <v>44350.67715277777</v>
      </c>
      <c r="C720" s="1" t="n">
        <v>46170</v>
      </c>
      <c r="D720" t="inlineStr">
        <is>
          <t>ÖSTERGÖTLANDS LÄN</t>
        </is>
      </c>
      <c r="E720" t="inlineStr">
        <is>
          <t>LINKÖPING</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7343-2025</t>
        </is>
      </c>
      <c r="B721" s="1" t="n">
        <v>45703.67853009259</v>
      </c>
      <c r="C721" s="1" t="n">
        <v>46170</v>
      </c>
      <c r="D721" t="inlineStr">
        <is>
          <t>ÖSTERGÖTLANDS LÄN</t>
        </is>
      </c>
      <c r="E721" t="inlineStr">
        <is>
          <t>LINKÖPING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18183-2026</t>
        </is>
      </c>
      <c r="B722" s="1" t="n">
        <v>46125</v>
      </c>
      <c r="C722" s="1" t="n">
        <v>46170</v>
      </c>
      <c r="D722" t="inlineStr">
        <is>
          <t>ÖSTERGÖTLANDS LÄN</t>
        </is>
      </c>
      <c r="E722" t="inlineStr">
        <is>
          <t>LINKÖPING</t>
        </is>
      </c>
      <c r="G722" t="n">
        <v>3.6</v>
      </c>
      <c r="H722" t="n">
        <v>0</v>
      </c>
      <c r="I722" t="n">
        <v>0</v>
      </c>
      <c r="J722" t="n">
        <v>0</v>
      </c>
      <c r="K722" t="n">
        <v>0</v>
      </c>
      <c r="L722" t="n">
        <v>0</v>
      </c>
      <c r="M722" t="n">
        <v>0</v>
      </c>
      <c r="N722" t="n">
        <v>0</v>
      </c>
      <c r="O722" t="n">
        <v>0</v>
      </c>
      <c r="P722" t="n">
        <v>0</v>
      </c>
      <c r="Q722" t="n">
        <v>0</v>
      </c>
      <c r="R722" s="2" t="inlineStr"/>
    </row>
    <row r="723" ht="15" customHeight="1">
      <c r="A723" t="inlineStr">
        <is>
          <t>A 48271-2023</t>
        </is>
      </c>
      <c r="B723" s="1" t="n">
        <v>45205</v>
      </c>
      <c r="C723" s="1" t="n">
        <v>46170</v>
      </c>
      <c r="D723" t="inlineStr">
        <is>
          <t>ÖSTERGÖTLANDS LÄN</t>
        </is>
      </c>
      <c r="E723" t="inlineStr">
        <is>
          <t>LINKÖPING</t>
        </is>
      </c>
      <c r="G723" t="n">
        <v>3</v>
      </c>
      <c r="H723" t="n">
        <v>0</v>
      </c>
      <c r="I723" t="n">
        <v>0</v>
      </c>
      <c r="J723" t="n">
        <v>0</v>
      </c>
      <c r="K723" t="n">
        <v>0</v>
      </c>
      <c r="L723" t="n">
        <v>0</v>
      </c>
      <c r="M723" t="n">
        <v>0</v>
      </c>
      <c r="N723" t="n">
        <v>0</v>
      </c>
      <c r="O723" t="n">
        <v>0</v>
      </c>
      <c r="P723" t="n">
        <v>0</v>
      </c>
      <c r="Q723" t="n">
        <v>0</v>
      </c>
      <c r="R723" s="2" t="inlineStr"/>
    </row>
    <row r="724" ht="15" customHeight="1">
      <c r="A724" t="inlineStr">
        <is>
          <t>A 12720-2022</t>
        </is>
      </c>
      <c r="B724" s="1" t="n">
        <v>44641</v>
      </c>
      <c r="C724" s="1" t="n">
        <v>46170</v>
      </c>
      <c r="D724" t="inlineStr">
        <is>
          <t>ÖSTERGÖTLANDS LÄN</t>
        </is>
      </c>
      <c r="E724" t="inlineStr">
        <is>
          <t>LINKÖPING</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62018-2024</t>
        </is>
      </c>
      <c r="B725" s="1" t="n">
        <v>45655.81387731482</v>
      </c>
      <c r="C725" s="1" t="n">
        <v>46170</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30551-2023</t>
        </is>
      </c>
      <c r="B726" s="1" t="n">
        <v>45111</v>
      </c>
      <c r="C726" s="1" t="n">
        <v>46170</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30860-2022</t>
        </is>
      </c>
      <c r="B727" s="1" t="n">
        <v>44767</v>
      </c>
      <c r="C727" s="1" t="n">
        <v>46170</v>
      </c>
      <c r="D727" t="inlineStr">
        <is>
          <t>ÖSTERGÖTLANDS LÄN</t>
        </is>
      </c>
      <c r="E727" t="inlineStr">
        <is>
          <t>LINKÖPING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60004-2022</t>
        </is>
      </c>
      <c r="B728" s="1" t="n">
        <v>44909.47206018519</v>
      </c>
      <c r="C728" s="1" t="n">
        <v>46170</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60010-2022</t>
        </is>
      </c>
      <c r="B729" s="1" t="n">
        <v>44909.4740625</v>
      </c>
      <c r="C729" s="1" t="n">
        <v>46170</v>
      </c>
      <c r="D729" t="inlineStr">
        <is>
          <t>ÖSTERGÖTLANDS LÄN</t>
        </is>
      </c>
      <c r="E729" t="inlineStr">
        <is>
          <t>LINKÖPING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53827-2023</t>
        </is>
      </c>
      <c r="B730" s="1" t="n">
        <v>45230</v>
      </c>
      <c r="C730" s="1" t="n">
        <v>46170</v>
      </c>
      <c r="D730" t="inlineStr">
        <is>
          <t>ÖSTERGÖTLANDS LÄN</t>
        </is>
      </c>
      <c r="E730" t="inlineStr">
        <is>
          <t>LINKÖPING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4256-2022</t>
        </is>
      </c>
      <c r="B731" s="1" t="n">
        <v>44588</v>
      </c>
      <c r="C731" s="1" t="n">
        <v>46170</v>
      </c>
      <c r="D731" t="inlineStr">
        <is>
          <t>ÖSTERGÖTLANDS LÄN</t>
        </is>
      </c>
      <c r="E731" t="inlineStr">
        <is>
          <t>LINKÖPING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61649-2023</t>
        </is>
      </c>
      <c r="B732" s="1" t="n">
        <v>45265</v>
      </c>
      <c r="C732" s="1" t="n">
        <v>46170</v>
      </c>
      <c r="D732" t="inlineStr">
        <is>
          <t>ÖSTERGÖTLANDS LÄN</t>
        </is>
      </c>
      <c r="E732" t="inlineStr">
        <is>
          <t>LINKÖPING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223-2024</t>
        </is>
      </c>
      <c r="B733" s="1" t="n">
        <v>45294.72739583333</v>
      </c>
      <c r="C733" s="1" t="n">
        <v>46170</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19464-2024</t>
        </is>
      </c>
      <c r="B734" s="1" t="n">
        <v>45429</v>
      </c>
      <c r="C734" s="1" t="n">
        <v>46170</v>
      </c>
      <c r="D734" t="inlineStr">
        <is>
          <t>ÖSTERGÖTLANDS LÄN</t>
        </is>
      </c>
      <c r="E734" t="inlineStr">
        <is>
          <t>LINKÖPING</t>
        </is>
      </c>
      <c r="G734" t="n">
        <v>2.7</v>
      </c>
      <c r="H734" t="n">
        <v>0</v>
      </c>
      <c r="I734" t="n">
        <v>0</v>
      </c>
      <c r="J734" t="n">
        <v>0</v>
      </c>
      <c r="K734" t="n">
        <v>0</v>
      </c>
      <c r="L734" t="n">
        <v>0</v>
      </c>
      <c r="M734" t="n">
        <v>0</v>
      </c>
      <c r="N734" t="n">
        <v>0</v>
      </c>
      <c r="O734" t="n">
        <v>0</v>
      </c>
      <c r="P734" t="n">
        <v>0</v>
      </c>
      <c r="Q734" t="n">
        <v>0</v>
      </c>
      <c r="R734" s="2" t="inlineStr"/>
    </row>
    <row r="735" ht="15" customHeight="1">
      <c r="A735" t="inlineStr">
        <is>
          <t>A 630-2024</t>
        </is>
      </c>
      <c r="B735" s="1" t="n">
        <v>45299.67736111111</v>
      </c>
      <c r="C735" s="1" t="n">
        <v>46170</v>
      </c>
      <c r="D735" t="inlineStr">
        <is>
          <t>ÖSTERGÖTLANDS LÄN</t>
        </is>
      </c>
      <c r="E735" t="inlineStr">
        <is>
          <t>LINKÖPING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30433-2024</t>
        </is>
      </c>
      <c r="B736" s="1" t="n">
        <v>45491.69741898148</v>
      </c>
      <c r="C736" s="1" t="n">
        <v>46170</v>
      </c>
      <c r="D736" t="inlineStr">
        <is>
          <t>ÖSTERGÖTLANDS LÄN</t>
        </is>
      </c>
      <c r="E736" t="inlineStr">
        <is>
          <t>LINKÖPING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63528-2023</t>
        </is>
      </c>
      <c r="B737" s="1" t="n">
        <v>45274.94810185185</v>
      </c>
      <c r="C737" s="1" t="n">
        <v>46170</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61936-2023</t>
        </is>
      </c>
      <c r="B738" s="1" t="n">
        <v>45266.54534722222</v>
      </c>
      <c r="C738" s="1" t="n">
        <v>46170</v>
      </c>
      <c r="D738" t="inlineStr">
        <is>
          <t>ÖSTERGÖTLANDS LÄN</t>
        </is>
      </c>
      <c r="E738" t="inlineStr">
        <is>
          <t>LINKÖPING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62492-2023</t>
        </is>
      </c>
      <c r="B739" s="1" t="n">
        <v>45268.58987268519</v>
      </c>
      <c r="C739" s="1" t="n">
        <v>46170</v>
      </c>
      <c r="D739" t="inlineStr">
        <is>
          <t>ÖSTERGÖTLANDS LÄN</t>
        </is>
      </c>
      <c r="E739" t="inlineStr">
        <is>
          <t>LINKÖPING</t>
        </is>
      </c>
      <c r="G739" t="n">
        <v>1.8</v>
      </c>
      <c r="H739" t="n">
        <v>0</v>
      </c>
      <c r="I739" t="n">
        <v>0</v>
      </c>
      <c r="J739" t="n">
        <v>0</v>
      </c>
      <c r="K739" t="n">
        <v>0</v>
      </c>
      <c r="L739" t="n">
        <v>0</v>
      </c>
      <c r="M739" t="n">
        <v>0</v>
      </c>
      <c r="N739" t="n">
        <v>0</v>
      </c>
      <c r="O739" t="n">
        <v>0</v>
      </c>
      <c r="P739" t="n">
        <v>0</v>
      </c>
      <c r="Q739" t="n">
        <v>0</v>
      </c>
      <c r="R739" s="2" t="inlineStr"/>
    </row>
    <row r="740" ht="15" customHeight="1">
      <c r="A740" t="inlineStr">
        <is>
          <t>A 674-2024</t>
        </is>
      </c>
      <c r="B740" s="1" t="n">
        <v>45300.34408564815</v>
      </c>
      <c r="C740" s="1" t="n">
        <v>46170</v>
      </c>
      <c r="D740" t="inlineStr">
        <is>
          <t>ÖSTERGÖTLANDS LÄN</t>
        </is>
      </c>
      <c r="E740" t="inlineStr">
        <is>
          <t>LINKÖPING</t>
        </is>
      </c>
      <c r="F740" t="inlineStr">
        <is>
          <t>Sveaskog</t>
        </is>
      </c>
      <c r="G740" t="n">
        <v>2.9</v>
      </c>
      <c r="H740" t="n">
        <v>0</v>
      </c>
      <c r="I740" t="n">
        <v>0</v>
      </c>
      <c r="J740" t="n">
        <v>0</v>
      </c>
      <c r="K740" t="n">
        <v>0</v>
      </c>
      <c r="L740" t="n">
        <v>0</v>
      </c>
      <c r="M740" t="n">
        <v>0</v>
      </c>
      <c r="N740" t="n">
        <v>0</v>
      </c>
      <c r="O740" t="n">
        <v>0</v>
      </c>
      <c r="P740" t="n">
        <v>0</v>
      </c>
      <c r="Q740" t="n">
        <v>0</v>
      </c>
      <c r="R740" s="2" t="inlineStr"/>
    </row>
    <row r="741" ht="15" customHeight="1">
      <c r="A741" t="inlineStr">
        <is>
          <t>A 6782-2024</t>
        </is>
      </c>
      <c r="B741" s="1" t="n">
        <v>45342</v>
      </c>
      <c r="C741" s="1" t="n">
        <v>46170</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10094-2024</t>
        </is>
      </c>
      <c r="B742" s="1" t="n">
        <v>45364</v>
      </c>
      <c r="C742" s="1" t="n">
        <v>46170</v>
      </c>
      <c r="D742" t="inlineStr">
        <is>
          <t>ÖSTERGÖTLANDS LÄN</t>
        </is>
      </c>
      <c r="E742" t="inlineStr">
        <is>
          <t>LINKÖPING</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63684-2023</t>
        </is>
      </c>
      <c r="B743" s="1" t="n">
        <v>45275</v>
      </c>
      <c r="C743" s="1" t="n">
        <v>46170</v>
      </c>
      <c r="D743" t="inlineStr">
        <is>
          <t>ÖSTERGÖTLANDS LÄN</t>
        </is>
      </c>
      <c r="E743" t="inlineStr">
        <is>
          <t>LINKÖPING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63688-2023</t>
        </is>
      </c>
      <c r="B744" s="1" t="n">
        <v>45275</v>
      </c>
      <c r="C744" s="1" t="n">
        <v>46170</v>
      </c>
      <c r="D744" t="inlineStr">
        <is>
          <t>ÖSTERGÖTLANDS LÄN</t>
        </is>
      </c>
      <c r="E744" t="inlineStr">
        <is>
          <t>LINKÖPING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63691-2023</t>
        </is>
      </c>
      <c r="B745" s="1" t="n">
        <v>45275</v>
      </c>
      <c r="C745" s="1" t="n">
        <v>46170</v>
      </c>
      <c r="D745" t="inlineStr">
        <is>
          <t>ÖSTERGÖTLANDS LÄN</t>
        </is>
      </c>
      <c r="E745" t="inlineStr">
        <is>
          <t>LINKÖPING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36657-2023</t>
        </is>
      </c>
      <c r="B746" s="1" t="n">
        <v>45153.5702662037</v>
      </c>
      <c r="C746" s="1" t="n">
        <v>46170</v>
      </c>
      <c r="D746" t="inlineStr">
        <is>
          <t>ÖSTERGÖTLANDS LÄN</t>
        </is>
      </c>
      <c r="E746" t="inlineStr">
        <is>
          <t>LINKÖPING</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14667-2024</t>
        </is>
      </c>
      <c r="B747" s="1" t="n">
        <v>45397.42005787037</v>
      </c>
      <c r="C747" s="1" t="n">
        <v>46170</v>
      </c>
      <c r="D747" t="inlineStr">
        <is>
          <t>ÖSTERGÖTLANDS LÄN</t>
        </is>
      </c>
      <c r="E747" t="inlineStr">
        <is>
          <t>LINKÖPING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15714-2024</t>
        </is>
      </c>
      <c r="B748" s="1" t="n">
        <v>45404.48288194444</v>
      </c>
      <c r="C748" s="1" t="n">
        <v>46170</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37715-2022</t>
        </is>
      </c>
      <c r="B749" s="1" t="n">
        <v>44810</v>
      </c>
      <c r="C749" s="1" t="n">
        <v>46170</v>
      </c>
      <c r="D749" t="inlineStr">
        <is>
          <t>ÖSTERGÖTLANDS LÄN</t>
        </is>
      </c>
      <c r="E749" t="inlineStr">
        <is>
          <t>LINKÖPING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30429-2024</t>
        </is>
      </c>
      <c r="B750" s="1" t="n">
        <v>45491.68972222223</v>
      </c>
      <c r="C750" s="1" t="n">
        <v>46170</v>
      </c>
      <c r="D750" t="inlineStr">
        <is>
          <t>ÖSTERGÖTLANDS LÄN</t>
        </is>
      </c>
      <c r="E750" t="inlineStr">
        <is>
          <t>LINKÖPING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30435-2024</t>
        </is>
      </c>
      <c r="B751" s="1" t="n">
        <v>45491.69962962963</v>
      </c>
      <c r="C751" s="1" t="n">
        <v>46170</v>
      </c>
      <c r="D751" t="inlineStr">
        <is>
          <t>ÖSTERGÖTLANDS LÄN</t>
        </is>
      </c>
      <c r="E751" t="inlineStr">
        <is>
          <t>LINKÖPING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38231-2022</t>
        </is>
      </c>
      <c r="B752" s="1" t="n">
        <v>44812</v>
      </c>
      <c r="C752" s="1" t="n">
        <v>46170</v>
      </c>
      <c r="D752" t="inlineStr">
        <is>
          <t>ÖSTERGÖTLANDS LÄN</t>
        </is>
      </c>
      <c r="E752" t="inlineStr">
        <is>
          <t>LINKÖPING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34557-2022</t>
        </is>
      </c>
      <c r="B753" s="1" t="n">
        <v>44794.57074074074</v>
      </c>
      <c r="C753" s="1" t="n">
        <v>46170</v>
      </c>
      <c r="D753" t="inlineStr">
        <is>
          <t>ÖSTERGÖTLANDS LÄN</t>
        </is>
      </c>
      <c r="E753" t="inlineStr">
        <is>
          <t>LINKÖPING</t>
        </is>
      </c>
      <c r="G753" t="n">
        <v>1.8</v>
      </c>
      <c r="H753" t="n">
        <v>0</v>
      </c>
      <c r="I753" t="n">
        <v>0</v>
      </c>
      <c r="J753" t="n">
        <v>0</v>
      </c>
      <c r="K753" t="n">
        <v>0</v>
      </c>
      <c r="L753" t="n">
        <v>0</v>
      </c>
      <c r="M753" t="n">
        <v>0</v>
      </c>
      <c r="N753" t="n">
        <v>0</v>
      </c>
      <c r="O753" t="n">
        <v>0</v>
      </c>
      <c r="P753" t="n">
        <v>0</v>
      </c>
      <c r="Q753" t="n">
        <v>0</v>
      </c>
      <c r="R753" s="2" t="inlineStr"/>
    </row>
    <row r="754" ht="15" customHeight="1">
      <c r="A754" t="inlineStr">
        <is>
          <t>A 13011-2022</t>
        </is>
      </c>
      <c r="B754" s="1" t="n">
        <v>44643</v>
      </c>
      <c r="C754" s="1" t="n">
        <v>46170</v>
      </c>
      <c r="D754" t="inlineStr">
        <is>
          <t>ÖSTERGÖTLANDS LÄN</t>
        </is>
      </c>
      <c r="E754" t="inlineStr">
        <is>
          <t>LINKÖPING</t>
        </is>
      </c>
      <c r="G754" t="n">
        <v>3.7</v>
      </c>
      <c r="H754" t="n">
        <v>0</v>
      </c>
      <c r="I754" t="n">
        <v>0</v>
      </c>
      <c r="J754" t="n">
        <v>0</v>
      </c>
      <c r="K754" t="n">
        <v>0</v>
      </c>
      <c r="L754" t="n">
        <v>0</v>
      </c>
      <c r="M754" t="n">
        <v>0</v>
      </c>
      <c r="N754" t="n">
        <v>0</v>
      </c>
      <c r="O754" t="n">
        <v>0</v>
      </c>
      <c r="P754" t="n">
        <v>0</v>
      </c>
      <c r="Q754" t="n">
        <v>0</v>
      </c>
      <c r="R754" s="2" t="inlineStr"/>
    </row>
    <row r="755" ht="15" customHeight="1">
      <c r="A755" t="inlineStr">
        <is>
          <t>A 617-2024</t>
        </is>
      </c>
      <c r="B755" s="1" t="n">
        <v>45299.66028935185</v>
      </c>
      <c r="C755" s="1" t="n">
        <v>46170</v>
      </c>
      <c r="D755" t="inlineStr">
        <is>
          <t>ÖSTERGÖTLANDS LÄN</t>
        </is>
      </c>
      <c r="E755" t="inlineStr">
        <is>
          <t>LINKÖPING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19362-2023</t>
        </is>
      </c>
      <c r="B756" s="1" t="n">
        <v>45049</v>
      </c>
      <c r="C756" s="1" t="n">
        <v>46170</v>
      </c>
      <c r="D756" t="inlineStr">
        <is>
          <t>ÖSTERGÖTLANDS LÄN</t>
        </is>
      </c>
      <c r="E756" t="inlineStr">
        <is>
          <t>LINKÖPING</t>
        </is>
      </c>
      <c r="G756" t="n">
        <v>0.1</v>
      </c>
      <c r="H756" t="n">
        <v>0</v>
      </c>
      <c r="I756" t="n">
        <v>0</v>
      </c>
      <c r="J756" t="n">
        <v>0</v>
      </c>
      <c r="K756" t="n">
        <v>0</v>
      </c>
      <c r="L756" t="n">
        <v>0</v>
      </c>
      <c r="M756" t="n">
        <v>0</v>
      </c>
      <c r="N756" t="n">
        <v>0</v>
      </c>
      <c r="O756" t="n">
        <v>0</v>
      </c>
      <c r="P756" t="n">
        <v>0</v>
      </c>
      <c r="Q756" t="n">
        <v>0</v>
      </c>
      <c r="R756" s="2" t="inlineStr"/>
    </row>
    <row r="757" ht="15" customHeight="1">
      <c r="A757" t="inlineStr">
        <is>
          <t>A 19132-2023</t>
        </is>
      </c>
      <c r="B757" s="1" t="n">
        <v>45048.54754629629</v>
      </c>
      <c r="C757" s="1" t="n">
        <v>46170</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31635-2023</t>
        </is>
      </c>
      <c r="B758" s="1" t="n">
        <v>45105</v>
      </c>
      <c r="C758" s="1" t="n">
        <v>46170</v>
      </c>
      <c r="D758" t="inlineStr">
        <is>
          <t>ÖSTERGÖTLANDS LÄN</t>
        </is>
      </c>
      <c r="E758" t="inlineStr">
        <is>
          <t>LINKÖPING</t>
        </is>
      </c>
      <c r="F758" t="inlineStr">
        <is>
          <t>Övriga statliga verk och myndigheter</t>
        </is>
      </c>
      <c r="G758" t="n">
        <v>4.6</v>
      </c>
      <c r="H758" t="n">
        <v>0</v>
      </c>
      <c r="I758" t="n">
        <v>0</v>
      </c>
      <c r="J758" t="n">
        <v>0</v>
      </c>
      <c r="K758" t="n">
        <v>0</v>
      </c>
      <c r="L758" t="n">
        <v>0</v>
      </c>
      <c r="M758" t="n">
        <v>0</v>
      </c>
      <c r="N758" t="n">
        <v>0</v>
      </c>
      <c r="O758" t="n">
        <v>0</v>
      </c>
      <c r="P758" t="n">
        <v>0</v>
      </c>
      <c r="Q758" t="n">
        <v>0</v>
      </c>
      <c r="R758" s="2" t="inlineStr"/>
    </row>
    <row r="759" ht="15" customHeight="1">
      <c r="A759" t="inlineStr">
        <is>
          <t>A 20296-2025</t>
        </is>
      </c>
      <c r="B759" s="1" t="n">
        <v>45774.74922453704</v>
      </c>
      <c r="C759" s="1" t="n">
        <v>46170</v>
      </c>
      <c r="D759" t="inlineStr">
        <is>
          <t>ÖSTERGÖTLANDS LÄN</t>
        </is>
      </c>
      <c r="E759" t="inlineStr">
        <is>
          <t>LINKÖPING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22770-2024</t>
        </is>
      </c>
      <c r="B760" s="1" t="n">
        <v>45448.4634375</v>
      </c>
      <c r="C760" s="1" t="n">
        <v>46170</v>
      </c>
      <c r="D760" t="inlineStr">
        <is>
          <t>ÖSTERGÖTLANDS LÄN</t>
        </is>
      </c>
      <c r="E760" t="inlineStr">
        <is>
          <t>LINKÖPING</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11595-2025</t>
        </is>
      </c>
      <c r="B761" s="1" t="n">
        <v>45727.41893518518</v>
      </c>
      <c r="C761" s="1" t="n">
        <v>46170</v>
      </c>
      <c r="D761" t="inlineStr">
        <is>
          <t>ÖSTERGÖTLANDS LÄN</t>
        </is>
      </c>
      <c r="E761" t="inlineStr">
        <is>
          <t>LINKÖPING</t>
        </is>
      </c>
      <c r="G761" t="n">
        <v>6.6</v>
      </c>
      <c r="H761" t="n">
        <v>0</v>
      </c>
      <c r="I761" t="n">
        <v>0</v>
      </c>
      <c r="J761" t="n">
        <v>0</v>
      </c>
      <c r="K761" t="n">
        <v>0</v>
      </c>
      <c r="L761" t="n">
        <v>0</v>
      </c>
      <c r="M761" t="n">
        <v>0</v>
      </c>
      <c r="N761" t="n">
        <v>0</v>
      </c>
      <c r="O761" t="n">
        <v>0</v>
      </c>
      <c r="P761" t="n">
        <v>0</v>
      </c>
      <c r="Q761" t="n">
        <v>0</v>
      </c>
      <c r="R761" s="2" t="inlineStr"/>
    </row>
    <row r="762" ht="15" customHeight="1">
      <c r="A762" t="inlineStr">
        <is>
          <t>A 48839-2022</t>
        </is>
      </c>
      <c r="B762" s="1" t="n">
        <v>44859</v>
      </c>
      <c r="C762" s="1" t="n">
        <v>46170</v>
      </c>
      <c r="D762" t="inlineStr">
        <is>
          <t>ÖSTERGÖTLANDS LÄN</t>
        </is>
      </c>
      <c r="E762" t="inlineStr">
        <is>
          <t>LINKÖPING</t>
        </is>
      </c>
      <c r="F762" t="inlineStr">
        <is>
          <t>Övriga Aktiebolag</t>
        </is>
      </c>
      <c r="G762" t="n">
        <v>0.6</v>
      </c>
      <c r="H762" t="n">
        <v>0</v>
      </c>
      <c r="I762" t="n">
        <v>0</v>
      </c>
      <c r="J762" t="n">
        <v>0</v>
      </c>
      <c r="K762" t="n">
        <v>0</v>
      </c>
      <c r="L762" t="n">
        <v>0</v>
      </c>
      <c r="M762" t="n">
        <v>0</v>
      </c>
      <c r="N762" t="n">
        <v>0</v>
      </c>
      <c r="O762" t="n">
        <v>0</v>
      </c>
      <c r="P762" t="n">
        <v>0</v>
      </c>
      <c r="Q762" t="n">
        <v>0</v>
      </c>
      <c r="R762" s="2" t="inlineStr"/>
    </row>
    <row r="763" ht="15" customHeight="1">
      <c r="A763" t="inlineStr">
        <is>
          <t>A 8967-2025</t>
        </is>
      </c>
      <c r="B763" s="1" t="n">
        <v>45712</v>
      </c>
      <c r="C763" s="1" t="n">
        <v>46170</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63678-2023</t>
        </is>
      </c>
      <c r="B764" s="1" t="n">
        <v>45275.64769675926</v>
      </c>
      <c r="C764" s="1" t="n">
        <v>46170</v>
      </c>
      <c r="D764" t="inlineStr">
        <is>
          <t>ÖSTERGÖTLANDS LÄN</t>
        </is>
      </c>
      <c r="E764" t="inlineStr">
        <is>
          <t>LINKÖPING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1844-2025</t>
        </is>
      </c>
      <c r="B765" s="1" t="n">
        <v>45671.57730324074</v>
      </c>
      <c r="C765" s="1" t="n">
        <v>46170</v>
      </c>
      <c r="D765" t="inlineStr">
        <is>
          <t>ÖSTERGÖTLANDS LÄN</t>
        </is>
      </c>
      <c r="E765" t="inlineStr">
        <is>
          <t>LINKÖPING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21165-2025</t>
        </is>
      </c>
      <c r="B766" s="1" t="n">
        <v>45779.39417824074</v>
      </c>
      <c r="C766" s="1" t="n">
        <v>46170</v>
      </c>
      <c r="D766" t="inlineStr">
        <is>
          <t>ÖSTERGÖTLANDS LÄN</t>
        </is>
      </c>
      <c r="E766" t="inlineStr">
        <is>
          <t>LINKÖPING</t>
        </is>
      </c>
      <c r="G766" t="n">
        <v>1.2</v>
      </c>
      <c r="H766" t="n">
        <v>0</v>
      </c>
      <c r="I766" t="n">
        <v>0</v>
      </c>
      <c r="J766" t="n">
        <v>0</v>
      </c>
      <c r="K766" t="n">
        <v>0</v>
      </c>
      <c r="L766" t="n">
        <v>0</v>
      </c>
      <c r="M766" t="n">
        <v>0</v>
      </c>
      <c r="N766" t="n">
        <v>0</v>
      </c>
      <c r="O766" t="n">
        <v>0</v>
      </c>
      <c r="P766" t="n">
        <v>0</v>
      </c>
      <c r="Q766" t="n">
        <v>0</v>
      </c>
      <c r="R766" s="2" t="inlineStr"/>
    </row>
    <row r="767">
      <c r="A767" t="inlineStr">
        <is>
          <t>A 21155-2025</t>
        </is>
      </c>
      <c r="B767" s="1" t="n">
        <v>45779.37586805555</v>
      </c>
      <c r="C767" s="1" t="n">
        <v>46170</v>
      </c>
      <c r="D767" t="inlineStr">
        <is>
          <t>ÖSTERGÖTLANDS LÄN</t>
        </is>
      </c>
      <c r="E767" t="inlineStr">
        <is>
          <t>LINKÖPING</t>
        </is>
      </c>
      <c r="G767" t="n">
        <v>0.5</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2026-05-28T10:56:57Z</dcterms:created>
  <dcterms:modified xmlns:dcterms="http://purl.org/dc/terms/" xmlns:xsi="http://www.w3.org/2001/XMLSchema-instance" xsi:type="dcterms:W3CDTF">2026-05-28T10:56:57Z</dcterms:modified>
</cp:coreProperties>
</file>