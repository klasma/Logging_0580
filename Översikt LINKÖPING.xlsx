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46072</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48329-2025</t>
        </is>
      </c>
      <c r="B12" s="1" t="n">
        <v>45932</v>
      </c>
      <c r="C12" s="1" t="n">
        <v>46072</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15475-2021</t>
        </is>
      </c>
      <c r="B13" s="1" t="n">
        <v>44285</v>
      </c>
      <c r="C13" s="1" t="n">
        <v>46072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46072</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46072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46072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46072</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46072</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46072</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6353-2026</t>
        </is>
      </c>
      <c r="B20" s="1" t="n">
        <v>46055.61385416667</v>
      </c>
      <c r="C20" s="1" t="n">
        <v>46072</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38913-2023</t>
        </is>
      </c>
      <c r="B21" s="1" t="n">
        <v>45163</v>
      </c>
      <c r="C21" s="1" t="n">
        <v>46072</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55341-2024</t>
        </is>
      </c>
      <c r="B22" s="1" t="n">
        <v>45621.71255787037</v>
      </c>
      <c r="C22" s="1" t="n">
        <v>46072</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38137-2021</t>
        </is>
      </c>
      <c r="B23" s="1" t="n">
        <v>44405.38357638889</v>
      </c>
      <c r="C23" s="1" t="n">
        <v>46072</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46072</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46072</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58068-2021</t>
        </is>
      </c>
      <c r="B26" s="1" t="n">
        <v>44487</v>
      </c>
      <c r="C26" s="1" t="n">
        <v>46072</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50404-2023</t>
        </is>
      </c>
      <c r="B27" s="1" t="n">
        <v>45216</v>
      </c>
      <c r="C27" s="1" t="n">
        <v>46072</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27795-2025</t>
        </is>
      </c>
      <c r="B28" s="1" t="n">
        <v>45816.7908912037</v>
      </c>
      <c r="C28" s="1" t="n">
        <v>46072</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14879-2024</t>
        </is>
      </c>
      <c r="B29" s="1" t="n">
        <v>45398</v>
      </c>
      <c r="C29" s="1" t="n">
        <v>46072</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46072</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50048-2025</t>
        </is>
      </c>
      <c r="B31" s="1" t="n">
        <v>45941</v>
      </c>
      <c r="C31" s="1" t="n">
        <v>46072</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25985-2025</t>
        </is>
      </c>
      <c r="B32" s="1" t="n">
        <v>45804.64479166667</v>
      </c>
      <c r="C32" s="1" t="n">
        <v>46072</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58068-2021</t>
        </is>
      </c>
      <c r="B33" s="1" t="n">
        <v>44487</v>
      </c>
      <c r="C33" s="1" t="n">
        <v>46072</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46072</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46072</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11613-2025</t>
        </is>
      </c>
      <c r="B36" s="1" t="n">
        <v>45727.44623842592</v>
      </c>
      <c r="C36" s="1" t="n">
        <v>46072</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3912-2026</t>
        </is>
      </c>
      <c r="B37" s="1" t="n">
        <v>46043.71958333333</v>
      </c>
      <c r="C37" s="1" t="n">
        <v>46072</v>
      </c>
      <c r="D37" t="inlineStr">
        <is>
          <t>ÖSTERGÖTLANDS LÄN</t>
        </is>
      </c>
      <c r="E37" t="inlineStr">
        <is>
          <t>LINKÖPING</t>
        </is>
      </c>
      <c r="F37" t="inlineStr">
        <is>
          <t>Kyrkan</t>
        </is>
      </c>
      <c r="G37" t="n">
        <v>6.8</v>
      </c>
      <c r="H37" t="n">
        <v>1</v>
      </c>
      <c r="I37" t="n">
        <v>1</v>
      </c>
      <c r="J37" t="n">
        <v>0</v>
      </c>
      <c r="K37" t="n">
        <v>1</v>
      </c>
      <c r="L37" t="n">
        <v>0</v>
      </c>
      <c r="M37" t="n">
        <v>0</v>
      </c>
      <c r="N37" t="n">
        <v>0</v>
      </c>
      <c r="O37" t="n">
        <v>1</v>
      </c>
      <c r="P37" t="n">
        <v>1</v>
      </c>
      <c r="Q37" t="n">
        <v>2</v>
      </c>
      <c r="R37" s="2" t="inlineStr">
        <is>
          <t>Knärot
Grönpyrola</t>
        </is>
      </c>
      <c r="S37">
        <f>HYPERLINK("https://klasma.github.io/Logging_0580/artfynd/A 3912-2026 artfynd.xlsx", "A 3912-2026")</f>
        <v/>
      </c>
      <c r="T37">
        <f>HYPERLINK("https://klasma.github.io/Logging_0580/kartor/A 3912-2026 karta.png", "A 3912-2026")</f>
        <v/>
      </c>
      <c r="U37">
        <f>HYPERLINK("https://klasma.github.io/Logging_0580/knärot/A 3912-2026 karta knärot.png", "A 3912-2026")</f>
        <v/>
      </c>
      <c r="V37">
        <f>HYPERLINK("https://klasma.github.io/Logging_0580/klagomål/A 3912-2026 FSC-klagomål.docx", "A 3912-2026")</f>
        <v/>
      </c>
      <c r="W37">
        <f>HYPERLINK("https://klasma.github.io/Logging_0580/klagomålsmail/A 3912-2026 FSC-klagomål mail.docx", "A 3912-2026")</f>
        <v/>
      </c>
      <c r="X37">
        <f>HYPERLINK("https://klasma.github.io/Logging_0580/tillsyn/A 3912-2026 tillsynsbegäran.docx", "A 3912-2026")</f>
        <v/>
      </c>
      <c r="Y37">
        <f>HYPERLINK("https://klasma.github.io/Logging_0580/tillsynsmail/A 3912-2026 tillsynsbegäran mail.docx", "A 3912-2026")</f>
        <v/>
      </c>
    </row>
    <row r="38" ht="15" customHeight="1">
      <c r="A38" t="inlineStr">
        <is>
          <t>A 20292-2025</t>
        </is>
      </c>
      <c r="B38" s="1" t="n">
        <v>45774.7449537037</v>
      </c>
      <c r="C38" s="1" t="n">
        <v>46072</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46072</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41751-2023</t>
        </is>
      </c>
      <c r="B40" s="1" t="n">
        <v>45176</v>
      </c>
      <c r="C40" s="1" t="n">
        <v>46072</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42858-2023</t>
        </is>
      </c>
      <c r="B41" s="1" t="n">
        <v>45177</v>
      </c>
      <c r="C41" s="1" t="n">
        <v>46072</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55344-2024</t>
        </is>
      </c>
      <c r="B42" s="1" t="n">
        <v>45621.7202662037</v>
      </c>
      <c r="C42" s="1" t="n">
        <v>46072</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21326-2025</t>
        </is>
      </c>
      <c r="B43" s="1" t="n">
        <v>45782.35407407407</v>
      </c>
      <c r="C43" s="1" t="n">
        <v>46072</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38129-2021</t>
        </is>
      </c>
      <c r="B44" s="1" t="n">
        <v>44405.37199074074</v>
      </c>
      <c r="C44" s="1" t="n">
        <v>46072</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46072</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46072</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46072</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46072</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46072</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46072</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46072</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46072</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46072</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46072</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41749-2023</t>
        </is>
      </c>
      <c r="B55" s="1" t="n">
        <v>45176</v>
      </c>
      <c r="C55" s="1" t="n">
        <v>46072</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41749-2023 artfynd.xlsx", "A 41749-2023")</f>
        <v/>
      </c>
      <c r="T55">
        <f>HYPERLINK("https://klasma.github.io/Logging_0580/kartor/A 41749-2023 karta.png", "A 41749-2023")</f>
        <v/>
      </c>
      <c r="V55">
        <f>HYPERLINK("https://klasma.github.io/Logging_0580/klagomål/A 41749-2023 FSC-klagomål.docx", "A 41749-2023")</f>
        <v/>
      </c>
      <c r="W55">
        <f>HYPERLINK("https://klasma.github.io/Logging_0580/klagomålsmail/A 41749-2023 FSC-klagomål mail.docx", "A 41749-2023")</f>
        <v/>
      </c>
      <c r="X55">
        <f>HYPERLINK("https://klasma.github.io/Logging_0580/tillsyn/A 41749-2023 tillsynsbegäran.docx", "A 41749-2023")</f>
        <v/>
      </c>
      <c r="Y55">
        <f>HYPERLINK("https://klasma.github.io/Logging_0580/tillsynsmail/A 41749-2023 tillsynsbegäran mail.docx", "A 41749-2023")</f>
        <v/>
      </c>
    </row>
    <row r="56" ht="15" customHeight="1">
      <c r="A56" t="inlineStr">
        <is>
          <t>A 56112-2025</t>
        </is>
      </c>
      <c r="B56" s="1" t="n">
        <v>45973.73625</v>
      </c>
      <c r="C56" s="1" t="n">
        <v>46072</v>
      </c>
      <c r="D56" t="inlineStr">
        <is>
          <t>ÖSTERGÖTLANDS LÄN</t>
        </is>
      </c>
      <c r="E56" t="inlineStr">
        <is>
          <t>LINKÖPING</t>
        </is>
      </c>
      <c r="G56" t="n">
        <v>0.6</v>
      </c>
      <c r="H56" t="n">
        <v>0</v>
      </c>
      <c r="I56" t="n">
        <v>0</v>
      </c>
      <c r="J56" t="n">
        <v>1</v>
      </c>
      <c r="K56" t="n">
        <v>0</v>
      </c>
      <c r="L56" t="n">
        <v>0</v>
      </c>
      <c r="M56" t="n">
        <v>0</v>
      </c>
      <c r="N56" t="n">
        <v>0</v>
      </c>
      <c r="O56" t="n">
        <v>1</v>
      </c>
      <c r="P56" t="n">
        <v>0</v>
      </c>
      <c r="Q56" t="n">
        <v>1</v>
      </c>
      <c r="R56" s="2" t="inlineStr">
        <is>
          <t>Solvända</t>
        </is>
      </c>
      <c r="S56">
        <f>HYPERLINK("https://klasma.github.io/Logging_0580/artfynd/A 56112-2025 artfynd.xlsx", "A 56112-2025")</f>
        <v/>
      </c>
      <c r="T56">
        <f>HYPERLINK("https://klasma.github.io/Logging_0580/kartor/A 56112-2025 karta.png", "A 56112-2025")</f>
        <v/>
      </c>
      <c r="V56">
        <f>HYPERLINK("https://klasma.github.io/Logging_0580/klagomål/A 56112-2025 FSC-klagomål.docx", "A 56112-2025")</f>
        <v/>
      </c>
      <c r="W56">
        <f>HYPERLINK("https://klasma.github.io/Logging_0580/klagomålsmail/A 56112-2025 FSC-klagomål mail.docx", "A 56112-2025")</f>
        <v/>
      </c>
      <c r="X56">
        <f>HYPERLINK("https://klasma.github.io/Logging_0580/tillsyn/A 56112-2025 tillsynsbegäran.docx", "A 56112-2025")</f>
        <v/>
      </c>
      <c r="Y56">
        <f>HYPERLINK("https://klasma.github.io/Logging_0580/tillsynsmail/A 56112-2025 tillsynsbegäran mail.docx", "A 56112-2025")</f>
        <v/>
      </c>
    </row>
    <row r="57" ht="15" customHeight="1">
      <c r="A57" t="inlineStr">
        <is>
          <t>A 22526-2025</t>
        </is>
      </c>
      <c r="B57" s="1" t="n">
        <v>45786.78096064815</v>
      </c>
      <c r="C57" s="1" t="n">
        <v>46072</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59948-2022</t>
        </is>
      </c>
      <c r="B58" s="1" t="n">
        <v>44909</v>
      </c>
      <c r="C58" s="1" t="n">
        <v>46072</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27403-2025</t>
        </is>
      </c>
      <c r="B59" s="1" t="n">
        <v>45812.72518518518</v>
      </c>
      <c r="C59" s="1" t="n">
        <v>46072</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43989-2025</t>
        </is>
      </c>
      <c r="B60" s="1" t="n">
        <v>45915.44128472222</v>
      </c>
      <c r="C60" s="1" t="n">
        <v>46072</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44760-2025</t>
        </is>
      </c>
      <c r="B61" s="1" t="n">
        <v>45917.71873842592</v>
      </c>
      <c r="C61" s="1" t="n">
        <v>46072</v>
      </c>
      <c r="D61" t="inlineStr">
        <is>
          <t>ÖSTERGÖTLANDS LÄN</t>
        </is>
      </c>
      <c r="E61" t="inlineStr">
        <is>
          <t>LINKÖPING</t>
        </is>
      </c>
      <c r="G61" t="n">
        <v>0.9</v>
      </c>
      <c r="H61" t="n">
        <v>0</v>
      </c>
      <c r="I61" t="n">
        <v>0</v>
      </c>
      <c r="J61" t="n">
        <v>1</v>
      </c>
      <c r="K61" t="n">
        <v>0</v>
      </c>
      <c r="L61" t="n">
        <v>0</v>
      </c>
      <c r="M61" t="n">
        <v>0</v>
      </c>
      <c r="N61" t="n">
        <v>0</v>
      </c>
      <c r="O61" t="n">
        <v>1</v>
      </c>
      <c r="P61" t="n">
        <v>0</v>
      </c>
      <c r="Q61" t="n">
        <v>1</v>
      </c>
      <c r="R61" s="2" t="inlineStr">
        <is>
          <t>Tallticka</t>
        </is>
      </c>
      <c r="S61">
        <f>HYPERLINK("https://klasma.github.io/Logging_0580/artfynd/A 44760-2025 artfynd.xlsx", "A 44760-2025")</f>
        <v/>
      </c>
      <c r="T61">
        <f>HYPERLINK("https://klasma.github.io/Logging_0580/kartor/A 44760-2025 karta.png", "A 44760-2025")</f>
        <v/>
      </c>
      <c r="V61">
        <f>HYPERLINK("https://klasma.github.io/Logging_0580/klagomål/A 44760-2025 FSC-klagomål.docx", "A 44760-2025")</f>
        <v/>
      </c>
      <c r="W61">
        <f>HYPERLINK("https://klasma.github.io/Logging_0580/klagomålsmail/A 44760-2025 FSC-klagomål mail.docx", "A 44760-2025")</f>
        <v/>
      </c>
      <c r="X61">
        <f>HYPERLINK("https://klasma.github.io/Logging_0580/tillsyn/A 44760-2025 tillsynsbegäran.docx", "A 44760-2025")</f>
        <v/>
      </c>
      <c r="Y61">
        <f>HYPERLINK("https://klasma.github.io/Logging_0580/tillsynsmail/A 44760-2025 tillsynsbegäran mail.docx", "A 44760-2025")</f>
        <v/>
      </c>
    </row>
    <row r="62" ht="15" customHeight="1">
      <c r="A62" t="inlineStr">
        <is>
          <t>A 37683-2024</t>
        </is>
      </c>
      <c r="B62" s="1" t="n">
        <v>45541.59120370371</v>
      </c>
      <c r="C62" s="1" t="n">
        <v>46072</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48347-2025</t>
        </is>
      </c>
      <c r="B63" s="1" t="n">
        <v>45932</v>
      </c>
      <c r="C63" s="1" t="n">
        <v>46072</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48353-2025</t>
        </is>
      </c>
      <c r="B64" s="1" t="n">
        <v>45932</v>
      </c>
      <c r="C64" s="1" t="n">
        <v>46072</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48273-2025</t>
        </is>
      </c>
      <c r="B65" s="1" t="n">
        <v>45932</v>
      </c>
      <c r="C65" s="1" t="n">
        <v>46072</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46072</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50034-2025</t>
        </is>
      </c>
      <c r="B67" s="1" t="n">
        <v>45941</v>
      </c>
      <c r="C67" s="1" t="n">
        <v>46072</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56651-2023</t>
        </is>
      </c>
      <c r="B68" s="1" t="n">
        <v>45243</v>
      </c>
      <c r="C68" s="1" t="n">
        <v>46072</v>
      </c>
      <c r="D68" t="inlineStr">
        <is>
          <t>ÖSTERGÖTLANDS LÄN</t>
        </is>
      </c>
      <c r="E68" t="inlineStr">
        <is>
          <t>LINKÖPING</t>
        </is>
      </c>
      <c r="F68" t="inlineStr">
        <is>
          <t>Övriga Aktiebolag</t>
        </is>
      </c>
      <c r="G68" t="n">
        <v>2.3</v>
      </c>
      <c r="H68" t="n">
        <v>0</v>
      </c>
      <c r="I68" t="n">
        <v>0</v>
      </c>
      <c r="J68" t="n">
        <v>1</v>
      </c>
      <c r="K68" t="n">
        <v>0</v>
      </c>
      <c r="L68" t="n">
        <v>0</v>
      </c>
      <c r="M68" t="n">
        <v>0</v>
      </c>
      <c r="N68" t="n">
        <v>0</v>
      </c>
      <c r="O68" t="n">
        <v>1</v>
      </c>
      <c r="P68" t="n">
        <v>0</v>
      </c>
      <c r="Q68" t="n">
        <v>1</v>
      </c>
      <c r="R68" s="2" t="inlineStr">
        <is>
          <t>Gul dropplav</t>
        </is>
      </c>
      <c r="S68">
        <f>HYPERLINK("https://klasma.github.io/Logging_0580/artfynd/A 56651-2023 artfynd.xlsx", "A 56651-2023")</f>
        <v/>
      </c>
      <c r="T68">
        <f>HYPERLINK("https://klasma.github.io/Logging_0580/kartor/A 56651-2023 karta.png", "A 56651-2023")</f>
        <v/>
      </c>
      <c r="V68">
        <f>HYPERLINK("https://klasma.github.io/Logging_0580/klagomål/A 56651-2023 FSC-klagomål.docx", "A 56651-2023")</f>
        <v/>
      </c>
      <c r="W68">
        <f>HYPERLINK("https://klasma.github.io/Logging_0580/klagomålsmail/A 56651-2023 FSC-klagomål mail.docx", "A 56651-2023")</f>
        <v/>
      </c>
      <c r="X68">
        <f>HYPERLINK("https://klasma.github.io/Logging_0580/tillsyn/A 56651-2023 tillsynsbegäran.docx", "A 56651-2023")</f>
        <v/>
      </c>
      <c r="Y68">
        <f>HYPERLINK("https://klasma.github.io/Logging_0580/tillsynsmail/A 56651-2023 tillsynsbegäran mail.docx", "A 56651-2023")</f>
        <v/>
      </c>
    </row>
    <row r="69" ht="15" customHeight="1">
      <c r="A69" t="inlineStr">
        <is>
          <t>A 36723-2023</t>
        </is>
      </c>
      <c r="B69" s="1" t="n">
        <v>45153</v>
      </c>
      <c r="C69" s="1" t="n">
        <v>46072</v>
      </c>
      <c r="D69" t="inlineStr">
        <is>
          <t>ÖSTERGÖTLANDS LÄN</t>
        </is>
      </c>
      <c r="E69" t="inlineStr">
        <is>
          <t>LINKÖPING</t>
        </is>
      </c>
      <c r="F69" t="inlineStr">
        <is>
          <t>Allmännings- och besparingsskogar</t>
        </is>
      </c>
      <c r="G69" t="n">
        <v>9.9</v>
      </c>
      <c r="H69" t="n">
        <v>0</v>
      </c>
      <c r="I69" t="n">
        <v>0</v>
      </c>
      <c r="J69" t="n">
        <v>0</v>
      </c>
      <c r="K69" t="n">
        <v>1</v>
      </c>
      <c r="L69" t="n">
        <v>0</v>
      </c>
      <c r="M69" t="n">
        <v>0</v>
      </c>
      <c r="N69" t="n">
        <v>0</v>
      </c>
      <c r="O69" t="n">
        <v>1</v>
      </c>
      <c r="P69" t="n">
        <v>1</v>
      </c>
      <c r="Q69" t="n">
        <v>1</v>
      </c>
      <c r="R69" s="2" t="inlineStr">
        <is>
          <t>Bitter taggsvamp</t>
        </is>
      </c>
      <c r="S69">
        <f>HYPERLINK("https://klasma.github.io/Logging_0580/artfynd/A 36723-2023 artfynd.xlsx", "A 36723-2023")</f>
        <v/>
      </c>
      <c r="T69">
        <f>HYPERLINK("https://klasma.github.io/Logging_0580/kartor/A 36723-2023 karta.png", "A 36723-2023")</f>
        <v/>
      </c>
      <c r="V69">
        <f>HYPERLINK("https://klasma.github.io/Logging_0580/klagomål/A 36723-2023 FSC-klagomål.docx", "A 36723-2023")</f>
        <v/>
      </c>
      <c r="W69">
        <f>HYPERLINK("https://klasma.github.io/Logging_0580/klagomålsmail/A 36723-2023 FSC-klagomål mail.docx", "A 36723-2023")</f>
        <v/>
      </c>
      <c r="X69">
        <f>HYPERLINK("https://klasma.github.io/Logging_0580/tillsyn/A 36723-2023 tillsynsbegäran.docx", "A 36723-2023")</f>
        <v/>
      </c>
      <c r="Y69">
        <f>HYPERLINK("https://klasma.github.io/Logging_0580/tillsynsmail/A 36723-2023 tillsynsbegäran mail.docx", "A 36723-2023")</f>
        <v/>
      </c>
    </row>
    <row r="70" ht="15" customHeight="1">
      <c r="A70" t="inlineStr">
        <is>
          <t>A 17444-2025</t>
        </is>
      </c>
      <c r="B70" s="1" t="n">
        <v>45757.43452546297</v>
      </c>
      <c r="C70" s="1" t="n">
        <v>46072</v>
      </c>
      <c r="D70" t="inlineStr">
        <is>
          <t>ÖSTERGÖTLANDS LÄN</t>
        </is>
      </c>
      <c r="E70" t="inlineStr">
        <is>
          <t>LINKÖPING</t>
        </is>
      </c>
      <c r="G70" t="n">
        <v>1.3</v>
      </c>
      <c r="H70" t="n">
        <v>1</v>
      </c>
      <c r="I70" t="n">
        <v>0</v>
      </c>
      <c r="J70" t="n">
        <v>1</v>
      </c>
      <c r="K70" t="n">
        <v>0</v>
      </c>
      <c r="L70" t="n">
        <v>0</v>
      </c>
      <c r="M70" t="n">
        <v>0</v>
      </c>
      <c r="N70" t="n">
        <v>0</v>
      </c>
      <c r="O70" t="n">
        <v>1</v>
      </c>
      <c r="P70" t="n">
        <v>0</v>
      </c>
      <c r="Q70" t="n">
        <v>1</v>
      </c>
      <c r="R70" s="2" t="inlineStr">
        <is>
          <t>Dårgräsfjäril</t>
        </is>
      </c>
      <c r="S70">
        <f>HYPERLINK("https://klasma.github.io/Logging_0580/artfynd/A 17444-2025 artfynd.xlsx", "A 17444-2025")</f>
        <v/>
      </c>
      <c r="T70">
        <f>HYPERLINK("https://klasma.github.io/Logging_0580/kartor/A 17444-2025 karta.png", "A 17444-2025")</f>
        <v/>
      </c>
      <c r="V70">
        <f>HYPERLINK("https://klasma.github.io/Logging_0580/klagomål/A 17444-2025 FSC-klagomål.docx", "A 17444-2025")</f>
        <v/>
      </c>
      <c r="W70">
        <f>HYPERLINK("https://klasma.github.io/Logging_0580/klagomålsmail/A 17444-2025 FSC-klagomål mail.docx", "A 17444-2025")</f>
        <v/>
      </c>
      <c r="X70">
        <f>HYPERLINK("https://klasma.github.io/Logging_0580/tillsyn/A 17444-2025 tillsynsbegäran.docx", "A 17444-2025")</f>
        <v/>
      </c>
      <c r="Y70">
        <f>HYPERLINK("https://klasma.github.io/Logging_0580/tillsynsmail/A 17444-2025 tillsynsbegäran mail.docx", "A 17444-2025")</f>
        <v/>
      </c>
    </row>
    <row r="71" ht="15" customHeight="1">
      <c r="A71" t="inlineStr">
        <is>
          <t>A 5911-2022</t>
        </is>
      </c>
      <c r="B71" s="1" t="n">
        <v>44597</v>
      </c>
      <c r="C71" s="1" t="n">
        <v>46072</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90-2024</t>
        </is>
      </c>
      <c r="B72" s="1" t="n">
        <v>45293</v>
      </c>
      <c r="C72" s="1" t="n">
        <v>46072</v>
      </c>
      <c r="D72" t="inlineStr">
        <is>
          <t>ÖSTERGÖTLANDS LÄN</t>
        </is>
      </c>
      <c r="E72" t="inlineStr">
        <is>
          <t>LINKÖPING</t>
        </is>
      </c>
      <c r="G72" t="n">
        <v>1.8</v>
      </c>
      <c r="H72" t="n">
        <v>0</v>
      </c>
      <c r="I72" t="n">
        <v>1</v>
      </c>
      <c r="J72" t="n">
        <v>0</v>
      </c>
      <c r="K72" t="n">
        <v>0</v>
      </c>
      <c r="L72" t="n">
        <v>0</v>
      </c>
      <c r="M72" t="n">
        <v>0</v>
      </c>
      <c r="N72" t="n">
        <v>0</v>
      </c>
      <c r="O72" t="n">
        <v>0</v>
      </c>
      <c r="P72" t="n">
        <v>0</v>
      </c>
      <c r="Q72" t="n">
        <v>1</v>
      </c>
      <c r="R72" s="2" t="inlineStr">
        <is>
          <t>Grov fjädermossa</t>
        </is>
      </c>
      <c r="S72">
        <f>HYPERLINK("https://klasma.github.io/Logging_0580/artfynd/A 90-2024 artfynd.xlsx", "A 90-2024")</f>
        <v/>
      </c>
      <c r="T72">
        <f>HYPERLINK("https://klasma.github.io/Logging_0580/kartor/A 90-2024 karta.png", "A 90-2024")</f>
        <v/>
      </c>
      <c r="V72">
        <f>HYPERLINK("https://klasma.github.io/Logging_0580/klagomål/A 90-2024 FSC-klagomål.docx", "A 90-2024")</f>
        <v/>
      </c>
      <c r="W72">
        <f>HYPERLINK("https://klasma.github.io/Logging_0580/klagomålsmail/A 90-2024 FSC-klagomål mail.docx", "A 90-2024")</f>
        <v/>
      </c>
      <c r="X72">
        <f>HYPERLINK("https://klasma.github.io/Logging_0580/tillsyn/A 90-2024 tillsynsbegäran.docx", "A 90-2024")</f>
        <v/>
      </c>
      <c r="Y72">
        <f>HYPERLINK("https://klasma.github.io/Logging_0580/tillsynsmail/A 90-2024 tillsynsbegäran mail.docx", "A 90-2024")</f>
        <v/>
      </c>
    </row>
    <row r="73" ht="15" customHeight="1">
      <c r="A73" t="inlineStr">
        <is>
          <t>A 59474-2025</t>
        </is>
      </c>
      <c r="B73" s="1" t="n">
        <v>45989.58512731481</v>
      </c>
      <c r="C73" s="1" t="n">
        <v>46072</v>
      </c>
      <c r="D73" t="inlineStr">
        <is>
          <t>ÖSTERGÖTLANDS LÄN</t>
        </is>
      </c>
      <c r="E73" t="inlineStr">
        <is>
          <t>LINKÖPING</t>
        </is>
      </c>
      <c r="G73" t="n">
        <v>8</v>
      </c>
      <c r="H73" t="n">
        <v>0</v>
      </c>
      <c r="I73" t="n">
        <v>1</v>
      </c>
      <c r="J73" t="n">
        <v>0</v>
      </c>
      <c r="K73" t="n">
        <v>0</v>
      </c>
      <c r="L73" t="n">
        <v>0</v>
      </c>
      <c r="M73" t="n">
        <v>0</v>
      </c>
      <c r="N73" t="n">
        <v>0</v>
      </c>
      <c r="O73" t="n">
        <v>0</v>
      </c>
      <c r="P73" t="n">
        <v>0</v>
      </c>
      <c r="Q73" t="n">
        <v>1</v>
      </c>
      <c r="R73" s="2" t="inlineStr">
        <is>
          <t>Fällmossa</t>
        </is>
      </c>
      <c r="S73">
        <f>HYPERLINK("https://klasma.github.io/Logging_0580/artfynd/A 59474-2025 artfynd.xlsx", "A 59474-2025")</f>
        <v/>
      </c>
      <c r="T73">
        <f>HYPERLINK("https://klasma.github.io/Logging_0580/kartor/A 59474-2025 karta.png", "A 59474-2025")</f>
        <v/>
      </c>
      <c r="V73">
        <f>HYPERLINK("https://klasma.github.io/Logging_0580/klagomål/A 59474-2025 FSC-klagomål.docx", "A 59474-2025")</f>
        <v/>
      </c>
      <c r="W73">
        <f>HYPERLINK("https://klasma.github.io/Logging_0580/klagomålsmail/A 59474-2025 FSC-klagomål mail.docx", "A 59474-2025")</f>
        <v/>
      </c>
      <c r="X73">
        <f>HYPERLINK("https://klasma.github.io/Logging_0580/tillsyn/A 59474-2025 tillsynsbegäran.docx", "A 59474-2025")</f>
        <v/>
      </c>
      <c r="Y73">
        <f>HYPERLINK("https://klasma.github.io/Logging_0580/tillsynsmail/A 59474-2025 tillsynsbegäran mail.docx", "A 59474-2025")</f>
        <v/>
      </c>
    </row>
    <row r="74" ht="15" customHeight="1">
      <c r="A74" t="inlineStr">
        <is>
          <t>A 40315-2024</t>
        </is>
      </c>
      <c r="B74" s="1" t="n">
        <v>45554.7571875</v>
      </c>
      <c r="C74" s="1" t="n">
        <v>46072</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60311-2025</t>
        </is>
      </c>
      <c r="B75" s="1" t="n">
        <v>45994</v>
      </c>
      <c r="C75" s="1" t="n">
        <v>46072</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Gammelekslav</t>
        </is>
      </c>
      <c r="S75">
        <f>HYPERLINK("https://klasma.github.io/Logging_0580/artfynd/A 60311-2025 artfynd.xlsx", "A 60311-2025")</f>
        <v/>
      </c>
      <c r="T75">
        <f>HYPERLINK("https://klasma.github.io/Logging_0580/kartor/A 60311-2025 karta.png", "A 60311-2025")</f>
        <v/>
      </c>
      <c r="V75">
        <f>HYPERLINK("https://klasma.github.io/Logging_0580/klagomål/A 60311-2025 FSC-klagomål.docx", "A 60311-2025")</f>
        <v/>
      </c>
      <c r="W75">
        <f>HYPERLINK("https://klasma.github.io/Logging_0580/klagomålsmail/A 60311-2025 FSC-klagomål mail.docx", "A 60311-2025")</f>
        <v/>
      </c>
      <c r="X75">
        <f>HYPERLINK("https://klasma.github.io/Logging_0580/tillsyn/A 60311-2025 tillsynsbegäran.docx", "A 60311-2025")</f>
        <v/>
      </c>
      <c r="Y75">
        <f>HYPERLINK("https://klasma.github.io/Logging_0580/tillsynsmail/A 60311-2025 tillsynsbegäran mail.docx", "A 60311-2025")</f>
        <v/>
      </c>
    </row>
    <row r="76" ht="15" customHeight="1">
      <c r="A76" t="inlineStr">
        <is>
          <t>A 15290-2025</t>
        </is>
      </c>
      <c r="B76" s="1" t="n">
        <v>45745.45288194445</v>
      </c>
      <c r="C76" s="1" t="n">
        <v>46072</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34881-2023</t>
        </is>
      </c>
      <c r="B77" s="1" t="n">
        <v>45140</v>
      </c>
      <c r="C77" s="1" t="n">
        <v>46072</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Tallticka</t>
        </is>
      </c>
      <c r="S77">
        <f>HYPERLINK("https://klasma.github.io/Logging_0580/artfynd/A 34881-2023 artfynd.xlsx", "A 34881-2023")</f>
        <v/>
      </c>
      <c r="T77">
        <f>HYPERLINK("https://klasma.github.io/Logging_0580/kartor/A 34881-2023 karta.png", "A 34881-2023")</f>
        <v/>
      </c>
      <c r="U77">
        <f>HYPERLINK("https://klasma.github.io/Logging_0580/knärot/A 34881-2023 karta knärot.png", "A 34881-2023")</f>
        <v/>
      </c>
      <c r="V77">
        <f>HYPERLINK("https://klasma.github.io/Logging_0580/klagomål/A 34881-2023 FSC-klagomål.docx", "A 34881-2023")</f>
        <v/>
      </c>
      <c r="W77">
        <f>HYPERLINK("https://klasma.github.io/Logging_0580/klagomålsmail/A 34881-2023 FSC-klagomål mail.docx", "A 34881-2023")</f>
        <v/>
      </c>
      <c r="X77">
        <f>HYPERLINK("https://klasma.github.io/Logging_0580/tillsyn/A 34881-2023 tillsynsbegäran.docx", "A 34881-2023")</f>
        <v/>
      </c>
      <c r="Y77">
        <f>HYPERLINK("https://klasma.github.io/Logging_0580/tillsynsmail/A 34881-2023 tillsynsbegäran mail.docx", "A 34881-2023")</f>
        <v/>
      </c>
    </row>
    <row r="78" ht="15" customHeight="1">
      <c r="A78" t="inlineStr">
        <is>
          <t>A 50471-2024</t>
        </is>
      </c>
      <c r="B78" s="1" t="n">
        <v>45601.47166666666</v>
      </c>
      <c r="C78" s="1" t="n">
        <v>46072</v>
      </c>
      <c r="D78" t="inlineStr">
        <is>
          <t>ÖSTERGÖTLANDS LÄN</t>
        </is>
      </c>
      <c r="E78" t="inlineStr">
        <is>
          <t>LINKÖPING</t>
        </is>
      </c>
      <c r="F78" t="inlineStr">
        <is>
          <t>Övriga Aktiebolag</t>
        </is>
      </c>
      <c r="G78" t="n">
        <v>2</v>
      </c>
      <c r="H78" t="n">
        <v>0</v>
      </c>
      <c r="I78" t="n">
        <v>1</v>
      </c>
      <c r="J78" t="n">
        <v>0</v>
      </c>
      <c r="K78" t="n">
        <v>0</v>
      </c>
      <c r="L78" t="n">
        <v>0</v>
      </c>
      <c r="M78" t="n">
        <v>0</v>
      </c>
      <c r="N78" t="n">
        <v>0</v>
      </c>
      <c r="O78" t="n">
        <v>0</v>
      </c>
      <c r="P78" t="n">
        <v>0</v>
      </c>
      <c r="Q78" t="n">
        <v>1</v>
      </c>
      <c r="R78" s="2" t="inlineStr">
        <is>
          <t>Västlig hakmossa</t>
        </is>
      </c>
      <c r="S78">
        <f>HYPERLINK("https://klasma.github.io/Logging_0580/artfynd/A 50471-2024 artfynd.xlsx", "A 50471-2024")</f>
        <v/>
      </c>
      <c r="T78">
        <f>HYPERLINK("https://klasma.github.io/Logging_0580/kartor/A 50471-2024 karta.png", "A 50471-2024")</f>
        <v/>
      </c>
      <c r="V78">
        <f>HYPERLINK("https://klasma.github.io/Logging_0580/klagomål/A 50471-2024 FSC-klagomål.docx", "A 50471-2024")</f>
        <v/>
      </c>
      <c r="W78">
        <f>HYPERLINK("https://klasma.github.io/Logging_0580/klagomålsmail/A 50471-2024 FSC-klagomål mail.docx", "A 50471-2024")</f>
        <v/>
      </c>
      <c r="X78">
        <f>HYPERLINK("https://klasma.github.io/Logging_0580/tillsyn/A 50471-2024 tillsynsbegäran.docx", "A 50471-2024")</f>
        <v/>
      </c>
      <c r="Y78">
        <f>HYPERLINK("https://klasma.github.io/Logging_0580/tillsynsmail/A 50471-2024 tillsynsbegäran mail.docx", "A 50471-2024")</f>
        <v/>
      </c>
    </row>
    <row r="79" ht="15" customHeight="1">
      <c r="A79" t="inlineStr">
        <is>
          <t>A 17389-2021</t>
        </is>
      </c>
      <c r="B79" s="1" t="n">
        <v>44298.96792824074</v>
      </c>
      <c r="C79" s="1" t="n">
        <v>46072</v>
      </c>
      <c r="D79" t="inlineStr">
        <is>
          <t>ÖSTERGÖTLANDS LÄN</t>
        </is>
      </c>
      <c r="E79" t="inlineStr">
        <is>
          <t>LINKÖPING</t>
        </is>
      </c>
      <c r="G79" t="n">
        <v>5.1</v>
      </c>
      <c r="H79" t="n">
        <v>0</v>
      </c>
      <c r="I79" t="n">
        <v>1</v>
      </c>
      <c r="J79" t="n">
        <v>0</v>
      </c>
      <c r="K79" t="n">
        <v>0</v>
      </c>
      <c r="L79" t="n">
        <v>0</v>
      </c>
      <c r="M79" t="n">
        <v>0</v>
      </c>
      <c r="N79" t="n">
        <v>0</v>
      </c>
      <c r="O79" t="n">
        <v>0</v>
      </c>
      <c r="P79" t="n">
        <v>0</v>
      </c>
      <c r="Q79" t="n">
        <v>1</v>
      </c>
      <c r="R79" s="2" t="inlineStr">
        <is>
          <t>Blomkålssvamp</t>
        </is>
      </c>
      <c r="S79">
        <f>HYPERLINK("https://klasma.github.io/Logging_0580/artfynd/A 17389-2021 artfynd.xlsx", "A 17389-2021")</f>
        <v/>
      </c>
      <c r="T79">
        <f>HYPERLINK("https://klasma.github.io/Logging_0580/kartor/A 17389-2021 karta.png", "A 17389-2021")</f>
        <v/>
      </c>
      <c r="V79">
        <f>HYPERLINK("https://klasma.github.io/Logging_0580/klagomål/A 17389-2021 FSC-klagomål.docx", "A 17389-2021")</f>
        <v/>
      </c>
      <c r="W79">
        <f>HYPERLINK("https://klasma.github.io/Logging_0580/klagomålsmail/A 17389-2021 FSC-klagomål mail.docx", "A 17389-2021")</f>
        <v/>
      </c>
      <c r="X79">
        <f>HYPERLINK("https://klasma.github.io/Logging_0580/tillsyn/A 17389-2021 tillsynsbegäran.docx", "A 17389-2021")</f>
        <v/>
      </c>
      <c r="Y79">
        <f>HYPERLINK("https://klasma.github.io/Logging_0580/tillsynsmail/A 17389-2021 tillsynsbegäran mail.docx", "A 17389-2021")</f>
        <v/>
      </c>
    </row>
    <row r="80" ht="15" customHeight="1">
      <c r="A80" t="inlineStr">
        <is>
          <t>A 56128-2022</t>
        </is>
      </c>
      <c r="B80" s="1" t="n">
        <v>44889</v>
      </c>
      <c r="C80" s="1" t="n">
        <v>46072</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46072</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46072</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7186-2026</t>
        </is>
      </c>
      <c r="B83" s="1" t="n">
        <v>46058.49090277778</v>
      </c>
      <c r="C83" s="1" t="n">
        <v>46072</v>
      </c>
      <c r="D83" t="inlineStr">
        <is>
          <t>ÖSTERGÖTLANDS LÄN</t>
        </is>
      </c>
      <c r="E83" t="inlineStr">
        <is>
          <t>LINKÖPING</t>
        </is>
      </c>
      <c r="G83" t="n">
        <v>5.5</v>
      </c>
      <c r="H83" t="n">
        <v>0</v>
      </c>
      <c r="I83" t="n">
        <v>1</v>
      </c>
      <c r="J83" t="n">
        <v>0</v>
      </c>
      <c r="K83" t="n">
        <v>0</v>
      </c>
      <c r="L83" t="n">
        <v>0</v>
      </c>
      <c r="M83" t="n">
        <v>0</v>
      </c>
      <c r="N83" t="n">
        <v>0</v>
      </c>
      <c r="O83" t="n">
        <v>0</v>
      </c>
      <c r="P83" t="n">
        <v>0</v>
      </c>
      <c r="Q83" t="n">
        <v>1</v>
      </c>
      <c r="R83" s="2" t="inlineStr">
        <is>
          <t>Grönpyrola</t>
        </is>
      </c>
      <c r="S83">
        <f>HYPERLINK("https://klasma.github.io/Logging_0580/artfynd/A 7186-2026 artfynd.xlsx", "A 7186-2026")</f>
        <v/>
      </c>
      <c r="T83">
        <f>HYPERLINK("https://klasma.github.io/Logging_0580/kartor/A 7186-2026 karta.png", "A 7186-2026")</f>
        <v/>
      </c>
      <c r="V83">
        <f>HYPERLINK("https://klasma.github.io/Logging_0580/klagomål/A 7186-2026 FSC-klagomål.docx", "A 7186-2026")</f>
        <v/>
      </c>
      <c r="W83">
        <f>HYPERLINK("https://klasma.github.io/Logging_0580/klagomålsmail/A 7186-2026 FSC-klagomål mail.docx", "A 7186-2026")</f>
        <v/>
      </c>
      <c r="X83">
        <f>HYPERLINK("https://klasma.github.io/Logging_0580/tillsyn/A 7186-2026 tillsynsbegäran.docx", "A 7186-2026")</f>
        <v/>
      </c>
      <c r="Y83">
        <f>HYPERLINK("https://klasma.github.io/Logging_0580/tillsynsmail/A 7186-2026 tillsynsbegäran mail.docx", "A 7186-2026")</f>
        <v/>
      </c>
    </row>
    <row r="84" ht="15" customHeight="1">
      <c r="A84" t="inlineStr">
        <is>
          <t>A 126-2024</t>
        </is>
      </c>
      <c r="B84" s="1" t="n">
        <v>45294</v>
      </c>
      <c r="C84" s="1" t="n">
        <v>46072</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3395-2023</t>
        </is>
      </c>
      <c r="B85" s="1" t="n">
        <v>44949</v>
      </c>
      <c r="C85" s="1" t="n">
        <v>46072</v>
      </c>
      <c r="D85" t="inlineStr">
        <is>
          <t>ÖSTERGÖTLANDS LÄN</t>
        </is>
      </c>
      <c r="E85" t="inlineStr">
        <is>
          <t>LINKÖPING</t>
        </is>
      </c>
      <c r="G85" t="n">
        <v>2</v>
      </c>
      <c r="H85" t="n">
        <v>0</v>
      </c>
      <c r="I85" t="n">
        <v>0</v>
      </c>
      <c r="J85" t="n">
        <v>1</v>
      </c>
      <c r="K85" t="n">
        <v>0</v>
      </c>
      <c r="L85" t="n">
        <v>0</v>
      </c>
      <c r="M85" t="n">
        <v>0</v>
      </c>
      <c r="N85" t="n">
        <v>0</v>
      </c>
      <c r="O85" t="n">
        <v>1</v>
      </c>
      <c r="P85" t="n">
        <v>0</v>
      </c>
      <c r="Q85" t="n">
        <v>1</v>
      </c>
      <c r="R85" s="2" t="inlineStr">
        <is>
          <t>Sommarfibbla</t>
        </is>
      </c>
      <c r="S85">
        <f>HYPERLINK("https://klasma.github.io/Logging_0580/artfynd/A 3395-2023 artfynd.xlsx", "A 3395-2023")</f>
        <v/>
      </c>
      <c r="T85">
        <f>HYPERLINK("https://klasma.github.io/Logging_0580/kartor/A 3395-2023 karta.png", "A 3395-2023")</f>
        <v/>
      </c>
      <c r="V85">
        <f>HYPERLINK("https://klasma.github.io/Logging_0580/klagomål/A 3395-2023 FSC-klagomål.docx", "A 3395-2023")</f>
        <v/>
      </c>
      <c r="W85">
        <f>HYPERLINK("https://klasma.github.io/Logging_0580/klagomålsmail/A 3395-2023 FSC-klagomål mail.docx", "A 3395-2023")</f>
        <v/>
      </c>
      <c r="X85">
        <f>HYPERLINK("https://klasma.github.io/Logging_0580/tillsyn/A 3395-2023 tillsynsbegäran.docx", "A 3395-2023")</f>
        <v/>
      </c>
      <c r="Y85">
        <f>HYPERLINK("https://klasma.github.io/Logging_0580/tillsynsmail/A 3395-2023 tillsynsbegäran mail.docx", "A 3395-2023")</f>
        <v/>
      </c>
    </row>
    <row r="86" ht="15" customHeight="1">
      <c r="A86" t="inlineStr">
        <is>
          <t>A 19103-2021</t>
        </is>
      </c>
      <c r="B86" s="1" t="n">
        <v>44308</v>
      </c>
      <c r="C86" s="1" t="n">
        <v>46072</v>
      </c>
      <c r="D86" t="inlineStr">
        <is>
          <t>ÖSTERGÖTLANDS LÄN</t>
        </is>
      </c>
      <c r="E86" t="inlineStr">
        <is>
          <t>LINKÖPING</t>
        </is>
      </c>
      <c r="G86" t="n">
        <v>4.7</v>
      </c>
      <c r="H86" t="n">
        <v>0</v>
      </c>
      <c r="I86" t="n">
        <v>0</v>
      </c>
      <c r="J86" t="n">
        <v>1</v>
      </c>
      <c r="K86" t="n">
        <v>0</v>
      </c>
      <c r="L86" t="n">
        <v>0</v>
      </c>
      <c r="M86" t="n">
        <v>0</v>
      </c>
      <c r="N86" t="n">
        <v>0</v>
      </c>
      <c r="O86" t="n">
        <v>1</v>
      </c>
      <c r="P86" t="n">
        <v>0</v>
      </c>
      <c r="Q86" t="n">
        <v>1</v>
      </c>
      <c r="R86" s="2" t="inlineStr">
        <is>
          <t>Tallticka</t>
        </is>
      </c>
      <c r="S86">
        <f>HYPERLINK("https://klasma.github.io/Logging_0580/artfynd/A 19103-2021 artfynd.xlsx", "A 19103-2021")</f>
        <v/>
      </c>
      <c r="T86">
        <f>HYPERLINK("https://klasma.github.io/Logging_0580/kartor/A 19103-2021 karta.png", "A 19103-2021")</f>
        <v/>
      </c>
      <c r="V86">
        <f>HYPERLINK("https://klasma.github.io/Logging_0580/klagomål/A 19103-2021 FSC-klagomål.docx", "A 19103-2021")</f>
        <v/>
      </c>
      <c r="W86">
        <f>HYPERLINK("https://klasma.github.io/Logging_0580/klagomålsmail/A 19103-2021 FSC-klagomål mail.docx", "A 19103-2021")</f>
        <v/>
      </c>
      <c r="X86">
        <f>HYPERLINK("https://klasma.github.io/Logging_0580/tillsyn/A 19103-2021 tillsynsbegäran.docx", "A 19103-2021")</f>
        <v/>
      </c>
      <c r="Y86">
        <f>HYPERLINK("https://klasma.github.io/Logging_0580/tillsynsmail/A 19103-2021 tillsynsbegäran mail.docx", "A 19103-2021")</f>
        <v/>
      </c>
    </row>
    <row r="87" ht="15" customHeight="1">
      <c r="A87" t="inlineStr">
        <is>
          <t>A 50806-2023</t>
        </is>
      </c>
      <c r="B87" s="1" t="n">
        <v>45217</v>
      </c>
      <c r="C87" s="1" t="n">
        <v>46072</v>
      </c>
      <c r="D87" t="inlineStr">
        <is>
          <t>ÖSTERGÖTLANDS LÄN</t>
        </is>
      </c>
      <c r="E87" t="inlineStr">
        <is>
          <t>LINKÖPING</t>
        </is>
      </c>
      <c r="F87" t="inlineStr">
        <is>
          <t>Övriga Aktiebolag</t>
        </is>
      </c>
      <c r="G87" t="n">
        <v>0.7</v>
      </c>
      <c r="H87" t="n">
        <v>1</v>
      </c>
      <c r="I87" t="n">
        <v>0</v>
      </c>
      <c r="J87" t="n">
        <v>0</v>
      </c>
      <c r="K87" t="n">
        <v>0</v>
      </c>
      <c r="L87" t="n">
        <v>0</v>
      </c>
      <c r="M87" t="n">
        <v>0</v>
      </c>
      <c r="N87" t="n">
        <v>0</v>
      </c>
      <c r="O87" t="n">
        <v>0</v>
      </c>
      <c r="P87" t="n">
        <v>0</v>
      </c>
      <c r="Q87" t="n">
        <v>1</v>
      </c>
      <c r="R87" s="2" t="inlineStr">
        <is>
          <t>Gullviva</t>
        </is>
      </c>
      <c r="S87">
        <f>HYPERLINK("https://klasma.github.io/Logging_0580/artfynd/A 50806-2023 artfynd.xlsx", "A 50806-2023")</f>
        <v/>
      </c>
      <c r="T87">
        <f>HYPERLINK("https://klasma.github.io/Logging_0580/kartor/A 50806-2023 karta.png", "A 50806-2023")</f>
        <v/>
      </c>
      <c r="V87">
        <f>HYPERLINK("https://klasma.github.io/Logging_0580/klagomål/A 50806-2023 FSC-klagomål.docx", "A 50806-2023")</f>
        <v/>
      </c>
      <c r="W87">
        <f>HYPERLINK("https://klasma.github.io/Logging_0580/klagomålsmail/A 50806-2023 FSC-klagomål mail.docx", "A 50806-2023")</f>
        <v/>
      </c>
      <c r="X87">
        <f>HYPERLINK("https://klasma.github.io/Logging_0580/tillsyn/A 50806-2023 tillsynsbegäran.docx", "A 50806-2023")</f>
        <v/>
      </c>
      <c r="Y87">
        <f>HYPERLINK("https://klasma.github.io/Logging_0580/tillsynsmail/A 50806-2023 tillsynsbegäran mail.docx", "A 50806-2023")</f>
        <v/>
      </c>
    </row>
    <row r="88" ht="15" customHeight="1">
      <c r="A88" t="inlineStr">
        <is>
          <t>A 39457-2023</t>
        </is>
      </c>
      <c r="B88" s="1" t="n">
        <v>45166</v>
      </c>
      <c r="C88" s="1" t="n">
        <v>46072</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35948-2023</t>
        </is>
      </c>
      <c r="B89" s="1" t="n">
        <v>45148</v>
      </c>
      <c r="C89" s="1" t="n">
        <v>46072</v>
      </c>
      <c r="D89" t="inlineStr">
        <is>
          <t>ÖSTERGÖTLANDS LÄN</t>
        </is>
      </c>
      <c r="E89" t="inlineStr">
        <is>
          <t>LINKÖPING</t>
        </is>
      </c>
      <c r="G89" t="n">
        <v>1.9</v>
      </c>
      <c r="H89" t="n">
        <v>0</v>
      </c>
      <c r="I89" t="n">
        <v>1</v>
      </c>
      <c r="J89" t="n">
        <v>0</v>
      </c>
      <c r="K89" t="n">
        <v>0</v>
      </c>
      <c r="L89" t="n">
        <v>0</v>
      </c>
      <c r="M89" t="n">
        <v>0</v>
      </c>
      <c r="N89" t="n">
        <v>0</v>
      </c>
      <c r="O89" t="n">
        <v>0</v>
      </c>
      <c r="P89" t="n">
        <v>0</v>
      </c>
      <c r="Q89" t="n">
        <v>1</v>
      </c>
      <c r="R89" s="2" t="inlineStr">
        <is>
          <t>Brun nållav</t>
        </is>
      </c>
      <c r="S89">
        <f>HYPERLINK("https://klasma.github.io/Logging_0580/artfynd/A 35948-2023 artfynd.xlsx", "A 35948-2023")</f>
        <v/>
      </c>
      <c r="T89">
        <f>HYPERLINK("https://klasma.github.io/Logging_0580/kartor/A 35948-2023 karta.png", "A 35948-2023")</f>
        <v/>
      </c>
      <c r="V89">
        <f>HYPERLINK("https://klasma.github.io/Logging_0580/klagomål/A 35948-2023 FSC-klagomål.docx", "A 35948-2023")</f>
        <v/>
      </c>
      <c r="W89">
        <f>HYPERLINK("https://klasma.github.io/Logging_0580/klagomålsmail/A 35948-2023 FSC-klagomål mail.docx", "A 35948-2023")</f>
        <v/>
      </c>
      <c r="X89">
        <f>HYPERLINK("https://klasma.github.io/Logging_0580/tillsyn/A 35948-2023 tillsynsbegäran.docx", "A 35948-2023")</f>
        <v/>
      </c>
      <c r="Y89">
        <f>HYPERLINK("https://klasma.github.io/Logging_0580/tillsynsmail/A 35948-2023 tillsynsbegäran mail.docx", "A 35948-2023")</f>
        <v/>
      </c>
    </row>
    <row r="90" ht="15" customHeight="1">
      <c r="A90" t="inlineStr">
        <is>
          <t>A 62071-2023</t>
        </is>
      </c>
      <c r="B90" s="1" t="n">
        <v>45266.73542824074</v>
      </c>
      <c r="C90" s="1" t="n">
        <v>46072</v>
      </c>
      <c r="D90" t="inlineStr">
        <is>
          <t>ÖSTERGÖTLANDS LÄN</t>
        </is>
      </c>
      <c r="E90" t="inlineStr">
        <is>
          <t>LINKÖPING</t>
        </is>
      </c>
      <c r="G90" t="n">
        <v>6.5</v>
      </c>
      <c r="H90" t="n">
        <v>0</v>
      </c>
      <c r="I90" t="n">
        <v>0</v>
      </c>
      <c r="J90" t="n">
        <v>1</v>
      </c>
      <c r="K90" t="n">
        <v>0</v>
      </c>
      <c r="L90" t="n">
        <v>0</v>
      </c>
      <c r="M90" t="n">
        <v>0</v>
      </c>
      <c r="N90" t="n">
        <v>0</v>
      </c>
      <c r="O90" t="n">
        <v>1</v>
      </c>
      <c r="P90" t="n">
        <v>0</v>
      </c>
      <c r="Q90" t="n">
        <v>1</v>
      </c>
      <c r="R90" s="2" t="inlineStr">
        <is>
          <t>Svinrot</t>
        </is>
      </c>
      <c r="S90">
        <f>HYPERLINK("https://klasma.github.io/Logging_0580/artfynd/A 62071-2023 artfynd.xlsx", "A 62071-2023")</f>
        <v/>
      </c>
      <c r="T90">
        <f>HYPERLINK("https://klasma.github.io/Logging_0580/kartor/A 62071-2023 karta.png", "A 62071-2023")</f>
        <v/>
      </c>
      <c r="V90">
        <f>HYPERLINK("https://klasma.github.io/Logging_0580/klagomål/A 62071-2023 FSC-klagomål.docx", "A 62071-2023")</f>
        <v/>
      </c>
      <c r="W90">
        <f>HYPERLINK("https://klasma.github.io/Logging_0580/klagomålsmail/A 62071-2023 FSC-klagomål mail.docx", "A 62071-2023")</f>
        <v/>
      </c>
      <c r="X90">
        <f>HYPERLINK("https://klasma.github.io/Logging_0580/tillsyn/A 62071-2023 tillsynsbegäran.docx", "A 62071-2023")</f>
        <v/>
      </c>
      <c r="Y90">
        <f>HYPERLINK("https://klasma.github.io/Logging_0580/tillsynsmail/A 62071-2023 tillsynsbegäran mail.docx", "A 62071-2023")</f>
        <v/>
      </c>
    </row>
    <row r="91" ht="15" customHeight="1">
      <c r="A91" t="inlineStr">
        <is>
          <t>A 3397-2023</t>
        </is>
      </c>
      <c r="B91" s="1" t="n">
        <v>44949</v>
      </c>
      <c r="C91" s="1" t="n">
        <v>46072</v>
      </c>
      <c r="D91" t="inlineStr">
        <is>
          <t>ÖSTERGÖTLANDS LÄN</t>
        </is>
      </c>
      <c r="E91" t="inlineStr">
        <is>
          <t>LINKÖPING</t>
        </is>
      </c>
      <c r="G91" t="n">
        <v>4.1</v>
      </c>
      <c r="H91" t="n">
        <v>0</v>
      </c>
      <c r="I91" t="n">
        <v>0</v>
      </c>
      <c r="J91" t="n">
        <v>1</v>
      </c>
      <c r="K91" t="n">
        <v>0</v>
      </c>
      <c r="L91" t="n">
        <v>0</v>
      </c>
      <c r="M91" t="n">
        <v>0</v>
      </c>
      <c r="N91" t="n">
        <v>0</v>
      </c>
      <c r="O91" t="n">
        <v>1</v>
      </c>
      <c r="P91" t="n">
        <v>0</v>
      </c>
      <c r="Q91" t="n">
        <v>1</v>
      </c>
      <c r="R91" s="2" t="inlineStr">
        <is>
          <t>Svinrot</t>
        </is>
      </c>
      <c r="S91">
        <f>HYPERLINK("https://klasma.github.io/Logging_0580/artfynd/A 3397-2023 artfynd.xlsx", "A 3397-2023")</f>
        <v/>
      </c>
      <c r="T91">
        <f>HYPERLINK("https://klasma.github.io/Logging_0580/kartor/A 3397-2023 karta.png", "A 3397-2023")</f>
        <v/>
      </c>
      <c r="V91">
        <f>HYPERLINK("https://klasma.github.io/Logging_0580/klagomål/A 3397-2023 FSC-klagomål.docx", "A 3397-2023")</f>
        <v/>
      </c>
      <c r="W91">
        <f>HYPERLINK("https://klasma.github.io/Logging_0580/klagomålsmail/A 3397-2023 FSC-klagomål mail.docx", "A 3397-2023")</f>
        <v/>
      </c>
      <c r="X91">
        <f>HYPERLINK("https://klasma.github.io/Logging_0580/tillsyn/A 3397-2023 tillsynsbegäran.docx", "A 3397-2023")</f>
        <v/>
      </c>
      <c r="Y91">
        <f>HYPERLINK("https://klasma.github.io/Logging_0580/tillsynsmail/A 3397-2023 tillsynsbegäran mail.docx", "A 3397-2023")</f>
        <v/>
      </c>
    </row>
    <row r="92" ht="15" customHeight="1">
      <c r="A92" t="inlineStr">
        <is>
          <t>A 20295-2025</t>
        </is>
      </c>
      <c r="B92" s="1" t="n">
        <v>45774.74846064814</v>
      </c>
      <c r="C92" s="1" t="n">
        <v>46072</v>
      </c>
      <c r="D92" t="inlineStr">
        <is>
          <t>ÖSTERGÖTLANDS LÄN</t>
        </is>
      </c>
      <c r="E92" t="inlineStr">
        <is>
          <t>LINKÖPING</t>
        </is>
      </c>
      <c r="G92" t="n">
        <v>3</v>
      </c>
      <c r="H92" t="n">
        <v>0</v>
      </c>
      <c r="I92" t="n">
        <v>0</v>
      </c>
      <c r="J92" t="n">
        <v>1</v>
      </c>
      <c r="K92" t="n">
        <v>0</v>
      </c>
      <c r="L92" t="n">
        <v>0</v>
      </c>
      <c r="M92" t="n">
        <v>0</v>
      </c>
      <c r="N92" t="n">
        <v>0</v>
      </c>
      <c r="O92" t="n">
        <v>1</v>
      </c>
      <c r="P92" t="n">
        <v>0</v>
      </c>
      <c r="Q92" t="n">
        <v>1</v>
      </c>
      <c r="R92" s="2" t="inlineStr">
        <is>
          <t>Tallticka</t>
        </is>
      </c>
      <c r="S92">
        <f>HYPERLINK("https://klasma.github.io/Logging_0580/artfynd/A 20295-2025 artfynd.xlsx", "A 20295-2025")</f>
        <v/>
      </c>
      <c r="T92">
        <f>HYPERLINK("https://klasma.github.io/Logging_0580/kartor/A 20295-2025 karta.png", "A 20295-2025")</f>
        <v/>
      </c>
      <c r="V92">
        <f>HYPERLINK("https://klasma.github.io/Logging_0580/klagomål/A 20295-2025 FSC-klagomål.docx", "A 20295-2025")</f>
        <v/>
      </c>
      <c r="W92">
        <f>HYPERLINK("https://klasma.github.io/Logging_0580/klagomålsmail/A 20295-2025 FSC-klagomål mail.docx", "A 20295-2025")</f>
        <v/>
      </c>
      <c r="X92">
        <f>HYPERLINK("https://klasma.github.io/Logging_0580/tillsyn/A 20295-2025 tillsynsbegäran.docx", "A 20295-2025")</f>
        <v/>
      </c>
      <c r="Y92">
        <f>HYPERLINK("https://klasma.github.io/Logging_0580/tillsynsmail/A 20295-2025 tillsynsbegäran mail.docx", "A 20295-2025")</f>
        <v/>
      </c>
    </row>
    <row r="93" ht="15" customHeight="1">
      <c r="A93" t="inlineStr">
        <is>
          <t>A 60573-2021</t>
        </is>
      </c>
      <c r="B93" s="1" t="n">
        <v>44496</v>
      </c>
      <c r="C93" s="1" t="n">
        <v>46072</v>
      </c>
      <c r="D93" t="inlineStr">
        <is>
          <t>ÖSTERGÖTLANDS LÄN</t>
        </is>
      </c>
      <c r="E93" t="inlineStr">
        <is>
          <t>LINKÖPING</t>
        </is>
      </c>
      <c r="F93" t="inlineStr">
        <is>
          <t>Övriga Aktiebolag</t>
        </is>
      </c>
      <c r="G93" t="n">
        <v>5.6</v>
      </c>
      <c r="H93" t="n">
        <v>0</v>
      </c>
      <c r="I93" t="n">
        <v>0</v>
      </c>
      <c r="J93" t="n">
        <v>1</v>
      </c>
      <c r="K93" t="n">
        <v>0</v>
      </c>
      <c r="L93" t="n">
        <v>0</v>
      </c>
      <c r="M93" t="n">
        <v>0</v>
      </c>
      <c r="N93" t="n">
        <v>0</v>
      </c>
      <c r="O93" t="n">
        <v>1</v>
      </c>
      <c r="P93" t="n">
        <v>0</v>
      </c>
      <c r="Q93" t="n">
        <v>1</v>
      </c>
      <c r="R93" s="2" t="inlineStr">
        <is>
          <t>Sommarfibbla</t>
        </is>
      </c>
      <c r="S93">
        <f>HYPERLINK("https://klasma.github.io/Logging_0580/artfynd/A 60573-2021 artfynd.xlsx", "A 60573-2021")</f>
        <v/>
      </c>
      <c r="T93">
        <f>HYPERLINK("https://klasma.github.io/Logging_0580/kartor/A 60573-2021 karta.png", "A 60573-2021")</f>
        <v/>
      </c>
      <c r="V93">
        <f>HYPERLINK("https://klasma.github.io/Logging_0580/klagomål/A 60573-2021 FSC-klagomål.docx", "A 60573-2021")</f>
        <v/>
      </c>
      <c r="W93">
        <f>HYPERLINK("https://klasma.github.io/Logging_0580/klagomålsmail/A 60573-2021 FSC-klagomål mail.docx", "A 60573-2021")</f>
        <v/>
      </c>
      <c r="X93">
        <f>HYPERLINK("https://klasma.github.io/Logging_0580/tillsyn/A 60573-2021 tillsynsbegäran.docx", "A 60573-2021")</f>
        <v/>
      </c>
      <c r="Y93">
        <f>HYPERLINK("https://klasma.github.io/Logging_0580/tillsynsmail/A 60573-2021 tillsynsbegäran mail.docx", "A 60573-2021")</f>
        <v/>
      </c>
    </row>
    <row r="94" ht="15" customHeight="1">
      <c r="A94" t="inlineStr">
        <is>
          <t>A 38881-2021</t>
        </is>
      </c>
      <c r="B94" s="1" t="n">
        <v>44411.46893518518</v>
      </c>
      <c r="C94" s="1" t="n">
        <v>46072</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46072</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46072</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46072</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46072</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46072</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46072</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46072</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46072</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46072</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46072</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46072</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46072</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46072</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46072</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46072</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46072</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46072</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46072</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46072</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46072</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46072</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46072</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46072</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46072</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46072</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46072</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46072</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46072</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46072</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46072</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46072</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46072</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16469-2021</t>
        </is>
      </c>
      <c r="B130" s="1" t="n">
        <v>44293.54331018519</v>
      </c>
      <c r="C130" s="1" t="n">
        <v>46072</v>
      </c>
      <c r="D130" t="inlineStr">
        <is>
          <t>ÖSTERGÖTLANDS LÄN</t>
        </is>
      </c>
      <c r="E130" t="inlineStr">
        <is>
          <t>LINKÖPING</t>
        </is>
      </c>
      <c r="F130" t="inlineStr">
        <is>
          <t>Allmännings- och besparingsskogar</t>
        </is>
      </c>
      <c r="G130" t="n">
        <v>33.5</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46072</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46072</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46072</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46072</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46072</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53660-2021</t>
        </is>
      </c>
      <c r="B136" s="1" t="n">
        <v>44469</v>
      </c>
      <c r="C136" s="1" t="n">
        <v>46072</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52966-2021</t>
        </is>
      </c>
      <c r="B137" s="1" t="n">
        <v>44467</v>
      </c>
      <c r="C137" s="1" t="n">
        <v>46072</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46072</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46072</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46072</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46072</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46072</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46072</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46072</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46072</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46072</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46072</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46072</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46072</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46072</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46072</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46072</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46072</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46072</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46072</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46072</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46072</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46072</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46072</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46072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46072</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46072</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46072</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46072</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46072</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46072</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46072</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46072</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46072</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46072</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46072</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46072</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46072</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46072</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46072</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46072</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46072</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46072</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46072</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46072</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46072</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46072</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46072</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46072</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46072</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46072</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46072</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46072</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46072</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46072</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46072</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46072</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46072</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46072</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46072</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46072</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46072</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34558-2022</t>
        </is>
      </c>
      <c r="B198" s="1" t="n">
        <v>44794.57594907407</v>
      </c>
      <c r="C198" s="1" t="n">
        <v>46072</v>
      </c>
      <c r="D198" t="inlineStr">
        <is>
          <t>ÖSTERGÖTLANDS LÄN</t>
        </is>
      </c>
      <c r="E198" t="inlineStr">
        <is>
          <t>LINKÖPING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63489-2023</t>
        </is>
      </c>
      <c r="B199" s="1" t="n">
        <v>45274.66761574074</v>
      </c>
      <c r="C199" s="1" t="n">
        <v>46072</v>
      </c>
      <c r="D199" t="inlineStr">
        <is>
          <t>ÖSTERGÖTLANDS LÄN</t>
        </is>
      </c>
      <c r="E199" t="inlineStr">
        <is>
          <t>LINKÖPING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22772-2024</t>
        </is>
      </c>
      <c r="B200" s="1" t="n">
        <v>45448.46712962963</v>
      </c>
      <c r="C200" s="1" t="n">
        <v>46072</v>
      </c>
      <c r="D200" t="inlineStr">
        <is>
          <t>ÖSTERGÖTLANDS LÄN</t>
        </is>
      </c>
      <c r="E200" t="inlineStr">
        <is>
          <t>LINKÖPING</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28266-2024</t>
        </is>
      </c>
      <c r="B201" s="1" t="n">
        <v>45477.43600694444</v>
      </c>
      <c r="C201" s="1" t="n">
        <v>46072</v>
      </c>
      <c r="D201" t="inlineStr">
        <is>
          <t>ÖSTERGÖTLANDS LÄN</t>
        </is>
      </c>
      <c r="E201" t="inlineStr">
        <is>
          <t>LINKÖPING</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3008-2023</t>
        </is>
      </c>
      <c r="B202" s="1" t="n">
        <v>44945.79784722222</v>
      </c>
      <c r="C202" s="1" t="n">
        <v>46072</v>
      </c>
      <c r="D202" t="inlineStr">
        <is>
          <t>ÖSTERGÖTLANDS LÄN</t>
        </is>
      </c>
      <c r="E202" t="inlineStr">
        <is>
          <t>LINKÖPING</t>
        </is>
      </c>
      <c r="G202" t="n">
        <v>19.3</v>
      </c>
      <c r="H202" t="n">
        <v>0</v>
      </c>
      <c r="I202" t="n">
        <v>0</v>
      </c>
      <c r="J202" t="n">
        <v>0</v>
      </c>
      <c r="K202" t="n">
        <v>0</v>
      </c>
      <c r="L202" t="n">
        <v>0</v>
      </c>
      <c r="M202" t="n">
        <v>0</v>
      </c>
      <c r="N202" t="n">
        <v>0</v>
      </c>
      <c r="O202" t="n">
        <v>0</v>
      </c>
      <c r="P202" t="n">
        <v>0</v>
      </c>
      <c r="Q202" t="n">
        <v>0</v>
      </c>
      <c r="R202" s="2" t="inlineStr"/>
    </row>
    <row r="203" ht="15" customHeight="1">
      <c r="A203" t="inlineStr">
        <is>
          <t>A 12035-2025</t>
        </is>
      </c>
      <c r="B203" s="1" t="n">
        <v>45728.64946759259</v>
      </c>
      <c r="C203" s="1" t="n">
        <v>46072</v>
      </c>
      <c r="D203" t="inlineStr">
        <is>
          <t>ÖSTERGÖTLANDS LÄN</t>
        </is>
      </c>
      <c r="E203" t="inlineStr">
        <is>
          <t>LINKÖPING</t>
        </is>
      </c>
      <c r="G203" t="n">
        <v>3.7</v>
      </c>
      <c r="H203" t="n">
        <v>0</v>
      </c>
      <c r="I203" t="n">
        <v>0</v>
      </c>
      <c r="J203" t="n">
        <v>0</v>
      </c>
      <c r="K203" t="n">
        <v>0</v>
      </c>
      <c r="L203" t="n">
        <v>0</v>
      </c>
      <c r="M203" t="n">
        <v>0</v>
      </c>
      <c r="N203" t="n">
        <v>0</v>
      </c>
      <c r="O203" t="n">
        <v>0</v>
      </c>
      <c r="P203" t="n">
        <v>0</v>
      </c>
      <c r="Q203" t="n">
        <v>0</v>
      </c>
      <c r="R203" s="2" t="inlineStr"/>
    </row>
    <row r="204" ht="15" customHeight="1">
      <c r="A204" t="inlineStr">
        <is>
          <t>A 20455-2024</t>
        </is>
      </c>
      <c r="B204" s="1" t="n">
        <v>45435.65314814815</v>
      </c>
      <c r="C204" s="1" t="n">
        <v>46072</v>
      </c>
      <c r="D204" t="inlineStr">
        <is>
          <t>ÖSTERGÖTLANDS LÄN</t>
        </is>
      </c>
      <c r="E204" t="inlineStr">
        <is>
          <t>LINKÖPING</t>
        </is>
      </c>
      <c r="G204" t="n">
        <v>2.6</v>
      </c>
      <c r="H204" t="n">
        <v>0</v>
      </c>
      <c r="I204" t="n">
        <v>0</v>
      </c>
      <c r="J204" t="n">
        <v>0</v>
      </c>
      <c r="K204" t="n">
        <v>0</v>
      </c>
      <c r="L204" t="n">
        <v>0</v>
      </c>
      <c r="M204" t="n">
        <v>0</v>
      </c>
      <c r="N204" t="n">
        <v>0</v>
      </c>
      <c r="O204" t="n">
        <v>0</v>
      </c>
      <c r="P204" t="n">
        <v>0</v>
      </c>
      <c r="Q204" t="n">
        <v>0</v>
      </c>
      <c r="R204" s="2" t="inlineStr"/>
    </row>
    <row r="205" ht="15" customHeight="1">
      <c r="A205" t="inlineStr">
        <is>
          <t>A 224-2024</t>
        </is>
      </c>
      <c r="B205" s="1" t="n">
        <v>45294</v>
      </c>
      <c r="C205" s="1" t="n">
        <v>46072</v>
      </c>
      <c r="D205" t="inlineStr">
        <is>
          <t>ÖSTERGÖTLANDS LÄN</t>
        </is>
      </c>
      <c r="E205" t="inlineStr">
        <is>
          <t>LINKÖPING</t>
        </is>
      </c>
      <c r="G205" t="n">
        <v>2.8</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46072</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46072</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62488-2023</t>
        </is>
      </c>
      <c r="B208" s="1" t="n">
        <v>45268.5847337963</v>
      </c>
      <c r="C208" s="1" t="n">
        <v>46072</v>
      </c>
      <c r="D208" t="inlineStr">
        <is>
          <t>ÖSTERGÖTLANDS LÄN</t>
        </is>
      </c>
      <c r="E208" t="inlineStr">
        <is>
          <t>LINKÖPING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46072</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46072</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30855-2022</t>
        </is>
      </c>
      <c r="B211" s="1" t="n">
        <v>44767</v>
      </c>
      <c r="C211" s="1" t="n">
        <v>46072</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34877-2023</t>
        </is>
      </c>
      <c r="B212" s="1" t="n">
        <v>45140</v>
      </c>
      <c r="C212" s="1" t="n">
        <v>46072</v>
      </c>
      <c r="D212" t="inlineStr">
        <is>
          <t>ÖSTERGÖTLANDS LÄN</t>
        </is>
      </c>
      <c r="E212" t="inlineStr">
        <is>
          <t>LINKÖPING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46072</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46072</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30856-2022</t>
        </is>
      </c>
      <c r="B215" s="1" t="n">
        <v>44767</v>
      </c>
      <c r="C215" s="1" t="n">
        <v>46072</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1993-2023</t>
        </is>
      </c>
      <c r="B216" s="1" t="n">
        <v>44939</v>
      </c>
      <c r="C216" s="1" t="n">
        <v>46072</v>
      </c>
      <c r="D216" t="inlineStr">
        <is>
          <t>ÖSTERGÖTLANDS LÄN</t>
        </is>
      </c>
      <c r="E216" t="inlineStr">
        <is>
          <t>LINKÖPING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52220-2023</t>
        </is>
      </c>
      <c r="B217" s="1" t="n">
        <v>45217</v>
      </c>
      <c r="C217" s="1" t="n">
        <v>46072</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52225-2023</t>
        </is>
      </c>
      <c r="B218" s="1" t="n">
        <v>45217</v>
      </c>
      <c r="C218" s="1" t="n">
        <v>46072</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46072</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46072</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46072</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52412-2023</t>
        </is>
      </c>
      <c r="B222" s="1" t="n">
        <v>45225.27888888889</v>
      </c>
      <c r="C222" s="1" t="n">
        <v>46072</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52413-2023</t>
        </is>
      </c>
      <c r="B223" s="1" t="n">
        <v>45225.27950231481</v>
      </c>
      <c r="C223" s="1" t="n">
        <v>46072</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7354-2025</t>
        </is>
      </c>
      <c r="B224" s="1" t="n">
        <v>45704.41174768518</v>
      </c>
      <c r="C224" s="1" t="n">
        <v>46072</v>
      </c>
      <c r="D224" t="inlineStr">
        <is>
          <t>ÖSTERGÖTLANDS LÄN</t>
        </is>
      </c>
      <c r="E224" t="inlineStr">
        <is>
          <t>LINKÖPING</t>
        </is>
      </c>
      <c r="G224" t="n">
        <v>4.8</v>
      </c>
      <c r="H224" t="n">
        <v>0</v>
      </c>
      <c r="I224" t="n">
        <v>0</v>
      </c>
      <c r="J224" t="n">
        <v>0</v>
      </c>
      <c r="K224" t="n">
        <v>0</v>
      </c>
      <c r="L224" t="n">
        <v>0</v>
      </c>
      <c r="M224" t="n">
        <v>0</v>
      </c>
      <c r="N224" t="n">
        <v>0</v>
      </c>
      <c r="O224" t="n">
        <v>0</v>
      </c>
      <c r="P224" t="n">
        <v>0</v>
      </c>
      <c r="Q224" t="n">
        <v>0</v>
      </c>
      <c r="R224" s="2" t="inlineStr"/>
    </row>
    <row r="225" ht="15" customHeight="1">
      <c r="A225" t="inlineStr">
        <is>
          <t>A 22264-2025</t>
        </is>
      </c>
      <c r="B225" s="1" t="n">
        <v>45785</v>
      </c>
      <c r="C225" s="1" t="n">
        <v>46072</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55165-2025</t>
        </is>
      </c>
      <c r="B226" s="1" t="n">
        <v>45968.48194444444</v>
      </c>
      <c r="C226" s="1" t="n">
        <v>46072</v>
      </c>
      <c r="D226" t="inlineStr">
        <is>
          <t>ÖSTERGÖTLANDS LÄN</t>
        </is>
      </c>
      <c r="E226" t="inlineStr">
        <is>
          <t>LINKÖPING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9473-2024</t>
        </is>
      </c>
      <c r="B227" s="1" t="n">
        <v>45359.55474537037</v>
      </c>
      <c r="C227" s="1" t="n">
        <v>46072</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6859-2024</t>
        </is>
      </c>
      <c r="B228" s="1" t="n">
        <v>45342</v>
      </c>
      <c r="C228" s="1" t="n">
        <v>46072</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44287-2024</t>
        </is>
      </c>
      <c r="B229" s="1" t="n">
        <v>45573.50582175926</v>
      </c>
      <c r="C229" s="1" t="n">
        <v>46072</v>
      </c>
      <c r="D229" t="inlineStr">
        <is>
          <t>ÖSTERGÖTLANDS LÄN</t>
        </is>
      </c>
      <c r="E229" t="inlineStr">
        <is>
          <t>LINKÖPING</t>
        </is>
      </c>
      <c r="G229" t="n">
        <v>12.7</v>
      </c>
      <c r="H229" t="n">
        <v>0</v>
      </c>
      <c r="I229" t="n">
        <v>0</v>
      </c>
      <c r="J229" t="n">
        <v>0</v>
      </c>
      <c r="K229" t="n">
        <v>0</v>
      </c>
      <c r="L229" t="n">
        <v>0</v>
      </c>
      <c r="M229" t="n">
        <v>0</v>
      </c>
      <c r="N229" t="n">
        <v>0</v>
      </c>
      <c r="O229" t="n">
        <v>0</v>
      </c>
      <c r="P229" t="n">
        <v>0</v>
      </c>
      <c r="Q229" t="n">
        <v>0</v>
      </c>
      <c r="R229" s="2" t="inlineStr"/>
    </row>
    <row r="230" ht="15" customHeight="1">
      <c r="A230" t="inlineStr">
        <is>
          <t>A 22364-2025</t>
        </is>
      </c>
      <c r="B230" s="1" t="n">
        <v>45786.46930555555</v>
      </c>
      <c r="C230" s="1" t="n">
        <v>46072</v>
      </c>
      <c r="D230" t="inlineStr">
        <is>
          <t>ÖSTERGÖTLANDS LÄN</t>
        </is>
      </c>
      <c r="E230" t="inlineStr">
        <is>
          <t>LINKÖPING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46072</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34928-2023</t>
        </is>
      </c>
      <c r="B232" s="1" t="n">
        <v>45142</v>
      </c>
      <c r="C232" s="1" t="n">
        <v>46072</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1263-2024</t>
        </is>
      </c>
      <c r="B233" s="1" t="n">
        <v>45302</v>
      </c>
      <c r="C233" s="1" t="n">
        <v>46072</v>
      </c>
      <c r="D233" t="inlineStr">
        <is>
          <t>ÖSTERGÖTLANDS LÄN</t>
        </is>
      </c>
      <c r="E233" t="inlineStr">
        <is>
          <t>LINKÖPING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52531-2023</t>
        </is>
      </c>
      <c r="B234" s="1" t="n">
        <v>45225</v>
      </c>
      <c r="C234" s="1" t="n">
        <v>46072</v>
      </c>
      <c r="D234" t="inlineStr">
        <is>
          <t>ÖSTERGÖTLANDS LÄN</t>
        </is>
      </c>
      <c r="E234" t="inlineStr">
        <is>
          <t>LINKÖPING</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572-2025</t>
        </is>
      </c>
      <c r="B235" s="1" t="n">
        <v>45664.56349537037</v>
      </c>
      <c r="C235" s="1" t="n">
        <v>46072</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10797-2024</t>
        </is>
      </c>
      <c r="B236" s="1" t="n">
        <v>45369.6190162037</v>
      </c>
      <c r="C236" s="1" t="n">
        <v>46072</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38580-2024</t>
        </is>
      </c>
      <c r="B237" s="1" t="n">
        <v>45546.64825231482</v>
      </c>
      <c r="C237" s="1" t="n">
        <v>46072</v>
      </c>
      <c r="D237" t="inlineStr">
        <is>
          <t>ÖSTERGÖTLANDS LÄN</t>
        </is>
      </c>
      <c r="E237" t="inlineStr">
        <is>
          <t>LINKÖPING</t>
        </is>
      </c>
      <c r="G237" t="n">
        <v>4.8</v>
      </c>
      <c r="H237" t="n">
        <v>0</v>
      </c>
      <c r="I237" t="n">
        <v>0</v>
      </c>
      <c r="J237" t="n">
        <v>0</v>
      </c>
      <c r="K237" t="n">
        <v>0</v>
      </c>
      <c r="L237" t="n">
        <v>0</v>
      </c>
      <c r="M237" t="n">
        <v>0</v>
      </c>
      <c r="N237" t="n">
        <v>0</v>
      </c>
      <c r="O237" t="n">
        <v>0</v>
      </c>
      <c r="P237" t="n">
        <v>0</v>
      </c>
      <c r="Q237" t="n">
        <v>0</v>
      </c>
      <c r="R237" s="2" t="inlineStr"/>
    </row>
    <row r="238" ht="15" customHeight="1">
      <c r="A238" t="inlineStr">
        <is>
          <t>A 57752-2023</t>
        </is>
      </c>
      <c r="B238" s="1" t="n">
        <v>45246.78474537037</v>
      </c>
      <c r="C238" s="1" t="n">
        <v>46072</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20291-2025</t>
        </is>
      </c>
      <c r="B239" s="1" t="n">
        <v>45774.74288194445</v>
      </c>
      <c r="C239" s="1" t="n">
        <v>46072</v>
      </c>
      <c r="D239" t="inlineStr">
        <is>
          <t>ÖSTERGÖTLANDS LÄN</t>
        </is>
      </c>
      <c r="E239" t="inlineStr">
        <is>
          <t>LINKÖPING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20293-2025</t>
        </is>
      </c>
      <c r="B240" s="1" t="n">
        <v>45774.74611111111</v>
      </c>
      <c r="C240" s="1" t="n">
        <v>46072</v>
      </c>
      <c r="D240" t="inlineStr">
        <is>
          <t>ÖSTERGÖTLANDS LÄN</t>
        </is>
      </c>
      <c r="E240" t="inlineStr">
        <is>
          <t>LINKÖPING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29312-2024</t>
        </is>
      </c>
      <c r="B241" s="1" t="n">
        <v>45483</v>
      </c>
      <c r="C241" s="1" t="n">
        <v>46072</v>
      </c>
      <c r="D241" t="inlineStr">
        <is>
          <t>ÖSTERGÖTLANDS LÄN</t>
        </is>
      </c>
      <c r="E241" t="inlineStr">
        <is>
          <t>LINKÖPING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23120-2025</t>
        </is>
      </c>
      <c r="B242" s="1" t="n">
        <v>45791.37481481482</v>
      </c>
      <c r="C242" s="1" t="n">
        <v>46072</v>
      </c>
      <c r="D242" t="inlineStr">
        <is>
          <t>ÖSTERGÖTLANDS LÄN</t>
        </is>
      </c>
      <c r="E242" t="inlineStr">
        <is>
          <t>LINKÖPING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56113-2025</t>
        </is>
      </c>
      <c r="B243" s="1" t="n">
        <v>45973.73924768518</v>
      </c>
      <c r="C243" s="1" t="n">
        <v>46072</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3008-2023</t>
        </is>
      </c>
      <c r="B244" s="1" t="n">
        <v>44945.79784722222</v>
      </c>
      <c r="C244" s="1" t="n">
        <v>46072</v>
      </c>
      <c r="D244" t="inlineStr">
        <is>
          <t>ÖSTERGÖTLANDS LÄN</t>
        </is>
      </c>
      <c r="E244" t="inlineStr">
        <is>
          <t>LINKÖPING</t>
        </is>
      </c>
      <c r="G244" t="n">
        <v>19.3</v>
      </c>
      <c r="H244" t="n">
        <v>0</v>
      </c>
      <c r="I244" t="n">
        <v>0</v>
      </c>
      <c r="J244" t="n">
        <v>0</v>
      </c>
      <c r="K244" t="n">
        <v>0</v>
      </c>
      <c r="L244" t="n">
        <v>0</v>
      </c>
      <c r="M244" t="n">
        <v>0</v>
      </c>
      <c r="N244" t="n">
        <v>0</v>
      </c>
      <c r="O244" t="n">
        <v>0</v>
      </c>
      <c r="P244" t="n">
        <v>0</v>
      </c>
      <c r="Q244" t="n">
        <v>0</v>
      </c>
      <c r="R244" s="2" t="inlineStr"/>
    </row>
    <row r="245" ht="15" customHeight="1">
      <c r="A245" t="inlineStr">
        <is>
          <t>A 56105-2025</t>
        </is>
      </c>
      <c r="B245" s="1" t="n">
        <v>45973.72855324074</v>
      </c>
      <c r="C245" s="1" t="n">
        <v>46072</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23768-2025</t>
        </is>
      </c>
      <c r="B246" s="1" t="n">
        <v>45793.47493055555</v>
      </c>
      <c r="C246" s="1" t="n">
        <v>46072</v>
      </c>
      <c r="D246" t="inlineStr">
        <is>
          <t>ÖSTERGÖTLANDS LÄN</t>
        </is>
      </c>
      <c r="E246" t="inlineStr">
        <is>
          <t>LINKÖPING</t>
        </is>
      </c>
      <c r="G246" t="n">
        <v>3.4</v>
      </c>
      <c r="H246" t="n">
        <v>0</v>
      </c>
      <c r="I246" t="n">
        <v>0</v>
      </c>
      <c r="J246" t="n">
        <v>0</v>
      </c>
      <c r="K246" t="n">
        <v>0</v>
      </c>
      <c r="L246" t="n">
        <v>0</v>
      </c>
      <c r="M246" t="n">
        <v>0</v>
      </c>
      <c r="N246" t="n">
        <v>0</v>
      </c>
      <c r="O246" t="n">
        <v>0</v>
      </c>
      <c r="P246" t="n">
        <v>0</v>
      </c>
      <c r="Q246" t="n">
        <v>0</v>
      </c>
      <c r="R246" s="2" t="inlineStr"/>
    </row>
    <row r="247" ht="15" customHeight="1">
      <c r="A247" t="inlineStr">
        <is>
          <t>A 3041-2024</t>
        </is>
      </c>
      <c r="B247" s="1" t="n">
        <v>45316.34875</v>
      </c>
      <c r="C247" s="1" t="n">
        <v>46072</v>
      </c>
      <c r="D247" t="inlineStr">
        <is>
          <t>ÖSTERGÖTLANDS LÄN</t>
        </is>
      </c>
      <c r="E247" t="inlineStr">
        <is>
          <t>LINKÖPING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50963-2021</t>
        </is>
      </c>
      <c r="B248" s="1" t="n">
        <v>44460</v>
      </c>
      <c r="C248" s="1" t="n">
        <v>46072</v>
      </c>
      <c r="D248" t="inlineStr">
        <is>
          <t>ÖSTERGÖTLANDS LÄN</t>
        </is>
      </c>
      <c r="E248" t="inlineStr">
        <is>
          <t>LINKÖPING</t>
        </is>
      </c>
      <c r="G248" t="n">
        <v>4.4</v>
      </c>
      <c r="H248" t="n">
        <v>0</v>
      </c>
      <c r="I248" t="n">
        <v>0</v>
      </c>
      <c r="J248" t="n">
        <v>0</v>
      </c>
      <c r="K248" t="n">
        <v>0</v>
      </c>
      <c r="L248" t="n">
        <v>0</v>
      </c>
      <c r="M248" t="n">
        <v>0</v>
      </c>
      <c r="N248" t="n">
        <v>0</v>
      </c>
      <c r="O248" t="n">
        <v>0</v>
      </c>
      <c r="P248" t="n">
        <v>0</v>
      </c>
      <c r="Q248" t="n">
        <v>0</v>
      </c>
      <c r="R248" s="2" t="inlineStr"/>
    </row>
    <row r="249" ht="15" customHeight="1">
      <c r="A249" t="inlineStr">
        <is>
          <t>A 61307-2021</t>
        </is>
      </c>
      <c r="B249" s="1" t="n">
        <v>44498.63928240741</v>
      </c>
      <c r="C249" s="1" t="n">
        <v>46072</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61325-2021</t>
        </is>
      </c>
      <c r="B250" s="1" t="n">
        <v>44498.66814814815</v>
      </c>
      <c r="C250" s="1" t="n">
        <v>46072</v>
      </c>
      <c r="D250" t="inlineStr">
        <is>
          <t>ÖSTERGÖTLANDS LÄN</t>
        </is>
      </c>
      <c r="E250" t="inlineStr">
        <is>
          <t>LINKÖPING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39438-2025</t>
        </is>
      </c>
      <c r="B251" s="1" t="n">
        <v>45889.68641203704</v>
      </c>
      <c r="C251" s="1" t="n">
        <v>46072</v>
      </c>
      <c r="D251" t="inlineStr">
        <is>
          <t>ÖSTERGÖTLANDS LÄN</t>
        </is>
      </c>
      <c r="E251" t="inlineStr">
        <is>
          <t>LINKÖPING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63665-2023</t>
        </is>
      </c>
      <c r="B252" s="1" t="n">
        <v>45275</v>
      </c>
      <c r="C252" s="1" t="n">
        <v>46072</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27264-2025</t>
        </is>
      </c>
      <c r="B253" s="1" t="n">
        <v>45812.4794212963</v>
      </c>
      <c r="C253" s="1" t="n">
        <v>46072</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56403-2025</t>
        </is>
      </c>
      <c r="B254" s="1" t="n">
        <v>45974</v>
      </c>
      <c r="C254" s="1" t="n">
        <v>46072</v>
      </c>
      <c r="D254" t="inlineStr">
        <is>
          <t>ÖSTERGÖTLANDS LÄN</t>
        </is>
      </c>
      <c r="E254" t="inlineStr">
        <is>
          <t>LINKÖPING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33867-2023</t>
        </is>
      </c>
      <c r="B255" s="1" t="n">
        <v>45133.94640046296</v>
      </c>
      <c r="C255" s="1" t="n">
        <v>46072</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39074-2025</t>
        </is>
      </c>
      <c r="B256" s="1" t="n">
        <v>45888</v>
      </c>
      <c r="C256" s="1" t="n">
        <v>46072</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72567-2021</t>
        </is>
      </c>
      <c r="B257" s="1" t="n">
        <v>44546.45023148148</v>
      </c>
      <c r="C257" s="1" t="n">
        <v>46072</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48699-2024</t>
        </is>
      </c>
      <c r="B258" s="1" t="n">
        <v>45593.52091435185</v>
      </c>
      <c r="C258" s="1" t="n">
        <v>46072</v>
      </c>
      <c r="D258" t="inlineStr">
        <is>
          <t>ÖSTERGÖTLANDS LÄN</t>
        </is>
      </c>
      <c r="E258" t="inlineStr">
        <is>
          <t>LINKÖPING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30985-2022</t>
        </is>
      </c>
      <c r="B259" s="1" t="n">
        <v>44768</v>
      </c>
      <c r="C259" s="1" t="n">
        <v>46072</v>
      </c>
      <c r="D259" t="inlineStr">
        <is>
          <t>ÖSTERGÖTLANDS LÄN</t>
        </is>
      </c>
      <c r="E259" t="inlineStr">
        <is>
          <t>LINKÖPING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38317-2024</t>
        </is>
      </c>
      <c r="B260" s="1" t="n">
        <v>45545.65766203704</v>
      </c>
      <c r="C260" s="1" t="n">
        <v>46072</v>
      </c>
      <c r="D260" t="inlineStr">
        <is>
          <t>ÖSTERGÖTLANDS LÄN</t>
        </is>
      </c>
      <c r="E260" t="inlineStr">
        <is>
          <t>LINKÖPING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13911-2025</t>
        </is>
      </c>
      <c r="B261" s="1" t="n">
        <v>45737.64784722222</v>
      </c>
      <c r="C261" s="1" t="n">
        <v>46072</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40169-2025</t>
        </is>
      </c>
      <c r="B262" s="1" t="n">
        <v>45894.62824074074</v>
      </c>
      <c r="C262" s="1" t="n">
        <v>46072</v>
      </c>
      <c r="D262" t="inlineStr">
        <is>
          <t>ÖSTERGÖTLANDS LÄN</t>
        </is>
      </c>
      <c r="E262" t="inlineStr">
        <is>
          <t>LINKÖPING</t>
        </is>
      </c>
      <c r="G262" t="n">
        <v>2.8</v>
      </c>
      <c r="H262" t="n">
        <v>0</v>
      </c>
      <c r="I262" t="n">
        <v>0</v>
      </c>
      <c r="J262" t="n">
        <v>0</v>
      </c>
      <c r="K262" t="n">
        <v>0</v>
      </c>
      <c r="L262" t="n">
        <v>0</v>
      </c>
      <c r="M262" t="n">
        <v>0</v>
      </c>
      <c r="N262" t="n">
        <v>0</v>
      </c>
      <c r="O262" t="n">
        <v>0</v>
      </c>
      <c r="P262" t="n">
        <v>0</v>
      </c>
      <c r="Q262" t="n">
        <v>0</v>
      </c>
      <c r="R262" s="2" t="inlineStr"/>
    </row>
    <row r="263" ht="15" customHeight="1">
      <c r="A263" t="inlineStr">
        <is>
          <t>A 58947-2022</t>
        </is>
      </c>
      <c r="B263" s="1" t="n">
        <v>44903.64769675926</v>
      </c>
      <c r="C263" s="1" t="n">
        <v>46072</v>
      </c>
      <c r="D263" t="inlineStr">
        <is>
          <t>ÖSTERGÖTLANDS LÄN</t>
        </is>
      </c>
      <c r="E263" t="inlineStr">
        <is>
          <t>LINKÖPING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56704-2025</t>
        </is>
      </c>
      <c r="B264" s="1" t="n">
        <v>45977.50608796296</v>
      </c>
      <c r="C264" s="1" t="n">
        <v>46072</v>
      </c>
      <c r="D264" t="inlineStr">
        <is>
          <t>ÖSTERGÖTLANDS LÄN</t>
        </is>
      </c>
      <c r="E264" t="inlineStr">
        <is>
          <t>LINKÖPING</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44280-2024</t>
        </is>
      </c>
      <c r="B265" s="1" t="n">
        <v>45573.49461805556</v>
      </c>
      <c r="C265" s="1" t="n">
        <v>46072</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16665-2023</t>
        </is>
      </c>
      <c r="B266" s="1" t="n">
        <v>45030.5583912037</v>
      </c>
      <c r="C266" s="1" t="n">
        <v>46072</v>
      </c>
      <c r="D266" t="inlineStr">
        <is>
          <t>ÖSTERGÖTLANDS LÄN</t>
        </is>
      </c>
      <c r="E266" t="inlineStr">
        <is>
          <t>LINKÖPING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60001-2022</t>
        </is>
      </c>
      <c r="B267" s="1" t="n">
        <v>44909.47087962963</v>
      </c>
      <c r="C267" s="1" t="n">
        <v>46072</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60013-2022</t>
        </is>
      </c>
      <c r="B268" s="1" t="n">
        <v>44909.47482638889</v>
      </c>
      <c r="C268" s="1" t="n">
        <v>46072</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1211-2023</t>
        </is>
      </c>
      <c r="B269" s="1" t="n">
        <v>44930</v>
      </c>
      <c r="C269" s="1" t="n">
        <v>46072</v>
      </c>
      <c r="D269" t="inlineStr">
        <is>
          <t>ÖSTERGÖTLANDS LÄN</t>
        </is>
      </c>
      <c r="E269" t="inlineStr">
        <is>
          <t>LINKÖPING</t>
        </is>
      </c>
      <c r="F269" t="inlineStr">
        <is>
          <t>Övriga statliga verk och myndigheter</t>
        </is>
      </c>
      <c r="G269" t="n">
        <v>7.9</v>
      </c>
      <c r="H269" t="n">
        <v>0</v>
      </c>
      <c r="I269" t="n">
        <v>0</v>
      </c>
      <c r="J269" t="n">
        <v>0</v>
      </c>
      <c r="K269" t="n">
        <v>0</v>
      </c>
      <c r="L269" t="n">
        <v>0</v>
      </c>
      <c r="M269" t="n">
        <v>0</v>
      </c>
      <c r="N269" t="n">
        <v>0</v>
      </c>
      <c r="O269" t="n">
        <v>0</v>
      </c>
      <c r="P269" t="n">
        <v>0</v>
      </c>
      <c r="Q269" t="n">
        <v>0</v>
      </c>
      <c r="R269" s="2" t="inlineStr"/>
    </row>
    <row r="270" ht="15" customHeight="1">
      <c r="A270" t="inlineStr">
        <is>
          <t>A 38136-2023</t>
        </is>
      </c>
      <c r="B270" s="1" t="n">
        <v>45161.37310185185</v>
      </c>
      <c r="C270" s="1" t="n">
        <v>46072</v>
      </c>
      <c r="D270" t="inlineStr">
        <is>
          <t>ÖSTERGÖTLANDS LÄN</t>
        </is>
      </c>
      <c r="E270" t="inlineStr">
        <is>
          <t>LINKÖPING</t>
        </is>
      </c>
      <c r="G270" t="n">
        <v>5.6</v>
      </c>
      <c r="H270" t="n">
        <v>0</v>
      </c>
      <c r="I270" t="n">
        <v>0</v>
      </c>
      <c r="J270" t="n">
        <v>0</v>
      </c>
      <c r="K270" t="n">
        <v>0</v>
      </c>
      <c r="L270" t="n">
        <v>0</v>
      </c>
      <c r="M270" t="n">
        <v>0</v>
      </c>
      <c r="N270" t="n">
        <v>0</v>
      </c>
      <c r="O270" t="n">
        <v>0</v>
      </c>
      <c r="P270" t="n">
        <v>0</v>
      </c>
      <c r="Q270" t="n">
        <v>0</v>
      </c>
      <c r="R270" s="2" t="inlineStr"/>
    </row>
    <row r="271" ht="15" customHeight="1">
      <c r="A271" t="inlineStr">
        <is>
          <t>A 26002-2025</t>
        </is>
      </c>
      <c r="B271" s="1" t="n">
        <v>45804.66534722222</v>
      </c>
      <c r="C271" s="1" t="n">
        <v>46072</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25996-2025</t>
        </is>
      </c>
      <c r="B272" s="1" t="n">
        <v>45804.65851851852</v>
      </c>
      <c r="C272" s="1" t="n">
        <v>46072</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41511-2025</t>
        </is>
      </c>
      <c r="B273" s="1" t="n">
        <v>45901.53839120371</v>
      </c>
      <c r="C273" s="1" t="n">
        <v>46072</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12317-2025</t>
        </is>
      </c>
      <c r="B274" s="1" t="n">
        <v>45729.8487037037</v>
      </c>
      <c r="C274" s="1" t="n">
        <v>46072</v>
      </c>
      <c r="D274" t="inlineStr">
        <is>
          <t>ÖSTERGÖTLANDS LÄN</t>
        </is>
      </c>
      <c r="E274" t="inlineStr">
        <is>
          <t>LINKÖPING</t>
        </is>
      </c>
      <c r="G274" t="n">
        <v>8</v>
      </c>
      <c r="H274" t="n">
        <v>0</v>
      </c>
      <c r="I274" t="n">
        <v>0</v>
      </c>
      <c r="J274" t="n">
        <v>0</v>
      </c>
      <c r="K274" t="n">
        <v>0</v>
      </c>
      <c r="L274" t="n">
        <v>0</v>
      </c>
      <c r="M274" t="n">
        <v>0</v>
      </c>
      <c r="N274" t="n">
        <v>0</v>
      </c>
      <c r="O274" t="n">
        <v>0</v>
      </c>
      <c r="P274" t="n">
        <v>0</v>
      </c>
      <c r="Q274" t="n">
        <v>0</v>
      </c>
      <c r="R274" s="2" t="inlineStr"/>
    </row>
    <row r="275" ht="15" customHeight="1">
      <c r="A275" t="inlineStr">
        <is>
          <t>A 36557-2023</t>
        </is>
      </c>
      <c r="B275" s="1" t="n">
        <v>45153</v>
      </c>
      <c r="C275" s="1" t="n">
        <v>46072</v>
      </c>
      <c r="D275" t="inlineStr">
        <is>
          <t>ÖSTERGÖTLANDS LÄN</t>
        </is>
      </c>
      <c r="E275" t="inlineStr">
        <is>
          <t>LINKÖPING</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2085-2024</t>
        </is>
      </c>
      <c r="B276" s="1" t="n">
        <v>45309</v>
      </c>
      <c r="C276" s="1" t="n">
        <v>46072</v>
      </c>
      <c r="D276" t="inlineStr">
        <is>
          <t>ÖSTERGÖTLANDS LÄN</t>
        </is>
      </c>
      <c r="E276" t="inlineStr">
        <is>
          <t>LINKÖPING</t>
        </is>
      </c>
      <c r="G276" t="n">
        <v>4.5</v>
      </c>
      <c r="H276" t="n">
        <v>0</v>
      </c>
      <c r="I276" t="n">
        <v>0</v>
      </c>
      <c r="J276" t="n">
        <v>0</v>
      </c>
      <c r="K276" t="n">
        <v>0</v>
      </c>
      <c r="L276" t="n">
        <v>0</v>
      </c>
      <c r="M276" t="n">
        <v>0</v>
      </c>
      <c r="N276" t="n">
        <v>0</v>
      </c>
      <c r="O276" t="n">
        <v>0</v>
      </c>
      <c r="P276" t="n">
        <v>0</v>
      </c>
      <c r="Q276" t="n">
        <v>0</v>
      </c>
      <c r="R276" s="2" t="inlineStr"/>
    </row>
    <row r="277" ht="15" customHeight="1">
      <c r="A277" t="inlineStr">
        <is>
          <t>A 30468-2023</t>
        </is>
      </c>
      <c r="B277" s="1" t="n">
        <v>45111.58732638889</v>
      </c>
      <c r="C277" s="1" t="n">
        <v>46072</v>
      </c>
      <c r="D277" t="inlineStr">
        <is>
          <t>ÖSTERGÖTLANDS LÄN</t>
        </is>
      </c>
      <c r="E277" t="inlineStr">
        <is>
          <t>LINKÖPING</t>
        </is>
      </c>
      <c r="G277" t="n">
        <v>10.1</v>
      </c>
      <c r="H277" t="n">
        <v>0</v>
      </c>
      <c r="I277" t="n">
        <v>0</v>
      </c>
      <c r="J277" t="n">
        <v>0</v>
      </c>
      <c r="K277" t="n">
        <v>0</v>
      </c>
      <c r="L277" t="n">
        <v>0</v>
      </c>
      <c r="M277" t="n">
        <v>0</v>
      </c>
      <c r="N277" t="n">
        <v>0</v>
      </c>
      <c r="O277" t="n">
        <v>0</v>
      </c>
      <c r="P277" t="n">
        <v>0</v>
      </c>
      <c r="Q277" t="n">
        <v>0</v>
      </c>
      <c r="R277" s="2" t="inlineStr"/>
    </row>
    <row r="278" ht="15" customHeight="1">
      <c r="A278" t="inlineStr">
        <is>
          <t>A 41706-2025</t>
        </is>
      </c>
      <c r="B278" s="1" t="n">
        <v>45902.42209490741</v>
      </c>
      <c r="C278" s="1" t="n">
        <v>46072</v>
      </c>
      <c r="D278" t="inlineStr">
        <is>
          <t>ÖSTERGÖTLANDS LÄN</t>
        </is>
      </c>
      <c r="E278" t="inlineStr">
        <is>
          <t>LINKÖPING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38715-2023</t>
        </is>
      </c>
      <c r="B279" s="1" t="n">
        <v>45160</v>
      </c>
      <c r="C279" s="1" t="n">
        <v>46072</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3042-2024</t>
        </is>
      </c>
      <c r="B280" s="1" t="n">
        <v>45316.35028935185</v>
      </c>
      <c r="C280" s="1" t="n">
        <v>46072</v>
      </c>
      <c r="D280" t="inlineStr">
        <is>
          <t>ÖSTERGÖTLANDS LÄN</t>
        </is>
      </c>
      <c r="E280" t="inlineStr">
        <is>
          <t>LINKÖPING</t>
        </is>
      </c>
      <c r="G280" t="n">
        <v>3.1</v>
      </c>
      <c r="H280" t="n">
        <v>0</v>
      </c>
      <c r="I280" t="n">
        <v>0</v>
      </c>
      <c r="J280" t="n">
        <v>0</v>
      </c>
      <c r="K280" t="n">
        <v>0</v>
      </c>
      <c r="L280" t="n">
        <v>0</v>
      </c>
      <c r="M280" t="n">
        <v>0</v>
      </c>
      <c r="N280" t="n">
        <v>0</v>
      </c>
      <c r="O280" t="n">
        <v>0</v>
      </c>
      <c r="P280" t="n">
        <v>0</v>
      </c>
      <c r="Q280" t="n">
        <v>0</v>
      </c>
      <c r="R280" s="2" t="inlineStr"/>
    </row>
    <row r="281" ht="15" customHeight="1">
      <c r="A281" t="inlineStr">
        <is>
          <t>A 29293-2025</t>
        </is>
      </c>
      <c r="B281" s="1" t="n">
        <v>45824</v>
      </c>
      <c r="C281" s="1" t="n">
        <v>46072</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34864-2023</t>
        </is>
      </c>
      <c r="B282" s="1" t="n">
        <v>45141</v>
      </c>
      <c r="C282" s="1" t="n">
        <v>46072</v>
      </c>
      <c r="D282" t="inlineStr">
        <is>
          <t>ÖSTERGÖTLANDS LÄN</t>
        </is>
      </c>
      <c r="E282" t="inlineStr">
        <is>
          <t>LINKÖPING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42624-2025</t>
        </is>
      </c>
      <c r="B283" s="1" t="n">
        <v>45905</v>
      </c>
      <c r="C283" s="1" t="n">
        <v>46072</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42626-2025</t>
        </is>
      </c>
      <c r="B284" s="1" t="n">
        <v>45905</v>
      </c>
      <c r="C284" s="1" t="n">
        <v>46072</v>
      </c>
      <c r="D284" t="inlineStr">
        <is>
          <t>ÖSTERGÖTLANDS LÄN</t>
        </is>
      </c>
      <c r="E284" t="inlineStr">
        <is>
          <t>LINKÖPING</t>
        </is>
      </c>
      <c r="G284" t="n">
        <v>3.6</v>
      </c>
      <c r="H284" t="n">
        <v>0</v>
      </c>
      <c r="I284" t="n">
        <v>0</v>
      </c>
      <c r="J284" t="n">
        <v>0</v>
      </c>
      <c r="K284" t="n">
        <v>0</v>
      </c>
      <c r="L284" t="n">
        <v>0</v>
      </c>
      <c r="M284" t="n">
        <v>0</v>
      </c>
      <c r="N284" t="n">
        <v>0</v>
      </c>
      <c r="O284" t="n">
        <v>0</v>
      </c>
      <c r="P284" t="n">
        <v>0</v>
      </c>
      <c r="Q284" t="n">
        <v>0</v>
      </c>
      <c r="R284" s="2" t="inlineStr"/>
    </row>
    <row r="285" ht="15" customHeight="1">
      <c r="A285" t="inlineStr">
        <is>
          <t>A 42623-2025</t>
        </is>
      </c>
      <c r="B285" s="1" t="n">
        <v>45905</v>
      </c>
      <c r="C285" s="1" t="n">
        <v>46072</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46687-2021</t>
        </is>
      </c>
      <c r="B286" s="1" t="n">
        <v>44445</v>
      </c>
      <c r="C286" s="1" t="n">
        <v>46072</v>
      </c>
      <c r="D286" t="inlineStr">
        <is>
          <t>ÖSTERGÖTLANDS LÄN</t>
        </is>
      </c>
      <c r="E286" t="inlineStr">
        <is>
          <t>LINKÖPING</t>
        </is>
      </c>
      <c r="F286" t="inlineStr">
        <is>
          <t>Övriga statliga verk och myndigheter</t>
        </is>
      </c>
      <c r="G286" t="n">
        <v>2.3</v>
      </c>
      <c r="H286" t="n">
        <v>0</v>
      </c>
      <c r="I286" t="n">
        <v>0</v>
      </c>
      <c r="J286" t="n">
        <v>0</v>
      </c>
      <c r="K286" t="n">
        <v>0</v>
      </c>
      <c r="L286" t="n">
        <v>0</v>
      </c>
      <c r="M286" t="n">
        <v>0</v>
      </c>
      <c r="N286" t="n">
        <v>0</v>
      </c>
      <c r="O286" t="n">
        <v>0</v>
      </c>
      <c r="P286" t="n">
        <v>0</v>
      </c>
      <c r="Q286" t="n">
        <v>0</v>
      </c>
      <c r="R286" s="2" t="inlineStr"/>
    </row>
    <row r="287" ht="15" customHeight="1">
      <c r="A287" t="inlineStr">
        <is>
          <t>A 17103-2025</t>
        </is>
      </c>
      <c r="B287" s="1" t="n">
        <v>45755.66143518518</v>
      </c>
      <c r="C287" s="1" t="n">
        <v>46072</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40618-2021</t>
        </is>
      </c>
      <c r="B288" s="1" t="n">
        <v>44420.49575231481</v>
      </c>
      <c r="C288" s="1" t="n">
        <v>46072</v>
      </c>
      <c r="D288" t="inlineStr">
        <is>
          <t>ÖSTERGÖTLANDS LÄN</t>
        </is>
      </c>
      <c r="E288" t="inlineStr">
        <is>
          <t>LINKÖPING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56180-2024</t>
        </is>
      </c>
      <c r="B289" s="1" t="n">
        <v>45624.56611111111</v>
      </c>
      <c r="C289" s="1" t="n">
        <v>46072</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30471-2023</t>
        </is>
      </c>
      <c r="B290" s="1" t="n">
        <v>45111.58931712963</v>
      </c>
      <c r="C290" s="1" t="n">
        <v>46072</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27950-2025</t>
        </is>
      </c>
      <c r="B291" s="1" t="n">
        <v>45817.52960648148</v>
      </c>
      <c r="C291" s="1" t="n">
        <v>46072</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227-2024</t>
        </is>
      </c>
      <c r="B292" s="1" t="n">
        <v>45294.73603009259</v>
      </c>
      <c r="C292" s="1" t="n">
        <v>46072</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27797-2025</t>
        </is>
      </c>
      <c r="B293" s="1" t="n">
        <v>45816.80521990741</v>
      </c>
      <c r="C293" s="1" t="n">
        <v>46072</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27798-2025</t>
        </is>
      </c>
      <c r="B294" s="1" t="n">
        <v>45816.81532407407</v>
      </c>
      <c r="C294" s="1" t="n">
        <v>46072</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44155-2024</t>
        </is>
      </c>
      <c r="B295" s="1" t="n">
        <v>45572.68226851852</v>
      </c>
      <c r="C295" s="1" t="n">
        <v>46072</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44170-2025</t>
        </is>
      </c>
      <c r="B296" s="1" t="n">
        <v>45915.59864583334</v>
      </c>
      <c r="C296" s="1" t="n">
        <v>46072</v>
      </c>
      <c r="D296" t="inlineStr">
        <is>
          <t>ÖSTERGÖTLANDS LÄN</t>
        </is>
      </c>
      <c r="E296" t="inlineStr">
        <is>
          <t>LINKÖPING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28200-2025</t>
        </is>
      </c>
      <c r="B297" s="1" t="n">
        <v>45818.4428125</v>
      </c>
      <c r="C297" s="1" t="n">
        <v>46072</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43755-2025</t>
        </is>
      </c>
      <c r="B298" s="1" t="n">
        <v>45912.47329861111</v>
      </c>
      <c r="C298" s="1" t="n">
        <v>46072</v>
      </c>
      <c r="D298" t="inlineStr">
        <is>
          <t>ÖSTERGÖTLANDS LÄN</t>
        </is>
      </c>
      <c r="E298" t="inlineStr">
        <is>
          <t>LINKÖPING</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43758-2025</t>
        </is>
      </c>
      <c r="B299" s="1" t="n">
        <v>45912.47711805555</v>
      </c>
      <c r="C299" s="1" t="n">
        <v>46072</v>
      </c>
      <c r="D299" t="inlineStr">
        <is>
          <t>ÖSTERGÖTLANDS LÄN</t>
        </is>
      </c>
      <c r="E299" t="inlineStr">
        <is>
          <t>LINKÖPING</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28204-2025</t>
        </is>
      </c>
      <c r="B300" s="1" t="n">
        <v>45818.4477662037</v>
      </c>
      <c r="C300" s="1" t="n">
        <v>46072</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43753-2025</t>
        </is>
      </c>
      <c r="B301" s="1" t="n">
        <v>45912.4715625</v>
      </c>
      <c r="C301" s="1" t="n">
        <v>46072</v>
      </c>
      <c r="D301" t="inlineStr">
        <is>
          <t>ÖSTERGÖTLANDS LÄN</t>
        </is>
      </c>
      <c r="E301" t="inlineStr">
        <is>
          <t>LINKÖPING</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28416-2025</t>
        </is>
      </c>
      <c r="B302" s="1" t="n">
        <v>45819.35346064815</v>
      </c>
      <c r="C302" s="1" t="n">
        <v>46072</v>
      </c>
      <c r="D302" t="inlineStr">
        <is>
          <t>ÖSTERGÖTLANDS LÄN</t>
        </is>
      </c>
      <c r="E302" t="inlineStr">
        <is>
          <t>LINKÖPING</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30434-2024</t>
        </is>
      </c>
      <c r="B303" s="1" t="n">
        <v>45491.69811342593</v>
      </c>
      <c r="C303" s="1" t="n">
        <v>46072</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56917-2022</t>
        </is>
      </c>
      <c r="B304" s="1" t="n">
        <v>44894</v>
      </c>
      <c r="C304" s="1" t="n">
        <v>46072</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57766-2023</t>
        </is>
      </c>
      <c r="B305" s="1" t="n">
        <v>45246</v>
      </c>
      <c r="C305" s="1" t="n">
        <v>46072</v>
      </c>
      <c r="D305" t="inlineStr">
        <is>
          <t>ÖSTERGÖTLANDS LÄN</t>
        </is>
      </c>
      <c r="E305" t="inlineStr">
        <is>
          <t>LINKÖPING</t>
        </is>
      </c>
      <c r="F305" t="inlineStr">
        <is>
          <t>Allmännings- och besparingsskogar</t>
        </is>
      </c>
      <c r="G305" t="n">
        <v>12.8</v>
      </c>
      <c r="H305" t="n">
        <v>0</v>
      </c>
      <c r="I305" t="n">
        <v>0</v>
      </c>
      <c r="J305" t="n">
        <v>0</v>
      </c>
      <c r="K305" t="n">
        <v>0</v>
      </c>
      <c r="L305" t="n">
        <v>0</v>
      </c>
      <c r="M305" t="n">
        <v>0</v>
      </c>
      <c r="N305" t="n">
        <v>0</v>
      </c>
      <c r="O305" t="n">
        <v>0</v>
      </c>
      <c r="P305" t="n">
        <v>0</v>
      </c>
      <c r="Q305" t="n">
        <v>0</v>
      </c>
      <c r="R305" s="2" t="inlineStr"/>
    </row>
    <row r="306" ht="15" customHeight="1">
      <c r="A306" t="inlineStr">
        <is>
          <t>A 44759-2025</t>
        </is>
      </c>
      <c r="B306" s="1" t="n">
        <v>45917.7152662037</v>
      </c>
      <c r="C306" s="1" t="n">
        <v>46072</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28398-2025</t>
        </is>
      </c>
      <c r="B307" s="1" t="n">
        <v>45819.34208333334</v>
      </c>
      <c r="C307" s="1" t="n">
        <v>46072</v>
      </c>
      <c r="D307" t="inlineStr">
        <is>
          <t>ÖSTERGÖTLANDS LÄN</t>
        </is>
      </c>
      <c r="E307" t="inlineStr">
        <is>
          <t>LINKÖPING</t>
        </is>
      </c>
      <c r="F307" t="inlineStr">
        <is>
          <t>Sveaskog</t>
        </is>
      </c>
      <c r="G307" t="n">
        <v>7.9</v>
      </c>
      <c r="H307" t="n">
        <v>0</v>
      </c>
      <c r="I307" t="n">
        <v>0</v>
      </c>
      <c r="J307" t="n">
        <v>0</v>
      </c>
      <c r="K307" t="n">
        <v>0</v>
      </c>
      <c r="L307" t="n">
        <v>0</v>
      </c>
      <c r="M307" t="n">
        <v>0</v>
      </c>
      <c r="N307" t="n">
        <v>0</v>
      </c>
      <c r="O307" t="n">
        <v>0</v>
      </c>
      <c r="P307" t="n">
        <v>0</v>
      </c>
      <c r="Q307" t="n">
        <v>0</v>
      </c>
      <c r="R307" s="2" t="inlineStr"/>
    </row>
    <row r="308" ht="15" customHeight="1">
      <c r="A308" t="inlineStr">
        <is>
          <t>A 28209-2025</t>
        </is>
      </c>
      <c r="B308" s="1" t="n">
        <v>45818.45112268518</v>
      </c>
      <c r="C308" s="1" t="n">
        <v>46072</v>
      </c>
      <c r="D308" t="inlineStr">
        <is>
          <t>ÖSTERGÖTLANDS LÄN</t>
        </is>
      </c>
      <c r="E308" t="inlineStr">
        <is>
          <t>LINKÖPING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44764-2025</t>
        </is>
      </c>
      <c r="B309" s="1" t="n">
        <v>45917.72821759259</v>
      </c>
      <c r="C309" s="1" t="n">
        <v>46072</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45112-2025</t>
        </is>
      </c>
      <c r="B310" s="1" t="n">
        <v>45919</v>
      </c>
      <c r="C310" s="1" t="n">
        <v>46072</v>
      </c>
      <c r="D310" t="inlineStr">
        <is>
          <t>ÖSTERGÖTLANDS LÄN</t>
        </is>
      </c>
      <c r="E310" t="inlineStr">
        <is>
          <t>LINKÖPING</t>
        </is>
      </c>
      <c r="G310" t="n">
        <v>3.5</v>
      </c>
      <c r="H310" t="n">
        <v>0</v>
      </c>
      <c r="I310" t="n">
        <v>0</v>
      </c>
      <c r="J310" t="n">
        <v>0</v>
      </c>
      <c r="K310" t="n">
        <v>0</v>
      </c>
      <c r="L310" t="n">
        <v>0</v>
      </c>
      <c r="M310" t="n">
        <v>0</v>
      </c>
      <c r="N310" t="n">
        <v>0</v>
      </c>
      <c r="O310" t="n">
        <v>0</v>
      </c>
      <c r="P310" t="n">
        <v>0</v>
      </c>
      <c r="Q310" t="n">
        <v>0</v>
      </c>
      <c r="R310" s="2" t="inlineStr"/>
    </row>
    <row r="311" ht="15" customHeight="1">
      <c r="A311" t="inlineStr">
        <is>
          <t>A 25568-2024</t>
        </is>
      </c>
      <c r="B311" s="1" t="n">
        <v>45463.58699074074</v>
      </c>
      <c r="C311" s="1" t="n">
        <v>46072</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29027-2025</t>
        </is>
      </c>
      <c r="B312" s="1" t="n">
        <v>45821.4375462963</v>
      </c>
      <c r="C312" s="1" t="n">
        <v>46072</v>
      </c>
      <c r="D312" t="inlineStr">
        <is>
          <t>ÖSTERGÖTLANDS LÄN</t>
        </is>
      </c>
      <c r="E312" t="inlineStr">
        <is>
          <t>LINKÖPING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29411-2025</t>
        </is>
      </c>
      <c r="B313" s="1" t="n">
        <v>45824.6219212963</v>
      </c>
      <c r="C313" s="1" t="n">
        <v>46072</v>
      </c>
      <c r="D313" t="inlineStr">
        <is>
          <t>ÖSTERGÖTLANDS LÄN</t>
        </is>
      </c>
      <c r="E313" t="inlineStr">
        <is>
          <t>LINKÖPING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29393-2025</t>
        </is>
      </c>
      <c r="B314" s="1" t="n">
        <v>45824.6057175926</v>
      </c>
      <c r="C314" s="1" t="n">
        <v>46072</v>
      </c>
      <c r="D314" t="inlineStr">
        <is>
          <t>ÖSTERGÖTLANDS LÄN</t>
        </is>
      </c>
      <c r="E314" t="inlineStr">
        <is>
          <t>LINKÖPING</t>
        </is>
      </c>
      <c r="F314" t="inlineStr">
        <is>
          <t>Sveaskog</t>
        </is>
      </c>
      <c r="G314" t="n">
        <v>24.6</v>
      </c>
      <c r="H314" t="n">
        <v>0</v>
      </c>
      <c r="I314" t="n">
        <v>0</v>
      </c>
      <c r="J314" t="n">
        <v>0</v>
      </c>
      <c r="K314" t="n">
        <v>0</v>
      </c>
      <c r="L314" t="n">
        <v>0</v>
      </c>
      <c r="M314" t="n">
        <v>0</v>
      </c>
      <c r="N314" t="n">
        <v>0</v>
      </c>
      <c r="O314" t="n">
        <v>0</v>
      </c>
      <c r="P314" t="n">
        <v>0</v>
      </c>
      <c r="Q314" t="n">
        <v>0</v>
      </c>
      <c r="R314" s="2" t="inlineStr"/>
    </row>
    <row r="315" ht="15" customHeight="1">
      <c r="A315" t="inlineStr">
        <is>
          <t>A 22833-2023</t>
        </is>
      </c>
      <c r="B315" s="1" t="n">
        <v>45071</v>
      </c>
      <c r="C315" s="1" t="n">
        <v>46072</v>
      </c>
      <c r="D315" t="inlineStr">
        <is>
          <t>ÖSTERGÖTLANDS LÄN</t>
        </is>
      </c>
      <c r="E315" t="inlineStr">
        <is>
          <t>LINKÖPING</t>
        </is>
      </c>
      <c r="F315" t="inlineStr">
        <is>
          <t>Kommuner</t>
        </is>
      </c>
      <c r="G315" t="n">
        <v>1</v>
      </c>
      <c r="H315" t="n">
        <v>0</v>
      </c>
      <c r="I315" t="n">
        <v>0</v>
      </c>
      <c r="J315" t="n">
        <v>0</v>
      </c>
      <c r="K315" t="n">
        <v>0</v>
      </c>
      <c r="L315" t="n">
        <v>0</v>
      </c>
      <c r="M315" t="n">
        <v>0</v>
      </c>
      <c r="N315" t="n">
        <v>0</v>
      </c>
      <c r="O315" t="n">
        <v>0</v>
      </c>
      <c r="P315" t="n">
        <v>0</v>
      </c>
      <c r="Q315" t="n">
        <v>0</v>
      </c>
      <c r="R315" s="2" t="inlineStr"/>
    </row>
    <row r="316" ht="15" customHeight="1">
      <c r="A316" t="inlineStr">
        <is>
          <t>A 45634-2025</t>
        </is>
      </c>
      <c r="B316" s="1" t="n">
        <v>45922.85089120371</v>
      </c>
      <c r="C316" s="1" t="n">
        <v>46072</v>
      </c>
      <c r="D316" t="inlineStr">
        <is>
          <t>ÖSTERGÖTLANDS LÄN</t>
        </is>
      </c>
      <c r="E316" t="inlineStr">
        <is>
          <t>LINKÖPING</t>
        </is>
      </c>
      <c r="F316" t="inlineStr">
        <is>
          <t>Övriga Aktiebolag</t>
        </is>
      </c>
      <c r="G316" t="n">
        <v>0.3</v>
      </c>
      <c r="H316" t="n">
        <v>0</v>
      </c>
      <c r="I316" t="n">
        <v>0</v>
      </c>
      <c r="J316" t="n">
        <v>0</v>
      </c>
      <c r="K316" t="n">
        <v>0</v>
      </c>
      <c r="L316" t="n">
        <v>0</v>
      </c>
      <c r="M316" t="n">
        <v>0</v>
      </c>
      <c r="N316" t="n">
        <v>0</v>
      </c>
      <c r="O316" t="n">
        <v>0</v>
      </c>
      <c r="P316" t="n">
        <v>0</v>
      </c>
      <c r="Q316" t="n">
        <v>0</v>
      </c>
      <c r="R316" s="2" t="inlineStr"/>
    </row>
    <row r="317" ht="15" customHeight="1">
      <c r="A317" t="inlineStr">
        <is>
          <t>A 29599-2025</t>
        </is>
      </c>
      <c r="B317" s="1" t="n">
        <v>45825.41101851852</v>
      </c>
      <c r="C317" s="1" t="n">
        <v>46072</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2997-2025</t>
        </is>
      </c>
      <c r="B318" s="1" t="n">
        <v>45678.54631944445</v>
      </c>
      <c r="C318" s="1" t="n">
        <v>46072</v>
      </c>
      <c r="D318" t="inlineStr">
        <is>
          <t>ÖSTERGÖTLANDS LÄN</t>
        </is>
      </c>
      <c r="E318" t="inlineStr">
        <is>
          <t>LINKÖPING</t>
        </is>
      </c>
      <c r="G318" t="n">
        <v>2.7</v>
      </c>
      <c r="H318" t="n">
        <v>0</v>
      </c>
      <c r="I318" t="n">
        <v>0</v>
      </c>
      <c r="J318" t="n">
        <v>0</v>
      </c>
      <c r="K318" t="n">
        <v>0</v>
      </c>
      <c r="L318" t="n">
        <v>0</v>
      </c>
      <c r="M318" t="n">
        <v>0</v>
      </c>
      <c r="N318" t="n">
        <v>0</v>
      </c>
      <c r="O318" t="n">
        <v>0</v>
      </c>
      <c r="P318" t="n">
        <v>0</v>
      </c>
      <c r="Q318" t="n">
        <v>0</v>
      </c>
      <c r="R318" s="2" t="inlineStr"/>
    </row>
    <row r="319" ht="15" customHeight="1">
      <c r="A319" t="inlineStr">
        <is>
          <t>A 41345-2021</t>
        </is>
      </c>
      <c r="B319" s="1" t="n">
        <v>44424.61851851852</v>
      </c>
      <c r="C319" s="1" t="n">
        <v>46072</v>
      </c>
      <c r="D319" t="inlineStr">
        <is>
          <t>ÖSTERGÖTLANDS LÄN</t>
        </is>
      </c>
      <c r="E319" t="inlineStr">
        <is>
          <t>LINKÖPING</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45792-2025</t>
        </is>
      </c>
      <c r="B320" s="1" t="n">
        <v>45923.56998842592</v>
      </c>
      <c r="C320" s="1" t="n">
        <v>46072</v>
      </c>
      <c r="D320" t="inlineStr">
        <is>
          <t>ÖSTERGÖTLANDS LÄN</t>
        </is>
      </c>
      <c r="E320" t="inlineStr">
        <is>
          <t>LINKÖPING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45804-2025</t>
        </is>
      </c>
      <c r="B321" s="1" t="n">
        <v>45923.5819675926</v>
      </c>
      <c r="C321" s="1" t="n">
        <v>46072</v>
      </c>
      <c r="D321" t="inlineStr">
        <is>
          <t>ÖSTERGÖTLANDS LÄN</t>
        </is>
      </c>
      <c r="E321" t="inlineStr">
        <is>
          <t>LINKÖPING</t>
        </is>
      </c>
      <c r="G321" t="n">
        <v>3.3</v>
      </c>
      <c r="H321" t="n">
        <v>0</v>
      </c>
      <c r="I321" t="n">
        <v>0</v>
      </c>
      <c r="J321" t="n">
        <v>0</v>
      </c>
      <c r="K321" t="n">
        <v>0</v>
      </c>
      <c r="L321" t="n">
        <v>0</v>
      </c>
      <c r="M321" t="n">
        <v>0</v>
      </c>
      <c r="N321" t="n">
        <v>0</v>
      </c>
      <c r="O321" t="n">
        <v>0</v>
      </c>
      <c r="P321" t="n">
        <v>0</v>
      </c>
      <c r="Q321" t="n">
        <v>0</v>
      </c>
      <c r="R321" s="2" t="inlineStr"/>
    </row>
    <row r="322" ht="15" customHeight="1">
      <c r="A322" t="inlineStr">
        <is>
          <t>A 13266-2025</t>
        </is>
      </c>
      <c r="B322" s="1" t="n">
        <v>45735.53318287037</v>
      </c>
      <c r="C322" s="1" t="n">
        <v>46072</v>
      </c>
      <c r="D322" t="inlineStr">
        <is>
          <t>ÖSTERGÖTLANDS LÄN</t>
        </is>
      </c>
      <c r="E322" t="inlineStr">
        <is>
          <t>LINKÖPING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46426-2025</t>
        </is>
      </c>
      <c r="B323" s="1" t="n">
        <v>45925.6012962963</v>
      </c>
      <c r="C323" s="1" t="n">
        <v>46072</v>
      </c>
      <c r="D323" t="inlineStr">
        <is>
          <t>ÖSTERGÖTLANDS LÄN</t>
        </is>
      </c>
      <c r="E323" t="inlineStr">
        <is>
          <t>LINKÖPING</t>
        </is>
      </c>
      <c r="G323" t="n">
        <v>4.4</v>
      </c>
      <c r="H323" t="n">
        <v>0</v>
      </c>
      <c r="I323" t="n">
        <v>0</v>
      </c>
      <c r="J323" t="n">
        <v>0</v>
      </c>
      <c r="K323" t="n">
        <v>0</v>
      </c>
      <c r="L323" t="n">
        <v>0</v>
      </c>
      <c r="M323" t="n">
        <v>0</v>
      </c>
      <c r="N323" t="n">
        <v>0</v>
      </c>
      <c r="O323" t="n">
        <v>0</v>
      </c>
      <c r="P323" t="n">
        <v>0</v>
      </c>
      <c r="Q323" t="n">
        <v>0</v>
      </c>
      <c r="R323" s="2" t="inlineStr"/>
    </row>
    <row r="324" ht="15" customHeight="1">
      <c r="A324" t="inlineStr">
        <is>
          <t>A 16213-2025</t>
        </is>
      </c>
      <c r="B324" s="1" t="n">
        <v>45750.62740740741</v>
      </c>
      <c r="C324" s="1" t="n">
        <v>46072</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30355-2025</t>
        </is>
      </c>
      <c r="B325" s="1" t="n">
        <v>45827</v>
      </c>
      <c r="C325" s="1" t="n">
        <v>46072</v>
      </c>
      <c r="D325" t="inlineStr">
        <is>
          <t>ÖSTERGÖTLANDS LÄN</t>
        </is>
      </c>
      <c r="E325" t="inlineStr">
        <is>
          <t>LINKÖPING</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30353-2025</t>
        </is>
      </c>
      <c r="B326" s="1" t="n">
        <v>45827</v>
      </c>
      <c r="C326" s="1" t="n">
        <v>46072</v>
      </c>
      <c r="D326" t="inlineStr">
        <is>
          <t>ÖSTERGÖTLANDS LÄN</t>
        </is>
      </c>
      <c r="E326" t="inlineStr">
        <is>
          <t>LINKÖPING</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46428-2025</t>
        </is>
      </c>
      <c r="B327" s="1" t="n">
        <v>45925.60758101852</v>
      </c>
      <c r="C327" s="1" t="n">
        <v>46072</v>
      </c>
      <c r="D327" t="inlineStr">
        <is>
          <t>ÖSTERGÖTLANDS LÄN</t>
        </is>
      </c>
      <c r="E327" t="inlineStr">
        <is>
          <t>LINKÖPING</t>
        </is>
      </c>
      <c r="G327" t="n">
        <v>3</v>
      </c>
      <c r="H327" t="n">
        <v>0</v>
      </c>
      <c r="I327" t="n">
        <v>0</v>
      </c>
      <c r="J327" t="n">
        <v>0</v>
      </c>
      <c r="K327" t="n">
        <v>0</v>
      </c>
      <c r="L327" t="n">
        <v>0</v>
      </c>
      <c r="M327" t="n">
        <v>0</v>
      </c>
      <c r="N327" t="n">
        <v>0</v>
      </c>
      <c r="O327" t="n">
        <v>0</v>
      </c>
      <c r="P327" t="n">
        <v>0</v>
      </c>
      <c r="Q327" t="n">
        <v>0</v>
      </c>
      <c r="R327" s="2" t="inlineStr"/>
    </row>
    <row r="328" ht="15" customHeight="1">
      <c r="A328" t="inlineStr">
        <is>
          <t>A 46377-2025</t>
        </is>
      </c>
      <c r="B328" s="1" t="n">
        <v>45925.51773148148</v>
      </c>
      <c r="C328" s="1" t="n">
        <v>46072</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46225-2021</t>
        </is>
      </c>
      <c r="B329" s="1" t="n">
        <v>44442</v>
      </c>
      <c r="C329" s="1" t="n">
        <v>46072</v>
      </c>
      <c r="D329" t="inlineStr">
        <is>
          <t>ÖSTERGÖTLANDS LÄN</t>
        </is>
      </c>
      <c r="E329" t="inlineStr">
        <is>
          <t>LINKÖPING</t>
        </is>
      </c>
      <c r="G329" t="n">
        <v>2.9</v>
      </c>
      <c r="H329" t="n">
        <v>0</v>
      </c>
      <c r="I329" t="n">
        <v>0</v>
      </c>
      <c r="J329" t="n">
        <v>0</v>
      </c>
      <c r="K329" t="n">
        <v>0</v>
      </c>
      <c r="L329" t="n">
        <v>0</v>
      </c>
      <c r="M329" t="n">
        <v>0</v>
      </c>
      <c r="N329" t="n">
        <v>0</v>
      </c>
      <c r="O329" t="n">
        <v>0</v>
      </c>
      <c r="P329" t="n">
        <v>0</v>
      </c>
      <c r="Q329" t="n">
        <v>0</v>
      </c>
      <c r="R329" s="2" t="inlineStr"/>
    </row>
    <row r="330" ht="15" customHeight="1">
      <c r="A330" t="inlineStr">
        <is>
          <t>A 25776-2021</t>
        </is>
      </c>
      <c r="B330" s="1" t="n">
        <v>44343</v>
      </c>
      <c r="C330" s="1" t="n">
        <v>46072</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51484-2023</t>
        </is>
      </c>
      <c r="B331" s="1" t="n">
        <v>45222</v>
      </c>
      <c r="C331" s="1" t="n">
        <v>46072</v>
      </c>
      <c r="D331" t="inlineStr">
        <is>
          <t>ÖSTERGÖTLANDS LÄN</t>
        </is>
      </c>
      <c r="E331" t="inlineStr">
        <is>
          <t>LINKÖPING</t>
        </is>
      </c>
      <c r="F331" t="inlineStr">
        <is>
          <t>Övriga Aktiebolag</t>
        </is>
      </c>
      <c r="G331" t="n">
        <v>7.7</v>
      </c>
      <c r="H331" t="n">
        <v>0</v>
      </c>
      <c r="I331" t="n">
        <v>0</v>
      </c>
      <c r="J331" t="n">
        <v>0</v>
      </c>
      <c r="K331" t="n">
        <v>0</v>
      </c>
      <c r="L331" t="n">
        <v>0</v>
      </c>
      <c r="M331" t="n">
        <v>0</v>
      </c>
      <c r="N331" t="n">
        <v>0</v>
      </c>
      <c r="O331" t="n">
        <v>0</v>
      </c>
      <c r="P331" t="n">
        <v>0</v>
      </c>
      <c r="Q331" t="n">
        <v>0</v>
      </c>
      <c r="R331" s="2" t="inlineStr"/>
    </row>
    <row r="332" ht="15" customHeight="1">
      <c r="A332" t="inlineStr">
        <is>
          <t>A 17898-2022</t>
        </is>
      </c>
      <c r="B332" s="1" t="n">
        <v>44683</v>
      </c>
      <c r="C332" s="1" t="n">
        <v>46072</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63487-2023</t>
        </is>
      </c>
      <c r="B333" s="1" t="n">
        <v>45274.66712962963</v>
      </c>
      <c r="C333" s="1" t="n">
        <v>46072</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35463-2023</t>
        </is>
      </c>
      <c r="B334" s="1" t="n">
        <v>45146</v>
      </c>
      <c r="C334" s="1" t="n">
        <v>46072</v>
      </c>
      <c r="D334" t="inlineStr">
        <is>
          <t>ÖSTERGÖTLANDS LÄN</t>
        </is>
      </c>
      <c r="E334" t="inlineStr">
        <is>
          <t>LINKÖPING</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46847-2025</t>
        </is>
      </c>
      <c r="B335" s="1" t="n">
        <v>45928.69971064815</v>
      </c>
      <c r="C335" s="1" t="n">
        <v>46072</v>
      </c>
      <c r="D335" t="inlineStr">
        <is>
          <t>ÖSTERGÖTLANDS LÄN</t>
        </is>
      </c>
      <c r="E335" t="inlineStr">
        <is>
          <t>LINKÖPING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47233-2025</t>
        </is>
      </c>
      <c r="B336" s="1" t="n">
        <v>45930.40612268518</v>
      </c>
      <c r="C336" s="1" t="n">
        <v>46072</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31581-2025</t>
        </is>
      </c>
      <c r="B337" s="1" t="n">
        <v>45833.6840162037</v>
      </c>
      <c r="C337" s="1" t="n">
        <v>46072</v>
      </c>
      <c r="D337" t="inlineStr">
        <is>
          <t>ÖSTERGÖTLANDS LÄN</t>
        </is>
      </c>
      <c r="E337" t="inlineStr">
        <is>
          <t>LINKÖPING</t>
        </is>
      </c>
      <c r="G337" t="n">
        <v>2.6</v>
      </c>
      <c r="H337" t="n">
        <v>0</v>
      </c>
      <c r="I337" t="n">
        <v>0</v>
      </c>
      <c r="J337" t="n">
        <v>0</v>
      </c>
      <c r="K337" t="n">
        <v>0</v>
      </c>
      <c r="L337" t="n">
        <v>0</v>
      </c>
      <c r="M337" t="n">
        <v>0</v>
      </c>
      <c r="N337" t="n">
        <v>0</v>
      </c>
      <c r="O337" t="n">
        <v>0</v>
      </c>
      <c r="P337" t="n">
        <v>0</v>
      </c>
      <c r="Q337" t="n">
        <v>0</v>
      </c>
      <c r="R337" s="2" t="inlineStr"/>
    </row>
    <row r="338" ht="15" customHeight="1">
      <c r="A338" t="inlineStr">
        <is>
          <t>A 31585-2025</t>
        </is>
      </c>
      <c r="B338" s="1" t="n">
        <v>45833.68815972222</v>
      </c>
      <c r="C338" s="1" t="n">
        <v>46072</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47606-2025</t>
        </is>
      </c>
      <c r="B339" s="1" t="n">
        <v>45931.46402777778</v>
      </c>
      <c r="C339" s="1" t="n">
        <v>46072</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55632-2022</t>
        </is>
      </c>
      <c r="B340" s="1" t="n">
        <v>44888</v>
      </c>
      <c r="C340" s="1" t="n">
        <v>46072</v>
      </c>
      <c r="D340" t="inlineStr">
        <is>
          <t>ÖSTERGÖTLANDS LÄN</t>
        </is>
      </c>
      <c r="E340" t="inlineStr">
        <is>
          <t>LINKÖPING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63559-2023</t>
        </is>
      </c>
      <c r="B341" s="1" t="n">
        <v>45275.35924768518</v>
      </c>
      <c r="C341" s="1" t="n">
        <v>46072</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47304-2025</t>
        </is>
      </c>
      <c r="B342" s="1" t="n">
        <v>45930.52037037037</v>
      </c>
      <c r="C342" s="1" t="n">
        <v>46072</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58114-2021</t>
        </is>
      </c>
      <c r="B343" s="1" t="n">
        <v>44487</v>
      </c>
      <c r="C343" s="1" t="n">
        <v>46072</v>
      </c>
      <c r="D343" t="inlineStr">
        <is>
          <t>ÖSTERGÖTLANDS LÄN</t>
        </is>
      </c>
      <c r="E343" t="inlineStr">
        <is>
          <t>LINKÖPING</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58802-2025</t>
        </is>
      </c>
      <c r="B344" s="1" t="n">
        <v>45986.8768287037</v>
      </c>
      <c r="C344" s="1" t="n">
        <v>46072</v>
      </c>
      <c r="D344" t="inlineStr">
        <is>
          <t>ÖSTERGÖTLANDS LÄN</t>
        </is>
      </c>
      <c r="E344" t="inlineStr">
        <is>
          <t>LINKÖPING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48343-2025</t>
        </is>
      </c>
      <c r="B345" s="1" t="n">
        <v>45932</v>
      </c>
      <c r="C345" s="1" t="n">
        <v>46072</v>
      </c>
      <c r="D345" t="inlineStr">
        <is>
          <t>ÖSTERGÖTLANDS LÄN</t>
        </is>
      </c>
      <c r="E345" t="inlineStr">
        <is>
          <t>LINKÖPING</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48266-2025</t>
        </is>
      </c>
      <c r="B346" s="1" t="n">
        <v>45932</v>
      </c>
      <c r="C346" s="1" t="n">
        <v>46072</v>
      </c>
      <c r="D346" t="inlineStr">
        <is>
          <t>ÖSTERGÖTLANDS LÄN</t>
        </is>
      </c>
      <c r="E346" t="inlineStr">
        <is>
          <t>LINKÖPING</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55944-2024</t>
        </is>
      </c>
      <c r="B347" s="1" t="n">
        <v>45623.61640046296</v>
      </c>
      <c r="C347" s="1" t="n">
        <v>46072</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55947-2024</t>
        </is>
      </c>
      <c r="B348" s="1" t="n">
        <v>45623</v>
      </c>
      <c r="C348" s="1" t="n">
        <v>46072</v>
      </c>
      <c r="D348" t="inlineStr">
        <is>
          <t>ÖSTERGÖTLANDS LÄN</t>
        </is>
      </c>
      <c r="E348" t="inlineStr">
        <is>
          <t>LINKÖPING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3374-2023</t>
        </is>
      </c>
      <c r="B349" s="1" t="n">
        <v>44949</v>
      </c>
      <c r="C349" s="1" t="n">
        <v>46072</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24151-2024</t>
        </is>
      </c>
      <c r="B350" s="1" t="n">
        <v>45456.67717592593</v>
      </c>
      <c r="C350" s="1" t="n">
        <v>46072</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48254-2025</t>
        </is>
      </c>
      <c r="B351" s="1" t="n">
        <v>45932</v>
      </c>
      <c r="C351" s="1" t="n">
        <v>46072</v>
      </c>
      <c r="D351" t="inlineStr">
        <is>
          <t>ÖSTERGÖTLANDS LÄN</t>
        </is>
      </c>
      <c r="E351" t="inlineStr">
        <is>
          <t>LINKÖPING</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32723-2025</t>
        </is>
      </c>
      <c r="B352" s="1" t="n">
        <v>45838</v>
      </c>
      <c r="C352" s="1" t="n">
        <v>46072</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55004-2025</t>
        </is>
      </c>
      <c r="B353" s="1" t="n">
        <v>45967</v>
      </c>
      <c r="C353" s="1" t="n">
        <v>46072</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14576-2023</t>
        </is>
      </c>
      <c r="B354" s="1" t="n">
        <v>45013</v>
      </c>
      <c r="C354" s="1" t="n">
        <v>46072</v>
      </c>
      <c r="D354" t="inlineStr">
        <is>
          <t>ÖSTERGÖTLANDS LÄN</t>
        </is>
      </c>
      <c r="E354" t="inlineStr">
        <is>
          <t>LINKÖPING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49455-2025</t>
        </is>
      </c>
      <c r="B355" s="1" t="n">
        <v>45938</v>
      </c>
      <c r="C355" s="1" t="n">
        <v>46072</v>
      </c>
      <c r="D355" t="inlineStr">
        <is>
          <t>ÖSTERGÖTLANDS LÄN</t>
        </is>
      </c>
      <c r="E355" t="inlineStr">
        <is>
          <t>LINKÖPING</t>
        </is>
      </c>
      <c r="F355" t="inlineStr">
        <is>
          <t>Övriga Aktiebolag</t>
        </is>
      </c>
      <c r="G355" t="n">
        <v>5.9</v>
      </c>
      <c r="H355" t="n">
        <v>0</v>
      </c>
      <c r="I355" t="n">
        <v>0</v>
      </c>
      <c r="J355" t="n">
        <v>0</v>
      </c>
      <c r="K355" t="n">
        <v>0</v>
      </c>
      <c r="L355" t="n">
        <v>0</v>
      </c>
      <c r="M355" t="n">
        <v>0</v>
      </c>
      <c r="N355" t="n">
        <v>0</v>
      </c>
      <c r="O355" t="n">
        <v>0</v>
      </c>
      <c r="P355" t="n">
        <v>0</v>
      </c>
      <c r="Q355" t="n">
        <v>0</v>
      </c>
      <c r="R355" s="2" t="inlineStr"/>
    </row>
    <row r="356" ht="15" customHeight="1">
      <c r="A356" t="inlineStr">
        <is>
          <t>A 49605-2025</t>
        </is>
      </c>
      <c r="B356" s="1" t="n">
        <v>45938</v>
      </c>
      <c r="C356" s="1" t="n">
        <v>46072</v>
      </c>
      <c r="D356" t="inlineStr">
        <is>
          <t>ÖSTERGÖTLANDS LÄN</t>
        </is>
      </c>
      <c r="E356" t="inlineStr">
        <is>
          <t>LINKÖPING</t>
        </is>
      </c>
      <c r="F356" t="inlineStr">
        <is>
          <t>Övriga Aktiebolag</t>
        </is>
      </c>
      <c r="G356" t="n">
        <v>3.3</v>
      </c>
      <c r="H356" t="n">
        <v>0</v>
      </c>
      <c r="I356" t="n">
        <v>0</v>
      </c>
      <c r="J356" t="n">
        <v>0</v>
      </c>
      <c r="K356" t="n">
        <v>0</v>
      </c>
      <c r="L356" t="n">
        <v>0</v>
      </c>
      <c r="M356" t="n">
        <v>0</v>
      </c>
      <c r="N356" t="n">
        <v>0</v>
      </c>
      <c r="O356" t="n">
        <v>0</v>
      </c>
      <c r="P356" t="n">
        <v>0</v>
      </c>
      <c r="Q356" t="n">
        <v>0</v>
      </c>
      <c r="R356" s="2" t="inlineStr"/>
    </row>
    <row r="357" ht="15" customHeight="1">
      <c r="A357" t="inlineStr">
        <is>
          <t>A 74160-2021</t>
        </is>
      </c>
      <c r="B357" s="1" t="n">
        <v>44558</v>
      </c>
      <c r="C357" s="1" t="n">
        <v>46072</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49663-2025</t>
        </is>
      </c>
      <c r="B358" s="1" t="n">
        <v>45938</v>
      </c>
      <c r="C358" s="1" t="n">
        <v>46072</v>
      </c>
      <c r="D358" t="inlineStr">
        <is>
          <t>ÖSTERGÖTLANDS LÄN</t>
        </is>
      </c>
      <c r="E358" t="inlineStr">
        <is>
          <t>LINKÖPING</t>
        </is>
      </c>
      <c r="F358" t="inlineStr">
        <is>
          <t>Övriga Aktiebolag</t>
        </is>
      </c>
      <c r="G358" t="n">
        <v>1.2</v>
      </c>
      <c r="H358" t="n">
        <v>0</v>
      </c>
      <c r="I358" t="n">
        <v>0</v>
      </c>
      <c r="J358" t="n">
        <v>0</v>
      </c>
      <c r="K358" t="n">
        <v>0</v>
      </c>
      <c r="L358" t="n">
        <v>0</v>
      </c>
      <c r="M358" t="n">
        <v>0</v>
      </c>
      <c r="N358" t="n">
        <v>0</v>
      </c>
      <c r="O358" t="n">
        <v>0</v>
      </c>
      <c r="P358" t="n">
        <v>0</v>
      </c>
      <c r="Q358" t="n">
        <v>0</v>
      </c>
      <c r="R358" s="2" t="inlineStr"/>
    </row>
    <row r="359" ht="15" customHeight="1">
      <c r="A359" t="inlineStr">
        <is>
          <t>A 49632-2025</t>
        </is>
      </c>
      <c r="B359" s="1" t="n">
        <v>45938</v>
      </c>
      <c r="C359" s="1" t="n">
        <v>46072</v>
      </c>
      <c r="D359" t="inlineStr">
        <is>
          <t>ÖSTERGÖTLANDS LÄN</t>
        </is>
      </c>
      <c r="E359" t="inlineStr">
        <is>
          <t>LINKÖPING</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49647-2025</t>
        </is>
      </c>
      <c r="B360" s="1" t="n">
        <v>45938</v>
      </c>
      <c r="C360" s="1" t="n">
        <v>46072</v>
      </c>
      <c r="D360" t="inlineStr">
        <is>
          <t>ÖSTERGÖTLANDS LÄN</t>
        </is>
      </c>
      <c r="E360" t="inlineStr">
        <is>
          <t>LINKÖPING</t>
        </is>
      </c>
      <c r="F360" t="inlineStr">
        <is>
          <t>Övriga Aktiebolag</t>
        </is>
      </c>
      <c r="G360" t="n">
        <v>0.6</v>
      </c>
      <c r="H360" t="n">
        <v>0</v>
      </c>
      <c r="I360" t="n">
        <v>0</v>
      </c>
      <c r="J360" t="n">
        <v>0</v>
      </c>
      <c r="K360" t="n">
        <v>0</v>
      </c>
      <c r="L360" t="n">
        <v>0</v>
      </c>
      <c r="M360" t="n">
        <v>0</v>
      </c>
      <c r="N360" t="n">
        <v>0</v>
      </c>
      <c r="O360" t="n">
        <v>0</v>
      </c>
      <c r="P360" t="n">
        <v>0</v>
      </c>
      <c r="Q360" t="n">
        <v>0</v>
      </c>
      <c r="R360" s="2" t="inlineStr"/>
    </row>
    <row r="361" ht="15" customHeight="1">
      <c r="A361" t="inlineStr">
        <is>
          <t>A 49652-2025</t>
        </is>
      </c>
      <c r="B361" s="1" t="n">
        <v>45938</v>
      </c>
      <c r="C361" s="1" t="n">
        <v>46072</v>
      </c>
      <c r="D361" t="inlineStr">
        <is>
          <t>ÖSTERGÖTLANDS LÄN</t>
        </is>
      </c>
      <c r="E361" t="inlineStr">
        <is>
          <t>LINKÖPING</t>
        </is>
      </c>
      <c r="F361" t="inlineStr">
        <is>
          <t>Övriga Aktiebolag</t>
        </is>
      </c>
      <c r="G361" t="n">
        <v>1.8</v>
      </c>
      <c r="H361" t="n">
        <v>0</v>
      </c>
      <c r="I361" t="n">
        <v>0</v>
      </c>
      <c r="J361" t="n">
        <v>0</v>
      </c>
      <c r="K361" t="n">
        <v>0</v>
      </c>
      <c r="L361" t="n">
        <v>0</v>
      </c>
      <c r="M361" t="n">
        <v>0</v>
      </c>
      <c r="N361" t="n">
        <v>0</v>
      </c>
      <c r="O361" t="n">
        <v>0</v>
      </c>
      <c r="P361" t="n">
        <v>0</v>
      </c>
      <c r="Q361" t="n">
        <v>0</v>
      </c>
      <c r="R361" s="2" t="inlineStr"/>
    </row>
    <row r="362" ht="15" customHeight="1">
      <c r="A362" t="inlineStr">
        <is>
          <t>A 49654-2025</t>
        </is>
      </c>
      <c r="B362" s="1" t="n">
        <v>45938</v>
      </c>
      <c r="C362" s="1" t="n">
        <v>46072</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49615-2025</t>
        </is>
      </c>
      <c r="B363" s="1" t="n">
        <v>45938</v>
      </c>
      <c r="C363" s="1" t="n">
        <v>46072</v>
      </c>
      <c r="D363" t="inlineStr">
        <is>
          <t>ÖSTERGÖTLANDS LÄN</t>
        </is>
      </c>
      <c r="E363" t="inlineStr">
        <is>
          <t>LINKÖPING</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49619-2025</t>
        </is>
      </c>
      <c r="B364" s="1" t="n">
        <v>45938</v>
      </c>
      <c r="C364" s="1" t="n">
        <v>46072</v>
      </c>
      <c r="D364" t="inlineStr">
        <is>
          <t>ÖSTERGÖTLANDS LÄN</t>
        </is>
      </c>
      <c r="E364" t="inlineStr">
        <is>
          <t>LINKÖPING</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49629-2025</t>
        </is>
      </c>
      <c r="B365" s="1" t="n">
        <v>45938</v>
      </c>
      <c r="C365" s="1" t="n">
        <v>46072</v>
      </c>
      <c r="D365" t="inlineStr">
        <is>
          <t>ÖSTERGÖTLANDS LÄN</t>
        </is>
      </c>
      <c r="E365" t="inlineStr">
        <is>
          <t>LINKÖPING</t>
        </is>
      </c>
      <c r="F365" t="inlineStr">
        <is>
          <t>Övriga Aktiebolag</t>
        </is>
      </c>
      <c r="G365" t="n">
        <v>4.5</v>
      </c>
      <c r="H365" t="n">
        <v>0</v>
      </c>
      <c r="I365" t="n">
        <v>0</v>
      </c>
      <c r="J365" t="n">
        <v>0</v>
      </c>
      <c r="K365" t="n">
        <v>0</v>
      </c>
      <c r="L365" t="n">
        <v>0</v>
      </c>
      <c r="M365" t="n">
        <v>0</v>
      </c>
      <c r="N365" t="n">
        <v>0</v>
      </c>
      <c r="O365" t="n">
        <v>0</v>
      </c>
      <c r="P365" t="n">
        <v>0</v>
      </c>
      <c r="Q365" t="n">
        <v>0</v>
      </c>
      <c r="R365" s="2" t="inlineStr"/>
    </row>
    <row r="366" ht="15" customHeight="1">
      <c r="A366" t="inlineStr">
        <is>
          <t>A 49650-2025</t>
        </is>
      </c>
      <c r="B366" s="1" t="n">
        <v>45938</v>
      </c>
      <c r="C366" s="1" t="n">
        <v>46072</v>
      </c>
      <c r="D366" t="inlineStr">
        <is>
          <t>ÖSTERGÖTLANDS LÄN</t>
        </is>
      </c>
      <c r="E366" t="inlineStr">
        <is>
          <t>LINKÖPING</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49633-2025</t>
        </is>
      </c>
      <c r="B367" s="1" t="n">
        <v>45938</v>
      </c>
      <c r="C367" s="1" t="n">
        <v>46072</v>
      </c>
      <c r="D367" t="inlineStr">
        <is>
          <t>ÖSTERGÖTLANDS LÄN</t>
        </is>
      </c>
      <c r="E367" t="inlineStr">
        <is>
          <t>LINKÖPING</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33947-2025</t>
        </is>
      </c>
      <c r="B368" s="1" t="n">
        <v>45842.65444444444</v>
      </c>
      <c r="C368" s="1" t="n">
        <v>46072</v>
      </c>
      <c r="D368" t="inlineStr">
        <is>
          <t>ÖSTERGÖTLANDS LÄN</t>
        </is>
      </c>
      <c r="E368" t="inlineStr">
        <is>
          <t>LINKÖPING</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53529-2024</t>
        </is>
      </c>
      <c r="B369" s="1" t="n">
        <v>45614</v>
      </c>
      <c r="C369" s="1" t="n">
        <v>46072</v>
      </c>
      <c r="D369" t="inlineStr">
        <is>
          <t>ÖSTERGÖTLANDS LÄN</t>
        </is>
      </c>
      <c r="E369" t="inlineStr">
        <is>
          <t>LINKÖPING</t>
        </is>
      </c>
      <c r="G369" t="n">
        <v>6.7</v>
      </c>
      <c r="H369" t="n">
        <v>0</v>
      </c>
      <c r="I369" t="n">
        <v>0</v>
      </c>
      <c r="J369" t="n">
        <v>0</v>
      </c>
      <c r="K369" t="n">
        <v>0</v>
      </c>
      <c r="L369" t="n">
        <v>0</v>
      </c>
      <c r="M369" t="n">
        <v>0</v>
      </c>
      <c r="N369" t="n">
        <v>0</v>
      </c>
      <c r="O369" t="n">
        <v>0</v>
      </c>
      <c r="P369" t="n">
        <v>0</v>
      </c>
      <c r="Q369" t="n">
        <v>0</v>
      </c>
      <c r="R369" s="2" t="inlineStr"/>
    </row>
    <row r="370" ht="15" customHeight="1">
      <c r="A370" t="inlineStr">
        <is>
          <t>A 62012-2024</t>
        </is>
      </c>
      <c r="B370" s="1" t="n">
        <v>45655.79679398148</v>
      </c>
      <c r="C370" s="1" t="n">
        <v>46072</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27766-2022</t>
        </is>
      </c>
      <c r="B371" s="1" t="n">
        <v>44743.53112268518</v>
      </c>
      <c r="C371" s="1" t="n">
        <v>46072</v>
      </c>
      <c r="D371" t="inlineStr">
        <is>
          <t>ÖSTERGÖTLANDS LÄN</t>
        </is>
      </c>
      <c r="E371" t="inlineStr">
        <is>
          <t>LINKÖPING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40983-2025</t>
        </is>
      </c>
      <c r="B372" s="1" t="n">
        <v>45898</v>
      </c>
      <c r="C372" s="1" t="n">
        <v>46072</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50056-2025</t>
        </is>
      </c>
      <c r="B373" s="1" t="n">
        <v>45941</v>
      </c>
      <c r="C373" s="1" t="n">
        <v>46072</v>
      </c>
      <c r="D373" t="inlineStr">
        <is>
          <t>ÖSTERGÖTLANDS LÄN</t>
        </is>
      </c>
      <c r="E373" t="inlineStr">
        <is>
          <t>LINKÖPING</t>
        </is>
      </c>
      <c r="G373" t="n">
        <v>0.3</v>
      </c>
      <c r="H373" t="n">
        <v>0</v>
      </c>
      <c r="I373" t="n">
        <v>0</v>
      </c>
      <c r="J373" t="n">
        <v>0</v>
      </c>
      <c r="K373" t="n">
        <v>0</v>
      </c>
      <c r="L373" t="n">
        <v>0</v>
      </c>
      <c r="M373" t="n">
        <v>0</v>
      </c>
      <c r="N373" t="n">
        <v>0</v>
      </c>
      <c r="O373" t="n">
        <v>0</v>
      </c>
      <c r="P373" t="n">
        <v>0</v>
      </c>
      <c r="Q373" t="n">
        <v>0</v>
      </c>
      <c r="R373" s="2" t="inlineStr"/>
    </row>
    <row r="374" ht="15" customHeight="1">
      <c r="A374" t="inlineStr">
        <is>
          <t>A 53641-2023</t>
        </is>
      </c>
      <c r="B374" s="1" t="n">
        <v>45230</v>
      </c>
      <c r="C374" s="1" t="n">
        <v>46072</v>
      </c>
      <c r="D374" t="inlineStr">
        <is>
          <t>ÖSTERGÖTLANDS LÄN</t>
        </is>
      </c>
      <c r="E374" t="inlineStr">
        <is>
          <t>LINKÖPING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33000-2023</t>
        </is>
      </c>
      <c r="B375" s="1" t="n">
        <v>45125</v>
      </c>
      <c r="C375" s="1" t="n">
        <v>46072</v>
      </c>
      <c r="D375" t="inlineStr">
        <is>
          <t>ÖSTERGÖTLANDS LÄN</t>
        </is>
      </c>
      <c r="E375" t="inlineStr">
        <is>
          <t>LINKÖPING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20469-2025</t>
        </is>
      </c>
      <c r="B376" s="1" t="n">
        <v>45775</v>
      </c>
      <c r="C376" s="1" t="n">
        <v>46072</v>
      </c>
      <c r="D376" t="inlineStr">
        <is>
          <t>ÖSTERGÖTLANDS LÄN</t>
        </is>
      </c>
      <c r="E376" t="inlineStr">
        <is>
          <t>LINKÖPING</t>
        </is>
      </c>
      <c r="F376" t="inlineStr">
        <is>
          <t>Kyrkan</t>
        </is>
      </c>
      <c r="G376" t="n">
        <v>6.1</v>
      </c>
      <c r="H376" t="n">
        <v>0</v>
      </c>
      <c r="I376" t="n">
        <v>0</v>
      </c>
      <c r="J376" t="n">
        <v>0</v>
      </c>
      <c r="K376" t="n">
        <v>0</v>
      </c>
      <c r="L376" t="n">
        <v>0</v>
      </c>
      <c r="M376" t="n">
        <v>0</v>
      </c>
      <c r="N376" t="n">
        <v>0</v>
      </c>
      <c r="O376" t="n">
        <v>0</v>
      </c>
      <c r="P376" t="n">
        <v>0</v>
      </c>
      <c r="Q376" t="n">
        <v>0</v>
      </c>
      <c r="R376" s="2" t="inlineStr"/>
    </row>
    <row r="377" ht="15" customHeight="1">
      <c r="A377" t="inlineStr">
        <is>
          <t>A 52892-2024</t>
        </is>
      </c>
      <c r="B377" s="1" t="n">
        <v>45610</v>
      </c>
      <c r="C377" s="1" t="n">
        <v>46072</v>
      </c>
      <c r="D377" t="inlineStr">
        <is>
          <t>ÖSTERGÖTLANDS LÄN</t>
        </is>
      </c>
      <c r="E377" t="inlineStr">
        <is>
          <t>LINKÖPING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50667-2025</t>
        </is>
      </c>
      <c r="B378" s="1" t="n">
        <v>45945</v>
      </c>
      <c r="C378" s="1" t="n">
        <v>46072</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30521-2024</t>
        </is>
      </c>
      <c r="B379" s="1" t="n">
        <v>45492</v>
      </c>
      <c r="C379" s="1" t="n">
        <v>46072</v>
      </c>
      <c r="D379" t="inlineStr">
        <is>
          <t>ÖSTERGÖTLANDS LÄN</t>
        </is>
      </c>
      <c r="E379" t="inlineStr">
        <is>
          <t>LINKÖPING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51191-2022</t>
        </is>
      </c>
      <c r="B380" s="1" t="n">
        <v>44865</v>
      </c>
      <c r="C380" s="1" t="n">
        <v>46072</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12289-2025</t>
        </is>
      </c>
      <c r="B381" s="1" t="n">
        <v>45729</v>
      </c>
      <c r="C381" s="1" t="n">
        <v>46072</v>
      </c>
      <c r="D381" t="inlineStr">
        <is>
          <t>ÖSTERGÖTLANDS LÄN</t>
        </is>
      </c>
      <c r="E381" t="inlineStr">
        <is>
          <t>LINKÖPING</t>
        </is>
      </c>
      <c r="F381" t="inlineStr">
        <is>
          <t>Övriga statliga verk och myndigheter</t>
        </is>
      </c>
      <c r="G381" t="n">
        <v>6.5</v>
      </c>
      <c r="H381" t="n">
        <v>0</v>
      </c>
      <c r="I381" t="n">
        <v>0</v>
      </c>
      <c r="J381" t="n">
        <v>0</v>
      </c>
      <c r="K381" t="n">
        <v>0</v>
      </c>
      <c r="L381" t="n">
        <v>0</v>
      </c>
      <c r="M381" t="n">
        <v>0</v>
      </c>
      <c r="N381" t="n">
        <v>0</v>
      </c>
      <c r="O381" t="n">
        <v>0</v>
      </c>
      <c r="P381" t="n">
        <v>0</v>
      </c>
      <c r="Q381" t="n">
        <v>0</v>
      </c>
      <c r="R381" s="2" t="inlineStr"/>
    </row>
    <row r="382" ht="15" customHeight="1">
      <c r="A382" t="inlineStr">
        <is>
          <t>A 33800-2023</t>
        </is>
      </c>
      <c r="B382" s="1" t="n">
        <v>45121</v>
      </c>
      <c r="C382" s="1" t="n">
        <v>46072</v>
      </c>
      <c r="D382" t="inlineStr">
        <is>
          <t>ÖSTERGÖTLANDS LÄN</t>
        </is>
      </c>
      <c r="E382" t="inlineStr">
        <is>
          <t>LINKÖPING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26007-2025</t>
        </is>
      </c>
      <c r="B383" s="1" t="n">
        <v>45804.67081018518</v>
      </c>
      <c r="C383" s="1" t="n">
        <v>46072</v>
      </c>
      <c r="D383" t="inlineStr">
        <is>
          <t>ÖSTERGÖTLANDS LÄN</t>
        </is>
      </c>
      <c r="E383" t="inlineStr">
        <is>
          <t>LINKÖPING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35174-2025</t>
        </is>
      </c>
      <c r="B384" s="1" t="n">
        <v>45852.90648148148</v>
      </c>
      <c r="C384" s="1" t="n">
        <v>46072</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9434-2024</t>
        </is>
      </c>
      <c r="B385" s="1" t="n">
        <v>45359</v>
      </c>
      <c r="C385" s="1" t="n">
        <v>46072</v>
      </c>
      <c r="D385" t="inlineStr">
        <is>
          <t>ÖSTERGÖTLANDS LÄN</t>
        </is>
      </c>
      <c r="E385" t="inlineStr">
        <is>
          <t>LINKÖPING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47991-2023</t>
        </is>
      </c>
      <c r="B386" s="1" t="n">
        <v>45204.62655092592</v>
      </c>
      <c r="C386" s="1" t="n">
        <v>46072</v>
      </c>
      <c r="D386" t="inlineStr">
        <is>
          <t>ÖSTERGÖTLANDS LÄN</t>
        </is>
      </c>
      <c r="E386" t="inlineStr">
        <is>
          <t>LINKÖPING</t>
        </is>
      </c>
      <c r="F386" t="inlineStr">
        <is>
          <t>Allmännings- och besparingsskogar</t>
        </is>
      </c>
      <c r="G386" t="n">
        <v>7.3</v>
      </c>
      <c r="H386" t="n">
        <v>0</v>
      </c>
      <c r="I386" t="n">
        <v>0</v>
      </c>
      <c r="J386" t="n">
        <v>0</v>
      </c>
      <c r="K386" t="n">
        <v>0</v>
      </c>
      <c r="L386" t="n">
        <v>0</v>
      </c>
      <c r="M386" t="n">
        <v>0</v>
      </c>
      <c r="N386" t="n">
        <v>0</v>
      </c>
      <c r="O386" t="n">
        <v>0</v>
      </c>
      <c r="P386" t="n">
        <v>0</v>
      </c>
      <c r="Q386" t="n">
        <v>0</v>
      </c>
      <c r="R386" s="2" t="inlineStr"/>
    </row>
    <row r="387" ht="15" customHeight="1">
      <c r="A387" t="inlineStr">
        <is>
          <t>A 42054-2022</t>
        </is>
      </c>
      <c r="B387" s="1" t="n">
        <v>44830</v>
      </c>
      <c r="C387" s="1" t="n">
        <v>46072</v>
      </c>
      <c r="D387" t="inlineStr">
        <is>
          <t>ÖSTERGÖTLANDS LÄN</t>
        </is>
      </c>
      <c r="E387" t="inlineStr">
        <is>
          <t>LINKÖPING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35179-2025</t>
        </is>
      </c>
      <c r="B388" s="1" t="n">
        <v>45852.93737268518</v>
      </c>
      <c r="C388" s="1" t="n">
        <v>46072</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35180-2025</t>
        </is>
      </c>
      <c r="B389" s="1" t="n">
        <v>45852.9413425926</v>
      </c>
      <c r="C389" s="1" t="n">
        <v>46072</v>
      </c>
      <c r="D389" t="inlineStr">
        <is>
          <t>ÖSTERGÖTLANDS LÄN</t>
        </is>
      </c>
      <c r="E389" t="inlineStr">
        <is>
          <t>LINKÖPING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35178-2025</t>
        </is>
      </c>
      <c r="B390" s="1" t="n">
        <v>45852.91939814815</v>
      </c>
      <c r="C390" s="1" t="n">
        <v>46072</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50182-2023</t>
        </is>
      </c>
      <c r="B391" s="1" t="n">
        <v>45208</v>
      </c>
      <c r="C391" s="1" t="n">
        <v>46072</v>
      </c>
      <c r="D391" t="inlineStr">
        <is>
          <t>ÖSTERGÖTLANDS LÄN</t>
        </is>
      </c>
      <c r="E391" t="inlineStr">
        <is>
          <t>LINKÖPING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35781-2023</t>
        </is>
      </c>
      <c r="B392" s="1" t="n">
        <v>45147</v>
      </c>
      <c r="C392" s="1" t="n">
        <v>46072</v>
      </c>
      <c r="D392" t="inlineStr">
        <is>
          <t>ÖSTERGÖTLANDS LÄN</t>
        </is>
      </c>
      <c r="E392" t="inlineStr">
        <is>
          <t>LINKÖPING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51802-2025</t>
        </is>
      </c>
      <c r="B393" s="1" t="n">
        <v>45950</v>
      </c>
      <c r="C393" s="1" t="n">
        <v>46072</v>
      </c>
      <c r="D393" t="inlineStr">
        <is>
          <t>ÖSTERGÖTLANDS LÄN</t>
        </is>
      </c>
      <c r="E393" t="inlineStr">
        <is>
          <t>LINKÖPING</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6387-2022</t>
        </is>
      </c>
      <c r="B394" s="1" t="n">
        <v>44600</v>
      </c>
      <c r="C394" s="1" t="n">
        <v>46072</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48707-2023</t>
        </is>
      </c>
      <c r="B395" s="1" t="n">
        <v>45202</v>
      </c>
      <c r="C395" s="1" t="n">
        <v>46072</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35757-2025</t>
        </is>
      </c>
      <c r="B396" s="1" t="n">
        <v>45860.59876157407</v>
      </c>
      <c r="C396" s="1" t="n">
        <v>46072</v>
      </c>
      <c r="D396" t="inlineStr">
        <is>
          <t>ÖSTERGÖTLANDS LÄN</t>
        </is>
      </c>
      <c r="E396" t="inlineStr">
        <is>
          <t>LINKÖPING</t>
        </is>
      </c>
      <c r="G396" t="n">
        <v>5.7</v>
      </c>
      <c r="H396" t="n">
        <v>0</v>
      </c>
      <c r="I396" t="n">
        <v>0</v>
      </c>
      <c r="J396" t="n">
        <v>0</v>
      </c>
      <c r="K396" t="n">
        <v>0</v>
      </c>
      <c r="L396" t="n">
        <v>0</v>
      </c>
      <c r="M396" t="n">
        <v>0</v>
      </c>
      <c r="N396" t="n">
        <v>0</v>
      </c>
      <c r="O396" t="n">
        <v>0</v>
      </c>
      <c r="P396" t="n">
        <v>0</v>
      </c>
      <c r="Q396" t="n">
        <v>0</v>
      </c>
      <c r="R396" s="2" t="inlineStr"/>
    </row>
    <row r="397" ht="15" customHeight="1">
      <c r="A397" t="inlineStr">
        <is>
          <t>A 35745-2025</t>
        </is>
      </c>
      <c r="B397" s="1" t="n">
        <v>45860.54739583333</v>
      </c>
      <c r="C397" s="1" t="n">
        <v>46072</v>
      </c>
      <c r="D397" t="inlineStr">
        <is>
          <t>ÖSTERGÖTLANDS LÄN</t>
        </is>
      </c>
      <c r="E397" t="inlineStr">
        <is>
          <t>LINKÖPING</t>
        </is>
      </c>
      <c r="G397" t="n">
        <v>4.4</v>
      </c>
      <c r="H397" t="n">
        <v>0</v>
      </c>
      <c r="I397" t="n">
        <v>0</v>
      </c>
      <c r="J397" t="n">
        <v>0</v>
      </c>
      <c r="K397" t="n">
        <v>0</v>
      </c>
      <c r="L397" t="n">
        <v>0</v>
      </c>
      <c r="M397" t="n">
        <v>0</v>
      </c>
      <c r="N397" t="n">
        <v>0</v>
      </c>
      <c r="O397" t="n">
        <v>0</v>
      </c>
      <c r="P397" t="n">
        <v>0</v>
      </c>
      <c r="Q397" t="n">
        <v>0</v>
      </c>
      <c r="R397" s="2" t="inlineStr"/>
    </row>
    <row r="398" ht="15" customHeight="1">
      <c r="A398" t="inlineStr">
        <is>
          <t>A 35747-2025</t>
        </is>
      </c>
      <c r="B398" s="1" t="n">
        <v>45860.56385416666</v>
      </c>
      <c r="C398" s="1" t="n">
        <v>46072</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35759-2025</t>
        </is>
      </c>
      <c r="B399" s="1" t="n">
        <v>45860</v>
      </c>
      <c r="C399" s="1" t="n">
        <v>46072</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59205-2025</t>
        </is>
      </c>
      <c r="B400" s="1" t="n">
        <v>45988.60721064815</v>
      </c>
      <c r="C400" s="1" t="n">
        <v>46072</v>
      </c>
      <c r="D400" t="inlineStr">
        <is>
          <t>ÖSTERGÖTLANDS LÄN</t>
        </is>
      </c>
      <c r="E400" t="inlineStr">
        <is>
          <t>LINKÖPING</t>
        </is>
      </c>
      <c r="F400" t="inlineStr">
        <is>
          <t>Sveaskog</t>
        </is>
      </c>
      <c r="G400" t="n">
        <v>11.3</v>
      </c>
      <c r="H400" t="n">
        <v>0</v>
      </c>
      <c r="I400" t="n">
        <v>0</v>
      </c>
      <c r="J400" t="n">
        <v>0</v>
      </c>
      <c r="K400" t="n">
        <v>0</v>
      </c>
      <c r="L400" t="n">
        <v>0</v>
      </c>
      <c r="M400" t="n">
        <v>0</v>
      </c>
      <c r="N400" t="n">
        <v>0</v>
      </c>
      <c r="O400" t="n">
        <v>0</v>
      </c>
      <c r="P400" t="n">
        <v>0</v>
      </c>
      <c r="Q400" t="n">
        <v>0</v>
      </c>
      <c r="R400" s="2" t="inlineStr"/>
    </row>
    <row r="401" ht="15" customHeight="1">
      <c r="A401" t="inlineStr">
        <is>
          <t>A 52111-2025</t>
        </is>
      </c>
      <c r="B401" s="1" t="n">
        <v>45952.69527777778</v>
      </c>
      <c r="C401" s="1" t="n">
        <v>46072</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12089-2025</t>
        </is>
      </c>
      <c r="B402" s="1" t="n">
        <v>45729</v>
      </c>
      <c r="C402" s="1" t="n">
        <v>46072</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15658-2023</t>
        </is>
      </c>
      <c r="B403" s="1" t="n">
        <v>45021.41194444444</v>
      </c>
      <c r="C403" s="1" t="n">
        <v>46072</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52740-2025</t>
        </is>
      </c>
      <c r="B404" s="1" t="n">
        <v>45957.37747685185</v>
      </c>
      <c r="C404" s="1" t="n">
        <v>46072</v>
      </c>
      <c r="D404" t="inlineStr">
        <is>
          <t>ÖSTERGÖTLANDS LÄN</t>
        </is>
      </c>
      <c r="E404" t="inlineStr">
        <is>
          <t>LINKÖPING</t>
        </is>
      </c>
      <c r="G404" t="n">
        <v>3.7</v>
      </c>
      <c r="H404" t="n">
        <v>0</v>
      </c>
      <c r="I404" t="n">
        <v>0</v>
      </c>
      <c r="J404" t="n">
        <v>0</v>
      </c>
      <c r="K404" t="n">
        <v>0</v>
      </c>
      <c r="L404" t="n">
        <v>0</v>
      </c>
      <c r="M404" t="n">
        <v>0</v>
      </c>
      <c r="N404" t="n">
        <v>0</v>
      </c>
      <c r="O404" t="n">
        <v>0</v>
      </c>
      <c r="P404" t="n">
        <v>0</v>
      </c>
      <c r="Q404" t="n">
        <v>0</v>
      </c>
      <c r="R404" s="2" t="inlineStr"/>
    </row>
    <row r="405" ht="15" customHeight="1">
      <c r="A405" t="inlineStr">
        <is>
          <t>A 38886-2024</t>
        </is>
      </c>
      <c r="B405" s="1" t="n">
        <v>45547.66443287037</v>
      </c>
      <c r="C405" s="1" t="n">
        <v>46072</v>
      </c>
      <c r="D405" t="inlineStr">
        <is>
          <t>ÖSTERGÖTLANDS LÄN</t>
        </is>
      </c>
      <c r="E405" t="inlineStr">
        <is>
          <t>LINKÖPING</t>
        </is>
      </c>
      <c r="G405" t="n">
        <v>5.3</v>
      </c>
      <c r="H405" t="n">
        <v>0</v>
      </c>
      <c r="I405" t="n">
        <v>0</v>
      </c>
      <c r="J405" t="n">
        <v>0</v>
      </c>
      <c r="K405" t="n">
        <v>0</v>
      </c>
      <c r="L405" t="n">
        <v>0</v>
      </c>
      <c r="M405" t="n">
        <v>0</v>
      </c>
      <c r="N405" t="n">
        <v>0</v>
      </c>
      <c r="O405" t="n">
        <v>0</v>
      </c>
      <c r="P405" t="n">
        <v>0</v>
      </c>
      <c r="Q405" t="n">
        <v>0</v>
      </c>
      <c r="R405" s="2" t="inlineStr"/>
    </row>
    <row r="406" ht="15" customHeight="1">
      <c r="A406" t="inlineStr">
        <is>
          <t>A 51583-2024</t>
        </is>
      </c>
      <c r="B406" s="1" t="n">
        <v>45604.6397337963</v>
      </c>
      <c r="C406" s="1" t="n">
        <v>46072</v>
      </c>
      <c r="D406" t="inlineStr">
        <is>
          <t>ÖSTERGÖTLANDS LÄN</t>
        </is>
      </c>
      <c r="E406" t="inlineStr">
        <is>
          <t>LINKÖPING</t>
        </is>
      </c>
      <c r="F406" t="inlineStr">
        <is>
          <t>Övriga Aktiebolag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52800-2025</t>
        </is>
      </c>
      <c r="B407" s="1" t="n">
        <v>45957.44152777778</v>
      </c>
      <c r="C407" s="1" t="n">
        <v>46072</v>
      </c>
      <c r="D407" t="inlineStr">
        <is>
          <t>ÖSTERGÖTLANDS LÄN</t>
        </is>
      </c>
      <c r="E407" t="inlineStr">
        <is>
          <t>LINKÖPING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52802-2025</t>
        </is>
      </c>
      <c r="B408" s="1" t="n">
        <v>45957.44295138889</v>
      </c>
      <c r="C408" s="1" t="n">
        <v>46072</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64694-2023</t>
        </is>
      </c>
      <c r="B409" s="1" t="n">
        <v>45281</v>
      </c>
      <c r="C409" s="1" t="n">
        <v>46072</v>
      </c>
      <c r="D409" t="inlineStr">
        <is>
          <t>ÖSTERGÖTLANDS LÄN</t>
        </is>
      </c>
      <c r="E409" t="inlineStr">
        <is>
          <t>LINKÖPING</t>
        </is>
      </c>
      <c r="F409" t="inlineStr">
        <is>
          <t>Övriga statliga verk och myndigheter</t>
        </is>
      </c>
      <c r="G409" t="n">
        <v>4.9</v>
      </c>
      <c r="H409" t="n">
        <v>0</v>
      </c>
      <c r="I409" t="n">
        <v>0</v>
      </c>
      <c r="J409" t="n">
        <v>0</v>
      </c>
      <c r="K409" t="n">
        <v>0</v>
      </c>
      <c r="L409" t="n">
        <v>0</v>
      </c>
      <c r="M409" t="n">
        <v>0</v>
      </c>
      <c r="N409" t="n">
        <v>0</v>
      </c>
      <c r="O409" t="n">
        <v>0</v>
      </c>
      <c r="P409" t="n">
        <v>0</v>
      </c>
      <c r="Q409" t="n">
        <v>0</v>
      </c>
      <c r="R409" s="2" t="inlineStr"/>
    </row>
    <row r="410" ht="15" customHeight="1">
      <c r="A410" t="inlineStr">
        <is>
          <t>A 52743-2025</t>
        </is>
      </c>
      <c r="B410" s="1" t="n">
        <v>45957.38039351852</v>
      </c>
      <c r="C410" s="1" t="n">
        <v>46072</v>
      </c>
      <c r="D410" t="inlineStr">
        <is>
          <t>ÖSTERGÖTLANDS LÄN</t>
        </is>
      </c>
      <c r="E410" t="inlineStr">
        <is>
          <t>LINKÖPING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32602-2022</t>
        </is>
      </c>
      <c r="B411" s="1" t="n">
        <v>44783.43192129629</v>
      </c>
      <c r="C411" s="1" t="n">
        <v>46072</v>
      </c>
      <c r="D411" t="inlineStr">
        <is>
          <t>ÖSTERGÖTLANDS LÄN</t>
        </is>
      </c>
      <c r="E411" t="inlineStr">
        <is>
          <t>LINKÖPING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52807-2025</t>
        </is>
      </c>
      <c r="B412" s="1" t="n">
        <v>45957.44837962963</v>
      </c>
      <c r="C412" s="1" t="n">
        <v>46072</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62321-2022</t>
        </is>
      </c>
      <c r="B413" s="1" t="n">
        <v>44916</v>
      </c>
      <c r="C413" s="1" t="n">
        <v>46072</v>
      </c>
      <c r="D413" t="inlineStr">
        <is>
          <t>ÖSTERGÖTLANDS LÄN</t>
        </is>
      </c>
      <c r="E413" t="inlineStr">
        <is>
          <t>LINKÖPING</t>
        </is>
      </c>
      <c r="F413" t="inlineStr">
        <is>
          <t>Kommuner</t>
        </is>
      </c>
      <c r="G413" t="n">
        <v>5.3</v>
      </c>
      <c r="H413" t="n">
        <v>0</v>
      </c>
      <c r="I413" t="n">
        <v>0</v>
      </c>
      <c r="J413" t="n">
        <v>0</v>
      </c>
      <c r="K413" t="n">
        <v>0</v>
      </c>
      <c r="L413" t="n">
        <v>0</v>
      </c>
      <c r="M413" t="n">
        <v>0</v>
      </c>
      <c r="N413" t="n">
        <v>0</v>
      </c>
      <c r="O413" t="n">
        <v>0</v>
      </c>
      <c r="P413" t="n">
        <v>0</v>
      </c>
      <c r="Q413" t="n">
        <v>0</v>
      </c>
      <c r="R413" s="2" t="inlineStr"/>
    </row>
    <row r="414" ht="15" customHeight="1">
      <c r="A414" t="inlineStr">
        <is>
          <t>A 858-2026</t>
        </is>
      </c>
      <c r="B414" s="1" t="n">
        <v>46030.41200231481</v>
      </c>
      <c r="C414" s="1" t="n">
        <v>46072</v>
      </c>
      <c r="D414" t="inlineStr">
        <is>
          <t>ÖSTERGÖTLANDS LÄN</t>
        </is>
      </c>
      <c r="E414" t="inlineStr">
        <is>
          <t>LINKÖPING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860-2026</t>
        </is>
      </c>
      <c r="B415" s="1" t="n">
        <v>46030.41974537037</v>
      </c>
      <c r="C415" s="1" t="n">
        <v>46072</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873-2026</t>
        </is>
      </c>
      <c r="B416" s="1" t="n">
        <v>46030.43818287037</v>
      </c>
      <c r="C416" s="1" t="n">
        <v>46072</v>
      </c>
      <c r="D416" t="inlineStr">
        <is>
          <t>ÖSTERGÖTLANDS LÄN</t>
        </is>
      </c>
      <c r="E416" t="inlineStr">
        <is>
          <t>LINKÖPING</t>
        </is>
      </c>
      <c r="G416" t="n">
        <v>4.1</v>
      </c>
      <c r="H416" t="n">
        <v>0</v>
      </c>
      <c r="I416" t="n">
        <v>0</v>
      </c>
      <c r="J416" t="n">
        <v>0</v>
      </c>
      <c r="K416" t="n">
        <v>0</v>
      </c>
      <c r="L416" t="n">
        <v>0</v>
      </c>
      <c r="M416" t="n">
        <v>0</v>
      </c>
      <c r="N416" t="n">
        <v>0</v>
      </c>
      <c r="O416" t="n">
        <v>0</v>
      </c>
      <c r="P416" t="n">
        <v>0</v>
      </c>
      <c r="Q416" t="n">
        <v>0</v>
      </c>
      <c r="R416" s="2" t="inlineStr"/>
    </row>
    <row r="417" ht="15" customHeight="1">
      <c r="A417" t="inlineStr">
        <is>
          <t>A 944-2026</t>
        </is>
      </c>
      <c r="B417" s="1" t="n">
        <v>46030.53461805556</v>
      </c>
      <c r="C417" s="1" t="n">
        <v>46072</v>
      </c>
      <c r="D417" t="inlineStr">
        <is>
          <t>ÖSTERGÖTLANDS LÄN</t>
        </is>
      </c>
      <c r="E417" t="inlineStr">
        <is>
          <t>LINKÖPING</t>
        </is>
      </c>
      <c r="F417" t="inlineStr">
        <is>
          <t>Allmännings- och besparingsskogar</t>
        </is>
      </c>
      <c r="G417" t="n">
        <v>0.9</v>
      </c>
      <c r="H417" t="n">
        <v>0</v>
      </c>
      <c r="I417" t="n">
        <v>0</v>
      </c>
      <c r="J417" t="n">
        <v>0</v>
      </c>
      <c r="K417" t="n">
        <v>0</v>
      </c>
      <c r="L417" t="n">
        <v>0</v>
      </c>
      <c r="M417" t="n">
        <v>0</v>
      </c>
      <c r="N417" t="n">
        <v>0</v>
      </c>
      <c r="O417" t="n">
        <v>0</v>
      </c>
      <c r="P417" t="n">
        <v>0</v>
      </c>
      <c r="Q417" t="n">
        <v>0</v>
      </c>
      <c r="R417" s="2" t="inlineStr"/>
    </row>
    <row r="418" ht="15" customHeight="1">
      <c r="A418" t="inlineStr">
        <is>
          <t>A 1084-2023</t>
        </is>
      </c>
      <c r="B418" s="1" t="n">
        <v>44929</v>
      </c>
      <c r="C418" s="1" t="n">
        <v>46072</v>
      </c>
      <c r="D418" t="inlineStr">
        <is>
          <t>ÖSTERGÖTLANDS LÄN</t>
        </is>
      </c>
      <c r="E418" t="inlineStr">
        <is>
          <t>LINKÖPING</t>
        </is>
      </c>
      <c r="G418" t="n">
        <v>10.4</v>
      </c>
      <c r="H418" t="n">
        <v>0</v>
      </c>
      <c r="I418" t="n">
        <v>0</v>
      </c>
      <c r="J418" t="n">
        <v>0</v>
      </c>
      <c r="K418" t="n">
        <v>0</v>
      </c>
      <c r="L418" t="n">
        <v>0</v>
      </c>
      <c r="M418" t="n">
        <v>0</v>
      </c>
      <c r="N418" t="n">
        <v>0</v>
      </c>
      <c r="O418" t="n">
        <v>0</v>
      </c>
      <c r="P418" t="n">
        <v>0</v>
      </c>
      <c r="Q418" t="n">
        <v>0</v>
      </c>
      <c r="R418" s="2" t="inlineStr"/>
    </row>
    <row r="419" ht="15" customHeight="1">
      <c r="A419" t="inlineStr">
        <is>
          <t>A 267-2023</t>
        </is>
      </c>
      <c r="B419" s="1" t="n">
        <v>44928.80907407407</v>
      </c>
      <c r="C419" s="1" t="n">
        <v>46072</v>
      </c>
      <c r="D419" t="inlineStr">
        <is>
          <t>ÖSTERGÖTLANDS LÄN</t>
        </is>
      </c>
      <c r="E419" t="inlineStr">
        <is>
          <t>LINKÖPING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940-2023</t>
        </is>
      </c>
      <c r="B420" s="1" t="n">
        <v>44933</v>
      </c>
      <c r="C420" s="1" t="n">
        <v>46072</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6369-2023</t>
        </is>
      </c>
      <c r="B421" s="1" t="n">
        <v>44965.61106481482</v>
      </c>
      <c r="C421" s="1" t="n">
        <v>46072</v>
      </c>
      <c r="D421" t="inlineStr">
        <is>
          <t>ÖSTERGÖTLANDS LÄN</t>
        </is>
      </c>
      <c r="E421" t="inlineStr">
        <is>
          <t>LINKÖPING</t>
        </is>
      </c>
      <c r="G421" t="n">
        <v>4</v>
      </c>
      <c r="H421" t="n">
        <v>0</v>
      </c>
      <c r="I421" t="n">
        <v>0</v>
      </c>
      <c r="J421" t="n">
        <v>0</v>
      </c>
      <c r="K421" t="n">
        <v>0</v>
      </c>
      <c r="L421" t="n">
        <v>0</v>
      </c>
      <c r="M421" t="n">
        <v>0</v>
      </c>
      <c r="N421" t="n">
        <v>0</v>
      </c>
      <c r="O421" t="n">
        <v>0</v>
      </c>
      <c r="P421" t="n">
        <v>0</v>
      </c>
      <c r="Q421" t="n">
        <v>0</v>
      </c>
      <c r="R421" s="2" t="inlineStr"/>
    </row>
    <row r="422" ht="15" customHeight="1">
      <c r="A422" t="inlineStr">
        <is>
          <t>A 30980-2022</t>
        </is>
      </c>
      <c r="B422" s="1" t="n">
        <v>44768</v>
      </c>
      <c r="C422" s="1" t="n">
        <v>46072</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60007-2022</t>
        </is>
      </c>
      <c r="B423" s="1" t="n">
        <v>44909.47282407407</v>
      </c>
      <c r="C423" s="1" t="n">
        <v>46072</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37057-2025</t>
        </is>
      </c>
      <c r="B424" s="1" t="n">
        <v>45875.37489583333</v>
      </c>
      <c r="C424" s="1" t="n">
        <v>46072</v>
      </c>
      <c r="D424" t="inlineStr">
        <is>
          <t>ÖSTERGÖTLANDS LÄN</t>
        </is>
      </c>
      <c r="E424" t="inlineStr">
        <is>
          <t>LINKÖPING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50799-2022</t>
        </is>
      </c>
      <c r="B425" s="1" t="n">
        <v>44862</v>
      </c>
      <c r="C425" s="1" t="n">
        <v>46072</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54332-2025</t>
        </is>
      </c>
      <c r="B426" s="1" t="n">
        <v>45965.34915509259</v>
      </c>
      <c r="C426" s="1" t="n">
        <v>46072</v>
      </c>
      <c r="D426" t="inlineStr">
        <is>
          <t>ÖSTERGÖTLANDS LÄN</t>
        </is>
      </c>
      <c r="E426" t="inlineStr">
        <is>
          <t>LINKÖPING</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56064-2022</t>
        </is>
      </c>
      <c r="B427" s="1" t="n">
        <v>44889.59107638889</v>
      </c>
      <c r="C427" s="1" t="n">
        <v>46072</v>
      </c>
      <c r="D427" t="inlineStr">
        <is>
          <t>ÖSTERGÖTLANDS LÄN</t>
        </is>
      </c>
      <c r="E427" t="inlineStr">
        <is>
          <t>LINKÖPING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47703-2023</t>
        </is>
      </c>
      <c r="B428" s="1" t="n">
        <v>45203</v>
      </c>
      <c r="C428" s="1" t="n">
        <v>46072</v>
      </c>
      <c r="D428" t="inlineStr">
        <is>
          <t>ÖSTERGÖTLANDS LÄN</t>
        </is>
      </c>
      <c r="E428" t="inlineStr">
        <is>
          <t>LINKÖPING</t>
        </is>
      </c>
      <c r="G428" t="n">
        <v>4.1</v>
      </c>
      <c r="H428" t="n">
        <v>0</v>
      </c>
      <c r="I428" t="n">
        <v>0</v>
      </c>
      <c r="J428" t="n">
        <v>0</v>
      </c>
      <c r="K428" t="n">
        <v>0</v>
      </c>
      <c r="L428" t="n">
        <v>0</v>
      </c>
      <c r="M428" t="n">
        <v>0</v>
      </c>
      <c r="N428" t="n">
        <v>0</v>
      </c>
      <c r="O428" t="n">
        <v>0</v>
      </c>
      <c r="P428" t="n">
        <v>0</v>
      </c>
      <c r="Q428" t="n">
        <v>0</v>
      </c>
      <c r="R428" s="2" t="inlineStr"/>
    </row>
    <row r="429" ht="15" customHeight="1">
      <c r="A429" t="inlineStr">
        <is>
          <t>A 54329-2025</t>
        </is>
      </c>
      <c r="B429" s="1" t="n">
        <v>45965.34706018519</v>
      </c>
      <c r="C429" s="1" t="n">
        <v>46072</v>
      </c>
      <c r="D429" t="inlineStr">
        <is>
          <t>ÖSTERGÖTLANDS LÄN</t>
        </is>
      </c>
      <c r="E429" t="inlineStr">
        <is>
          <t>LINKÖPING</t>
        </is>
      </c>
      <c r="F429" t="inlineStr">
        <is>
          <t>Sveaskog</t>
        </is>
      </c>
      <c r="G429" t="n">
        <v>5.1</v>
      </c>
      <c r="H429" t="n">
        <v>0</v>
      </c>
      <c r="I429" t="n">
        <v>0</v>
      </c>
      <c r="J429" t="n">
        <v>0</v>
      </c>
      <c r="K429" t="n">
        <v>0</v>
      </c>
      <c r="L429" t="n">
        <v>0</v>
      </c>
      <c r="M429" t="n">
        <v>0</v>
      </c>
      <c r="N429" t="n">
        <v>0</v>
      </c>
      <c r="O429" t="n">
        <v>0</v>
      </c>
      <c r="P429" t="n">
        <v>0</v>
      </c>
      <c r="Q429" t="n">
        <v>0</v>
      </c>
      <c r="R429" s="2" t="inlineStr"/>
    </row>
    <row r="430" ht="15" customHeight="1">
      <c r="A430" t="inlineStr">
        <is>
          <t>A 16111-2022</t>
        </is>
      </c>
      <c r="B430" s="1" t="n">
        <v>44665</v>
      </c>
      <c r="C430" s="1" t="n">
        <v>46072</v>
      </c>
      <c r="D430" t="inlineStr">
        <is>
          <t>ÖSTERGÖTLANDS LÄN</t>
        </is>
      </c>
      <c r="E430" t="inlineStr">
        <is>
          <t>LINKÖPING</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48962-2022</t>
        </is>
      </c>
      <c r="B431" s="1" t="n">
        <v>44860.31635416667</v>
      </c>
      <c r="C431" s="1" t="n">
        <v>46072</v>
      </c>
      <c r="D431" t="inlineStr">
        <is>
          <t>ÖSTERGÖTLANDS LÄN</t>
        </is>
      </c>
      <c r="E431" t="inlineStr">
        <is>
          <t>LINKÖPING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1223-2026</t>
        </is>
      </c>
      <c r="B432" s="1" t="n">
        <v>46031.40233796297</v>
      </c>
      <c r="C432" s="1" t="n">
        <v>46072</v>
      </c>
      <c r="D432" t="inlineStr">
        <is>
          <t>ÖSTERGÖTLANDS LÄN</t>
        </is>
      </c>
      <c r="E432" t="inlineStr">
        <is>
          <t>LINKÖPING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59472-2025</t>
        </is>
      </c>
      <c r="B433" s="1" t="n">
        <v>45989.58321759259</v>
      </c>
      <c r="C433" s="1" t="n">
        <v>46072</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859-2026</t>
        </is>
      </c>
      <c r="B434" s="1" t="n">
        <v>46030.41450231482</v>
      </c>
      <c r="C434" s="1" t="n">
        <v>46072</v>
      </c>
      <c r="D434" t="inlineStr">
        <is>
          <t>ÖSTERGÖTLANDS LÄN</t>
        </is>
      </c>
      <c r="E434" t="inlineStr">
        <is>
          <t>LINKÖPING</t>
        </is>
      </c>
      <c r="G434" t="n">
        <v>0.2</v>
      </c>
      <c r="H434" t="n">
        <v>0</v>
      </c>
      <c r="I434" t="n">
        <v>0</v>
      </c>
      <c r="J434" t="n">
        <v>0</v>
      </c>
      <c r="K434" t="n">
        <v>0</v>
      </c>
      <c r="L434" t="n">
        <v>0</v>
      </c>
      <c r="M434" t="n">
        <v>0</v>
      </c>
      <c r="N434" t="n">
        <v>0</v>
      </c>
      <c r="O434" t="n">
        <v>0</v>
      </c>
      <c r="P434" t="n">
        <v>0</v>
      </c>
      <c r="Q434" t="n">
        <v>0</v>
      </c>
      <c r="R434" s="2" t="inlineStr"/>
    </row>
    <row r="435" ht="15" customHeight="1">
      <c r="A435" t="inlineStr">
        <is>
          <t>A 27891-2021</t>
        </is>
      </c>
      <c r="B435" s="1" t="n">
        <v>44354.65108796296</v>
      </c>
      <c r="C435" s="1" t="n">
        <v>46072</v>
      </c>
      <c r="D435" t="inlineStr">
        <is>
          <t>ÖSTERGÖTLANDS LÄN</t>
        </is>
      </c>
      <c r="E435" t="inlineStr">
        <is>
          <t>LINKÖPING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54333-2025</t>
        </is>
      </c>
      <c r="B436" s="1" t="n">
        <v>45965.35090277778</v>
      </c>
      <c r="C436" s="1" t="n">
        <v>46072</v>
      </c>
      <c r="D436" t="inlineStr">
        <is>
          <t>ÖSTERGÖTLANDS LÄN</t>
        </is>
      </c>
      <c r="E436" t="inlineStr">
        <is>
          <t>LINKÖPING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856-2026</t>
        </is>
      </c>
      <c r="B437" s="1" t="n">
        <v>46030.40644675926</v>
      </c>
      <c r="C437" s="1" t="n">
        <v>46072</v>
      </c>
      <c r="D437" t="inlineStr">
        <is>
          <t>ÖSTERGÖTLANDS LÄN</t>
        </is>
      </c>
      <c r="E437" t="inlineStr">
        <is>
          <t>LINKÖPING</t>
        </is>
      </c>
      <c r="G437" t="n">
        <v>6.4</v>
      </c>
      <c r="H437" t="n">
        <v>0</v>
      </c>
      <c r="I437" t="n">
        <v>0</v>
      </c>
      <c r="J437" t="n">
        <v>0</v>
      </c>
      <c r="K437" t="n">
        <v>0</v>
      </c>
      <c r="L437" t="n">
        <v>0</v>
      </c>
      <c r="M437" t="n">
        <v>0</v>
      </c>
      <c r="N437" t="n">
        <v>0</v>
      </c>
      <c r="O437" t="n">
        <v>0</v>
      </c>
      <c r="P437" t="n">
        <v>0</v>
      </c>
      <c r="Q437" t="n">
        <v>0</v>
      </c>
      <c r="R437" s="2" t="inlineStr"/>
    </row>
    <row r="438" ht="15" customHeight="1">
      <c r="A438" t="inlineStr">
        <is>
          <t>A 940-2026</t>
        </is>
      </c>
      <c r="B438" s="1" t="n">
        <v>46030.53052083333</v>
      </c>
      <c r="C438" s="1" t="n">
        <v>46072</v>
      </c>
      <c r="D438" t="inlineStr">
        <is>
          <t>ÖSTERGÖTLANDS LÄN</t>
        </is>
      </c>
      <c r="E438" t="inlineStr">
        <is>
          <t>LINKÖPING</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1268-2023</t>
        </is>
      </c>
      <c r="B439" s="1" t="n">
        <v>44936</v>
      </c>
      <c r="C439" s="1" t="n">
        <v>46072</v>
      </c>
      <c r="D439" t="inlineStr">
        <is>
          <t>ÖSTERGÖTLANDS LÄN</t>
        </is>
      </c>
      <c r="E439" t="inlineStr">
        <is>
          <t>LINKÖPING</t>
        </is>
      </c>
      <c r="G439" t="n">
        <v>4.6</v>
      </c>
      <c r="H439" t="n">
        <v>0</v>
      </c>
      <c r="I439" t="n">
        <v>0</v>
      </c>
      <c r="J439" t="n">
        <v>0</v>
      </c>
      <c r="K439" t="n">
        <v>0</v>
      </c>
      <c r="L439" t="n">
        <v>0</v>
      </c>
      <c r="M439" t="n">
        <v>0</v>
      </c>
      <c r="N439" t="n">
        <v>0</v>
      </c>
      <c r="O439" t="n">
        <v>0</v>
      </c>
      <c r="P439" t="n">
        <v>0</v>
      </c>
      <c r="Q439" t="n">
        <v>0</v>
      </c>
      <c r="R439" s="2" t="inlineStr"/>
    </row>
    <row r="440" ht="15" customHeight="1">
      <c r="A440" t="inlineStr">
        <is>
          <t>A 55102-2025</t>
        </is>
      </c>
      <c r="B440" s="1" t="n">
        <v>45968.35410879629</v>
      </c>
      <c r="C440" s="1" t="n">
        <v>46072</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25829-2025</t>
        </is>
      </c>
      <c r="B441" s="1" t="n">
        <v>45804.44505787037</v>
      </c>
      <c r="C441" s="1" t="n">
        <v>46072</v>
      </c>
      <c r="D441" t="inlineStr">
        <is>
          <t>ÖSTERGÖTLANDS LÄN</t>
        </is>
      </c>
      <c r="E441" t="inlineStr">
        <is>
          <t>LINKÖPING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62687-2023</t>
        </is>
      </c>
      <c r="B442" s="1" t="n">
        <v>45271</v>
      </c>
      <c r="C442" s="1" t="n">
        <v>46072</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55132-2025</t>
        </is>
      </c>
      <c r="B443" s="1" t="n">
        <v>45968.41912037037</v>
      </c>
      <c r="C443" s="1" t="n">
        <v>46072</v>
      </c>
      <c r="D443" t="inlineStr">
        <is>
          <t>ÖSTERGÖTLANDS LÄN</t>
        </is>
      </c>
      <c r="E443" t="inlineStr">
        <is>
          <t>LINKÖPING</t>
        </is>
      </c>
      <c r="G443" t="n">
        <v>2.4</v>
      </c>
      <c r="H443" t="n">
        <v>0</v>
      </c>
      <c r="I443" t="n">
        <v>0</v>
      </c>
      <c r="J443" t="n">
        <v>0</v>
      </c>
      <c r="K443" t="n">
        <v>0</v>
      </c>
      <c r="L443" t="n">
        <v>0</v>
      </c>
      <c r="M443" t="n">
        <v>0</v>
      </c>
      <c r="N443" t="n">
        <v>0</v>
      </c>
      <c r="O443" t="n">
        <v>0</v>
      </c>
      <c r="P443" t="n">
        <v>0</v>
      </c>
      <c r="Q443" t="n">
        <v>0</v>
      </c>
      <c r="R443" s="2" t="inlineStr"/>
    </row>
    <row r="444" ht="15" customHeight="1">
      <c r="A444" t="inlineStr">
        <is>
          <t>A 38046-2025</t>
        </is>
      </c>
      <c r="B444" s="1" t="n">
        <v>45882.39939814815</v>
      </c>
      <c r="C444" s="1" t="n">
        <v>46072</v>
      </c>
      <c r="D444" t="inlineStr">
        <is>
          <t>ÖSTERGÖTLANDS LÄN</t>
        </is>
      </c>
      <c r="E444" t="inlineStr">
        <is>
          <t>LINKÖPING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34641-2022</t>
        </is>
      </c>
      <c r="B445" s="1" t="n">
        <v>44795</v>
      </c>
      <c r="C445" s="1" t="n">
        <v>46072</v>
      </c>
      <c r="D445" t="inlineStr">
        <is>
          <t>ÖSTERGÖTLANDS LÄN</t>
        </is>
      </c>
      <c r="E445" t="inlineStr">
        <is>
          <t>LINKÖPING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55109-2025</t>
        </is>
      </c>
      <c r="B446" s="1" t="n">
        <v>45968.37731481482</v>
      </c>
      <c r="C446" s="1" t="n">
        <v>46072</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938-2023</t>
        </is>
      </c>
      <c r="B447" s="1" t="n">
        <v>44933</v>
      </c>
      <c r="C447" s="1" t="n">
        <v>46072</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2389-2023</t>
        </is>
      </c>
      <c r="B448" s="1" t="n">
        <v>44942</v>
      </c>
      <c r="C448" s="1" t="n">
        <v>46072</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48-2024</t>
        </is>
      </c>
      <c r="B449" s="1" t="n">
        <v>45293</v>
      </c>
      <c r="C449" s="1" t="n">
        <v>46072</v>
      </c>
      <c r="D449" t="inlineStr">
        <is>
          <t>ÖSTERGÖTLANDS LÄN</t>
        </is>
      </c>
      <c r="E449" t="inlineStr">
        <is>
          <t>LINKÖPING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45771-2023</t>
        </is>
      </c>
      <c r="B450" s="1" t="n">
        <v>45195.4384375</v>
      </c>
      <c r="C450" s="1" t="n">
        <v>46072</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30547-2023</t>
        </is>
      </c>
      <c r="B451" s="1" t="n">
        <v>45111.75905092592</v>
      </c>
      <c r="C451" s="1" t="n">
        <v>46072</v>
      </c>
      <c r="D451" t="inlineStr">
        <is>
          <t>ÖSTERGÖTLANDS LÄN</t>
        </is>
      </c>
      <c r="E451" t="inlineStr">
        <is>
          <t>LINKÖPING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40502-2024</t>
        </is>
      </c>
      <c r="B452" s="1" t="n">
        <v>45555.57263888889</v>
      </c>
      <c r="C452" s="1" t="n">
        <v>46072</v>
      </c>
      <c r="D452" t="inlineStr">
        <is>
          <t>ÖSTERGÖTLANDS LÄN</t>
        </is>
      </c>
      <c r="E452" t="inlineStr">
        <is>
          <t>LINKÖPING</t>
        </is>
      </c>
      <c r="F452" t="inlineStr">
        <is>
          <t>Allmännings- och besparingsskogar</t>
        </is>
      </c>
      <c r="G452" t="n">
        <v>17.5</v>
      </c>
      <c r="H452" t="n">
        <v>0</v>
      </c>
      <c r="I452" t="n">
        <v>0</v>
      </c>
      <c r="J452" t="n">
        <v>0</v>
      </c>
      <c r="K452" t="n">
        <v>0</v>
      </c>
      <c r="L452" t="n">
        <v>0</v>
      </c>
      <c r="M452" t="n">
        <v>0</v>
      </c>
      <c r="N452" t="n">
        <v>0</v>
      </c>
      <c r="O452" t="n">
        <v>0</v>
      </c>
      <c r="P452" t="n">
        <v>0</v>
      </c>
      <c r="Q452" t="n">
        <v>0</v>
      </c>
      <c r="R452" s="2" t="inlineStr"/>
    </row>
    <row r="453" ht="15" customHeight="1">
      <c r="A453" t="inlineStr">
        <is>
          <t>A 60087-2025</t>
        </is>
      </c>
      <c r="B453" s="1" t="n">
        <v>45993.71726851852</v>
      </c>
      <c r="C453" s="1" t="n">
        <v>46072</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24464-2023</t>
        </is>
      </c>
      <c r="B454" s="1" t="n">
        <v>45082.58068287037</v>
      </c>
      <c r="C454" s="1" t="n">
        <v>46072</v>
      </c>
      <c r="D454" t="inlineStr">
        <is>
          <t>ÖSTERGÖTLANDS LÄN</t>
        </is>
      </c>
      <c r="E454" t="inlineStr">
        <is>
          <t>LINKÖPING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24467-2023</t>
        </is>
      </c>
      <c r="B455" s="1" t="n">
        <v>45082</v>
      </c>
      <c r="C455" s="1" t="n">
        <v>46072</v>
      </c>
      <c r="D455" t="inlineStr">
        <is>
          <t>ÖSTERGÖTLANDS LÄN</t>
        </is>
      </c>
      <c r="E455" t="inlineStr">
        <is>
          <t>LINKÖPING</t>
        </is>
      </c>
      <c r="G455" t="n">
        <v>2.4</v>
      </c>
      <c r="H455" t="n">
        <v>0</v>
      </c>
      <c r="I455" t="n">
        <v>0</v>
      </c>
      <c r="J455" t="n">
        <v>0</v>
      </c>
      <c r="K455" t="n">
        <v>0</v>
      </c>
      <c r="L455" t="n">
        <v>0</v>
      </c>
      <c r="M455" t="n">
        <v>0</v>
      </c>
      <c r="N455" t="n">
        <v>0</v>
      </c>
      <c r="O455" t="n">
        <v>0</v>
      </c>
      <c r="P455" t="n">
        <v>0</v>
      </c>
      <c r="Q455" t="n">
        <v>0</v>
      </c>
      <c r="R455" s="2" t="inlineStr"/>
    </row>
    <row r="456" ht="15" customHeight="1">
      <c r="A456" t="inlineStr">
        <is>
          <t>A 48389-2024</t>
        </is>
      </c>
      <c r="B456" s="1" t="n">
        <v>45590.59991898148</v>
      </c>
      <c r="C456" s="1" t="n">
        <v>46072</v>
      </c>
      <c r="D456" t="inlineStr">
        <is>
          <t>ÖSTERGÖTLANDS LÄN</t>
        </is>
      </c>
      <c r="E456" t="inlineStr">
        <is>
          <t>LINKÖPING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2030-2026</t>
        </is>
      </c>
      <c r="B457" s="1" t="n">
        <v>46035.73590277778</v>
      </c>
      <c r="C457" s="1" t="n">
        <v>46072</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56792-2023</t>
        </is>
      </c>
      <c r="B458" s="1" t="n">
        <v>45244</v>
      </c>
      <c r="C458" s="1" t="n">
        <v>46072</v>
      </c>
      <c r="D458" t="inlineStr">
        <is>
          <t>ÖSTERGÖTLANDS LÄN</t>
        </is>
      </c>
      <c r="E458" t="inlineStr">
        <is>
          <t>LINKÖPING</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39017-2021</t>
        </is>
      </c>
      <c r="B459" s="1" t="n">
        <v>44412</v>
      </c>
      <c r="C459" s="1" t="n">
        <v>46072</v>
      </c>
      <c r="D459" t="inlineStr">
        <is>
          <t>ÖSTERGÖTLANDS LÄN</t>
        </is>
      </c>
      <c r="E459" t="inlineStr">
        <is>
          <t>LINKÖPING</t>
        </is>
      </c>
      <c r="F459" t="inlineStr">
        <is>
          <t>Övriga statliga verk och myndigheter</t>
        </is>
      </c>
      <c r="G459" t="n">
        <v>0.8</v>
      </c>
      <c r="H459" t="n">
        <v>0</v>
      </c>
      <c r="I459" t="n">
        <v>0</v>
      </c>
      <c r="J459" t="n">
        <v>0</v>
      </c>
      <c r="K459" t="n">
        <v>0</v>
      </c>
      <c r="L459" t="n">
        <v>0</v>
      </c>
      <c r="M459" t="n">
        <v>0</v>
      </c>
      <c r="N459" t="n">
        <v>0</v>
      </c>
      <c r="O459" t="n">
        <v>0</v>
      </c>
      <c r="P459" t="n">
        <v>0</v>
      </c>
      <c r="Q459" t="n">
        <v>0</v>
      </c>
      <c r="R459" s="2" t="inlineStr"/>
    </row>
    <row r="460" ht="15" customHeight="1">
      <c r="A460" t="inlineStr">
        <is>
          <t>A 2031-2026</t>
        </is>
      </c>
      <c r="B460" s="1" t="n">
        <v>46035.74182870371</v>
      </c>
      <c r="C460" s="1" t="n">
        <v>46072</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60306-2025</t>
        </is>
      </c>
      <c r="B461" s="1" t="n">
        <v>45994.68326388889</v>
      </c>
      <c r="C461" s="1" t="n">
        <v>46072</v>
      </c>
      <c r="D461" t="inlineStr">
        <is>
          <t>ÖSTERGÖTLANDS LÄN</t>
        </is>
      </c>
      <c r="E461" t="inlineStr">
        <is>
          <t>LINKÖPING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1260-2023</t>
        </is>
      </c>
      <c r="B462" s="1" t="n">
        <v>44936</v>
      </c>
      <c r="C462" s="1" t="n">
        <v>46072</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1355-2023</t>
        </is>
      </c>
      <c r="B463" s="1" t="n">
        <v>44931</v>
      </c>
      <c r="C463" s="1" t="n">
        <v>46072</v>
      </c>
      <c r="D463" t="inlineStr">
        <is>
          <t>ÖSTERGÖTLANDS LÄN</t>
        </is>
      </c>
      <c r="E463" t="inlineStr">
        <is>
          <t>LINKÖPING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60284-2025</t>
        </is>
      </c>
      <c r="B464" s="1" t="n">
        <v>45994.64373842593</v>
      </c>
      <c r="C464" s="1" t="n">
        <v>46072</v>
      </c>
      <c r="D464" t="inlineStr">
        <is>
          <t>ÖSTERGÖTLANDS LÄN</t>
        </is>
      </c>
      <c r="E464" t="inlineStr">
        <is>
          <t>LINKÖPING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3007-2025</t>
        </is>
      </c>
      <c r="B465" s="1" t="n">
        <v>45678.56328703704</v>
      </c>
      <c r="C465" s="1" t="n">
        <v>46072</v>
      </c>
      <c r="D465" t="inlineStr">
        <is>
          <t>ÖSTERGÖTLANDS LÄN</t>
        </is>
      </c>
      <c r="E465" t="inlineStr">
        <is>
          <t>LINKÖPING</t>
        </is>
      </c>
      <c r="G465" t="n">
        <v>3.1</v>
      </c>
      <c r="H465" t="n">
        <v>0</v>
      </c>
      <c r="I465" t="n">
        <v>0</v>
      </c>
      <c r="J465" t="n">
        <v>0</v>
      </c>
      <c r="K465" t="n">
        <v>0</v>
      </c>
      <c r="L465" t="n">
        <v>0</v>
      </c>
      <c r="M465" t="n">
        <v>0</v>
      </c>
      <c r="N465" t="n">
        <v>0</v>
      </c>
      <c r="O465" t="n">
        <v>0</v>
      </c>
      <c r="P465" t="n">
        <v>0</v>
      </c>
      <c r="Q465" t="n">
        <v>0</v>
      </c>
      <c r="R465" s="2" t="inlineStr"/>
    </row>
    <row r="466" ht="15" customHeight="1">
      <c r="A466" t="inlineStr">
        <is>
          <t>A 10492-2022</t>
        </is>
      </c>
      <c r="B466" s="1" t="n">
        <v>44623.6377199074</v>
      </c>
      <c r="C466" s="1" t="n">
        <v>46072</v>
      </c>
      <c r="D466" t="inlineStr">
        <is>
          <t>ÖSTERGÖTLANDS LÄN</t>
        </is>
      </c>
      <c r="E466" t="inlineStr">
        <is>
          <t>LINKÖPING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61281-2021</t>
        </is>
      </c>
      <c r="B467" s="1" t="n">
        <v>44498.60736111111</v>
      </c>
      <c r="C467" s="1" t="n">
        <v>46072</v>
      </c>
      <c r="D467" t="inlineStr">
        <is>
          <t>ÖSTERGÖTLANDS LÄN</t>
        </is>
      </c>
      <c r="E467" t="inlineStr">
        <is>
          <t>LINKÖPING</t>
        </is>
      </c>
      <c r="G467" t="n">
        <v>4.5</v>
      </c>
      <c r="H467" t="n">
        <v>0</v>
      </c>
      <c r="I467" t="n">
        <v>0</v>
      </c>
      <c r="J467" t="n">
        <v>0</v>
      </c>
      <c r="K467" t="n">
        <v>0</v>
      </c>
      <c r="L467" t="n">
        <v>0</v>
      </c>
      <c r="M467" t="n">
        <v>0</v>
      </c>
      <c r="N467" t="n">
        <v>0</v>
      </c>
      <c r="O467" t="n">
        <v>0</v>
      </c>
      <c r="P467" t="n">
        <v>0</v>
      </c>
      <c r="Q467" t="n">
        <v>0</v>
      </c>
      <c r="R467" s="2" t="inlineStr"/>
    </row>
    <row r="468" ht="15" customHeight="1">
      <c r="A468" t="inlineStr">
        <is>
          <t>A 25292-2021</t>
        </is>
      </c>
      <c r="B468" s="1" t="n">
        <v>44342</v>
      </c>
      <c r="C468" s="1" t="n">
        <v>46072</v>
      </c>
      <c r="D468" t="inlineStr">
        <is>
          <t>ÖSTERGÖTLANDS LÄN</t>
        </is>
      </c>
      <c r="E468" t="inlineStr">
        <is>
          <t>LINKÖPING</t>
        </is>
      </c>
      <c r="F468" t="inlineStr">
        <is>
          <t>Övriga Aktiebolag</t>
        </is>
      </c>
      <c r="G468" t="n">
        <v>12.8</v>
      </c>
      <c r="H468" t="n">
        <v>0</v>
      </c>
      <c r="I468" t="n">
        <v>0</v>
      </c>
      <c r="J468" t="n">
        <v>0</v>
      </c>
      <c r="K468" t="n">
        <v>0</v>
      </c>
      <c r="L468" t="n">
        <v>0</v>
      </c>
      <c r="M468" t="n">
        <v>0</v>
      </c>
      <c r="N468" t="n">
        <v>0</v>
      </c>
      <c r="O468" t="n">
        <v>0</v>
      </c>
      <c r="P468" t="n">
        <v>0</v>
      </c>
      <c r="Q468" t="n">
        <v>0</v>
      </c>
      <c r="R468" s="2" t="inlineStr"/>
    </row>
    <row r="469" ht="15" customHeight="1">
      <c r="A469" t="inlineStr">
        <is>
          <t>A 63935-2021</t>
        </is>
      </c>
      <c r="B469" s="1" t="n">
        <v>44509</v>
      </c>
      <c r="C469" s="1" t="n">
        <v>46072</v>
      </c>
      <c r="D469" t="inlineStr">
        <is>
          <t>ÖSTERGÖTLANDS LÄN</t>
        </is>
      </c>
      <c r="E469" t="inlineStr">
        <is>
          <t>LINKÖPING</t>
        </is>
      </c>
      <c r="F469" t="inlineStr">
        <is>
          <t>Övriga statliga verk och myndigheter</t>
        </is>
      </c>
      <c r="G469" t="n">
        <v>2.8</v>
      </c>
      <c r="H469" t="n">
        <v>0</v>
      </c>
      <c r="I469" t="n">
        <v>0</v>
      </c>
      <c r="J469" t="n">
        <v>0</v>
      </c>
      <c r="K469" t="n">
        <v>0</v>
      </c>
      <c r="L469" t="n">
        <v>0</v>
      </c>
      <c r="M469" t="n">
        <v>0</v>
      </c>
      <c r="N469" t="n">
        <v>0</v>
      </c>
      <c r="O469" t="n">
        <v>0</v>
      </c>
      <c r="P469" t="n">
        <v>0</v>
      </c>
      <c r="Q469" t="n">
        <v>0</v>
      </c>
      <c r="R469" s="2" t="inlineStr"/>
    </row>
    <row r="470" ht="15" customHeight="1">
      <c r="A470" t="inlineStr">
        <is>
          <t>A 30465-2023</t>
        </is>
      </c>
      <c r="B470" s="1" t="n">
        <v>45111</v>
      </c>
      <c r="C470" s="1" t="n">
        <v>46072</v>
      </c>
      <c r="D470" t="inlineStr">
        <is>
          <t>ÖSTERGÖTLANDS LÄN</t>
        </is>
      </c>
      <c r="E470" t="inlineStr">
        <is>
          <t>LINKÖPING</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38971-2025</t>
        </is>
      </c>
      <c r="B471" s="1" t="n">
        <v>45887.71827546296</v>
      </c>
      <c r="C471" s="1" t="n">
        <v>46072</v>
      </c>
      <c r="D471" t="inlineStr">
        <is>
          <t>ÖSTERGÖTLANDS LÄN</t>
        </is>
      </c>
      <c r="E471" t="inlineStr">
        <is>
          <t>LINKÖPING</t>
        </is>
      </c>
      <c r="G471" t="n">
        <v>3.9</v>
      </c>
      <c r="H471" t="n">
        <v>0</v>
      </c>
      <c r="I471" t="n">
        <v>0</v>
      </c>
      <c r="J471" t="n">
        <v>0</v>
      </c>
      <c r="K471" t="n">
        <v>0</v>
      </c>
      <c r="L471" t="n">
        <v>0</v>
      </c>
      <c r="M471" t="n">
        <v>0</v>
      </c>
      <c r="N471" t="n">
        <v>0</v>
      </c>
      <c r="O471" t="n">
        <v>0</v>
      </c>
      <c r="P471" t="n">
        <v>0</v>
      </c>
      <c r="Q471" t="n">
        <v>0</v>
      </c>
      <c r="R471" s="2" t="inlineStr"/>
    </row>
    <row r="472" ht="15" customHeight="1">
      <c r="A472" t="inlineStr">
        <is>
          <t>A 55345-2021</t>
        </is>
      </c>
      <c r="B472" s="1" t="n">
        <v>44475</v>
      </c>
      <c r="C472" s="1" t="n">
        <v>46072</v>
      </c>
      <c r="D472" t="inlineStr">
        <is>
          <t>ÖSTERGÖTLANDS LÄN</t>
        </is>
      </c>
      <c r="E472" t="inlineStr">
        <is>
          <t>LINKÖPING</t>
        </is>
      </c>
      <c r="G472" t="n">
        <v>5.7</v>
      </c>
      <c r="H472" t="n">
        <v>0</v>
      </c>
      <c r="I472" t="n">
        <v>0</v>
      </c>
      <c r="J472" t="n">
        <v>0</v>
      </c>
      <c r="K472" t="n">
        <v>0</v>
      </c>
      <c r="L472" t="n">
        <v>0</v>
      </c>
      <c r="M472" t="n">
        <v>0</v>
      </c>
      <c r="N472" t="n">
        <v>0</v>
      </c>
      <c r="O472" t="n">
        <v>0</v>
      </c>
      <c r="P472" t="n">
        <v>0</v>
      </c>
      <c r="Q472" t="n">
        <v>0</v>
      </c>
      <c r="R472" s="2" t="inlineStr"/>
    </row>
    <row r="473" ht="15" customHeight="1">
      <c r="A473" t="inlineStr">
        <is>
          <t>A 39021-2021</t>
        </is>
      </c>
      <c r="B473" s="1" t="n">
        <v>44412</v>
      </c>
      <c r="C473" s="1" t="n">
        <v>46072</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62353-2022</t>
        </is>
      </c>
      <c r="B474" s="1" t="n">
        <v>44923</v>
      </c>
      <c r="C474" s="1" t="n">
        <v>46072</v>
      </c>
      <c r="D474" t="inlineStr">
        <is>
          <t>ÖSTERGÖTLANDS LÄN</t>
        </is>
      </c>
      <c r="E474" t="inlineStr">
        <is>
          <t>LINKÖPING</t>
        </is>
      </c>
      <c r="F474" t="inlineStr">
        <is>
          <t>Allmännings- och besparingsskogar</t>
        </is>
      </c>
      <c r="G474" t="n">
        <v>1.7</v>
      </c>
      <c r="H474" t="n">
        <v>0</v>
      </c>
      <c r="I474" t="n">
        <v>0</v>
      </c>
      <c r="J474" t="n">
        <v>0</v>
      </c>
      <c r="K474" t="n">
        <v>0</v>
      </c>
      <c r="L474" t="n">
        <v>0</v>
      </c>
      <c r="M474" t="n">
        <v>0</v>
      </c>
      <c r="N474" t="n">
        <v>0</v>
      </c>
      <c r="O474" t="n">
        <v>0</v>
      </c>
      <c r="P474" t="n">
        <v>0</v>
      </c>
      <c r="Q474" t="n">
        <v>0</v>
      </c>
      <c r="R474" s="2" t="inlineStr"/>
    </row>
    <row r="475" ht="15" customHeight="1">
      <c r="A475" t="inlineStr">
        <is>
          <t>A 30111-2024</t>
        </is>
      </c>
      <c r="B475" s="1" t="n">
        <v>45489.46947916667</v>
      </c>
      <c r="C475" s="1" t="n">
        <v>46072</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30119-2024</t>
        </is>
      </c>
      <c r="B476" s="1" t="n">
        <v>45489</v>
      </c>
      <c r="C476" s="1" t="n">
        <v>46072</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29411-2023</t>
        </is>
      </c>
      <c r="B477" s="1" t="n">
        <v>45106.46225694445</v>
      </c>
      <c r="C477" s="1" t="n">
        <v>46072</v>
      </c>
      <c r="D477" t="inlineStr">
        <is>
          <t>ÖSTERGÖTLANDS LÄN</t>
        </is>
      </c>
      <c r="E477" t="inlineStr">
        <is>
          <t>LINKÖPING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29412-2023</t>
        </is>
      </c>
      <c r="B478" s="1" t="n">
        <v>45106.46359953703</v>
      </c>
      <c r="C478" s="1" t="n">
        <v>46072</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31792-2021</t>
        </is>
      </c>
      <c r="B479" s="1" t="n">
        <v>44369</v>
      </c>
      <c r="C479" s="1" t="n">
        <v>46072</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421-2024</t>
        </is>
      </c>
      <c r="B480" s="1" t="n">
        <v>45296.51877314815</v>
      </c>
      <c r="C480" s="1" t="n">
        <v>46072</v>
      </c>
      <c r="D480" t="inlineStr">
        <is>
          <t>ÖSTERGÖTLANDS LÄN</t>
        </is>
      </c>
      <c r="E480" t="inlineStr">
        <is>
          <t>LINKÖPING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22043-2023</t>
        </is>
      </c>
      <c r="B481" s="1" t="n">
        <v>45069.39050925926</v>
      </c>
      <c r="C481" s="1" t="n">
        <v>46072</v>
      </c>
      <c r="D481" t="inlineStr">
        <is>
          <t>ÖSTERGÖTLANDS LÄN</t>
        </is>
      </c>
      <c r="E481" t="inlineStr">
        <is>
          <t>LINKÖPING</t>
        </is>
      </c>
      <c r="G481" t="n">
        <v>5.9</v>
      </c>
      <c r="H481" t="n">
        <v>0</v>
      </c>
      <c r="I481" t="n">
        <v>0</v>
      </c>
      <c r="J481" t="n">
        <v>0</v>
      </c>
      <c r="K481" t="n">
        <v>0</v>
      </c>
      <c r="L481" t="n">
        <v>0</v>
      </c>
      <c r="M481" t="n">
        <v>0</v>
      </c>
      <c r="N481" t="n">
        <v>0</v>
      </c>
      <c r="O481" t="n">
        <v>0</v>
      </c>
      <c r="P481" t="n">
        <v>0</v>
      </c>
      <c r="Q481" t="n">
        <v>0</v>
      </c>
      <c r="R481" s="2" t="inlineStr"/>
    </row>
    <row r="482" ht="15" customHeight="1">
      <c r="A482" t="inlineStr">
        <is>
          <t>A 61532-2021</t>
        </is>
      </c>
      <c r="B482" s="1" t="n">
        <v>44501</v>
      </c>
      <c r="C482" s="1" t="n">
        <v>46072</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14028-2024</t>
        </is>
      </c>
      <c r="B483" s="1" t="n">
        <v>45392</v>
      </c>
      <c r="C483" s="1" t="n">
        <v>46072</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46072</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3044-2026</t>
        </is>
      </c>
      <c r="B485" s="1" t="n">
        <v>46038.73855324074</v>
      </c>
      <c r="C485" s="1" t="n">
        <v>46072</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3043-2026</t>
        </is>
      </c>
      <c r="B486" s="1" t="n">
        <v>46038.73675925926</v>
      </c>
      <c r="C486" s="1" t="n">
        <v>46072</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3046-2026</t>
        </is>
      </c>
      <c r="B487" s="1" t="n">
        <v>46038.74182870371</v>
      </c>
      <c r="C487" s="1" t="n">
        <v>46072</v>
      </c>
      <c r="D487" t="inlineStr">
        <is>
          <t>ÖSTERGÖTLANDS LÄN</t>
        </is>
      </c>
      <c r="E487" t="inlineStr">
        <is>
          <t>LINKÖPING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60860-2024</t>
        </is>
      </c>
      <c r="B488" s="1" t="n">
        <v>45644.6893287037</v>
      </c>
      <c r="C488" s="1" t="n">
        <v>46072</v>
      </c>
      <c r="D488" t="inlineStr">
        <is>
          <t>ÖSTERGÖTLANDS LÄN</t>
        </is>
      </c>
      <c r="E488" t="inlineStr">
        <is>
          <t>LINKÖPING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60703-2025</t>
        </is>
      </c>
      <c r="B489" s="1" t="n">
        <v>45996.6052662037</v>
      </c>
      <c r="C489" s="1" t="n">
        <v>46072</v>
      </c>
      <c r="D489" t="inlineStr">
        <is>
          <t>ÖSTERGÖTLANDS LÄN</t>
        </is>
      </c>
      <c r="E489" t="inlineStr">
        <is>
          <t>LINKÖPING</t>
        </is>
      </c>
      <c r="F489" t="inlineStr">
        <is>
          <t>Övriga Aktiebolag</t>
        </is>
      </c>
      <c r="G489" t="n">
        <v>1.3</v>
      </c>
      <c r="H489" t="n">
        <v>0</v>
      </c>
      <c r="I489" t="n">
        <v>0</v>
      </c>
      <c r="J489" t="n">
        <v>0</v>
      </c>
      <c r="K489" t="n">
        <v>0</v>
      </c>
      <c r="L489" t="n">
        <v>0</v>
      </c>
      <c r="M489" t="n">
        <v>0</v>
      </c>
      <c r="N489" t="n">
        <v>0</v>
      </c>
      <c r="O489" t="n">
        <v>0</v>
      </c>
      <c r="P489" t="n">
        <v>0</v>
      </c>
      <c r="Q489" t="n">
        <v>0</v>
      </c>
      <c r="R489" s="2" t="inlineStr"/>
    </row>
    <row r="490" ht="15" customHeight="1">
      <c r="A490" t="inlineStr">
        <is>
          <t>A 3045-2026</t>
        </is>
      </c>
      <c r="B490" s="1" t="n">
        <v>46038.74047453704</v>
      </c>
      <c r="C490" s="1" t="n">
        <v>46072</v>
      </c>
      <c r="D490" t="inlineStr">
        <is>
          <t>ÖSTERGÖTLANDS LÄN</t>
        </is>
      </c>
      <c r="E490" t="inlineStr">
        <is>
          <t>LINKÖPING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60866-2025</t>
        </is>
      </c>
      <c r="B491" s="1" t="n">
        <v>45999</v>
      </c>
      <c r="C491" s="1" t="n">
        <v>46072</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2697-2023</t>
        </is>
      </c>
      <c r="B492" s="1" t="n">
        <v>44944</v>
      </c>
      <c r="C492" s="1" t="n">
        <v>46072</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45806-2024</t>
        </is>
      </c>
      <c r="B493" s="1" t="n">
        <v>45579.69619212963</v>
      </c>
      <c r="C493" s="1" t="n">
        <v>46072</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56756-2023</t>
        </is>
      </c>
      <c r="B494" s="1" t="n">
        <v>45244</v>
      </c>
      <c r="C494" s="1" t="n">
        <v>46072</v>
      </c>
      <c r="D494" t="inlineStr">
        <is>
          <t>ÖSTERGÖTLANDS LÄN</t>
        </is>
      </c>
      <c r="E494" t="inlineStr">
        <is>
          <t>LINKÖPING</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60985-2023</t>
        </is>
      </c>
      <c r="B495" s="1" t="n">
        <v>45261.48429398148</v>
      </c>
      <c r="C495" s="1" t="n">
        <v>46072</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61230-2025</t>
        </is>
      </c>
      <c r="B496" s="1" t="n">
        <v>46000.63111111111</v>
      </c>
      <c r="C496" s="1" t="n">
        <v>46072</v>
      </c>
      <c r="D496" t="inlineStr">
        <is>
          <t>ÖSTERGÖTLANDS LÄN</t>
        </is>
      </c>
      <c r="E496" t="inlineStr">
        <is>
          <t>LINKÖPING</t>
        </is>
      </c>
      <c r="F496" t="inlineStr">
        <is>
          <t>Kyrkan</t>
        </is>
      </c>
      <c r="G496" t="n">
        <v>2.1</v>
      </c>
      <c r="H496" t="n">
        <v>0</v>
      </c>
      <c r="I496" t="n">
        <v>0</v>
      </c>
      <c r="J496" t="n">
        <v>0</v>
      </c>
      <c r="K496" t="n">
        <v>0</v>
      </c>
      <c r="L496" t="n">
        <v>0</v>
      </c>
      <c r="M496" t="n">
        <v>0</v>
      </c>
      <c r="N496" t="n">
        <v>0</v>
      </c>
      <c r="O496" t="n">
        <v>0</v>
      </c>
      <c r="P496" t="n">
        <v>0</v>
      </c>
      <c r="Q496" t="n">
        <v>0</v>
      </c>
      <c r="R496" s="2" t="inlineStr"/>
    </row>
    <row r="497" ht="15" customHeight="1">
      <c r="A497" t="inlineStr">
        <is>
          <t>A 24904-2024</t>
        </is>
      </c>
      <c r="B497" s="1" t="n">
        <v>45461</v>
      </c>
      <c r="C497" s="1" t="n">
        <v>46072</v>
      </c>
      <c r="D497" t="inlineStr">
        <is>
          <t>ÖSTERGÖTLANDS LÄN</t>
        </is>
      </c>
      <c r="E497" t="inlineStr">
        <is>
          <t>LINKÖPING</t>
        </is>
      </c>
      <c r="G497" t="n">
        <v>3.8</v>
      </c>
      <c r="H497" t="n">
        <v>0</v>
      </c>
      <c r="I497" t="n">
        <v>0</v>
      </c>
      <c r="J497" t="n">
        <v>0</v>
      </c>
      <c r="K497" t="n">
        <v>0</v>
      </c>
      <c r="L497" t="n">
        <v>0</v>
      </c>
      <c r="M497" t="n">
        <v>0</v>
      </c>
      <c r="N497" t="n">
        <v>0</v>
      </c>
      <c r="O497" t="n">
        <v>0</v>
      </c>
      <c r="P497" t="n">
        <v>0</v>
      </c>
      <c r="Q497" t="n">
        <v>0</v>
      </c>
      <c r="R497" s="2" t="inlineStr"/>
    </row>
    <row r="498" ht="15" customHeight="1">
      <c r="A498" t="inlineStr">
        <is>
          <t>A 55009-2023</t>
        </is>
      </c>
      <c r="B498" s="1" t="n">
        <v>45237</v>
      </c>
      <c r="C498" s="1" t="n">
        <v>46072</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34872-2023</t>
        </is>
      </c>
      <c r="B499" s="1" t="n">
        <v>45140</v>
      </c>
      <c r="C499" s="1" t="n">
        <v>46072</v>
      </c>
      <c r="D499" t="inlineStr">
        <is>
          <t>ÖSTERGÖTLANDS LÄN</t>
        </is>
      </c>
      <c r="E499" t="inlineStr">
        <is>
          <t>LINKÖPING</t>
        </is>
      </c>
      <c r="G499" t="n">
        <v>4.8</v>
      </c>
      <c r="H499" t="n">
        <v>0</v>
      </c>
      <c r="I499" t="n">
        <v>0</v>
      </c>
      <c r="J499" t="n">
        <v>0</v>
      </c>
      <c r="K499" t="n">
        <v>0</v>
      </c>
      <c r="L499" t="n">
        <v>0</v>
      </c>
      <c r="M499" t="n">
        <v>0</v>
      </c>
      <c r="N499" t="n">
        <v>0</v>
      </c>
      <c r="O499" t="n">
        <v>0</v>
      </c>
      <c r="P499" t="n">
        <v>0</v>
      </c>
      <c r="Q499" t="n">
        <v>0</v>
      </c>
      <c r="R499" s="2" t="inlineStr"/>
    </row>
    <row r="500" ht="15" customHeight="1">
      <c r="A500" t="inlineStr">
        <is>
          <t>A 36336-2022</t>
        </is>
      </c>
      <c r="B500" s="1" t="n">
        <v>44803</v>
      </c>
      <c r="C500" s="1" t="n">
        <v>46072</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61447-2025</t>
        </is>
      </c>
      <c r="B501" s="1" t="n">
        <v>46001.57554398148</v>
      </c>
      <c r="C501" s="1" t="n">
        <v>46072</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25097-2023</t>
        </is>
      </c>
      <c r="B502" s="1" t="n">
        <v>45086</v>
      </c>
      <c r="C502" s="1" t="n">
        <v>46072</v>
      </c>
      <c r="D502" t="inlineStr">
        <is>
          <t>ÖSTERGÖTLANDS LÄN</t>
        </is>
      </c>
      <c r="E502" t="inlineStr">
        <is>
          <t>LINKÖPING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4469-2026</t>
        </is>
      </c>
      <c r="B503" s="1" t="n">
        <v>46045.65662037037</v>
      </c>
      <c r="C503" s="1" t="n">
        <v>46072</v>
      </c>
      <c r="D503" t="inlineStr">
        <is>
          <t>ÖSTERGÖTLANDS LÄN</t>
        </is>
      </c>
      <c r="E503" t="inlineStr">
        <is>
          <t>LINKÖPING</t>
        </is>
      </c>
      <c r="F503" t="inlineStr">
        <is>
          <t>Övriga Aktiebolag</t>
        </is>
      </c>
      <c r="G503" t="n">
        <v>3.8</v>
      </c>
      <c r="H503" t="n">
        <v>0</v>
      </c>
      <c r="I503" t="n">
        <v>0</v>
      </c>
      <c r="J503" t="n">
        <v>0</v>
      </c>
      <c r="K503" t="n">
        <v>0</v>
      </c>
      <c r="L503" t="n">
        <v>0</v>
      </c>
      <c r="M503" t="n">
        <v>0</v>
      </c>
      <c r="N503" t="n">
        <v>0</v>
      </c>
      <c r="O503" t="n">
        <v>0</v>
      </c>
      <c r="P503" t="n">
        <v>0</v>
      </c>
      <c r="Q503" t="n">
        <v>0</v>
      </c>
      <c r="R503" s="2" t="inlineStr"/>
    </row>
    <row r="504" ht="15" customHeight="1">
      <c r="A504" t="inlineStr">
        <is>
          <t>A 10461-2023</t>
        </is>
      </c>
      <c r="B504" s="1" t="n">
        <v>44987.5969212963</v>
      </c>
      <c r="C504" s="1" t="n">
        <v>46072</v>
      </c>
      <c r="D504" t="inlineStr">
        <is>
          <t>ÖSTERGÖTLANDS LÄN</t>
        </is>
      </c>
      <c r="E504" t="inlineStr">
        <is>
          <t>LINKÖPING</t>
        </is>
      </c>
      <c r="G504" t="n">
        <v>7.8</v>
      </c>
      <c r="H504" t="n">
        <v>0</v>
      </c>
      <c r="I504" t="n">
        <v>0</v>
      </c>
      <c r="J504" t="n">
        <v>0</v>
      </c>
      <c r="K504" t="n">
        <v>0</v>
      </c>
      <c r="L504" t="n">
        <v>0</v>
      </c>
      <c r="M504" t="n">
        <v>0</v>
      </c>
      <c r="N504" t="n">
        <v>0</v>
      </c>
      <c r="O504" t="n">
        <v>0</v>
      </c>
      <c r="P504" t="n">
        <v>0</v>
      </c>
      <c r="Q504" t="n">
        <v>0</v>
      </c>
      <c r="R504" s="2" t="inlineStr"/>
    </row>
    <row r="505" ht="15" customHeight="1">
      <c r="A505" t="inlineStr">
        <is>
          <t>A 61899-2025</t>
        </is>
      </c>
      <c r="B505" s="1" t="n">
        <v>46003.46635416667</v>
      </c>
      <c r="C505" s="1" t="n">
        <v>46072</v>
      </c>
      <c r="D505" t="inlineStr">
        <is>
          <t>ÖSTERGÖTLANDS LÄN</t>
        </is>
      </c>
      <c r="E505" t="inlineStr">
        <is>
          <t>LINKÖPING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50386-2021</t>
        </is>
      </c>
      <c r="B506" s="1" t="n">
        <v>44459</v>
      </c>
      <c r="C506" s="1" t="n">
        <v>46072</v>
      </c>
      <c r="D506" t="inlineStr">
        <is>
          <t>ÖSTERGÖTLANDS LÄN</t>
        </is>
      </c>
      <c r="E506" t="inlineStr">
        <is>
          <t>LINKÖPING</t>
        </is>
      </c>
      <c r="G506" t="n">
        <v>2.3</v>
      </c>
      <c r="H506" t="n">
        <v>0</v>
      </c>
      <c r="I506" t="n">
        <v>0</v>
      </c>
      <c r="J506" t="n">
        <v>0</v>
      </c>
      <c r="K506" t="n">
        <v>0</v>
      </c>
      <c r="L506" t="n">
        <v>0</v>
      </c>
      <c r="M506" t="n">
        <v>0</v>
      </c>
      <c r="N506" t="n">
        <v>0</v>
      </c>
      <c r="O506" t="n">
        <v>0</v>
      </c>
      <c r="P506" t="n">
        <v>0</v>
      </c>
      <c r="Q506" t="n">
        <v>0</v>
      </c>
      <c r="R506" s="2" t="inlineStr"/>
    </row>
    <row r="507" ht="15" customHeight="1">
      <c r="A507" t="inlineStr">
        <is>
          <t>A 350-2022</t>
        </is>
      </c>
      <c r="B507" s="1" t="n">
        <v>44565</v>
      </c>
      <c r="C507" s="1" t="n">
        <v>46072</v>
      </c>
      <c r="D507" t="inlineStr">
        <is>
          <t>ÖSTERGÖTLANDS LÄN</t>
        </is>
      </c>
      <c r="E507" t="inlineStr">
        <is>
          <t>LINKÖPING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18891-2022</t>
        </is>
      </c>
      <c r="B508" s="1" t="n">
        <v>44690</v>
      </c>
      <c r="C508" s="1" t="n">
        <v>46072</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61643-2025</t>
        </is>
      </c>
      <c r="B509" s="1" t="n">
        <v>46002.43575231481</v>
      </c>
      <c r="C509" s="1" t="n">
        <v>46072</v>
      </c>
      <c r="D509" t="inlineStr">
        <is>
          <t>ÖSTERGÖTLANDS LÄN</t>
        </is>
      </c>
      <c r="E509" t="inlineStr">
        <is>
          <t>LINKÖPING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61645-2025</t>
        </is>
      </c>
      <c r="B510" s="1" t="n">
        <v>46002.43697916667</v>
      </c>
      <c r="C510" s="1" t="n">
        <v>46072</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30976-2022</t>
        </is>
      </c>
      <c r="B511" s="1" t="n">
        <v>44768</v>
      </c>
      <c r="C511" s="1" t="n">
        <v>46072</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5099-2026</t>
        </is>
      </c>
      <c r="B512" s="1" t="n">
        <v>46049.56158564815</v>
      </c>
      <c r="C512" s="1" t="n">
        <v>46072</v>
      </c>
      <c r="D512" t="inlineStr">
        <is>
          <t>ÖSTERGÖTLANDS LÄN</t>
        </is>
      </c>
      <c r="E512" t="inlineStr">
        <is>
          <t>LINKÖPING</t>
        </is>
      </c>
      <c r="G512" t="n">
        <v>5</v>
      </c>
      <c r="H512" t="n">
        <v>0</v>
      </c>
      <c r="I512" t="n">
        <v>0</v>
      </c>
      <c r="J512" t="n">
        <v>0</v>
      </c>
      <c r="K512" t="n">
        <v>0</v>
      </c>
      <c r="L512" t="n">
        <v>0</v>
      </c>
      <c r="M512" t="n">
        <v>0</v>
      </c>
      <c r="N512" t="n">
        <v>0</v>
      </c>
      <c r="O512" t="n">
        <v>0</v>
      </c>
      <c r="P512" t="n">
        <v>0</v>
      </c>
      <c r="Q512" t="n">
        <v>0</v>
      </c>
      <c r="R512" s="2" t="inlineStr"/>
    </row>
    <row r="513" ht="15" customHeight="1">
      <c r="A513" t="inlineStr">
        <is>
          <t>A 55736-2022</t>
        </is>
      </c>
      <c r="B513" s="1" t="n">
        <v>44888</v>
      </c>
      <c r="C513" s="1" t="n">
        <v>46072</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10194-2023</t>
        </is>
      </c>
      <c r="B514" s="1" t="n">
        <v>44986.52277777778</v>
      </c>
      <c r="C514" s="1" t="n">
        <v>46072</v>
      </c>
      <c r="D514" t="inlineStr">
        <is>
          <t>ÖSTERGÖTLANDS LÄN</t>
        </is>
      </c>
      <c r="E514" t="inlineStr">
        <is>
          <t>LINKÖPING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927-2026</t>
        </is>
      </c>
      <c r="B515" s="1" t="n">
        <v>46030.50560185185</v>
      </c>
      <c r="C515" s="1" t="n">
        <v>46072</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62515-2025</t>
        </is>
      </c>
      <c r="B516" s="1" t="n">
        <v>46007.60548611111</v>
      </c>
      <c r="C516" s="1" t="n">
        <v>46072</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7702-2023</t>
        </is>
      </c>
      <c r="B517" s="1" t="n">
        <v>44967</v>
      </c>
      <c r="C517" s="1" t="n">
        <v>46072</v>
      </c>
      <c r="D517" t="inlineStr">
        <is>
          <t>ÖSTERGÖTLANDS LÄN</t>
        </is>
      </c>
      <c r="E517" t="inlineStr">
        <is>
          <t>LINKÖPING</t>
        </is>
      </c>
      <c r="F517" t="inlineStr">
        <is>
          <t>Övriga statliga verk och myndigheter</t>
        </is>
      </c>
      <c r="G517" t="n">
        <v>8</v>
      </c>
      <c r="H517" t="n">
        <v>0</v>
      </c>
      <c r="I517" t="n">
        <v>0</v>
      </c>
      <c r="J517" t="n">
        <v>0</v>
      </c>
      <c r="K517" t="n">
        <v>0</v>
      </c>
      <c r="L517" t="n">
        <v>0</v>
      </c>
      <c r="M517" t="n">
        <v>0</v>
      </c>
      <c r="N517" t="n">
        <v>0</v>
      </c>
      <c r="O517" t="n">
        <v>0</v>
      </c>
      <c r="P517" t="n">
        <v>0</v>
      </c>
      <c r="Q517" t="n">
        <v>0</v>
      </c>
      <c r="R517" s="2" t="inlineStr"/>
    </row>
    <row r="518" ht="15" customHeight="1">
      <c r="A518" t="inlineStr">
        <is>
          <t>A 42000-2023</t>
        </is>
      </c>
      <c r="B518" s="1" t="n">
        <v>45177</v>
      </c>
      <c r="C518" s="1" t="n">
        <v>46072</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5545-2026</t>
        </is>
      </c>
      <c r="B519" s="1" t="n">
        <v>46050.70089120371</v>
      </c>
      <c r="C519" s="1" t="n">
        <v>46072</v>
      </c>
      <c r="D519" t="inlineStr">
        <is>
          <t>ÖSTERGÖTLANDS LÄN</t>
        </is>
      </c>
      <c r="E519" t="inlineStr">
        <is>
          <t>LINKÖPING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31534-2023</t>
        </is>
      </c>
      <c r="B520" s="1" t="n">
        <v>45116</v>
      </c>
      <c r="C520" s="1" t="n">
        <v>46072</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35427-2023</t>
        </is>
      </c>
      <c r="B521" s="1" t="n">
        <v>45146</v>
      </c>
      <c r="C521" s="1" t="n">
        <v>46072</v>
      </c>
      <c r="D521" t="inlineStr">
        <is>
          <t>ÖSTERGÖTLANDS LÄN</t>
        </is>
      </c>
      <c r="E521" t="inlineStr">
        <is>
          <t>LINKÖPING</t>
        </is>
      </c>
      <c r="F521" t="inlineStr">
        <is>
          <t>Övriga Aktiebolag</t>
        </is>
      </c>
      <c r="G521" t="n">
        <v>2.5</v>
      </c>
      <c r="H521" t="n">
        <v>0</v>
      </c>
      <c r="I521" t="n">
        <v>0</v>
      </c>
      <c r="J521" t="n">
        <v>0</v>
      </c>
      <c r="K521" t="n">
        <v>0</v>
      </c>
      <c r="L521" t="n">
        <v>0</v>
      </c>
      <c r="M521" t="n">
        <v>0</v>
      </c>
      <c r="N521" t="n">
        <v>0</v>
      </c>
      <c r="O521" t="n">
        <v>0</v>
      </c>
      <c r="P521" t="n">
        <v>0</v>
      </c>
      <c r="Q521" t="n">
        <v>0</v>
      </c>
      <c r="R521" s="2" t="inlineStr"/>
    </row>
    <row r="522" ht="15" customHeight="1">
      <c r="A522" t="inlineStr">
        <is>
          <t>A 36725-2023</t>
        </is>
      </c>
      <c r="B522" s="1" t="n">
        <v>45153.68471064815</v>
      </c>
      <c r="C522" s="1" t="n">
        <v>46072</v>
      </c>
      <c r="D522" t="inlineStr">
        <is>
          <t>ÖSTERGÖTLANDS LÄN</t>
        </is>
      </c>
      <c r="E522" t="inlineStr">
        <is>
          <t>LINKÖPING</t>
        </is>
      </c>
      <c r="F522" t="inlineStr">
        <is>
          <t>Allmännings- och besparingsskogar</t>
        </is>
      </c>
      <c r="G522" t="n">
        <v>2.6</v>
      </c>
      <c r="H522" t="n">
        <v>0</v>
      </c>
      <c r="I522" t="n">
        <v>0</v>
      </c>
      <c r="J522" t="n">
        <v>0</v>
      </c>
      <c r="K522" t="n">
        <v>0</v>
      </c>
      <c r="L522" t="n">
        <v>0</v>
      </c>
      <c r="M522" t="n">
        <v>0</v>
      </c>
      <c r="N522" t="n">
        <v>0</v>
      </c>
      <c r="O522" t="n">
        <v>0</v>
      </c>
      <c r="P522" t="n">
        <v>0</v>
      </c>
      <c r="Q522" t="n">
        <v>0</v>
      </c>
      <c r="R522" s="2" t="inlineStr"/>
    </row>
    <row r="523" ht="15" customHeight="1">
      <c r="A523" t="inlineStr">
        <is>
          <t>A 62791-2025</t>
        </is>
      </c>
      <c r="B523" s="1" t="n">
        <v>46008.63266203704</v>
      </c>
      <c r="C523" s="1" t="n">
        <v>46072</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62686-2025</t>
        </is>
      </c>
      <c r="B524" s="1" t="n">
        <v>46008.46769675926</v>
      </c>
      <c r="C524" s="1" t="n">
        <v>46072</v>
      </c>
      <c r="D524" t="inlineStr">
        <is>
          <t>ÖSTERGÖTLANDS LÄN</t>
        </is>
      </c>
      <c r="E524" t="inlineStr">
        <is>
          <t>LINKÖPING</t>
        </is>
      </c>
      <c r="G524" t="n">
        <v>7.6</v>
      </c>
      <c r="H524" t="n">
        <v>0</v>
      </c>
      <c r="I524" t="n">
        <v>0</v>
      </c>
      <c r="J524" t="n">
        <v>0</v>
      </c>
      <c r="K524" t="n">
        <v>0</v>
      </c>
      <c r="L524" t="n">
        <v>0</v>
      </c>
      <c r="M524" t="n">
        <v>0</v>
      </c>
      <c r="N524" t="n">
        <v>0</v>
      </c>
      <c r="O524" t="n">
        <v>0</v>
      </c>
      <c r="P524" t="n">
        <v>0</v>
      </c>
      <c r="Q524" t="n">
        <v>0</v>
      </c>
      <c r="R524" s="2" t="inlineStr"/>
    </row>
    <row r="525" ht="15" customHeight="1">
      <c r="A525" t="inlineStr">
        <is>
          <t>A 53639-2023</t>
        </is>
      </c>
      <c r="B525" s="1" t="n">
        <v>45230.59686342593</v>
      </c>
      <c r="C525" s="1" t="n">
        <v>46072</v>
      </c>
      <c r="D525" t="inlineStr">
        <is>
          <t>ÖSTERGÖTLANDS LÄN</t>
        </is>
      </c>
      <c r="E525" t="inlineStr">
        <is>
          <t>LINKÖPING</t>
        </is>
      </c>
      <c r="G525" t="n">
        <v>2.3</v>
      </c>
      <c r="H525" t="n">
        <v>0</v>
      </c>
      <c r="I525" t="n">
        <v>0</v>
      </c>
      <c r="J525" t="n">
        <v>0</v>
      </c>
      <c r="K525" t="n">
        <v>0</v>
      </c>
      <c r="L525" t="n">
        <v>0</v>
      </c>
      <c r="M525" t="n">
        <v>0</v>
      </c>
      <c r="N525" t="n">
        <v>0</v>
      </c>
      <c r="O525" t="n">
        <v>0</v>
      </c>
      <c r="P525" t="n">
        <v>0</v>
      </c>
      <c r="Q525" t="n">
        <v>0</v>
      </c>
      <c r="R525" s="2" t="inlineStr"/>
    </row>
    <row r="526" ht="15" customHeight="1">
      <c r="A526" t="inlineStr">
        <is>
          <t>A 1657-2024</t>
        </is>
      </c>
      <c r="B526" s="1" t="n">
        <v>45306.82501157407</v>
      </c>
      <c r="C526" s="1" t="n">
        <v>46072</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63147-2025</t>
        </is>
      </c>
      <c r="B527" s="1" t="n">
        <v>46010.35003472222</v>
      </c>
      <c r="C527" s="1" t="n">
        <v>46072</v>
      </c>
      <c r="D527" t="inlineStr">
        <is>
          <t>ÖSTERGÖTLANDS LÄN</t>
        </is>
      </c>
      <c r="E527" t="inlineStr">
        <is>
          <t>LINKÖPING</t>
        </is>
      </c>
      <c r="G527" t="n">
        <v>4</v>
      </c>
      <c r="H527" t="n">
        <v>0</v>
      </c>
      <c r="I527" t="n">
        <v>0</v>
      </c>
      <c r="J527" t="n">
        <v>0</v>
      </c>
      <c r="K527" t="n">
        <v>0</v>
      </c>
      <c r="L527" t="n">
        <v>0</v>
      </c>
      <c r="M527" t="n">
        <v>0</v>
      </c>
      <c r="N527" t="n">
        <v>0</v>
      </c>
      <c r="O527" t="n">
        <v>0</v>
      </c>
      <c r="P527" t="n">
        <v>0</v>
      </c>
      <c r="Q527" t="n">
        <v>0</v>
      </c>
      <c r="R527" s="2" t="inlineStr"/>
    </row>
    <row r="528" ht="15" customHeight="1">
      <c r="A528" t="inlineStr">
        <is>
          <t>A 50784-2022</t>
        </is>
      </c>
      <c r="B528" s="1" t="n">
        <v>44862</v>
      </c>
      <c r="C528" s="1" t="n">
        <v>46072</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26803-2024</t>
        </is>
      </c>
      <c r="B529" s="1" t="n">
        <v>45470</v>
      </c>
      <c r="C529" s="1" t="n">
        <v>46072</v>
      </c>
      <c r="D529" t="inlineStr">
        <is>
          <t>ÖSTERGÖTLANDS LÄN</t>
        </is>
      </c>
      <c r="E529" t="inlineStr">
        <is>
          <t>LINKÖPING</t>
        </is>
      </c>
      <c r="F529" t="inlineStr">
        <is>
          <t>Allmännings- och besparingsskogar</t>
        </is>
      </c>
      <c r="G529" t="n">
        <v>4.5</v>
      </c>
      <c r="H529" t="n">
        <v>0</v>
      </c>
      <c r="I529" t="n">
        <v>0</v>
      </c>
      <c r="J529" t="n">
        <v>0</v>
      </c>
      <c r="K529" t="n">
        <v>0</v>
      </c>
      <c r="L529" t="n">
        <v>0</v>
      </c>
      <c r="M529" t="n">
        <v>0</v>
      </c>
      <c r="N529" t="n">
        <v>0</v>
      </c>
      <c r="O529" t="n">
        <v>0</v>
      </c>
      <c r="P529" t="n">
        <v>0</v>
      </c>
      <c r="Q529" t="n">
        <v>0</v>
      </c>
      <c r="R529" s="2" t="inlineStr"/>
    </row>
    <row r="530" ht="15" customHeight="1">
      <c r="A530" t="inlineStr">
        <is>
          <t>A 19187-2021</t>
        </is>
      </c>
      <c r="B530" s="1" t="n">
        <v>44308</v>
      </c>
      <c r="C530" s="1" t="n">
        <v>46072</v>
      </c>
      <c r="D530" t="inlineStr">
        <is>
          <t>ÖSTERGÖTLANDS LÄN</t>
        </is>
      </c>
      <c r="E530" t="inlineStr">
        <is>
          <t>LINKÖPING</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6164-2026</t>
        </is>
      </c>
      <c r="B531" s="1" t="n">
        <v>46055.32596064815</v>
      </c>
      <c r="C531" s="1" t="n">
        <v>46072</v>
      </c>
      <c r="D531" t="inlineStr">
        <is>
          <t>ÖSTERGÖTLANDS LÄN</t>
        </is>
      </c>
      <c r="E531" t="inlineStr">
        <is>
          <t>LINKÖPING</t>
        </is>
      </c>
      <c r="G531" t="n">
        <v>0.4</v>
      </c>
      <c r="H531" t="n">
        <v>0</v>
      </c>
      <c r="I531" t="n">
        <v>0</v>
      </c>
      <c r="J531" t="n">
        <v>0</v>
      </c>
      <c r="K531" t="n">
        <v>0</v>
      </c>
      <c r="L531" t="n">
        <v>0</v>
      </c>
      <c r="M531" t="n">
        <v>0</v>
      </c>
      <c r="N531" t="n">
        <v>0</v>
      </c>
      <c r="O531" t="n">
        <v>0</v>
      </c>
      <c r="P531" t="n">
        <v>0</v>
      </c>
      <c r="Q531" t="n">
        <v>0</v>
      </c>
      <c r="R531" s="2" t="inlineStr"/>
    </row>
    <row r="532" ht="15" customHeight="1">
      <c r="A532" t="inlineStr">
        <is>
          <t>A 60472-2022</t>
        </is>
      </c>
      <c r="B532" s="1" t="n">
        <v>44911.41037037037</v>
      </c>
      <c r="C532" s="1" t="n">
        <v>46072</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43934-2023</t>
        </is>
      </c>
      <c r="B533" s="1" t="n">
        <v>45187</v>
      </c>
      <c r="C533" s="1" t="n">
        <v>46072</v>
      </c>
      <c r="D533" t="inlineStr">
        <is>
          <t>ÖSTERGÖTLANDS LÄN</t>
        </is>
      </c>
      <c r="E533" t="inlineStr">
        <is>
          <t>LINKÖPING</t>
        </is>
      </c>
      <c r="F533" t="inlineStr">
        <is>
          <t>Övriga Aktiebolag</t>
        </is>
      </c>
      <c r="G533" t="n">
        <v>3.8</v>
      </c>
      <c r="H533" t="n">
        <v>0</v>
      </c>
      <c r="I533" t="n">
        <v>0</v>
      </c>
      <c r="J533" t="n">
        <v>0</v>
      </c>
      <c r="K533" t="n">
        <v>0</v>
      </c>
      <c r="L533" t="n">
        <v>0</v>
      </c>
      <c r="M533" t="n">
        <v>0</v>
      </c>
      <c r="N533" t="n">
        <v>0</v>
      </c>
      <c r="O533" t="n">
        <v>0</v>
      </c>
      <c r="P533" t="n">
        <v>0</v>
      </c>
      <c r="Q533" t="n">
        <v>0</v>
      </c>
      <c r="R533" s="2" t="inlineStr"/>
    </row>
    <row r="534" ht="15" customHeight="1">
      <c r="A534" t="inlineStr">
        <is>
          <t>A 22774-2024</t>
        </is>
      </c>
      <c r="B534" s="1" t="n">
        <v>45448.46924768519</v>
      </c>
      <c r="C534" s="1" t="n">
        <v>46072</v>
      </c>
      <c r="D534" t="inlineStr">
        <is>
          <t>ÖSTERGÖTLANDS LÄN</t>
        </is>
      </c>
      <c r="E534" t="inlineStr">
        <is>
          <t>LINKÖPING</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22778-2024</t>
        </is>
      </c>
      <c r="B535" s="1" t="n">
        <v>45448.47233796296</v>
      </c>
      <c r="C535" s="1" t="n">
        <v>46072</v>
      </c>
      <c r="D535" t="inlineStr">
        <is>
          <t>ÖSTERGÖTLANDS LÄN</t>
        </is>
      </c>
      <c r="E535" t="inlineStr">
        <is>
          <t>LINKÖPING</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1209-2023</t>
        </is>
      </c>
      <c r="B536" s="1" t="n">
        <v>44930</v>
      </c>
      <c r="C536" s="1" t="n">
        <v>46072</v>
      </c>
      <c r="D536" t="inlineStr">
        <is>
          <t>ÖSTERGÖTLANDS LÄN</t>
        </is>
      </c>
      <c r="E536" t="inlineStr">
        <is>
          <t>LINKÖPING</t>
        </is>
      </c>
      <c r="F536" t="inlineStr">
        <is>
          <t>Övriga statliga verk och myndigheter</t>
        </is>
      </c>
      <c r="G536" t="n">
        <v>25.8</v>
      </c>
      <c r="H536" t="n">
        <v>0</v>
      </c>
      <c r="I536" t="n">
        <v>0</v>
      </c>
      <c r="J536" t="n">
        <v>0</v>
      </c>
      <c r="K536" t="n">
        <v>0</v>
      </c>
      <c r="L536" t="n">
        <v>0</v>
      </c>
      <c r="M536" t="n">
        <v>0</v>
      </c>
      <c r="N536" t="n">
        <v>0</v>
      </c>
      <c r="O536" t="n">
        <v>0</v>
      </c>
      <c r="P536" t="n">
        <v>0</v>
      </c>
      <c r="Q536" t="n">
        <v>0</v>
      </c>
      <c r="R536" s="2" t="inlineStr"/>
    </row>
    <row r="537" ht="15" customHeight="1">
      <c r="A537" t="inlineStr">
        <is>
          <t>A 6384-2026</t>
        </is>
      </c>
      <c r="B537" s="1" t="n">
        <v>46055.63732638889</v>
      </c>
      <c r="C537" s="1" t="n">
        <v>46072</v>
      </c>
      <c r="D537" t="inlineStr">
        <is>
          <t>ÖSTERGÖTLANDS LÄN</t>
        </is>
      </c>
      <c r="E537" t="inlineStr">
        <is>
          <t>LINKÖPING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10407-2025</t>
        </is>
      </c>
      <c r="B538" s="1" t="n">
        <v>45720.62863425926</v>
      </c>
      <c r="C538" s="1" t="n">
        <v>46072</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11590-2023</t>
        </is>
      </c>
      <c r="B539" s="1" t="n">
        <v>44994.36689814815</v>
      </c>
      <c r="C539" s="1" t="n">
        <v>46072</v>
      </c>
      <c r="D539" t="inlineStr">
        <is>
          <t>ÖSTERGÖTLANDS LÄN</t>
        </is>
      </c>
      <c r="E539" t="inlineStr">
        <is>
          <t>LINKÖPING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19169-2023</t>
        </is>
      </c>
      <c r="B540" s="1" t="n">
        <v>45044</v>
      </c>
      <c r="C540" s="1" t="n">
        <v>46072</v>
      </c>
      <c r="D540" t="inlineStr">
        <is>
          <t>ÖSTERGÖTLANDS LÄN</t>
        </is>
      </c>
      <c r="E540" t="inlineStr">
        <is>
          <t>LINKÖPING</t>
        </is>
      </c>
      <c r="G540" t="n">
        <v>2.7</v>
      </c>
      <c r="H540" t="n">
        <v>0</v>
      </c>
      <c r="I540" t="n">
        <v>0</v>
      </c>
      <c r="J540" t="n">
        <v>0</v>
      </c>
      <c r="K540" t="n">
        <v>0</v>
      </c>
      <c r="L540" t="n">
        <v>0</v>
      </c>
      <c r="M540" t="n">
        <v>0</v>
      </c>
      <c r="N540" t="n">
        <v>0</v>
      </c>
      <c r="O540" t="n">
        <v>0</v>
      </c>
      <c r="P540" t="n">
        <v>0</v>
      </c>
      <c r="Q540" t="n">
        <v>0</v>
      </c>
      <c r="R540" s="2" t="inlineStr"/>
    </row>
    <row r="541" ht="15" customHeight="1">
      <c r="A541" t="inlineStr">
        <is>
          <t>A 63144-2025</t>
        </is>
      </c>
      <c r="B541" s="1" t="n">
        <v>46010.34716435185</v>
      </c>
      <c r="C541" s="1" t="n">
        <v>46072</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672-2024</t>
        </is>
      </c>
      <c r="B542" s="1" t="n">
        <v>45300</v>
      </c>
      <c r="C542" s="1" t="n">
        <v>46072</v>
      </c>
      <c r="D542" t="inlineStr">
        <is>
          <t>ÖSTERGÖTLANDS LÄN</t>
        </is>
      </c>
      <c r="E542" t="inlineStr">
        <is>
          <t>LINKÖPING</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55493-2021</t>
        </is>
      </c>
      <c r="B543" s="1" t="n">
        <v>44475.61988425926</v>
      </c>
      <c r="C543" s="1" t="n">
        <v>46072</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7133-2026</t>
        </is>
      </c>
      <c r="B544" s="1" t="n">
        <v>46057</v>
      </c>
      <c r="C544" s="1" t="n">
        <v>46072</v>
      </c>
      <c r="D544" t="inlineStr">
        <is>
          <t>ÖSTERGÖTLANDS LÄN</t>
        </is>
      </c>
      <c r="E544" t="inlineStr">
        <is>
          <t>LINKÖPING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14093-2024</t>
        </is>
      </c>
      <c r="B545" s="1" t="n">
        <v>45392.60278935185</v>
      </c>
      <c r="C545" s="1" t="n">
        <v>46072</v>
      </c>
      <c r="D545" t="inlineStr">
        <is>
          <t>ÖSTERGÖTLANDS LÄN</t>
        </is>
      </c>
      <c r="E545" t="inlineStr">
        <is>
          <t>LINKÖPING</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62019-2024</t>
        </is>
      </c>
      <c r="B546" s="1" t="n">
        <v>45655.82</v>
      </c>
      <c r="C546" s="1" t="n">
        <v>46072</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25119-2023</t>
        </is>
      </c>
      <c r="B547" s="1" t="n">
        <v>45086.42326388889</v>
      </c>
      <c r="C547" s="1" t="n">
        <v>46072</v>
      </c>
      <c r="D547" t="inlineStr">
        <is>
          <t>ÖSTERGÖTLANDS LÄN</t>
        </is>
      </c>
      <c r="E547" t="inlineStr">
        <is>
          <t>LINKÖPING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57396-2021</t>
        </is>
      </c>
      <c r="B548" s="1" t="n">
        <v>44483.56151620371</v>
      </c>
      <c r="C548" s="1" t="n">
        <v>46072</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51571-2024</t>
        </is>
      </c>
      <c r="B549" s="1" t="n">
        <v>45604</v>
      </c>
      <c r="C549" s="1" t="n">
        <v>46072</v>
      </c>
      <c r="D549" t="inlineStr">
        <is>
          <t>ÖSTERGÖTLANDS LÄN</t>
        </is>
      </c>
      <c r="E549" t="inlineStr">
        <is>
          <t>LINKÖPING</t>
        </is>
      </c>
      <c r="F549" t="inlineStr">
        <is>
          <t>Övriga Aktiebolag</t>
        </is>
      </c>
      <c r="G549" t="n">
        <v>1.4</v>
      </c>
      <c r="H549" t="n">
        <v>0</v>
      </c>
      <c r="I549" t="n">
        <v>0</v>
      </c>
      <c r="J549" t="n">
        <v>0</v>
      </c>
      <c r="K549" t="n">
        <v>0</v>
      </c>
      <c r="L549" t="n">
        <v>0</v>
      </c>
      <c r="M549" t="n">
        <v>0</v>
      </c>
      <c r="N549" t="n">
        <v>0</v>
      </c>
      <c r="O549" t="n">
        <v>0</v>
      </c>
      <c r="P549" t="n">
        <v>0</v>
      </c>
      <c r="Q549" t="n">
        <v>0</v>
      </c>
      <c r="R549" s="2" t="inlineStr"/>
    </row>
    <row r="550" ht="15" customHeight="1">
      <c r="A550" t="inlineStr">
        <is>
          <t>A 17143-2025</t>
        </is>
      </c>
      <c r="B550" s="1" t="n">
        <v>45755.92731481481</v>
      </c>
      <c r="C550" s="1" t="n">
        <v>46072</v>
      </c>
      <c r="D550" t="inlineStr">
        <is>
          <t>ÖSTERGÖTLANDS LÄN</t>
        </is>
      </c>
      <c r="E550" t="inlineStr">
        <is>
          <t>LINKÖPING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17124-2025</t>
        </is>
      </c>
      <c r="B551" s="1" t="n">
        <v>45755.69678240741</v>
      </c>
      <c r="C551" s="1" t="n">
        <v>46072</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17126-2025</t>
        </is>
      </c>
      <c r="B552" s="1" t="n">
        <v>45755.70814814815</v>
      </c>
      <c r="C552" s="1" t="n">
        <v>46072</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31640-2023</t>
        </is>
      </c>
      <c r="B553" s="1" t="n">
        <v>45117</v>
      </c>
      <c r="C553" s="1" t="n">
        <v>46072</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11790-2024</t>
        </is>
      </c>
      <c r="B554" s="1" t="n">
        <v>45374</v>
      </c>
      <c r="C554" s="1" t="n">
        <v>46072</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61281-2021</t>
        </is>
      </c>
      <c r="B555" s="1" t="n">
        <v>44498.60736111111</v>
      </c>
      <c r="C555" s="1" t="n">
        <v>46072</v>
      </c>
      <c r="D555" t="inlineStr">
        <is>
          <t>ÖSTERGÖTLANDS LÄN</t>
        </is>
      </c>
      <c r="E555" t="inlineStr">
        <is>
          <t>LINKÖPING</t>
        </is>
      </c>
      <c r="G555" t="n">
        <v>4.5</v>
      </c>
      <c r="H555" t="n">
        <v>0</v>
      </c>
      <c r="I555" t="n">
        <v>0</v>
      </c>
      <c r="J555" t="n">
        <v>0</v>
      </c>
      <c r="K555" t="n">
        <v>0</v>
      </c>
      <c r="L555" t="n">
        <v>0</v>
      </c>
      <c r="M555" t="n">
        <v>0</v>
      </c>
      <c r="N555" t="n">
        <v>0</v>
      </c>
      <c r="O555" t="n">
        <v>0</v>
      </c>
      <c r="P555" t="n">
        <v>0</v>
      </c>
      <c r="Q555" t="n">
        <v>0</v>
      </c>
      <c r="R555" s="2" t="inlineStr"/>
    </row>
    <row r="556" ht="15" customHeight="1">
      <c r="A556" t="inlineStr">
        <is>
          <t>A 6206-2024</t>
        </is>
      </c>
      <c r="B556" s="1" t="n">
        <v>45337.5977662037</v>
      </c>
      <c r="C556" s="1" t="n">
        <v>46072</v>
      </c>
      <c r="D556" t="inlineStr">
        <is>
          <t>ÖSTERGÖTLANDS LÄN</t>
        </is>
      </c>
      <c r="E556" t="inlineStr">
        <is>
          <t>LINKÖPING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168-2024</t>
        </is>
      </c>
      <c r="B557" s="1" t="n">
        <v>45294</v>
      </c>
      <c r="C557" s="1" t="n">
        <v>46072</v>
      </c>
      <c r="D557" t="inlineStr">
        <is>
          <t>ÖSTERGÖTLANDS LÄN</t>
        </is>
      </c>
      <c r="E557" t="inlineStr">
        <is>
          <t>LINKÖPING</t>
        </is>
      </c>
      <c r="F557" t="inlineStr">
        <is>
          <t>Allmännings- och besparingsskogar</t>
        </is>
      </c>
      <c r="G557" t="n">
        <v>8.9</v>
      </c>
      <c r="H557" t="n">
        <v>0</v>
      </c>
      <c r="I557" t="n">
        <v>0</v>
      </c>
      <c r="J557" t="n">
        <v>0</v>
      </c>
      <c r="K557" t="n">
        <v>0</v>
      </c>
      <c r="L557" t="n">
        <v>0</v>
      </c>
      <c r="M557" t="n">
        <v>0</v>
      </c>
      <c r="N557" t="n">
        <v>0</v>
      </c>
      <c r="O557" t="n">
        <v>0</v>
      </c>
      <c r="P557" t="n">
        <v>0</v>
      </c>
      <c r="Q557" t="n">
        <v>0</v>
      </c>
      <c r="R557" s="2" t="inlineStr"/>
    </row>
    <row r="558" ht="15" customHeight="1">
      <c r="A558" t="inlineStr">
        <is>
          <t>A 51919-2024</t>
        </is>
      </c>
      <c r="B558" s="1" t="n">
        <v>45607.60791666667</v>
      </c>
      <c r="C558" s="1" t="n">
        <v>46072</v>
      </c>
      <c r="D558" t="inlineStr">
        <is>
          <t>ÖSTERGÖTLANDS LÄN</t>
        </is>
      </c>
      <c r="E558" t="inlineStr">
        <is>
          <t>LINKÖPING</t>
        </is>
      </c>
      <c r="G558" t="n">
        <v>2.5</v>
      </c>
      <c r="H558" t="n">
        <v>0</v>
      </c>
      <c r="I558" t="n">
        <v>0</v>
      </c>
      <c r="J558" t="n">
        <v>0</v>
      </c>
      <c r="K558" t="n">
        <v>0</v>
      </c>
      <c r="L558" t="n">
        <v>0</v>
      </c>
      <c r="M558" t="n">
        <v>0</v>
      </c>
      <c r="N558" t="n">
        <v>0</v>
      </c>
      <c r="O558" t="n">
        <v>0</v>
      </c>
      <c r="P558" t="n">
        <v>0</v>
      </c>
      <c r="Q558" t="n">
        <v>0</v>
      </c>
      <c r="R558" s="2" t="inlineStr"/>
    </row>
    <row r="559" ht="15" customHeight="1">
      <c r="A559" t="inlineStr">
        <is>
          <t>A 56623-2024</t>
        </is>
      </c>
      <c r="B559" s="1" t="n">
        <v>45625</v>
      </c>
      <c r="C559" s="1" t="n">
        <v>46072</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11330-2023</t>
        </is>
      </c>
      <c r="B560" s="1" t="n">
        <v>44993.24648148148</v>
      </c>
      <c r="C560" s="1" t="n">
        <v>46072</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63304-2021</t>
        </is>
      </c>
      <c r="B561" s="1" t="n">
        <v>44508.4396412037</v>
      </c>
      <c r="C561" s="1" t="n">
        <v>46072</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14528-2025</t>
        </is>
      </c>
      <c r="B562" s="1" t="n">
        <v>45741</v>
      </c>
      <c r="C562" s="1" t="n">
        <v>46072</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3530-2024</t>
        </is>
      </c>
      <c r="B563" s="1" t="n">
        <v>45320.54717592592</v>
      </c>
      <c r="C563" s="1" t="n">
        <v>46072</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62073-2023</t>
        </is>
      </c>
      <c r="B564" s="1" t="n">
        <v>45266.73844907407</v>
      </c>
      <c r="C564" s="1" t="n">
        <v>46072</v>
      </c>
      <c r="D564" t="inlineStr">
        <is>
          <t>ÖSTERGÖTLANDS LÄN</t>
        </is>
      </c>
      <c r="E564" t="inlineStr">
        <is>
          <t>LINKÖPING</t>
        </is>
      </c>
      <c r="F564" t="inlineStr">
        <is>
          <t>Allmännings- och besparingsskogar</t>
        </is>
      </c>
      <c r="G564" t="n">
        <v>1.8</v>
      </c>
      <c r="H564" t="n">
        <v>0</v>
      </c>
      <c r="I564" t="n">
        <v>0</v>
      </c>
      <c r="J564" t="n">
        <v>0</v>
      </c>
      <c r="K564" t="n">
        <v>0</v>
      </c>
      <c r="L564" t="n">
        <v>0</v>
      </c>
      <c r="M564" t="n">
        <v>0</v>
      </c>
      <c r="N564" t="n">
        <v>0</v>
      </c>
      <c r="O564" t="n">
        <v>0</v>
      </c>
      <c r="P564" t="n">
        <v>0</v>
      </c>
      <c r="Q564" t="n">
        <v>0</v>
      </c>
      <c r="R564" s="2" t="inlineStr"/>
    </row>
    <row r="565" ht="15" customHeight="1">
      <c r="A565" t="inlineStr">
        <is>
          <t>A 5872-2025</t>
        </is>
      </c>
      <c r="B565" s="1" t="n">
        <v>45695.36659722222</v>
      </c>
      <c r="C565" s="1" t="n">
        <v>46072</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53814-2023</t>
        </is>
      </c>
      <c r="B566" s="1" t="n">
        <v>45231</v>
      </c>
      <c r="C566" s="1" t="n">
        <v>46072</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3432-2023</t>
        </is>
      </c>
      <c r="B567" s="1" t="n">
        <v>44949</v>
      </c>
      <c r="C567" s="1" t="n">
        <v>46072</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54425-2022</t>
        </is>
      </c>
      <c r="B568" s="1" t="n">
        <v>44882.57453703704</v>
      </c>
      <c r="C568" s="1" t="n">
        <v>46072</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54428-2022</t>
        </is>
      </c>
      <c r="B569" s="1" t="n">
        <v>44882.57643518518</v>
      </c>
      <c r="C569" s="1" t="n">
        <v>46072</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660-2023</t>
        </is>
      </c>
      <c r="B570" s="1" t="n">
        <v>44930</v>
      </c>
      <c r="C570" s="1" t="n">
        <v>46072</v>
      </c>
      <c r="D570" t="inlineStr">
        <is>
          <t>ÖSTERGÖTLANDS LÄN</t>
        </is>
      </c>
      <c r="E570" t="inlineStr">
        <is>
          <t>LINKÖPING</t>
        </is>
      </c>
      <c r="F570" t="inlineStr">
        <is>
          <t>Kyrkan</t>
        </is>
      </c>
      <c r="G570" t="n">
        <v>1.6</v>
      </c>
      <c r="H570" t="n">
        <v>0</v>
      </c>
      <c r="I570" t="n">
        <v>0</v>
      </c>
      <c r="J570" t="n">
        <v>0</v>
      </c>
      <c r="K570" t="n">
        <v>0</v>
      </c>
      <c r="L570" t="n">
        <v>0</v>
      </c>
      <c r="M570" t="n">
        <v>0</v>
      </c>
      <c r="N570" t="n">
        <v>0</v>
      </c>
      <c r="O570" t="n">
        <v>0</v>
      </c>
      <c r="P570" t="n">
        <v>0</v>
      </c>
      <c r="Q570" t="n">
        <v>0</v>
      </c>
      <c r="R570" s="2" t="inlineStr"/>
    </row>
    <row r="571" ht="15" customHeight="1">
      <c r="A571" t="inlineStr">
        <is>
          <t>A 62501-2023</t>
        </is>
      </c>
      <c r="B571" s="1" t="n">
        <v>45268</v>
      </c>
      <c r="C571" s="1" t="n">
        <v>46072</v>
      </c>
      <c r="D571" t="inlineStr">
        <is>
          <t>ÖSTERGÖTLANDS LÄN</t>
        </is>
      </c>
      <c r="E571" t="inlineStr">
        <is>
          <t>LINKÖPING</t>
        </is>
      </c>
      <c r="G571" t="n">
        <v>7.4</v>
      </c>
      <c r="H571" t="n">
        <v>0</v>
      </c>
      <c r="I571" t="n">
        <v>0</v>
      </c>
      <c r="J571" t="n">
        <v>0</v>
      </c>
      <c r="K571" t="n">
        <v>0</v>
      </c>
      <c r="L571" t="n">
        <v>0</v>
      </c>
      <c r="M571" t="n">
        <v>0</v>
      </c>
      <c r="N571" t="n">
        <v>0</v>
      </c>
      <c r="O571" t="n">
        <v>0</v>
      </c>
      <c r="P571" t="n">
        <v>0</v>
      </c>
      <c r="Q571" t="n">
        <v>0</v>
      </c>
      <c r="R571" s="2" t="inlineStr"/>
    </row>
    <row r="572" ht="15" customHeight="1">
      <c r="A572" t="inlineStr">
        <is>
          <t>A 13413-2023</t>
        </is>
      </c>
      <c r="B572" s="1" t="n">
        <v>45005.58341435185</v>
      </c>
      <c r="C572" s="1" t="n">
        <v>46072</v>
      </c>
      <c r="D572" t="inlineStr">
        <is>
          <t>ÖSTERGÖTLANDS LÄN</t>
        </is>
      </c>
      <c r="E572" t="inlineStr">
        <is>
          <t>LINKÖPING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26620-2023</t>
        </is>
      </c>
      <c r="B573" s="1" t="n">
        <v>45092.70390046296</v>
      </c>
      <c r="C573" s="1" t="n">
        <v>46072</v>
      </c>
      <c r="D573" t="inlineStr">
        <is>
          <t>ÖSTERGÖTLANDS LÄN</t>
        </is>
      </c>
      <c r="E573" t="inlineStr">
        <is>
          <t>LINKÖPING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16462-2021</t>
        </is>
      </c>
      <c r="B574" s="1" t="n">
        <v>44293</v>
      </c>
      <c r="C574" s="1" t="n">
        <v>46072</v>
      </c>
      <c r="D574" t="inlineStr">
        <is>
          <t>ÖSTERGÖTLANDS LÄN</t>
        </is>
      </c>
      <c r="E574" t="inlineStr">
        <is>
          <t>LINKÖPING</t>
        </is>
      </c>
      <c r="F574" t="inlineStr">
        <is>
          <t>Allmännings- och besparingsskogar</t>
        </is>
      </c>
      <c r="G574" t="n">
        <v>24.7</v>
      </c>
      <c r="H574" t="n">
        <v>0</v>
      </c>
      <c r="I574" t="n">
        <v>0</v>
      </c>
      <c r="J574" t="n">
        <v>0</v>
      </c>
      <c r="K574" t="n">
        <v>0</v>
      </c>
      <c r="L574" t="n">
        <v>0</v>
      </c>
      <c r="M574" t="n">
        <v>0</v>
      </c>
      <c r="N574" t="n">
        <v>0</v>
      </c>
      <c r="O574" t="n">
        <v>0</v>
      </c>
      <c r="P574" t="n">
        <v>0</v>
      </c>
      <c r="Q574" t="n">
        <v>0</v>
      </c>
      <c r="R574" s="2" t="inlineStr"/>
    </row>
    <row r="575" ht="15" customHeight="1">
      <c r="A575" t="inlineStr">
        <is>
          <t>A 63554-2023</t>
        </is>
      </c>
      <c r="B575" s="1" t="n">
        <v>45275</v>
      </c>
      <c r="C575" s="1" t="n">
        <v>46072</v>
      </c>
      <c r="D575" t="inlineStr">
        <is>
          <t>ÖSTERGÖTLANDS LÄN</t>
        </is>
      </c>
      <c r="E575" t="inlineStr">
        <is>
          <t>LINKÖPING</t>
        </is>
      </c>
      <c r="G575" t="n">
        <v>4.3</v>
      </c>
      <c r="H575" t="n">
        <v>0</v>
      </c>
      <c r="I575" t="n">
        <v>0</v>
      </c>
      <c r="J575" t="n">
        <v>0</v>
      </c>
      <c r="K575" t="n">
        <v>0</v>
      </c>
      <c r="L575" t="n">
        <v>0</v>
      </c>
      <c r="M575" t="n">
        <v>0</v>
      </c>
      <c r="N575" t="n">
        <v>0</v>
      </c>
      <c r="O575" t="n">
        <v>0</v>
      </c>
      <c r="P575" t="n">
        <v>0</v>
      </c>
      <c r="Q575" t="n">
        <v>0</v>
      </c>
      <c r="R575" s="2" t="inlineStr"/>
    </row>
    <row r="576" ht="15" customHeight="1">
      <c r="A576" t="inlineStr">
        <is>
          <t>A 63638-2023</t>
        </is>
      </c>
      <c r="B576" s="1" t="n">
        <v>45275</v>
      </c>
      <c r="C576" s="1" t="n">
        <v>46072</v>
      </c>
      <c r="D576" t="inlineStr">
        <is>
          <t>ÖSTERGÖTLANDS LÄN</t>
        </is>
      </c>
      <c r="E576" t="inlineStr">
        <is>
          <t>LINKÖPING</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63658-2023</t>
        </is>
      </c>
      <c r="B577" s="1" t="n">
        <v>45275</v>
      </c>
      <c r="C577" s="1" t="n">
        <v>46072</v>
      </c>
      <c r="D577" t="inlineStr">
        <is>
          <t>ÖSTERGÖTLANDS LÄN</t>
        </is>
      </c>
      <c r="E577" t="inlineStr">
        <is>
          <t>LINKÖPING</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16820-2024</t>
        </is>
      </c>
      <c r="B578" s="1" t="n">
        <v>45411.46809027778</v>
      </c>
      <c r="C578" s="1" t="n">
        <v>46072</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4456-2024</t>
        </is>
      </c>
      <c r="B579" s="1" t="n">
        <v>45327.52847222222</v>
      </c>
      <c r="C579" s="1" t="n">
        <v>46072</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20298-2025</t>
        </is>
      </c>
      <c r="B580" s="1" t="n">
        <v>45774.75024305555</v>
      </c>
      <c r="C580" s="1" t="n">
        <v>46072</v>
      </c>
      <c r="D580" t="inlineStr">
        <is>
          <t>ÖSTERGÖTLANDS LÄN</t>
        </is>
      </c>
      <c r="E580" t="inlineStr">
        <is>
          <t>LINKÖPING</t>
        </is>
      </c>
      <c r="G580" t="n">
        <v>1.3</v>
      </c>
      <c r="H580" t="n">
        <v>0</v>
      </c>
      <c r="I580" t="n">
        <v>0</v>
      </c>
      <c r="J580" t="n">
        <v>0</v>
      </c>
      <c r="K580" t="n">
        <v>0</v>
      </c>
      <c r="L580" t="n">
        <v>0</v>
      </c>
      <c r="M580" t="n">
        <v>0</v>
      </c>
      <c r="N580" t="n">
        <v>0</v>
      </c>
      <c r="O580" t="n">
        <v>0</v>
      </c>
      <c r="P580" t="n">
        <v>0</v>
      </c>
      <c r="Q580" t="n">
        <v>0</v>
      </c>
      <c r="R580" s="2" t="inlineStr"/>
    </row>
    <row r="581" ht="15" customHeight="1">
      <c r="A581" t="inlineStr">
        <is>
          <t>A 15121-2022</t>
        </is>
      </c>
      <c r="B581" s="1" t="n">
        <v>44658</v>
      </c>
      <c r="C581" s="1" t="n">
        <v>46072</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50743-2023</t>
        </is>
      </c>
      <c r="B582" s="1" t="n">
        <v>45217</v>
      </c>
      <c r="C582" s="1" t="n">
        <v>46072</v>
      </c>
      <c r="D582" t="inlineStr">
        <is>
          <t>ÖSTERGÖTLANDS LÄN</t>
        </is>
      </c>
      <c r="E582" t="inlineStr">
        <is>
          <t>LINKÖPING</t>
        </is>
      </c>
      <c r="G582" t="n">
        <v>2.7</v>
      </c>
      <c r="H582" t="n">
        <v>0</v>
      </c>
      <c r="I582" t="n">
        <v>0</v>
      </c>
      <c r="J582" t="n">
        <v>0</v>
      </c>
      <c r="K582" t="n">
        <v>0</v>
      </c>
      <c r="L582" t="n">
        <v>0</v>
      </c>
      <c r="M582" t="n">
        <v>0</v>
      </c>
      <c r="N582" t="n">
        <v>0</v>
      </c>
      <c r="O582" t="n">
        <v>0</v>
      </c>
      <c r="P582" t="n">
        <v>0</v>
      </c>
      <c r="Q582" t="n">
        <v>0</v>
      </c>
      <c r="R582" s="2" t="inlineStr"/>
    </row>
    <row r="583" ht="15" customHeight="1">
      <c r="A583" t="inlineStr">
        <is>
          <t>A 13687-2025</t>
        </is>
      </c>
      <c r="B583" s="1" t="n">
        <v>45737.31425925926</v>
      </c>
      <c r="C583" s="1" t="n">
        <v>46072</v>
      </c>
      <c r="D583" t="inlineStr">
        <is>
          <t>ÖSTERGÖTLANDS LÄN</t>
        </is>
      </c>
      <c r="E583" t="inlineStr">
        <is>
          <t>LINKÖPING</t>
        </is>
      </c>
      <c r="G583" t="n">
        <v>2.7</v>
      </c>
      <c r="H583" t="n">
        <v>0</v>
      </c>
      <c r="I583" t="n">
        <v>0</v>
      </c>
      <c r="J583" t="n">
        <v>0</v>
      </c>
      <c r="K583" t="n">
        <v>0</v>
      </c>
      <c r="L583" t="n">
        <v>0</v>
      </c>
      <c r="M583" t="n">
        <v>0</v>
      </c>
      <c r="N583" t="n">
        <v>0</v>
      </c>
      <c r="O583" t="n">
        <v>0</v>
      </c>
      <c r="P583" t="n">
        <v>0</v>
      </c>
      <c r="Q583" t="n">
        <v>0</v>
      </c>
      <c r="R583" s="2" t="inlineStr"/>
    </row>
    <row r="584" ht="15" customHeight="1">
      <c r="A584" t="inlineStr">
        <is>
          <t>A 13695-2025</t>
        </is>
      </c>
      <c r="B584" s="1" t="n">
        <v>45737.32219907407</v>
      </c>
      <c r="C584" s="1" t="n">
        <v>46072</v>
      </c>
      <c r="D584" t="inlineStr">
        <is>
          <t>ÖSTERGÖTLANDS LÄN</t>
        </is>
      </c>
      <c r="E584" t="inlineStr">
        <is>
          <t>LINKÖPING</t>
        </is>
      </c>
      <c r="G584" t="n">
        <v>5.3</v>
      </c>
      <c r="H584" t="n">
        <v>0</v>
      </c>
      <c r="I584" t="n">
        <v>0</v>
      </c>
      <c r="J584" t="n">
        <v>0</v>
      </c>
      <c r="K584" t="n">
        <v>0</v>
      </c>
      <c r="L584" t="n">
        <v>0</v>
      </c>
      <c r="M584" t="n">
        <v>0</v>
      </c>
      <c r="N584" t="n">
        <v>0</v>
      </c>
      <c r="O584" t="n">
        <v>0</v>
      </c>
      <c r="P584" t="n">
        <v>0</v>
      </c>
      <c r="Q584" t="n">
        <v>0</v>
      </c>
      <c r="R584" s="2" t="inlineStr"/>
    </row>
    <row r="585" ht="15" customHeight="1">
      <c r="A585" t="inlineStr">
        <is>
          <t>A 20294-2025</t>
        </is>
      </c>
      <c r="B585" s="1" t="n">
        <v>45774.74667824074</v>
      </c>
      <c r="C585" s="1" t="n">
        <v>46072</v>
      </c>
      <c r="D585" t="inlineStr">
        <is>
          <t>ÖSTERGÖTLANDS LÄN</t>
        </is>
      </c>
      <c r="E585" t="inlineStr">
        <is>
          <t>LINKÖPING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17128-2025</t>
        </is>
      </c>
      <c r="B586" s="1" t="n">
        <v>45755.72622685185</v>
      </c>
      <c r="C586" s="1" t="n">
        <v>46072</v>
      </c>
      <c r="D586" t="inlineStr">
        <is>
          <t>ÖSTERGÖTLANDS LÄN</t>
        </is>
      </c>
      <c r="E586" t="inlineStr">
        <is>
          <t>LINKÖPING</t>
        </is>
      </c>
      <c r="G586" t="n">
        <v>2.9</v>
      </c>
      <c r="H586" t="n">
        <v>0</v>
      </c>
      <c r="I586" t="n">
        <v>0</v>
      </c>
      <c r="J586" t="n">
        <v>0</v>
      </c>
      <c r="K586" t="n">
        <v>0</v>
      </c>
      <c r="L586" t="n">
        <v>0</v>
      </c>
      <c r="M586" t="n">
        <v>0</v>
      </c>
      <c r="N586" t="n">
        <v>0</v>
      </c>
      <c r="O586" t="n">
        <v>0</v>
      </c>
      <c r="P586" t="n">
        <v>0</v>
      </c>
      <c r="Q586" t="n">
        <v>0</v>
      </c>
      <c r="R586" s="2" t="inlineStr"/>
    </row>
    <row r="587" ht="15" customHeight="1">
      <c r="A587" t="inlineStr">
        <is>
          <t>A 52125-2022</t>
        </is>
      </c>
      <c r="B587" s="1" t="n">
        <v>44873</v>
      </c>
      <c r="C587" s="1" t="n">
        <v>46072</v>
      </c>
      <c r="D587" t="inlineStr">
        <is>
          <t>ÖSTERGÖTLANDS LÄN</t>
        </is>
      </c>
      <c r="E587" t="inlineStr">
        <is>
          <t>LINKÖPING</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27343-2023</t>
        </is>
      </c>
      <c r="B588" s="1" t="n">
        <v>45096</v>
      </c>
      <c r="C588" s="1" t="n">
        <v>46072</v>
      </c>
      <c r="D588" t="inlineStr">
        <is>
          <t>ÖSTERGÖTLANDS LÄN</t>
        </is>
      </c>
      <c r="E588" t="inlineStr">
        <is>
          <t>LINKÖPING</t>
        </is>
      </c>
      <c r="F588" t="inlineStr">
        <is>
          <t>Allmännings- och besparingsskogar</t>
        </is>
      </c>
      <c r="G588" t="n">
        <v>6.9</v>
      </c>
      <c r="H588" t="n">
        <v>0</v>
      </c>
      <c r="I588" t="n">
        <v>0</v>
      </c>
      <c r="J588" t="n">
        <v>0</v>
      </c>
      <c r="K588" t="n">
        <v>0</v>
      </c>
      <c r="L588" t="n">
        <v>0</v>
      </c>
      <c r="M588" t="n">
        <v>0</v>
      </c>
      <c r="N588" t="n">
        <v>0</v>
      </c>
      <c r="O588" t="n">
        <v>0</v>
      </c>
      <c r="P588" t="n">
        <v>0</v>
      </c>
      <c r="Q588" t="n">
        <v>0</v>
      </c>
      <c r="R588" s="2" t="inlineStr"/>
    </row>
    <row r="589" ht="15" customHeight="1">
      <c r="A589" t="inlineStr">
        <is>
          <t>A 22842-2023</t>
        </is>
      </c>
      <c r="B589" s="1" t="n">
        <v>45071</v>
      </c>
      <c r="C589" s="1" t="n">
        <v>46072</v>
      </c>
      <c r="D589" t="inlineStr">
        <is>
          <t>ÖSTERGÖTLANDS LÄN</t>
        </is>
      </c>
      <c r="E589" t="inlineStr">
        <is>
          <t>LINKÖPING</t>
        </is>
      </c>
      <c r="F589" t="inlineStr">
        <is>
          <t>Kommuner</t>
        </is>
      </c>
      <c r="G589" t="n">
        <v>1.3</v>
      </c>
      <c r="H589" t="n">
        <v>0</v>
      </c>
      <c r="I589" t="n">
        <v>0</v>
      </c>
      <c r="J589" t="n">
        <v>0</v>
      </c>
      <c r="K589" t="n">
        <v>0</v>
      </c>
      <c r="L589" t="n">
        <v>0</v>
      </c>
      <c r="M589" t="n">
        <v>0</v>
      </c>
      <c r="N589" t="n">
        <v>0</v>
      </c>
      <c r="O589" t="n">
        <v>0</v>
      </c>
      <c r="P589" t="n">
        <v>0</v>
      </c>
      <c r="Q589" t="n">
        <v>0</v>
      </c>
      <c r="R589" s="2" t="inlineStr"/>
    </row>
    <row r="590" ht="15" customHeight="1">
      <c r="A590" t="inlineStr">
        <is>
          <t>A 14520-2025</t>
        </is>
      </c>
      <c r="B590" s="1" t="n">
        <v>45741</v>
      </c>
      <c r="C590" s="1" t="n">
        <v>46072</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31548-2022</t>
        </is>
      </c>
      <c r="B591" s="1" t="n">
        <v>44775.39832175926</v>
      </c>
      <c r="C591" s="1" t="n">
        <v>46072</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62017-2024</t>
        </is>
      </c>
      <c r="B592" s="1" t="n">
        <v>45655.81140046296</v>
      </c>
      <c r="C592" s="1" t="n">
        <v>46072</v>
      </c>
      <c r="D592" t="inlineStr">
        <is>
          <t>ÖSTERGÖTLANDS LÄN</t>
        </is>
      </c>
      <c r="E592" t="inlineStr">
        <is>
          <t>LINKÖPING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17785-2023</t>
        </is>
      </c>
      <c r="B593" s="1" t="n">
        <v>45037.55094907407</v>
      </c>
      <c r="C593" s="1" t="n">
        <v>46072</v>
      </c>
      <c r="D593" t="inlineStr">
        <is>
          <t>ÖSTERGÖTLANDS LÄN</t>
        </is>
      </c>
      <c r="E593" t="inlineStr">
        <is>
          <t>LINKÖPING</t>
        </is>
      </c>
      <c r="F593" t="inlineStr">
        <is>
          <t>Allmännings- och besparingsskogar</t>
        </is>
      </c>
      <c r="G593" t="n">
        <v>3.1</v>
      </c>
      <c r="H593" t="n">
        <v>0</v>
      </c>
      <c r="I593" t="n">
        <v>0</v>
      </c>
      <c r="J593" t="n">
        <v>0</v>
      </c>
      <c r="K593" t="n">
        <v>0</v>
      </c>
      <c r="L593" t="n">
        <v>0</v>
      </c>
      <c r="M593" t="n">
        <v>0</v>
      </c>
      <c r="N593" t="n">
        <v>0</v>
      </c>
      <c r="O593" t="n">
        <v>0</v>
      </c>
      <c r="P593" t="n">
        <v>0</v>
      </c>
      <c r="Q593" t="n">
        <v>0</v>
      </c>
      <c r="R593" s="2" t="inlineStr"/>
    </row>
    <row r="594" ht="15" customHeight="1">
      <c r="A594" t="inlineStr">
        <is>
          <t>A 62686-2023</t>
        </is>
      </c>
      <c r="B594" s="1" t="n">
        <v>45271</v>
      </c>
      <c r="C594" s="1" t="n">
        <v>46072</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42044-2023</t>
        </is>
      </c>
      <c r="B595" s="1" t="n">
        <v>45177</v>
      </c>
      <c r="C595" s="1" t="n">
        <v>46072</v>
      </c>
      <c r="D595" t="inlineStr">
        <is>
          <t>ÖSTERGÖTLANDS LÄN</t>
        </is>
      </c>
      <c r="E595" t="inlineStr">
        <is>
          <t>LINKÖPING</t>
        </is>
      </c>
      <c r="G595" t="n">
        <v>3.9</v>
      </c>
      <c r="H595" t="n">
        <v>0</v>
      </c>
      <c r="I595" t="n">
        <v>0</v>
      </c>
      <c r="J595" t="n">
        <v>0</v>
      </c>
      <c r="K595" t="n">
        <v>0</v>
      </c>
      <c r="L595" t="n">
        <v>0</v>
      </c>
      <c r="M595" t="n">
        <v>0</v>
      </c>
      <c r="N595" t="n">
        <v>0</v>
      </c>
      <c r="O595" t="n">
        <v>0</v>
      </c>
      <c r="P595" t="n">
        <v>0</v>
      </c>
      <c r="Q595" t="n">
        <v>0</v>
      </c>
      <c r="R595" s="2" t="inlineStr"/>
    </row>
    <row r="596" ht="15" customHeight="1">
      <c r="A596" t="inlineStr">
        <is>
          <t>A 49656-2021</t>
        </is>
      </c>
      <c r="B596" s="1" t="n">
        <v>44454</v>
      </c>
      <c r="C596" s="1" t="n">
        <v>46072</v>
      </c>
      <c r="D596" t="inlineStr">
        <is>
          <t>ÖSTERGÖTLANDS LÄN</t>
        </is>
      </c>
      <c r="E596" t="inlineStr">
        <is>
          <t>LINKÖPING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38230-2023</t>
        </is>
      </c>
      <c r="B597" s="1" t="n">
        <v>45161.55373842592</v>
      </c>
      <c r="C597" s="1" t="n">
        <v>46072</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45442-2024</t>
        </is>
      </c>
      <c r="B598" s="1" t="n">
        <v>45576.64189814815</v>
      </c>
      <c r="C598" s="1" t="n">
        <v>46072</v>
      </c>
      <c r="D598" t="inlineStr">
        <is>
          <t>ÖSTERGÖTLANDS LÄN</t>
        </is>
      </c>
      <c r="E598" t="inlineStr">
        <is>
          <t>LINKÖPING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4908-2023</t>
        </is>
      </c>
      <c r="B599" s="1" t="n">
        <v>44958</v>
      </c>
      <c r="C599" s="1" t="n">
        <v>46072</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1265-2023</t>
        </is>
      </c>
      <c r="B600" s="1" t="n">
        <v>44936</v>
      </c>
      <c r="C600" s="1" t="n">
        <v>46072</v>
      </c>
      <c r="D600" t="inlineStr">
        <is>
          <t>ÖSTERGÖTLANDS LÄN</t>
        </is>
      </c>
      <c r="E600" t="inlineStr">
        <is>
          <t>LINKÖPING</t>
        </is>
      </c>
      <c r="G600" t="n">
        <v>2.3</v>
      </c>
      <c r="H600" t="n">
        <v>0</v>
      </c>
      <c r="I600" t="n">
        <v>0</v>
      </c>
      <c r="J600" t="n">
        <v>0</v>
      </c>
      <c r="K600" t="n">
        <v>0</v>
      </c>
      <c r="L600" t="n">
        <v>0</v>
      </c>
      <c r="M600" t="n">
        <v>0</v>
      </c>
      <c r="N600" t="n">
        <v>0</v>
      </c>
      <c r="O600" t="n">
        <v>0</v>
      </c>
      <c r="P600" t="n">
        <v>0</v>
      </c>
      <c r="Q600" t="n">
        <v>0</v>
      </c>
      <c r="R600" s="2" t="inlineStr"/>
    </row>
    <row r="601" ht="15" customHeight="1">
      <c r="A601" t="inlineStr">
        <is>
          <t>A 12411-2022</t>
        </is>
      </c>
      <c r="B601" s="1" t="n">
        <v>44638.21601851852</v>
      </c>
      <c r="C601" s="1" t="n">
        <v>46072</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23491-2024</t>
        </is>
      </c>
      <c r="B602" s="1" t="n">
        <v>45453</v>
      </c>
      <c r="C602" s="1" t="n">
        <v>46072</v>
      </c>
      <c r="D602" t="inlineStr">
        <is>
          <t>ÖSTERGÖTLANDS LÄN</t>
        </is>
      </c>
      <c r="E602" t="inlineStr">
        <is>
          <t>LINKÖPING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70-2024</t>
        </is>
      </c>
      <c r="B603" s="1" t="n">
        <v>45293</v>
      </c>
      <c r="C603" s="1" t="n">
        <v>46072</v>
      </c>
      <c r="D603" t="inlineStr">
        <is>
          <t>ÖSTERGÖTLANDS LÄN</t>
        </is>
      </c>
      <c r="E603" t="inlineStr">
        <is>
          <t>LINKÖPING</t>
        </is>
      </c>
      <c r="G603" t="n">
        <v>1.3</v>
      </c>
      <c r="H603" t="n">
        <v>0</v>
      </c>
      <c r="I603" t="n">
        <v>0</v>
      </c>
      <c r="J603" t="n">
        <v>0</v>
      </c>
      <c r="K603" t="n">
        <v>0</v>
      </c>
      <c r="L603" t="n">
        <v>0</v>
      </c>
      <c r="M603" t="n">
        <v>0</v>
      </c>
      <c r="N603" t="n">
        <v>0</v>
      </c>
      <c r="O603" t="n">
        <v>0</v>
      </c>
      <c r="P603" t="n">
        <v>0</v>
      </c>
      <c r="Q603" t="n">
        <v>0</v>
      </c>
      <c r="R603" s="2" t="inlineStr"/>
    </row>
    <row r="604" ht="15" customHeight="1">
      <c r="A604" t="inlineStr">
        <is>
          <t>A 6054-2022</t>
        </is>
      </c>
      <c r="B604" s="1" t="n">
        <v>44599.53623842593</v>
      </c>
      <c r="C604" s="1" t="n">
        <v>46072</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31725-2022</t>
        </is>
      </c>
      <c r="B605" s="1" t="n">
        <v>44776.48541666667</v>
      </c>
      <c r="C605" s="1" t="n">
        <v>46072</v>
      </c>
      <c r="D605" t="inlineStr">
        <is>
          <t>ÖSTERGÖTLANDS LÄN</t>
        </is>
      </c>
      <c r="E605" t="inlineStr">
        <is>
          <t>LINKÖPING</t>
        </is>
      </c>
      <c r="G605" t="n">
        <v>2.6</v>
      </c>
      <c r="H605" t="n">
        <v>0</v>
      </c>
      <c r="I605" t="n">
        <v>0</v>
      </c>
      <c r="J605" t="n">
        <v>0</v>
      </c>
      <c r="K605" t="n">
        <v>0</v>
      </c>
      <c r="L605" t="n">
        <v>0</v>
      </c>
      <c r="M605" t="n">
        <v>0</v>
      </c>
      <c r="N605" t="n">
        <v>0</v>
      </c>
      <c r="O605" t="n">
        <v>0</v>
      </c>
      <c r="P605" t="n">
        <v>0</v>
      </c>
      <c r="Q605" t="n">
        <v>0</v>
      </c>
      <c r="R605" s="2" t="inlineStr"/>
    </row>
    <row r="606" ht="15" customHeight="1">
      <c r="A606" t="inlineStr">
        <is>
          <t>A 57391-2023</t>
        </is>
      </c>
      <c r="B606" s="1" t="n">
        <v>45245</v>
      </c>
      <c r="C606" s="1" t="n">
        <v>46072</v>
      </c>
      <c r="D606" t="inlineStr">
        <is>
          <t>ÖSTERGÖTLANDS LÄN</t>
        </is>
      </c>
      <c r="E606" t="inlineStr">
        <is>
          <t>LINKÖPING</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7992-2023</t>
        </is>
      </c>
      <c r="B607" s="1" t="n">
        <v>44970</v>
      </c>
      <c r="C607" s="1" t="n">
        <v>46072</v>
      </c>
      <c r="D607" t="inlineStr">
        <is>
          <t>ÖSTERGÖTLANDS LÄN</t>
        </is>
      </c>
      <c r="E607" t="inlineStr">
        <is>
          <t>LINKÖPING</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13689-2025</t>
        </is>
      </c>
      <c r="B608" s="1" t="n">
        <v>45737.31590277778</v>
      </c>
      <c r="C608" s="1" t="n">
        <v>46072</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13696-2025</t>
        </is>
      </c>
      <c r="B609" s="1" t="n">
        <v>45737.32273148148</v>
      </c>
      <c r="C609" s="1" t="n">
        <v>46072</v>
      </c>
      <c r="D609" t="inlineStr">
        <is>
          <t>ÖSTERGÖTLANDS LÄN</t>
        </is>
      </c>
      <c r="E609" t="inlineStr">
        <is>
          <t>LINKÖPING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1924-2024</t>
        </is>
      </c>
      <c r="B610" s="1" t="n">
        <v>45308</v>
      </c>
      <c r="C610" s="1" t="n">
        <v>46072</v>
      </c>
      <c r="D610" t="inlineStr">
        <is>
          <t>ÖSTERGÖTLANDS LÄN</t>
        </is>
      </c>
      <c r="E610" t="inlineStr">
        <is>
          <t>LINKÖPING</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32346-2023</t>
        </is>
      </c>
      <c r="B611" s="1" t="n">
        <v>45120</v>
      </c>
      <c r="C611" s="1" t="n">
        <v>46072</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50508-2024</t>
        </is>
      </c>
      <c r="B612" s="1" t="n">
        <v>45601.53907407408</v>
      </c>
      <c r="C612" s="1" t="n">
        <v>46072</v>
      </c>
      <c r="D612" t="inlineStr">
        <is>
          <t>ÖSTERGÖTLANDS LÄN</t>
        </is>
      </c>
      <c r="E612" t="inlineStr">
        <is>
          <t>LINKÖPING</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7808-2022</t>
        </is>
      </c>
      <c r="B613" s="1" t="n">
        <v>44608</v>
      </c>
      <c r="C613" s="1" t="n">
        <v>46072</v>
      </c>
      <c r="D613" t="inlineStr">
        <is>
          <t>ÖSTERGÖTLANDS LÄN</t>
        </is>
      </c>
      <c r="E613" t="inlineStr">
        <is>
          <t>LINKÖPING</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27844-2024</t>
        </is>
      </c>
      <c r="B614" s="1" t="n">
        <v>45475.63047453704</v>
      </c>
      <c r="C614" s="1" t="n">
        <v>46072</v>
      </c>
      <c r="D614" t="inlineStr">
        <is>
          <t>ÖSTERGÖTLANDS LÄN</t>
        </is>
      </c>
      <c r="E614" t="inlineStr">
        <is>
          <t>LINKÖPING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40810-2022</t>
        </is>
      </c>
      <c r="B615" s="1" t="n">
        <v>44824</v>
      </c>
      <c r="C615" s="1" t="n">
        <v>46072</v>
      </c>
      <c r="D615" t="inlineStr">
        <is>
          <t>ÖSTERGÖTLANDS LÄN</t>
        </is>
      </c>
      <c r="E615" t="inlineStr">
        <is>
          <t>LINKÖPING</t>
        </is>
      </c>
      <c r="G615" t="n">
        <v>2.8</v>
      </c>
      <c r="H615" t="n">
        <v>0</v>
      </c>
      <c r="I615" t="n">
        <v>0</v>
      </c>
      <c r="J615" t="n">
        <v>0</v>
      </c>
      <c r="K615" t="n">
        <v>0</v>
      </c>
      <c r="L615" t="n">
        <v>0</v>
      </c>
      <c r="M615" t="n">
        <v>0</v>
      </c>
      <c r="N615" t="n">
        <v>0</v>
      </c>
      <c r="O615" t="n">
        <v>0</v>
      </c>
      <c r="P615" t="n">
        <v>0</v>
      </c>
      <c r="Q615" t="n">
        <v>0</v>
      </c>
      <c r="R615" s="2" t="inlineStr"/>
    </row>
    <row r="616" ht="15" customHeight="1">
      <c r="A616" t="inlineStr">
        <is>
          <t>A 51559-2024</t>
        </is>
      </c>
      <c r="B616" s="1" t="n">
        <v>45604.61431712963</v>
      </c>
      <c r="C616" s="1" t="n">
        <v>46072</v>
      </c>
      <c r="D616" t="inlineStr">
        <is>
          <t>ÖSTERGÖTLANDS LÄN</t>
        </is>
      </c>
      <c r="E616" t="inlineStr">
        <is>
          <t>LINKÖPING</t>
        </is>
      </c>
      <c r="F616" t="inlineStr">
        <is>
          <t>Övriga Aktiebolag</t>
        </is>
      </c>
      <c r="G616" t="n">
        <v>2.4</v>
      </c>
      <c r="H616" t="n">
        <v>0</v>
      </c>
      <c r="I616" t="n">
        <v>0</v>
      </c>
      <c r="J616" t="n">
        <v>0</v>
      </c>
      <c r="K616" t="n">
        <v>0</v>
      </c>
      <c r="L616" t="n">
        <v>0</v>
      </c>
      <c r="M616" t="n">
        <v>0</v>
      </c>
      <c r="N616" t="n">
        <v>0</v>
      </c>
      <c r="O616" t="n">
        <v>0</v>
      </c>
      <c r="P616" t="n">
        <v>0</v>
      </c>
      <c r="Q616" t="n">
        <v>0</v>
      </c>
      <c r="R616" s="2" t="inlineStr"/>
    </row>
    <row r="617" ht="15" customHeight="1">
      <c r="A617" t="inlineStr">
        <is>
          <t>A 49979-2022</t>
        </is>
      </c>
      <c r="B617" s="1" t="n">
        <v>44865</v>
      </c>
      <c r="C617" s="1" t="n">
        <v>46072</v>
      </c>
      <c r="D617" t="inlineStr">
        <is>
          <t>ÖSTERGÖTLANDS LÄN</t>
        </is>
      </c>
      <c r="E617" t="inlineStr">
        <is>
          <t>LINKÖPING</t>
        </is>
      </c>
      <c r="F617" t="inlineStr">
        <is>
          <t>Övriga Aktiebolag</t>
        </is>
      </c>
      <c r="G617" t="n">
        <v>11.4</v>
      </c>
      <c r="H617" t="n">
        <v>0</v>
      </c>
      <c r="I617" t="n">
        <v>0</v>
      </c>
      <c r="J617" t="n">
        <v>0</v>
      </c>
      <c r="K617" t="n">
        <v>0</v>
      </c>
      <c r="L617" t="n">
        <v>0</v>
      </c>
      <c r="M617" t="n">
        <v>0</v>
      </c>
      <c r="N617" t="n">
        <v>0</v>
      </c>
      <c r="O617" t="n">
        <v>0</v>
      </c>
      <c r="P617" t="n">
        <v>0</v>
      </c>
      <c r="Q617" t="n">
        <v>0</v>
      </c>
      <c r="R617" s="2" t="inlineStr"/>
    </row>
    <row r="618" ht="15" customHeight="1">
      <c r="A618" t="inlineStr">
        <is>
          <t>A 39219-2021</t>
        </is>
      </c>
      <c r="B618" s="1" t="n">
        <v>44413</v>
      </c>
      <c r="C618" s="1" t="n">
        <v>46072</v>
      </c>
      <c r="D618" t="inlineStr">
        <is>
          <t>ÖSTERGÖTLANDS LÄN</t>
        </is>
      </c>
      <c r="E618" t="inlineStr">
        <is>
          <t>LINKÖPING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39224-2021</t>
        </is>
      </c>
      <c r="B619" s="1" t="n">
        <v>44413</v>
      </c>
      <c r="C619" s="1" t="n">
        <v>46072</v>
      </c>
      <c r="D619" t="inlineStr">
        <is>
          <t>ÖSTERGÖTLANDS LÄN</t>
        </is>
      </c>
      <c r="E619" t="inlineStr">
        <is>
          <t>LINKÖPING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62495-2023</t>
        </is>
      </c>
      <c r="B620" s="1" t="n">
        <v>45268.59717592593</v>
      </c>
      <c r="C620" s="1" t="n">
        <v>46072</v>
      </c>
      <c r="D620" t="inlineStr">
        <is>
          <t>ÖSTERGÖTLANDS LÄN</t>
        </is>
      </c>
      <c r="E620" t="inlineStr">
        <is>
          <t>LINKÖPING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29413-2023</t>
        </is>
      </c>
      <c r="B621" s="1" t="n">
        <v>45106.46465277778</v>
      </c>
      <c r="C621" s="1" t="n">
        <v>46072</v>
      </c>
      <c r="D621" t="inlineStr">
        <is>
          <t>ÖSTERGÖTLANDS LÄN</t>
        </is>
      </c>
      <c r="E621" t="inlineStr">
        <is>
          <t>LINKÖPING</t>
        </is>
      </c>
      <c r="G621" t="n">
        <v>8</v>
      </c>
      <c r="H621" t="n">
        <v>0</v>
      </c>
      <c r="I621" t="n">
        <v>0</v>
      </c>
      <c r="J621" t="n">
        <v>0</v>
      </c>
      <c r="K621" t="n">
        <v>0</v>
      </c>
      <c r="L621" t="n">
        <v>0</v>
      </c>
      <c r="M621" t="n">
        <v>0</v>
      </c>
      <c r="N621" t="n">
        <v>0</v>
      </c>
      <c r="O621" t="n">
        <v>0</v>
      </c>
      <c r="P621" t="n">
        <v>0</v>
      </c>
      <c r="Q621" t="n">
        <v>0</v>
      </c>
      <c r="R621" s="2" t="inlineStr"/>
    </row>
    <row r="622" ht="15" customHeight="1">
      <c r="A622" t="inlineStr">
        <is>
          <t>A 25948-2023</t>
        </is>
      </c>
      <c r="B622" s="1" t="n">
        <v>45090</v>
      </c>
      <c r="C622" s="1" t="n">
        <v>46072</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1627-2023</t>
        </is>
      </c>
      <c r="B623" s="1" t="n">
        <v>44937</v>
      </c>
      <c r="C623" s="1" t="n">
        <v>46072</v>
      </c>
      <c r="D623" t="inlineStr">
        <is>
          <t>ÖSTERGÖTLANDS LÄN</t>
        </is>
      </c>
      <c r="E623" t="inlineStr">
        <is>
          <t>LINKÖPING</t>
        </is>
      </c>
      <c r="G623" t="n">
        <v>10.8</v>
      </c>
      <c r="H623" t="n">
        <v>0</v>
      </c>
      <c r="I623" t="n">
        <v>0</v>
      </c>
      <c r="J623" t="n">
        <v>0</v>
      </c>
      <c r="K623" t="n">
        <v>0</v>
      </c>
      <c r="L623" t="n">
        <v>0</v>
      </c>
      <c r="M623" t="n">
        <v>0</v>
      </c>
      <c r="N623" t="n">
        <v>0</v>
      </c>
      <c r="O623" t="n">
        <v>0</v>
      </c>
      <c r="P623" t="n">
        <v>0</v>
      </c>
      <c r="Q623" t="n">
        <v>0</v>
      </c>
      <c r="R623" s="2" t="inlineStr"/>
    </row>
    <row r="624" ht="15" customHeight="1">
      <c r="A624" t="inlineStr">
        <is>
          <t>A 30481-2023</t>
        </is>
      </c>
      <c r="B624" s="1" t="n">
        <v>45111</v>
      </c>
      <c r="C624" s="1" t="n">
        <v>46072</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21782-2024</t>
        </is>
      </c>
      <c r="B625" s="1" t="n">
        <v>45442.63368055555</v>
      </c>
      <c r="C625" s="1" t="n">
        <v>46072</v>
      </c>
      <c r="D625" t="inlineStr">
        <is>
          <t>ÖSTERGÖTLANDS LÄN</t>
        </is>
      </c>
      <c r="E625" t="inlineStr">
        <is>
          <t>LINKÖPING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11671-2023</t>
        </is>
      </c>
      <c r="B626" s="1" t="n">
        <v>44994.48125</v>
      </c>
      <c r="C626" s="1" t="n">
        <v>46072</v>
      </c>
      <c r="D626" t="inlineStr">
        <is>
          <t>ÖSTERGÖTLANDS LÄN</t>
        </is>
      </c>
      <c r="E626" t="inlineStr">
        <is>
          <t>LINKÖPING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3013-2023</t>
        </is>
      </c>
      <c r="B627" s="1" t="n">
        <v>44945.8092824074</v>
      </c>
      <c r="C627" s="1" t="n">
        <v>46072</v>
      </c>
      <c r="D627" t="inlineStr">
        <is>
          <t>ÖSTERGÖTLANDS LÄN</t>
        </is>
      </c>
      <c r="E627" t="inlineStr">
        <is>
          <t>LINKÖPING</t>
        </is>
      </c>
      <c r="G627" t="n">
        <v>5.2</v>
      </c>
      <c r="H627" t="n">
        <v>0</v>
      </c>
      <c r="I627" t="n">
        <v>0</v>
      </c>
      <c r="J627" t="n">
        <v>0</v>
      </c>
      <c r="K627" t="n">
        <v>0</v>
      </c>
      <c r="L627" t="n">
        <v>0</v>
      </c>
      <c r="M627" t="n">
        <v>0</v>
      </c>
      <c r="N627" t="n">
        <v>0</v>
      </c>
      <c r="O627" t="n">
        <v>0</v>
      </c>
      <c r="P627" t="n">
        <v>0</v>
      </c>
      <c r="Q627" t="n">
        <v>0</v>
      </c>
      <c r="R627" s="2" t="inlineStr"/>
    </row>
    <row r="628" ht="15" customHeight="1">
      <c r="A628" t="inlineStr">
        <is>
          <t>A 49747-2024</t>
        </is>
      </c>
      <c r="B628" s="1" t="n">
        <v>45596</v>
      </c>
      <c r="C628" s="1" t="n">
        <v>46072</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42997-2021</t>
        </is>
      </c>
      <c r="B629" s="1" t="n">
        <v>44431.45556712963</v>
      </c>
      <c r="C629" s="1" t="n">
        <v>46072</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3011-2023</t>
        </is>
      </c>
      <c r="B630" s="1" t="n">
        <v>44945</v>
      </c>
      <c r="C630" s="1" t="n">
        <v>46072</v>
      </c>
      <c r="D630" t="inlineStr">
        <is>
          <t>ÖSTERGÖTLANDS LÄN</t>
        </is>
      </c>
      <c r="E630" t="inlineStr">
        <is>
          <t>LINKÖPING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23735-2023</t>
        </is>
      </c>
      <c r="B631" s="1" t="n">
        <v>45077</v>
      </c>
      <c r="C631" s="1" t="n">
        <v>46072</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45821-2024</t>
        </is>
      </c>
      <c r="B632" s="1" t="n">
        <v>45579.75803240741</v>
      </c>
      <c r="C632" s="1" t="n">
        <v>46072</v>
      </c>
      <c r="D632" t="inlineStr">
        <is>
          <t>ÖSTERGÖTLANDS LÄN</t>
        </is>
      </c>
      <c r="E632" t="inlineStr">
        <is>
          <t>LINKÖPING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53647-2021</t>
        </is>
      </c>
      <c r="B633" s="1" t="n">
        <v>44469</v>
      </c>
      <c r="C633" s="1" t="n">
        <v>46072</v>
      </c>
      <c r="D633" t="inlineStr">
        <is>
          <t>ÖSTERGÖTLANDS LÄN</t>
        </is>
      </c>
      <c r="E633" t="inlineStr">
        <is>
          <t>LINKÖPING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6599-2023</t>
        </is>
      </c>
      <c r="B634" s="1" t="n">
        <v>44966.52603009259</v>
      </c>
      <c r="C634" s="1" t="n">
        <v>46072</v>
      </c>
      <c r="D634" t="inlineStr">
        <is>
          <t>ÖSTERGÖTLANDS LÄN</t>
        </is>
      </c>
      <c r="E634" t="inlineStr">
        <is>
          <t>LINKÖPING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35735-2023</t>
        </is>
      </c>
      <c r="B635" s="1" t="n">
        <v>45147</v>
      </c>
      <c r="C635" s="1" t="n">
        <v>46072</v>
      </c>
      <c r="D635" t="inlineStr">
        <is>
          <t>ÖSTERGÖTLANDS LÄN</t>
        </is>
      </c>
      <c r="E635" t="inlineStr">
        <is>
          <t>LINKÖPING</t>
        </is>
      </c>
      <c r="G635" t="n">
        <v>2.8</v>
      </c>
      <c r="H635" t="n">
        <v>0</v>
      </c>
      <c r="I635" t="n">
        <v>0</v>
      </c>
      <c r="J635" t="n">
        <v>0</v>
      </c>
      <c r="K635" t="n">
        <v>0</v>
      </c>
      <c r="L635" t="n">
        <v>0</v>
      </c>
      <c r="M635" t="n">
        <v>0</v>
      </c>
      <c r="N635" t="n">
        <v>0</v>
      </c>
      <c r="O635" t="n">
        <v>0</v>
      </c>
      <c r="P635" t="n">
        <v>0</v>
      </c>
      <c r="Q635" t="n">
        <v>0</v>
      </c>
      <c r="R635" s="2" t="inlineStr"/>
    </row>
    <row r="636" ht="15" customHeight="1">
      <c r="A636" t="inlineStr">
        <is>
          <t>A 45831-2024</t>
        </is>
      </c>
      <c r="B636" s="1" t="n">
        <v>45579.90508101852</v>
      </c>
      <c r="C636" s="1" t="n">
        <v>46072</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17157-2024</t>
        </is>
      </c>
      <c r="B637" s="1" t="n">
        <v>45412.70567129629</v>
      </c>
      <c r="C637" s="1" t="n">
        <v>46072</v>
      </c>
      <c r="D637" t="inlineStr">
        <is>
          <t>ÖSTERGÖTLANDS LÄN</t>
        </is>
      </c>
      <c r="E637" t="inlineStr">
        <is>
          <t>LINKÖPING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37154-2023</t>
        </is>
      </c>
      <c r="B638" s="1" t="n">
        <v>45155</v>
      </c>
      <c r="C638" s="1" t="n">
        <v>46072</v>
      </c>
      <c r="D638" t="inlineStr">
        <is>
          <t>ÖSTERGÖTLANDS LÄN</t>
        </is>
      </c>
      <c r="E638" t="inlineStr">
        <is>
          <t>LINKÖPING</t>
        </is>
      </c>
      <c r="G638" t="n">
        <v>1.7</v>
      </c>
      <c r="H638" t="n">
        <v>0</v>
      </c>
      <c r="I638" t="n">
        <v>0</v>
      </c>
      <c r="J638" t="n">
        <v>0</v>
      </c>
      <c r="K638" t="n">
        <v>0</v>
      </c>
      <c r="L638" t="n">
        <v>0</v>
      </c>
      <c r="M638" t="n">
        <v>0</v>
      </c>
      <c r="N638" t="n">
        <v>0</v>
      </c>
      <c r="O638" t="n">
        <v>0</v>
      </c>
      <c r="P638" t="n">
        <v>0</v>
      </c>
      <c r="Q638" t="n">
        <v>0</v>
      </c>
      <c r="R638" s="2" t="inlineStr"/>
    </row>
    <row r="639" ht="15" customHeight="1">
      <c r="A639" t="inlineStr">
        <is>
          <t>A 53812-2023</t>
        </is>
      </c>
      <c r="B639" s="1" t="n">
        <v>45231.39583333334</v>
      </c>
      <c r="C639" s="1" t="n">
        <v>46072</v>
      </c>
      <c r="D639" t="inlineStr">
        <is>
          <t>ÖSTERGÖTLANDS LÄN</t>
        </is>
      </c>
      <c r="E639" t="inlineStr">
        <is>
          <t>LINKÖPING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53830-2023</t>
        </is>
      </c>
      <c r="B640" s="1" t="n">
        <v>45230</v>
      </c>
      <c r="C640" s="1" t="n">
        <v>46072</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56841-2023</t>
        </is>
      </c>
      <c r="B641" s="1" t="n">
        <v>45244</v>
      </c>
      <c r="C641" s="1" t="n">
        <v>46072</v>
      </c>
      <c r="D641" t="inlineStr">
        <is>
          <t>ÖSTERGÖTLANDS LÄN</t>
        </is>
      </c>
      <c r="E641" t="inlineStr">
        <is>
          <t>LINKÖPING</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56741-2023</t>
        </is>
      </c>
      <c r="B642" s="1" t="n">
        <v>45244</v>
      </c>
      <c r="C642" s="1" t="n">
        <v>46072</v>
      </c>
      <c r="D642" t="inlineStr">
        <is>
          <t>ÖSTERGÖTLANDS LÄN</t>
        </is>
      </c>
      <c r="E642" t="inlineStr">
        <is>
          <t>LINKÖPING</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53816-2023</t>
        </is>
      </c>
      <c r="B643" s="1" t="n">
        <v>45231.40012731482</v>
      </c>
      <c r="C643" s="1" t="n">
        <v>46072</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63935-2021</t>
        </is>
      </c>
      <c r="B644" s="1" t="n">
        <v>44509</v>
      </c>
      <c r="C644" s="1" t="n">
        <v>46072</v>
      </c>
      <c r="D644" t="inlineStr">
        <is>
          <t>ÖSTERGÖTLANDS LÄN</t>
        </is>
      </c>
      <c r="E644" t="inlineStr">
        <is>
          <t>LINKÖPING</t>
        </is>
      </c>
      <c r="F644" t="inlineStr">
        <is>
          <t>Övriga statliga verk och myndigheter</t>
        </is>
      </c>
      <c r="G644" t="n">
        <v>2.8</v>
      </c>
      <c r="H644" t="n">
        <v>0</v>
      </c>
      <c r="I644" t="n">
        <v>0</v>
      </c>
      <c r="J644" t="n">
        <v>0</v>
      </c>
      <c r="K644" t="n">
        <v>0</v>
      </c>
      <c r="L644" t="n">
        <v>0</v>
      </c>
      <c r="M644" t="n">
        <v>0</v>
      </c>
      <c r="N644" t="n">
        <v>0</v>
      </c>
      <c r="O644" t="n">
        <v>0</v>
      </c>
      <c r="P644" t="n">
        <v>0</v>
      </c>
      <c r="Q644" t="n">
        <v>0</v>
      </c>
      <c r="R644" s="2" t="inlineStr"/>
    </row>
    <row r="645" ht="15" customHeight="1">
      <c r="A645" t="inlineStr">
        <is>
          <t>A 6726-2024</t>
        </is>
      </c>
      <c r="B645" s="1" t="n">
        <v>45341</v>
      </c>
      <c r="C645" s="1" t="n">
        <v>46072</v>
      </c>
      <c r="D645" t="inlineStr">
        <is>
          <t>ÖSTERGÖTLANDS LÄN</t>
        </is>
      </c>
      <c r="E645" t="inlineStr">
        <is>
          <t>LINKÖPING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3007-2023</t>
        </is>
      </c>
      <c r="B646" s="1" t="n">
        <v>44945</v>
      </c>
      <c r="C646" s="1" t="n">
        <v>46072</v>
      </c>
      <c r="D646" t="inlineStr">
        <is>
          <t>ÖSTERGÖTLANDS LÄN</t>
        </is>
      </c>
      <c r="E646" t="inlineStr">
        <is>
          <t>LINKÖPING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18145-2021</t>
        </is>
      </c>
      <c r="B647" s="1" t="n">
        <v>44302</v>
      </c>
      <c r="C647" s="1" t="n">
        <v>46072</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29309-2024</t>
        </is>
      </c>
      <c r="B648" s="1" t="n">
        <v>45483</v>
      </c>
      <c r="C648" s="1" t="n">
        <v>46072</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53411-2023</t>
        </is>
      </c>
      <c r="B649" s="1" t="n">
        <v>45229.81049768518</v>
      </c>
      <c r="C649" s="1" t="n">
        <v>46072</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26788-2022</t>
        </is>
      </c>
      <c r="B650" s="1" t="n">
        <v>44740</v>
      </c>
      <c r="C650" s="1" t="n">
        <v>46072</v>
      </c>
      <c r="D650" t="inlineStr">
        <is>
          <t>ÖSTERGÖTLANDS LÄN</t>
        </is>
      </c>
      <c r="E650" t="inlineStr">
        <is>
          <t>LINKÖPING</t>
        </is>
      </c>
      <c r="G650" t="n">
        <v>3.2</v>
      </c>
      <c r="H650" t="n">
        <v>0</v>
      </c>
      <c r="I650" t="n">
        <v>0</v>
      </c>
      <c r="J650" t="n">
        <v>0</v>
      </c>
      <c r="K650" t="n">
        <v>0</v>
      </c>
      <c r="L650" t="n">
        <v>0</v>
      </c>
      <c r="M650" t="n">
        <v>0</v>
      </c>
      <c r="N650" t="n">
        <v>0</v>
      </c>
      <c r="O650" t="n">
        <v>0</v>
      </c>
      <c r="P650" t="n">
        <v>0</v>
      </c>
      <c r="Q650" t="n">
        <v>0</v>
      </c>
      <c r="R650" s="2" t="inlineStr"/>
    </row>
    <row r="651" ht="15" customHeight="1">
      <c r="A651" t="inlineStr">
        <is>
          <t>A 24462-2023</t>
        </is>
      </c>
      <c r="B651" s="1" t="n">
        <v>45082</v>
      </c>
      <c r="C651" s="1" t="n">
        <v>46072</v>
      </c>
      <c r="D651" t="inlineStr">
        <is>
          <t>ÖSTERGÖTLANDS LÄN</t>
        </is>
      </c>
      <c r="E651" t="inlineStr">
        <is>
          <t>LINKÖPING</t>
        </is>
      </c>
      <c r="G651" t="n">
        <v>3.5</v>
      </c>
      <c r="H651" t="n">
        <v>0</v>
      </c>
      <c r="I651" t="n">
        <v>0</v>
      </c>
      <c r="J651" t="n">
        <v>0</v>
      </c>
      <c r="K651" t="n">
        <v>0</v>
      </c>
      <c r="L651" t="n">
        <v>0</v>
      </c>
      <c r="M651" t="n">
        <v>0</v>
      </c>
      <c r="N651" t="n">
        <v>0</v>
      </c>
      <c r="O651" t="n">
        <v>0</v>
      </c>
      <c r="P651" t="n">
        <v>0</v>
      </c>
      <c r="Q651" t="n">
        <v>0</v>
      </c>
      <c r="R651" s="2" t="inlineStr"/>
    </row>
    <row r="652" ht="15" customHeight="1">
      <c r="A652" t="inlineStr">
        <is>
          <t>A 62015-2024</t>
        </is>
      </c>
      <c r="B652" s="1" t="n">
        <v>45655.80457175926</v>
      </c>
      <c r="C652" s="1" t="n">
        <v>46072</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10741-2023</t>
        </is>
      </c>
      <c r="B653" s="1" t="n">
        <v>44988.70084490741</v>
      </c>
      <c r="C653" s="1" t="n">
        <v>46072</v>
      </c>
      <c r="D653" t="inlineStr">
        <is>
          <t>ÖSTERGÖTLANDS LÄN</t>
        </is>
      </c>
      <c r="E653" t="inlineStr">
        <is>
          <t>LINKÖPING</t>
        </is>
      </c>
      <c r="F653" t="inlineStr">
        <is>
          <t>Allmännings- och besparingsskogar</t>
        </is>
      </c>
      <c r="G653" t="n">
        <v>11.2</v>
      </c>
      <c r="H653" t="n">
        <v>0</v>
      </c>
      <c r="I653" t="n">
        <v>0</v>
      </c>
      <c r="J653" t="n">
        <v>0</v>
      </c>
      <c r="K653" t="n">
        <v>0</v>
      </c>
      <c r="L653" t="n">
        <v>0</v>
      </c>
      <c r="M653" t="n">
        <v>0</v>
      </c>
      <c r="N653" t="n">
        <v>0</v>
      </c>
      <c r="O653" t="n">
        <v>0</v>
      </c>
      <c r="P653" t="n">
        <v>0</v>
      </c>
      <c r="Q653" t="n">
        <v>0</v>
      </c>
      <c r="R653" s="2" t="inlineStr"/>
    </row>
    <row r="654" ht="15" customHeight="1">
      <c r="A654" t="inlineStr">
        <is>
          <t>A 43473-2024</t>
        </is>
      </c>
      <c r="B654" s="1" t="n">
        <v>45568</v>
      </c>
      <c r="C654" s="1" t="n">
        <v>46072</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43475-2024</t>
        </is>
      </c>
      <c r="B655" s="1" t="n">
        <v>45568</v>
      </c>
      <c r="C655" s="1" t="n">
        <v>46072</v>
      </c>
      <c r="D655" t="inlineStr">
        <is>
          <t>ÖSTERGÖTLANDS LÄN</t>
        </is>
      </c>
      <c r="E655" t="inlineStr">
        <is>
          <t>LINKÖPING</t>
        </is>
      </c>
      <c r="G655" t="n">
        <v>3.2</v>
      </c>
      <c r="H655" t="n">
        <v>0</v>
      </c>
      <c r="I655" t="n">
        <v>0</v>
      </c>
      <c r="J655" t="n">
        <v>0</v>
      </c>
      <c r="K655" t="n">
        <v>0</v>
      </c>
      <c r="L655" t="n">
        <v>0</v>
      </c>
      <c r="M655" t="n">
        <v>0</v>
      </c>
      <c r="N655" t="n">
        <v>0</v>
      </c>
      <c r="O655" t="n">
        <v>0</v>
      </c>
      <c r="P655" t="n">
        <v>0</v>
      </c>
      <c r="Q655" t="n">
        <v>0</v>
      </c>
      <c r="R655" s="2" t="inlineStr"/>
    </row>
    <row r="656" ht="15" customHeight="1">
      <c r="A656" t="inlineStr">
        <is>
          <t>A 1207-2023</t>
        </is>
      </c>
      <c r="B656" s="1" t="n">
        <v>44930</v>
      </c>
      <c r="C656" s="1" t="n">
        <v>46072</v>
      </c>
      <c r="D656" t="inlineStr">
        <is>
          <t>ÖSTERGÖTLANDS LÄN</t>
        </is>
      </c>
      <c r="E656" t="inlineStr">
        <is>
          <t>LINKÖPING</t>
        </is>
      </c>
      <c r="F656" t="inlineStr">
        <is>
          <t>Övriga statliga verk och myndigheter</t>
        </is>
      </c>
      <c r="G656" t="n">
        <v>32.8</v>
      </c>
      <c r="H656" t="n">
        <v>0</v>
      </c>
      <c r="I656" t="n">
        <v>0</v>
      </c>
      <c r="J656" t="n">
        <v>0</v>
      </c>
      <c r="K656" t="n">
        <v>0</v>
      </c>
      <c r="L656" t="n">
        <v>0</v>
      </c>
      <c r="M656" t="n">
        <v>0</v>
      </c>
      <c r="N656" t="n">
        <v>0</v>
      </c>
      <c r="O656" t="n">
        <v>0</v>
      </c>
      <c r="P656" t="n">
        <v>0</v>
      </c>
      <c r="Q656" t="n">
        <v>0</v>
      </c>
      <c r="R656" s="2" t="inlineStr"/>
    </row>
    <row r="657" ht="15" customHeight="1">
      <c r="A657" t="inlineStr">
        <is>
          <t>A 29859-2024</t>
        </is>
      </c>
      <c r="B657" s="1" t="n">
        <v>45485.6846412037</v>
      </c>
      <c r="C657" s="1" t="n">
        <v>46072</v>
      </c>
      <c r="D657" t="inlineStr">
        <is>
          <t>ÖSTERGÖTLANDS LÄN</t>
        </is>
      </c>
      <c r="E657" t="inlineStr">
        <is>
          <t>LINKÖPING</t>
        </is>
      </c>
      <c r="G657" t="n">
        <v>0.4</v>
      </c>
      <c r="H657" t="n">
        <v>0</v>
      </c>
      <c r="I657" t="n">
        <v>0</v>
      </c>
      <c r="J657" t="n">
        <v>0</v>
      </c>
      <c r="K657" t="n">
        <v>0</v>
      </c>
      <c r="L657" t="n">
        <v>0</v>
      </c>
      <c r="M657" t="n">
        <v>0</v>
      </c>
      <c r="N657" t="n">
        <v>0</v>
      </c>
      <c r="O657" t="n">
        <v>0</v>
      </c>
      <c r="P657" t="n">
        <v>0</v>
      </c>
      <c r="Q657" t="n">
        <v>0</v>
      </c>
      <c r="R657" s="2" t="inlineStr"/>
    </row>
    <row r="658" ht="15" customHeight="1">
      <c r="A658" t="inlineStr">
        <is>
          <t>A 45819-2024</t>
        </is>
      </c>
      <c r="B658" s="1" t="n">
        <v>45579.7454050926</v>
      </c>
      <c r="C658" s="1" t="n">
        <v>46072</v>
      </c>
      <c r="D658" t="inlineStr">
        <is>
          <t>ÖSTERGÖTLANDS LÄN</t>
        </is>
      </c>
      <c r="E658" t="inlineStr">
        <is>
          <t>LINKÖPING</t>
        </is>
      </c>
      <c r="G658" t="n">
        <v>5</v>
      </c>
      <c r="H658" t="n">
        <v>0</v>
      </c>
      <c r="I658" t="n">
        <v>0</v>
      </c>
      <c r="J658" t="n">
        <v>0</v>
      </c>
      <c r="K658" t="n">
        <v>0</v>
      </c>
      <c r="L658" t="n">
        <v>0</v>
      </c>
      <c r="M658" t="n">
        <v>0</v>
      </c>
      <c r="N658" t="n">
        <v>0</v>
      </c>
      <c r="O658" t="n">
        <v>0</v>
      </c>
      <c r="P658" t="n">
        <v>0</v>
      </c>
      <c r="Q658" t="n">
        <v>0</v>
      </c>
      <c r="R658" s="2" t="inlineStr"/>
    </row>
    <row r="659" ht="15" customHeight="1">
      <c r="A659" t="inlineStr">
        <is>
          <t>A 15748-2025</t>
        </is>
      </c>
      <c r="B659" s="1" t="n">
        <v>45748.55282407408</v>
      </c>
      <c r="C659" s="1" t="n">
        <v>46072</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46072</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30518-2024</t>
        </is>
      </c>
      <c r="B661" s="1" t="n">
        <v>45492</v>
      </c>
      <c r="C661" s="1" t="n">
        <v>46072</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53797-2023</t>
        </is>
      </c>
      <c r="B662" s="1" t="n">
        <v>45230</v>
      </c>
      <c r="C662" s="1" t="n">
        <v>46072</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55345-2021</t>
        </is>
      </c>
      <c r="B663" s="1" t="n">
        <v>44475</v>
      </c>
      <c r="C663" s="1" t="n">
        <v>46072</v>
      </c>
      <c r="D663" t="inlineStr">
        <is>
          <t>ÖSTERGÖTLANDS LÄN</t>
        </is>
      </c>
      <c r="E663" t="inlineStr">
        <is>
          <t>LINKÖPING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10198-2023</t>
        </is>
      </c>
      <c r="B664" s="1" t="n">
        <v>44986.54665509259</v>
      </c>
      <c r="C664" s="1" t="n">
        <v>46072</v>
      </c>
      <c r="D664" t="inlineStr">
        <is>
          <t>ÖSTERGÖTLANDS LÄN</t>
        </is>
      </c>
      <c r="E664" t="inlineStr">
        <is>
          <t>LINKÖPING</t>
        </is>
      </c>
      <c r="G664" t="n">
        <v>4.6</v>
      </c>
      <c r="H664" t="n">
        <v>0</v>
      </c>
      <c r="I664" t="n">
        <v>0</v>
      </c>
      <c r="J664" t="n">
        <v>0</v>
      </c>
      <c r="K664" t="n">
        <v>0</v>
      </c>
      <c r="L664" t="n">
        <v>0</v>
      </c>
      <c r="M664" t="n">
        <v>0</v>
      </c>
      <c r="N664" t="n">
        <v>0</v>
      </c>
      <c r="O664" t="n">
        <v>0</v>
      </c>
      <c r="P664" t="n">
        <v>0</v>
      </c>
      <c r="Q664" t="n">
        <v>0</v>
      </c>
      <c r="R664" s="2" t="inlineStr"/>
    </row>
    <row r="665" ht="15" customHeight="1">
      <c r="A665" t="inlineStr">
        <is>
          <t>A 4298-2023</t>
        </is>
      </c>
      <c r="B665" s="1" t="n">
        <v>44953</v>
      </c>
      <c r="C665" s="1" t="n">
        <v>46072</v>
      </c>
      <c r="D665" t="inlineStr">
        <is>
          <t>ÖSTERGÖTLANDS LÄN</t>
        </is>
      </c>
      <c r="E665" t="inlineStr">
        <is>
          <t>LINKÖPING</t>
        </is>
      </c>
      <c r="G665" t="n">
        <v>2.8</v>
      </c>
      <c r="H665" t="n">
        <v>0</v>
      </c>
      <c r="I665" t="n">
        <v>0</v>
      </c>
      <c r="J665" t="n">
        <v>0</v>
      </c>
      <c r="K665" t="n">
        <v>0</v>
      </c>
      <c r="L665" t="n">
        <v>0</v>
      </c>
      <c r="M665" t="n">
        <v>0</v>
      </c>
      <c r="N665" t="n">
        <v>0</v>
      </c>
      <c r="O665" t="n">
        <v>0</v>
      </c>
      <c r="P665" t="n">
        <v>0</v>
      </c>
      <c r="Q665" t="n">
        <v>0</v>
      </c>
      <c r="R665" s="2" t="inlineStr"/>
    </row>
    <row r="666" ht="15" customHeight="1">
      <c r="A666" t="inlineStr">
        <is>
          <t>A 12428-2024</t>
        </is>
      </c>
      <c r="B666" s="1" t="n">
        <v>45379</v>
      </c>
      <c r="C666" s="1" t="n">
        <v>46072</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26618-2023</t>
        </is>
      </c>
      <c r="B667" s="1" t="n">
        <v>45092.70306712963</v>
      </c>
      <c r="C667" s="1" t="n">
        <v>46072</v>
      </c>
      <c r="D667" t="inlineStr">
        <is>
          <t>ÖSTERGÖTLANDS LÄN</t>
        </is>
      </c>
      <c r="E667" t="inlineStr">
        <is>
          <t>LINKÖPING</t>
        </is>
      </c>
      <c r="G667" t="n">
        <v>6.9</v>
      </c>
      <c r="H667" t="n">
        <v>0</v>
      </c>
      <c r="I667" t="n">
        <v>0</v>
      </c>
      <c r="J667" t="n">
        <v>0</v>
      </c>
      <c r="K667" t="n">
        <v>0</v>
      </c>
      <c r="L667" t="n">
        <v>0</v>
      </c>
      <c r="M667" t="n">
        <v>0</v>
      </c>
      <c r="N667" t="n">
        <v>0</v>
      </c>
      <c r="O667" t="n">
        <v>0</v>
      </c>
      <c r="P667" t="n">
        <v>0</v>
      </c>
      <c r="Q667" t="n">
        <v>0</v>
      </c>
      <c r="R667" s="2" t="inlineStr"/>
    </row>
    <row r="668" ht="15" customHeight="1">
      <c r="A668" t="inlineStr">
        <is>
          <t>A 34930-2023</t>
        </is>
      </c>
      <c r="B668" s="1" t="n">
        <v>45142</v>
      </c>
      <c r="C668" s="1" t="n">
        <v>46072</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670-2024</t>
        </is>
      </c>
      <c r="B669" s="1" t="n">
        <v>45300.3408912037</v>
      </c>
      <c r="C669" s="1" t="n">
        <v>46072</v>
      </c>
      <c r="D669" t="inlineStr">
        <is>
          <t>ÖSTERGÖTLANDS LÄN</t>
        </is>
      </c>
      <c r="E669" t="inlineStr">
        <is>
          <t>LINKÖPING</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63845-2021</t>
        </is>
      </c>
      <c r="B670" s="1" t="n">
        <v>44509</v>
      </c>
      <c r="C670" s="1" t="n">
        <v>46072</v>
      </c>
      <c r="D670" t="inlineStr">
        <is>
          <t>ÖSTERGÖTLANDS LÄN</t>
        </is>
      </c>
      <c r="E670" t="inlineStr">
        <is>
          <t>LINKÖPING</t>
        </is>
      </c>
      <c r="G670" t="n">
        <v>5</v>
      </c>
      <c r="H670" t="n">
        <v>0</v>
      </c>
      <c r="I670" t="n">
        <v>0</v>
      </c>
      <c r="J670" t="n">
        <v>0</v>
      </c>
      <c r="K670" t="n">
        <v>0</v>
      </c>
      <c r="L670" t="n">
        <v>0</v>
      </c>
      <c r="M670" t="n">
        <v>0</v>
      </c>
      <c r="N670" t="n">
        <v>0</v>
      </c>
      <c r="O670" t="n">
        <v>0</v>
      </c>
      <c r="P670" t="n">
        <v>0</v>
      </c>
      <c r="Q670" t="n">
        <v>0</v>
      </c>
      <c r="R670" s="2" t="inlineStr"/>
    </row>
    <row r="671" ht="15" customHeight="1">
      <c r="A671" t="inlineStr">
        <is>
          <t>A 54034-2022</t>
        </is>
      </c>
      <c r="B671" s="1" t="n">
        <v>44881</v>
      </c>
      <c r="C671" s="1" t="n">
        <v>46072</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36336-2023</t>
        </is>
      </c>
      <c r="B672" s="1" t="n">
        <v>45152.45078703704</v>
      </c>
      <c r="C672" s="1" t="n">
        <v>46072</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48829-2023</t>
        </is>
      </c>
      <c r="B673" s="1" t="n">
        <v>45209.38177083333</v>
      </c>
      <c r="C673" s="1" t="n">
        <v>46072</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48186-2022</t>
        </is>
      </c>
      <c r="B674" s="1" t="n">
        <v>44858</v>
      </c>
      <c r="C674" s="1" t="n">
        <v>46072</v>
      </c>
      <c r="D674" t="inlineStr">
        <is>
          <t>ÖSTERGÖTLANDS LÄN</t>
        </is>
      </c>
      <c r="E674" t="inlineStr">
        <is>
          <t>LINKÖPING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63669-2023</t>
        </is>
      </c>
      <c r="B675" s="1" t="n">
        <v>45275</v>
      </c>
      <c r="C675" s="1" t="n">
        <v>46072</v>
      </c>
      <c r="D675" t="inlineStr">
        <is>
          <t>ÖSTERGÖTLANDS LÄN</t>
        </is>
      </c>
      <c r="E675" t="inlineStr">
        <is>
          <t>LINKÖPING</t>
        </is>
      </c>
      <c r="F675" t="inlineStr">
        <is>
          <t>Övriga Aktiebolag</t>
        </is>
      </c>
      <c r="G675" t="n">
        <v>3</v>
      </c>
      <c r="H675" t="n">
        <v>0</v>
      </c>
      <c r="I675" t="n">
        <v>0</v>
      </c>
      <c r="J675" t="n">
        <v>0</v>
      </c>
      <c r="K675" t="n">
        <v>0</v>
      </c>
      <c r="L675" t="n">
        <v>0</v>
      </c>
      <c r="M675" t="n">
        <v>0</v>
      </c>
      <c r="N675" t="n">
        <v>0</v>
      </c>
      <c r="O675" t="n">
        <v>0</v>
      </c>
      <c r="P675" t="n">
        <v>0</v>
      </c>
      <c r="Q675" t="n">
        <v>0</v>
      </c>
      <c r="R675" s="2" t="inlineStr"/>
    </row>
    <row r="676" ht="15" customHeight="1">
      <c r="A676" t="inlineStr">
        <is>
          <t>A 24586-2024</t>
        </is>
      </c>
      <c r="B676" s="1" t="n">
        <v>45460.46664351852</v>
      </c>
      <c r="C676" s="1" t="n">
        <v>46072</v>
      </c>
      <c r="D676" t="inlineStr">
        <is>
          <t>ÖSTERGÖTLANDS LÄN</t>
        </is>
      </c>
      <c r="E676" t="inlineStr">
        <is>
          <t>LINKÖPING</t>
        </is>
      </c>
      <c r="G676" t="n">
        <v>4</v>
      </c>
      <c r="H676" t="n">
        <v>0</v>
      </c>
      <c r="I676" t="n">
        <v>0</v>
      </c>
      <c r="J676" t="n">
        <v>0</v>
      </c>
      <c r="K676" t="n">
        <v>0</v>
      </c>
      <c r="L676" t="n">
        <v>0</v>
      </c>
      <c r="M676" t="n">
        <v>0</v>
      </c>
      <c r="N676" t="n">
        <v>0</v>
      </c>
      <c r="O676" t="n">
        <v>0</v>
      </c>
      <c r="P676" t="n">
        <v>0</v>
      </c>
      <c r="Q676" t="n">
        <v>0</v>
      </c>
      <c r="R676" s="2" t="inlineStr"/>
    </row>
    <row r="677" ht="15" customHeight="1">
      <c r="A677" t="inlineStr">
        <is>
          <t>A 59576-2024</t>
        </is>
      </c>
      <c r="B677" s="1" t="n">
        <v>45638.66378472222</v>
      </c>
      <c r="C677" s="1" t="n">
        <v>46072</v>
      </c>
      <c r="D677" t="inlineStr">
        <is>
          <t>ÖSTERGÖTLANDS LÄN</t>
        </is>
      </c>
      <c r="E677" t="inlineStr">
        <is>
          <t>LINKÖPING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59642-2024</t>
        </is>
      </c>
      <c r="B678" s="1" t="n">
        <v>45639.31511574074</v>
      </c>
      <c r="C678" s="1" t="n">
        <v>46072</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59674-2024</t>
        </is>
      </c>
      <c r="B679" s="1" t="n">
        <v>45639</v>
      </c>
      <c r="C679" s="1" t="n">
        <v>46072</v>
      </c>
      <c r="D679" t="inlineStr">
        <is>
          <t>ÖSTERGÖTLANDS LÄN</t>
        </is>
      </c>
      <c r="E679" t="inlineStr">
        <is>
          <t>LINKÖPING</t>
        </is>
      </c>
      <c r="G679" t="n">
        <v>6.3</v>
      </c>
      <c r="H679" t="n">
        <v>0</v>
      </c>
      <c r="I679" t="n">
        <v>0</v>
      </c>
      <c r="J679" t="n">
        <v>0</v>
      </c>
      <c r="K679" t="n">
        <v>0</v>
      </c>
      <c r="L679" t="n">
        <v>0</v>
      </c>
      <c r="M679" t="n">
        <v>0</v>
      </c>
      <c r="N679" t="n">
        <v>0</v>
      </c>
      <c r="O679" t="n">
        <v>0</v>
      </c>
      <c r="P679" t="n">
        <v>0</v>
      </c>
      <c r="Q679" t="n">
        <v>0</v>
      </c>
      <c r="R679" s="2" t="inlineStr"/>
    </row>
    <row r="680" ht="15" customHeight="1">
      <c r="A680" t="inlineStr">
        <is>
          <t>A 18916-2024</t>
        </is>
      </c>
      <c r="B680" s="1" t="n">
        <v>45427.39541666667</v>
      </c>
      <c r="C680" s="1" t="n">
        <v>46072</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11084-2022</t>
        </is>
      </c>
      <c r="B681" s="1" t="n">
        <v>44628</v>
      </c>
      <c r="C681" s="1" t="n">
        <v>46072</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10203-2023</t>
        </is>
      </c>
      <c r="B682" s="1" t="n">
        <v>44986.55711805556</v>
      </c>
      <c r="C682" s="1" t="n">
        <v>46072</v>
      </c>
      <c r="D682" t="inlineStr">
        <is>
          <t>ÖSTERGÖTLANDS LÄN</t>
        </is>
      </c>
      <c r="E682" t="inlineStr">
        <is>
          <t>LINKÖPING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2618-2023</t>
        </is>
      </c>
      <c r="B683" s="1" t="n">
        <v>44944.35847222222</v>
      </c>
      <c r="C683" s="1" t="n">
        <v>46072</v>
      </c>
      <c r="D683" t="inlineStr">
        <is>
          <t>ÖSTERGÖTLANDS LÄN</t>
        </is>
      </c>
      <c r="E683" t="inlineStr">
        <is>
          <t>LINKÖPING</t>
        </is>
      </c>
      <c r="G683" t="n">
        <v>4.3</v>
      </c>
      <c r="H683" t="n">
        <v>0</v>
      </c>
      <c r="I683" t="n">
        <v>0</v>
      </c>
      <c r="J683" t="n">
        <v>0</v>
      </c>
      <c r="K683" t="n">
        <v>0</v>
      </c>
      <c r="L683" t="n">
        <v>0</v>
      </c>
      <c r="M683" t="n">
        <v>0</v>
      </c>
      <c r="N683" t="n">
        <v>0</v>
      </c>
      <c r="O683" t="n">
        <v>0</v>
      </c>
      <c r="P683" t="n">
        <v>0</v>
      </c>
      <c r="Q683" t="n">
        <v>0</v>
      </c>
      <c r="R683" s="2" t="inlineStr"/>
    </row>
    <row r="684" ht="15" customHeight="1">
      <c r="A684" t="inlineStr">
        <is>
          <t>A 62020-2024</t>
        </is>
      </c>
      <c r="B684" s="1" t="n">
        <v>45655.83563657408</v>
      </c>
      <c r="C684" s="1" t="n">
        <v>46072</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62021-2024</t>
        </is>
      </c>
      <c r="B685" s="1" t="n">
        <v>45655.84232638889</v>
      </c>
      <c r="C685" s="1" t="n">
        <v>46072</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1362-2023</t>
        </is>
      </c>
      <c r="B686" s="1" t="n">
        <v>44931</v>
      </c>
      <c r="C686" s="1" t="n">
        <v>46072</v>
      </c>
      <c r="D686" t="inlineStr">
        <is>
          <t>ÖSTERGÖTLANDS LÄN</t>
        </is>
      </c>
      <c r="E686" t="inlineStr">
        <is>
          <t>LINKÖPING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49928-2024</t>
        </is>
      </c>
      <c r="B687" s="1" t="n">
        <v>45597.57811342592</v>
      </c>
      <c r="C687" s="1" t="n">
        <v>46072</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3627-2023</t>
        </is>
      </c>
      <c r="B688" s="1" t="n">
        <v>44950.64782407408</v>
      </c>
      <c r="C688" s="1" t="n">
        <v>46072</v>
      </c>
      <c r="D688" t="inlineStr">
        <is>
          <t>ÖSTERGÖTLANDS LÄN</t>
        </is>
      </c>
      <c r="E688" t="inlineStr">
        <is>
          <t>LINKÖPING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51405-2023</t>
        </is>
      </c>
      <c r="B689" s="1" t="n">
        <v>45219</v>
      </c>
      <c r="C689" s="1" t="n">
        <v>46072</v>
      </c>
      <c r="D689" t="inlineStr">
        <is>
          <t>ÖSTERGÖTLANDS LÄN</t>
        </is>
      </c>
      <c r="E689" t="inlineStr">
        <is>
          <t>LINKÖPING</t>
        </is>
      </c>
      <c r="F689" t="inlineStr">
        <is>
          <t>Övriga Aktiebolag</t>
        </is>
      </c>
      <c r="G689" t="n">
        <v>3</v>
      </c>
      <c r="H689" t="n">
        <v>0</v>
      </c>
      <c r="I689" t="n">
        <v>0</v>
      </c>
      <c r="J689" t="n">
        <v>0</v>
      </c>
      <c r="K689" t="n">
        <v>0</v>
      </c>
      <c r="L689" t="n">
        <v>0</v>
      </c>
      <c r="M689" t="n">
        <v>0</v>
      </c>
      <c r="N689" t="n">
        <v>0</v>
      </c>
      <c r="O689" t="n">
        <v>0</v>
      </c>
      <c r="P689" t="n">
        <v>0</v>
      </c>
      <c r="Q689" t="n">
        <v>0</v>
      </c>
      <c r="R689" s="2" t="inlineStr"/>
    </row>
    <row r="690" ht="15" customHeight="1">
      <c r="A690" t="inlineStr">
        <is>
          <t>A 11601-2023</t>
        </is>
      </c>
      <c r="B690" s="1" t="n">
        <v>44994</v>
      </c>
      <c r="C690" s="1" t="n">
        <v>46072</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40338-2024</t>
        </is>
      </c>
      <c r="B691" s="1" t="n">
        <v>45555.32940972222</v>
      </c>
      <c r="C691" s="1" t="n">
        <v>46072</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167-2024</t>
        </is>
      </c>
      <c r="B692" s="1" t="n">
        <v>45294</v>
      </c>
      <c r="C692" s="1" t="n">
        <v>46072</v>
      </c>
      <c r="D692" t="inlineStr">
        <is>
          <t>ÖSTERGÖTLANDS LÄN</t>
        </is>
      </c>
      <c r="E692" t="inlineStr">
        <is>
          <t>LINKÖPING</t>
        </is>
      </c>
      <c r="F692" t="inlineStr">
        <is>
          <t>Allmännings- och besparingsskogar</t>
        </is>
      </c>
      <c r="G692" t="n">
        <v>11.6</v>
      </c>
      <c r="H692" t="n">
        <v>0</v>
      </c>
      <c r="I692" t="n">
        <v>0</v>
      </c>
      <c r="J692" t="n">
        <v>0</v>
      </c>
      <c r="K692" t="n">
        <v>0</v>
      </c>
      <c r="L692" t="n">
        <v>0</v>
      </c>
      <c r="M692" t="n">
        <v>0</v>
      </c>
      <c r="N692" t="n">
        <v>0</v>
      </c>
      <c r="O692" t="n">
        <v>0</v>
      </c>
      <c r="P692" t="n">
        <v>0</v>
      </c>
      <c r="Q692" t="n">
        <v>0</v>
      </c>
      <c r="R692" s="2" t="inlineStr"/>
    </row>
    <row r="693" ht="15" customHeight="1">
      <c r="A693" t="inlineStr">
        <is>
          <t>A 27186-2021</t>
        </is>
      </c>
      <c r="B693" s="1" t="n">
        <v>44350.67715277777</v>
      </c>
      <c r="C693" s="1" t="n">
        <v>46072</v>
      </c>
      <c r="D693" t="inlineStr">
        <is>
          <t>ÖSTERGÖTLANDS LÄN</t>
        </is>
      </c>
      <c r="E693" t="inlineStr">
        <is>
          <t>LINKÖPING</t>
        </is>
      </c>
      <c r="F693" t="inlineStr">
        <is>
          <t>Allmännings- och besparingsskogar</t>
        </is>
      </c>
      <c r="G693" t="n">
        <v>1.4</v>
      </c>
      <c r="H693" t="n">
        <v>0</v>
      </c>
      <c r="I693" t="n">
        <v>0</v>
      </c>
      <c r="J693" t="n">
        <v>0</v>
      </c>
      <c r="K693" t="n">
        <v>0</v>
      </c>
      <c r="L693" t="n">
        <v>0</v>
      </c>
      <c r="M693" t="n">
        <v>0</v>
      </c>
      <c r="N693" t="n">
        <v>0</v>
      </c>
      <c r="O693" t="n">
        <v>0</v>
      </c>
      <c r="P693" t="n">
        <v>0</v>
      </c>
      <c r="Q693" t="n">
        <v>0</v>
      </c>
      <c r="R693" s="2" t="inlineStr"/>
    </row>
    <row r="694" ht="15" customHeight="1">
      <c r="A694" t="inlineStr">
        <is>
          <t>A 7343-2025</t>
        </is>
      </c>
      <c r="B694" s="1" t="n">
        <v>45703.67853009259</v>
      </c>
      <c r="C694" s="1" t="n">
        <v>46072</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48271-2023</t>
        </is>
      </c>
      <c r="B695" s="1" t="n">
        <v>45205</v>
      </c>
      <c r="C695" s="1" t="n">
        <v>46072</v>
      </c>
      <c r="D695" t="inlineStr">
        <is>
          <t>ÖSTERGÖTLANDS LÄN</t>
        </is>
      </c>
      <c r="E695" t="inlineStr">
        <is>
          <t>LINKÖPING</t>
        </is>
      </c>
      <c r="G695" t="n">
        <v>3</v>
      </c>
      <c r="H695" t="n">
        <v>0</v>
      </c>
      <c r="I695" t="n">
        <v>0</v>
      </c>
      <c r="J695" t="n">
        <v>0</v>
      </c>
      <c r="K695" t="n">
        <v>0</v>
      </c>
      <c r="L695" t="n">
        <v>0</v>
      </c>
      <c r="M695" t="n">
        <v>0</v>
      </c>
      <c r="N695" t="n">
        <v>0</v>
      </c>
      <c r="O695" t="n">
        <v>0</v>
      </c>
      <c r="P695" t="n">
        <v>0</v>
      </c>
      <c r="Q695" t="n">
        <v>0</v>
      </c>
      <c r="R695" s="2" t="inlineStr"/>
    </row>
    <row r="696" ht="15" customHeight="1">
      <c r="A696" t="inlineStr">
        <is>
          <t>A 12720-2022</t>
        </is>
      </c>
      <c r="B696" s="1" t="n">
        <v>44641</v>
      </c>
      <c r="C696" s="1" t="n">
        <v>46072</v>
      </c>
      <c r="D696" t="inlineStr">
        <is>
          <t>ÖSTERGÖTLANDS LÄN</t>
        </is>
      </c>
      <c r="E696" t="inlineStr">
        <is>
          <t>LINKÖPING</t>
        </is>
      </c>
      <c r="F696" t="inlineStr">
        <is>
          <t>Övriga Aktiebolag</t>
        </is>
      </c>
      <c r="G696" t="n">
        <v>2</v>
      </c>
      <c r="H696" t="n">
        <v>0</v>
      </c>
      <c r="I696" t="n">
        <v>0</v>
      </c>
      <c r="J696" t="n">
        <v>0</v>
      </c>
      <c r="K696" t="n">
        <v>0</v>
      </c>
      <c r="L696" t="n">
        <v>0</v>
      </c>
      <c r="M696" t="n">
        <v>0</v>
      </c>
      <c r="N696" t="n">
        <v>0</v>
      </c>
      <c r="O696" t="n">
        <v>0</v>
      </c>
      <c r="P696" t="n">
        <v>0</v>
      </c>
      <c r="Q696" t="n">
        <v>0</v>
      </c>
      <c r="R696" s="2" t="inlineStr"/>
    </row>
    <row r="697" ht="15" customHeight="1">
      <c r="A697" t="inlineStr">
        <is>
          <t>A 62018-2024</t>
        </is>
      </c>
      <c r="B697" s="1" t="n">
        <v>45655.81387731482</v>
      </c>
      <c r="C697" s="1" t="n">
        <v>46072</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30551-2023</t>
        </is>
      </c>
      <c r="B698" s="1" t="n">
        <v>45111</v>
      </c>
      <c r="C698" s="1" t="n">
        <v>46072</v>
      </c>
      <c r="D698" t="inlineStr">
        <is>
          <t>ÖSTERGÖTLANDS LÄN</t>
        </is>
      </c>
      <c r="E698" t="inlineStr">
        <is>
          <t>LINKÖPING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30860-2022</t>
        </is>
      </c>
      <c r="B699" s="1" t="n">
        <v>44767</v>
      </c>
      <c r="C699" s="1" t="n">
        <v>46072</v>
      </c>
      <c r="D699" t="inlineStr">
        <is>
          <t>ÖSTERGÖTLANDS LÄN</t>
        </is>
      </c>
      <c r="E699" t="inlineStr">
        <is>
          <t>LINKÖPING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60004-2022</t>
        </is>
      </c>
      <c r="B700" s="1" t="n">
        <v>44909.47206018519</v>
      </c>
      <c r="C700" s="1" t="n">
        <v>46072</v>
      </c>
      <c r="D700" t="inlineStr">
        <is>
          <t>ÖSTERGÖTLANDS LÄN</t>
        </is>
      </c>
      <c r="E700" t="inlineStr">
        <is>
          <t>LINKÖPING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60010-2022</t>
        </is>
      </c>
      <c r="B701" s="1" t="n">
        <v>44909.4740625</v>
      </c>
      <c r="C701" s="1" t="n">
        <v>46072</v>
      </c>
      <c r="D701" t="inlineStr">
        <is>
          <t>ÖSTERGÖTLANDS LÄN</t>
        </is>
      </c>
      <c r="E701" t="inlineStr">
        <is>
          <t>LINKÖPING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53827-2023</t>
        </is>
      </c>
      <c r="B702" s="1" t="n">
        <v>45230</v>
      </c>
      <c r="C702" s="1" t="n">
        <v>46072</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4256-2022</t>
        </is>
      </c>
      <c r="B703" s="1" t="n">
        <v>44588</v>
      </c>
      <c r="C703" s="1" t="n">
        <v>46072</v>
      </c>
      <c r="D703" t="inlineStr">
        <is>
          <t>ÖSTERGÖTLANDS LÄN</t>
        </is>
      </c>
      <c r="E703" t="inlineStr">
        <is>
          <t>LINKÖPING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61649-2023</t>
        </is>
      </c>
      <c r="B704" s="1" t="n">
        <v>45265</v>
      </c>
      <c r="C704" s="1" t="n">
        <v>46072</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223-2024</t>
        </is>
      </c>
      <c r="B705" s="1" t="n">
        <v>45294.72739583333</v>
      </c>
      <c r="C705" s="1" t="n">
        <v>46072</v>
      </c>
      <c r="D705" t="inlineStr">
        <is>
          <t>ÖSTERGÖTLANDS LÄN</t>
        </is>
      </c>
      <c r="E705" t="inlineStr">
        <is>
          <t>LINKÖPING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19464-2024</t>
        </is>
      </c>
      <c r="B706" s="1" t="n">
        <v>45429</v>
      </c>
      <c r="C706" s="1" t="n">
        <v>46072</v>
      </c>
      <c r="D706" t="inlineStr">
        <is>
          <t>ÖSTERGÖTLANDS LÄN</t>
        </is>
      </c>
      <c r="E706" t="inlineStr">
        <is>
          <t>LINKÖPING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630-2024</t>
        </is>
      </c>
      <c r="B707" s="1" t="n">
        <v>45299.67736111111</v>
      </c>
      <c r="C707" s="1" t="n">
        <v>46072</v>
      </c>
      <c r="D707" t="inlineStr">
        <is>
          <t>ÖSTERGÖTLANDS LÄN</t>
        </is>
      </c>
      <c r="E707" t="inlineStr">
        <is>
          <t>LINKÖPING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30433-2024</t>
        </is>
      </c>
      <c r="B708" s="1" t="n">
        <v>45491.69741898148</v>
      </c>
      <c r="C708" s="1" t="n">
        <v>46072</v>
      </c>
      <c r="D708" t="inlineStr">
        <is>
          <t>ÖSTERGÖTLANDS LÄN</t>
        </is>
      </c>
      <c r="E708" t="inlineStr">
        <is>
          <t>LINKÖPING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63528-2023</t>
        </is>
      </c>
      <c r="B709" s="1" t="n">
        <v>45274.94810185185</v>
      </c>
      <c r="C709" s="1" t="n">
        <v>46072</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61936-2023</t>
        </is>
      </c>
      <c r="B710" s="1" t="n">
        <v>45266.54534722222</v>
      </c>
      <c r="C710" s="1" t="n">
        <v>46072</v>
      </c>
      <c r="D710" t="inlineStr">
        <is>
          <t>ÖSTERGÖTLANDS LÄN</t>
        </is>
      </c>
      <c r="E710" t="inlineStr">
        <is>
          <t>LINKÖPING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62492-2023</t>
        </is>
      </c>
      <c r="B711" s="1" t="n">
        <v>45268.58987268519</v>
      </c>
      <c r="C711" s="1" t="n">
        <v>46072</v>
      </c>
      <c r="D711" t="inlineStr">
        <is>
          <t>ÖSTERGÖTLANDS LÄN</t>
        </is>
      </c>
      <c r="E711" t="inlineStr">
        <is>
          <t>LINKÖPING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674-2024</t>
        </is>
      </c>
      <c r="B712" s="1" t="n">
        <v>45300.34408564815</v>
      </c>
      <c r="C712" s="1" t="n">
        <v>46072</v>
      </c>
      <c r="D712" t="inlineStr">
        <is>
          <t>ÖSTERGÖTLANDS LÄN</t>
        </is>
      </c>
      <c r="E712" t="inlineStr">
        <is>
          <t>LINKÖPING</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6782-2024</t>
        </is>
      </c>
      <c r="B713" s="1" t="n">
        <v>45342</v>
      </c>
      <c r="C713" s="1" t="n">
        <v>46072</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10094-2024</t>
        </is>
      </c>
      <c r="B714" s="1" t="n">
        <v>45364</v>
      </c>
      <c r="C714" s="1" t="n">
        <v>46072</v>
      </c>
      <c r="D714" t="inlineStr">
        <is>
          <t>ÖSTERGÖTLANDS LÄN</t>
        </is>
      </c>
      <c r="E714" t="inlineStr">
        <is>
          <t>LINKÖPING</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63684-2023</t>
        </is>
      </c>
      <c r="B715" s="1" t="n">
        <v>45275</v>
      </c>
      <c r="C715" s="1" t="n">
        <v>46072</v>
      </c>
      <c r="D715" t="inlineStr">
        <is>
          <t>ÖSTERGÖTLANDS LÄN</t>
        </is>
      </c>
      <c r="E715" t="inlineStr">
        <is>
          <t>LINKÖPING</t>
        </is>
      </c>
      <c r="G715" t="n">
        <v>0.4</v>
      </c>
      <c r="H715" t="n">
        <v>0</v>
      </c>
      <c r="I715" t="n">
        <v>0</v>
      </c>
      <c r="J715" t="n">
        <v>0</v>
      </c>
      <c r="K715" t="n">
        <v>0</v>
      </c>
      <c r="L715" t="n">
        <v>0</v>
      </c>
      <c r="M715" t="n">
        <v>0</v>
      </c>
      <c r="N715" t="n">
        <v>0</v>
      </c>
      <c r="O715" t="n">
        <v>0</v>
      </c>
      <c r="P715" t="n">
        <v>0</v>
      </c>
      <c r="Q715" t="n">
        <v>0</v>
      </c>
      <c r="R715" s="2" t="inlineStr"/>
    </row>
    <row r="716" ht="15" customHeight="1">
      <c r="A716" t="inlineStr">
        <is>
          <t>A 63688-2023</t>
        </is>
      </c>
      <c r="B716" s="1" t="n">
        <v>45275</v>
      </c>
      <c r="C716" s="1" t="n">
        <v>46072</v>
      </c>
      <c r="D716" t="inlineStr">
        <is>
          <t>ÖSTERGÖTLANDS LÄN</t>
        </is>
      </c>
      <c r="E716" t="inlineStr">
        <is>
          <t>LINKÖPING</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63691-2023</t>
        </is>
      </c>
      <c r="B717" s="1" t="n">
        <v>45275</v>
      </c>
      <c r="C717" s="1" t="n">
        <v>46072</v>
      </c>
      <c r="D717" t="inlineStr">
        <is>
          <t>ÖSTERGÖTLANDS LÄN</t>
        </is>
      </c>
      <c r="E717" t="inlineStr">
        <is>
          <t>LINKÖPING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36657-2023</t>
        </is>
      </c>
      <c r="B718" s="1" t="n">
        <v>45153.5702662037</v>
      </c>
      <c r="C718" s="1" t="n">
        <v>46072</v>
      </c>
      <c r="D718" t="inlineStr">
        <is>
          <t>ÖSTERGÖTLANDS LÄN</t>
        </is>
      </c>
      <c r="E718" t="inlineStr">
        <is>
          <t>LINKÖPING</t>
        </is>
      </c>
      <c r="F718" t="inlineStr">
        <is>
          <t>Allmännings- och besparingsskogar</t>
        </is>
      </c>
      <c r="G718" t="n">
        <v>2</v>
      </c>
      <c r="H718" t="n">
        <v>0</v>
      </c>
      <c r="I718" t="n">
        <v>0</v>
      </c>
      <c r="J718" t="n">
        <v>0</v>
      </c>
      <c r="K718" t="n">
        <v>0</v>
      </c>
      <c r="L718" t="n">
        <v>0</v>
      </c>
      <c r="M718" t="n">
        <v>0</v>
      </c>
      <c r="N718" t="n">
        <v>0</v>
      </c>
      <c r="O718" t="n">
        <v>0</v>
      </c>
      <c r="P718" t="n">
        <v>0</v>
      </c>
      <c r="Q718" t="n">
        <v>0</v>
      </c>
      <c r="R718" s="2" t="inlineStr"/>
    </row>
    <row r="719" ht="15" customHeight="1">
      <c r="A719" t="inlineStr">
        <is>
          <t>A 14667-2024</t>
        </is>
      </c>
      <c r="B719" s="1" t="n">
        <v>45397.42005787037</v>
      </c>
      <c r="C719" s="1" t="n">
        <v>46072</v>
      </c>
      <c r="D719" t="inlineStr">
        <is>
          <t>ÖSTERGÖTLANDS LÄN</t>
        </is>
      </c>
      <c r="E719" t="inlineStr">
        <is>
          <t>LINKÖPING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15714-2024</t>
        </is>
      </c>
      <c r="B720" s="1" t="n">
        <v>45404.48288194444</v>
      </c>
      <c r="C720" s="1" t="n">
        <v>46072</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37715-2022</t>
        </is>
      </c>
      <c r="B721" s="1" t="n">
        <v>44810</v>
      </c>
      <c r="C721" s="1" t="n">
        <v>46072</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30429-2024</t>
        </is>
      </c>
      <c r="B722" s="1" t="n">
        <v>45491.68972222223</v>
      </c>
      <c r="C722" s="1" t="n">
        <v>46072</v>
      </c>
      <c r="D722" t="inlineStr">
        <is>
          <t>ÖSTERGÖTLANDS LÄN</t>
        </is>
      </c>
      <c r="E722" t="inlineStr">
        <is>
          <t>LINKÖPING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30435-2024</t>
        </is>
      </c>
      <c r="B723" s="1" t="n">
        <v>45491.69962962963</v>
      </c>
      <c r="C723" s="1" t="n">
        <v>46072</v>
      </c>
      <c r="D723" t="inlineStr">
        <is>
          <t>ÖSTERGÖTLANDS LÄN</t>
        </is>
      </c>
      <c r="E723" t="inlineStr">
        <is>
          <t>LINKÖPING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38231-2022</t>
        </is>
      </c>
      <c r="B724" s="1" t="n">
        <v>44812</v>
      </c>
      <c r="C724" s="1" t="n">
        <v>46072</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34557-2022</t>
        </is>
      </c>
      <c r="B725" s="1" t="n">
        <v>44794.57074074074</v>
      </c>
      <c r="C725" s="1" t="n">
        <v>46072</v>
      </c>
      <c r="D725" t="inlineStr">
        <is>
          <t>ÖSTERGÖTLANDS LÄN</t>
        </is>
      </c>
      <c r="E725" t="inlineStr">
        <is>
          <t>LINKÖPING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13011-2022</t>
        </is>
      </c>
      <c r="B726" s="1" t="n">
        <v>44643</v>
      </c>
      <c r="C726" s="1" t="n">
        <v>46072</v>
      </c>
      <c r="D726" t="inlineStr">
        <is>
          <t>ÖSTERGÖTLANDS LÄN</t>
        </is>
      </c>
      <c r="E726" t="inlineStr">
        <is>
          <t>LINKÖPING</t>
        </is>
      </c>
      <c r="G726" t="n">
        <v>3.7</v>
      </c>
      <c r="H726" t="n">
        <v>0</v>
      </c>
      <c r="I726" t="n">
        <v>0</v>
      </c>
      <c r="J726" t="n">
        <v>0</v>
      </c>
      <c r="K726" t="n">
        <v>0</v>
      </c>
      <c r="L726" t="n">
        <v>0</v>
      </c>
      <c r="M726" t="n">
        <v>0</v>
      </c>
      <c r="N726" t="n">
        <v>0</v>
      </c>
      <c r="O726" t="n">
        <v>0</v>
      </c>
      <c r="P726" t="n">
        <v>0</v>
      </c>
      <c r="Q726" t="n">
        <v>0</v>
      </c>
      <c r="R726" s="2" t="inlineStr"/>
    </row>
    <row r="727" ht="15" customHeight="1">
      <c r="A727" t="inlineStr">
        <is>
          <t>A 617-2024</t>
        </is>
      </c>
      <c r="B727" s="1" t="n">
        <v>45299.66028935185</v>
      </c>
      <c r="C727" s="1" t="n">
        <v>46072</v>
      </c>
      <c r="D727" t="inlineStr">
        <is>
          <t>ÖSTERGÖTLANDS LÄN</t>
        </is>
      </c>
      <c r="E727" t="inlineStr">
        <is>
          <t>LINKÖPING</t>
        </is>
      </c>
      <c r="G727" t="n">
        <v>1.4</v>
      </c>
      <c r="H727" t="n">
        <v>0</v>
      </c>
      <c r="I727" t="n">
        <v>0</v>
      </c>
      <c r="J727" t="n">
        <v>0</v>
      </c>
      <c r="K727" t="n">
        <v>0</v>
      </c>
      <c r="L727" t="n">
        <v>0</v>
      </c>
      <c r="M727" t="n">
        <v>0</v>
      </c>
      <c r="N727" t="n">
        <v>0</v>
      </c>
      <c r="O727" t="n">
        <v>0</v>
      </c>
      <c r="P727" t="n">
        <v>0</v>
      </c>
      <c r="Q727" t="n">
        <v>0</v>
      </c>
      <c r="R727" s="2" t="inlineStr"/>
    </row>
    <row r="728" ht="15" customHeight="1">
      <c r="A728" t="inlineStr">
        <is>
          <t>A 19362-2023</t>
        </is>
      </c>
      <c r="B728" s="1" t="n">
        <v>45049</v>
      </c>
      <c r="C728" s="1" t="n">
        <v>46072</v>
      </c>
      <c r="D728" t="inlineStr">
        <is>
          <t>ÖSTERGÖTLANDS LÄN</t>
        </is>
      </c>
      <c r="E728" t="inlineStr">
        <is>
          <t>LINKÖPING</t>
        </is>
      </c>
      <c r="G728" t="n">
        <v>0.1</v>
      </c>
      <c r="H728" t="n">
        <v>0</v>
      </c>
      <c r="I728" t="n">
        <v>0</v>
      </c>
      <c r="J728" t="n">
        <v>0</v>
      </c>
      <c r="K728" t="n">
        <v>0</v>
      </c>
      <c r="L728" t="n">
        <v>0</v>
      </c>
      <c r="M728" t="n">
        <v>0</v>
      </c>
      <c r="N728" t="n">
        <v>0</v>
      </c>
      <c r="O728" t="n">
        <v>0</v>
      </c>
      <c r="P728" t="n">
        <v>0</v>
      </c>
      <c r="Q728" t="n">
        <v>0</v>
      </c>
      <c r="R728" s="2" t="inlineStr"/>
    </row>
    <row r="729" ht="15" customHeight="1">
      <c r="A729" t="inlineStr">
        <is>
          <t>A 19132-2023</t>
        </is>
      </c>
      <c r="B729" s="1" t="n">
        <v>45048.54754629629</v>
      </c>
      <c r="C729" s="1" t="n">
        <v>46072</v>
      </c>
      <c r="D729" t="inlineStr">
        <is>
          <t>ÖSTERGÖTLANDS LÄN</t>
        </is>
      </c>
      <c r="E729" t="inlineStr">
        <is>
          <t>LINKÖPING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31635-2023</t>
        </is>
      </c>
      <c r="B730" s="1" t="n">
        <v>45105</v>
      </c>
      <c r="C730" s="1" t="n">
        <v>46072</v>
      </c>
      <c r="D730" t="inlineStr">
        <is>
          <t>ÖSTERGÖTLANDS LÄN</t>
        </is>
      </c>
      <c r="E730" t="inlineStr">
        <is>
          <t>LINKÖPING</t>
        </is>
      </c>
      <c r="F730" t="inlineStr">
        <is>
          <t>Övriga statliga verk och myndigheter</t>
        </is>
      </c>
      <c r="G730" t="n">
        <v>4.6</v>
      </c>
      <c r="H730" t="n">
        <v>0</v>
      </c>
      <c r="I730" t="n">
        <v>0</v>
      </c>
      <c r="J730" t="n">
        <v>0</v>
      </c>
      <c r="K730" t="n">
        <v>0</v>
      </c>
      <c r="L730" t="n">
        <v>0</v>
      </c>
      <c r="M730" t="n">
        <v>0</v>
      </c>
      <c r="N730" t="n">
        <v>0</v>
      </c>
      <c r="O730" t="n">
        <v>0</v>
      </c>
      <c r="P730" t="n">
        <v>0</v>
      </c>
      <c r="Q730" t="n">
        <v>0</v>
      </c>
      <c r="R730" s="2" t="inlineStr"/>
    </row>
    <row r="731" ht="15" customHeight="1">
      <c r="A731" t="inlineStr">
        <is>
          <t>A 20296-2025</t>
        </is>
      </c>
      <c r="B731" s="1" t="n">
        <v>45774.74922453704</v>
      </c>
      <c r="C731" s="1" t="n">
        <v>46072</v>
      </c>
      <c r="D731" t="inlineStr">
        <is>
          <t>ÖSTERGÖTLANDS LÄN</t>
        </is>
      </c>
      <c r="E731" t="inlineStr">
        <is>
          <t>LINKÖPING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22770-2024</t>
        </is>
      </c>
      <c r="B732" s="1" t="n">
        <v>45448.4634375</v>
      </c>
      <c r="C732" s="1" t="n">
        <v>46072</v>
      </c>
      <c r="D732" t="inlineStr">
        <is>
          <t>ÖSTERGÖTLANDS LÄN</t>
        </is>
      </c>
      <c r="E732" t="inlineStr">
        <is>
          <t>LINKÖPING</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11595-2025</t>
        </is>
      </c>
      <c r="B733" s="1" t="n">
        <v>45727.41893518518</v>
      </c>
      <c r="C733" s="1" t="n">
        <v>46072</v>
      </c>
      <c r="D733" t="inlineStr">
        <is>
          <t>ÖSTERGÖTLANDS LÄN</t>
        </is>
      </c>
      <c r="E733" t="inlineStr">
        <is>
          <t>LINKÖPING</t>
        </is>
      </c>
      <c r="G733" t="n">
        <v>6.6</v>
      </c>
      <c r="H733" t="n">
        <v>0</v>
      </c>
      <c r="I733" t="n">
        <v>0</v>
      </c>
      <c r="J733" t="n">
        <v>0</v>
      </c>
      <c r="K733" t="n">
        <v>0</v>
      </c>
      <c r="L733" t="n">
        <v>0</v>
      </c>
      <c r="M733" t="n">
        <v>0</v>
      </c>
      <c r="N733" t="n">
        <v>0</v>
      </c>
      <c r="O733" t="n">
        <v>0</v>
      </c>
      <c r="P733" t="n">
        <v>0</v>
      </c>
      <c r="Q733" t="n">
        <v>0</v>
      </c>
      <c r="R733" s="2" t="inlineStr"/>
    </row>
    <row r="734" ht="15" customHeight="1">
      <c r="A734" t="inlineStr">
        <is>
          <t>A 48839-2022</t>
        </is>
      </c>
      <c r="B734" s="1" t="n">
        <v>44859</v>
      </c>
      <c r="C734" s="1" t="n">
        <v>46072</v>
      </c>
      <c r="D734" t="inlineStr">
        <is>
          <t>ÖSTERGÖTLANDS LÄN</t>
        </is>
      </c>
      <c r="E734" t="inlineStr">
        <is>
          <t>LINKÖPING</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8967-2025</t>
        </is>
      </c>
      <c r="B735" s="1" t="n">
        <v>45712</v>
      </c>
      <c r="C735" s="1" t="n">
        <v>46072</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63678-2023</t>
        </is>
      </c>
      <c r="B736" s="1" t="n">
        <v>45275.64769675926</v>
      </c>
      <c r="C736" s="1" t="n">
        <v>46072</v>
      </c>
      <c r="D736" t="inlineStr">
        <is>
          <t>ÖSTERGÖTLANDS LÄN</t>
        </is>
      </c>
      <c r="E736" t="inlineStr">
        <is>
          <t>LINKÖPING</t>
        </is>
      </c>
      <c r="F736" t="inlineStr">
        <is>
          <t>Övriga Aktiebolag</t>
        </is>
      </c>
      <c r="G736" t="n">
        <v>0.4</v>
      </c>
      <c r="H736" t="n">
        <v>0</v>
      </c>
      <c r="I736" t="n">
        <v>0</v>
      </c>
      <c r="J736" t="n">
        <v>0</v>
      </c>
      <c r="K736" t="n">
        <v>0</v>
      </c>
      <c r="L736" t="n">
        <v>0</v>
      </c>
      <c r="M736" t="n">
        <v>0</v>
      </c>
      <c r="N736" t="n">
        <v>0</v>
      </c>
      <c r="O736" t="n">
        <v>0</v>
      </c>
      <c r="P736" t="n">
        <v>0</v>
      </c>
      <c r="Q736" t="n">
        <v>0</v>
      </c>
      <c r="R736" s="2" t="inlineStr"/>
    </row>
    <row r="737" ht="15" customHeight="1">
      <c r="A737" t="inlineStr">
        <is>
          <t>A 1844-2025</t>
        </is>
      </c>
      <c r="B737" s="1" t="n">
        <v>45671.57730324074</v>
      </c>
      <c r="C737" s="1" t="n">
        <v>46072</v>
      </c>
      <c r="D737" t="inlineStr">
        <is>
          <t>ÖSTERGÖTLANDS LÄN</t>
        </is>
      </c>
      <c r="E737" t="inlineStr">
        <is>
          <t>LINKÖPING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21165-2025</t>
        </is>
      </c>
      <c r="B738" s="1" t="n">
        <v>45779.39417824074</v>
      </c>
      <c r="C738" s="1" t="n">
        <v>46072</v>
      </c>
      <c r="D738" t="inlineStr">
        <is>
          <t>ÖSTERGÖTLANDS LÄN</t>
        </is>
      </c>
      <c r="E738" t="inlineStr">
        <is>
          <t>LINKÖPING</t>
        </is>
      </c>
      <c r="G738" t="n">
        <v>1.2</v>
      </c>
      <c r="H738" t="n">
        <v>0</v>
      </c>
      <c r="I738" t="n">
        <v>0</v>
      </c>
      <c r="J738" t="n">
        <v>0</v>
      </c>
      <c r="K738" t="n">
        <v>0</v>
      </c>
      <c r="L738" t="n">
        <v>0</v>
      </c>
      <c r="M738" t="n">
        <v>0</v>
      </c>
      <c r="N738" t="n">
        <v>0</v>
      </c>
      <c r="O738" t="n">
        <v>0</v>
      </c>
      <c r="P738" t="n">
        <v>0</v>
      </c>
      <c r="Q738" t="n">
        <v>0</v>
      </c>
      <c r="R738" s="2" t="inlineStr"/>
    </row>
    <row r="739">
      <c r="A739" t="inlineStr">
        <is>
          <t>A 21155-2025</t>
        </is>
      </c>
      <c r="B739" s="1" t="n">
        <v>45779.37586805555</v>
      </c>
      <c r="C739" s="1" t="n">
        <v>46072</v>
      </c>
      <c r="D739" t="inlineStr">
        <is>
          <t>ÖSTERGÖTLANDS LÄN</t>
        </is>
      </c>
      <c r="E739" t="inlineStr">
        <is>
          <t>LINKÖPING</t>
        </is>
      </c>
      <c r="G739" t="n">
        <v>0.5</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2026-02-19T14:30:50Z</dcterms:created>
  <dcterms:modified xmlns:dcterms="http://purl.org/dc/terms/" xmlns:xsi="http://www.w3.org/2001/XMLSchema-instance" xsi:type="dcterms:W3CDTF">2026-02-19T14:30:50Z</dcterms:modified>
</cp:coreProperties>
</file>