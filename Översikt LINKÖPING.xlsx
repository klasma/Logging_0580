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46042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46042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46042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46042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46042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46042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46042</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46042</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46042</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46042</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46042</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55683-2025</t>
        </is>
      </c>
      <c r="B14" s="1" t="n">
        <v>45972.4255324074</v>
      </c>
      <c r="C14" s="1" t="n">
        <v>46042</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46042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46042</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46042</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46042</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38913-2023</t>
        </is>
      </c>
      <c r="B19" s="1" t="n">
        <v>45163</v>
      </c>
      <c r="C19" s="1" t="n">
        <v>46042</v>
      </c>
      <c r="D19" t="inlineStr">
        <is>
          <t>ÖSTERGÖTLANDS LÄN</t>
        </is>
      </c>
      <c r="E19" t="inlineStr">
        <is>
          <t>LINKÖPING</t>
        </is>
      </c>
      <c r="G19" t="n">
        <v>2.7</v>
      </c>
      <c r="H19" t="n">
        <v>2</v>
      </c>
      <c r="I19" t="n">
        <v>1</v>
      </c>
      <c r="J19" t="n">
        <v>0</v>
      </c>
      <c r="K19" t="n">
        <v>0</v>
      </c>
      <c r="L19" t="n">
        <v>0</v>
      </c>
      <c r="M19" t="n">
        <v>0</v>
      </c>
      <c r="N19" t="n">
        <v>0</v>
      </c>
      <c r="O19" t="n">
        <v>0</v>
      </c>
      <c r="P19" t="n">
        <v>0</v>
      </c>
      <c r="Q19" t="n">
        <v>3</v>
      </c>
      <c r="R19" s="2" t="inlineStr">
        <is>
          <t>Skogsbräsma
Dubbelnycklar
Revlummer</t>
        </is>
      </c>
      <c r="S19">
        <f>HYPERLINK("https://klasma.github.io/Logging_0580/artfynd/A 38913-2023 artfynd.xlsx", "A 38913-2023")</f>
        <v/>
      </c>
      <c r="T19">
        <f>HYPERLINK("https://klasma.github.io/Logging_0580/kartor/A 38913-2023 karta.png", "A 38913-2023")</f>
        <v/>
      </c>
      <c r="V19">
        <f>HYPERLINK("https://klasma.github.io/Logging_0580/klagomål/A 38913-2023 FSC-klagomål.docx", "A 38913-2023")</f>
        <v/>
      </c>
      <c r="W19">
        <f>HYPERLINK("https://klasma.github.io/Logging_0580/klagomålsmail/A 38913-2023 FSC-klagomål mail.docx", "A 38913-2023")</f>
        <v/>
      </c>
      <c r="X19">
        <f>HYPERLINK("https://klasma.github.io/Logging_0580/tillsyn/A 38913-2023 tillsynsbegäran.docx", "A 38913-2023")</f>
        <v/>
      </c>
      <c r="Y19">
        <f>HYPERLINK("https://klasma.github.io/Logging_0580/tillsynsmail/A 38913-2023 tillsynsbegäran mail.docx", "A 38913-2023")</f>
        <v/>
      </c>
    </row>
    <row r="20" ht="15" customHeight="1">
      <c r="A20" t="inlineStr">
        <is>
          <t>A 55341-2024</t>
        </is>
      </c>
      <c r="B20" s="1" t="n">
        <v>45621.71255787037</v>
      </c>
      <c r="C20" s="1" t="n">
        <v>46042</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577-2025</t>
        </is>
      </c>
      <c r="B21" s="1" t="n">
        <v>45664.56525462963</v>
      </c>
      <c r="C21" s="1" t="n">
        <v>46042</v>
      </c>
      <c r="D21" t="inlineStr">
        <is>
          <t>ÖSTERGÖTLANDS LÄN</t>
        </is>
      </c>
      <c r="E21" t="inlineStr">
        <is>
          <t>LINKÖPING</t>
        </is>
      </c>
      <c r="G21" t="n">
        <v>3.7</v>
      </c>
      <c r="H21" t="n">
        <v>3</v>
      </c>
      <c r="I21" t="n">
        <v>0</v>
      </c>
      <c r="J21" t="n">
        <v>1</v>
      </c>
      <c r="K21" t="n">
        <v>0</v>
      </c>
      <c r="L21" t="n">
        <v>0</v>
      </c>
      <c r="M21" t="n">
        <v>0</v>
      </c>
      <c r="N21" t="n">
        <v>0</v>
      </c>
      <c r="O21" t="n">
        <v>1</v>
      </c>
      <c r="P21" t="n">
        <v>0</v>
      </c>
      <c r="Q21" t="n">
        <v>3</v>
      </c>
      <c r="R21" s="2" t="inlineStr">
        <is>
          <t>Brunlångöra
Dvärgpipistrell
Större brunfladdermus</t>
        </is>
      </c>
      <c r="S21">
        <f>HYPERLINK("https://klasma.github.io/Logging_0580/artfynd/A 577-2025 artfynd.xlsx", "A 577-2025")</f>
        <v/>
      </c>
      <c r="T21">
        <f>HYPERLINK("https://klasma.github.io/Logging_0580/kartor/A 577-2025 karta.png", "A 577-2025")</f>
        <v/>
      </c>
      <c r="V21">
        <f>HYPERLINK("https://klasma.github.io/Logging_0580/klagomål/A 577-2025 FSC-klagomål.docx", "A 577-2025")</f>
        <v/>
      </c>
      <c r="W21">
        <f>HYPERLINK("https://klasma.github.io/Logging_0580/klagomålsmail/A 577-2025 FSC-klagomål mail.docx", "A 577-2025")</f>
        <v/>
      </c>
      <c r="X21">
        <f>HYPERLINK("https://klasma.github.io/Logging_0580/tillsyn/A 577-2025 tillsynsbegäran.docx", "A 577-2025")</f>
        <v/>
      </c>
      <c r="Y21">
        <f>HYPERLINK("https://klasma.github.io/Logging_0580/tillsynsmail/A 577-2025 tillsynsbegäran mail.docx", "A 577-2025")</f>
        <v/>
      </c>
    </row>
    <row r="22" ht="15" customHeight="1">
      <c r="A22" t="inlineStr">
        <is>
          <t>A 38137-2021</t>
        </is>
      </c>
      <c r="B22" s="1" t="n">
        <v>44405.38357638889</v>
      </c>
      <c r="C22" s="1" t="n">
        <v>46042</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46042</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27981-2022</t>
        </is>
      </c>
      <c r="B24" s="1" t="n">
        <v>44745</v>
      </c>
      <c r="C24" s="1" t="n">
        <v>46042</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50404-2023</t>
        </is>
      </c>
      <c r="B25" s="1" t="n">
        <v>45216</v>
      </c>
      <c r="C25" s="1" t="n">
        <v>46042</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27795-2025</t>
        </is>
      </c>
      <c r="B26" s="1" t="n">
        <v>45816.7908912037</v>
      </c>
      <c r="C26" s="1" t="n">
        <v>46042</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14879-2024</t>
        </is>
      </c>
      <c r="B27" s="1" t="n">
        <v>45398</v>
      </c>
      <c r="C27" s="1" t="n">
        <v>46042</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46042</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25985-2025</t>
        </is>
      </c>
      <c r="B29" s="1" t="n">
        <v>45804.64479166667</v>
      </c>
      <c r="C29" s="1" t="n">
        <v>46042</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50048-2025</t>
        </is>
      </c>
      <c r="B30" s="1" t="n">
        <v>45941</v>
      </c>
      <c r="C30" s="1" t="n">
        <v>46042</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58068-2021</t>
        </is>
      </c>
      <c r="B31" s="1" t="n">
        <v>44487</v>
      </c>
      <c r="C31" s="1" t="n">
        <v>46042</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58068-2021</t>
        </is>
      </c>
      <c r="B32" s="1" t="n">
        <v>44487</v>
      </c>
      <c r="C32" s="1" t="n">
        <v>46042</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46042</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46042</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11613-2025</t>
        </is>
      </c>
      <c r="B35" s="1" t="n">
        <v>45727.44623842592</v>
      </c>
      <c r="C35" s="1" t="n">
        <v>46042</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20292-2025</t>
        </is>
      </c>
      <c r="B36" s="1" t="n">
        <v>45774.7449537037</v>
      </c>
      <c r="C36" s="1" t="n">
        <v>46042</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46042</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41751-2023</t>
        </is>
      </c>
      <c r="B38" s="1" t="n">
        <v>45176</v>
      </c>
      <c r="C38" s="1" t="n">
        <v>46042</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46042</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46042</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46042</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46042</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46042</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46042</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46042</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46042</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46042</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46042</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46042</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46042</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46042</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46042</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59948-2022</t>
        </is>
      </c>
      <c r="B53" s="1" t="n">
        <v>44909</v>
      </c>
      <c r="C53" s="1" t="n">
        <v>46042</v>
      </c>
      <c r="D53" t="inlineStr">
        <is>
          <t>ÖSTERGÖTLANDS LÄN</t>
        </is>
      </c>
      <c r="E53" t="inlineStr">
        <is>
          <t>LINKÖPING</t>
        </is>
      </c>
      <c r="G53" t="n">
        <v>6.7</v>
      </c>
      <c r="H53" t="n">
        <v>0</v>
      </c>
      <c r="I53" t="n">
        <v>0</v>
      </c>
      <c r="J53" t="n">
        <v>0</v>
      </c>
      <c r="K53" t="n">
        <v>0</v>
      </c>
      <c r="L53" t="n">
        <v>0</v>
      </c>
      <c r="M53" t="n">
        <v>1</v>
      </c>
      <c r="N53" t="n">
        <v>0</v>
      </c>
      <c r="O53" t="n">
        <v>1</v>
      </c>
      <c r="P53" t="n">
        <v>1</v>
      </c>
      <c r="Q53" t="n">
        <v>1</v>
      </c>
      <c r="R53" s="2" t="inlineStr">
        <is>
          <t>Skogsalm</t>
        </is>
      </c>
      <c r="S53">
        <f>HYPERLINK("https://klasma.github.io/Logging_0580/artfynd/A 59948-2022 artfynd.xlsx", "A 59948-2022")</f>
        <v/>
      </c>
      <c r="T53">
        <f>HYPERLINK("https://klasma.github.io/Logging_0580/kartor/A 59948-2022 karta.png", "A 59948-2022")</f>
        <v/>
      </c>
      <c r="V53">
        <f>HYPERLINK("https://klasma.github.io/Logging_0580/klagomål/A 59948-2022 FSC-klagomål.docx", "A 59948-2022")</f>
        <v/>
      </c>
      <c r="W53">
        <f>HYPERLINK("https://klasma.github.io/Logging_0580/klagomålsmail/A 59948-2022 FSC-klagomål mail.docx", "A 59948-2022")</f>
        <v/>
      </c>
      <c r="X53">
        <f>HYPERLINK("https://klasma.github.io/Logging_0580/tillsyn/A 59948-2022 tillsynsbegäran.docx", "A 59948-2022")</f>
        <v/>
      </c>
      <c r="Y53">
        <f>HYPERLINK("https://klasma.github.io/Logging_0580/tillsynsmail/A 59948-2022 tillsynsbegäran mail.docx", "A 59948-2022")</f>
        <v/>
      </c>
    </row>
    <row r="54" ht="15" customHeight="1">
      <c r="A54" t="inlineStr">
        <is>
          <t>A 22526-2025</t>
        </is>
      </c>
      <c r="B54" s="1" t="n">
        <v>45786.78096064815</v>
      </c>
      <c r="C54" s="1" t="n">
        <v>46042</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27403-2025</t>
        </is>
      </c>
      <c r="B55" s="1" t="n">
        <v>45812.72518518518</v>
      </c>
      <c r="C55" s="1" t="n">
        <v>46042</v>
      </c>
      <c r="D55" t="inlineStr">
        <is>
          <t>ÖSTERGÖTLANDS LÄN</t>
        </is>
      </c>
      <c r="E55" t="inlineStr">
        <is>
          <t>LINKÖPING</t>
        </is>
      </c>
      <c r="G55" t="n">
        <v>1.4</v>
      </c>
      <c r="H55" t="n">
        <v>0</v>
      </c>
      <c r="I55" t="n">
        <v>0</v>
      </c>
      <c r="J55" t="n">
        <v>1</v>
      </c>
      <c r="K55" t="n">
        <v>0</v>
      </c>
      <c r="L55" t="n">
        <v>0</v>
      </c>
      <c r="M55" t="n">
        <v>0</v>
      </c>
      <c r="N55" t="n">
        <v>0</v>
      </c>
      <c r="O55" t="n">
        <v>1</v>
      </c>
      <c r="P55" t="n">
        <v>0</v>
      </c>
      <c r="Q55" t="n">
        <v>1</v>
      </c>
      <c r="R55" s="2" t="inlineStr">
        <is>
          <t>Tallticka</t>
        </is>
      </c>
      <c r="S55">
        <f>HYPERLINK("https://klasma.github.io/Logging_0580/artfynd/A 27403-2025 artfynd.xlsx", "A 27403-2025")</f>
        <v/>
      </c>
      <c r="T55">
        <f>HYPERLINK("https://klasma.github.io/Logging_0580/kartor/A 27403-2025 karta.png", "A 27403-2025")</f>
        <v/>
      </c>
      <c r="V55">
        <f>HYPERLINK("https://klasma.github.io/Logging_0580/klagomål/A 27403-2025 FSC-klagomål.docx", "A 27403-2025")</f>
        <v/>
      </c>
      <c r="W55">
        <f>HYPERLINK("https://klasma.github.io/Logging_0580/klagomålsmail/A 27403-2025 FSC-klagomål mail.docx", "A 27403-2025")</f>
        <v/>
      </c>
      <c r="X55">
        <f>HYPERLINK("https://klasma.github.io/Logging_0580/tillsyn/A 27403-2025 tillsynsbegäran.docx", "A 27403-2025")</f>
        <v/>
      </c>
      <c r="Y55">
        <f>HYPERLINK("https://klasma.github.io/Logging_0580/tillsynsmail/A 27403-2025 tillsynsbegäran mail.docx", "A 27403-2025")</f>
        <v/>
      </c>
    </row>
    <row r="56" ht="15" customHeight="1">
      <c r="A56" t="inlineStr">
        <is>
          <t>A 37683-2024</t>
        </is>
      </c>
      <c r="B56" s="1" t="n">
        <v>45541.59120370371</v>
      </c>
      <c r="C56" s="1" t="n">
        <v>46042</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43989-2025</t>
        </is>
      </c>
      <c r="B57" s="1" t="n">
        <v>45915.44128472222</v>
      </c>
      <c r="C57" s="1" t="n">
        <v>46042</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46042</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56651-2023</t>
        </is>
      </c>
      <c r="B59" s="1" t="n">
        <v>45243</v>
      </c>
      <c r="C59" s="1" t="n">
        <v>46042</v>
      </c>
      <c r="D59" t="inlineStr">
        <is>
          <t>ÖSTERGÖTLANDS LÄN</t>
        </is>
      </c>
      <c r="E59" t="inlineStr">
        <is>
          <t>LINKÖPING</t>
        </is>
      </c>
      <c r="F59" t="inlineStr">
        <is>
          <t>Övriga Aktiebolag</t>
        </is>
      </c>
      <c r="G59" t="n">
        <v>2.3</v>
      </c>
      <c r="H59" t="n">
        <v>0</v>
      </c>
      <c r="I59" t="n">
        <v>0</v>
      </c>
      <c r="J59" t="n">
        <v>1</v>
      </c>
      <c r="K59" t="n">
        <v>0</v>
      </c>
      <c r="L59" t="n">
        <v>0</v>
      </c>
      <c r="M59" t="n">
        <v>0</v>
      </c>
      <c r="N59" t="n">
        <v>0</v>
      </c>
      <c r="O59" t="n">
        <v>1</v>
      </c>
      <c r="P59" t="n">
        <v>0</v>
      </c>
      <c r="Q59" t="n">
        <v>1</v>
      </c>
      <c r="R59" s="2" t="inlineStr">
        <is>
          <t>Gul dropplav</t>
        </is>
      </c>
      <c r="S59">
        <f>HYPERLINK("https://klasma.github.io/Logging_0580/artfynd/A 56651-2023 artfynd.xlsx", "A 56651-2023")</f>
        <v/>
      </c>
      <c r="T59">
        <f>HYPERLINK("https://klasma.github.io/Logging_0580/kartor/A 56651-2023 karta.png", "A 56651-2023")</f>
        <v/>
      </c>
      <c r="V59">
        <f>HYPERLINK("https://klasma.github.io/Logging_0580/klagomål/A 56651-2023 FSC-klagomål.docx", "A 56651-2023")</f>
        <v/>
      </c>
      <c r="W59">
        <f>HYPERLINK("https://klasma.github.io/Logging_0580/klagomålsmail/A 56651-2023 FSC-klagomål mail.docx", "A 56651-2023")</f>
        <v/>
      </c>
      <c r="X59">
        <f>HYPERLINK("https://klasma.github.io/Logging_0580/tillsyn/A 56651-2023 tillsynsbegäran.docx", "A 56651-2023")</f>
        <v/>
      </c>
      <c r="Y59">
        <f>HYPERLINK("https://klasma.github.io/Logging_0580/tillsynsmail/A 56651-2023 tillsynsbegäran mail.docx", "A 56651-2023")</f>
        <v/>
      </c>
    </row>
    <row r="60" ht="15" customHeight="1">
      <c r="A60" t="inlineStr">
        <is>
          <t>A 17444-2025</t>
        </is>
      </c>
      <c r="B60" s="1" t="n">
        <v>45757.43452546297</v>
      </c>
      <c r="C60" s="1" t="n">
        <v>46042</v>
      </c>
      <c r="D60" t="inlineStr">
        <is>
          <t>ÖSTERGÖTLANDS LÄN</t>
        </is>
      </c>
      <c r="E60" t="inlineStr">
        <is>
          <t>LINKÖPING</t>
        </is>
      </c>
      <c r="G60" t="n">
        <v>1.3</v>
      </c>
      <c r="H60" t="n">
        <v>1</v>
      </c>
      <c r="I60" t="n">
        <v>0</v>
      </c>
      <c r="J60" t="n">
        <v>1</v>
      </c>
      <c r="K60" t="n">
        <v>0</v>
      </c>
      <c r="L60" t="n">
        <v>0</v>
      </c>
      <c r="M60" t="n">
        <v>0</v>
      </c>
      <c r="N60" t="n">
        <v>0</v>
      </c>
      <c r="O60" t="n">
        <v>1</v>
      </c>
      <c r="P60" t="n">
        <v>0</v>
      </c>
      <c r="Q60" t="n">
        <v>1</v>
      </c>
      <c r="R60" s="2" t="inlineStr">
        <is>
          <t>Dårgräsfjäril</t>
        </is>
      </c>
      <c r="S60">
        <f>HYPERLINK("https://klasma.github.io/Logging_0580/artfynd/A 17444-2025 artfynd.xlsx", "A 17444-2025")</f>
        <v/>
      </c>
      <c r="T60">
        <f>HYPERLINK("https://klasma.github.io/Logging_0580/kartor/A 17444-2025 karta.png", "A 17444-2025")</f>
        <v/>
      </c>
      <c r="V60">
        <f>HYPERLINK("https://klasma.github.io/Logging_0580/klagomål/A 17444-2025 FSC-klagomål.docx", "A 17444-2025")</f>
        <v/>
      </c>
      <c r="W60">
        <f>HYPERLINK("https://klasma.github.io/Logging_0580/klagomålsmail/A 17444-2025 FSC-klagomål mail.docx", "A 17444-2025")</f>
        <v/>
      </c>
      <c r="X60">
        <f>HYPERLINK("https://klasma.github.io/Logging_0580/tillsyn/A 17444-2025 tillsynsbegäran.docx", "A 17444-2025")</f>
        <v/>
      </c>
      <c r="Y60">
        <f>HYPERLINK("https://klasma.github.io/Logging_0580/tillsynsmail/A 17444-2025 tillsynsbegäran mail.docx", "A 17444-2025")</f>
        <v/>
      </c>
    </row>
    <row r="61" ht="15" customHeight="1">
      <c r="A61" t="inlineStr">
        <is>
          <t>A 5911-2022</t>
        </is>
      </c>
      <c r="B61" s="1" t="n">
        <v>44597</v>
      </c>
      <c r="C61" s="1" t="n">
        <v>46042</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48347-2025</t>
        </is>
      </c>
      <c r="B62" s="1" t="n">
        <v>45932</v>
      </c>
      <c r="C62" s="1" t="n">
        <v>46042</v>
      </c>
      <c r="D62" t="inlineStr">
        <is>
          <t>ÖSTERGÖTLANDS LÄN</t>
        </is>
      </c>
      <c r="E62" t="inlineStr">
        <is>
          <t>LINKÖPING</t>
        </is>
      </c>
      <c r="F62" t="inlineStr">
        <is>
          <t>Övriga Aktiebolag</t>
        </is>
      </c>
      <c r="G62" t="n">
        <v>0.9</v>
      </c>
      <c r="H62" t="n">
        <v>0</v>
      </c>
      <c r="I62" t="n">
        <v>0</v>
      </c>
      <c r="J62" t="n">
        <v>1</v>
      </c>
      <c r="K62" t="n">
        <v>0</v>
      </c>
      <c r="L62" t="n">
        <v>0</v>
      </c>
      <c r="M62" t="n">
        <v>0</v>
      </c>
      <c r="N62" t="n">
        <v>0</v>
      </c>
      <c r="O62" t="n">
        <v>1</v>
      </c>
      <c r="P62" t="n">
        <v>0</v>
      </c>
      <c r="Q62" t="n">
        <v>1</v>
      </c>
      <c r="R62" s="2" t="inlineStr">
        <is>
          <t>Igelkott</t>
        </is>
      </c>
      <c r="S62">
        <f>HYPERLINK("https://klasma.github.io/Logging_0580/artfynd/A 48347-2025 artfynd.xlsx", "A 48347-2025")</f>
        <v/>
      </c>
      <c r="T62">
        <f>HYPERLINK("https://klasma.github.io/Logging_0580/kartor/A 48347-2025 karta.png", "A 48347-2025")</f>
        <v/>
      </c>
      <c r="V62">
        <f>HYPERLINK("https://klasma.github.io/Logging_0580/klagomål/A 48347-2025 FSC-klagomål.docx", "A 48347-2025")</f>
        <v/>
      </c>
      <c r="W62">
        <f>HYPERLINK("https://klasma.github.io/Logging_0580/klagomålsmail/A 48347-2025 FSC-klagomål mail.docx", "A 48347-2025")</f>
        <v/>
      </c>
      <c r="X62">
        <f>HYPERLINK("https://klasma.github.io/Logging_0580/tillsyn/A 48347-2025 tillsynsbegäran.docx", "A 48347-2025")</f>
        <v/>
      </c>
      <c r="Y62">
        <f>HYPERLINK("https://klasma.github.io/Logging_0580/tillsynsmail/A 48347-2025 tillsynsbegäran mail.docx", "A 48347-2025")</f>
        <v/>
      </c>
    </row>
    <row r="63" ht="15" customHeight="1">
      <c r="A63" t="inlineStr">
        <is>
          <t>A 36723-2023</t>
        </is>
      </c>
      <c r="B63" s="1" t="n">
        <v>45153</v>
      </c>
      <c r="C63" s="1" t="n">
        <v>46042</v>
      </c>
      <c r="D63" t="inlineStr">
        <is>
          <t>ÖSTERGÖTLANDS LÄN</t>
        </is>
      </c>
      <c r="E63" t="inlineStr">
        <is>
          <t>LINKÖPING</t>
        </is>
      </c>
      <c r="F63" t="inlineStr">
        <is>
          <t>Allmännings- och besparingsskogar</t>
        </is>
      </c>
      <c r="G63" t="n">
        <v>9.9</v>
      </c>
      <c r="H63" t="n">
        <v>0</v>
      </c>
      <c r="I63" t="n">
        <v>0</v>
      </c>
      <c r="J63" t="n">
        <v>0</v>
      </c>
      <c r="K63" t="n">
        <v>1</v>
      </c>
      <c r="L63" t="n">
        <v>0</v>
      </c>
      <c r="M63" t="n">
        <v>0</v>
      </c>
      <c r="N63" t="n">
        <v>0</v>
      </c>
      <c r="O63" t="n">
        <v>1</v>
      </c>
      <c r="P63" t="n">
        <v>1</v>
      </c>
      <c r="Q63" t="n">
        <v>1</v>
      </c>
      <c r="R63" s="2" t="inlineStr">
        <is>
          <t>Bitter taggsvamp</t>
        </is>
      </c>
      <c r="S63">
        <f>HYPERLINK("https://klasma.github.io/Logging_0580/artfynd/A 36723-2023 artfynd.xlsx", "A 36723-2023")</f>
        <v/>
      </c>
      <c r="T63">
        <f>HYPERLINK("https://klasma.github.io/Logging_0580/kartor/A 36723-2023 karta.png", "A 36723-2023")</f>
        <v/>
      </c>
      <c r="V63">
        <f>HYPERLINK("https://klasma.github.io/Logging_0580/klagomål/A 36723-2023 FSC-klagomål.docx", "A 36723-2023")</f>
        <v/>
      </c>
      <c r="W63">
        <f>HYPERLINK("https://klasma.github.io/Logging_0580/klagomålsmail/A 36723-2023 FSC-klagomål mail.docx", "A 36723-2023")</f>
        <v/>
      </c>
      <c r="X63">
        <f>HYPERLINK("https://klasma.github.io/Logging_0580/tillsyn/A 36723-2023 tillsynsbegäran.docx", "A 36723-2023")</f>
        <v/>
      </c>
      <c r="Y63">
        <f>HYPERLINK("https://klasma.github.io/Logging_0580/tillsynsmail/A 36723-2023 tillsynsbegäran mail.docx", "A 36723-2023")</f>
        <v/>
      </c>
    </row>
    <row r="64" ht="15" customHeight="1">
      <c r="A64" t="inlineStr">
        <is>
          <t>A 48353-2025</t>
        </is>
      </c>
      <c r="B64" s="1" t="n">
        <v>45932</v>
      </c>
      <c r="C64" s="1" t="n">
        <v>46042</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48273-2025</t>
        </is>
      </c>
      <c r="B65" s="1" t="n">
        <v>45932</v>
      </c>
      <c r="C65" s="1" t="n">
        <v>46042</v>
      </c>
      <c r="D65" t="inlineStr">
        <is>
          <t>ÖSTERGÖTLANDS LÄN</t>
        </is>
      </c>
      <c r="E65" t="inlineStr">
        <is>
          <t>LINKÖPING</t>
        </is>
      </c>
      <c r="F65" t="inlineStr">
        <is>
          <t>Övriga Aktiebolag</t>
        </is>
      </c>
      <c r="G65" t="n">
        <v>4.6</v>
      </c>
      <c r="H65" t="n">
        <v>0</v>
      </c>
      <c r="I65" t="n">
        <v>0</v>
      </c>
      <c r="J65" t="n">
        <v>1</v>
      </c>
      <c r="K65" t="n">
        <v>0</v>
      </c>
      <c r="L65" t="n">
        <v>0</v>
      </c>
      <c r="M65" t="n">
        <v>0</v>
      </c>
      <c r="N65" t="n">
        <v>0</v>
      </c>
      <c r="O65" t="n">
        <v>1</v>
      </c>
      <c r="P65" t="n">
        <v>0</v>
      </c>
      <c r="Q65" t="n">
        <v>1</v>
      </c>
      <c r="R65" s="2" t="inlineStr">
        <is>
          <t>Barrviolspindling</t>
        </is>
      </c>
      <c r="S65">
        <f>HYPERLINK("https://klasma.github.io/Logging_0580/artfynd/A 48273-2025 artfynd.xlsx", "A 48273-2025")</f>
        <v/>
      </c>
      <c r="T65">
        <f>HYPERLINK("https://klasma.github.io/Logging_0580/kartor/A 48273-2025 karta.png", "A 48273-2025")</f>
        <v/>
      </c>
      <c r="V65">
        <f>HYPERLINK("https://klasma.github.io/Logging_0580/klagomål/A 48273-2025 FSC-klagomål.docx", "A 48273-2025")</f>
        <v/>
      </c>
      <c r="W65">
        <f>HYPERLINK("https://klasma.github.io/Logging_0580/klagomålsmail/A 48273-2025 FSC-klagomål mail.docx", "A 48273-2025")</f>
        <v/>
      </c>
      <c r="X65">
        <f>HYPERLINK("https://klasma.github.io/Logging_0580/tillsyn/A 48273-2025 tillsynsbegäran.docx", "A 48273-2025")</f>
        <v/>
      </c>
      <c r="Y65">
        <f>HYPERLINK("https://klasma.github.io/Logging_0580/tillsynsmail/A 48273-2025 tillsynsbegäran mail.docx", "A 48273-2025")</f>
        <v/>
      </c>
    </row>
    <row r="66" ht="15" customHeight="1">
      <c r="A66" t="inlineStr">
        <is>
          <t>A 48298-2025</t>
        </is>
      </c>
      <c r="B66" s="1" t="n">
        <v>45932</v>
      </c>
      <c r="C66" s="1" t="n">
        <v>46042</v>
      </c>
      <c r="D66" t="inlineStr">
        <is>
          <t>ÖSTERGÖTLANDS LÄN</t>
        </is>
      </c>
      <c r="E66" t="inlineStr">
        <is>
          <t>LINKÖPING</t>
        </is>
      </c>
      <c r="F66" t="inlineStr">
        <is>
          <t>Övriga Aktiebolag</t>
        </is>
      </c>
      <c r="G66" t="n">
        <v>1.7</v>
      </c>
      <c r="H66" t="n">
        <v>0</v>
      </c>
      <c r="I66" t="n">
        <v>1</v>
      </c>
      <c r="J66" t="n">
        <v>0</v>
      </c>
      <c r="K66" t="n">
        <v>0</v>
      </c>
      <c r="L66" t="n">
        <v>0</v>
      </c>
      <c r="M66" t="n">
        <v>0</v>
      </c>
      <c r="N66" t="n">
        <v>0</v>
      </c>
      <c r="O66" t="n">
        <v>0</v>
      </c>
      <c r="P66" t="n">
        <v>0</v>
      </c>
      <c r="Q66" t="n">
        <v>1</v>
      </c>
      <c r="R66" s="2" t="inlineStr">
        <is>
          <t>Västlig hakmossa</t>
        </is>
      </c>
      <c r="S66">
        <f>HYPERLINK("https://klasma.github.io/Logging_0580/artfynd/A 48298-2025 artfynd.xlsx", "A 48298-2025")</f>
        <v/>
      </c>
      <c r="T66">
        <f>HYPERLINK("https://klasma.github.io/Logging_0580/kartor/A 48298-2025 karta.png", "A 48298-2025")</f>
        <v/>
      </c>
      <c r="V66">
        <f>HYPERLINK("https://klasma.github.io/Logging_0580/klagomål/A 48298-2025 FSC-klagomål.docx", "A 48298-2025")</f>
        <v/>
      </c>
      <c r="W66">
        <f>HYPERLINK("https://klasma.github.io/Logging_0580/klagomålsmail/A 48298-2025 FSC-klagomål mail.docx", "A 48298-2025")</f>
        <v/>
      </c>
      <c r="X66">
        <f>HYPERLINK("https://klasma.github.io/Logging_0580/tillsyn/A 48298-2025 tillsynsbegäran.docx", "A 48298-2025")</f>
        <v/>
      </c>
      <c r="Y66">
        <f>HYPERLINK("https://klasma.github.io/Logging_0580/tillsynsmail/A 48298-2025 tillsynsbegäran mail.docx", "A 48298-2025")</f>
        <v/>
      </c>
    </row>
    <row r="67" ht="15" customHeight="1">
      <c r="A67" t="inlineStr">
        <is>
          <t>A 90-2024</t>
        </is>
      </c>
      <c r="B67" s="1" t="n">
        <v>45293</v>
      </c>
      <c r="C67" s="1" t="n">
        <v>46042</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46042</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50034-2025</t>
        </is>
      </c>
      <c r="B69" s="1" t="n">
        <v>45941</v>
      </c>
      <c r="C69" s="1" t="n">
        <v>46042</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15290-2025</t>
        </is>
      </c>
      <c r="B70" s="1" t="n">
        <v>45745.45288194445</v>
      </c>
      <c r="C70" s="1" t="n">
        <v>46042</v>
      </c>
      <c r="D70" t="inlineStr">
        <is>
          <t>ÖSTERGÖTLANDS LÄN</t>
        </is>
      </c>
      <c r="E70" t="inlineStr">
        <is>
          <t>LINKÖPING</t>
        </is>
      </c>
      <c r="G70" t="n">
        <v>18.4</v>
      </c>
      <c r="H70" t="n">
        <v>1</v>
      </c>
      <c r="I70" t="n">
        <v>0</v>
      </c>
      <c r="J70" t="n">
        <v>1</v>
      </c>
      <c r="K70" t="n">
        <v>0</v>
      </c>
      <c r="L70" t="n">
        <v>0</v>
      </c>
      <c r="M70" t="n">
        <v>0</v>
      </c>
      <c r="N70" t="n">
        <v>0</v>
      </c>
      <c r="O70" t="n">
        <v>1</v>
      </c>
      <c r="P70" t="n">
        <v>0</v>
      </c>
      <c r="Q70" t="n">
        <v>1</v>
      </c>
      <c r="R70" s="2" t="inlineStr">
        <is>
          <t>Havsörn</t>
        </is>
      </c>
      <c r="S70">
        <f>HYPERLINK("https://klasma.github.io/Logging_0580/artfynd/A 15290-2025 artfynd.xlsx", "A 15290-2025")</f>
        <v/>
      </c>
      <c r="T70">
        <f>HYPERLINK("https://klasma.github.io/Logging_0580/kartor/A 15290-2025 karta.png", "A 15290-2025")</f>
        <v/>
      </c>
      <c r="V70">
        <f>HYPERLINK("https://klasma.github.io/Logging_0580/klagomål/A 15290-2025 FSC-klagomål.docx", "A 15290-2025")</f>
        <v/>
      </c>
      <c r="W70">
        <f>HYPERLINK("https://klasma.github.io/Logging_0580/klagomålsmail/A 15290-2025 FSC-klagomål mail.docx", "A 15290-2025")</f>
        <v/>
      </c>
      <c r="X70">
        <f>HYPERLINK("https://klasma.github.io/Logging_0580/tillsyn/A 15290-2025 tillsynsbegäran.docx", "A 15290-2025")</f>
        <v/>
      </c>
      <c r="Y70">
        <f>HYPERLINK("https://klasma.github.io/Logging_0580/tillsynsmail/A 15290-2025 tillsynsbegäran mail.docx", "A 15290-2025")</f>
        <v/>
      </c>
      <c r="Z70">
        <f>HYPERLINK("https://klasma.github.io/Logging_0580/fåglar/A 15290-2025 prioriterade fågelarter.docx", "A 15290-2025")</f>
        <v/>
      </c>
    </row>
    <row r="71" ht="15" customHeight="1">
      <c r="A71" t="inlineStr">
        <is>
          <t>A 34881-2023</t>
        </is>
      </c>
      <c r="B71" s="1" t="n">
        <v>45140</v>
      </c>
      <c r="C71" s="1" t="n">
        <v>46042</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50471-2024</t>
        </is>
      </c>
      <c r="B72" s="1" t="n">
        <v>45601.47166666666</v>
      </c>
      <c r="C72" s="1" t="n">
        <v>46042</v>
      </c>
      <c r="D72" t="inlineStr">
        <is>
          <t>ÖSTERGÖTLANDS LÄN</t>
        </is>
      </c>
      <c r="E72" t="inlineStr">
        <is>
          <t>LINKÖPING</t>
        </is>
      </c>
      <c r="F72" t="inlineStr">
        <is>
          <t>Övriga Aktiebolag</t>
        </is>
      </c>
      <c r="G72" t="n">
        <v>2</v>
      </c>
      <c r="H72" t="n">
        <v>0</v>
      </c>
      <c r="I72" t="n">
        <v>1</v>
      </c>
      <c r="J72" t="n">
        <v>0</v>
      </c>
      <c r="K72" t="n">
        <v>0</v>
      </c>
      <c r="L72" t="n">
        <v>0</v>
      </c>
      <c r="M72" t="n">
        <v>0</v>
      </c>
      <c r="N72" t="n">
        <v>0</v>
      </c>
      <c r="O72" t="n">
        <v>0</v>
      </c>
      <c r="P72" t="n">
        <v>0</v>
      </c>
      <c r="Q72" t="n">
        <v>1</v>
      </c>
      <c r="R72" s="2" t="inlineStr">
        <is>
          <t>Västlig hakmossa</t>
        </is>
      </c>
      <c r="S72">
        <f>HYPERLINK("https://klasma.github.io/Logging_0580/artfynd/A 50471-2024 artfynd.xlsx", "A 50471-2024")</f>
        <v/>
      </c>
      <c r="T72">
        <f>HYPERLINK("https://klasma.github.io/Logging_0580/kartor/A 50471-2024 karta.png", "A 50471-2024")</f>
        <v/>
      </c>
      <c r="V72">
        <f>HYPERLINK("https://klasma.github.io/Logging_0580/klagomål/A 50471-2024 FSC-klagomål.docx", "A 50471-2024")</f>
        <v/>
      </c>
      <c r="W72">
        <f>HYPERLINK("https://klasma.github.io/Logging_0580/klagomålsmail/A 50471-2024 FSC-klagomål mail.docx", "A 50471-2024")</f>
        <v/>
      </c>
      <c r="X72">
        <f>HYPERLINK("https://klasma.github.io/Logging_0580/tillsyn/A 50471-2024 tillsynsbegäran.docx", "A 50471-2024")</f>
        <v/>
      </c>
      <c r="Y72">
        <f>HYPERLINK("https://klasma.github.io/Logging_0580/tillsynsmail/A 50471-2024 tillsynsbegäran mail.docx", "A 50471-2024")</f>
        <v/>
      </c>
    </row>
    <row r="73" ht="15" customHeight="1">
      <c r="A73" t="inlineStr">
        <is>
          <t>A 17389-2021</t>
        </is>
      </c>
      <c r="B73" s="1" t="n">
        <v>44298.96792824074</v>
      </c>
      <c r="C73" s="1" t="n">
        <v>46042</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56128-2022</t>
        </is>
      </c>
      <c r="B74" s="1" t="n">
        <v>44889</v>
      </c>
      <c r="C74" s="1" t="n">
        <v>46042</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40309-2024</t>
        </is>
      </c>
      <c r="B75" s="1" t="n">
        <v>45554.724375</v>
      </c>
      <c r="C75" s="1" t="n">
        <v>46042</v>
      </c>
      <c r="D75" t="inlineStr">
        <is>
          <t>ÖSTERGÖTLANDS LÄN</t>
        </is>
      </c>
      <c r="E75" t="inlineStr">
        <is>
          <t>LINKÖPING</t>
        </is>
      </c>
      <c r="F75" t="inlineStr">
        <is>
          <t>Allmännings- och besparingsskogar</t>
        </is>
      </c>
      <c r="G75" t="n">
        <v>6</v>
      </c>
      <c r="H75" t="n">
        <v>0</v>
      </c>
      <c r="I75" t="n">
        <v>0</v>
      </c>
      <c r="J75" t="n">
        <v>1</v>
      </c>
      <c r="K75" t="n">
        <v>0</v>
      </c>
      <c r="L75" t="n">
        <v>0</v>
      </c>
      <c r="M75" t="n">
        <v>0</v>
      </c>
      <c r="N75" t="n">
        <v>0</v>
      </c>
      <c r="O75" t="n">
        <v>1</v>
      </c>
      <c r="P75" t="n">
        <v>0</v>
      </c>
      <c r="Q75" t="n">
        <v>1</v>
      </c>
      <c r="R75" s="2" t="inlineStr">
        <is>
          <t>Garnlav</t>
        </is>
      </c>
      <c r="S75">
        <f>HYPERLINK("https://klasma.github.io/Logging_0580/artfynd/A 40309-2024 artfynd.xlsx", "A 40309-2024")</f>
        <v/>
      </c>
      <c r="T75">
        <f>HYPERLINK("https://klasma.github.io/Logging_0580/kartor/A 40309-2024 karta.png", "A 40309-2024")</f>
        <v/>
      </c>
      <c r="V75">
        <f>HYPERLINK("https://klasma.github.io/Logging_0580/klagomål/A 40309-2024 FSC-klagomål.docx", "A 40309-2024")</f>
        <v/>
      </c>
      <c r="W75">
        <f>HYPERLINK("https://klasma.github.io/Logging_0580/klagomålsmail/A 40309-2024 FSC-klagomål mail.docx", "A 40309-2024")</f>
        <v/>
      </c>
      <c r="X75">
        <f>HYPERLINK("https://klasma.github.io/Logging_0580/tillsyn/A 40309-2024 tillsynsbegäran.docx", "A 40309-2024")</f>
        <v/>
      </c>
      <c r="Y75">
        <f>HYPERLINK("https://klasma.github.io/Logging_0580/tillsynsmail/A 40309-2024 tillsynsbegäran mail.docx", "A 40309-2024")</f>
        <v/>
      </c>
    </row>
    <row r="76" ht="15" customHeight="1">
      <c r="A76" t="inlineStr">
        <is>
          <t>A 56112-2025</t>
        </is>
      </c>
      <c r="B76" s="1" t="n">
        <v>45973.73625</v>
      </c>
      <c r="C76" s="1" t="n">
        <v>46042</v>
      </c>
      <c r="D76" t="inlineStr">
        <is>
          <t>ÖSTERGÖTLANDS LÄN</t>
        </is>
      </c>
      <c r="E76" t="inlineStr">
        <is>
          <t>LINKÖPING</t>
        </is>
      </c>
      <c r="G76" t="n">
        <v>0.6</v>
      </c>
      <c r="H76" t="n">
        <v>0</v>
      </c>
      <c r="I76" t="n">
        <v>0</v>
      </c>
      <c r="J76" t="n">
        <v>1</v>
      </c>
      <c r="K76" t="n">
        <v>0</v>
      </c>
      <c r="L76" t="n">
        <v>0</v>
      </c>
      <c r="M76" t="n">
        <v>0</v>
      </c>
      <c r="N76" t="n">
        <v>0</v>
      </c>
      <c r="O76" t="n">
        <v>1</v>
      </c>
      <c r="P76" t="n">
        <v>0</v>
      </c>
      <c r="Q76" t="n">
        <v>1</v>
      </c>
      <c r="R76" s="2" t="inlineStr">
        <is>
          <t>Solvända</t>
        </is>
      </c>
      <c r="S76">
        <f>HYPERLINK("https://klasma.github.io/Logging_0580/artfynd/A 56112-2025 artfynd.xlsx", "A 56112-2025")</f>
        <v/>
      </c>
      <c r="T76">
        <f>HYPERLINK("https://klasma.github.io/Logging_0580/kartor/A 56112-2025 karta.png", "A 56112-2025")</f>
        <v/>
      </c>
      <c r="V76">
        <f>HYPERLINK("https://klasma.github.io/Logging_0580/klagomål/A 56112-2025 FSC-klagomål.docx", "A 56112-2025")</f>
        <v/>
      </c>
      <c r="W76">
        <f>HYPERLINK("https://klasma.github.io/Logging_0580/klagomålsmail/A 56112-2025 FSC-klagomål mail.docx", "A 56112-2025")</f>
        <v/>
      </c>
      <c r="X76">
        <f>HYPERLINK("https://klasma.github.io/Logging_0580/tillsyn/A 56112-2025 tillsynsbegäran.docx", "A 56112-2025")</f>
        <v/>
      </c>
      <c r="Y76">
        <f>HYPERLINK("https://klasma.github.io/Logging_0580/tillsynsmail/A 56112-2025 tillsynsbegäran mail.docx", "A 56112-2025")</f>
        <v/>
      </c>
    </row>
    <row r="77" ht="15" customHeight="1">
      <c r="A77" t="inlineStr">
        <is>
          <t>A 54835-2023</t>
        </is>
      </c>
      <c r="B77" s="1" t="n">
        <v>45236</v>
      </c>
      <c r="C77" s="1" t="n">
        <v>46042</v>
      </c>
      <c r="D77" t="inlineStr">
        <is>
          <t>ÖSTERGÖTLANDS LÄN</t>
        </is>
      </c>
      <c r="E77" t="inlineStr">
        <is>
          <t>LINKÖPING</t>
        </is>
      </c>
      <c r="G77" t="n">
        <v>2</v>
      </c>
      <c r="H77" t="n">
        <v>1</v>
      </c>
      <c r="I77" t="n">
        <v>0</v>
      </c>
      <c r="J77" t="n">
        <v>0</v>
      </c>
      <c r="K77" t="n">
        <v>0</v>
      </c>
      <c r="L77" t="n">
        <v>0</v>
      </c>
      <c r="M77" t="n">
        <v>0</v>
      </c>
      <c r="N77" t="n">
        <v>0</v>
      </c>
      <c r="O77" t="n">
        <v>0</v>
      </c>
      <c r="P77" t="n">
        <v>0</v>
      </c>
      <c r="Q77" t="n">
        <v>1</v>
      </c>
      <c r="R77" s="2" t="inlineStr">
        <is>
          <t>Sparvuggla</t>
        </is>
      </c>
      <c r="S77">
        <f>HYPERLINK("https://klasma.github.io/Logging_0580/artfynd/A 54835-2023 artfynd.xlsx", "A 54835-2023")</f>
        <v/>
      </c>
      <c r="T77">
        <f>HYPERLINK("https://klasma.github.io/Logging_0580/kartor/A 54835-2023 karta.png", "A 54835-2023")</f>
        <v/>
      </c>
      <c r="V77">
        <f>HYPERLINK("https://klasma.github.io/Logging_0580/klagomål/A 54835-2023 FSC-klagomål.docx", "A 54835-2023")</f>
        <v/>
      </c>
      <c r="W77">
        <f>HYPERLINK("https://klasma.github.io/Logging_0580/klagomålsmail/A 54835-2023 FSC-klagomål mail.docx", "A 54835-2023")</f>
        <v/>
      </c>
      <c r="X77">
        <f>HYPERLINK("https://klasma.github.io/Logging_0580/tillsyn/A 54835-2023 tillsynsbegäran.docx", "A 54835-2023")</f>
        <v/>
      </c>
      <c r="Y77">
        <f>HYPERLINK("https://klasma.github.io/Logging_0580/tillsynsmail/A 54835-2023 tillsynsbegäran mail.docx", "A 54835-2023")</f>
        <v/>
      </c>
      <c r="Z77">
        <f>HYPERLINK("https://klasma.github.io/Logging_0580/fåglar/A 54835-2023 prioriterade fågelarter.docx", "A 54835-2023")</f>
        <v/>
      </c>
    </row>
    <row r="78" ht="15" customHeight="1">
      <c r="A78" t="inlineStr">
        <is>
          <t>A 59474-2025</t>
        </is>
      </c>
      <c r="B78" s="1" t="n">
        <v>45989.58512731481</v>
      </c>
      <c r="C78" s="1" t="n">
        <v>46042</v>
      </c>
      <c r="D78" t="inlineStr">
        <is>
          <t>ÖSTERGÖTLANDS LÄN</t>
        </is>
      </c>
      <c r="E78" t="inlineStr">
        <is>
          <t>LINKÖPING</t>
        </is>
      </c>
      <c r="G78" t="n">
        <v>8</v>
      </c>
      <c r="H78" t="n">
        <v>0</v>
      </c>
      <c r="I78" t="n">
        <v>1</v>
      </c>
      <c r="J78" t="n">
        <v>0</v>
      </c>
      <c r="K78" t="n">
        <v>0</v>
      </c>
      <c r="L78" t="n">
        <v>0</v>
      </c>
      <c r="M78" t="n">
        <v>0</v>
      </c>
      <c r="N78" t="n">
        <v>0</v>
      </c>
      <c r="O78" t="n">
        <v>0</v>
      </c>
      <c r="P78" t="n">
        <v>0</v>
      </c>
      <c r="Q78" t="n">
        <v>1</v>
      </c>
      <c r="R78" s="2" t="inlineStr">
        <is>
          <t>Fällmossa</t>
        </is>
      </c>
      <c r="S78">
        <f>HYPERLINK("https://klasma.github.io/Logging_0580/artfynd/A 59474-2025 artfynd.xlsx", "A 59474-2025")</f>
        <v/>
      </c>
      <c r="T78">
        <f>HYPERLINK("https://klasma.github.io/Logging_0580/kartor/A 59474-2025 karta.png", "A 59474-2025")</f>
        <v/>
      </c>
      <c r="V78">
        <f>HYPERLINK("https://klasma.github.io/Logging_0580/klagomål/A 59474-2025 FSC-klagomål.docx", "A 59474-2025")</f>
        <v/>
      </c>
      <c r="W78">
        <f>HYPERLINK("https://klasma.github.io/Logging_0580/klagomålsmail/A 59474-2025 FSC-klagomål mail.docx", "A 59474-2025")</f>
        <v/>
      </c>
      <c r="X78">
        <f>HYPERLINK("https://klasma.github.io/Logging_0580/tillsyn/A 59474-2025 tillsynsbegäran.docx", "A 59474-2025")</f>
        <v/>
      </c>
      <c r="Y78">
        <f>HYPERLINK("https://klasma.github.io/Logging_0580/tillsynsmail/A 59474-2025 tillsynsbegäran mail.docx", "A 59474-2025")</f>
        <v/>
      </c>
    </row>
    <row r="79" ht="15" customHeight="1">
      <c r="A79" t="inlineStr">
        <is>
          <t>A 126-2024</t>
        </is>
      </c>
      <c r="B79" s="1" t="n">
        <v>45294</v>
      </c>
      <c r="C79" s="1" t="n">
        <v>46042</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60311-2025</t>
        </is>
      </c>
      <c r="B80" s="1" t="n">
        <v>45994</v>
      </c>
      <c r="C80" s="1" t="n">
        <v>46042</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Gammelekslav</t>
        </is>
      </c>
      <c r="S80">
        <f>HYPERLINK("https://klasma.github.io/Logging_0580/artfynd/A 60311-2025 artfynd.xlsx", "A 60311-2025")</f>
        <v/>
      </c>
      <c r="T80">
        <f>HYPERLINK("https://klasma.github.io/Logging_0580/kartor/A 60311-2025 karta.png", "A 60311-2025")</f>
        <v/>
      </c>
      <c r="V80">
        <f>HYPERLINK("https://klasma.github.io/Logging_0580/klagomål/A 60311-2025 FSC-klagomål.docx", "A 60311-2025")</f>
        <v/>
      </c>
      <c r="W80">
        <f>HYPERLINK("https://klasma.github.io/Logging_0580/klagomålsmail/A 60311-2025 FSC-klagomål mail.docx", "A 60311-2025")</f>
        <v/>
      </c>
      <c r="X80">
        <f>HYPERLINK("https://klasma.github.io/Logging_0580/tillsyn/A 60311-2025 tillsynsbegäran.docx", "A 60311-2025")</f>
        <v/>
      </c>
      <c r="Y80">
        <f>HYPERLINK("https://klasma.github.io/Logging_0580/tillsynsmail/A 60311-2025 tillsynsbegäran mail.docx", "A 60311-2025")</f>
        <v/>
      </c>
    </row>
    <row r="81" ht="15" customHeight="1">
      <c r="A81" t="inlineStr">
        <is>
          <t>A 3395-2023</t>
        </is>
      </c>
      <c r="B81" s="1" t="n">
        <v>44949</v>
      </c>
      <c r="C81" s="1" t="n">
        <v>46042</v>
      </c>
      <c r="D81" t="inlineStr">
        <is>
          <t>ÖSTERGÖTLANDS LÄN</t>
        </is>
      </c>
      <c r="E81" t="inlineStr">
        <is>
          <t>LINKÖPING</t>
        </is>
      </c>
      <c r="G81" t="n">
        <v>2</v>
      </c>
      <c r="H81" t="n">
        <v>0</v>
      </c>
      <c r="I81" t="n">
        <v>0</v>
      </c>
      <c r="J81" t="n">
        <v>1</v>
      </c>
      <c r="K81" t="n">
        <v>0</v>
      </c>
      <c r="L81" t="n">
        <v>0</v>
      </c>
      <c r="M81" t="n">
        <v>0</v>
      </c>
      <c r="N81" t="n">
        <v>0</v>
      </c>
      <c r="O81" t="n">
        <v>1</v>
      </c>
      <c r="P81" t="n">
        <v>0</v>
      </c>
      <c r="Q81" t="n">
        <v>1</v>
      </c>
      <c r="R81" s="2" t="inlineStr">
        <is>
          <t>Sommarfibbla</t>
        </is>
      </c>
      <c r="S81">
        <f>HYPERLINK("https://klasma.github.io/Logging_0580/artfynd/A 3395-2023 artfynd.xlsx", "A 3395-2023")</f>
        <v/>
      </c>
      <c r="T81">
        <f>HYPERLINK("https://klasma.github.io/Logging_0580/kartor/A 3395-2023 karta.png", "A 3395-2023")</f>
        <v/>
      </c>
      <c r="V81">
        <f>HYPERLINK("https://klasma.github.io/Logging_0580/klagomål/A 3395-2023 FSC-klagomål.docx", "A 3395-2023")</f>
        <v/>
      </c>
      <c r="W81">
        <f>HYPERLINK("https://klasma.github.io/Logging_0580/klagomålsmail/A 3395-2023 FSC-klagomål mail.docx", "A 3395-2023")</f>
        <v/>
      </c>
      <c r="X81">
        <f>HYPERLINK("https://klasma.github.io/Logging_0580/tillsyn/A 3395-2023 tillsynsbegäran.docx", "A 3395-2023")</f>
        <v/>
      </c>
      <c r="Y81">
        <f>HYPERLINK("https://klasma.github.io/Logging_0580/tillsynsmail/A 3395-2023 tillsynsbegäran mail.docx", "A 3395-2023")</f>
        <v/>
      </c>
    </row>
    <row r="82" ht="15" customHeight="1">
      <c r="A82" t="inlineStr">
        <is>
          <t>A 19103-2021</t>
        </is>
      </c>
      <c r="B82" s="1" t="n">
        <v>44308</v>
      </c>
      <c r="C82" s="1" t="n">
        <v>46042</v>
      </c>
      <c r="D82" t="inlineStr">
        <is>
          <t>ÖSTERGÖTLANDS LÄN</t>
        </is>
      </c>
      <c r="E82" t="inlineStr">
        <is>
          <t>LINKÖPING</t>
        </is>
      </c>
      <c r="G82" t="n">
        <v>4.7</v>
      </c>
      <c r="H82" t="n">
        <v>0</v>
      </c>
      <c r="I82" t="n">
        <v>0</v>
      </c>
      <c r="J82" t="n">
        <v>1</v>
      </c>
      <c r="K82" t="n">
        <v>0</v>
      </c>
      <c r="L82" t="n">
        <v>0</v>
      </c>
      <c r="M82" t="n">
        <v>0</v>
      </c>
      <c r="N82" t="n">
        <v>0</v>
      </c>
      <c r="O82" t="n">
        <v>1</v>
      </c>
      <c r="P82" t="n">
        <v>0</v>
      </c>
      <c r="Q82" t="n">
        <v>1</v>
      </c>
      <c r="R82" s="2" t="inlineStr">
        <is>
          <t>Tallticka</t>
        </is>
      </c>
      <c r="S82">
        <f>HYPERLINK("https://klasma.github.io/Logging_0580/artfynd/A 19103-2021 artfynd.xlsx", "A 19103-2021")</f>
        <v/>
      </c>
      <c r="T82">
        <f>HYPERLINK("https://klasma.github.io/Logging_0580/kartor/A 19103-2021 karta.png", "A 19103-2021")</f>
        <v/>
      </c>
      <c r="V82">
        <f>HYPERLINK("https://klasma.github.io/Logging_0580/klagomål/A 19103-2021 FSC-klagomål.docx", "A 19103-2021")</f>
        <v/>
      </c>
      <c r="W82">
        <f>HYPERLINK("https://klasma.github.io/Logging_0580/klagomålsmail/A 19103-2021 FSC-klagomål mail.docx", "A 19103-2021")</f>
        <v/>
      </c>
      <c r="X82">
        <f>HYPERLINK("https://klasma.github.io/Logging_0580/tillsyn/A 19103-2021 tillsynsbegäran.docx", "A 19103-2021")</f>
        <v/>
      </c>
      <c r="Y82">
        <f>HYPERLINK("https://klasma.github.io/Logging_0580/tillsynsmail/A 19103-2021 tillsynsbegäran mail.docx", "A 19103-2021")</f>
        <v/>
      </c>
    </row>
    <row r="83" ht="15" customHeight="1">
      <c r="A83" t="inlineStr">
        <is>
          <t>A 50806-2023</t>
        </is>
      </c>
      <c r="B83" s="1" t="n">
        <v>45217</v>
      </c>
      <c r="C83" s="1" t="n">
        <v>46042</v>
      </c>
      <c r="D83" t="inlineStr">
        <is>
          <t>ÖSTERGÖTLANDS LÄN</t>
        </is>
      </c>
      <c r="E83" t="inlineStr">
        <is>
          <t>LINKÖPING</t>
        </is>
      </c>
      <c r="F83" t="inlineStr">
        <is>
          <t>Övriga Aktiebolag</t>
        </is>
      </c>
      <c r="G83" t="n">
        <v>0.7</v>
      </c>
      <c r="H83" t="n">
        <v>1</v>
      </c>
      <c r="I83" t="n">
        <v>0</v>
      </c>
      <c r="J83" t="n">
        <v>0</v>
      </c>
      <c r="K83" t="n">
        <v>0</v>
      </c>
      <c r="L83" t="n">
        <v>0</v>
      </c>
      <c r="M83" t="n">
        <v>0</v>
      </c>
      <c r="N83" t="n">
        <v>0</v>
      </c>
      <c r="O83" t="n">
        <v>0</v>
      </c>
      <c r="P83" t="n">
        <v>0</v>
      </c>
      <c r="Q83" t="n">
        <v>1</v>
      </c>
      <c r="R83" s="2" t="inlineStr">
        <is>
          <t>Gullviva</t>
        </is>
      </c>
      <c r="S83">
        <f>HYPERLINK("https://klasma.github.io/Logging_0580/artfynd/A 50806-2023 artfynd.xlsx", "A 50806-2023")</f>
        <v/>
      </c>
      <c r="T83">
        <f>HYPERLINK("https://klasma.github.io/Logging_0580/kartor/A 50806-2023 karta.png", "A 50806-2023")</f>
        <v/>
      </c>
      <c r="V83">
        <f>HYPERLINK("https://klasma.github.io/Logging_0580/klagomål/A 50806-2023 FSC-klagomål.docx", "A 50806-2023")</f>
        <v/>
      </c>
      <c r="W83">
        <f>HYPERLINK("https://klasma.github.io/Logging_0580/klagomålsmail/A 50806-2023 FSC-klagomål mail.docx", "A 50806-2023")</f>
        <v/>
      </c>
      <c r="X83">
        <f>HYPERLINK("https://klasma.github.io/Logging_0580/tillsyn/A 50806-2023 tillsynsbegäran.docx", "A 50806-2023")</f>
        <v/>
      </c>
      <c r="Y83">
        <f>HYPERLINK("https://klasma.github.io/Logging_0580/tillsynsmail/A 50806-2023 tillsynsbegäran mail.docx", "A 50806-2023")</f>
        <v/>
      </c>
    </row>
    <row r="84" ht="15" customHeight="1">
      <c r="A84" t="inlineStr">
        <is>
          <t>A 39457-2023</t>
        </is>
      </c>
      <c r="B84" s="1" t="n">
        <v>45166</v>
      </c>
      <c r="C84" s="1" t="n">
        <v>46042</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35948-2023</t>
        </is>
      </c>
      <c r="B85" s="1" t="n">
        <v>45148</v>
      </c>
      <c r="C85" s="1" t="n">
        <v>46042</v>
      </c>
      <c r="D85" t="inlineStr">
        <is>
          <t>ÖSTERGÖTLANDS LÄN</t>
        </is>
      </c>
      <c r="E85" t="inlineStr">
        <is>
          <t>LINKÖPING</t>
        </is>
      </c>
      <c r="G85" t="n">
        <v>1.9</v>
      </c>
      <c r="H85" t="n">
        <v>0</v>
      </c>
      <c r="I85" t="n">
        <v>1</v>
      </c>
      <c r="J85" t="n">
        <v>0</v>
      </c>
      <c r="K85" t="n">
        <v>0</v>
      </c>
      <c r="L85" t="n">
        <v>0</v>
      </c>
      <c r="M85" t="n">
        <v>0</v>
      </c>
      <c r="N85" t="n">
        <v>0</v>
      </c>
      <c r="O85" t="n">
        <v>0</v>
      </c>
      <c r="P85" t="n">
        <v>0</v>
      </c>
      <c r="Q85" t="n">
        <v>1</v>
      </c>
      <c r="R85" s="2" t="inlineStr">
        <is>
          <t>Brun nållav</t>
        </is>
      </c>
      <c r="S85">
        <f>HYPERLINK("https://klasma.github.io/Logging_0580/artfynd/A 35948-2023 artfynd.xlsx", "A 35948-2023")</f>
        <v/>
      </c>
      <c r="T85">
        <f>HYPERLINK("https://klasma.github.io/Logging_0580/kartor/A 35948-2023 karta.png", "A 35948-2023")</f>
        <v/>
      </c>
      <c r="V85">
        <f>HYPERLINK("https://klasma.github.io/Logging_0580/klagomål/A 35948-2023 FSC-klagomål.docx", "A 35948-2023")</f>
        <v/>
      </c>
      <c r="W85">
        <f>HYPERLINK("https://klasma.github.io/Logging_0580/klagomålsmail/A 35948-2023 FSC-klagomål mail.docx", "A 35948-2023")</f>
        <v/>
      </c>
      <c r="X85">
        <f>HYPERLINK("https://klasma.github.io/Logging_0580/tillsyn/A 35948-2023 tillsynsbegäran.docx", "A 35948-2023")</f>
        <v/>
      </c>
      <c r="Y85">
        <f>HYPERLINK("https://klasma.github.io/Logging_0580/tillsynsmail/A 35948-2023 tillsynsbegäran mail.docx", "A 35948-2023")</f>
        <v/>
      </c>
    </row>
    <row r="86" ht="15" customHeight="1">
      <c r="A86" t="inlineStr">
        <is>
          <t>A 62071-2023</t>
        </is>
      </c>
      <c r="B86" s="1" t="n">
        <v>45266.73542824074</v>
      </c>
      <c r="C86" s="1" t="n">
        <v>46042</v>
      </c>
      <c r="D86" t="inlineStr">
        <is>
          <t>ÖSTERGÖTLANDS LÄN</t>
        </is>
      </c>
      <c r="E86" t="inlineStr">
        <is>
          <t>LINKÖPING</t>
        </is>
      </c>
      <c r="G86" t="n">
        <v>6.5</v>
      </c>
      <c r="H86" t="n">
        <v>0</v>
      </c>
      <c r="I86" t="n">
        <v>0</v>
      </c>
      <c r="J86" t="n">
        <v>1</v>
      </c>
      <c r="K86" t="n">
        <v>0</v>
      </c>
      <c r="L86" t="n">
        <v>0</v>
      </c>
      <c r="M86" t="n">
        <v>0</v>
      </c>
      <c r="N86" t="n">
        <v>0</v>
      </c>
      <c r="O86" t="n">
        <v>1</v>
      </c>
      <c r="P86" t="n">
        <v>0</v>
      </c>
      <c r="Q86" t="n">
        <v>1</v>
      </c>
      <c r="R86" s="2" t="inlineStr">
        <is>
          <t>Svinrot</t>
        </is>
      </c>
      <c r="S86">
        <f>HYPERLINK("https://klasma.github.io/Logging_0580/artfynd/A 62071-2023 artfynd.xlsx", "A 62071-2023")</f>
        <v/>
      </c>
      <c r="T86">
        <f>HYPERLINK("https://klasma.github.io/Logging_0580/kartor/A 62071-2023 karta.png", "A 62071-2023")</f>
        <v/>
      </c>
      <c r="V86">
        <f>HYPERLINK("https://klasma.github.io/Logging_0580/klagomål/A 62071-2023 FSC-klagomål.docx", "A 62071-2023")</f>
        <v/>
      </c>
      <c r="W86">
        <f>HYPERLINK("https://klasma.github.io/Logging_0580/klagomålsmail/A 62071-2023 FSC-klagomål mail.docx", "A 62071-2023")</f>
        <v/>
      </c>
      <c r="X86">
        <f>HYPERLINK("https://klasma.github.io/Logging_0580/tillsyn/A 62071-2023 tillsynsbegäran.docx", "A 62071-2023")</f>
        <v/>
      </c>
      <c r="Y86">
        <f>HYPERLINK("https://klasma.github.io/Logging_0580/tillsynsmail/A 62071-2023 tillsynsbegäran mail.docx", "A 62071-2023")</f>
        <v/>
      </c>
    </row>
    <row r="87" ht="15" customHeight="1">
      <c r="A87" t="inlineStr">
        <is>
          <t>A 3397-2023</t>
        </is>
      </c>
      <c r="B87" s="1" t="n">
        <v>44949</v>
      </c>
      <c r="C87" s="1" t="n">
        <v>46042</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20295-2025</t>
        </is>
      </c>
      <c r="B88" s="1" t="n">
        <v>45774.74846064814</v>
      </c>
      <c r="C88" s="1" t="n">
        <v>46042</v>
      </c>
      <c r="D88" t="inlineStr">
        <is>
          <t>ÖSTERGÖTLANDS LÄN</t>
        </is>
      </c>
      <c r="E88" t="inlineStr">
        <is>
          <t>LINKÖPING</t>
        </is>
      </c>
      <c r="G88" t="n">
        <v>3</v>
      </c>
      <c r="H88" t="n">
        <v>0</v>
      </c>
      <c r="I88" t="n">
        <v>0</v>
      </c>
      <c r="J88" t="n">
        <v>1</v>
      </c>
      <c r="K88" t="n">
        <v>0</v>
      </c>
      <c r="L88" t="n">
        <v>0</v>
      </c>
      <c r="M88" t="n">
        <v>0</v>
      </c>
      <c r="N88" t="n">
        <v>0</v>
      </c>
      <c r="O88" t="n">
        <v>1</v>
      </c>
      <c r="P88" t="n">
        <v>0</v>
      </c>
      <c r="Q88" t="n">
        <v>1</v>
      </c>
      <c r="R88" s="2" t="inlineStr">
        <is>
          <t>Tallticka</t>
        </is>
      </c>
      <c r="S88">
        <f>HYPERLINK("https://klasma.github.io/Logging_0580/artfynd/A 20295-2025 artfynd.xlsx", "A 20295-2025")</f>
        <v/>
      </c>
      <c r="T88">
        <f>HYPERLINK("https://klasma.github.io/Logging_0580/kartor/A 20295-2025 karta.png", "A 20295-2025")</f>
        <v/>
      </c>
      <c r="V88">
        <f>HYPERLINK("https://klasma.github.io/Logging_0580/klagomål/A 20295-2025 FSC-klagomål.docx", "A 20295-2025")</f>
        <v/>
      </c>
      <c r="W88">
        <f>HYPERLINK("https://klasma.github.io/Logging_0580/klagomålsmail/A 20295-2025 FSC-klagomål mail.docx", "A 20295-2025")</f>
        <v/>
      </c>
      <c r="X88">
        <f>HYPERLINK("https://klasma.github.io/Logging_0580/tillsyn/A 20295-2025 tillsynsbegäran.docx", "A 20295-2025")</f>
        <v/>
      </c>
      <c r="Y88">
        <f>HYPERLINK("https://klasma.github.io/Logging_0580/tillsynsmail/A 20295-2025 tillsynsbegäran mail.docx", "A 20295-2025")</f>
        <v/>
      </c>
    </row>
    <row r="89" ht="15" customHeight="1">
      <c r="A89" t="inlineStr">
        <is>
          <t>A 60573-2021</t>
        </is>
      </c>
      <c r="B89" s="1" t="n">
        <v>44496</v>
      </c>
      <c r="C89" s="1" t="n">
        <v>46042</v>
      </c>
      <c r="D89" t="inlineStr">
        <is>
          <t>ÖSTERGÖTLANDS LÄN</t>
        </is>
      </c>
      <c r="E89" t="inlineStr">
        <is>
          <t>LINKÖPING</t>
        </is>
      </c>
      <c r="F89" t="inlineStr">
        <is>
          <t>Övriga Aktiebolag</t>
        </is>
      </c>
      <c r="G89" t="n">
        <v>5.6</v>
      </c>
      <c r="H89" t="n">
        <v>0</v>
      </c>
      <c r="I89" t="n">
        <v>0</v>
      </c>
      <c r="J89" t="n">
        <v>1</v>
      </c>
      <c r="K89" t="n">
        <v>0</v>
      </c>
      <c r="L89" t="n">
        <v>0</v>
      </c>
      <c r="M89" t="n">
        <v>0</v>
      </c>
      <c r="N89" t="n">
        <v>0</v>
      </c>
      <c r="O89" t="n">
        <v>1</v>
      </c>
      <c r="P89" t="n">
        <v>0</v>
      </c>
      <c r="Q89" t="n">
        <v>1</v>
      </c>
      <c r="R89" s="2" t="inlineStr">
        <is>
          <t>Sommarfibbla</t>
        </is>
      </c>
      <c r="S89">
        <f>HYPERLINK("https://klasma.github.io/Logging_0580/artfynd/A 60573-2021 artfynd.xlsx", "A 60573-2021")</f>
        <v/>
      </c>
      <c r="T89">
        <f>HYPERLINK("https://klasma.github.io/Logging_0580/kartor/A 60573-2021 karta.png", "A 60573-2021")</f>
        <v/>
      </c>
      <c r="V89">
        <f>HYPERLINK("https://klasma.github.io/Logging_0580/klagomål/A 60573-2021 FSC-klagomål.docx", "A 60573-2021")</f>
        <v/>
      </c>
      <c r="W89">
        <f>HYPERLINK("https://klasma.github.io/Logging_0580/klagomålsmail/A 60573-2021 FSC-klagomål mail.docx", "A 60573-2021")</f>
        <v/>
      </c>
      <c r="X89">
        <f>HYPERLINK("https://klasma.github.io/Logging_0580/tillsyn/A 60573-2021 tillsynsbegäran.docx", "A 60573-2021")</f>
        <v/>
      </c>
      <c r="Y89">
        <f>HYPERLINK("https://klasma.github.io/Logging_0580/tillsynsmail/A 60573-2021 tillsynsbegäran mail.docx", "A 60573-2021")</f>
        <v/>
      </c>
    </row>
    <row r="90" ht="15" customHeight="1">
      <c r="A90" t="inlineStr">
        <is>
          <t>A 41749-2023</t>
        </is>
      </c>
      <c r="B90" s="1" t="n">
        <v>45176</v>
      </c>
      <c r="C90" s="1" t="n">
        <v>46042</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38881-2021</t>
        </is>
      </c>
      <c r="B91" s="1" t="n">
        <v>44411.46893518518</v>
      </c>
      <c r="C91" s="1" t="n">
        <v>46042</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46042</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46042</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46042</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46042</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46042</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46042</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46042</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46042</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46042</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40635-2021</t>
        </is>
      </c>
      <c r="B101" s="1" t="n">
        <v>44420</v>
      </c>
      <c r="C101" s="1" t="n">
        <v>46042</v>
      </c>
      <c r="D101" t="inlineStr">
        <is>
          <t>ÖSTERGÖTLANDS LÄN</t>
        </is>
      </c>
      <c r="E101" t="inlineStr">
        <is>
          <t>LINKÖPING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46042</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46042</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46042</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46042</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46042</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46042</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16715-2021</t>
        </is>
      </c>
      <c r="B108" s="1" t="n">
        <v>44294</v>
      </c>
      <c r="C108" s="1" t="n">
        <v>46042</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47462-2022</t>
        </is>
      </c>
      <c r="B109" s="1" t="n">
        <v>44853.62758101852</v>
      </c>
      <c r="C109" s="1" t="n">
        <v>46042</v>
      </c>
      <c r="D109" t="inlineStr">
        <is>
          <t>ÖSTERGÖTLANDS LÄN</t>
        </is>
      </c>
      <c r="E109" t="inlineStr">
        <is>
          <t>LINKÖPING</t>
        </is>
      </c>
      <c r="G109" t="n">
        <v>1.6</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46042</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46042</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46042</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46042</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46042</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46042</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46042</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46042</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46042</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46042</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46042</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46042</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46042</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46042</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46042</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46042</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46042</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46042</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46042</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46042</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46042</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46042</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46042</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46042</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46042</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46042</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46042</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46042</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46042</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46042</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46042</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46042</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46042</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46042</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46042</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46042</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46042</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46042</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46042</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46042</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46042</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46042</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46042</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46042</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9935-2021</t>
        </is>
      </c>
      <c r="B154" s="1" t="n">
        <v>44253</v>
      </c>
      <c r="C154" s="1" t="n">
        <v>46042</v>
      </c>
      <c r="D154" t="inlineStr">
        <is>
          <t>ÖSTERGÖTLANDS LÄN</t>
        </is>
      </c>
      <c r="E154" t="inlineStr">
        <is>
          <t>LINKÖPING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46042</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46042</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46042</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46042</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46042</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46042</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46042</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46042</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46042</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46042</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46042</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46042</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46042</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37934-2022</t>
        </is>
      </c>
      <c r="B168" s="1" t="n">
        <v>44809</v>
      </c>
      <c r="C168" s="1" t="n">
        <v>46042</v>
      </c>
      <c r="D168" t="inlineStr">
        <is>
          <t>ÖSTERGÖTLANDS LÄN</t>
        </is>
      </c>
      <c r="E168" t="inlineStr">
        <is>
          <t>LINKÖPING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70835-2021</t>
        </is>
      </c>
      <c r="B169" s="1" t="n">
        <v>44537</v>
      </c>
      <c r="C169" s="1" t="n">
        <v>46042</v>
      </c>
      <c r="D169" t="inlineStr">
        <is>
          <t>ÖSTERGÖTLANDS LÄN</t>
        </is>
      </c>
      <c r="E169" t="inlineStr">
        <is>
          <t>LINKÖPING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46042</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46042</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46042</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46042</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46042</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46042</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46042</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46042</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46042</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46042</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46042</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56688-2021</t>
        </is>
      </c>
      <c r="B181" s="1" t="n">
        <v>44481</v>
      </c>
      <c r="C181" s="1" t="n">
        <v>46042</v>
      </c>
      <c r="D181" t="inlineStr">
        <is>
          <t>ÖSTERGÖTLANDS LÄN</t>
        </is>
      </c>
      <c r="E181" t="inlineStr">
        <is>
          <t>LINKÖPING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5605-2022</t>
        </is>
      </c>
      <c r="B182" s="1" t="n">
        <v>44595</v>
      </c>
      <c r="C182" s="1" t="n">
        <v>46042</v>
      </c>
      <c r="D182" t="inlineStr">
        <is>
          <t>ÖSTERGÖTLANDS LÄN</t>
        </is>
      </c>
      <c r="E182" t="inlineStr">
        <is>
          <t>LINKÖPING</t>
        </is>
      </c>
      <c r="F182" t="inlineStr">
        <is>
          <t>Övriga statliga verk och myndigheter</t>
        </is>
      </c>
      <c r="G182" t="n">
        <v>3</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46042</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46042</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46042</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46042</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46042</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61153-2021</t>
        </is>
      </c>
      <c r="B188" s="1" t="n">
        <v>44497</v>
      </c>
      <c r="C188" s="1" t="n">
        <v>46042</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33885-2021</t>
        </is>
      </c>
      <c r="B189" s="1" t="n">
        <v>44378</v>
      </c>
      <c r="C189" s="1" t="n">
        <v>46042</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12413-2022</t>
        </is>
      </c>
      <c r="B190" s="1" t="n">
        <v>44638</v>
      </c>
      <c r="C190" s="1" t="n">
        <v>46042</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46490-2022</t>
        </is>
      </c>
      <c r="B191" s="1" t="n">
        <v>44848</v>
      </c>
      <c r="C191" s="1" t="n">
        <v>46042</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46042</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46042</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46042</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46042</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46042</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61298-2021</t>
        </is>
      </c>
      <c r="B197" s="1" t="n">
        <v>44498.62533564815</v>
      </c>
      <c r="C197" s="1" t="n">
        <v>46042</v>
      </c>
      <c r="D197" t="inlineStr">
        <is>
          <t>ÖSTERGÖTLANDS LÄN</t>
        </is>
      </c>
      <c r="E197" t="inlineStr">
        <is>
          <t>LINKÖPING</t>
        </is>
      </c>
      <c r="G197" t="n">
        <v>4.3</v>
      </c>
      <c r="H197" t="n">
        <v>0</v>
      </c>
      <c r="I197" t="n">
        <v>0</v>
      </c>
      <c r="J197" t="n">
        <v>0</v>
      </c>
      <c r="K197" t="n">
        <v>0</v>
      </c>
      <c r="L197" t="n">
        <v>0</v>
      </c>
      <c r="M197" t="n">
        <v>0</v>
      </c>
      <c r="N197" t="n">
        <v>0</v>
      </c>
      <c r="O197" t="n">
        <v>0</v>
      </c>
      <c r="P197" t="n">
        <v>0</v>
      </c>
      <c r="Q197" t="n">
        <v>0</v>
      </c>
      <c r="R197" s="2" t="inlineStr"/>
    </row>
    <row r="198" ht="15" customHeight="1">
      <c r="A198" t="inlineStr">
        <is>
          <t>A 61333-2021</t>
        </is>
      </c>
      <c r="B198" s="1" t="n">
        <v>44498.6764699074</v>
      </c>
      <c r="C198" s="1" t="n">
        <v>46042</v>
      </c>
      <c r="D198" t="inlineStr">
        <is>
          <t>ÖSTERGÖTLANDS LÄN</t>
        </is>
      </c>
      <c r="E198" t="inlineStr">
        <is>
          <t>LINKÖPING</t>
        </is>
      </c>
      <c r="G198" t="n">
        <v>7.5</v>
      </c>
      <c r="H198" t="n">
        <v>0</v>
      </c>
      <c r="I198" t="n">
        <v>0</v>
      </c>
      <c r="J198" t="n">
        <v>0</v>
      </c>
      <c r="K198" t="n">
        <v>0</v>
      </c>
      <c r="L198" t="n">
        <v>0</v>
      </c>
      <c r="M198" t="n">
        <v>0</v>
      </c>
      <c r="N198" t="n">
        <v>0</v>
      </c>
      <c r="O198" t="n">
        <v>0</v>
      </c>
      <c r="P198" t="n">
        <v>0</v>
      </c>
      <c r="Q198" t="n">
        <v>0</v>
      </c>
      <c r="R198" s="2" t="inlineStr"/>
    </row>
    <row r="199" ht="15" customHeight="1">
      <c r="A199" t="inlineStr">
        <is>
          <t>A 12412-2022</t>
        </is>
      </c>
      <c r="B199" s="1" t="n">
        <v>44638</v>
      </c>
      <c r="C199" s="1" t="n">
        <v>46042</v>
      </c>
      <c r="D199" t="inlineStr">
        <is>
          <t>ÖSTERGÖTLANDS LÄN</t>
        </is>
      </c>
      <c r="E199" t="inlineStr">
        <is>
          <t>LINKÖPING</t>
        </is>
      </c>
      <c r="G199" t="n">
        <v>1.7</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46042</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46042</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46042</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46042</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34558-2022</t>
        </is>
      </c>
      <c r="B204" s="1" t="n">
        <v>44794.57594907407</v>
      </c>
      <c r="C204" s="1" t="n">
        <v>46042</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63489-2023</t>
        </is>
      </c>
      <c r="B205" s="1" t="n">
        <v>45274.66761574074</v>
      </c>
      <c r="C205" s="1" t="n">
        <v>46042</v>
      </c>
      <c r="D205" t="inlineStr">
        <is>
          <t>ÖSTERGÖTLANDS LÄN</t>
        </is>
      </c>
      <c r="E205" t="inlineStr">
        <is>
          <t>LINKÖPING</t>
        </is>
      </c>
      <c r="G205" t="n">
        <v>2.3</v>
      </c>
      <c r="H205" t="n">
        <v>0</v>
      </c>
      <c r="I205" t="n">
        <v>0</v>
      </c>
      <c r="J205" t="n">
        <v>0</v>
      </c>
      <c r="K205" t="n">
        <v>0</v>
      </c>
      <c r="L205" t="n">
        <v>0</v>
      </c>
      <c r="M205" t="n">
        <v>0</v>
      </c>
      <c r="N205" t="n">
        <v>0</v>
      </c>
      <c r="O205" t="n">
        <v>0</v>
      </c>
      <c r="P205" t="n">
        <v>0</v>
      </c>
      <c r="Q205" t="n">
        <v>0</v>
      </c>
      <c r="R205" s="2" t="inlineStr"/>
    </row>
    <row r="206" ht="15" customHeight="1">
      <c r="A206" t="inlineStr">
        <is>
          <t>A 22772-2024</t>
        </is>
      </c>
      <c r="B206" s="1" t="n">
        <v>45448.46712962963</v>
      </c>
      <c r="C206" s="1" t="n">
        <v>46042</v>
      </c>
      <c r="D206" t="inlineStr">
        <is>
          <t>ÖSTERGÖTLANDS LÄN</t>
        </is>
      </c>
      <c r="E206" t="inlineStr">
        <is>
          <t>LINKÖPING</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28266-2024</t>
        </is>
      </c>
      <c r="B207" s="1" t="n">
        <v>45477.43600694444</v>
      </c>
      <c r="C207" s="1" t="n">
        <v>46042</v>
      </c>
      <c r="D207" t="inlineStr">
        <is>
          <t>ÖSTERGÖTLANDS LÄN</t>
        </is>
      </c>
      <c r="E207" t="inlineStr">
        <is>
          <t>LINKÖPING</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54845-2023</t>
        </is>
      </c>
      <c r="B208" s="1" t="n">
        <v>45236</v>
      </c>
      <c r="C208" s="1" t="n">
        <v>46042</v>
      </c>
      <c r="D208" t="inlineStr">
        <is>
          <t>ÖSTERGÖTLANDS LÄN</t>
        </is>
      </c>
      <c r="E208" t="inlineStr">
        <is>
          <t>LINKÖPING</t>
        </is>
      </c>
      <c r="F208" t="inlineStr">
        <is>
          <t>Övriga Aktiebolag</t>
        </is>
      </c>
      <c r="G208" t="n">
        <v>5.7</v>
      </c>
      <c r="H208" t="n">
        <v>0</v>
      </c>
      <c r="I208" t="n">
        <v>0</v>
      </c>
      <c r="J208" t="n">
        <v>0</v>
      </c>
      <c r="K208" t="n">
        <v>0</v>
      </c>
      <c r="L208" t="n">
        <v>0</v>
      </c>
      <c r="M208" t="n">
        <v>0</v>
      </c>
      <c r="N208" t="n">
        <v>0</v>
      </c>
      <c r="O208" t="n">
        <v>0</v>
      </c>
      <c r="P208" t="n">
        <v>0</v>
      </c>
      <c r="Q208" t="n">
        <v>0</v>
      </c>
      <c r="R208" s="2" t="inlineStr"/>
    </row>
    <row r="209" ht="15" customHeight="1">
      <c r="A209" t="inlineStr">
        <is>
          <t>A 20455-2024</t>
        </is>
      </c>
      <c r="B209" s="1" t="n">
        <v>45435.65314814815</v>
      </c>
      <c r="C209" s="1" t="n">
        <v>46042</v>
      </c>
      <c r="D209" t="inlineStr">
        <is>
          <t>ÖSTERGÖTLANDS LÄN</t>
        </is>
      </c>
      <c r="E209" t="inlineStr">
        <is>
          <t>LINKÖPING</t>
        </is>
      </c>
      <c r="G209" t="n">
        <v>2.6</v>
      </c>
      <c r="H209" t="n">
        <v>0</v>
      </c>
      <c r="I209" t="n">
        <v>0</v>
      </c>
      <c r="J209" t="n">
        <v>0</v>
      </c>
      <c r="K209" t="n">
        <v>0</v>
      </c>
      <c r="L209" t="n">
        <v>0</v>
      </c>
      <c r="M209" t="n">
        <v>0</v>
      </c>
      <c r="N209" t="n">
        <v>0</v>
      </c>
      <c r="O209" t="n">
        <v>0</v>
      </c>
      <c r="P209" t="n">
        <v>0</v>
      </c>
      <c r="Q209" t="n">
        <v>0</v>
      </c>
      <c r="R209" s="2" t="inlineStr"/>
    </row>
    <row r="210" ht="15" customHeight="1">
      <c r="A210" t="inlineStr">
        <is>
          <t>A 62488-2023</t>
        </is>
      </c>
      <c r="B210" s="1" t="n">
        <v>45268.5847337963</v>
      </c>
      <c r="C210" s="1" t="n">
        <v>46042</v>
      </c>
      <c r="D210" t="inlineStr">
        <is>
          <t>ÖSTERGÖTLANDS LÄN</t>
        </is>
      </c>
      <c r="E210" t="inlineStr">
        <is>
          <t>LINKÖPING</t>
        </is>
      </c>
      <c r="G210" t="n">
        <v>4.1</v>
      </c>
      <c r="H210" t="n">
        <v>0</v>
      </c>
      <c r="I210" t="n">
        <v>0</v>
      </c>
      <c r="J210" t="n">
        <v>0</v>
      </c>
      <c r="K210" t="n">
        <v>0</v>
      </c>
      <c r="L210" t="n">
        <v>0</v>
      </c>
      <c r="M210" t="n">
        <v>0</v>
      </c>
      <c r="N210" t="n">
        <v>0</v>
      </c>
      <c r="O210" t="n">
        <v>0</v>
      </c>
      <c r="P210" t="n">
        <v>0</v>
      </c>
      <c r="Q210" t="n">
        <v>0</v>
      </c>
      <c r="R210" s="2" t="inlineStr"/>
    </row>
    <row r="211" ht="15" customHeight="1">
      <c r="A211" t="inlineStr">
        <is>
          <t>A 24351-2024</t>
        </is>
      </c>
      <c r="B211" s="1" t="n">
        <v>45457.59011574074</v>
      </c>
      <c r="C211" s="1" t="n">
        <v>46042</v>
      </c>
      <c r="D211" t="inlineStr">
        <is>
          <t>ÖSTERGÖTLANDS LÄN</t>
        </is>
      </c>
      <c r="E211" t="inlineStr">
        <is>
          <t>LINKÖPING</t>
        </is>
      </c>
      <c r="G211" t="n">
        <v>11.9</v>
      </c>
      <c r="H211" t="n">
        <v>0</v>
      </c>
      <c r="I211" t="n">
        <v>0</v>
      </c>
      <c r="J211" t="n">
        <v>0</v>
      </c>
      <c r="K211" t="n">
        <v>0</v>
      </c>
      <c r="L211" t="n">
        <v>0</v>
      </c>
      <c r="M211" t="n">
        <v>0</v>
      </c>
      <c r="N211" t="n">
        <v>0</v>
      </c>
      <c r="O211" t="n">
        <v>0</v>
      </c>
      <c r="P211" t="n">
        <v>0</v>
      </c>
      <c r="Q211" t="n">
        <v>0</v>
      </c>
      <c r="R211" s="2" t="inlineStr"/>
    </row>
    <row r="212" ht="15" customHeight="1">
      <c r="A212" t="inlineStr">
        <is>
          <t>A 224-2024</t>
        </is>
      </c>
      <c r="B212" s="1" t="n">
        <v>45294</v>
      </c>
      <c r="C212" s="1" t="n">
        <v>46042</v>
      </c>
      <c r="D212" t="inlineStr">
        <is>
          <t>ÖSTERGÖTLANDS LÄN</t>
        </is>
      </c>
      <c r="E212" t="inlineStr">
        <is>
          <t>LINKÖPING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25418-2023</t>
        </is>
      </c>
      <c r="B213" s="1" t="n">
        <v>45089</v>
      </c>
      <c r="C213" s="1" t="n">
        <v>46042</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52796-2023</t>
        </is>
      </c>
      <c r="B214" s="1" t="n">
        <v>45219</v>
      </c>
      <c r="C214" s="1" t="n">
        <v>46042</v>
      </c>
      <c r="D214" t="inlineStr">
        <is>
          <t>ÖSTERGÖTLANDS LÄN</t>
        </is>
      </c>
      <c r="E214" t="inlineStr">
        <is>
          <t>LINKÖPING</t>
        </is>
      </c>
      <c r="F214" t="inlineStr">
        <is>
          <t>Övriga statliga verk och myndigheter</t>
        </is>
      </c>
      <c r="G214" t="n">
        <v>3.9</v>
      </c>
      <c r="H214" t="n">
        <v>0</v>
      </c>
      <c r="I214" t="n">
        <v>0</v>
      </c>
      <c r="J214" t="n">
        <v>0</v>
      </c>
      <c r="K214" t="n">
        <v>0</v>
      </c>
      <c r="L214" t="n">
        <v>0</v>
      </c>
      <c r="M214" t="n">
        <v>0</v>
      </c>
      <c r="N214" t="n">
        <v>0</v>
      </c>
      <c r="O214" t="n">
        <v>0</v>
      </c>
      <c r="P214" t="n">
        <v>0</v>
      </c>
      <c r="Q214" t="n">
        <v>0</v>
      </c>
      <c r="R214" s="2" t="inlineStr"/>
    </row>
    <row r="215" ht="15" customHeight="1">
      <c r="A215" t="inlineStr">
        <is>
          <t>A 34877-2023</t>
        </is>
      </c>
      <c r="B215" s="1" t="n">
        <v>45140</v>
      </c>
      <c r="C215" s="1" t="n">
        <v>46042</v>
      </c>
      <c r="D215" t="inlineStr">
        <is>
          <t>ÖSTERGÖTLANDS LÄN</t>
        </is>
      </c>
      <c r="E215" t="inlineStr">
        <is>
          <t>LINKÖPING</t>
        </is>
      </c>
      <c r="G215" t="n">
        <v>1.9</v>
      </c>
      <c r="H215" t="n">
        <v>0</v>
      </c>
      <c r="I215" t="n">
        <v>0</v>
      </c>
      <c r="J215" t="n">
        <v>0</v>
      </c>
      <c r="K215" t="n">
        <v>0</v>
      </c>
      <c r="L215" t="n">
        <v>0</v>
      </c>
      <c r="M215" t="n">
        <v>0</v>
      </c>
      <c r="N215" t="n">
        <v>0</v>
      </c>
      <c r="O215" t="n">
        <v>0</v>
      </c>
      <c r="P215" t="n">
        <v>0</v>
      </c>
      <c r="Q215" t="n">
        <v>0</v>
      </c>
      <c r="R215" s="2" t="inlineStr"/>
    </row>
    <row r="216" ht="15" customHeight="1">
      <c r="A216" t="inlineStr">
        <is>
          <t>A 3008-2023</t>
        </is>
      </c>
      <c r="B216" s="1" t="n">
        <v>44945.79784722222</v>
      </c>
      <c r="C216" s="1" t="n">
        <v>46042</v>
      </c>
      <c r="D216" t="inlineStr">
        <is>
          <t>ÖSTERGÖTLANDS LÄN</t>
        </is>
      </c>
      <c r="E216" t="inlineStr">
        <is>
          <t>LINKÖPING</t>
        </is>
      </c>
      <c r="G216" t="n">
        <v>19.3</v>
      </c>
      <c r="H216" t="n">
        <v>0</v>
      </c>
      <c r="I216" t="n">
        <v>0</v>
      </c>
      <c r="J216" t="n">
        <v>0</v>
      </c>
      <c r="K216" t="n">
        <v>0</v>
      </c>
      <c r="L216" t="n">
        <v>0</v>
      </c>
      <c r="M216" t="n">
        <v>0</v>
      </c>
      <c r="N216" t="n">
        <v>0</v>
      </c>
      <c r="O216" t="n">
        <v>0</v>
      </c>
      <c r="P216" t="n">
        <v>0</v>
      </c>
      <c r="Q216" t="n">
        <v>0</v>
      </c>
      <c r="R216" s="2" t="inlineStr"/>
    </row>
    <row r="217" ht="15" customHeight="1">
      <c r="A217" t="inlineStr">
        <is>
          <t>A 30855-2022</t>
        </is>
      </c>
      <c r="B217" s="1" t="n">
        <v>44767</v>
      </c>
      <c r="C217" s="1" t="n">
        <v>46042</v>
      </c>
      <c r="D217" t="inlineStr">
        <is>
          <t>ÖSTERGÖTLANDS LÄN</t>
        </is>
      </c>
      <c r="E217" t="inlineStr">
        <is>
          <t>LINKÖPING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12035-2025</t>
        </is>
      </c>
      <c r="B218" s="1" t="n">
        <v>45728.64946759259</v>
      </c>
      <c r="C218" s="1" t="n">
        <v>46042</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57745-2022</t>
        </is>
      </c>
      <c r="B219" s="1" t="n">
        <v>44897.58119212963</v>
      </c>
      <c r="C219" s="1" t="n">
        <v>46042</v>
      </c>
      <c r="D219" t="inlineStr">
        <is>
          <t>ÖSTERGÖTLANDS LÄN</t>
        </is>
      </c>
      <c r="E219" t="inlineStr">
        <is>
          <t>LINKÖPING</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34889-2023</t>
        </is>
      </c>
      <c r="B220" s="1" t="n">
        <v>45140</v>
      </c>
      <c r="C220" s="1" t="n">
        <v>46042</v>
      </c>
      <c r="D220" t="inlineStr">
        <is>
          <t>ÖSTERGÖTLANDS LÄN</t>
        </is>
      </c>
      <c r="E220" t="inlineStr">
        <is>
          <t>LINKÖPING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1993-2023</t>
        </is>
      </c>
      <c r="B221" s="1" t="n">
        <v>44939</v>
      </c>
      <c r="C221" s="1" t="n">
        <v>46042</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52220-2023</t>
        </is>
      </c>
      <c r="B222" s="1" t="n">
        <v>45217</v>
      </c>
      <c r="C222" s="1" t="n">
        <v>46042</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52225-2023</t>
        </is>
      </c>
      <c r="B223" s="1" t="n">
        <v>45217</v>
      </c>
      <c r="C223" s="1" t="n">
        <v>46042</v>
      </c>
      <c r="D223" t="inlineStr">
        <is>
          <t>ÖSTERGÖTLANDS LÄN</t>
        </is>
      </c>
      <c r="E223" t="inlineStr">
        <is>
          <t>LINKÖPING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22771-2024</t>
        </is>
      </c>
      <c r="B224" s="1" t="n">
        <v>45448.46574074074</v>
      </c>
      <c r="C224" s="1" t="n">
        <v>46042</v>
      </c>
      <c r="D224" t="inlineStr">
        <is>
          <t>ÖSTERGÖTLANDS LÄN</t>
        </is>
      </c>
      <c r="E224" t="inlineStr">
        <is>
          <t>LINKÖPING</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42832-2023</t>
        </is>
      </c>
      <c r="B225" s="1" t="n">
        <v>45182.38091435185</v>
      </c>
      <c r="C225" s="1" t="n">
        <v>46042</v>
      </c>
      <c r="D225" t="inlineStr">
        <is>
          <t>ÖSTERGÖTLANDS LÄN</t>
        </is>
      </c>
      <c r="E225" t="inlineStr">
        <is>
          <t>LINKÖPING</t>
        </is>
      </c>
      <c r="G225" t="n">
        <v>2.5</v>
      </c>
      <c r="H225" t="n">
        <v>0</v>
      </c>
      <c r="I225" t="n">
        <v>0</v>
      </c>
      <c r="J225" t="n">
        <v>0</v>
      </c>
      <c r="K225" t="n">
        <v>0</v>
      </c>
      <c r="L225" t="n">
        <v>0</v>
      </c>
      <c r="M225" t="n">
        <v>0</v>
      </c>
      <c r="N225" t="n">
        <v>0</v>
      </c>
      <c r="O225" t="n">
        <v>0</v>
      </c>
      <c r="P225" t="n">
        <v>0</v>
      </c>
      <c r="Q225" t="n">
        <v>0</v>
      </c>
      <c r="R225" s="2" t="inlineStr"/>
    </row>
    <row r="226" ht="15" customHeight="1">
      <c r="A226" t="inlineStr">
        <is>
          <t>A 56560-2023</t>
        </is>
      </c>
      <c r="B226" s="1" t="n">
        <v>45238</v>
      </c>
      <c r="C226" s="1" t="n">
        <v>46042</v>
      </c>
      <c r="D226" t="inlineStr">
        <is>
          <t>ÖSTERGÖTLANDS LÄN</t>
        </is>
      </c>
      <c r="E226" t="inlineStr">
        <is>
          <t>LINKÖPING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52412-2023</t>
        </is>
      </c>
      <c r="B227" s="1" t="n">
        <v>45225.27888888889</v>
      </c>
      <c r="C227" s="1" t="n">
        <v>46042</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52413-2023</t>
        </is>
      </c>
      <c r="B228" s="1" t="n">
        <v>45225.27950231481</v>
      </c>
      <c r="C228" s="1" t="n">
        <v>46042</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30856-2022</t>
        </is>
      </c>
      <c r="B229" s="1" t="n">
        <v>44767</v>
      </c>
      <c r="C229" s="1" t="n">
        <v>46042</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7354-2025</t>
        </is>
      </c>
      <c r="B230" s="1" t="n">
        <v>45704.41174768518</v>
      </c>
      <c r="C230" s="1" t="n">
        <v>46042</v>
      </c>
      <c r="D230" t="inlineStr">
        <is>
          <t>ÖSTERGÖTLANDS LÄN</t>
        </is>
      </c>
      <c r="E230" t="inlineStr">
        <is>
          <t>LINKÖPING</t>
        </is>
      </c>
      <c r="G230" t="n">
        <v>4.8</v>
      </c>
      <c r="H230" t="n">
        <v>0</v>
      </c>
      <c r="I230" t="n">
        <v>0</v>
      </c>
      <c r="J230" t="n">
        <v>0</v>
      </c>
      <c r="K230" t="n">
        <v>0</v>
      </c>
      <c r="L230" t="n">
        <v>0</v>
      </c>
      <c r="M230" t="n">
        <v>0</v>
      </c>
      <c r="N230" t="n">
        <v>0</v>
      </c>
      <c r="O230" t="n">
        <v>0</v>
      </c>
      <c r="P230" t="n">
        <v>0</v>
      </c>
      <c r="Q230" t="n">
        <v>0</v>
      </c>
      <c r="R230" s="2" t="inlineStr"/>
    </row>
    <row r="231" ht="15" customHeight="1">
      <c r="A231" t="inlineStr">
        <is>
          <t>A 34928-2023</t>
        </is>
      </c>
      <c r="B231" s="1" t="n">
        <v>45142</v>
      </c>
      <c r="C231" s="1" t="n">
        <v>46042</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1263-2024</t>
        </is>
      </c>
      <c r="B232" s="1" t="n">
        <v>45302</v>
      </c>
      <c r="C232" s="1" t="n">
        <v>46042</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55945-2024</t>
        </is>
      </c>
      <c r="B233" s="1" t="n">
        <v>45623.61754629629</v>
      </c>
      <c r="C233" s="1" t="n">
        <v>46042</v>
      </c>
      <c r="D233" t="inlineStr">
        <is>
          <t>ÖSTERGÖTLANDS LÄN</t>
        </is>
      </c>
      <c r="E233" t="inlineStr">
        <is>
          <t>LINKÖPING</t>
        </is>
      </c>
      <c r="G233" t="n">
        <v>0.6</v>
      </c>
      <c r="H233" t="n">
        <v>0</v>
      </c>
      <c r="I233" t="n">
        <v>0</v>
      </c>
      <c r="J233" t="n">
        <v>0</v>
      </c>
      <c r="K233" t="n">
        <v>0</v>
      </c>
      <c r="L233" t="n">
        <v>0</v>
      </c>
      <c r="M233" t="n">
        <v>0</v>
      </c>
      <c r="N233" t="n">
        <v>0</v>
      </c>
      <c r="O233" t="n">
        <v>0</v>
      </c>
      <c r="P233" t="n">
        <v>0</v>
      </c>
      <c r="Q233" t="n">
        <v>0</v>
      </c>
      <c r="R233" s="2" t="inlineStr"/>
    </row>
    <row r="234" ht="15" customHeight="1">
      <c r="A234" t="inlineStr">
        <is>
          <t>A 52531-2023</t>
        </is>
      </c>
      <c r="B234" s="1" t="n">
        <v>45225</v>
      </c>
      <c r="C234" s="1" t="n">
        <v>46042</v>
      </c>
      <c r="D234" t="inlineStr">
        <is>
          <t>ÖSTERGÖTLANDS LÄN</t>
        </is>
      </c>
      <c r="E234" t="inlineStr">
        <is>
          <t>LINKÖPING</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20291-2025</t>
        </is>
      </c>
      <c r="B235" s="1" t="n">
        <v>45774.74288194445</v>
      </c>
      <c r="C235" s="1" t="n">
        <v>46042</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20293-2025</t>
        </is>
      </c>
      <c r="B236" s="1" t="n">
        <v>45774.74611111111</v>
      </c>
      <c r="C236" s="1" t="n">
        <v>46042</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63665-2023</t>
        </is>
      </c>
      <c r="B237" s="1" t="n">
        <v>45275</v>
      </c>
      <c r="C237" s="1" t="n">
        <v>46042</v>
      </c>
      <c r="D237" t="inlineStr">
        <is>
          <t>ÖSTERGÖTLANDS LÄN</t>
        </is>
      </c>
      <c r="E237" t="inlineStr">
        <is>
          <t>LINKÖPING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33867-2023</t>
        </is>
      </c>
      <c r="B238" s="1" t="n">
        <v>45133.94640046296</v>
      </c>
      <c r="C238" s="1" t="n">
        <v>46042</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30985-2022</t>
        </is>
      </c>
      <c r="B239" s="1" t="n">
        <v>44768</v>
      </c>
      <c r="C239" s="1" t="n">
        <v>46042</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38317-2024</t>
        </is>
      </c>
      <c r="B240" s="1" t="n">
        <v>45545.65766203704</v>
      </c>
      <c r="C240" s="1" t="n">
        <v>46042</v>
      </c>
      <c r="D240" t="inlineStr">
        <is>
          <t>ÖSTERGÖTLANDS LÄN</t>
        </is>
      </c>
      <c r="E240" t="inlineStr">
        <is>
          <t>LINKÖPING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58947-2022</t>
        </is>
      </c>
      <c r="B241" s="1" t="n">
        <v>44903.64769675926</v>
      </c>
      <c r="C241" s="1" t="n">
        <v>46042</v>
      </c>
      <c r="D241" t="inlineStr">
        <is>
          <t>ÖSTERGÖTLANDS LÄN</t>
        </is>
      </c>
      <c r="E241" t="inlineStr">
        <is>
          <t>LINKÖPING</t>
        </is>
      </c>
      <c r="G241" t="n">
        <v>4</v>
      </c>
      <c r="H241" t="n">
        <v>0</v>
      </c>
      <c r="I241" t="n">
        <v>0</v>
      </c>
      <c r="J241" t="n">
        <v>0</v>
      </c>
      <c r="K241" t="n">
        <v>0</v>
      </c>
      <c r="L241" t="n">
        <v>0</v>
      </c>
      <c r="M241" t="n">
        <v>0</v>
      </c>
      <c r="N241" t="n">
        <v>0</v>
      </c>
      <c r="O241" t="n">
        <v>0</v>
      </c>
      <c r="P241" t="n">
        <v>0</v>
      </c>
      <c r="Q241" t="n">
        <v>0</v>
      </c>
      <c r="R241" s="2" t="inlineStr"/>
    </row>
    <row r="242" ht="15" customHeight="1">
      <c r="A242" t="inlineStr">
        <is>
          <t>A 16665-2023</t>
        </is>
      </c>
      <c r="B242" s="1" t="n">
        <v>45030.5583912037</v>
      </c>
      <c r="C242" s="1" t="n">
        <v>46042</v>
      </c>
      <c r="D242" t="inlineStr">
        <is>
          <t>ÖSTERGÖTLANDS LÄN</t>
        </is>
      </c>
      <c r="E242" t="inlineStr">
        <is>
          <t>LINKÖPING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48699-2024</t>
        </is>
      </c>
      <c r="B243" s="1" t="n">
        <v>45593.52091435185</v>
      </c>
      <c r="C243" s="1" t="n">
        <v>46042</v>
      </c>
      <c r="D243" t="inlineStr">
        <is>
          <t>ÖSTERGÖTLANDS LÄN</t>
        </is>
      </c>
      <c r="E243" t="inlineStr">
        <is>
          <t>LINKÖPING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60001-2022</t>
        </is>
      </c>
      <c r="B244" s="1" t="n">
        <v>44909.47087962963</v>
      </c>
      <c r="C244" s="1" t="n">
        <v>46042</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60013-2022</t>
        </is>
      </c>
      <c r="B245" s="1" t="n">
        <v>44909.47482638889</v>
      </c>
      <c r="C245" s="1" t="n">
        <v>46042</v>
      </c>
      <c r="D245" t="inlineStr">
        <is>
          <t>ÖSTERGÖTLANDS LÄN</t>
        </is>
      </c>
      <c r="E245" t="inlineStr">
        <is>
          <t>LINKÖPING</t>
        </is>
      </c>
      <c r="G245" t="n">
        <v>0.9</v>
      </c>
      <c r="H245" t="n">
        <v>0</v>
      </c>
      <c r="I245" t="n">
        <v>0</v>
      </c>
      <c r="J245" t="n">
        <v>0</v>
      </c>
      <c r="K245" t="n">
        <v>0</v>
      </c>
      <c r="L245" t="n">
        <v>0</v>
      </c>
      <c r="M245" t="n">
        <v>0</v>
      </c>
      <c r="N245" t="n">
        <v>0</v>
      </c>
      <c r="O245" t="n">
        <v>0</v>
      </c>
      <c r="P245" t="n">
        <v>0</v>
      </c>
      <c r="Q245" t="n">
        <v>0</v>
      </c>
      <c r="R245" s="2" t="inlineStr"/>
    </row>
    <row r="246" ht="15" customHeight="1">
      <c r="A246" t="inlineStr">
        <is>
          <t>A 1211-2023</t>
        </is>
      </c>
      <c r="B246" s="1" t="n">
        <v>44930</v>
      </c>
      <c r="C246" s="1" t="n">
        <v>46042</v>
      </c>
      <c r="D246" t="inlineStr">
        <is>
          <t>ÖSTERGÖTLANDS LÄN</t>
        </is>
      </c>
      <c r="E246" t="inlineStr">
        <is>
          <t>LINKÖPING</t>
        </is>
      </c>
      <c r="F246" t="inlineStr">
        <is>
          <t>Övriga statliga verk och myndigheter</t>
        </is>
      </c>
      <c r="G246" t="n">
        <v>7.9</v>
      </c>
      <c r="H246" t="n">
        <v>0</v>
      </c>
      <c r="I246" t="n">
        <v>0</v>
      </c>
      <c r="J246" t="n">
        <v>0</v>
      </c>
      <c r="K246" t="n">
        <v>0</v>
      </c>
      <c r="L246" t="n">
        <v>0</v>
      </c>
      <c r="M246" t="n">
        <v>0</v>
      </c>
      <c r="N246" t="n">
        <v>0</v>
      </c>
      <c r="O246" t="n">
        <v>0</v>
      </c>
      <c r="P246" t="n">
        <v>0</v>
      </c>
      <c r="Q246" t="n">
        <v>0</v>
      </c>
      <c r="R246" s="2" t="inlineStr"/>
    </row>
    <row r="247" ht="15" customHeight="1">
      <c r="A247" t="inlineStr">
        <is>
          <t>A 3041-2024</t>
        </is>
      </c>
      <c r="B247" s="1" t="n">
        <v>45316.34875</v>
      </c>
      <c r="C247" s="1" t="n">
        <v>46042</v>
      </c>
      <c r="D247" t="inlineStr">
        <is>
          <t>ÖSTERGÖTLANDS LÄN</t>
        </is>
      </c>
      <c r="E247" t="inlineStr">
        <is>
          <t>LINKÖPING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38136-2023</t>
        </is>
      </c>
      <c r="B248" s="1" t="n">
        <v>45161.37310185185</v>
      </c>
      <c r="C248" s="1" t="n">
        <v>46042</v>
      </c>
      <c r="D248" t="inlineStr">
        <is>
          <t>ÖSTERGÖTLANDS LÄN</t>
        </is>
      </c>
      <c r="E248" t="inlineStr">
        <is>
          <t>LINKÖPING</t>
        </is>
      </c>
      <c r="G248" t="n">
        <v>5.6</v>
      </c>
      <c r="H248" t="n">
        <v>0</v>
      </c>
      <c r="I248" t="n">
        <v>0</v>
      </c>
      <c r="J248" t="n">
        <v>0</v>
      </c>
      <c r="K248" t="n">
        <v>0</v>
      </c>
      <c r="L248" t="n">
        <v>0</v>
      </c>
      <c r="M248" t="n">
        <v>0</v>
      </c>
      <c r="N248" t="n">
        <v>0</v>
      </c>
      <c r="O248" t="n">
        <v>0</v>
      </c>
      <c r="P248" t="n">
        <v>0</v>
      </c>
      <c r="Q248" t="n">
        <v>0</v>
      </c>
      <c r="R248" s="2" t="inlineStr"/>
    </row>
    <row r="249" ht="15" customHeight="1">
      <c r="A249" t="inlineStr">
        <is>
          <t>A 50963-2021</t>
        </is>
      </c>
      <c r="B249" s="1" t="n">
        <v>44460</v>
      </c>
      <c r="C249" s="1" t="n">
        <v>46042</v>
      </c>
      <c r="D249" t="inlineStr">
        <is>
          <t>ÖSTERGÖTLANDS LÄN</t>
        </is>
      </c>
      <c r="E249" t="inlineStr">
        <is>
          <t>LINKÖPING</t>
        </is>
      </c>
      <c r="G249" t="n">
        <v>4.4</v>
      </c>
      <c r="H249" t="n">
        <v>0</v>
      </c>
      <c r="I249" t="n">
        <v>0</v>
      </c>
      <c r="J249" t="n">
        <v>0</v>
      </c>
      <c r="K249" t="n">
        <v>0</v>
      </c>
      <c r="L249" t="n">
        <v>0</v>
      </c>
      <c r="M249" t="n">
        <v>0</v>
      </c>
      <c r="N249" t="n">
        <v>0</v>
      </c>
      <c r="O249" t="n">
        <v>0</v>
      </c>
      <c r="P249" t="n">
        <v>0</v>
      </c>
      <c r="Q249" t="n">
        <v>0</v>
      </c>
      <c r="R249" s="2" t="inlineStr"/>
    </row>
    <row r="250" ht="15" customHeight="1">
      <c r="A250" t="inlineStr">
        <is>
          <t>A 61307-2021</t>
        </is>
      </c>
      <c r="B250" s="1" t="n">
        <v>44498.63928240741</v>
      </c>
      <c r="C250" s="1" t="n">
        <v>46042</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61325-2021</t>
        </is>
      </c>
      <c r="B251" s="1" t="n">
        <v>44498.66814814815</v>
      </c>
      <c r="C251" s="1" t="n">
        <v>46042</v>
      </c>
      <c r="D251" t="inlineStr">
        <is>
          <t>ÖSTERGÖTLANDS LÄN</t>
        </is>
      </c>
      <c r="E251" t="inlineStr">
        <is>
          <t>LINKÖPING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13911-2025</t>
        </is>
      </c>
      <c r="B252" s="1" t="n">
        <v>45737.64784722222</v>
      </c>
      <c r="C252" s="1" t="n">
        <v>46042</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12317-2025</t>
        </is>
      </c>
      <c r="B253" s="1" t="n">
        <v>45729.8487037037</v>
      </c>
      <c r="C253" s="1" t="n">
        <v>46042</v>
      </c>
      <c r="D253" t="inlineStr">
        <is>
          <t>ÖSTERGÖTLANDS LÄN</t>
        </is>
      </c>
      <c r="E253" t="inlineStr">
        <is>
          <t>LINKÖPING</t>
        </is>
      </c>
      <c r="G253" t="n">
        <v>8</v>
      </c>
      <c r="H253" t="n">
        <v>0</v>
      </c>
      <c r="I253" t="n">
        <v>0</v>
      </c>
      <c r="J253" t="n">
        <v>0</v>
      </c>
      <c r="K253" t="n">
        <v>0</v>
      </c>
      <c r="L253" t="n">
        <v>0</v>
      </c>
      <c r="M253" t="n">
        <v>0</v>
      </c>
      <c r="N253" t="n">
        <v>0</v>
      </c>
      <c r="O253" t="n">
        <v>0</v>
      </c>
      <c r="P253" t="n">
        <v>0</v>
      </c>
      <c r="Q253" t="n">
        <v>0</v>
      </c>
      <c r="R253" s="2" t="inlineStr"/>
    </row>
    <row r="254" ht="15" customHeight="1">
      <c r="A254" t="inlineStr">
        <is>
          <t>A 36557-2023</t>
        </is>
      </c>
      <c r="B254" s="1" t="n">
        <v>45153</v>
      </c>
      <c r="C254" s="1" t="n">
        <v>46042</v>
      </c>
      <c r="D254" t="inlineStr">
        <is>
          <t>ÖSTERGÖTLANDS LÄN</t>
        </is>
      </c>
      <c r="E254" t="inlineStr">
        <is>
          <t>LINKÖPING</t>
        </is>
      </c>
      <c r="F254" t="inlineStr">
        <is>
          <t>Övriga Aktiebolag</t>
        </is>
      </c>
      <c r="G254" t="n">
        <v>3.1</v>
      </c>
      <c r="H254" t="n">
        <v>0</v>
      </c>
      <c r="I254" t="n">
        <v>0</v>
      </c>
      <c r="J254" t="n">
        <v>0</v>
      </c>
      <c r="K254" t="n">
        <v>0</v>
      </c>
      <c r="L254" t="n">
        <v>0</v>
      </c>
      <c r="M254" t="n">
        <v>0</v>
      </c>
      <c r="N254" t="n">
        <v>0</v>
      </c>
      <c r="O254" t="n">
        <v>0</v>
      </c>
      <c r="P254" t="n">
        <v>0</v>
      </c>
      <c r="Q254" t="n">
        <v>0</v>
      </c>
      <c r="R254" s="2" t="inlineStr"/>
    </row>
    <row r="255" ht="15" customHeight="1">
      <c r="A255" t="inlineStr">
        <is>
          <t>A 2085-2024</t>
        </is>
      </c>
      <c r="B255" s="1" t="n">
        <v>45309</v>
      </c>
      <c r="C255" s="1" t="n">
        <v>46042</v>
      </c>
      <c r="D255" t="inlineStr">
        <is>
          <t>ÖSTERGÖTLANDS LÄN</t>
        </is>
      </c>
      <c r="E255" t="inlineStr">
        <is>
          <t>LINKÖPING</t>
        </is>
      </c>
      <c r="G255" t="n">
        <v>4.5</v>
      </c>
      <c r="H255" t="n">
        <v>0</v>
      </c>
      <c r="I255" t="n">
        <v>0</v>
      </c>
      <c r="J255" t="n">
        <v>0</v>
      </c>
      <c r="K255" t="n">
        <v>0</v>
      </c>
      <c r="L255" t="n">
        <v>0</v>
      </c>
      <c r="M255" t="n">
        <v>0</v>
      </c>
      <c r="N255" t="n">
        <v>0</v>
      </c>
      <c r="O255" t="n">
        <v>0</v>
      </c>
      <c r="P255" t="n">
        <v>0</v>
      </c>
      <c r="Q255" t="n">
        <v>0</v>
      </c>
      <c r="R255" s="2" t="inlineStr"/>
    </row>
    <row r="256" ht="15" customHeight="1">
      <c r="A256" t="inlineStr">
        <is>
          <t>A 44280-2024</t>
        </is>
      </c>
      <c r="B256" s="1" t="n">
        <v>45573.49461805556</v>
      </c>
      <c r="C256" s="1" t="n">
        <v>46042</v>
      </c>
      <c r="D256" t="inlineStr">
        <is>
          <t>ÖSTERGÖTLANDS LÄN</t>
        </is>
      </c>
      <c r="E256" t="inlineStr">
        <is>
          <t>LINKÖPING</t>
        </is>
      </c>
      <c r="G256" t="n">
        <v>5.3</v>
      </c>
      <c r="H256" t="n">
        <v>0</v>
      </c>
      <c r="I256" t="n">
        <v>0</v>
      </c>
      <c r="J256" t="n">
        <v>0</v>
      </c>
      <c r="K256" t="n">
        <v>0</v>
      </c>
      <c r="L256" t="n">
        <v>0</v>
      </c>
      <c r="M256" t="n">
        <v>0</v>
      </c>
      <c r="N256" t="n">
        <v>0</v>
      </c>
      <c r="O256" t="n">
        <v>0</v>
      </c>
      <c r="P256" t="n">
        <v>0</v>
      </c>
      <c r="Q256" t="n">
        <v>0</v>
      </c>
      <c r="R256" s="2" t="inlineStr"/>
    </row>
    <row r="257" ht="15" customHeight="1">
      <c r="A257" t="inlineStr">
        <is>
          <t>A 30468-2023</t>
        </is>
      </c>
      <c r="B257" s="1" t="n">
        <v>45111.58732638889</v>
      </c>
      <c r="C257" s="1" t="n">
        <v>46042</v>
      </c>
      <c r="D257" t="inlineStr">
        <is>
          <t>ÖSTERGÖTLANDS LÄN</t>
        </is>
      </c>
      <c r="E257" t="inlineStr">
        <is>
          <t>LINKÖPING</t>
        </is>
      </c>
      <c r="G257" t="n">
        <v>10.1</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46042</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38715-2023</t>
        </is>
      </c>
      <c r="B259" s="1" t="n">
        <v>45160</v>
      </c>
      <c r="C259" s="1" t="n">
        <v>46042</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34864-2023</t>
        </is>
      </c>
      <c r="B260" s="1" t="n">
        <v>45141</v>
      </c>
      <c r="C260" s="1" t="n">
        <v>46042</v>
      </c>
      <c r="D260" t="inlineStr">
        <is>
          <t>ÖSTERGÖTLANDS LÄN</t>
        </is>
      </c>
      <c r="E260" t="inlineStr">
        <is>
          <t>LINKÖPING</t>
        </is>
      </c>
      <c r="G260" t="n">
        <v>3.3</v>
      </c>
      <c r="H260" t="n">
        <v>0</v>
      </c>
      <c r="I260" t="n">
        <v>0</v>
      </c>
      <c r="J260" t="n">
        <v>0</v>
      </c>
      <c r="K260" t="n">
        <v>0</v>
      </c>
      <c r="L260" t="n">
        <v>0</v>
      </c>
      <c r="M260" t="n">
        <v>0</v>
      </c>
      <c r="N260" t="n">
        <v>0</v>
      </c>
      <c r="O260" t="n">
        <v>0</v>
      </c>
      <c r="P260" t="n">
        <v>0</v>
      </c>
      <c r="Q260" t="n">
        <v>0</v>
      </c>
      <c r="R260" s="2" t="inlineStr"/>
    </row>
    <row r="261" ht="15" customHeight="1">
      <c r="A261" t="inlineStr">
        <is>
          <t>A 39438-2025</t>
        </is>
      </c>
      <c r="B261" s="1" t="n">
        <v>45889.68641203704</v>
      </c>
      <c r="C261" s="1" t="n">
        <v>46042</v>
      </c>
      <c r="D261" t="inlineStr">
        <is>
          <t>ÖSTERGÖTLANDS LÄN</t>
        </is>
      </c>
      <c r="E261" t="inlineStr">
        <is>
          <t>LINKÖPING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27264-2025</t>
        </is>
      </c>
      <c r="B262" s="1" t="n">
        <v>45812.4794212963</v>
      </c>
      <c r="C262" s="1" t="n">
        <v>46042</v>
      </c>
      <c r="D262" t="inlineStr">
        <is>
          <t>ÖSTERGÖTLANDS LÄN</t>
        </is>
      </c>
      <c r="E262" t="inlineStr">
        <is>
          <t>LINKÖPING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46687-2021</t>
        </is>
      </c>
      <c r="B263" s="1" t="n">
        <v>44445</v>
      </c>
      <c r="C263" s="1" t="n">
        <v>46042</v>
      </c>
      <c r="D263" t="inlineStr">
        <is>
          <t>ÖSTERGÖTLANDS LÄN</t>
        </is>
      </c>
      <c r="E263" t="inlineStr">
        <is>
          <t>LINKÖPING</t>
        </is>
      </c>
      <c r="F263" t="inlineStr">
        <is>
          <t>Övriga statliga verk och myndigheter</t>
        </is>
      </c>
      <c r="G263" t="n">
        <v>2.3</v>
      </c>
      <c r="H263" t="n">
        <v>0</v>
      </c>
      <c r="I263" t="n">
        <v>0</v>
      </c>
      <c r="J263" t="n">
        <v>0</v>
      </c>
      <c r="K263" t="n">
        <v>0</v>
      </c>
      <c r="L263" t="n">
        <v>0</v>
      </c>
      <c r="M263" t="n">
        <v>0</v>
      </c>
      <c r="N263" t="n">
        <v>0</v>
      </c>
      <c r="O263" t="n">
        <v>0</v>
      </c>
      <c r="P263" t="n">
        <v>0</v>
      </c>
      <c r="Q263" t="n">
        <v>0</v>
      </c>
      <c r="R263" s="2" t="inlineStr"/>
    </row>
    <row r="264" ht="15" customHeight="1">
      <c r="A264" t="inlineStr">
        <is>
          <t>A 17103-2025</t>
        </is>
      </c>
      <c r="B264" s="1" t="n">
        <v>45755.66143518518</v>
      </c>
      <c r="C264" s="1" t="n">
        <v>46042</v>
      </c>
      <c r="D264" t="inlineStr">
        <is>
          <t>ÖSTERGÖTLANDS LÄN</t>
        </is>
      </c>
      <c r="E264" t="inlineStr">
        <is>
          <t>LINKÖPING</t>
        </is>
      </c>
      <c r="G264" t="n">
        <v>1.9</v>
      </c>
      <c r="H264" t="n">
        <v>0</v>
      </c>
      <c r="I264" t="n">
        <v>0</v>
      </c>
      <c r="J264" t="n">
        <v>0</v>
      </c>
      <c r="K264" t="n">
        <v>0</v>
      </c>
      <c r="L264" t="n">
        <v>0</v>
      </c>
      <c r="M264" t="n">
        <v>0</v>
      </c>
      <c r="N264" t="n">
        <v>0</v>
      </c>
      <c r="O264" t="n">
        <v>0</v>
      </c>
      <c r="P264" t="n">
        <v>0</v>
      </c>
      <c r="Q264" t="n">
        <v>0</v>
      </c>
      <c r="R264" s="2" t="inlineStr"/>
    </row>
    <row r="265" ht="15" customHeight="1">
      <c r="A265" t="inlineStr">
        <is>
          <t>A 39074-2025</t>
        </is>
      </c>
      <c r="B265" s="1" t="n">
        <v>45888</v>
      </c>
      <c r="C265" s="1" t="n">
        <v>46042</v>
      </c>
      <c r="D265" t="inlineStr">
        <is>
          <t>ÖSTERGÖTLANDS LÄN</t>
        </is>
      </c>
      <c r="E265" t="inlineStr">
        <is>
          <t>LINKÖPING</t>
        </is>
      </c>
      <c r="G265" t="n">
        <v>2.9</v>
      </c>
      <c r="H265" t="n">
        <v>0</v>
      </c>
      <c r="I265" t="n">
        <v>0</v>
      </c>
      <c r="J265" t="n">
        <v>0</v>
      </c>
      <c r="K265" t="n">
        <v>0</v>
      </c>
      <c r="L265" t="n">
        <v>0</v>
      </c>
      <c r="M265" t="n">
        <v>0</v>
      </c>
      <c r="N265" t="n">
        <v>0</v>
      </c>
      <c r="O265" t="n">
        <v>0</v>
      </c>
      <c r="P265" t="n">
        <v>0</v>
      </c>
      <c r="Q265" t="n">
        <v>0</v>
      </c>
      <c r="R265" s="2" t="inlineStr"/>
    </row>
    <row r="266" ht="15" customHeight="1">
      <c r="A266" t="inlineStr">
        <is>
          <t>A 72567-2021</t>
        </is>
      </c>
      <c r="B266" s="1" t="n">
        <v>44546.45023148148</v>
      </c>
      <c r="C266" s="1" t="n">
        <v>46042</v>
      </c>
      <c r="D266" t="inlineStr">
        <is>
          <t>ÖSTERGÖTLANDS LÄN</t>
        </is>
      </c>
      <c r="E266" t="inlineStr">
        <is>
          <t>LINKÖPING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40618-2021</t>
        </is>
      </c>
      <c r="B267" s="1" t="n">
        <v>44420.49575231481</v>
      </c>
      <c r="C267" s="1" t="n">
        <v>46042</v>
      </c>
      <c r="D267" t="inlineStr">
        <is>
          <t>ÖSTERGÖTLANDS LÄN</t>
        </is>
      </c>
      <c r="E267" t="inlineStr">
        <is>
          <t>LINKÖPING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26002-2025</t>
        </is>
      </c>
      <c r="B268" s="1" t="n">
        <v>45804.66534722222</v>
      </c>
      <c r="C268" s="1" t="n">
        <v>46042</v>
      </c>
      <c r="D268" t="inlineStr">
        <is>
          <t>ÖSTERGÖTLANDS LÄN</t>
        </is>
      </c>
      <c r="E268" t="inlineStr">
        <is>
          <t>LINKÖPING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56180-2024</t>
        </is>
      </c>
      <c r="B269" s="1" t="n">
        <v>45624.56611111111</v>
      </c>
      <c r="C269" s="1" t="n">
        <v>46042</v>
      </c>
      <c r="D269" t="inlineStr">
        <is>
          <t>ÖSTERGÖTLANDS LÄN</t>
        </is>
      </c>
      <c r="E269" t="inlineStr">
        <is>
          <t>LINKÖPING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25996-2025</t>
        </is>
      </c>
      <c r="B270" s="1" t="n">
        <v>45804.65851851852</v>
      </c>
      <c r="C270" s="1" t="n">
        <v>46042</v>
      </c>
      <c r="D270" t="inlineStr">
        <is>
          <t>ÖSTERGÖTLANDS LÄN</t>
        </is>
      </c>
      <c r="E270" t="inlineStr">
        <is>
          <t>LINKÖPING</t>
        </is>
      </c>
      <c r="G270" t="n">
        <v>3.2</v>
      </c>
      <c r="H270" t="n">
        <v>0</v>
      </c>
      <c r="I270" t="n">
        <v>0</v>
      </c>
      <c r="J270" t="n">
        <v>0</v>
      </c>
      <c r="K270" t="n">
        <v>0</v>
      </c>
      <c r="L270" t="n">
        <v>0</v>
      </c>
      <c r="M270" t="n">
        <v>0</v>
      </c>
      <c r="N270" t="n">
        <v>0</v>
      </c>
      <c r="O270" t="n">
        <v>0</v>
      </c>
      <c r="P270" t="n">
        <v>0</v>
      </c>
      <c r="Q270" t="n">
        <v>0</v>
      </c>
      <c r="R270" s="2" t="inlineStr"/>
    </row>
    <row r="271" ht="15" customHeight="1">
      <c r="A271" t="inlineStr">
        <is>
          <t>A 30471-2023</t>
        </is>
      </c>
      <c r="B271" s="1" t="n">
        <v>45111.58931712963</v>
      </c>
      <c r="C271" s="1" t="n">
        <v>46042</v>
      </c>
      <c r="D271" t="inlineStr">
        <is>
          <t>ÖSTERGÖTLANDS LÄN</t>
        </is>
      </c>
      <c r="E271" t="inlineStr">
        <is>
          <t>LINKÖPING</t>
        </is>
      </c>
      <c r="G271" t="n">
        <v>2.9</v>
      </c>
      <c r="H271" t="n">
        <v>0</v>
      </c>
      <c r="I271" t="n">
        <v>0</v>
      </c>
      <c r="J271" t="n">
        <v>0</v>
      </c>
      <c r="K271" t="n">
        <v>0</v>
      </c>
      <c r="L271" t="n">
        <v>0</v>
      </c>
      <c r="M271" t="n">
        <v>0</v>
      </c>
      <c r="N271" t="n">
        <v>0</v>
      </c>
      <c r="O271" t="n">
        <v>0</v>
      </c>
      <c r="P271" t="n">
        <v>0</v>
      </c>
      <c r="Q271" t="n">
        <v>0</v>
      </c>
      <c r="R271" s="2" t="inlineStr"/>
    </row>
    <row r="272" ht="15" customHeight="1">
      <c r="A272" t="inlineStr">
        <is>
          <t>A 40169-2025</t>
        </is>
      </c>
      <c r="B272" s="1" t="n">
        <v>45894.62824074074</v>
      </c>
      <c r="C272" s="1" t="n">
        <v>46042</v>
      </c>
      <c r="D272" t="inlineStr">
        <is>
          <t>ÖSTERGÖTLANDS LÄN</t>
        </is>
      </c>
      <c r="E272" t="inlineStr">
        <is>
          <t>LINKÖPING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227-2024</t>
        </is>
      </c>
      <c r="B273" s="1" t="n">
        <v>45294.73603009259</v>
      </c>
      <c r="C273" s="1" t="n">
        <v>46042</v>
      </c>
      <c r="D273" t="inlineStr">
        <is>
          <t>ÖSTERGÖTLANDS LÄN</t>
        </is>
      </c>
      <c r="E273" t="inlineStr">
        <is>
          <t>LINKÖPING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44155-2024</t>
        </is>
      </c>
      <c r="B274" s="1" t="n">
        <v>45572.68226851852</v>
      </c>
      <c r="C274" s="1" t="n">
        <v>46042</v>
      </c>
      <c r="D274" t="inlineStr">
        <is>
          <t>ÖSTERGÖTLANDS LÄN</t>
        </is>
      </c>
      <c r="E274" t="inlineStr">
        <is>
          <t>LINKÖPING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30434-2024</t>
        </is>
      </c>
      <c r="B275" s="1" t="n">
        <v>45491.69811342593</v>
      </c>
      <c r="C275" s="1" t="n">
        <v>46042</v>
      </c>
      <c r="D275" t="inlineStr">
        <is>
          <t>ÖSTERGÖTLANDS LÄN</t>
        </is>
      </c>
      <c r="E275" t="inlineStr">
        <is>
          <t>LINKÖPING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56917-2022</t>
        </is>
      </c>
      <c r="B276" s="1" t="n">
        <v>44894</v>
      </c>
      <c r="C276" s="1" t="n">
        <v>46042</v>
      </c>
      <c r="D276" t="inlineStr">
        <is>
          <t>ÖSTERGÖTLANDS LÄN</t>
        </is>
      </c>
      <c r="E276" t="inlineStr">
        <is>
          <t>LINKÖPING</t>
        </is>
      </c>
      <c r="G276" t="n">
        <v>2.2</v>
      </c>
      <c r="H276" t="n">
        <v>0</v>
      </c>
      <c r="I276" t="n">
        <v>0</v>
      </c>
      <c r="J276" t="n">
        <v>0</v>
      </c>
      <c r="K276" t="n">
        <v>0</v>
      </c>
      <c r="L276" t="n">
        <v>0</v>
      </c>
      <c r="M276" t="n">
        <v>0</v>
      </c>
      <c r="N276" t="n">
        <v>0</v>
      </c>
      <c r="O276" t="n">
        <v>0</v>
      </c>
      <c r="P276" t="n">
        <v>0</v>
      </c>
      <c r="Q276" t="n">
        <v>0</v>
      </c>
      <c r="R276" s="2" t="inlineStr"/>
    </row>
    <row r="277" ht="15" customHeight="1">
      <c r="A277" t="inlineStr">
        <is>
          <t>A 57766-2023</t>
        </is>
      </c>
      <c r="B277" s="1" t="n">
        <v>45246</v>
      </c>
      <c r="C277" s="1" t="n">
        <v>46042</v>
      </c>
      <c r="D277" t="inlineStr">
        <is>
          <t>ÖSTERGÖTLANDS LÄN</t>
        </is>
      </c>
      <c r="E277" t="inlineStr">
        <is>
          <t>LINKÖPING</t>
        </is>
      </c>
      <c r="F277" t="inlineStr">
        <is>
          <t>Allmännings- och besparingsskogar</t>
        </is>
      </c>
      <c r="G277" t="n">
        <v>12.8</v>
      </c>
      <c r="H277" t="n">
        <v>0</v>
      </c>
      <c r="I277" t="n">
        <v>0</v>
      </c>
      <c r="J277" t="n">
        <v>0</v>
      </c>
      <c r="K277" t="n">
        <v>0</v>
      </c>
      <c r="L277" t="n">
        <v>0</v>
      </c>
      <c r="M277" t="n">
        <v>0</v>
      </c>
      <c r="N277" t="n">
        <v>0</v>
      </c>
      <c r="O277" t="n">
        <v>0</v>
      </c>
      <c r="P277" t="n">
        <v>0</v>
      </c>
      <c r="Q277" t="n">
        <v>0</v>
      </c>
      <c r="R277" s="2" t="inlineStr"/>
    </row>
    <row r="278" ht="15" customHeight="1">
      <c r="A278" t="inlineStr">
        <is>
          <t>A 25568-2024</t>
        </is>
      </c>
      <c r="B278" s="1" t="n">
        <v>45463.58699074074</v>
      </c>
      <c r="C278" s="1" t="n">
        <v>46042</v>
      </c>
      <c r="D278" t="inlineStr">
        <is>
          <t>ÖSTERGÖTLANDS LÄN</t>
        </is>
      </c>
      <c r="E278" t="inlineStr">
        <is>
          <t>LINKÖPING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22833-2023</t>
        </is>
      </c>
      <c r="B279" s="1" t="n">
        <v>45071</v>
      </c>
      <c r="C279" s="1" t="n">
        <v>46042</v>
      </c>
      <c r="D279" t="inlineStr">
        <is>
          <t>ÖSTERGÖTLANDS LÄN</t>
        </is>
      </c>
      <c r="E279" t="inlineStr">
        <is>
          <t>LINKÖPING</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27950-2025</t>
        </is>
      </c>
      <c r="B280" s="1" t="n">
        <v>45817.52960648148</v>
      </c>
      <c r="C280" s="1" t="n">
        <v>46042</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41511-2025</t>
        </is>
      </c>
      <c r="B281" s="1" t="n">
        <v>45901.53839120371</v>
      </c>
      <c r="C281" s="1" t="n">
        <v>46042</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2997-2025</t>
        </is>
      </c>
      <c r="B282" s="1" t="n">
        <v>45678.54631944445</v>
      </c>
      <c r="C282" s="1" t="n">
        <v>46042</v>
      </c>
      <c r="D282" t="inlineStr">
        <is>
          <t>ÖSTERGÖTLANDS LÄN</t>
        </is>
      </c>
      <c r="E282" t="inlineStr">
        <is>
          <t>LINKÖPING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41345-2021</t>
        </is>
      </c>
      <c r="B283" s="1" t="n">
        <v>44424.61851851852</v>
      </c>
      <c r="C283" s="1" t="n">
        <v>46042</v>
      </c>
      <c r="D283" t="inlineStr">
        <is>
          <t>ÖSTERGÖTLANDS LÄN</t>
        </is>
      </c>
      <c r="E283" t="inlineStr">
        <is>
          <t>LINKÖPING</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27797-2025</t>
        </is>
      </c>
      <c r="B284" s="1" t="n">
        <v>45816.80521990741</v>
      </c>
      <c r="C284" s="1" t="n">
        <v>46042</v>
      </c>
      <c r="D284" t="inlineStr">
        <is>
          <t>ÖSTERGÖTLANDS LÄN</t>
        </is>
      </c>
      <c r="E284" t="inlineStr">
        <is>
          <t>LINKÖPING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27798-2025</t>
        </is>
      </c>
      <c r="B285" s="1" t="n">
        <v>45816.81532407407</v>
      </c>
      <c r="C285" s="1" t="n">
        <v>46042</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13266-2025</t>
        </is>
      </c>
      <c r="B286" s="1" t="n">
        <v>45735.53318287037</v>
      </c>
      <c r="C286" s="1" t="n">
        <v>46042</v>
      </c>
      <c r="D286" t="inlineStr">
        <is>
          <t>ÖSTERGÖTLANDS LÄN</t>
        </is>
      </c>
      <c r="E286" t="inlineStr">
        <is>
          <t>LINKÖPING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16213-2025</t>
        </is>
      </c>
      <c r="B287" s="1" t="n">
        <v>45750.62740740741</v>
      </c>
      <c r="C287" s="1" t="n">
        <v>46042</v>
      </c>
      <c r="D287" t="inlineStr">
        <is>
          <t>ÖSTERGÖTLANDS LÄN</t>
        </is>
      </c>
      <c r="E287" t="inlineStr">
        <is>
          <t>LINKÖPING</t>
        </is>
      </c>
      <c r="G287" t="n">
        <v>3.4</v>
      </c>
      <c r="H287" t="n">
        <v>0</v>
      </c>
      <c r="I287" t="n">
        <v>0</v>
      </c>
      <c r="J287" t="n">
        <v>0</v>
      </c>
      <c r="K287" t="n">
        <v>0</v>
      </c>
      <c r="L287" t="n">
        <v>0</v>
      </c>
      <c r="M287" t="n">
        <v>0</v>
      </c>
      <c r="N287" t="n">
        <v>0</v>
      </c>
      <c r="O287" t="n">
        <v>0</v>
      </c>
      <c r="P287" t="n">
        <v>0</v>
      </c>
      <c r="Q287" t="n">
        <v>0</v>
      </c>
      <c r="R287" s="2" t="inlineStr"/>
    </row>
    <row r="288" ht="15" customHeight="1">
      <c r="A288" t="inlineStr">
        <is>
          <t>A 41706-2025</t>
        </is>
      </c>
      <c r="B288" s="1" t="n">
        <v>45902.42209490741</v>
      </c>
      <c r="C288" s="1" t="n">
        <v>46042</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28200-2025</t>
        </is>
      </c>
      <c r="B289" s="1" t="n">
        <v>45818.4428125</v>
      </c>
      <c r="C289" s="1" t="n">
        <v>46042</v>
      </c>
      <c r="D289" t="inlineStr">
        <is>
          <t>ÖSTERGÖTLANDS LÄN</t>
        </is>
      </c>
      <c r="E289" t="inlineStr">
        <is>
          <t>LINKÖPING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3042-2024</t>
        </is>
      </c>
      <c r="B290" s="1" t="n">
        <v>45316.35028935185</v>
      </c>
      <c r="C290" s="1" t="n">
        <v>46042</v>
      </c>
      <c r="D290" t="inlineStr">
        <is>
          <t>ÖSTERGÖTLANDS LÄN</t>
        </is>
      </c>
      <c r="E290" t="inlineStr">
        <is>
          <t>LINKÖPING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28204-2025</t>
        </is>
      </c>
      <c r="B291" s="1" t="n">
        <v>45818.4477662037</v>
      </c>
      <c r="C291" s="1" t="n">
        <v>46042</v>
      </c>
      <c r="D291" t="inlineStr">
        <is>
          <t>ÖSTERGÖTLANDS LÄN</t>
        </is>
      </c>
      <c r="E291" t="inlineStr">
        <is>
          <t>LINKÖPING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28416-2025</t>
        </is>
      </c>
      <c r="B292" s="1" t="n">
        <v>45819.35346064815</v>
      </c>
      <c r="C292" s="1" t="n">
        <v>46042</v>
      </c>
      <c r="D292" t="inlineStr">
        <is>
          <t>ÖSTERGÖTLANDS LÄN</t>
        </is>
      </c>
      <c r="E292" t="inlineStr">
        <is>
          <t>LINKÖPING</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29293-2025</t>
        </is>
      </c>
      <c r="B293" s="1" t="n">
        <v>45824</v>
      </c>
      <c r="C293" s="1" t="n">
        <v>46042</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42624-2025</t>
        </is>
      </c>
      <c r="B294" s="1" t="n">
        <v>45905</v>
      </c>
      <c r="C294" s="1" t="n">
        <v>46042</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42626-2025</t>
        </is>
      </c>
      <c r="B295" s="1" t="n">
        <v>45905</v>
      </c>
      <c r="C295" s="1" t="n">
        <v>46042</v>
      </c>
      <c r="D295" t="inlineStr">
        <is>
          <t>ÖSTERGÖTLANDS LÄN</t>
        </is>
      </c>
      <c r="E295" t="inlineStr">
        <is>
          <t>LINKÖPING</t>
        </is>
      </c>
      <c r="G295" t="n">
        <v>3.6</v>
      </c>
      <c r="H295" t="n">
        <v>0</v>
      </c>
      <c r="I295" t="n">
        <v>0</v>
      </c>
      <c r="J295" t="n">
        <v>0</v>
      </c>
      <c r="K295" t="n">
        <v>0</v>
      </c>
      <c r="L295" t="n">
        <v>0</v>
      </c>
      <c r="M295" t="n">
        <v>0</v>
      </c>
      <c r="N295" t="n">
        <v>0</v>
      </c>
      <c r="O295" t="n">
        <v>0</v>
      </c>
      <c r="P295" t="n">
        <v>0</v>
      </c>
      <c r="Q295" t="n">
        <v>0</v>
      </c>
      <c r="R295" s="2" t="inlineStr"/>
    </row>
    <row r="296" ht="15" customHeight="1">
      <c r="A296" t="inlineStr">
        <is>
          <t>A 42623-2025</t>
        </is>
      </c>
      <c r="B296" s="1" t="n">
        <v>45905</v>
      </c>
      <c r="C296" s="1" t="n">
        <v>46042</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46225-2021</t>
        </is>
      </c>
      <c r="B297" s="1" t="n">
        <v>44442</v>
      </c>
      <c r="C297" s="1" t="n">
        <v>46042</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25776-2021</t>
        </is>
      </c>
      <c r="B298" s="1" t="n">
        <v>44343</v>
      </c>
      <c r="C298" s="1" t="n">
        <v>46042</v>
      </c>
      <c r="D298" t="inlineStr">
        <is>
          <t>ÖSTERGÖTLANDS LÄN</t>
        </is>
      </c>
      <c r="E298" t="inlineStr">
        <is>
          <t>LINKÖPING</t>
        </is>
      </c>
      <c r="G298" t="n">
        <v>2.6</v>
      </c>
      <c r="H298" t="n">
        <v>0</v>
      </c>
      <c r="I298" t="n">
        <v>0</v>
      </c>
      <c r="J298" t="n">
        <v>0</v>
      </c>
      <c r="K298" t="n">
        <v>0</v>
      </c>
      <c r="L298" t="n">
        <v>0</v>
      </c>
      <c r="M298" t="n">
        <v>0</v>
      </c>
      <c r="N298" t="n">
        <v>0</v>
      </c>
      <c r="O298" t="n">
        <v>0</v>
      </c>
      <c r="P298" t="n">
        <v>0</v>
      </c>
      <c r="Q298" t="n">
        <v>0</v>
      </c>
      <c r="R298" s="2" t="inlineStr"/>
    </row>
    <row r="299" ht="15" customHeight="1">
      <c r="A299" t="inlineStr">
        <is>
          <t>A 28398-2025</t>
        </is>
      </c>
      <c r="B299" s="1" t="n">
        <v>45819.34208333334</v>
      </c>
      <c r="C299" s="1" t="n">
        <v>46042</v>
      </c>
      <c r="D299" t="inlineStr">
        <is>
          <t>ÖSTERGÖTLANDS LÄN</t>
        </is>
      </c>
      <c r="E299" t="inlineStr">
        <is>
          <t>LINKÖPING</t>
        </is>
      </c>
      <c r="F299" t="inlineStr">
        <is>
          <t>Sveaskog</t>
        </is>
      </c>
      <c r="G299" t="n">
        <v>7.9</v>
      </c>
      <c r="H299" t="n">
        <v>0</v>
      </c>
      <c r="I299" t="n">
        <v>0</v>
      </c>
      <c r="J299" t="n">
        <v>0</v>
      </c>
      <c r="K299" t="n">
        <v>0</v>
      </c>
      <c r="L299" t="n">
        <v>0</v>
      </c>
      <c r="M299" t="n">
        <v>0</v>
      </c>
      <c r="N299" t="n">
        <v>0</v>
      </c>
      <c r="O299" t="n">
        <v>0</v>
      </c>
      <c r="P299" t="n">
        <v>0</v>
      </c>
      <c r="Q299" t="n">
        <v>0</v>
      </c>
      <c r="R299" s="2" t="inlineStr"/>
    </row>
    <row r="300" ht="15" customHeight="1">
      <c r="A300" t="inlineStr">
        <is>
          <t>A 28209-2025</t>
        </is>
      </c>
      <c r="B300" s="1" t="n">
        <v>45818.45112268518</v>
      </c>
      <c r="C300" s="1" t="n">
        <v>46042</v>
      </c>
      <c r="D300" t="inlineStr">
        <is>
          <t>ÖSTERGÖTLANDS LÄN</t>
        </is>
      </c>
      <c r="E300" t="inlineStr">
        <is>
          <t>LINKÖPING</t>
        </is>
      </c>
      <c r="G300" t="n">
        <v>4.2</v>
      </c>
      <c r="H300" t="n">
        <v>0</v>
      </c>
      <c r="I300" t="n">
        <v>0</v>
      </c>
      <c r="J300" t="n">
        <v>0</v>
      </c>
      <c r="K300" t="n">
        <v>0</v>
      </c>
      <c r="L300" t="n">
        <v>0</v>
      </c>
      <c r="M300" t="n">
        <v>0</v>
      </c>
      <c r="N300" t="n">
        <v>0</v>
      </c>
      <c r="O300" t="n">
        <v>0</v>
      </c>
      <c r="P300" t="n">
        <v>0</v>
      </c>
      <c r="Q300" t="n">
        <v>0</v>
      </c>
      <c r="R300" s="2" t="inlineStr"/>
    </row>
    <row r="301" ht="15" customHeight="1">
      <c r="A301" t="inlineStr">
        <is>
          <t>A 51484-2023</t>
        </is>
      </c>
      <c r="B301" s="1" t="n">
        <v>45222</v>
      </c>
      <c r="C301" s="1" t="n">
        <v>46042</v>
      </c>
      <c r="D301" t="inlineStr">
        <is>
          <t>ÖSTERGÖTLANDS LÄN</t>
        </is>
      </c>
      <c r="E301" t="inlineStr">
        <is>
          <t>LINKÖPING</t>
        </is>
      </c>
      <c r="F301" t="inlineStr">
        <is>
          <t>Övriga Aktiebolag</t>
        </is>
      </c>
      <c r="G301" t="n">
        <v>7.7</v>
      </c>
      <c r="H301" t="n">
        <v>0</v>
      </c>
      <c r="I301" t="n">
        <v>0</v>
      </c>
      <c r="J301" t="n">
        <v>0</v>
      </c>
      <c r="K301" t="n">
        <v>0</v>
      </c>
      <c r="L301" t="n">
        <v>0</v>
      </c>
      <c r="M301" t="n">
        <v>0</v>
      </c>
      <c r="N301" t="n">
        <v>0</v>
      </c>
      <c r="O301" t="n">
        <v>0</v>
      </c>
      <c r="P301" t="n">
        <v>0</v>
      </c>
      <c r="Q301" t="n">
        <v>0</v>
      </c>
      <c r="R301" s="2" t="inlineStr"/>
    </row>
    <row r="302" ht="15" customHeight="1">
      <c r="A302" t="inlineStr">
        <is>
          <t>A 17898-2022</t>
        </is>
      </c>
      <c r="B302" s="1" t="n">
        <v>44683</v>
      </c>
      <c r="C302" s="1" t="n">
        <v>46042</v>
      </c>
      <c r="D302" t="inlineStr">
        <is>
          <t>ÖSTERGÖTLANDS LÄN</t>
        </is>
      </c>
      <c r="E302" t="inlineStr">
        <is>
          <t>LINKÖPING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63487-2023</t>
        </is>
      </c>
      <c r="B303" s="1" t="n">
        <v>45274.66712962963</v>
      </c>
      <c r="C303" s="1" t="n">
        <v>46042</v>
      </c>
      <c r="D303" t="inlineStr">
        <is>
          <t>ÖSTERGÖTLANDS LÄN</t>
        </is>
      </c>
      <c r="E303" t="inlineStr">
        <is>
          <t>LINKÖPING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29027-2025</t>
        </is>
      </c>
      <c r="B304" s="1" t="n">
        <v>45821.4375462963</v>
      </c>
      <c r="C304" s="1" t="n">
        <v>46042</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35463-2023</t>
        </is>
      </c>
      <c r="B305" s="1" t="n">
        <v>45146</v>
      </c>
      <c r="C305" s="1" t="n">
        <v>46042</v>
      </c>
      <c r="D305" t="inlineStr">
        <is>
          <t>ÖSTERGÖTLANDS LÄN</t>
        </is>
      </c>
      <c r="E305" t="inlineStr">
        <is>
          <t>LINKÖPING</t>
        </is>
      </c>
      <c r="F305" t="inlineStr">
        <is>
          <t>Övriga Aktiebolag</t>
        </is>
      </c>
      <c r="G305" t="n">
        <v>1.8</v>
      </c>
      <c r="H305" t="n">
        <v>0</v>
      </c>
      <c r="I305" t="n">
        <v>0</v>
      </c>
      <c r="J305" t="n">
        <v>0</v>
      </c>
      <c r="K305" t="n">
        <v>0</v>
      </c>
      <c r="L305" t="n">
        <v>0</v>
      </c>
      <c r="M305" t="n">
        <v>0</v>
      </c>
      <c r="N305" t="n">
        <v>0</v>
      </c>
      <c r="O305" t="n">
        <v>0</v>
      </c>
      <c r="P305" t="n">
        <v>0</v>
      </c>
      <c r="Q305" t="n">
        <v>0</v>
      </c>
      <c r="R305" s="2" t="inlineStr"/>
    </row>
    <row r="306" ht="15" customHeight="1">
      <c r="A306" t="inlineStr">
        <is>
          <t>A 29411-2025</t>
        </is>
      </c>
      <c r="B306" s="1" t="n">
        <v>45824.6219212963</v>
      </c>
      <c r="C306" s="1" t="n">
        <v>46042</v>
      </c>
      <c r="D306" t="inlineStr">
        <is>
          <t>ÖSTERGÖTLANDS LÄN</t>
        </is>
      </c>
      <c r="E306" t="inlineStr">
        <is>
          <t>LINKÖPING</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29393-2025</t>
        </is>
      </c>
      <c r="B307" s="1" t="n">
        <v>45824.6057175926</v>
      </c>
      <c r="C307" s="1" t="n">
        <v>46042</v>
      </c>
      <c r="D307" t="inlineStr">
        <is>
          <t>ÖSTERGÖTLANDS LÄN</t>
        </is>
      </c>
      <c r="E307" t="inlineStr">
        <is>
          <t>LINKÖPING</t>
        </is>
      </c>
      <c r="F307" t="inlineStr">
        <is>
          <t>Sveaskog</t>
        </is>
      </c>
      <c r="G307" t="n">
        <v>24.6</v>
      </c>
      <c r="H307" t="n">
        <v>0</v>
      </c>
      <c r="I307" t="n">
        <v>0</v>
      </c>
      <c r="J307" t="n">
        <v>0</v>
      </c>
      <c r="K307" t="n">
        <v>0</v>
      </c>
      <c r="L307" t="n">
        <v>0</v>
      </c>
      <c r="M307" t="n">
        <v>0</v>
      </c>
      <c r="N307" t="n">
        <v>0</v>
      </c>
      <c r="O307" t="n">
        <v>0</v>
      </c>
      <c r="P307" t="n">
        <v>0</v>
      </c>
      <c r="Q307" t="n">
        <v>0</v>
      </c>
      <c r="R307" s="2" t="inlineStr"/>
    </row>
    <row r="308" ht="15" customHeight="1">
      <c r="A308" t="inlineStr">
        <is>
          <t>A 55632-2022</t>
        </is>
      </c>
      <c r="B308" s="1" t="n">
        <v>44888</v>
      </c>
      <c r="C308" s="1" t="n">
        <v>46042</v>
      </c>
      <c r="D308" t="inlineStr">
        <is>
          <t>ÖSTERGÖTLANDS LÄN</t>
        </is>
      </c>
      <c r="E308" t="inlineStr">
        <is>
          <t>LINKÖPING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29599-2025</t>
        </is>
      </c>
      <c r="B309" s="1" t="n">
        <v>45825.41101851852</v>
      </c>
      <c r="C309" s="1" t="n">
        <v>46042</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63559-2023</t>
        </is>
      </c>
      <c r="B310" s="1" t="n">
        <v>45275.35924768518</v>
      </c>
      <c r="C310" s="1" t="n">
        <v>46042</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58114-2021</t>
        </is>
      </c>
      <c r="B311" s="1" t="n">
        <v>44487</v>
      </c>
      <c r="C311" s="1" t="n">
        <v>46042</v>
      </c>
      <c r="D311" t="inlineStr">
        <is>
          <t>ÖSTERGÖTLANDS LÄN</t>
        </is>
      </c>
      <c r="E311" t="inlineStr">
        <is>
          <t>LINKÖPING</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30355-2025</t>
        </is>
      </c>
      <c r="B312" s="1" t="n">
        <v>45827</v>
      </c>
      <c r="C312" s="1" t="n">
        <v>46042</v>
      </c>
      <c r="D312" t="inlineStr">
        <is>
          <t>ÖSTERGÖTLANDS LÄN</t>
        </is>
      </c>
      <c r="E312" t="inlineStr">
        <is>
          <t>LINKÖPING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44170-2025</t>
        </is>
      </c>
      <c r="B313" s="1" t="n">
        <v>45915.59864583334</v>
      </c>
      <c r="C313" s="1" t="n">
        <v>46042</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30353-2025</t>
        </is>
      </c>
      <c r="B314" s="1" t="n">
        <v>45827</v>
      </c>
      <c r="C314" s="1" t="n">
        <v>46042</v>
      </c>
      <c r="D314" t="inlineStr">
        <is>
          <t>ÖSTERGÖTLANDS LÄN</t>
        </is>
      </c>
      <c r="E314" t="inlineStr">
        <is>
          <t>LINKÖPING</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55944-2024</t>
        </is>
      </c>
      <c r="B315" s="1" t="n">
        <v>45623.61640046296</v>
      </c>
      <c r="C315" s="1" t="n">
        <v>46042</v>
      </c>
      <c r="D315" t="inlineStr">
        <is>
          <t>ÖSTERGÖTLANDS LÄN</t>
        </is>
      </c>
      <c r="E315" t="inlineStr">
        <is>
          <t>LINKÖPING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55947-2024</t>
        </is>
      </c>
      <c r="B316" s="1" t="n">
        <v>45623</v>
      </c>
      <c r="C316" s="1" t="n">
        <v>46042</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43755-2025</t>
        </is>
      </c>
      <c r="B317" s="1" t="n">
        <v>45912.47329861111</v>
      </c>
      <c r="C317" s="1" t="n">
        <v>46042</v>
      </c>
      <c r="D317" t="inlineStr">
        <is>
          <t>ÖSTERGÖTLANDS LÄN</t>
        </is>
      </c>
      <c r="E317" t="inlineStr">
        <is>
          <t>LINKÖPING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46042</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3374-2023</t>
        </is>
      </c>
      <c r="B319" s="1" t="n">
        <v>44949</v>
      </c>
      <c r="C319" s="1" t="n">
        <v>46042</v>
      </c>
      <c r="D319" t="inlineStr">
        <is>
          <t>ÖSTERGÖTLANDS LÄN</t>
        </is>
      </c>
      <c r="E319" t="inlineStr">
        <is>
          <t>LINKÖPING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43753-2025</t>
        </is>
      </c>
      <c r="B320" s="1" t="n">
        <v>45912.4715625</v>
      </c>
      <c r="C320" s="1" t="n">
        <v>46042</v>
      </c>
      <c r="D320" t="inlineStr">
        <is>
          <t>ÖSTERGÖTLANDS LÄN</t>
        </is>
      </c>
      <c r="E320" t="inlineStr">
        <is>
          <t>LINKÖPING</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24151-2024</t>
        </is>
      </c>
      <c r="B321" s="1" t="n">
        <v>45456.67717592593</v>
      </c>
      <c r="C321" s="1" t="n">
        <v>46042</v>
      </c>
      <c r="D321" t="inlineStr">
        <is>
          <t>ÖSTERGÖTLANDS LÄN</t>
        </is>
      </c>
      <c r="E321" t="inlineStr">
        <is>
          <t>LINKÖPING</t>
        </is>
      </c>
      <c r="G321" t="n">
        <v>2.1</v>
      </c>
      <c r="H321" t="n">
        <v>0</v>
      </c>
      <c r="I321" t="n">
        <v>0</v>
      </c>
      <c r="J321" t="n">
        <v>0</v>
      </c>
      <c r="K321" t="n">
        <v>0</v>
      </c>
      <c r="L321" t="n">
        <v>0</v>
      </c>
      <c r="M321" t="n">
        <v>0</v>
      </c>
      <c r="N321" t="n">
        <v>0</v>
      </c>
      <c r="O321" t="n">
        <v>0</v>
      </c>
      <c r="P321" t="n">
        <v>0</v>
      </c>
      <c r="Q321" t="n">
        <v>0</v>
      </c>
      <c r="R321" s="2" t="inlineStr"/>
    </row>
    <row r="322" ht="15" customHeight="1">
      <c r="A322" t="inlineStr">
        <is>
          <t>A 44759-2025</t>
        </is>
      </c>
      <c r="B322" s="1" t="n">
        <v>45917.7152662037</v>
      </c>
      <c r="C322" s="1" t="n">
        <v>46042</v>
      </c>
      <c r="D322" t="inlineStr">
        <is>
          <t>ÖSTERGÖTLANDS LÄN</t>
        </is>
      </c>
      <c r="E322" t="inlineStr">
        <is>
          <t>LINKÖPING</t>
        </is>
      </c>
      <c r="G322" t="n">
        <v>1.6</v>
      </c>
      <c r="H322" t="n">
        <v>0</v>
      </c>
      <c r="I322" t="n">
        <v>0</v>
      </c>
      <c r="J322" t="n">
        <v>0</v>
      </c>
      <c r="K322" t="n">
        <v>0</v>
      </c>
      <c r="L322" t="n">
        <v>0</v>
      </c>
      <c r="M322" t="n">
        <v>0</v>
      </c>
      <c r="N322" t="n">
        <v>0</v>
      </c>
      <c r="O322" t="n">
        <v>0</v>
      </c>
      <c r="P322" t="n">
        <v>0</v>
      </c>
      <c r="Q322" t="n">
        <v>0</v>
      </c>
      <c r="R322" s="2" t="inlineStr"/>
    </row>
    <row r="323" ht="15" customHeight="1">
      <c r="A323" t="inlineStr">
        <is>
          <t>A 44764-2025</t>
        </is>
      </c>
      <c r="B323" s="1" t="n">
        <v>45917.72821759259</v>
      </c>
      <c r="C323" s="1" t="n">
        <v>46042</v>
      </c>
      <c r="D323" t="inlineStr">
        <is>
          <t>ÖSTERGÖTLANDS LÄN</t>
        </is>
      </c>
      <c r="E323" t="inlineStr">
        <is>
          <t>LINKÖPING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14576-2023</t>
        </is>
      </c>
      <c r="B324" s="1" t="n">
        <v>45013</v>
      </c>
      <c r="C324" s="1" t="n">
        <v>46042</v>
      </c>
      <c r="D324" t="inlineStr">
        <is>
          <t>ÖSTERGÖTLANDS LÄN</t>
        </is>
      </c>
      <c r="E324" t="inlineStr">
        <is>
          <t>LINKÖPING</t>
        </is>
      </c>
      <c r="G324" t="n">
        <v>3.2</v>
      </c>
      <c r="H324" t="n">
        <v>0</v>
      </c>
      <c r="I324" t="n">
        <v>0</v>
      </c>
      <c r="J324" t="n">
        <v>0</v>
      </c>
      <c r="K324" t="n">
        <v>0</v>
      </c>
      <c r="L324" t="n">
        <v>0</v>
      </c>
      <c r="M324" t="n">
        <v>0</v>
      </c>
      <c r="N324" t="n">
        <v>0</v>
      </c>
      <c r="O324" t="n">
        <v>0</v>
      </c>
      <c r="P324" t="n">
        <v>0</v>
      </c>
      <c r="Q324" t="n">
        <v>0</v>
      </c>
      <c r="R324" s="2" t="inlineStr"/>
    </row>
    <row r="325" ht="15" customHeight="1">
      <c r="A325" t="inlineStr">
        <is>
          <t>A 31581-2025</t>
        </is>
      </c>
      <c r="B325" s="1" t="n">
        <v>45833.6840162037</v>
      </c>
      <c r="C325" s="1" t="n">
        <v>46042</v>
      </c>
      <c r="D325" t="inlineStr">
        <is>
          <t>ÖSTERGÖTLANDS LÄN</t>
        </is>
      </c>
      <c r="E325" t="inlineStr">
        <is>
          <t>LINKÖPING</t>
        </is>
      </c>
      <c r="G325" t="n">
        <v>2.6</v>
      </c>
      <c r="H325" t="n">
        <v>0</v>
      </c>
      <c r="I325" t="n">
        <v>0</v>
      </c>
      <c r="J325" t="n">
        <v>0</v>
      </c>
      <c r="K325" t="n">
        <v>0</v>
      </c>
      <c r="L325" t="n">
        <v>0</v>
      </c>
      <c r="M325" t="n">
        <v>0</v>
      </c>
      <c r="N325" t="n">
        <v>0</v>
      </c>
      <c r="O325" t="n">
        <v>0</v>
      </c>
      <c r="P325" t="n">
        <v>0</v>
      </c>
      <c r="Q325" t="n">
        <v>0</v>
      </c>
      <c r="R325" s="2" t="inlineStr"/>
    </row>
    <row r="326" ht="15" customHeight="1">
      <c r="A326" t="inlineStr">
        <is>
          <t>A 31585-2025</t>
        </is>
      </c>
      <c r="B326" s="1" t="n">
        <v>45833.68815972222</v>
      </c>
      <c r="C326" s="1" t="n">
        <v>46042</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45112-2025</t>
        </is>
      </c>
      <c r="B327" s="1" t="n">
        <v>45919</v>
      </c>
      <c r="C327" s="1" t="n">
        <v>46042</v>
      </c>
      <c r="D327" t="inlineStr">
        <is>
          <t>ÖSTERGÖTLANDS LÄN</t>
        </is>
      </c>
      <c r="E327" t="inlineStr">
        <is>
          <t>LINKÖPING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74160-2021</t>
        </is>
      </c>
      <c r="B328" s="1" t="n">
        <v>44558</v>
      </c>
      <c r="C328" s="1" t="n">
        <v>46042</v>
      </c>
      <c r="D328" t="inlineStr">
        <is>
          <t>ÖSTERGÖTLANDS LÄN</t>
        </is>
      </c>
      <c r="E328" t="inlineStr">
        <is>
          <t>LINKÖPING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45634-2025</t>
        </is>
      </c>
      <c r="B329" s="1" t="n">
        <v>45922.85089120371</v>
      </c>
      <c r="C329" s="1" t="n">
        <v>46042</v>
      </c>
      <c r="D329" t="inlineStr">
        <is>
          <t>ÖSTERGÖTLANDS LÄN</t>
        </is>
      </c>
      <c r="E329" t="inlineStr">
        <is>
          <t>LINKÖPING</t>
        </is>
      </c>
      <c r="F329" t="inlineStr">
        <is>
          <t>Övriga Aktiebolag</t>
        </is>
      </c>
      <c r="G329" t="n">
        <v>0.3</v>
      </c>
      <c r="H329" t="n">
        <v>0</v>
      </c>
      <c r="I329" t="n">
        <v>0</v>
      </c>
      <c r="J329" t="n">
        <v>0</v>
      </c>
      <c r="K329" t="n">
        <v>0</v>
      </c>
      <c r="L329" t="n">
        <v>0</v>
      </c>
      <c r="M329" t="n">
        <v>0</v>
      </c>
      <c r="N329" t="n">
        <v>0</v>
      </c>
      <c r="O329" t="n">
        <v>0</v>
      </c>
      <c r="P329" t="n">
        <v>0</v>
      </c>
      <c r="Q329" t="n">
        <v>0</v>
      </c>
      <c r="R329" s="2" t="inlineStr"/>
    </row>
    <row r="330" ht="15" customHeight="1">
      <c r="A330" t="inlineStr">
        <is>
          <t>A 27766-2022</t>
        </is>
      </c>
      <c r="B330" s="1" t="n">
        <v>44743.53112268518</v>
      </c>
      <c r="C330" s="1" t="n">
        <v>46042</v>
      </c>
      <c r="D330" t="inlineStr">
        <is>
          <t>ÖSTERGÖTLANDS LÄN</t>
        </is>
      </c>
      <c r="E330" t="inlineStr">
        <is>
          <t>LINKÖPING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53641-2023</t>
        </is>
      </c>
      <c r="B331" s="1" t="n">
        <v>45230</v>
      </c>
      <c r="C331" s="1" t="n">
        <v>46042</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45792-2025</t>
        </is>
      </c>
      <c r="B332" s="1" t="n">
        <v>45923.56998842592</v>
      </c>
      <c r="C332" s="1" t="n">
        <v>46042</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45804-2025</t>
        </is>
      </c>
      <c r="B333" s="1" t="n">
        <v>45923.5819675926</v>
      </c>
      <c r="C333" s="1" t="n">
        <v>46042</v>
      </c>
      <c r="D333" t="inlineStr">
        <is>
          <t>ÖSTERGÖTLANDS LÄN</t>
        </is>
      </c>
      <c r="E333" t="inlineStr">
        <is>
          <t>LINKÖPING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33000-2023</t>
        </is>
      </c>
      <c r="B334" s="1" t="n">
        <v>45125</v>
      </c>
      <c r="C334" s="1" t="n">
        <v>46042</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52892-2024</t>
        </is>
      </c>
      <c r="B335" s="1" t="n">
        <v>45610</v>
      </c>
      <c r="C335" s="1" t="n">
        <v>46042</v>
      </c>
      <c r="D335" t="inlineStr">
        <is>
          <t>ÖSTERGÖTLANDS LÄN</t>
        </is>
      </c>
      <c r="E335" t="inlineStr">
        <is>
          <t>LINKÖPING</t>
        </is>
      </c>
      <c r="G335" t="n">
        <v>4.2</v>
      </c>
      <c r="H335" t="n">
        <v>0</v>
      </c>
      <c r="I335" t="n">
        <v>0</v>
      </c>
      <c r="J335" t="n">
        <v>0</v>
      </c>
      <c r="K335" t="n">
        <v>0</v>
      </c>
      <c r="L335" t="n">
        <v>0</v>
      </c>
      <c r="M335" t="n">
        <v>0</v>
      </c>
      <c r="N335" t="n">
        <v>0</v>
      </c>
      <c r="O335" t="n">
        <v>0</v>
      </c>
      <c r="P335" t="n">
        <v>0</v>
      </c>
      <c r="Q335" t="n">
        <v>0</v>
      </c>
      <c r="R335" s="2" t="inlineStr"/>
    </row>
    <row r="336" ht="15" customHeight="1">
      <c r="A336" t="inlineStr">
        <is>
          <t>A 46426-2025</t>
        </is>
      </c>
      <c r="B336" s="1" t="n">
        <v>45925.6012962963</v>
      </c>
      <c r="C336" s="1" t="n">
        <v>46042</v>
      </c>
      <c r="D336" t="inlineStr">
        <is>
          <t>ÖSTERGÖTLANDS LÄN</t>
        </is>
      </c>
      <c r="E336" t="inlineStr">
        <is>
          <t>LINKÖPING</t>
        </is>
      </c>
      <c r="G336" t="n">
        <v>4.4</v>
      </c>
      <c r="H336" t="n">
        <v>0</v>
      </c>
      <c r="I336" t="n">
        <v>0</v>
      </c>
      <c r="J336" t="n">
        <v>0</v>
      </c>
      <c r="K336" t="n">
        <v>0</v>
      </c>
      <c r="L336" t="n">
        <v>0</v>
      </c>
      <c r="M336" t="n">
        <v>0</v>
      </c>
      <c r="N336" t="n">
        <v>0</v>
      </c>
      <c r="O336" t="n">
        <v>0</v>
      </c>
      <c r="P336" t="n">
        <v>0</v>
      </c>
      <c r="Q336" t="n">
        <v>0</v>
      </c>
      <c r="R336" s="2" t="inlineStr"/>
    </row>
    <row r="337" ht="15" customHeight="1">
      <c r="A337" t="inlineStr">
        <is>
          <t>A 32723-2025</t>
        </is>
      </c>
      <c r="B337" s="1" t="n">
        <v>45838</v>
      </c>
      <c r="C337" s="1" t="n">
        <v>46042</v>
      </c>
      <c r="D337" t="inlineStr">
        <is>
          <t>ÖSTERGÖTLANDS LÄN</t>
        </is>
      </c>
      <c r="E337" t="inlineStr">
        <is>
          <t>LINKÖPING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30521-2024</t>
        </is>
      </c>
      <c r="B338" s="1" t="n">
        <v>45492</v>
      </c>
      <c r="C338" s="1" t="n">
        <v>46042</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46428-2025</t>
        </is>
      </c>
      <c r="B339" s="1" t="n">
        <v>45925.60758101852</v>
      </c>
      <c r="C339" s="1" t="n">
        <v>46042</v>
      </c>
      <c r="D339" t="inlineStr">
        <is>
          <t>ÖSTERGÖTLANDS LÄN</t>
        </is>
      </c>
      <c r="E339" t="inlineStr">
        <is>
          <t>LINKÖPING</t>
        </is>
      </c>
      <c r="G339" t="n">
        <v>3</v>
      </c>
      <c r="H339" t="n">
        <v>0</v>
      </c>
      <c r="I339" t="n">
        <v>0</v>
      </c>
      <c r="J339" t="n">
        <v>0</v>
      </c>
      <c r="K339" t="n">
        <v>0</v>
      </c>
      <c r="L339" t="n">
        <v>0</v>
      </c>
      <c r="M339" t="n">
        <v>0</v>
      </c>
      <c r="N339" t="n">
        <v>0</v>
      </c>
      <c r="O339" t="n">
        <v>0</v>
      </c>
      <c r="P339" t="n">
        <v>0</v>
      </c>
      <c r="Q339" t="n">
        <v>0</v>
      </c>
      <c r="R339" s="2" t="inlineStr"/>
    </row>
    <row r="340" ht="15" customHeight="1">
      <c r="A340" t="inlineStr">
        <is>
          <t>A 51191-2022</t>
        </is>
      </c>
      <c r="B340" s="1" t="n">
        <v>44865</v>
      </c>
      <c r="C340" s="1" t="n">
        <v>46042</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46377-2025</t>
        </is>
      </c>
      <c r="B341" s="1" t="n">
        <v>45925.51773148148</v>
      </c>
      <c r="C341" s="1" t="n">
        <v>46042</v>
      </c>
      <c r="D341" t="inlineStr">
        <is>
          <t>ÖSTERGÖTLANDS LÄN</t>
        </is>
      </c>
      <c r="E341" t="inlineStr">
        <is>
          <t>LINKÖPING</t>
        </is>
      </c>
      <c r="G341" t="n">
        <v>3.1</v>
      </c>
      <c r="H341" t="n">
        <v>0</v>
      </c>
      <c r="I341" t="n">
        <v>0</v>
      </c>
      <c r="J341" t="n">
        <v>0</v>
      </c>
      <c r="K341" t="n">
        <v>0</v>
      </c>
      <c r="L341" t="n">
        <v>0</v>
      </c>
      <c r="M341" t="n">
        <v>0</v>
      </c>
      <c r="N341" t="n">
        <v>0</v>
      </c>
      <c r="O341" t="n">
        <v>0</v>
      </c>
      <c r="P341" t="n">
        <v>0</v>
      </c>
      <c r="Q341" t="n">
        <v>0</v>
      </c>
      <c r="R341" s="2" t="inlineStr"/>
    </row>
    <row r="342" ht="15" customHeight="1">
      <c r="A342" t="inlineStr">
        <is>
          <t>A 12289-2025</t>
        </is>
      </c>
      <c r="B342" s="1" t="n">
        <v>45729</v>
      </c>
      <c r="C342" s="1" t="n">
        <v>46042</v>
      </c>
      <c r="D342" t="inlineStr">
        <is>
          <t>ÖSTERGÖTLANDS LÄN</t>
        </is>
      </c>
      <c r="E342" t="inlineStr">
        <is>
          <t>LINKÖPING</t>
        </is>
      </c>
      <c r="F342" t="inlineStr">
        <is>
          <t>Övriga statliga verk och myndigheter</t>
        </is>
      </c>
      <c r="G342" t="n">
        <v>6.5</v>
      </c>
      <c r="H342" t="n">
        <v>0</v>
      </c>
      <c r="I342" t="n">
        <v>0</v>
      </c>
      <c r="J342" t="n">
        <v>0</v>
      </c>
      <c r="K342" t="n">
        <v>0</v>
      </c>
      <c r="L342" t="n">
        <v>0</v>
      </c>
      <c r="M342" t="n">
        <v>0</v>
      </c>
      <c r="N342" t="n">
        <v>0</v>
      </c>
      <c r="O342" t="n">
        <v>0</v>
      </c>
      <c r="P342" t="n">
        <v>0</v>
      </c>
      <c r="Q342" t="n">
        <v>0</v>
      </c>
      <c r="R342" s="2" t="inlineStr"/>
    </row>
    <row r="343" ht="15" customHeight="1">
      <c r="A343" t="inlineStr">
        <is>
          <t>A 9434-2024</t>
        </is>
      </c>
      <c r="B343" s="1" t="n">
        <v>45359</v>
      </c>
      <c r="C343" s="1" t="n">
        <v>46042</v>
      </c>
      <c r="D343" t="inlineStr">
        <is>
          <t>ÖSTERGÖTLANDS LÄN</t>
        </is>
      </c>
      <c r="E343" t="inlineStr">
        <is>
          <t>LINKÖPING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42054-2022</t>
        </is>
      </c>
      <c r="B344" s="1" t="n">
        <v>44830</v>
      </c>
      <c r="C344" s="1" t="n">
        <v>46042</v>
      </c>
      <c r="D344" t="inlineStr">
        <is>
          <t>ÖSTERGÖTLANDS LÄN</t>
        </is>
      </c>
      <c r="E344" t="inlineStr">
        <is>
          <t>LINKÖPING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50182-2023</t>
        </is>
      </c>
      <c r="B345" s="1" t="n">
        <v>45208</v>
      </c>
      <c r="C345" s="1" t="n">
        <v>46042</v>
      </c>
      <c r="D345" t="inlineStr">
        <is>
          <t>ÖSTERGÖTLANDS LÄN</t>
        </is>
      </c>
      <c r="E345" t="inlineStr">
        <is>
          <t>LINKÖPING</t>
        </is>
      </c>
      <c r="G345" t="n">
        <v>2.5</v>
      </c>
      <c r="H345" t="n">
        <v>0</v>
      </c>
      <c r="I345" t="n">
        <v>0</v>
      </c>
      <c r="J345" t="n">
        <v>0</v>
      </c>
      <c r="K345" t="n">
        <v>0</v>
      </c>
      <c r="L345" t="n">
        <v>0</v>
      </c>
      <c r="M345" t="n">
        <v>0</v>
      </c>
      <c r="N345" t="n">
        <v>0</v>
      </c>
      <c r="O345" t="n">
        <v>0</v>
      </c>
      <c r="P345" t="n">
        <v>0</v>
      </c>
      <c r="Q345" t="n">
        <v>0</v>
      </c>
      <c r="R345" s="2" t="inlineStr"/>
    </row>
    <row r="346" ht="15" customHeight="1">
      <c r="A346" t="inlineStr">
        <is>
          <t>A 35781-2023</t>
        </is>
      </c>
      <c r="B346" s="1" t="n">
        <v>45147</v>
      </c>
      <c r="C346" s="1" t="n">
        <v>46042</v>
      </c>
      <c r="D346" t="inlineStr">
        <is>
          <t>ÖSTERGÖTLANDS LÄN</t>
        </is>
      </c>
      <c r="E346" t="inlineStr">
        <is>
          <t>LINKÖPING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46847-2025</t>
        </is>
      </c>
      <c r="B347" s="1" t="n">
        <v>45928.69971064815</v>
      </c>
      <c r="C347" s="1" t="n">
        <v>46042</v>
      </c>
      <c r="D347" t="inlineStr">
        <is>
          <t>ÖSTERGÖTLANDS LÄN</t>
        </is>
      </c>
      <c r="E347" t="inlineStr">
        <is>
          <t>LINKÖPING</t>
        </is>
      </c>
      <c r="G347" t="n">
        <v>4.6</v>
      </c>
      <c r="H347" t="n">
        <v>0</v>
      </c>
      <c r="I347" t="n">
        <v>0</v>
      </c>
      <c r="J347" t="n">
        <v>0</v>
      </c>
      <c r="K347" t="n">
        <v>0</v>
      </c>
      <c r="L347" t="n">
        <v>0</v>
      </c>
      <c r="M347" t="n">
        <v>0</v>
      </c>
      <c r="N347" t="n">
        <v>0</v>
      </c>
      <c r="O347" t="n">
        <v>0</v>
      </c>
      <c r="P347" t="n">
        <v>0</v>
      </c>
      <c r="Q347" t="n">
        <v>0</v>
      </c>
      <c r="R347" s="2" t="inlineStr"/>
    </row>
    <row r="348" ht="15" customHeight="1">
      <c r="A348" t="inlineStr">
        <is>
          <t>A 33947-2025</t>
        </is>
      </c>
      <c r="B348" s="1" t="n">
        <v>45842.65444444444</v>
      </c>
      <c r="C348" s="1" t="n">
        <v>46042</v>
      </c>
      <c r="D348" t="inlineStr">
        <is>
          <t>ÖSTERGÖTLANDS LÄN</t>
        </is>
      </c>
      <c r="E348" t="inlineStr">
        <is>
          <t>LINKÖPING</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53529-2024</t>
        </is>
      </c>
      <c r="B349" s="1" t="n">
        <v>45614</v>
      </c>
      <c r="C349" s="1" t="n">
        <v>46042</v>
      </c>
      <c r="D349" t="inlineStr">
        <is>
          <t>ÖSTERGÖTLANDS LÄN</t>
        </is>
      </c>
      <c r="E349" t="inlineStr">
        <is>
          <t>LINKÖPING</t>
        </is>
      </c>
      <c r="G349" t="n">
        <v>6.7</v>
      </c>
      <c r="H349" t="n">
        <v>0</v>
      </c>
      <c r="I349" t="n">
        <v>0</v>
      </c>
      <c r="J349" t="n">
        <v>0</v>
      </c>
      <c r="K349" t="n">
        <v>0</v>
      </c>
      <c r="L349" t="n">
        <v>0</v>
      </c>
      <c r="M349" t="n">
        <v>0</v>
      </c>
      <c r="N349" t="n">
        <v>0</v>
      </c>
      <c r="O349" t="n">
        <v>0</v>
      </c>
      <c r="P349" t="n">
        <v>0</v>
      </c>
      <c r="Q349" t="n">
        <v>0</v>
      </c>
      <c r="R349" s="2" t="inlineStr"/>
    </row>
    <row r="350" ht="15" customHeight="1">
      <c r="A350" t="inlineStr">
        <is>
          <t>A 62012-2024</t>
        </is>
      </c>
      <c r="B350" s="1" t="n">
        <v>45655.79679398148</v>
      </c>
      <c r="C350" s="1" t="n">
        <v>46042</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6387-2022</t>
        </is>
      </c>
      <c r="B351" s="1" t="n">
        <v>44600</v>
      </c>
      <c r="C351" s="1" t="n">
        <v>46042</v>
      </c>
      <c r="D351" t="inlineStr">
        <is>
          <t>ÖSTERGÖTLANDS LÄN</t>
        </is>
      </c>
      <c r="E351" t="inlineStr">
        <is>
          <t>LINKÖPING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48707-2023</t>
        </is>
      </c>
      <c r="B352" s="1" t="n">
        <v>45202</v>
      </c>
      <c r="C352" s="1" t="n">
        <v>46042</v>
      </c>
      <c r="D352" t="inlineStr">
        <is>
          <t>ÖSTERGÖTLANDS LÄN</t>
        </is>
      </c>
      <c r="E352" t="inlineStr">
        <is>
          <t>LINKÖPING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47233-2025</t>
        </is>
      </c>
      <c r="B353" s="1" t="n">
        <v>45930.40612268518</v>
      </c>
      <c r="C353" s="1" t="n">
        <v>46042</v>
      </c>
      <c r="D353" t="inlineStr">
        <is>
          <t>ÖSTERGÖTLANDS LÄN</t>
        </is>
      </c>
      <c r="E353" t="inlineStr">
        <is>
          <t>LINKÖPING</t>
        </is>
      </c>
      <c r="G353" t="n">
        <v>4.3</v>
      </c>
      <c r="H353" t="n">
        <v>0</v>
      </c>
      <c r="I353" t="n">
        <v>0</v>
      </c>
      <c r="J353" t="n">
        <v>0</v>
      </c>
      <c r="K353" t="n">
        <v>0</v>
      </c>
      <c r="L353" t="n">
        <v>0</v>
      </c>
      <c r="M353" t="n">
        <v>0</v>
      </c>
      <c r="N353" t="n">
        <v>0</v>
      </c>
      <c r="O353" t="n">
        <v>0</v>
      </c>
      <c r="P353" t="n">
        <v>0</v>
      </c>
      <c r="Q353" t="n">
        <v>0</v>
      </c>
      <c r="R353" s="2" t="inlineStr"/>
    </row>
    <row r="354" ht="15" customHeight="1">
      <c r="A354" t="inlineStr">
        <is>
          <t>A 20469-2025</t>
        </is>
      </c>
      <c r="B354" s="1" t="n">
        <v>45775</v>
      </c>
      <c r="C354" s="1" t="n">
        <v>46042</v>
      </c>
      <c r="D354" t="inlineStr">
        <is>
          <t>ÖSTERGÖTLANDS LÄN</t>
        </is>
      </c>
      <c r="E354" t="inlineStr">
        <is>
          <t>LINKÖPING</t>
        </is>
      </c>
      <c r="F354" t="inlineStr">
        <is>
          <t>Kyrkan</t>
        </is>
      </c>
      <c r="G354" t="n">
        <v>6.1</v>
      </c>
      <c r="H354" t="n">
        <v>0</v>
      </c>
      <c r="I354" t="n">
        <v>0</v>
      </c>
      <c r="J354" t="n">
        <v>0</v>
      </c>
      <c r="K354" t="n">
        <v>0</v>
      </c>
      <c r="L354" t="n">
        <v>0</v>
      </c>
      <c r="M354" t="n">
        <v>0</v>
      </c>
      <c r="N354" t="n">
        <v>0</v>
      </c>
      <c r="O354" t="n">
        <v>0</v>
      </c>
      <c r="P354" t="n">
        <v>0</v>
      </c>
      <c r="Q354" t="n">
        <v>0</v>
      </c>
      <c r="R354" s="2" t="inlineStr"/>
    </row>
    <row r="355" ht="15" customHeight="1">
      <c r="A355" t="inlineStr">
        <is>
          <t>A 47606-2025</t>
        </is>
      </c>
      <c r="B355" s="1" t="n">
        <v>45931.46402777778</v>
      </c>
      <c r="C355" s="1" t="n">
        <v>46042</v>
      </c>
      <c r="D355" t="inlineStr">
        <is>
          <t>ÖSTERGÖTLANDS LÄN</t>
        </is>
      </c>
      <c r="E355" t="inlineStr">
        <is>
          <t>LINKÖPING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47304-2025</t>
        </is>
      </c>
      <c r="B356" s="1" t="n">
        <v>45930.52037037037</v>
      </c>
      <c r="C356" s="1" t="n">
        <v>46042</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12089-2025</t>
        </is>
      </c>
      <c r="B357" s="1" t="n">
        <v>45729</v>
      </c>
      <c r="C357" s="1" t="n">
        <v>46042</v>
      </c>
      <c r="D357" t="inlineStr">
        <is>
          <t>ÖSTERGÖTLANDS LÄN</t>
        </is>
      </c>
      <c r="E357" t="inlineStr">
        <is>
          <t>LINKÖPING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33800-2023</t>
        </is>
      </c>
      <c r="B358" s="1" t="n">
        <v>45121</v>
      </c>
      <c r="C358" s="1" t="n">
        <v>46042</v>
      </c>
      <c r="D358" t="inlineStr">
        <is>
          <t>ÖSTERGÖTLANDS LÄN</t>
        </is>
      </c>
      <c r="E358" t="inlineStr">
        <is>
          <t>LINKÖPING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26007-2025</t>
        </is>
      </c>
      <c r="B359" s="1" t="n">
        <v>45804.67081018518</v>
      </c>
      <c r="C359" s="1" t="n">
        <v>46042</v>
      </c>
      <c r="D359" t="inlineStr">
        <is>
          <t>ÖSTERGÖTLANDS LÄN</t>
        </is>
      </c>
      <c r="E359" t="inlineStr">
        <is>
          <t>LINKÖPING</t>
        </is>
      </c>
      <c r="G359" t="n">
        <v>1.5</v>
      </c>
      <c r="H359" t="n">
        <v>0</v>
      </c>
      <c r="I359" t="n">
        <v>0</v>
      </c>
      <c r="J359" t="n">
        <v>0</v>
      </c>
      <c r="K359" t="n">
        <v>0</v>
      </c>
      <c r="L359" t="n">
        <v>0</v>
      </c>
      <c r="M359" t="n">
        <v>0</v>
      </c>
      <c r="N359" t="n">
        <v>0</v>
      </c>
      <c r="O359" t="n">
        <v>0</v>
      </c>
      <c r="P359" t="n">
        <v>0</v>
      </c>
      <c r="Q359" t="n">
        <v>0</v>
      </c>
      <c r="R359" s="2" t="inlineStr"/>
    </row>
    <row r="360" ht="15" customHeight="1">
      <c r="A360" t="inlineStr">
        <is>
          <t>A 15658-2023</t>
        </is>
      </c>
      <c r="B360" s="1" t="n">
        <v>45021.41194444444</v>
      </c>
      <c r="C360" s="1" t="n">
        <v>46042</v>
      </c>
      <c r="D360" t="inlineStr">
        <is>
          <t>ÖSTERGÖTLANDS LÄN</t>
        </is>
      </c>
      <c r="E360" t="inlineStr">
        <is>
          <t>LINKÖPING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35174-2025</t>
        </is>
      </c>
      <c r="B361" s="1" t="n">
        <v>45852.90648148148</v>
      </c>
      <c r="C361" s="1" t="n">
        <v>46042</v>
      </c>
      <c r="D361" t="inlineStr">
        <is>
          <t>ÖSTERGÖTLANDS LÄN</t>
        </is>
      </c>
      <c r="E361" t="inlineStr">
        <is>
          <t>LINKÖPING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47991-2023</t>
        </is>
      </c>
      <c r="B362" s="1" t="n">
        <v>45204.62655092592</v>
      </c>
      <c r="C362" s="1" t="n">
        <v>46042</v>
      </c>
      <c r="D362" t="inlineStr">
        <is>
          <t>ÖSTERGÖTLANDS LÄN</t>
        </is>
      </c>
      <c r="E362" t="inlineStr">
        <is>
          <t>LINKÖPING</t>
        </is>
      </c>
      <c r="F362" t="inlineStr">
        <is>
          <t>Allmännings- och besparingsskogar</t>
        </is>
      </c>
      <c r="G362" t="n">
        <v>7.3</v>
      </c>
      <c r="H362" t="n">
        <v>0</v>
      </c>
      <c r="I362" t="n">
        <v>0</v>
      </c>
      <c r="J362" t="n">
        <v>0</v>
      </c>
      <c r="K362" t="n">
        <v>0</v>
      </c>
      <c r="L362" t="n">
        <v>0</v>
      </c>
      <c r="M362" t="n">
        <v>0</v>
      </c>
      <c r="N362" t="n">
        <v>0</v>
      </c>
      <c r="O362" t="n">
        <v>0</v>
      </c>
      <c r="P362" t="n">
        <v>0</v>
      </c>
      <c r="Q362" t="n">
        <v>0</v>
      </c>
      <c r="R362" s="2" t="inlineStr"/>
    </row>
    <row r="363" ht="15" customHeight="1">
      <c r="A363" t="inlineStr">
        <is>
          <t>A 48343-2025</t>
        </is>
      </c>
      <c r="B363" s="1" t="n">
        <v>45932</v>
      </c>
      <c r="C363" s="1" t="n">
        <v>46042</v>
      </c>
      <c r="D363" t="inlineStr">
        <is>
          <t>ÖSTERGÖTLANDS LÄN</t>
        </is>
      </c>
      <c r="E363" t="inlineStr">
        <is>
          <t>LINKÖPING</t>
        </is>
      </c>
      <c r="F363" t="inlineStr">
        <is>
          <t>Övriga Aktiebolag</t>
        </is>
      </c>
      <c r="G363" t="n">
        <v>2</v>
      </c>
      <c r="H363" t="n">
        <v>0</v>
      </c>
      <c r="I363" t="n">
        <v>0</v>
      </c>
      <c r="J363" t="n">
        <v>0</v>
      </c>
      <c r="K363" t="n">
        <v>0</v>
      </c>
      <c r="L363" t="n">
        <v>0</v>
      </c>
      <c r="M363" t="n">
        <v>0</v>
      </c>
      <c r="N363" t="n">
        <v>0</v>
      </c>
      <c r="O363" t="n">
        <v>0</v>
      </c>
      <c r="P363" t="n">
        <v>0</v>
      </c>
      <c r="Q363" t="n">
        <v>0</v>
      </c>
      <c r="R363" s="2" t="inlineStr"/>
    </row>
    <row r="364" ht="15" customHeight="1">
      <c r="A364" t="inlineStr">
        <is>
          <t>A 48266-2025</t>
        </is>
      </c>
      <c r="B364" s="1" t="n">
        <v>45932</v>
      </c>
      <c r="C364" s="1" t="n">
        <v>46042</v>
      </c>
      <c r="D364" t="inlineStr">
        <is>
          <t>ÖSTERGÖTLANDS LÄN</t>
        </is>
      </c>
      <c r="E364" t="inlineStr">
        <is>
          <t>LINKÖPING</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35179-2025</t>
        </is>
      </c>
      <c r="B365" s="1" t="n">
        <v>45852.93737268518</v>
      </c>
      <c r="C365" s="1" t="n">
        <v>46042</v>
      </c>
      <c r="D365" t="inlineStr">
        <is>
          <t>ÖSTERGÖTLANDS LÄN</t>
        </is>
      </c>
      <c r="E365" t="inlineStr">
        <is>
          <t>LINKÖPING</t>
        </is>
      </c>
      <c r="G365" t="n">
        <v>2.2</v>
      </c>
      <c r="H365" t="n">
        <v>0</v>
      </c>
      <c r="I365" t="n">
        <v>0</v>
      </c>
      <c r="J365" t="n">
        <v>0</v>
      </c>
      <c r="K365" t="n">
        <v>0</v>
      </c>
      <c r="L365" t="n">
        <v>0</v>
      </c>
      <c r="M365" t="n">
        <v>0</v>
      </c>
      <c r="N365" t="n">
        <v>0</v>
      </c>
      <c r="O365" t="n">
        <v>0</v>
      </c>
      <c r="P365" t="n">
        <v>0</v>
      </c>
      <c r="Q365" t="n">
        <v>0</v>
      </c>
      <c r="R365" s="2" t="inlineStr"/>
    </row>
    <row r="366" ht="15" customHeight="1">
      <c r="A366" t="inlineStr">
        <is>
          <t>A 35180-2025</t>
        </is>
      </c>
      <c r="B366" s="1" t="n">
        <v>45852.9413425926</v>
      </c>
      <c r="C366" s="1" t="n">
        <v>46042</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35178-2025</t>
        </is>
      </c>
      <c r="B367" s="1" t="n">
        <v>45852.91939814815</v>
      </c>
      <c r="C367" s="1" t="n">
        <v>46042</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38886-2024</t>
        </is>
      </c>
      <c r="B368" s="1" t="n">
        <v>45547.66443287037</v>
      </c>
      <c r="C368" s="1" t="n">
        <v>46042</v>
      </c>
      <c r="D368" t="inlineStr">
        <is>
          <t>ÖSTERGÖTLANDS LÄN</t>
        </is>
      </c>
      <c r="E368" t="inlineStr">
        <is>
          <t>LINKÖPING</t>
        </is>
      </c>
      <c r="G368" t="n">
        <v>5.3</v>
      </c>
      <c r="H368" t="n">
        <v>0</v>
      </c>
      <c r="I368" t="n">
        <v>0</v>
      </c>
      <c r="J368" t="n">
        <v>0</v>
      </c>
      <c r="K368" t="n">
        <v>0</v>
      </c>
      <c r="L368" t="n">
        <v>0</v>
      </c>
      <c r="M368" t="n">
        <v>0</v>
      </c>
      <c r="N368" t="n">
        <v>0</v>
      </c>
      <c r="O368" t="n">
        <v>0</v>
      </c>
      <c r="P368" t="n">
        <v>0</v>
      </c>
      <c r="Q368" t="n">
        <v>0</v>
      </c>
      <c r="R368" s="2" t="inlineStr"/>
    </row>
    <row r="369" ht="15" customHeight="1">
      <c r="A369" t="inlineStr">
        <is>
          <t>A 51583-2024</t>
        </is>
      </c>
      <c r="B369" s="1" t="n">
        <v>45604.6397337963</v>
      </c>
      <c r="C369" s="1" t="n">
        <v>46042</v>
      </c>
      <c r="D369" t="inlineStr">
        <is>
          <t>ÖSTERGÖTLANDS LÄN</t>
        </is>
      </c>
      <c r="E369" t="inlineStr">
        <is>
          <t>LINKÖPING</t>
        </is>
      </c>
      <c r="F369" t="inlineStr">
        <is>
          <t>Övriga Aktiebolag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64694-2023</t>
        </is>
      </c>
      <c r="B370" s="1" t="n">
        <v>45281</v>
      </c>
      <c r="C370" s="1" t="n">
        <v>46042</v>
      </c>
      <c r="D370" t="inlineStr">
        <is>
          <t>ÖSTERGÖTLANDS LÄN</t>
        </is>
      </c>
      <c r="E370" t="inlineStr">
        <is>
          <t>LINKÖPING</t>
        </is>
      </c>
      <c r="F370" t="inlineStr">
        <is>
          <t>Övriga statliga verk och myndigheter</t>
        </is>
      </c>
      <c r="G370" t="n">
        <v>4.9</v>
      </c>
      <c r="H370" t="n">
        <v>0</v>
      </c>
      <c r="I370" t="n">
        <v>0</v>
      </c>
      <c r="J370" t="n">
        <v>0</v>
      </c>
      <c r="K370" t="n">
        <v>0</v>
      </c>
      <c r="L370" t="n">
        <v>0</v>
      </c>
      <c r="M370" t="n">
        <v>0</v>
      </c>
      <c r="N370" t="n">
        <v>0</v>
      </c>
      <c r="O370" t="n">
        <v>0</v>
      </c>
      <c r="P370" t="n">
        <v>0</v>
      </c>
      <c r="Q370" t="n">
        <v>0</v>
      </c>
      <c r="R370" s="2" t="inlineStr"/>
    </row>
    <row r="371" ht="15" customHeight="1">
      <c r="A371" t="inlineStr">
        <is>
          <t>A 48254-2025</t>
        </is>
      </c>
      <c r="B371" s="1" t="n">
        <v>45932</v>
      </c>
      <c r="C371" s="1" t="n">
        <v>46042</v>
      </c>
      <c r="D371" t="inlineStr">
        <is>
          <t>ÖSTERGÖTLANDS LÄN</t>
        </is>
      </c>
      <c r="E371" t="inlineStr">
        <is>
          <t>LINKÖPING</t>
        </is>
      </c>
      <c r="F371" t="inlineStr">
        <is>
          <t>Övriga Aktiebolag</t>
        </is>
      </c>
      <c r="G371" t="n">
        <v>0.8</v>
      </c>
      <c r="H371" t="n">
        <v>0</v>
      </c>
      <c r="I371" t="n">
        <v>0</v>
      </c>
      <c r="J371" t="n">
        <v>0</v>
      </c>
      <c r="K371" t="n">
        <v>0</v>
      </c>
      <c r="L371" t="n">
        <v>0</v>
      </c>
      <c r="M371" t="n">
        <v>0</v>
      </c>
      <c r="N371" t="n">
        <v>0</v>
      </c>
      <c r="O371" t="n">
        <v>0</v>
      </c>
      <c r="P371" t="n">
        <v>0</v>
      </c>
      <c r="Q371" t="n">
        <v>0</v>
      </c>
      <c r="R371" s="2" t="inlineStr"/>
    </row>
    <row r="372" ht="15" customHeight="1">
      <c r="A372" t="inlineStr">
        <is>
          <t>A 32602-2022</t>
        </is>
      </c>
      <c r="B372" s="1" t="n">
        <v>44783.43192129629</v>
      </c>
      <c r="C372" s="1" t="n">
        <v>46042</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62321-2022</t>
        </is>
      </c>
      <c r="B373" s="1" t="n">
        <v>44916</v>
      </c>
      <c r="C373" s="1" t="n">
        <v>46042</v>
      </c>
      <c r="D373" t="inlineStr">
        <is>
          <t>ÖSTERGÖTLANDS LÄN</t>
        </is>
      </c>
      <c r="E373" t="inlineStr">
        <is>
          <t>LINKÖPING</t>
        </is>
      </c>
      <c r="F373" t="inlineStr">
        <is>
          <t>Kommuner</t>
        </is>
      </c>
      <c r="G373" t="n">
        <v>5.3</v>
      </c>
      <c r="H373" t="n">
        <v>0</v>
      </c>
      <c r="I373" t="n">
        <v>0</v>
      </c>
      <c r="J373" t="n">
        <v>0</v>
      </c>
      <c r="K373" t="n">
        <v>0</v>
      </c>
      <c r="L373" t="n">
        <v>0</v>
      </c>
      <c r="M373" t="n">
        <v>0</v>
      </c>
      <c r="N373" t="n">
        <v>0</v>
      </c>
      <c r="O373" t="n">
        <v>0</v>
      </c>
      <c r="P373" t="n">
        <v>0</v>
      </c>
      <c r="Q373" t="n">
        <v>0</v>
      </c>
      <c r="R373" s="2" t="inlineStr"/>
    </row>
    <row r="374" ht="15" customHeight="1">
      <c r="A374" t="inlineStr">
        <is>
          <t>A 35757-2025</t>
        </is>
      </c>
      <c r="B374" s="1" t="n">
        <v>45860.59876157407</v>
      </c>
      <c r="C374" s="1" t="n">
        <v>46042</v>
      </c>
      <c r="D374" t="inlineStr">
        <is>
          <t>ÖSTERGÖTLANDS LÄN</t>
        </is>
      </c>
      <c r="E374" t="inlineStr">
        <is>
          <t>LINKÖPING</t>
        </is>
      </c>
      <c r="G374" t="n">
        <v>5.7</v>
      </c>
      <c r="H374" t="n">
        <v>0</v>
      </c>
      <c r="I374" t="n">
        <v>0</v>
      </c>
      <c r="J374" t="n">
        <v>0</v>
      </c>
      <c r="K374" t="n">
        <v>0</v>
      </c>
      <c r="L374" t="n">
        <v>0</v>
      </c>
      <c r="M374" t="n">
        <v>0</v>
      </c>
      <c r="N374" t="n">
        <v>0</v>
      </c>
      <c r="O374" t="n">
        <v>0</v>
      </c>
      <c r="P374" t="n">
        <v>0</v>
      </c>
      <c r="Q374" t="n">
        <v>0</v>
      </c>
      <c r="R374" s="2" t="inlineStr"/>
    </row>
    <row r="375" ht="15" customHeight="1">
      <c r="A375" t="inlineStr">
        <is>
          <t>A 35745-2025</t>
        </is>
      </c>
      <c r="B375" s="1" t="n">
        <v>45860.54739583333</v>
      </c>
      <c r="C375" s="1" t="n">
        <v>46042</v>
      </c>
      <c r="D375" t="inlineStr">
        <is>
          <t>ÖSTERGÖTLANDS LÄN</t>
        </is>
      </c>
      <c r="E375" t="inlineStr">
        <is>
          <t>LINKÖPING</t>
        </is>
      </c>
      <c r="G375" t="n">
        <v>4.4</v>
      </c>
      <c r="H375" t="n">
        <v>0</v>
      </c>
      <c r="I375" t="n">
        <v>0</v>
      </c>
      <c r="J375" t="n">
        <v>0</v>
      </c>
      <c r="K375" t="n">
        <v>0</v>
      </c>
      <c r="L375" t="n">
        <v>0</v>
      </c>
      <c r="M375" t="n">
        <v>0</v>
      </c>
      <c r="N375" t="n">
        <v>0</v>
      </c>
      <c r="O375" t="n">
        <v>0</v>
      </c>
      <c r="P375" t="n">
        <v>0</v>
      </c>
      <c r="Q375" t="n">
        <v>0</v>
      </c>
      <c r="R375" s="2" t="inlineStr"/>
    </row>
    <row r="376" ht="15" customHeight="1">
      <c r="A376" t="inlineStr">
        <is>
          <t>A 35747-2025</t>
        </is>
      </c>
      <c r="B376" s="1" t="n">
        <v>45860.56385416666</v>
      </c>
      <c r="C376" s="1" t="n">
        <v>46042</v>
      </c>
      <c r="D376" t="inlineStr">
        <is>
          <t>ÖSTERGÖTLANDS LÄN</t>
        </is>
      </c>
      <c r="E376" t="inlineStr">
        <is>
          <t>LINKÖPING</t>
        </is>
      </c>
      <c r="G376" t="n">
        <v>2.4</v>
      </c>
      <c r="H376" t="n">
        <v>0</v>
      </c>
      <c r="I376" t="n">
        <v>0</v>
      </c>
      <c r="J376" t="n">
        <v>0</v>
      </c>
      <c r="K376" t="n">
        <v>0</v>
      </c>
      <c r="L376" t="n">
        <v>0</v>
      </c>
      <c r="M376" t="n">
        <v>0</v>
      </c>
      <c r="N376" t="n">
        <v>0</v>
      </c>
      <c r="O376" t="n">
        <v>0</v>
      </c>
      <c r="P376" t="n">
        <v>0</v>
      </c>
      <c r="Q376" t="n">
        <v>0</v>
      </c>
      <c r="R376" s="2" t="inlineStr"/>
    </row>
    <row r="377" ht="15" customHeight="1">
      <c r="A377" t="inlineStr">
        <is>
          <t>A 1084-2023</t>
        </is>
      </c>
      <c r="B377" s="1" t="n">
        <v>44929</v>
      </c>
      <c r="C377" s="1" t="n">
        <v>46042</v>
      </c>
      <c r="D377" t="inlineStr">
        <is>
          <t>ÖSTERGÖTLANDS LÄN</t>
        </is>
      </c>
      <c r="E377" t="inlineStr">
        <is>
          <t>LINKÖPING</t>
        </is>
      </c>
      <c r="G377" t="n">
        <v>10.4</v>
      </c>
      <c r="H377" t="n">
        <v>0</v>
      </c>
      <c r="I377" t="n">
        <v>0</v>
      </c>
      <c r="J377" t="n">
        <v>0</v>
      </c>
      <c r="K377" t="n">
        <v>0</v>
      </c>
      <c r="L377" t="n">
        <v>0</v>
      </c>
      <c r="M377" t="n">
        <v>0</v>
      </c>
      <c r="N377" t="n">
        <v>0</v>
      </c>
      <c r="O377" t="n">
        <v>0</v>
      </c>
      <c r="P377" t="n">
        <v>0</v>
      </c>
      <c r="Q377" t="n">
        <v>0</v>
      </c>
      <c r="R377" s="2" t="inlineStr"/>
    </row>
    <row r="378" ht="15" customHeight="1">
      <c r="A378" t="inlineStr">
        <is>
          <t>A 267-2023</t>
        </is>
      </c>
      <c r="B378" s="1" t="n">
        <v>44928.80907407407</v>
      </c>
      <c r="C378" s="1" t="n">
        <v>46042</v>
      </c>
      <c r="D378" t="inlineStr">
        <is>
          <t>ÖSTERGÖTLANDS LÄN</t>
        </is>
      </c>
      <c r="E378" t="inlineStr">
        <is>
          <t>LINKÖPING</t>
        </is>
      </c>
      <c r="G378" t="n">
        <v>2.7</v>
      </c>
      <c r="H378" t="n">
        <v>0</v>
      </c>
      <c r="I378" t="n">
        <v>0</v>
      </c>
      <c r="J378" t="n">
        <v>0</v>
      </c>
      <c r="K378" t="n">
        <v>0</v>
      </c>
      <c r="L378" t="n">
        <v>0</v>
      </c>
      <c r="M378" t="n">
        <v>0</v>
      </c>
      <c r="N378" t="n">
        <v>0</v>
      </c>
      <c r="O378" t="n">
        <v>0</v>
      </c>
      <c r="P378" t="n">
        <v>0</v>
      </c>
      <c r="Q378" t="n">
        <v>0</v>
      </c>
      <c r="R378" s="2" t="inlineStr"/>
    </row>
    <row r="379" ht="15" customHeight="1">
      <c r="A379" t="inlineStr">
        <is>
          <t>A 940-2023</t>
        </is>
      </c>
      <c r="B379" s="1" t="n">
        <v>44933</v>
      </c>
      <c r="C379" s="1" t="n">
        <v>46042</v>
      </c>
      <c r="D379" t="inlineStr">
        <is>
          <t>ÖSTERGÖTLANDS LÄN</t>
        </is>
      </c>
      <c r="E379" t="inlineStr">
        <is>
          <t>LINKÖPING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6369-2023</t>
        </is>
      </c>
      <c r="B380" s="1" t="n">
        <v>44965.61106481482</v>
      </c>
      <c r="C380" s="1" t="n">
        <v>46042</v>
      </c>
      <c r="D380" t="inlineStr">
        <is>
          <t>ÖSTERGÖTLANDS LÄN</t>
        </is>
      </c>
      <c r="E380" t="inlineStr">
        <is>
          <t>LINKÖPING</t>
        </is>
      </c>
      <c r="G380" t="n">
        <v>4</v>
      </c>
      <c r="H380" t="n">
        <v>0</v>
      </c>
      <c r="I380" t="n">
        <v>0</v>
      </c>
      <c r="J380" t="n">
        <v>0</v>
      </c>
      <c r="K380" t="n">
        <v>0</v>
      </c>
      <c r="L380" t="n">
        <v>0</v>
      </c>
      <c r="M380" t="n">
        <v>0</v>
      </c>
      <c r="N380" t="n">
        <v>0</v>
      </c>
      <c r="O380" t="n">
        <v>0</v>
      </c>
      <c r="P380" t="n">
        <v>0</v>
      </c>
      <c r="Q380" t="n">
        <v>0</v>
      </c>
      <c r="R380" s="2" t="inlineStr"/>
    </row>
    <row r="381" ht="15" customHeight="1">
      <c r="A381" t="inlineStr">
        <is>
          <t>A 49455-2025</t>
        </is>
      </c>
      <c r="B381" s="1" t="n">
        <v>45938</v>
      </c>
      <c r="C381" s="1" t="n">
        <v>46042</v>
      </c>
      <c r="D381" t="inlineStr">
        <is>
          <t>ÖSTERGÖTLANDS LÄN</t>
        </is>
      </c>
      <c r="E381" t="inlineStr">
        <is>
          <t>LINKÖPING</t>
        </is>
      </c>
      <c r="F381" t="inlineStr">
        <is>
          <t>Övriga Aktiebolag</t>
        </is>
      </c>
      <c r="G381" t="n">
        <v>5.9</v>
      </c>
      <c r="H381" t="n">
        <v>0</v>
      </c>
      <c r="I381" t="n">
        <v>0</v>
      </c>
      <c r="J381" t="n">
        <v>0</v>
      </c>
      <c r="K381" t="n">
        <v>0</v>
      </c>
      <c r="L381" t="n">
        <v>0</v>
      </c>
      <c r="M381" t="n">
        <v>0</v>
      </c>
      <c r="N381" t="n">
        <v>0</v>
      </c>
      <c r="O381" t="n">
        <v>0</v>
      </c>
      <c r="P381" t="n">
        <v>0</v>
      </c>
      <c r="Q381" t="n">
        <v>0</v>
      </c>
      <c r="R381" s="2" t="inlineStr"/>
    </row>
    <row r="382" ht="15" customHeight="1">
      <c r="A382" t="inlineStr">
        <is>
          <t>A 30980-2022</t>
        </is>
      </c>
      <c r="B382" s="1" t="n">
        <v>44768</v>
      </c>
      <c r="C382" s="1" t="n">
        <v>46042</v>
      </c>
      <c r="D382" t="inlineStr">
        <is>
          <t>ÖSTERGÖTLANDS LÄN</t>
        </is>
      </c>
      <c r="E382" t="inlineStr">
        <is>
          <t>LINKÖPING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60007-2022</t>
        </is>
      </c>
      <c r="B383" s="1" t="n">
        <v>44909.47282407407</v>
      </c>
      <c r="C383" s="1" t="n">
        <v>46042</v>
      </c>
      <c r="D383" t="inlineStr">
        <is>
          <t>ÖSTERGÖTLANDS LÄN</t>
        </is>
      </c>
      <c r="E383" t="inlineStr">
        <is>
          <t>LINKÖPING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35759-2025</t>
        </is>
      </c>
      <c r="B384" s="1" t="n">
        <v>45860</v>
      </c>
      <c r="C384" s="1" t="n">
        <v>46042</v>
      </c>
      <c r="D384" t="inlineStr">
        <is>
          <t>ÖSTERGÖTLANDS LÄN</t>
        </is>
      </c>
      <c r="E384" t="inlineStr">
        <is>
          <t>LINKÖPING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50799-2022</t>
        </is>
      </c>
      <c r="B385" s="1" t="n">
        <v>44862</v>
      </c>
      <c r="C385" s="1" t="n">
        <v>46042</v>
      </c>
      <c r="D385" t="inlineStr">
        <is>
          <t>ÖSTERGÖTLANDS LÄN</t>
        </is>
      </c>
      <c r="E385" t="inlineStr">
        <is>
          <t>LINKÖPING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49605-2025</t>
        </is>
      </c>
      <c r="B386" s="1" t="n">
        <v>45938</v>
      </c>
      <c r="C386" s="1" t="n">
        <v>46042</v>
      </c>
      <c r="D386" t="inlineStr">
        <is>
          <t>ÖSTERGÖTLANDS LÄN</t>
        </is>
      </c>
      <c r="E386" t="inlineStr">
        <is>
          <t>LINKÖPING</t>
        </is>
      </c>
      <c r="F386" t="inlineStr">
        <is>
          <t>Övriga Aktiebolag</t>
        </is>
      </c>
      <c r="G386" t="n">
        <v>3.3</v>
      </c>
      <c r="H386" t="n">
        <v>0</v>
      </c>
      <c r="I386" t="n">
        <v>0</v>
      </c>
      <c r="J386" t="n">
        <v>0</v>
      </c>
      <c r="K386" t="n">
        <v>0</v>
      </c>
      <c r="L386" t="n">
        <v>0</v>
      </c>
      <c r="M386" t="n">
        <v>0</v>
      </c>
      <c r="N386" t="n">
        <v>0</v>
      </c>
      <c r="O386" t="n">
        <v>0</v>
      </c>
      <c r="P386" t="n">
        <v>0</v>
      </c>
      <c r="Q386" t="n">
        <v>0</v>
      </c>
      <c r="R386" s="2" t="inlineStr"/>
    </row>
    <row r="387" ht="15" customHeight="1">
      <c r="A387" t="inlineStr">
        <is>
          <t>A 49663-2025</t>
        </is>
      </c>
      <c r="B387" s="1" t="n">
        <v>45938</v>
      </c>
      <c r="C387" s="1" t="n">
        <v>46042</v>
      </c>
      <c r="D387" t="inlineStr">
        <is>
          <t>ÖSTERGÖTLANDS LÄN</t>
        </is>
      </c>
      <c r="E387" t="inlineStr">
        <is>
          <t>LINKÖPING</t>
        </is>
      </c>
      <c r="F387" t="inlineStr">
        <is>
          <t>Övriga Aktiebolag</t>
        </is>
      </c>
      <c r="G387" t="n">
        <v>1.2</v>
      </c>
      <c r="H387" t="n">
        <v>0</v>
      </c>
      <c r="I387" t="n">
        <v>0</v>
      </c>
      <c r="J387" t="n">
        <v>0</v>
      </c>
      <c r="K387" t="n">
        <v>0</v>
      </c>
      <c r="L387" t="n">
        <v>0</v>
      </c>
      <c r="M387" t="n">
        <v>0</v>
      </c>
      <c r="N387" t="n">
        <v>0</v>
      </c>
      <c r="O387" t="n">
        <v>0</v>
      </c>
      <c r="P387" t="n">
        <v>0</v>
      </c>
      <c r="Q387" t="n">
        <v>0</v>
      </c>
      <c r="R387" s="2" t="inlineStr"/>
    </row>
    <row r="388" ht="15" customHeight="1">
      <c r="A388" t="inlineStr">
        <is>
          <t>A 56064-2022</t>
        </is>
      </c>
      <c r="B388" s="1" t="n">
        <v>44889.59107638889</v>
      </c>
      <c r="C388" s="1" t="n">
        <v>46042</v>
      </c>
      <c r="D388" t="inlineStr">
        <is>
          <t>ÖSTERGÖTLANDS LÄN</t>
        </is>
      </c>
      <c r="E388" t="inlineStr">
        <is>
          <t>LINKÖPING</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47703-2023</t>
        </is>
      </c>
      <c r="B389" s="1" t="n">
        <v>45203</v>
      </c>
      <c r="C389" s="1" t="n">
        <v>46042</v>
      </c>
      <c r="D389" t="inlineStr">
        <is>
          <t>ÖSTERGÖTLANDS LÄN</t>
        </is>
      </c>
      <c r="E389" t="inlineStr">
        <is>
          <t>LINKÖPING</t>
        </is>
      </c>
      <c r="G389" t="n">
        <v>4.1</v>
      </c>
      <c r="H389" t="n">
        <v>0</v>
      </c>
      <c r="I389" t="n">
        <v>0</v>
      </c>
      <c r="J389" t="n">
        <v>0</v>
      </c>
      <c r="K389" t="n">
        <v>0</v>
      </c>
      <c r="L389" t="n">
        <v>0</v>
      </c>
      <c r="M389" t="n">
        <v>0</v>
      </c>
      <c r="N389" t="n">
        <v>0</v>
      </c>
      <c r="O389" t="n">
        <v>0</v>
      </c>
      <c r="P389" t="n">
        <v>0</v>
      </c>
      <c r="Q389" t="n">
        <v>0</v>
      </c>
      <c r="R389" s="2" t="inlineStr"/>
    </row>
    <row r="390" ht="15" customHeight="1">
      <c r="A390" t="inlineStr">
        <is>
          <t>A 49632-2025</t>
        </is>
      </c>
      <c r="B390" s="1" t="n">
        <v>45938</v>
      </c>
      <c r="C390" s="1" t="n">
        <v>46042</v>
      </c>
      <c r="D390" t="inlineStr">
        <is>
          <t>ÖSTERGÖTLANDS LÄN</t>
        </is>
      </c>
      <c r="E390" t="inlineStr">
        <is>
          <t>LINKÖPING</t>
        </is>
      </c>
      <c r="F390" t="inlineStr">
        <is>
          <t>Övriga Aktiebolag</t>
        </is>
      </c>
      <c r="G390" t="n">
        <v>1.6</v>
      </c>
      <c r="H390" t="n">
        <v>0</v>
      </c>
      <c r="I390" t="n">
        <v>0</v>
      </c>
      <c r="J390" t="n">
        <v>0</v>
      </c>
      <c r="K390" t="n">
        <v>0</v>
      </c>
      <c r="L390" t="n">
        <v>0</v>
      </c>
      <c r="M390" t="n">
        <v>0</v>
      </c>
      <c r="N390" t="n">
        <v>0</v>
      </c>
      <c r="O390" t="n">
        <v>0</v>
      </c>
      <c r="P390" t="n">
        <v>0</v>
      </c>
      <c r="Q390" t="n">
        <v>0</v>
      </c>
      <c r="R390" s="2" t="inlineStr"/>
    </row>
    <row r="391" ht="15" customHeight="1">
      <c r="A391" t="inlineStr">
        <is>
          <t>A 49647-2025</t>
        </is>
      </c>
      <c r="B391" s="1" t="n">
        <v>45938</v>
      </c>
      <c r="C391" s="1" t="n">
        <v>46042</v>
      </c>
      <c r="D391" t="inlineStr">
        <is>
          <t>ÖSTERGÖTLANDS LÄN</t>
        </is>
      </c>
      <c r="E391" t="inlineStr">
        <is>
          <t>LINKÖPING</t>
        </is>
      </c>
      <c r="F391" t="inlineStr">
        <is>
          <t>Övriga Aktiebolag</t>
        </is>
      </c>
      <c r="G391" t="n">
        <v>0.6</v>
      </c>
      <c r="H391" t="n">
        <v>0</v>
      </c>
      <c r="I391" t="n">
        <v>0</v>
      </c>
      <c r="J391" t="n">
        <v>0</v>
      </c>
      <c r="K391" t="n">
        <v>0</v>
      </c>
      <c r="L391" t="n">
        <v>0</v>
      </c>
      <c r="M391" t="n">
        <v>0</v>
      </c>
      <c r="N391" t="n">
        <v>0</v>
      </c>
      <c r="O391" t="n">
        <v>0</v>
      </c>
      <c r="P391" t="n">
        <v>0</v>
      </c>
      <c r="Q391" t="n">
        <v>0</v>
      </c>
      <c r="R391" s="2" t="inlineStr"/>
    </row>
    <row r="392" ht="15" customHeight="1">
      <c r="A392" t="inlineStr">
        <is>
          <t>A 49652-2025</t>
        </is>
      </c>
      <c r="B392" s="1" t="n">
        <v>45938</v>
      </c>
      <c r="C392" s="1" t="n">
        <v>46042</v>
      </c>
      <c r="D392" t="inlineStr">
        <is>
          <t>ÖSTERGÖTLANDS LÄN</t>
        </is>
      </c>
      <c r="E392" t="inlineStr">
        <is>
          <t>LINKÖPING</t>
        </is>
      </c>
      <c r="F392" t="inlineStr">
        <is>
          <t>Övriga Aktiebolag</t>
        </is>
      </c>
      <c r="G392" t="n">
        <v>1.8</v>
      </c>
      <c r="H392" t="n">
        <v>0</v>
      </c>
      <c r="I392" t="n">
        <v>0</v>
      </c>
      <c r="J392" t="n">
        <v>0</v>
      </c>
      <c r="K392" t="n">
        <v>0</v>
      </c>
      <c r="L392" t="n">
        <v>0</v>
      </c>
      <c r="M392" t="n">
        <v>0</v>
      </c>
      <c r="N392" t="n">
        <v>0</v>
      </c>
      <c r="O392" t="n">
        <v>0</v>
      </c>
      <c r="P392" t="n">
        <v>0</v>
      </c>
      <c r="Q392" t="n">
        <v>0</v>
      </c>
      <c r="R392" s="2" t="inlineStr"/>
    </row>
    <row r="393" ht="15" customHeight="1">
      <c r="A393" t="inlineStr">
        <is>
          <t>A 49654-2025</t>
        </is>
      </c>
      <c r="B393" s="1" t="n">
        <v>45938</v>
      </c>
      <c r="C393" s="1" t="n">
        <v>46042</v>
      </c>
      <c r="D393" t="inlineStr">
        <is>
          <t>ÖSTERGÖTLANDS LÄN</t>
        </is>
      </c>
      <c r="E393" t="inlineStr">
        <is>
          <t>LINKÖPING</t>
        </is>
      </c>
      <c r="F393" t="inlineStr">
        <is>
          <t>Övriga Aktiebolag</t>
        </is>
      </c>
      <c r="G393" t="n">
        <v>3.1</v>
      </c>
      <c r="H393" t="n">
        <v>0</v>
      </c>
      <c r="I393" t="n">
        <v>0</v>
      </c>
      <c r="J393" t="n">
        <v>0</v>
      </c>
      <c r="K393" t="n">
        <v>0</v>
      </c>
      <c r="L393" t="n">
        <v>0</v>
      </c>
      <c r="M393" t="n">
        <v>0</v>
      </c>
      <c r="N393" t="n">
        <v>0</v>
      </c>
      <c r="O393" t="n">
        <v>0</v>
      </c>
      <c r="P393" t="n">
        <v>0</v>
      </c>
      <c r="Q393" t="n">
        <v>0</v>
      </c>
      <c r="R393" s="2" t="inlineStr"/>
    </row>
    <row r="394" ht="15" customHeight="1">
      <c r="A394" t="inlineStr">
        <is>
          <t>A 49615-2025</t>
        </is>
      </c>
      <c r="B394" s="1" t="n">
        <v>45938</v>
      </c>
      <c r="C394" s="1" t="n">
        <v>46042</v>
      </c>
      <c r="D394" t="inlineStr">
        <is>
          <t>ÖSTERGÖTLANDS LÄN</t>
        </is>
      </c>
      <c r="E394" t="inlineStr">
        <is>
          <t>LINKÖPING</t>
        </is>
      </c>
      <c r="F394" t="inlineStr">
        <is>
          <t>Övriga Aktiebolag</t>
        </is>
      </c>
      <c r="G394" t="n">
        <v>1.6</v>
      </c>
      <c r="H394" t="n">
        <v>0</v>
      </c>
      <c r="I394" t="n">
        <v>0</v>
      </c>
      <c r="J394" t="n">
        <v>0</v>
      </c>
      <c r="K394" t="n">
        <v>0</v>
      </c>
      <c r="L394" t="n">
        <v>0</v>
      </c>
      <c r="M394" t="n">
        <v>0</v>
      </c>
      <c r="N394" t="n">
        <v>0</v>
      </c>
      <c r="O394" t="n">
        <v>0</v>
      </c>
      <c r="P394" t="n">
        <v>0</v>
      </c>
      <c r="Q394" t="n">
        <v>0</v>
      </c>
      <c r="R394" s="2" t="inlineStr"/>
    </row>
    <row r="395" ht="15" customHeight="1">
      <c r="A395" t="inlineStr">
        <is>
          <t>A 49619-2025</t>
        </is>
      </c>
      <c r="B395" s="1" t="n">
        <v>45938</v>
      </c>
      <c r="C395" s="1" t="n">
        <v>46042</v>
      </c>
      <c r="D395" t="inlineStr">
        <is>
          <t>ÖSTERGÖTLANDS LÄN</t>
        </is>
      </c>
      <c r="E395" t="inlineStr">
        <is>
          <t>LINKÖPING</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49629-2025</t>
        </is>
      </c>
      <c r="B396" s="1" t="n">
        <v>45938</v>
      </c>
      <c r="C396" s="1" t="n">
        <v>46042</v>
      </c>
      <c r="D396" t="inlineStr">
        <is>
          <t>ÖSTERGÖTLANDS LÄN</t>
        </is>
      </c>
      <c r="E396" t="inlineStr">
        <is>
          <t>LINKÖPING</t>
        </is>
      </c>
      <c r="F396" t="inlineStr">
        <is>
          <t>Övriga Aktiebolag</t>
        </is>
      </c>
      <c r="G396" t="n">
        <v>4.5</v>
      </c>
      <c r="H396" t="n">
        <v>0</v>
      </c>
      <c r="I396" t="n">
        <v>0</v>
      </c>
      <c r="J396" t="n">
        <v>0</v>
      </c>
      <c r="K396" t="n">
        <v>0</v>
      </c>
      <c r="L396" t="n">
        <v>0</v>
      </c>
      <c r="M396" t="n">
        <v>0</v>
      </c>
      <c r="N396" t="n">
        <v>0</v>
      </c>
      <c r="O396" t="n">
        <v>0</v>
      </c>
      <c r="P396" t="n">
        <v>0</v>
      </c>
      <c r="Q396" t="n">
        <v>0</v>
      </c>
      <c r="R396" s="2" t="inlineStr"/>
    </row>
    <row r="397" ht="15" customHeight="1">
      <c r="A397" t="inlineStr">
        <is>
          <t>A 49650-2025</t>
        </is>
      </c>
      <c r="B397" s="1" t="n">
        <v>45938</v>
      </c>
      <c r="C397" s="1" t="n">
        <v>46042</v>
      </c>
      <c r="D397" t="inlineStr">
        <is>
          <t>ÖSTERGÖTLANDS LÄN</t>
        </is>
      </c>
      <c r="E397" t="inlineStr">
        <is>
          <t>LINKÖPING</t>
        </is>
      </c>
      <c r="F397" t="inlineStr">
        <is>
          <t>Övriga Aktiebolag</t>
        </is>
      </c>
      <c r="G397" t="n">
        <v>1.5</v>
      </c>
      <c r="H397" t="n">
        <v>0</v>
      </c>
      <c r="I397" t="n">
        <v>0</v>
      </c>
      <c r="J397" t="n">
        <v>0</v>
      </c>
      <c r="K397" t="n">
        <v>0</v>
      </c>
      <c r="L397" t="n">
        <v>0</v>
      </c>
      <c r="M397" t="n">
        <v>0</v>
      </c>
      <c r="N397" t="n">
        <v>0</v>
      </c>
      <c r="O397" t="n">
        <v>0</v>
      </c>
      <c r="P397" t="n">
        <v>0</v>
      </c>
      <c r="Q397" t="n">
        <v>0</v>
      </c>
      <c r="R397" s="2" t="inlineStr"/>
    </row>
    <row r="398" ht="15" customHeight="1">
      <c r="A398" t="inlineStr">
        <is>
          <t>A 49633-2025</t>
        </is>
      </c>
      <c r="B398" s="1" t="n">
        <v>45938</v>
      </c>
      <c r="C398" s="1" t="n">
        <v>46042</v>
      </c>
      <c r="D398" t="inlineStr">
        <is>
          <t>ÖSTERGÖTLANDS LÄN</t>
        </is>
      </c>
      <c r="E398" t="inlineStr">
        <is>
          <t>LINKÖPING</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16111-2022</t>
        </is>
      </c>
      <c r="B399" s="1" t="n">
        <v>44665</v>
      </c>
      <c r="C399" s="1" t="n">
        <v>46042</v>
      </c>
      <c r="D399" t="inlineStr">
        <is>
          <t>ÖSTERGÖTLANDS LÄN</t>
        </is>
      </c>
      <c r="E399" t="inlineStr">
        <is>
          <t>LINKÖPING</t>
        </is>
      </c>
      <c r="F399" t="inlineStr">
        <is>
          <t>Övriga Aktiebolag</t>
        </is>
      </c>
      <c r="G399" t="n">
        <v>2.9</v>
      </c>
      <c r="H399" t="n">
        <v>0</v>
      </c>
      <c r="I399" t="n">
        <v>0</v>
      </c>
      <c r="J399" t="n">
        <v>0</v>
      </c>
      <c r="K399" t="n">
        <v>0</v>
      </c>
      <c r="L399" t="n">
        <v>0</v>
      </c>
      <c r="M399" t="n">
        <v>0</v>
      </c>
      <c r="N399" t="n">
        <v>0</v>
      </c>
      <c r="O399" t="n">
        <v>0</v>
      </c>
      <c r="P399" t="n">
        <v>0</v>
      </c>
      <c r="Q399" t="n">
        <v>0</v>
      </c>
      <c r="R399" s="2" t="inlineStr"/>
    </row>
    <row r="400" ht="15" customHeight="1">
      <c r="A400" t="inlineStr">
        <is>
          <t>A 48962-2022</t>
        </is>
      </c>
      <c r="B400" s="1" t="n">
        <v>44860.31635416667</v>
      </c>
      <c r="C400" s="1" t="n">
        <v>46042</v>
      </c>
      <c r="D400" t="inlineStr">
        <is>
          <t>ÖSTERGÖTLANDS LÄN</t>
        </is>
      </c>
      <c r="E400" t="inlineStr">
        <is>
          <t>LINKÖPING</t>
        </is>
      </c>
      <c r="G400" t="n">
        <v>2.9</v>
      </c>
      <c r="H400" t="n">
        <v>0</v>
      </c>
      <c r="I400" t="n">
        <v>0</v>
      </c>
      <c r="J400" t="n">
        <v>0</v>
      </c>
      <c r="K400" t="n">
        <v>0</v>
      </c>
      <c r="L400" t="n">
        <v>0</v>
      </c>
      <c r="M400" t="n">
        <v>0</v>
      </c>
      <c r="N400" t="n">
        <v>0</v>
      </c>
      <c r="O400" t="n">
        <v>0</v>
      </c>
      <c r="P400" t="n">
        <v>0</v>
      </c>
      <c r="Q400" t="n">
        <v>0</v>
      </c>
      <c r="R400" s="2" t="inlineStr"/>
    </row>
    <row r="401" ht="15" customHeight="1">
      <c r="A401" t="inlineStr">
        <is>
          <t>A 27891-2021</t>
        </is>
      </c>
      <c r="B401" s="1" t="n">
        <v>44354.65108796296</v>
      </c>
      <c r="C401" s="1" t="n">
        <v>46042</v>
      </c>
      <c r="D401" t="inlineStr">
        <is>
          <t>ÖSTERGÖTLANDS LÄN</t>
        </is>
      </c>
      <c r="E401" t="inlineStr">
        <is>
          <t>LINKÖPING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40983-2025</t>
        </is>
      </c>
      <c r="B402" s="1" t="n">
        <v>45898</v>
      </c>
      <c r="C402" s="1" t="n">
        <v>46042</v>
      </c>
      <c r="D402" t="inlineStr">
        <is>
          <t>ÖSTERGÖTLANDS LÄN</t>
        </is>
      </c>
      <c r="E402" t="inlineStr">
        <is>
          <t>LINKÖPING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50056-2025</t>
        </is>
      </c>
      <c r="B403" s="1" t="n">
        <v>45941</v>
      </c>
      <c r="C403" s="1" t="n">
        <v>46042</v>
      </c>
      <c r="D403" t="inlineStr">
        <is>
          <t>ÖSTERGÖTLANDS LÄN</t>
        </is>
      </c>
      <c r="E403" t="inlineStr">
        <is>
          <t>LINKÖPING</t>
        </is>
      </c>
      <c r="G403" t="n">
        <v>0.3</v>
      </c>
      <c r="H403" t="n">
        <v>0</v>
      </c>
      <c r="I403" t="n">
        <v>0</v>
      </c>
      <c r="J403" t="n">
        <v>0</v>
      </c>
      <c r="K403" t="n">
        <v>0</v>
      </c>
      <c r="L403" t="n">
        <v>0</v>
      </c>
      <c r="M403" t="n">
        <v>0</v>
      </c>
      <c r="N403" t="n">
        <v>0</v>
      </c>
      <c r="O403" t="n">
        <v>0</v>
      </c>
      <c r="P403" t="n">
        <v>0</v>
      </c>
      <c r="Q403" t="n">
        <v>0</v>
      </c>
      <c r="R403" s="2" t="inlineStr"/>
    </row>
    <row r="404" ht="15" customHeight="1">
      <c r="A404" t="inlineStr">
        <is>
          <t>A 50667-2025</t>
        </is>
      </c>
      <c r="B404" s="1" t="n">
        <v>45945</v>
      </c>
      <c r="C404" s="1" t="n">
        <v>46042</v>
      </c>
      <c r="D404" t="inlineStr">
        <is>
          <t>ÖSTERGÖTLANDS LÄN</t>
        </is>
      </c>
      <c r="E404" t="inlineStr">
        <is>
          <t>LINKÖPING</t>
        </is>
      </c>
      <c r="G404" t="n">
        <v>3.3</v>
      </c>
      <c r="H404" t="n">
        <v>0</v>
      </c>
      <c r="I404" t="n">
        <v>0</v>
      </c>
      <c r="J404" t="n">
        <v>0</v>
      </c>
      <c r="K404" t="n">
        <v>0</v>
      </c>
      <c r="L404" t="n">
        <v>0</v>
      </c>
      <c r="M404" t="n">
        <v>0</v>
      </c>
      <c r="N404" t="n">
        <v>0</v>
      </c>
      <c r="O404" t="n">
        <v>0</v>
      </c>
      <c r="P404" t="n">
        <v>0</v>
      </c>
      <c r="Q404" t="n">
        <v>0</v>
      </c>
      <c r="R404" s="2" t="inlineStr"/>
    </row>
    <row r="405" ht="15" customHeight="1">
      <c r="A405" t="inlineStr">
        <is>
          <t>A 1268-2023</t>
        </is>
      </c>
      <c r="B405" s="1" t="n">
        <v>44936</v>
      </c>
      <c r="C405" s="1" t="n">
        <v>46042</v>
      </c>
      <c r="D405" t="inlineStr">
        <is>
          <t>ÖSTERGÖTLANDS LÄN</t>
        </is>
      </c>
      <c r="E405" t="inlineStr">
        <is>
          <t>LINKÖPING</t>
        </is>
      </c>
      <c r="G405" t="n">
        <v>4.6</v>
      </c>
      <c r="H405" t="n">
        <v>0</v>
      </c>
      <c r="I405" t="n">
        <v>0</v>
      </c>
      <c r="J405" t="n">
        <v>0</v>
      </c>
      <c r="K405" t="n">
        <v>0</v>
      </c>
      <c r="L405" t="n">
        <v>0</v>
      </c>
      <c r="M405" t="n">
        <v>0</v>
      </c>
      <c r="N405" t="n">
        <v>0</v>
      </c>
      <c r="O405" t="n">
        <v>0</v>
      </c>
      <c r="P405" t="n">
        <v>0</v>
      </c>
      <c r="Q405" t="n">
        <v>0</v>
      </c>
      <c r="R405" s="2" t="inlineStr"/>
    </row>
    <row r="406" ht="15" customHeight="1">
      <c r="A406" t="inlineStr">
        <is>
          <t>A 62687-2023</t>
        </is>
      </c>
      <c r="B406" s="1" t="n">
        <v>45271</v>
      </c>
      <c r="C406" s="1" t="n">
        <v>46042</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34641-2022</t>
        </is>
      </c>
      <c r="B407" s="1" t="n">
        <v>44795</v>
      </c>
      <c r="C407" s="1" t="n">
        <v>46042</v>
      </c>
      <c r="D407" t="inlineStr">
        <is>
          <t>ÖSTERGÖTLANDS LÄN</t>
        </is>
      </c>
      <c r="E407" t="inlineStr">
        <is>
          <t>LINKÖPING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938-2023</t>
        </is>
      </c>
      <c r="B408" s="1" t="n">
        <v>44933</v>
      </c>
      <c r="C408" s="1" t="n">
        <v>46042</v>
      </c>
      <c r="D408" t="inlineStr">
        <is>
          <t>ÖSTERGÖTLANDS LÄN</t>
        </is>
      </c>
      <c r="E408" t="inlineStr">
        <is>
          <t>LINKÖPING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2389-2023</t>
        </is>
      </c>
      <c r="B409" s="1" t="n">
        <v>44942</v>
      </c>
      <c r="C409" s="1" t="n">
        <v>46042</v>
      </c>
      <c r="D409" t="inlineStr">
        <is>
          <t>ÖSTERGÖTLANDS LÄN</t>
        </is>
      </c>
      <c r="E409" t="inlineStr">
        <is>
          <t>LINKÖPING</t>
        </is>
      </c>
      <c r="G409" t="n">
        <v>3.3</v>
      </c>
      <c r="H409" t="n">
        <v>0</v>
      </c>
      <c r="I409" t="n">
        <v>0</v>
      </c>
      <c r="J409" t="n">
        <v>0</v>
      </c>
      <c r="K409" t="n">
        <v>0</v>
      </c>
      <c r="L409" t="n">
        <v>0</v>
      </c>
      <c r="M409" t="n">
        <v>0</v>
      </c>
      <c r="N409" t="n">
        <v>0</v>
      </c>
      <c r="O409" t="n">
        <v>0</v>
      </c>
      <c r="P409" t="n">
        <v>0</v>
      </c>
      <c r="Q409" t="n">
        <v>0</v>
      </c>
      <c r="R409" s="2" t="inlineStr"/>
    </row>
    <row r="410" ht="15" customHeight="1">
      <c r="A410" t="inlineStr">
        <is>
          <t>A 48-2024</t>
        </is>
      </c>
      <c r="B410" s="1" t="n">
        <v>45293</v>
      </c>
      <c r="C410" s="1" t="n">
        <v>46042</v>
      </c>
      <c r="D410" t="inlineStr">
        <is>
          <t>ÖSTERGÖTLANDS LÄN</t>
        </is>
      </c>
      <c r="E410" t="inlineStr">
        <is>
          <t>LINKÖPING</t>
        </is>
      </c>
      <c r="G410" t="n">
        <v>4.6</v>
      </c>
      <c r="H410" t="n">
        <v>0</v>
      </c>
      <c r="I410" t="n">
        <v>0</v>
      </c>
      <c r="J410" t="n">
        <v>0</v>
      </c>
      <c r="K410" t="n">
        <v>0</v>
      </c>
      <c r="L410" t="n">
        <v>0</v>
      </c>
      <c r="M410" t="n">
        <v>0</v>
      </c>
      <c r="N410" t="n">
        <v>0</v>
      </c>
      <c r="O410" t="n">
        <v>0</v>
      </c>
      <c r="P410" t="n">
        <v>0</v>
      </c>
      <c r="Q410" t="n">
        <v>0</v>
      </c>
      <c r="R410" s="2" t="inlineStr"/>
    </row>
    <row r="411" ht="15" customHeight="1">
      <c r="A411" t="inlineStr">
        <is>
          <t>A 45771-2023</t>
        </is>
      </c>
      <c r="B411" s="1" t="n">
        <v>45195.4384375</v>
      </c>
      <c r="C411" s="1" t="n">
        <v>46042</v>
      </c>
      <c r="D411" t="inlineStr">
        <is>
          <t>ÖSTERGÖTLANDS LÄN</t>
        </is>
      </c>
      <c r="E411" t="inlineStr">
        <is>
          <t>LINKÖPING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30547-2023</t>
        </is>
      </c>
      <c r="B412" s="1" t="n">
        <v>45111.75905092592</v>
      </c>
      <c r="C412" s="1" t="n">
        <v>46042</v>
      </c>
      <c r="D412" t="inlineStr">
        <is>
          <t>ÖSTERGÖTLANDS LÄN</t>
        </is>
      </c>
      <c r="E412" t="inlineStr">
        <is>
          <t>LINKÖPING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40502-2024</t>
        </is>
      </c>
      <c r="B413" s="1" t="n">
        <v>45555.57263888889</v>
      </c>
      <c r="C413" s="1" t="n">
        <v>46042</v>
      </c>
      <c r="D413" t="inlineStr">
        <is>
          <t>ÖSTERGÖTLANDS LÄN</t>
        </is>
      </c>
      <c r="E413" t="inlineStr">
        <is>
          <t>LINKÖPING</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37057-2025</t>
        </is>
      </c>
      <c r="B414" s="1" t="n">
        <v>45875.37489583333</v>
      </c>
      <c r="C414" s="1" t="n">
        <v>46042</v>
      </c>
      <c r="D414" t="inlineStr">
        <is>
          <t>ÖSTERGÖTLANDS LÄN</t>
        </is>
      </c>
      <c r="E414" t="inlineStr">
        <is>
          <t>LINKÖPING</t>
        </is>
      </c>
      <c r="G414" t="n">
        <v>3.3</v>
      </c>
      <c r="H414" t="n">
        <v>0</v>
      </c>
      <c r="I414" t="n">
        <v>0</v>
      </c>
      <c r="J414" t="n">
        <v>0</v>
      </c>
      <c r="K414" t="n">
        <v>0</v>
      </c>
      <c r="L414" t="n">
        <v>0</v>
      </c>
      <c r="M414" t="n">
        <v>0</v>
      </c>
      <c r="N414" t="n">
        <v>0</v>
      </c>
      <c r="O414" t="n">
        <v>0</v>
      </c>
      <c r="P414" t="n">
        <v>0</v>
      </c>
      <c r="Q414" t="n">
        <v>0</v>
      </c>
      <c r="R414" s="2" t="inlineStr"/>
    </row>
    <row r="415" ht="15" customHeight="1">
      <c r="A415" t="inlineStr">
        <is>
          <t>A 24464-2023</t>
        </is>
      </c>
      <c r="B415" s="1" t="n">
        <v>45082.58068287037</v>
      </c>
      <c r="C415" s="1" t="n">
        <v>46042</v>
      </c>
      <c r="D415" t="inlineStr">
        <is>
          <t>ÖSTERGÖTLANDS LÄN</t>
        </is>
      </c>
      <c r="E415" t="inlineStr">
        <is>
          <t>LINKÖPING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24467-2023</t>
        </is>
      </c>
      <c r="B416" s="1" t="n">
        <v>45082</v>
      </c>
      <c r="C416" s="1" t="n">
        <v>46042</v>
      </c>
      <c r="D416" t="inlineStr">
        <is>
          <t>ÖSTERGÖTLANDS LÄN</t>
        </is>
      </c>
      <c r="E416" t="inlineStr">
        <is>
          <t>LINKÖPING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48389-2024</t>
        </is>
      </c>
      <c r="B417" s="1" t="n">
        <v>45590.59991898148</v>
      </c>
      <c r="C417" s="1" t="n">
        <v>46042</v>
      </c>
      <c r="D417" t="inlineStr">
        <is>
          <t>ÖSTERGÖTLANDS LÄN</t>
        </is>
      </c>
      <c r="E417" t="inlineStr">
        <is>
          <t>LINKÖPING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51802-2025</t>
        </is>
      </c>
      <c r="B418" s="1" t="n">
        <v>45950</v>
      </c>
      <c r="C418" s="1" t="n">
        <v>46042</v>
      </c>
      <c r="D418" t="inlineStr">
        <is>
          <t>ÖSTERGÖTLANDS LÄN</t>
        </is>
      </c>
      <c r="E418" t="inlineStr">
        <is>
          <t>LINKÖPING</t>
        </is>
      </c>
      <c r="F418" t="inlineStr">
        <is>
          <t>Övriga Aktiebolag</t>
        </is>
      </c>
      <c r="G418" t="n">
        <v>2</v>
      </c>
      <c r="H418" t="n">
        <v>0</v>
      </c>
      <c r="I418" t="n">
        <v>0</v>
      </c>
      <c r="J418" t="n">
        <v>0</v>
      </c>
      <c r="K418" t="n">
        <v>0</v>
      </c>
      <c r="L418" t="n">
        <v>0</v>
      </c>
      <c r="M418" t="n">
        <v>0</v>
      </c>
      <c r="N418" t="n">
        <v>0</v>
      </c>
      <c r="O418" t="n">
        <v>0</v>
      </c>
      <c r="P418" t="n">
        <v>0</v>
      </c>
      <c r="Q418" t="n">
        <v>0</v>
      </c>
      <c r="R418" s="2" t="inlineStr"/>
    </row>
    <row r="419" ht="15" customHeight="1">
      <c r="A419" t="inlineStr">
        <is>
          <t>A 56792-2023</t>
        </is>
      </c>
      <c r="B419" s="1" t="n">
        <v>45244</v>
      </c>
      <c r="C419" s="1" t="n">
        <v>46042</v>
      </c>
      <c r="D419" t="inlineStr">
        <is>
          <t>ÖSTERGÖTLANDS LÄN</t>
        </is>
      </c>
      <c r="E419" t="inlineStr">
        <is>
          <t>LINKÖPING</t>
        </is>
      </c>
      <c r="F419" t="inlineStr">
        <is>
          <t>Övriga Aktiebolag</t>
        </is>
      </c>
      <c r="G419" t="n">
        <v>0.9</v>
      </c>
      <c r="H419" t="n">
        <v>0</v>
      </c>
      <c r="I419" t="n">
        <v>0</v>
      </c>
      <c r="J419" t="n">
        <v>0</v>
      </c>
      <c r="K419" t="n">
        <v>0</v>
      </c>
      <c r="L419" t="n">
        <v>0</v>
      </c>
      <c r="M419" t="n">
        <v>0</v>
      </c>
      <c r="N419" t="n">
        <v>0</v>
      </c>
      <c r="O419" t="n">
        <v>0</v>
      </c>
      <c r="P419" t="n">
        <v>0</v>
      </c>
      <c r="Q419" t="n">
        <v>0</v>
      </c>
      <c r="R419" s="2" t="inlineStr"/>
    </row>
    <row r="420" ht="15" customHeight="1">
      <c r="A420" t="inlineStr">
        <is>
          <t>A 39017-2021</t>
        </is>
      </c>
      <c r="B420" s="1" t="n">
        <v>44412</v>
      </c>
      <c r="C420" s="1" t="n">
        <v>46042</v>
      </c>
      <c r="D420" t="inlineStr">
        <is>
          <t>ÖSTERGÖTLANDS LÄN</t>
        </is>
      </c>
      <c r="E420" t="inlineStr">
        <is>
          <t>LINKÖPING</t>
        </is>
      </c>
      <c r="F420" t="inlineStr">
        <is>
          <t>Övriga statliga verk och myndigheter</t>
        </is>
      </c>
      <c r="G420" t="n">
        <v>0.8</v>
      </c>
      <c r="H420" t="n">
        <v>0</v>
      </c>
      <c r="I420" t="n">
        <v>0</v>
      </c>
      <c r="J420" t="n">
        <v>0</v>
      </c>
      <c r="K420" t="n">
        <v>0</v>
      </c>
      <c r="L420" t="n">
        <v>0</v>
      </c>
      <c r="M420" t="n">
        <v>0</v>
      </c>
      <c r="N420" t="n">
        <v>0</v>
      </c>
      <c r="O420" t="n">
        <v>0</v>
      </c>
      <c r="P420" t="n">
        <v>0</v>
      </c>
      <c r="Q420" t="n">
        <v>0</v>
      </c>
      <c r="R420" s="2" t="inlineStr"/>
    </row>
    <row r="421" ht="15" customHeight="1">
      <c r="A421" t="inlineStr">
        <is>
          <t>A 52111-2025</t>
        </is>
      </c>
      <c r="B421" s="1" t="n">
        <v>45952.69527777778</v>
      </c>
      <c r="C421" s="1" t="n">
        <v>46042</v>
      </c>
      <c r="D421" t="inlineStr">
        <is>
          <t>ÖSTERGÖTLANDS LÄN</t>
        </is>
      </c>
      <c r="E421" t="inlineStr">
        <is>
          <t>LINKÖPING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25829-2025</t>
        </is>
      </c>
      <c r="B422" s="1" t="n">
        <v>45804.44505787037</v>
      </c>
      <c r="C422" s="1" t="n">
        <v>46042</v>
      </c>
      <c r="D422" t="inlineStr">
        <is>
          <t>ÖSTERGÖTLANDS LÄN</t>
        </is>
      </c>
      <c r="E422" t="inlineStr">
        <is>
          <t>LINKÖPING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1260-2023</t>
        </is>
      </c>
      <c r="B423" s="1" t="n">
        <v>44936</v>
      </c>
      <c r="C423" s="1" t="n">
        <v>46042</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38046-2025</t>
        </is>
      </c>
      <c r="B424" s="1" t="n">
        <v>45882.39939814815</v>
      </c>
      <c r="C424" s="1" t="n">
        <v>46042</v>
      </c>
      <c r="D424" t="inlineStr">
        <is>
          <t>ÖSTERGÖTLANDS LÄN</t>
        </is>
      </c>
      <c r="E424" t="inlineStr">
        <is>
          <t>LINKÖPING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1355-2023</t>
        </is>
      </c>
      <c r="B425" s="1" t="n">
        <v>44931</v>
      </c>
      <c r="C425" s="1" t="n">
        <v>46042</v>
      </c>
      <c r="D425" t="inlineStr">
        <is>
          <t>ÖSTERGÖTLANDS LÄN</t>
        </is>
      </c>
      <c r="E425" t="inlineStr">
        <is>
          <t>LINKÖPING</t>
        </is>
      </c>
      <c r="G425" t="n">
        <v>4</v>
      </c>
      <c r="H425" t="n">
        <v>0</v>
      </c>
      <c r="I425" t="n">
        <v>0</v>
      </c>
      <c r="J425" t="n">
        <v>0</v>
      </c>
      <c r="K425" t="n">
        <v>0</v>
      </c>
      <c r="L425" t="n">
        <v>0</v>
      </c>
      <c r="M425" t="n">
        <v>0</v>
      </c>
      <c r="N425" t="n">
        <v>0</v>
      </c>
      <c r="O425" t="n">
        <v>0</v>
      </c>
      <c r="P425" t="n">
        <v>0</v>
      </c>
      <c r="Q425" t="n">
        <v>0</v>
      </c>
      <c r="R425" s="2" t="inlineStr"/>
    </row>
    <row r="426" ht="15" customHeight="1">
      <c r="A426" t="inlineStr">
        <is>
          <t>A 3007-2025</t>
        </is>
      </c>
      <c r="B426" s="1" t="n">
        <v>45678.56328703704</v>
      </c>
      <c r="C426" s="1" t="n">
        <v>46042</v>
      </c>
      <c r="D426" t="inlineStr">
        <is>
          <t>ÖSTERGÖTLANDS LÄN</t>
        </is>
      </c>
      <c r="E426" t="inlineStr">
        <is>
          <t>LINKÖPING</t>
        </is>
      </c>
      <c r="G426" t="n">
        <v>3.1</v>
      </c>
      <c r="H426" t="n">
        <v>0</v>
      </c>
      <c r="I426" t="n">
        <v>0</v>
      </c>
      <c r="J426" t="n">
        <v>0</v>
      </c>
      <c r="K426" t="n">
        <v>0</v>
      </c>
      <c r="L426" t="n">
        <v>0</v>
      </c>
      <c r="M426" t="n">
        <v>0</v>
      </c>
      <c r="N426" t="n">
        <v>0</v>
      </c>
      <c r="O426" t="n">
        <v>0</v>
      </c>
      <c r="P426" t="n">
        <v>0</v>
      </c>
      <c r="Q426" t="n">
        <v>0</v>
      </c>
      <c r="R426" s="2" t="inlineStr"/>
    </row>
    <row r="427" ht="15" customHeight="1">
      <c r="A427" t="inlineStr">
        <is>
          <t>A 10492-2022</t>
        </is>
      </c>
      <c r="B427" s="1" t="n">
        <v>44623.6377199074</v>
      </c>
      <c r="C427" s="1" t="n">
        <v>46042</v>
      </c>
      <c r="D427" t="inlineStr">
        <is>
          <t>ÖSTERGÖTLANDS LÄN</t>
        </is>
      </c>
      <c r="E427" t="inlineStr">
        <is>
          <t>LINKÖPING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52740-2025</t>
        </is>
      </c>
      <c r="B428" s="1" t="n">
        <v>45957.37747685185</v>
      </c>
      <c r="C428" s="1" t="n">
        <v>46042</v>
      </c>
      <c r="D428" t="inlineStr">
        <is>
          <t>ÖSTERGÖTLANDS LÄN</t>
        </is>
      </c>
      <c r="E428" t="inlineStr">
        <is>
          <t>LINKÖPING</t>
        </is>
      </c>
      <c r="G428" t="n">
        <v>3.7</v>
      </c>
      <c r="H428" t="n">
        <v>0</v>
      </c>
      <c r="I428" t="n">
        <v>0</v>
      </c>
      <c r="J428" t="n">
        <v>0</v>
      </c>
      <c r="K428" t="n">
        <v>0</v>
      </c>
      <c r="L428" t="n">
        <v>0</v>
      </c>
      <c r="M428" t="n">
        <v>0</v>
      </c>
      <c r="N428" t="n">
        <v>0</v>
      </c>
      <c r="O428" t="n">
        <v>0</v>
      </c>
      <c r="P428" t="n">
        <v>0</v>
      </c>
      <c r="Q428" t="n">
        <v>0</v>
      </c>
      <c r="R428" s="2" t="inlineStr"/>
    </row>
    <row r="429" ht="15" customHeight="1">
      <c r="A429" t="inlineStr">
        <is>
          <t>A 30465-2023</t>
        </is>
      </c>
      <c r="B429" s="1" t="n">
        <v>45111</v>
      </c>
      <c r="C429" s="1" t="n">
        <v>46042</v>
      </c>
      <c r="D429" t="inlineStr">
        <is>
          <t>ÖSTERGÖTLANDS LÄN</t>
        </is>
      </c>
      <c r="E429" t="inlineStr">
        <is>
          <t>LINKÖPING</t>
        </is>
      </c>
      <c r="F429" t="inlineStr">
        <is>
          <t>Övriga Aktiebolag</t>
        </is>
      </c>
      <c r="G429" t="n">
        <v>0.7</v>
      </c>
      <c r="H429" t="n">
        <v>0</v>
      </c>
      <c r="I429" t="n">
        <v>0</v>
      </c>
      <c r="J429" t="n">
        <v>0</v>
      </c>
      <c r="K429" t="n">
        <v>0</v>
      </c>
      <c r="L429" t="n">
        <v>0</v>
      </c>
      <c r="M429" t="n">
        <v>0</v>
      </c>
      <c r="N429" t="n">
        <v>0</v>
      </c>
      <c r="O429" t="n">
        <v>0</v>
      </c>
      <c r="P429" t="n">
        <v>0</v>
      </c>
      <c r="Q429" t="n">
        <v>0</v>
      </c>
      <c r="R429" s="2" t="inlineStr"/>
    </row>
    <row r="430" ht="15" customHeight="1">
      <c r="A430" t="inlineStr">
        <is>
          <t>A 39021-2021</t>
        </is>
      </c>
      <c r="B430" s="1" t="n">
        <v>44412</v>
      </c>
      <c r="C430" s="1" t="n">
        <v>46042</v>
      </c>
      <c r="D430" t="inlineStr">
        <is>
          <t>ÖSTERGÖTLANDS LÄN</t>
        </is>
      </c>
      <c r="E430" t="inlineStr">
        <is>
          <t>LINKÖPING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62353-2022</t>
        </is>
      </c>
      <c r="B431" s="1" t="n">
        <v>44923</v>
      </c>
      <c r="C431" s="1" t="n">
        <v>46042</v>
      </c>
      <c r="D431" t="inlineStr">
        <is>
          <t>ÖSTERGÖTLANDS LÄN</t>
        </is>
      </c>
      <c r="E431" t="inlineStr">
        <is>
          <t>LINKÖPING</t>
        </is>
      </c>
      <c r="F431" t="inlineStr">
        <is>
          <t>Allmännings- och besparingsskogar</t>
        </is>
      </c>
      <c r="G431" t="n">
        <v>1.7</v>
      </c>
      <c r="H431" t="n">
        <v>0</v>
      </c>
      <c r="I431" t="n">
        <v>0</v>
      </c>
      <c r="J431" t="n">
        <v>0</v>
      </c>
      <c r="K431" t="n">
        <v>0</v>
      </c>
      <c r="L431" t="n">
        <v>0</v>
      </c>
      <c r="M431" t="n">
        <v>0</v>
      </c>
      <c r="N431" t="n">
        <v>0</v>
      </c>
      <c r="O431" t="n">
        <v>0</v>
      </c>
      <c r="P431" t="n">
        <v>0</v>
      </c>
      <c r="Q431" t="n">
        <v>0</v>
      </c>
      <c r="R431" s="2" t="inlineStr"/>
    </row>
    <row r="432" ht="15" customHeight="1">
      <c r="A432" t="inlineStr">
        <is>
          <t>A 30111-2024</t>
        </is>
      </c>
      <c r="B432" s="1" t="n">
        <v>45489.46947916667</v>
      </c>
      <c r="C432" s="1" t="n">
        <v>46042</v>
      </c>
      <c r="D432" t="inlineStr">
        <is>
          <t>ÖSTERGÖTLANDS LÄN</t>
        </is>
      </c>
      <c r="E432" t="inlineStr">
        <is>
          <t>LINKÖPING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30119-2024</t>
        </is>
      </c>
      <c r="B433" s="1" t="n">
        <v>45489</v>
      </c>
      <c r="C433" s="1" t="n">
        <v>46042</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52800-2025</t>
        </is>
      </c>
      <c r="B434" s="1" t="n">
        <v>45957.44152777778</v>
      </c>
      <c r="C434" s="1" t="n">
        <v>46042</v>
      </c>
      <c r="D434" t="inlineStr">
        <is>
          <t>ÖSTERGÖTLANDS LÄN</t>
        </is>
      </c>
      <c r="E434" t="inlineStr">
        <is>
          <t>LINKÖPING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52802-2025</t>
        </is>
      </c>
      <c r="B435" s="1" t="n">
        <v>45957.44295138889</v>
      </c>
      <c r="C435" s="1" t="n">
        <v>46042</v>
      </c>
      <c r="D435" t="inlineStr">
        <is>
          <t>ÖSTERGÖTLANDS LÄN</t>
        </is>
      </c>
      <c r="E435" t="inlineStr">
        <is>
          <t>LINKÖPING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29411-2023</t>
        </is>
      </c>
      <c r="B436" s="1" t="n">
        <v>45106.46225694445</v>
      </c>
      <c r="C436" s="1" t="n">
        <v>46042</v>
      </c>
      <c r="D436" t="inlineStr">
        <is>
          <t>ÖSTERGÖTLANDS LÄN</t>
        </is>
      </c>
      <c r="E436" t="inlineStr">
        <is>
          <t>LINKÖPING</t>
        </is>
      </c>
      <c r="G436" t="n">
        <v>2.5</v>
      </c>
      <c r="H436" t="n">
        <v>0</v>
      </c>
      <c r="I436" t="n">
        <v>0</v>
      </c>
      <c r="J436" t="n">
        <v>0</v>
      </c>
      <c r="K436" t="n">
        <v>0</v>
      </c>
      <c r="L436" t="n">
        <v>0</v>
      </c>
      <c r="M436" t="n">
        <v>0</v>
      </c>
      <c r="N436" t="n">
        <v>0</v>
      </c>
      <c r="O436" t="n">
        <v>0</v>
      </c>
      <c r="P436" t="n">
        <v>0</v>
      </c>
      <c r="Q436" t="n">
        <v>0</v>
      </c>
      <c r="R436" s="2" t="inlineStr"/>
    </row>
    <row r="437" ht="15" customHeight="1">
      <c r="A437" t="inlineStr">
        <is>
          <t>A 29412-2023</t>
        </is>
      </c>
      <c r="B437" s="1" t="n">
        <v>45106.46359953703</v>
      </c>
      <c r="C437" s="1" t="n">
        <v>46042</v>
      </c>
      <c r="D437" t="inlineStr">
        <is>
          <t>ÖSTERGÖTLANDS LÄN</t>
        </is>
      </c>
      <c r="E437" t="inlineStr">
        <is>
          <t>LINKÖPING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52743-2025</t>
        </is>
      </c>
      <c r="B438" s="1" t="n">
        <v>45957.38039351852</v>
      </c>
      <c r="C438" s="1" t="n">
        <v>46042</v>
      </c>
      <c r="D438" t="inlineStr">
        <is>
          <t>ÖSTERGÖTLANDS LÄN</t>
        </is>
      </c>
      <c r="E438" t="inlineStr">
        <is>
          <t>LINKÖPING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52807-2025</t>
        </is>
      </c>
      <c r="B439" s="1" t="n">
        <v>45957.44837962963</v>
      </c>
      <c r="C439" s="1" t="n">
        <v>46042</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31792-2021</t>
        </is>
      </c>
      <c r="B440" s="1" t="n">
        <v>44369</v>
      </c>
      <c r="C440" s="1" t="n">
        <v>46042</v>
      </c>
      <c r="D440" t="inlineStr">
        <is>
          <t>ÖSTERGÖTLANDS LÄN</t>
        </is>
      </c>
      <c r="E440" t="inlineStr">
        <is>
          <t>LINKÖPING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421-2024</t>
        </is>
      </c>
      <c r="B441" s="1" t="n">
        <v>45296.51877314815</v>
      </c>
      <c r="C441" s="1" t="n">
        <v>46042</v>
      </c>
      <c r="D441" t="inlineStr">
        <is>
          <t>ÖSTERGÖTLANDS LÄN</t>
        </is>
      </c>
      <c r="E441" t="inlineStr">
        <is>
          <t>LINKÖPING</t>
        </is>
      </c>
      <c r="G441" t="n">
        <v>3.7</v>
      </c>
      <c r="H441" t="n">
        <v>0</v>
      </c>
      <c r="I441" t="n">
        <v>0</v>
      </c>
      <c r="J441" t="n">
        <v>0</v>
      </c>
      <c r="K441" t="n">
        <v>0</v>
      </c>
      <c r="L441" t="n">
        <v>0</v>
      </c>
      <c r="M441" t="n">
        <v>0</v>
      </c>
      <c r="N441" t="n">
        <v>0</v>
      </c>
      <c r="O441" t="n">
        <v>0</v>
      </c>
      <c r="P441" t="n">
        <v>0</v>
      </c>
      <c r="Q441" t="n">
        <v>0</v>
      </c>
      <c r="R441" s="2" t="inlineStr"/>
    </row>
    <row r="442" ht="15" customHeight="1">
      <c r="A442" t="inlineStr">
        <is>
          <t>A 22043-2023</t>
        </is>
      </c>
      <c r="B442" s="1" t="n">
        <v>45069.39050925926</v>
      </c>
      <c r="C442" s="1" t="n">
        <v>46042</v>
      </c>
      <c r="D442" t="inlineStr">
        <is>
          <t>ÖSTERGÖTLANDS LÄN</t>
        </is>
      </c>
      <c r="E442" t="inlineStr">
        <is>
          <t>LINKÖPING</t>
        </is>
      </c>
      <c r="G442" t="n">
        <v>5.9</v>
      </c>
      <c r="H442" t="n">
        <v>0</v>
      </c>
      <c r="I442" t="n">
        <v>0</v>
      </c>
      <c r="J442" t="n">
        <v>0</v>
      </c>
      <c r="K442" t="n">
        <v>0</v>
      </c>
      <c r="L442" t="n">
        <v>0</v>
      </c>
      <c r="M442" t="n">
        <v>0</v>
      </c>
      <c r="N442" t="n">
        <v>0</v>
      </c>
      <c r="O442" t="n">
        <v>0</v>
      </c>
      <c r="P442" t="n">
        <v>0</v>
      </c>
      <c r="Q442" t="n">
        <v>0</v>
      </c>
      <c r="R442" s="2" t="inlineStr"/>
    </row>
    <row r="443" ht="15" customHeight="1">
      <c r="A443" t="inlineStr">
        <is>
          <t>A 61281-2021</t>
        </is>
      </c>
      <c r="B443" s="1" t="n">
        <v>44498.60736111111</v>
      </c>
      <c r="C443" s="1" t="n">
        <v>46042</v>
      </c>
      <c r="D443" t="inlineStr">
        <is>
          <t>ÖSTERGÖTLANDS LÄN</t>
        </is>
      </c>
      <c r="E443" t="inlineStr">
        <is>
          <t>LINKÖPING</t>
        </is>
      </c>
      <c r="G443" t="n">
        <v>4.5</v>
      </c>
      <c r="H443" t="n">
        <v>0</v>
      </c>
      <c r="I443" t="n">
        <v>0</v>
      </c>
      <c r="J443" t="n">
        <v>0</v>
      </c>
      <c r="K443" t="n">
        <v>0</v>
      </c>
      <c r="L443" t="n">
        <v>0</v>
      </c>
      <c r="M443" t="n">
        <v>0</v>
      </c>
      <c r="N443" t="n">
        <v>0</v>
      </c>
      <c r="O443" t="n">
        <v>0</v>
      </c>
      <c r="P443" t="n">
        <v>0</v>
      </c>
      <c r="Q443" t="n">
        <v>0</v>
      </c>
      <c r="R443" s="2" t="inlineStr"/>
    </row>
    <row r="444" ht="15" customHeight="1">
      <c r="A444" t="inlineStr">
        <is>
          <t>A 25292-2021</t>
        </is>
      </c>
      <c r="B444" s="1" t="n">
        <v>44342</v>
      </c>
      <c r="C444" s="1" t="n">
        <v>46042</v>
      </c>
      <c r="D444" t="inlineStr">
        <is>
          <t>ÖSTERGÖTLANDS LÄN</t>
        </is>
      </c>
      <c r="E444" t="inlineStr">
        <is>
          <t>LINKÖPING</t>
        </is>
      </c>
      <c r="F444" t="inlineStr">
        <is>
          <t>Övriga Aktiebolag</t>
        </is>
      </c>
      <c r="G444" t="n">
        <v>12.8</v>
      </c>
      <c r="H444" t="n">
        <v>0</v>
      </c>
      <c r="I444" t="n">
        <v>0</v>
      </c>
      <c r="J444" t="n">
        <v>0</v>
      </c>
      <c r="K444" t="n">
        <v>0</v>
      </c>
      <c r="L444" t="n">
        <v>0</v>
      </c>
      <c r="M444" t="n">
        <v>0</v>
      </c>
      <c r="N444" t="n">
        <v>0</v>
      </c>
      <c r="O444" t="n">
        <v>0</v>
      </c>
      <c r="P444" t="n">
        <v>0</v>
      </c>
      <c r="Q444" t="n">
        <v>0</v>
      </c>
      <c r="R444" s="2" t="inlineStr"/>
    </row>
    <row r="445" ht="15" customHeight="1">
      <c r="A445" t="inlineStr">
        <is>
          <t>A 63935-2021</t>
        </is>
      </c>
      <c r="B445" s="1" t="n">
        <v>44509</v>
      </c>
      <c r="C445" s="1" t="n">
        <v>46042</v>
      </c>
      <c r="D445" t="inlineStr">
        <is>
          <t>ÖSTERGÖTLANDS LÄN</t>
        </is>
      </c>
      <c r="E445" t="inlineStr">
        <is>
          <t>LINKÖPING</t>
        </is>
      </c>
      <c r="F445" t="inlineStr">
        <is>
          <t>Övriga statliga verk och myndigheter</t>
        </is>
      </c>
      <c r="G445" t="n">
        <v>2.8</v>
      </c>
      <c r="H445" t="n">
        <v>0</v>
      </c>
      <c r="I445" t="n">
        <v>0</v>
      </c>
      <c r="J445" t="n">
        <v>0</v>
      </c>
      <c r="K445" t="n">
        <v>0</v>
      </c>
      <c r="L445" t="n">
        <v>0</v>
      </c>
      <c r="M445" t="n">
        <v>0</v>
      </c>
      <c r="N445" t="n">
        <v>0</v>
      </c>
      <c r="O445" t="n">
        <v>0</v>
      </c>
      <c r="P445" t="n">
        <v>0</v>
      </c>
      <c r="Q445" t="n">
        <v>0</v>
      </c>
      <c r="R445" s="2" t="inlineStr"/>
    </row>
    <row r="446" ht="15" customHeight="1">
      <c r="A446" t="inlineStr">
        <is>
          <t>A 61447-2025</t>
        </is>
      </c>
      <c r="B446" s="1" t="n">
        <v>46001.57554398148</v>
      </c>
      <c r="C446" s="1" t="n">
        <v>46042</v>
      </c>
      <c r="D446" t="inlineStr">
        <is>
          <t>ÖSTERGÖTLANDS LÄN</t>
        </is>
      </c>
      <c r="E446" t="inlineStr">
        <is>
          <t>LINKÖPING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38971-2025</t>
        </is>
      </c>
      <c r="B447" s="1" t="n">
        <v>45887.71827546296</v>
      </c>
      <c r="C447" s="1" t="n">
        <v>46042</v>
      </c>
      <c r="D447" t="inlineStr">
        <is>
          <t>ÖSTERGÖTLANDS LÄN</t>
        </is>
      </c>
      <c r="E447" t="inlineStr">
        <is>
          <t>LINKÖPING</t>
        </is>
      </c>
      <c r="G447" t="n">
        <v>3.9</v>
      </c>
      <c r="H447" t="n">
        <v>0</v>
      </c>
      <c r="I447" t="n">
        <v>0</v>
      </c>
      <c r="J447" t="n">
        <v>0</v>
      </c>
      <c r="K447" t="n">
        <v>0</v>
      </c>
      <c r="L447" t="n">
        <v>0</v>
      </c>
      <c r="M447" t="n">
        <v>0</v>
      </c>
      <c r="N447" t="n">
        <v>0</v>
      </c>
      <c r="O447" t="n">
        <v>0</v>
      </c>
      <c r="P447" t="n">
        <v>0</v>
      </c>
      <c r="Q447" t="n">
        <v>0</v>
      </c>
      <c r="R447" s="2" t="inlineStr"/>
    </row>
    <row r="448" ht="15" customHeight="1">
      <c r="A448" t="inlineStr">
        <is>
          <t>A 61532-2021</t>
        </is>
      </c>
      <c r="B448" s="1" t="n">
        <v>44501</v>
      </c>
      <c r="C448" s="1" t="n">
        <v>46042</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55345-2021</t>
        </is>
      </c>
      <c r="B449" s="1" t="n">
        <v>44475</v>
      </c>
      <c r="C449" s="1" t="n">
        <v>46042</v>
      </c>
      <c r="D449" t="inlineStr">
        <is>
          <t>ÖSTERGÖTLANDS LÄN</t>
        </is>
      </c>
      <c r="E449" t="inlineStr">
        <is>
          <t>LINKÖPING</t>
        </is>
      </c>
      <c r="G449" t="n">
        <v>5.7</v>
      </c>
      <c r="H449" t="n">
        <v>0</v>
      </c>
      <c r="I449" t="n">
        <v>0</v>
      </c>
      <c r="J449" t="n">
        <v>0</v>
      </c>
      <c r="K449" t="n">
        <v>0</v>
      </c>
      <c r="L449" t="n">
        <v>0</v>
      </c>
      <c r="M449" t="n">
        <v>0</v>
      </c>
      <c r="N449" t="n">
        <v>0</v>
      </c>
      <c r="O449" t="n">
        <v>0</v>
      </c>
      <c r="P449" t="n">
        <v>0</v>
      </c>
      <c r="Q449" t="n">
        <v>0</v>
      </c>
      <c r="R449" s="2" t="inlineStr"/>
    </row>
    <row r="450" ht="15" customHeight="1">
      <c r="A450" t="inlineStr">
        <is>
          <t>A 14028-2024</t>
        </is>
      </c>
      <c r="B450" s="1" t="n">
        <v>45392</v>
      </c>
      <c r="C450" s="1" t="n">
        <v>46042</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40431-2024</t>
        </is>
      </c>
      <c r="B451" s="1" t="n">
        <v>45555.47070601852</v>
      </c>
      <c r="C451" s="1" t="n">
        <v>46042</v>
      </c>
      <c r="D451" t="inlineStr">
        <is>
          <t>ÖSTERGÖTLANDS LÄN</t>
        </is>
      </c>
      <c r="E451" t="inlineStr">
        <is>
          <t>LINKÖPING</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60860-2024</t>
        </is>
      </c>
      <c r="B452" s="1" t="n">
        <v>45644.6893287037</v>
      </c>
      <c r="C452" s="1" t="n">
        <v>46042</v>
      </c>
      <c r="D452" t="inlineStr">
        <is>
          <t>ÖSTERGÖTLANDS LÄN</t>
        </is>
      </c>
      <c r="E452" t="inlineStr">
        <is>
          <t>LINKÖPING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2697-2023</t>
        </is>
      </c>
      <c r="B453" s="1" t="n">
        <v>44944</v>
      </c>
      <c r="C453" s="1" t="n">
        <v>46042</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45806-2024</t>
        </is>
      </c>
      <c r="B454" s="1" t="n">
        <v>45579.69619212963</v>
      </c>
      <c r="C454" s="1" t="n">
        <v>46042</v>
      </c>
      <c r="D454" t="inlineStr">
        <is>
          <t>ÖSTERGÖTLANDS LÄN</t>
        </is>
      </c>
      <c r="E454" t="inlineStr">
        <is>
          <t>LINKÖPING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56756-2023</t>
        </is>
      </c>
      <c r="B455" s="1" t="n">
        <v>45244</v>
      </c>
      <c r="C455" s="1" t="n">
        <v>46042</v>
      </c>
      <c r="D455" t="inlineStr">
        <is>
          <t>ÖSTERGÖTLANDS LÄN</t>
        </is>
      </c>
      <c r="E455" t="inlineStr">
        <is>
          <t>LINKÖPING</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61899-2025</t>
        </is>
      </c>
      <c r="B456" s="1" t="n">
        <v>46003.46635416667</v>
      </c>
      <c r="C456" s="1" t="n">
        <v>46042</v>
      </c>
      <c r="D456" t="inlineStr">
        <is>
          <t>ÖSTERGÖTLANDS LÄN</t>
        </is>
      </c>
      <c r="E456" t="inlineStr">
        <is>
          <t>LINKÖPING</t>
        </is>
      </c>
      <c r="G456" t="n">
        <v>2.4</v>
      </c>
      <c r="H456" t="n">
        <v>0</v>
      </c>
      <c r="I456" t="n">
        <v>0</v>
      </c>
      <c r="J456" t="n">
        <v>0</v>
      </c>
      <c r="K456" t="n">
        <v>0</v>
      </c>
      <c r="L456" t="n">
        <v>0</v>
      </c>
      <c r="M456" t="n">
        <v>0</v>
      </c>
      <c r="N456" t="n">
        <v>0</v>
      </c>
      <c r="O456" t="n">
        <v>0</v>
      </c>
      <c r="P456" t="n">
        <v>0</v>
      </c>
      <c r="Q456" t="n">
        <v>0</v>
      </c>
      <c r="R456" s="2" t="inlineStr"/>
    </row>
    <row r="457" ht="15" customHeight="1">
      <c r="A457" t="inlineStr">
        <is>
          <t>A 61643-2025</t>
        </is>
      </c>
      <c r="B457" s="1" t="n">
        <v>46002.43575231481</v>
      </c>
      <c r="C457" s="1" t="n">
        <v>46042</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60985-2023</t>
        </is>
      </c>
      <c r="B458" s="1" t="n">
        <v>45261.48429398148</v>
      </c>
      <c r="C458" s="1" t="n">
        <v>46042</v>
      </c>
      <c r="D458" t="inlineStr">
        <is>
          <t>ÖSTERGÖTLANDS LÄN</t>
        </is>
      </c>
      <c r="E458" t="inlineStr">
        <is>
          <t>LINKÖPING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61645-2025</t>
        </is>
      </c>
      <c r="B459" s="1" t="n">
        <v>46002.43697916667</v>
      </c>
      <c r="C459" s="1" t="n">
        <v>46042</v>
      </c>
      <c r="D459" t="inlineStr">
        <is>
          <t>ÖSTERGÖTLANDS LÄN</t>
        </is>
      </c>
      <c r="E459" t="inlineStr">
        <is>
          <t>LINKÖPING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24904-2024</t>
        </is>
      </c>
      <c r="B460" s="1" t="n">
        <v>45461</v>
      </c>
      <c r="C460" s="1" t="n">
        <v>46042</v>
      </c>
      <c r="D460" t="inlineStr">
        <is>
          <t>ÖSTERGÖTLANDS LÄN</t>
        </is>
      </c>
      <c r="E460" t="inlineStr">
        <is>
          <t>LINKÖPING</t>
        </is>
      </c>
      <c r="G460" t="n">
        <v>3.8</v>
      </c>
      <c r="H460" t="n">
        <v>0</v>
      </c>
      <c r="I460" t="n">
        <v>0</v>
      </c>
      <c r="J460" t="n">
        <v>0</v>
      </c>
      <c r="K460" t="n">
        <v>0</v>
      </c>
      <c r="L460" t="n">
        <v>0</v>
      </c>
      <c r="M460" t="n">
        <v>0</v>
      </c>
      <c r="N460" t="n">
        <v>0</v>
      </c>
      <c r="O460" t="n">
        <v>0</v>
      </c>
      <c r="P460" t="n">
        <v>0</v>
      </c>
      <c r="Q460" t="n">
        <v>0</v>
      </c>
      <c r="R460" s="2" t="inlineStr"/>
    </row>
    <row r="461" ht="15" customHeight="1">
      <c r="A461" t="inlineStr">
        <is>
          <t>A 55009-2023</t>
        </is>
      </c>
      <c r="B461" s="1" t="n">
        <v>45237</v>
      </c>
      <c r="C461" s="1" t="n">
        <v>46042</v>
      </c>
      <c r="D461" t="inlineStr">
        <is>
          <t>ÖSTERGÖTLANDS LÄN</t>
        </is>
      </c>
      <c r="E461" t="inlineStr">
        <is>
          <t>LINKÖPING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34872-2023</t>
        </is>
      </c>
      <c r="B462" s="1" t="n">
        <v>45140</v>
      </c>
      <c r="C462" s="1" t="n">
        <v>46042</v>
      </c>
      <c r="D462" t="inlineStr">
        <is>
          <t>ÖSTERGÖTLANDS LÄN</t>
        </is>
      </c>
      <c r="E462" t="inlineStr">
        <is>
          <t>LINKÖPING</t>
        </is>
      </c>
      <c r="G462" t="n">
        <v>4.8</v>
      </c>
      <c r="H462" t="n">
        <v>0</v>
      </c>
      <c r="I462" t="n">
        <v>0</v>
      </c>
      <c r="J462" t="n">
        <v>0</v>
      </c>
      <c r="K462" t="n">
        <v>0</v>
      </c>
      <c r="L462" t="n">
        <v>0</v>
      </c>
      <c r="M462" t="n">
        <v>0</v>
      </c>
      <c r="N462" t="n">
        <v>0</v>
      </c>
      <c r="O462" t="n">
        <v>0</v>
      </c>
      <c r="P462" t="n">
        <v>0</v>
      </c>
      <c r="Q462" t="n">
        <v>0</v>
      </c>
      <c r="R462" s="2" t="inlineStr"/>
    </row>
    <row r="463" ht="15" customHeight="1">
      <c r="A463" t="inlineStr">
        <is>
          <t>A 54332-2025</t>
        </is>
      </c>
      <c r="B463" s="1" t="n">
        <v>45965.34915509259</v>
      </c>
      <c r="C463" s="1" t="n">
        <v>46042</v>
      </c>
      <c r="D463" t="inlineStr">
        <is>
          <t>ÖSTERGÖTLANDS LÄN</t>
        </is>
      </c>
      <c r="E463" t="inlineStr">
        <is>
          <t>LINKÖPING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54329-2025</t>
        </is>
      </c>
      <c r="B464" s="1" t="n">
        <v>45965.34706018519</v>
      </c>
      <c r="C464" s="1" t="n">
        <v>46042</v>
      </c>
      <c r="D464" t="inlineStr">
        <is>
          <t>ÖSTERGÖTLANDS LÄN</t>
        </is>
      </c>
      <c r="E464" t="inlineStr">
        <is>
          <t>LINKÖPING</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36336-2022</t>
        </is>
      </c>
      <c r="B465" s="1" t="n">
        <v>44803</v>
      </c>
      <c r="C465" s="1" t="n">
        <v>46042</v>
      </c>
      <c r="D465" t="inlineStr">
        <is>
          <t>ÖSTERGÖTLANDS LÄN</t>
        </is>
      </c>
      <c r="E465" t="inlineStr">
        <is>
          <t>LINKÖPING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61230-2025</t>
        </is>
      </c>
      <c r="B466" s="1" t="n">
        <v>46000.63111111111</v>
      </c>
      <c r="C466" s="1" t="n">
        <v>46042</v>
      </c>
      <c r="D466" t="inlineStr">
        <is>
          <t>ÖSTERGÖTLANDS LÄN</t>
        </is>
      </c>
      <c r="E466" t="inlineStr">
        <is>
          <t>LINKÖPING</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25097-2023</t>
        </is>
      </c>
      <c r="B467" s="1" t="n">
        <v>45086</v>
      </c>
      <c r="C467" s="1" t="n">
        <v>46042</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62515-2025</t>
        </is>
      </c>
      <c r="B468" s="1" t="n">
        <v>46007.60548611111</v>
      </c>
      <c r="C468" s="1" t="n">
        <v>46042</v>
      </c>
      <c r="D468" t="inlineStr">
        <is>
          <t>ÖSTERGÖTLANDS LÄN</t>
        </is>
      </c>
      <c r="E468" t="inlineStr">
        <is>
          <t>LINKÖPING</t>
        </is>
      </c>
      <c r="G468" t="n">
        <v>2.2</v>
      </c>
      <c r="H468" t="n">
        <v>0</v>
      </c>
      <c r="I468" t="n">
        <v>0</v>
      </c>
      <c r="J468" t="n">
        <v>0</v>
      </c>
      <c r="K468" t="n">
        <v>0</v>
      </c>
      <c r="L468" t="n">
        <v>0</v>
      </c>
      <c r="M468" t="n">
        <v>0</v>
      </c>
      <c r="N468" t="n">
        <v>0</v>
      </c>
      <c r="O468" t="n">
        <v>0</v>
      </c>
      <c r="P468" t="n">
        <v>0</v>
      </c>
      <c r="Q468" t="n">
        <v>0</v>
      </c>
      <c r="R468" s="2" t="inlineStr"/>
    </row>
    <row r="469" ht="15" customHeight="1">
      <c r="A469" t="inlineStr">
        <is>
          <t>A 10461-2023</t>
        </is>
      </c>
      <c r="B469" s="1" t="n">
        <v>44987.5969212963</v>
      </c>
      <c r="C469" s="1" t="n">
        <v>46042</v>
      </c>
      <c r="D469" t="inlineStr">
        <is>
          <t>ÖSTERGÖTLANDS LÄN</t>
        </is>
      </c>
      <c r="E469" t="inlineStr">
        <is>
          <t>LINKÖPING</t>
        </is>
      </c>
      <c r="G469" t="n">
        <v>7.8</v>
      </c>
      <c r="H469" t="n">
        <v>0</v>
      </c>
      <c r="I469" t="n">
        <v>0</v>
      </c>
      <c r="J469" t="n">
        <v>0</v>
      </c>
      <c r="K469" t="n">
        <v>0</v>
      </c>
      <c r="L469" t="n">
        <v>0</v>
      </c>
      <c r="M469" t="n">
        <v>0</v>
      </c>
      <c r="N469" t="n">
        <v>0</v>
      </c>
      <c r="O469" t="n">
        <v>0</v>
      </c>
      <c r="P469" t="n">
        <v>0</v>
      </c>
      <c r="Q469" t="n">
        <v>0</v>
      </c>
      <c r="R469" s="2" t="inlineStr"/>
    </row>
    <row r="470" ht="15" customHeight="1">
      <c r="A470" t="inlineStr">
        <is>
          <t>A 54333-2025</t>
        </is>
      </c>
      <c r="B470" s="1" t="n">
        <v>45965.35090277778</v>
      </c>
      <c r="C470" s="1" t="n">
        <v>46042</v>
      </c>
      <c r="D470" t="inlineStr">
        <is>
          <t>ÖSTERGÖTLANDS LÄN</t>
        </is>
      </c>
      <c r="E470" t="inlineStr">
        <is>
          <t>LINKÖPING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50386-2021</t>
        </is>
      </c>
      <c r="B471" s="1" t="n">
        <v>44459</v>
      </c>
      <c r="C471" s="1" t="n">
        <v>46042</v>
      </c>
      <c r="D471" t="inlineStr">
        <is>
          <t>ÖSTERGÖTLANDS LÄN</t>
        </is>
      </c>
      <c r="E471" t="inlineStr">
        <is>
          <t>LINKÖPING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62686-2025</t>
        </is>
      </c>
      <c r="B472" s="1" t="n">
        <v>46008.46769675926</v>
      </c>
      <c r="C472" s="1" t="n">
        <v>46042</v>
      </c>
      <c r="D472" t="inlineStr">
        <is>
          <t>ÖSTERGÖTLANDS LÄN</t>
        </is>
      </c>
      <c r="E472" t="inlineStr">
        <is>
          <t>LINKÖPING</t>
        </is>
      </c>
      <c r="G472" t="n">
        <v>7.6</v>
      </c>
      <c r="H472" t="n">
        <v>0</v>
      </c>
      <c r="I472" t="n">
        <v>0</v>
      </c>
      <c r="J472" t="n">
        <v>0</v>
      </c>
      <c r="K472" t="n">
        <v>0</v>
      </c>
      <c r="L472" t="n">
        <v>0</v>
      </c>
      <c r="M472" t="n">
        <v>0</v>
      </c>
      <c r="N472" t="n">
        <v>0</v>
      </c>
      <c r="O472" t="n">
        <v>0</v>
      </c>
      <c r="P472" t="n">
        <v>0</v>
      </c>
      <c r="Q472" t="n">
        <v>0</v>
      </c>
      <c r="R472" s="2" t="inlineStr"/>
    </row>
    <row r="473" ht="15" customHeight="1">
      <c r="A473" t="inlineStr">
        <is>
          <t>A 350-2022</t>
        </is>
      </c>
      <c r="B473" s="1" t="n">
        <v>44565</v>
      </c>
      <c r="C473" s="1" t="n">
        <v>46042</v>
      </c>
      <c r="D473" t="inlineStr">
        <is>
          <t>ÖSTERGÖTLANDS LÄN</t>
        </is>
      </c>
      <c r="E473" t="inlineStr">
        <is>
          <t>LINKÖPING</t>
        </is>
      </c>
      <c r="G473" t="n">
        <v>1.2</v>
      </c>
      <c r="H473" t="n">
        <v>0</v>
      </c>
      <c r="I473" t="n">
        <v>0</v>
      </c>
      <c r="J473" t="n">
        <v>0</v>
      </c>
      <c r="K473" t="n">
        <v>0</v>
      </c>
      <c r="L473" t="n">
        <v>0</v>
      </c>
      <c r="M473" t="n">
        <v>0</v>
      </c>
      <c r="N473" t="n">
        <v>0</v>
      </c>
      <c r="O473" t="n">
        <v>0</v>
      </c>
      <c r="P473" t="n">
        <v>0</v>
      </c>
      <c r="Q473" t="n">
        <v>0</v>
      </c>
      <c r="R473" s="2" t="inlineStr"/>
    </row>
    <row r="474" ht="15" customHeight="1">
      <c r="A474" t="inlineStr">
        <is>
          <t>A 18891-2022</t>
        </is>
      </c>
      <c r="B474" s="1" t="n">
        <v>44690</v>
      </c>
      <c r="C474" s="1" t="n">
        <v>46042</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30976-2022</t>
        </is>
      </c>
      <c r="B475" s="1" t="n">
        <v>44768</v>
      </c>
      <c r="C475" s="1" t="n">
        <v>46042</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62791-2025</t>
        </is>
      </c>
      <c r="B476" s="1" t="n">
        <v>46008.63266203704</v>
      </c>
      <c r="C476" s="1" t="n">
        <v>46042</v>
      </c>
      <c r="D476" t="inlineStr">
        <is>
          <t>ÖSTERGÖTLANDS LÄN</t>
        </is>
      </c>
      <c r="E476" t="inlineStr">
        <is>
          <t>LINKÖPING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55736-2022</t>
        </is>
      </c>
      <c r="B477" s="1" t="n">
        <v>44888</v>
      </c>
      <c r="C477" s="1" t="n">
        <v>46042</v>
      </c>
      <c r="D477" t="inlineStr">
        <is>
          <t>ÖSTERGÖTLANDS LÄN</t>
        </is>
      </c>
      <c r="E477" t="inlineStr">
        <is>
          <t>LINKÖPING</t>
        </is>
      </c>
      <c r="G477" t="n">
        <v>5.5</v>
      </c>
      <c r="H477" t="n">
        <v>0</v>
      </c>
      <c r="I477" t="n">
        <v>0</v>
      </c>
      <c r="J477" t="n">
        <v>0</v>
      </c>
      <c r="K477" t="n">
        <v>0</v>
      </c>
      <c r="L477" t="n">
        <v>0</v>
      </c>
      <c r="M477" t="n">
        <v>0</v>
      </c>
      <c r="N477" t="n">
        <v>0</v>
      </c>
      <c r="O477" t="n">
        <v>0</v>
      </c>
      <c r="P477" t="n">
        <v>0</v>
      </c>
      <c r="Q477" t="n">
        <v>0</v>
      </c>
      <c r="R477" s="2" t="inlineStr"/>
    </row>
    <row r="478" ht="15" customHeight="1">
      <c r="A478" t="inlineStr">
        <is>
          <t>A 55102-2025</t>
        </is>
      </c>
      <c r="B478" s="1" t="n">
        <v>45968.35410879629</v>
      </c>
      <c r="C478" s="1" t="n">
        <v>46042</v>
      </c>
      <c r="D478" t="inlineStr">
        <is>
          <t>ÖSTERGÖTLANDS LÄN</t>
        </is>
      </c>
      <c r="E478" t="inlineStr">
        <is>
          <t>LINKÖPING</t>
        </is>
      </c>
      <c r="G478" t="n">
        <v>1.4</v>
      </c>
      <c r="H478" t="n">
        <v>0</v>
      </c>
      <c r="I478" t="n">
        <v>0</v>
      </c>
      <c r="J478" t="n">
        <v>0</v>
      </c>
      <c r="K478" t="n">
        <v>0</v>
      </c>
      <c r="L478" t="n">
        <v>0</v>
      </c>
      <c r="M478" t="n">
        <v>0</v>
      </c>
      <c r="N478" t="n">
        <v>0</v>
      </c>
      <c r="O478" t="n">
        <v>0</v>
      </c>
      <c r="P478" t="n">
        <v>0</v>
      </c>
      <c r="Q478" t="n">
        <v>0</v>
      </c>
      <c r="R478" s="2" t="inlineStr"/>
    </row>
    <row r="479" ht="15" customHeight="1">
      <c r="A479" t="inlineStr">
        <is>
          <t>A 10194-2023</t>
        </is>
      </c>
      <c r="B479" s="1" t="n">
        <v>44986.52277777778</v>
      </c>
      <c r="C479" s="1" t="n">
        <v>46042</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55132-2025</t>
        </is>
      </c>
      <c r="B480" s="1" t="n">
        <v>45968.41912037037</v>
      </c>
      <c r="C480" s="1" t="n">
        <v>46042</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63147-2025</t>
        </is>
      </c>
      <c r="B481" s="1" t="n">
        <v>46010.35003472222</v>
      </c>
      <c r="C481" s="1" t="n">
        <v>46042</v>
      </c>
      <c r="D481" t="inlineStr">
        <is>
          <t>ÖSTERGÖTLANDS LÄN</t>
        </is>
      </c>
      <c r="E481" t="inlineStr">
        <is>
          <t>LINKÖPING</t>
        </is>
      </c>
      <c r="G481" t="n">
        <v>4</v>
      </c>
      <c r="H481" t="n">
        <v>0</v>
      </c>
      <c r="I481" t="n">
        <v>0</v>
      </c>
      <c r="J481" t="n">
        <v>0</v>
      </c>
      <c r="K481" t="n">
        <v>0</v>
      </c>
      <c r="L481" t="n">
        <v>0</v>
      </c>
      <c r="M481" t="n">
        <v>0</v>
      </c>
      <c r="N481" t="n">
        <v>0</v>
      </c>
      <c r="O481" t="n">
        <v>0</v>
      </c>
      <c r="P481" t="n">
        <v>0</v>
      </c>
      <c r="Q481" t="n">
        <v>0</v>
      </c>
      <c r="R481" s="2" t="inlineStr"/>
    </row>
    <row r="482" ht="15" customHeight="1">
      <c r="A482" t="inlineStr">
        <is>
          <t>A 55109-2025</t>
        </is>
      </c>
      <c r="B482" s="1" t="n">
        <v>45968.37731481482</v>
      </c>
      <c r="C482" s="1" t="n">
        <v>46042</v>
      </c>
      <c r="D482" t="inlineStr">
        <is>
          <t>ÖSTERGÖTLANDS LÄN</t>
        </is>
      </c>
      <c r="E482" t="inlineStr">
        <is>
          <t>LINKÖPING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63144-2025</t>
        </is>
      </c>
      <c r="B483" s="1" t="n">
        <v>46010.34716435185</v>
      </c>
      <c r="C483" s="1" t="n">
        <v>46042</v>
      </c>
      <c r="D483" t="inlineStr">
        <is>
          <t>ÖSTERGÖTLANDS LÄN</t>
        </is>
      </c>
      <c r="E483" t="inlineStr">
        <is>
          <t>LINKÖPING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55165-2025</t>
        </is>
      </c>
      <c r="B484" s="1" t="n">
        <v>45968.48194444444</v>
      </c>
      <c r="C484" s="1" t="n">
        <v>46042</v>
      </c>
      <c r="D484" t="inlineStr">
        <is>
          <t>ÖSTERGÖTLANDS LÄN</t>
        </is>
      </c>
      <c r="E484" t="inlineStr">
        <is>
          <t>LINKÖPING</t>
        </is>
      </c>
      <c r="G484" t="n">
        <v>2.4</v>
      </c>
      <c r="H484" t="n">
        <v>0</v>
      </c>
      <c r="I484" t="n">
        <v>0</v>
      </c>
      <c r="J484" t="n">
        <v>0</v>
      </c>
      <c r="K484" t="n">
        <v>0</v>
      </c>
      <c r="L484" t="n">
        <v>0</v>
      </c>
      <c r="M484" t="n">
        <v>0</v>
      </c>
      <c r="N484" t="n">
        <v>0</v>
      </c>
      <c r="O484" t="n">
        <v>0</v>
      </c>
      <c r="P484" t="n">
        <v>0</v>
      </c>
      <c r="Q484" t="n">
        <v>0</v>
      </c>
      <c r="R484" s="2" t="inlineStr"/>
    </row>
    <row r="485" ht="15" customHeight="1">
      <c r="A485" t="inlineStr">
        <is>
          <t>A 7702-2023</t>
        </is>
      </c>
      <c r="B485" s="1" t="n">
        <v>44967</v>
      </c>
      <c r="C485" s="1" t="n">
        <v>46042</v>
      </c>
      <c r="D485" t="inlineStr">
        <is>
          <t>ÖSTERGÖTLANDS LÄN</t>
        </is>
      </c>
      <c r="E485" t="inlineStr">
        <is>
          <t>LINKÖPING</t>
        </is>
      </c>
      <c r="F485" t="inlineStr">
        <is>
          <t>Övriga statliga verk och myndigheter</t>
        </is>
      </c>
      <c r="G485" t="n">
        <v>8</v>
      </c>
      <c r="H485" t="n">
        <v>0</v>
      </c>
      <c r="I485" t="n">
        <v>0</v>
      </c>
      <c r="J485" t="n">
        <v>0</v>
      </c>
      <c r="K485" t="n">
        <v>0</v>
      </c>
      <c r="L485" t="n">
        <v>0</v>
      </c>
      <c r="M485" t="n">
        <v>0</v>
      </c>
      <c r="N485" t="n">
        <v>0</v>
      </c>
      <c r="O485" t="n">
        <v>0</v>
      </c>
      <c r="P485" t="n">
        <v>0</v>
      </c>
      <c r="Q485" t="n">
        <v>0</v>
      </c>
      <c r="R485" s="2" t="inlineStr"/>
    </row>
    <row r="486" ht="15" customHeight="1">
      <c r="A486" t="inlineStr">
        <is>
          <t>A 42000-2023</t>
        </is>
      </c>
      <c r="B486" s="1" t="n">
        <v>45177</v>
      </c>
      <c r="C486" s="1" t="n">
        <v>46042</v>
      </c>
      <c r="D486" t="inlineStr">
        <is>
          <t>ÖSTERGÖTLANDS LÄN</t>
        </is>
      </c>
      <c r="E486" t="inlineStr">
        <is>
          <t>LINKÖPING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31534-2023</t>
        </is>
      </c>
      <c r="B487" s="1" t="n">
        <v>45116</v>
      </c>
      <c r="C487" s="1" t="n">
        <v>46042</v>
      </c>
      <c r="D487" t="inlineStr">
        <is>
          <t>ÖSTERGÖTLANDS LÄN</t>
        </is>
      </c>
      <c r="E487" t="inlineStr">
        <is>
          <t>LINKÖPING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56113-2025</t>
        </is>
      </c>
      <c r="B488" s="1" t="n">
        <v>45973.73924768518</v>
      </c>
      <c r="C488" s="1" t="n">
        <v>46042</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56105-2025</t>
        </is>
      </c>
      <c r="B489" s="1" t="n">
        <v>45973.72855324074</v>
      </c>
      <c r="C489" s="1" t="n">
        <v>46042</v>
      </c>
      <c r="D489" t="inlineStr">
        <is>
          <t>ÖSTERGÖTLANDS LÄN</t>
        </is>
      </c>
      <c r="E489" t="inlineStr">
        <is>
          <t>LINKÖPING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35427-2023</t>
        </is>
      </c>
      <c r="B490" s="1" t="n">
        <v>45146</v>
      </c>
      <c r="C490" s="1" t="n">
        <v>46042</v>
      </c>
      <c r="D490" t="inlineStr">
        <is>
          <t>ÖSTERGÖTLANDS LÄN</t>
        </is>
      </c>
      <c r="E490" t="inlineStr">
        <is>
          <t>LINKÖPING</t>
        </is>
      </c>
      <c r="F490" t="inlineStr">
        <is>
          <t>Övriga Aktiebolag</t>
        </is>
      </c>
      <c r="G490" t="n">
        <v>2.5</v>
      </c>
      <c r="H490" t="n">
        <v>0</v>
      </c>
      <c r="I490" t="n">
        <v>0</v>
      </c>
      <c r="J490" t="n">
        <v>0</v>
      </c>
      <c r="K490" t="n">
        <v>0</v>
      </c>
      <c r="L490" t="n">
        <v>0</v>
      </c>
      <c r="M490" t="n">
        <v>0</v>
      </c>
      <c r="N490" t="n">
        <v>0</v>
      </c>
      <c r="O490" t="n">
        <v>0</v>
      </c>
      <c r="P490" t="n">
        <v>0</v>
      </c>
      <c r="Q490" t="n">
        <v>0</v>
      </c>
      <c r="R490" s="2" t="inlineStr"/>
    </row>
    <row r="491" ht="15" customHeight="1">
      <c r="A491" t="inlineStr">
        <is>
          <t>A 36725-2023</t>
        </is>
      </c>
      <c r="B491" s="1" t="n">
        <v>45153.68471064815</v>
      </c>
      <c r="C491" s="1" t="n">
        <v>46042</v>
      </c>
      <c r="D491" t="inlineStr">
        <is>
          <t>ÖSTERGÖTLANDS LÄN</t>
        </is>
      </c>
      <c r="E491" t="inlineStr">
        <is>
          <t>LINKÖPING</t>
        </is>
      </c>
      <c r="F491" t="inlineStr">
        <is>
          <t>Allmännings- och besparingsskogar</t>
        </is>
      </c>
      <c r="G491" t="n">
        <v>2.6</v>
      </c>
      <c r="H491" t="n">
        <v>0</v>
      </c>
      <c r="I491" t="n">
        <v>0</v>
      </c>
      <c r="J491" t="n">
        <v>0</v>
      </c>
      <c r="K491" t="n">
        <v>0</v>
      </c>
      <c r="L491" t="n">
        <v>0</v>
      </c>
      <c r="M491" t="n">
        <v>0</v>
      </c>
      <c r="N491" t="n">
        <v>0</v>
      </c>
      <c r="O491" t="n">
        <v>0</v>
      </c>
      <c r="P491" t="n">
        <v>0</v>
      </c>
      <c r="Q491" t="n">
        <v>0</v>
      </c>
      <c r="R491" s="2" t="inlineStr"/>
    </row>
    <row r="492" ht="15" customHeight="1">
      <c r="A492" t="inlineStr">
        <is>
          <t>A 56403-2025</t>
        </is>
      </c>
      <c r="B492" s="1" t="n">
        <v>45974</v>
      </c>
      <c r="C492" s="1" t="n">
        <v>46042</v>
      </c>
      <c r="D492" t="inlineStr">
        <is>
          <t>ÖSTERGÖTLANDS LÄN</t>
        </is>
      </c>
      <c r="E492" t="inlineStr">
        <is>
          <t>LINKÖPING</t>
        </is>
      </c>
      <c r="G492" t="n">
        <v>3.3</v>
      </c>
      <c r="H492" t="n">
        <v>0</v>
      </c>
      <c r="I492" t="n">
        <v>0</v>
      </c>
      <c r="J492" t="n">
        <v>0</v>
      </c>
      <c r="K492" t="n">
        <v>0</v>
      </c>
      <c r="L492" t="n">
        <v>0</v>
      </c>
      <c r="M492" t="n">
        <v>0</v>
      </c>
      <c r="N492" t="n">
        <v>0</v>
      </c>
      <c r="O492" t="n">
        <v>0</v>
      </c>
      <c r="P492" t="n">
        <v>0</v>
      </c>
      <c r="Q492" t="n">
        <v>0</v>
      </c>
      <c r="R492" s="2" t="inlineStr"/>
    </row>
    <row r="493" ht="15" customHeight="1">
      <c r="A493" t="inlineStr">
        <is>
          <t>A 53639-2023</t>
        </is>
      </c>
      <c r="B493" s="1" t="n">
        <v>45230.59686342593</v>
      </c>
      <c r="C493" s="1" t="n">
        <v>46042</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1657-2024</t>
        </is>
      </c>
      <c r="B494" s="1" t="n">
        <v>45306.82501157407</v>
      </c>
      <c r="C494" s="1" t="n">
        <v>46042</v>
      </c>
      <c r="D494" t="inlineStr">
        <is>
          <t>ÖSTERGÖTLANDS LÄN</t>
        </is>
      </c>
      <c r="E494" t="inlineStr">
        <is>
          <t>LINKÖPING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50784-2022</t>
        </is>
      </c>
      <c r="B495" s="1" t="n">
        <v>44862</v>
      </c>
      <c r="C495" s="1" t="n">
        <v>46042</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56704-2025</t>
        </is>
      </c>
      <c r="B496" s="1" t="n">
        <v>45977.50608796296</v>
      </c>
      <c r="C496" s="1" t="n">
        <v>46042</v>
      </c>
      <c r="D496" t="inlineStr">
        <is>
          <t>ÖSTERGÖTLANDS LÄN</t>
        </is>
      </c>
      <c r="E496" t="inlineStr">
        <is>
          <t>LINKÖPING</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26803-2024</t>
        </is>
      </c>
      <c r="B497" s="1" t="n">
        <v>45470</v>
      </c>
      <c r="C497" s="1" t="n">
        <v>46042</v>
      </c>
      <c r="D497" t="inlineStr">
        <is>
          <t>ÖSTERGÖTLANDS LÄN</t>
        </is>
      </c>
      <c r="E497" t="inlineStr">
        <is>
          <t>LINKÖPING</t>
        </is>
      </c>
      <c r="F497" t="inlineStr">
        <is>
          <t>Allmännings- och besparingsskogar</t>
        </is>
      </c>
      <c r="G497" t="n">
        <v>4.5</v>
      </c>
      <c r="H497" t="n">
        <v>0</v>
      </c>
      <c r="I497" t="n">
        <v>0</v>
      </c>
      <c r="J497" t="n">
        <v>0</v>
      </c>
      <c r="K497" t="n">
        <v>0</v>
      </c>
      <c r="L497" t="n">
        <v>0</v>
      </c>
      <c r="M497" t="n">
        <v>0</v>
      </c>
      <c r="N497" t="n">
        <v>0</v>
      </c>
      <c r="O497" t="n">
        <v>0</v>
      </c>
      <c r="P497" t="n">
        <v>0</v>
      </c>
      <c r="Q497" t="n">
        <v>0</v>
      </c>
      <c r="R497" s="2" t="inlineStr"/>
    </row>
    <row r="498" ht="15" customHeight="1">
      <c r="A498" t="inlineStr">
        <is>
          <t>A 19187-2021</t>
        </is>
      </c>
      <c r="B498" s="1" t="n">
        <v>44308</v>
      </c>
      <c r="C498" s="1" t="n">
        <v>46042</v>
      </c>
      <c r="D498" t="inlineStr">
        <is>
          <t>ÖSTERGÖTLANDS LÄN</t>
        </is>
      </c>
      <c r="E498" t="inlineStr">
        <is>
          <t>LINKÖPING</t>
        </is>
      </c>
      <c r="F498" t="inlineStr">
        <is>
          <t>Allmännings- och besparingsskogar</t>
        </is>
      </c>
      <c r="G498" t="n">
        <v>20</v>
      </c>
      <c r="H498" t="n">
        <v>0</v>
      </c>
      <c r="I498" t="n">
        <v>0</v>
      </c>
      <c r="J498" t="n">
        <v>0</v>
      </c>
      <c r="K498" t="n">
        <v>0</v>
      </c>
      <c r="L498" t="n">
        <v>0</v>
      </c>
      <c r="M498" t="n">
        <v>0</v>
      </c>
      <c r="N498" t="n">
        <v>0</v>
      </c>
      <c r="O498" t="n">
        <v>0</v>
      </c>
      <c r="P498" t="n">
        <v>0</v>
      </c>
      <c r="Q498" t="n">
        <v>0</v>
      </c>
      <c r="R498" s="2" t="inlineStr"/>
    </row>
    <row r="499" ht="15" customHeight="1">
      <c r="A499" t="inlineStr">
        <is>
          <t>A 60472-2022</t>
        </is>
      </c>
      <c r="B499" s="1" t="n">
        <v>44911.41037037037</v>
      </c>
      <c r="C499" s="1" t="n">
        <v>46042</v>
      </c>
      <c r="D499" t="inlineStr">
        <is>
          <t>ÖSTERGÖTLANDS LÄN</t>
        </is>
      </c>
      <c r="E499" t="inlineStr">
        <is>
          <t>LINKÖPING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43934-2023</t>
        </is>
      </c>
      <c r="B500" s="1" t="n">
        <v>45187</v>
      </c>
      <c r="C500" s="1" t="n">
        <v>46042</v>
      </c>
      <c r="D500" t="inlineStr">
        <is>
          <t>ÖSTERGÖTLANDS LÄN</t>
        </is>
      </c>
      <c r="E500" t="inlineStr">
        <is>
          <t>LINKÖPING</t>
        </is>
      </c>
      <c r="F500" t="inlineStr">
        <is>
          <t>Övriga Aktiebolag</t>
        </is>
      </c>
      <c r="G500" t="n">
        <v>3.8</v>
      </c>
      <c r="H500" t="n">
        <v>0</v>
      </c>
      <c r="I500" t="n">
        <v>0</v>
      </c>
      <c r="J500" t="n">
        <v>0</v>
      </c>
      <c r="K500" t="n">
        <v>0</v>
      </c>
      <c r="L500" t="n">
        <v>0</v>
      </c>
      <c r="M500" t="n">
        <v>0</v>
      </c>
      <c r="N500" t="n">
        <v>0</v>
      </c>
      <c r="O500" t="n">
        <v>0</v>
      </c>
      <c r="P500" t="n">
        <v>0</v>
      </c>
      <c r="Q500" t="n">
        <v>0</v>
      </c>
      <c r="R500" s="2" t="inlineStr"/>
    </row>
    <row r="501" ht="15" customHeight="1">
      <c r="A501" t="inlineStr">
        <is>
          <t>A 22774-2024</t>
        </is>
      </c>
      <c r="B501" s="1" t="n">
        <v>45448.46924768519</v>
      </c>
      <c r="C501" s="1" t="n">
        <v>46042</v>
      </c>
      <c r="D501" t="inlineStr">
        <is>
          <t>ÖSTERGÖTLANDS LÄN</t>
        </is>
      </c>
      <c r="E501" t="inlineStr">
        <is>
          <t>LINKÖPING</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22778-2024</t>
        </is>
      </c>
      <c r="B502" s="1" t="n">
        <v>45448.47233796296</v>
      </c>
      <c r="C502" s="1" t="n">
        <v>46042</v>
      </c>
      <c r="D502" t="inlineStr">
        <is>
          <t>ÖSTERGÖTLANDS LÄN</t>
        </is>
      </c>
      <c r="E502" t="inlineStr">
        <is>
          <t>LINKÖPING</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1209-2023</t>
        </is>
      </c>
      <c r="B503" s="1" t="n">
        <v>44930</v>
      </c>
      <c r="C503" s="1" t="n">
        <v>46042</v>
      </c>
      <c r="D503" t="inlineStr">
        <is>
          <t>ÖSTERGÖTLANDS LÄN</t>
        </is>
      </c>
      <c r="E503" t="inlineStr">
        <is>
          <t>LINKÖPING</t>
        </is>
      </c>
      <c r="F503" t="inlineStr">
        <is>
          <t>Övriga statliga verk och myndigheter</t>
        </is>
      </c>
      <c r="G503" t="n">
        <v>25.8</v>
      </c>
      <c r="H503" t="n">
        <v>0</v>
      </c>
      <c r="I503" t="n">
        <v>0</v>
      </c>
      <c r="J503" t="n">
        <v>0</v>
      </c>
      <c r="K503" t="n">
        <v>0</v>
      </c>
      <c r="L503" t="n">
        <v>0</v>
      </c>
      <c r="M503" t="n">
        <v>0</v>
      </c>
      <c r="N503" t="n">
        <v>0</v>
      </c>
      <c r="O503" t="n">
        <v>0</v>
      </c>
      <c r="P503" t="n">
        <v>0</v>
      </c>
      <c r="Q503" t="n">
        <v>0</v>
      </c>
      <c r="R503" s="2" t="inlineStr"/>
    </row>
    <row r="504" ht="15" customHeight="1">
      <c r="A504" t="inlineStr">
        <is>
          <t>A 10407-2025</t>
        </is>
      </c>
      <c r="B504" s="1" t="n">
        <v>45720.62863425926</v>
      </c>
      <c r="C504" s="1" t="n">
        <v>46042</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11590-2023</t>
        </is>
      </c>
      <c r="B505" s="1" t="n">
        <v>44994.36689814815</v>
      </c>
      <c r="C505" s="1" t="n">
        <v>46042</v>
      </c>
      <c r="D505" t="inlineStr">
        <is>
          <t>ÖSTERGÖTLANDS LÄN</t>
        </is>
      </c>
      <c r="E505" t="inlineStr">
        <is>
          <t>LINKÖPING</t>
        </is>
      </c>
      <c r="G505" t="n">
        <v>3.1</v>
      </c>
      <c r="H505" t="n">
        <v>0</v>
      </c>
      <c r="I505" t="n">
        <v>0</v>
      </c>
      <c r="J505" t="n">
        <v>0</v>
      </c>
      <c r="K505" t="n">
        <v>0</v>
      </c>
      <c r="L505" t="n">
        <v>0</v>
      </c>
      <c r="M505" t="n">
        <v>0</v>
      </c>
      <c r="N505" t="n">
        <v>0</v>
      </c>
      <c r="O505" t="n">
        <v>0</v>
      </c>
      <c r="P505" t="n">
        <v>0</v>
      </c>
      <c r="Q505" t="n">
        <v>0</v>
      </c>
      <c r="R505" s="2" t="inlineStr"/>
    </row>
    <row r="506" ht="15" customHeight="1">
      <c r="A506" t="inlineStr">
        <is>
          <t>A 19169-2023</t>
        </is>
      </c>
      <c r="B506" s="1" t="n">
        <v>45044</v>
      </c>
      <c r="C506" s="1" t="n">
        <v>46042</v>
      </c>
      <c r="D506" t="inlineStr">
        <is>
          <t>ÖSTERGÖTLANDS LÄN</t>
        </is>
      </c>
      <c r="E506" t="inlineStr">
        <is>
          <t>LINKÖPING</t>
        </is>
      </c>
      <c r="G506" t="n">
        <v>2.7</v>
      </c>
      <c r="H506" t="n">
        <v>0</v>
      </c>
      <c r="I506" t="n">
        <v>0</v>
      </c>
      <c r="J506" t="n">
        <v>0</v>
      </c>
      <c r="K506" t="n">
        <v>0</v>
      </c>
      <c r="L506" t="n">
        <v>0</v>
      </c>
      <c r="M506" t="n">
        <v>0</v>
      </c>
      <c r="N506" t="n">
        <v>0</v>
      </c>
      <c r="O506" t="n">
        <v>0</v>
      </c>
      <c r="P506" t="n">
        <v>0</v>
      </c>
      <c r="Q506" t="n">
        <v>0</v>
      </c>
      <c r="R506" s="2" t="inlineStr"/>
    </row>
    <row r="507" ht="15" customHeight="1">
      <c r="A507" t="inlineStr">
        <is>
          <t>A 672-2024</t>
        </is>
      </c>
      <c r="B507" s="1" t="n">
        <v>45300</v>
      </c>
      <c r="C507" s="1" t="n">
        <v>46042</v>
      </c>
      <c r="D507" t="inlineStr">
        <is>
          <t>ÖSTERGÖTLANDS LÄN</t>
        </is>
      </c>
      <c r="E507" t="inlineStr">
        <is>
          <t>LINKÖPING</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55493-2021</t>
        </is>
      </c>
      <c r="B508" s="1" t="n">
        <v>44475.61988425926</v>
      </c>
      <c r="C508" s="1" t="n">
        <v>46042</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14093-2024</t>
        </is>
      </c>
      <c r="B509" s="1" t="n">
        <v>45392.60278935185</v>
      </c>
      <c r="C509" s="1" t="n">
        <v>46042</v>
      </c>
      <c r="D509" t="inlineStr">
        <is>
          <t>ÖSTERGÖTLANDS LÄN</t>
        </is>
      </c>
      <c r="E509" t="inlineStr">
        <is>
          <t>LINKÖPING</t>
        </is>
      </c>
      <c r="F509" t="inlineStr">
        <is>
          <t>Övriga Aktiebolag</t>
        </is>
      </c>
      <c r="G509" t="n">
        <v>0.6</v>
      </c>
      <c r="H509" t="n">
        <v>0</v>
      </c>
      <c r="I509" t="n">
        <v>0</v>
      </c>
      <c r="J509" t="n">
        <v>0</v>
      </c>
      <c r="K509" t="n">
        <v>0</v>
      </c>
      <c r="L509" t="n">
        <v>0</v>
      </c>
      <c r="M509" t="n">
        <v>0</v>
      </c>
      <c r="N509" t="n">
        <v>0</v>
      </c>
      <c r="O509" t="n">
        <v>0</v>
      </c>
      <c r="P509" t="n">
        <v>0</v>
      </c>
      <c r="Q509" t="n">
        <v>0</v>
      </c>
      <c r="R509" s="2" t="inlineStr"/>
    </row>
    <row r="510" ht="15" customHeight="1">
      <c r="A510" t="inlineStr">
        <is>
          <t>A 62019-2024</t>
        </is>
      </c>
      <c r="B510" s="1" t="n">
        <v>45655.82</v>
      </c>
      <c r="C510" s="1" t="n">
        <v>46042</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25119-2023</t>
        </is>
      </c>
      <c r="B511" s="1" t="n">
        <v>45086.42326388889</v>
      </c>
      <c r="C511" s="1" t="n">
        <v>46042</v>
      </c>
      <c r="D511" t="inlineStr">
        <is>
          <t>ÖSTERGÖTLANDS LÄN</t>
        </is>
      </c>
      <c r="E511" t="inlineStr">
        <is>
          <t>LINKÖPING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57396-2021</t>
        </is>
      </c>
      <c r="B512" s="1" t="n">
        <v>44483.56151620371</v>
      </c>
      <c r="C512" s="1" t="n">
        <v>46042</v>
      </c>
      <c r="D512" t="inlineStr">
        <is>
          <t>ÖSTERGÖTLANDS LÄN</t>
        </is>
      </c>
      <c r="E512" t="inlineStr">
        <is>
          <t>LINKÖPING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51571-2024</t>
        </is>
      </c>
      <c r="B513" s="1" t="n">
        <v>45604</v>
      </c>
      <c r="C513" s="1" t="n">
        <v>46042</v>
      </c>
      <c r="D513" t="inlineStr">
        <is>
          <t>ÖSTERGÖTLANDS LÄN</t>
        </is>
      </c>
      <c r="E513" t="inlineStr">
        <is>
          <t>LINKÖPING</t>
        </is>
      </c>
      <c r="F513" t="inlineStr">
        <is>
          <t>Övriga Aktiebolag</t>
        </is>
      </c>
      <c r="G513" t="n">
        <v>1.4</v>
      </c>
      <c r="H513" t="n">
        <v>0</v>
      </c>
      <c r="I513" t="n">
        <v>0</v>
      </c>
      <c r="J513" t="n">
        <v>0</v>
      </c>
      <c r="K513" t="n">
        <v>0</v>
      </c>
      <c r="L513" t="n">
        <v>0</v>
      </c>
      <c r="M513" t="n">
        <v>0</v>
      </c>
      <c r="N513" t="n">
        <v>0</v>
      </c>
      <c r="O513" t="n">
        <v>0</v>
      </c>
      <c r="P513" t="n">
        <v>0</v>
      </c>
      <c r="Q513" t="n">
        <v>0</v>
      </c>
      <c r="R513" s="2" t="inlineStr"/>
    </row>
    <row r="514" ht="15" customHeight="1">
      <c r="A514" t="inlineStr">
        <is>
          <t>A 17143-2025</t>
        </is>
      </c>
      <c r="B514" s="1" t="n">
        <v>45755.92731481481</v>
      </c>
      <c r="C514" s="1" t="n">
        <v>46042</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17124-2025</t>
        </is>
      </c>
      <c r="B515" s="1" t="n">
        <v>45755.69678240741</v>
      </c>
      <c r="C515" s="1" t="n">
        <v>46042</v>
      </c>
      <c r="D515" t="inlineStr">
        <is>
          <t>ÖSTERGÖTLANDS LÄN</t>
        </is>
      </c>
      <c r="E515" t="inlineStr">
        <is>
          <t>LINKÖPING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17126-2025</t>
        </is>
      </c>
      <c r="B516" s="1" t="n">
        <v>45755.70814814815</v>
      </c>
      <c r="C516" s="1" t="n">
        <v>46042</v>
      </c>
      <c r="D516" t="inlineStr">
        <is>
          <t>ÖSTERGÖTLANDS LÄN</t>
        </is>
      </c>
      <c r="E516" t="inlineStr">
        <is>
          <t>LINKÖPING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58802-2025</t>
        </is>
      </c>
      <c r="B517" s="1" t="n">
        <v>45986.8768287037</v>
      </c>
      <c r="C517" s="1" t="n">
        <v>46042</v>
      </c>
      <c r="D517" t="inlineStr">
        <is>
          <t>ÖSTERGÖTLANDS LÄN</t>
        </is>
      </c>
      <c r="E517" t="inlineStr">
        <is>
          <t>LINKÖPING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31640-2023</t>
        </is>
      </c>
      <c r="B518" s="1" t="n">
        <v>45117</v>
      </c>
      <c r="C518" s="1" t="n">
        <v>46042</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55004-2025</t>
        </is>
      </c>
      <c r="B519" s="1" t="n">
        <v>45967</v>
      </c>
      <c r="C519" s="1" t="n">
        <v>46042</v>
      </c>
      <c r="D519" t="inlineStr">
        <is>
          <t>ÖSTERGÖTLANDS LÄN</t>
        </is>
      </c>
      <c r="E519" t="inlineStr">
        <is>
          <t>LINKÖPING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11790-2024</t>
        </is>
      </c>
      <c r="B520" s="1" t="n">
        <v>45374</v>
      </c>
      <c r="C520" s="1" t="n">
        <v>46042</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61281-2021</t>
        </is>
      </c>
      <c r="B521" s="1" t="n">
        <v>44498.60736111111</v>
      </c>
      <c r="C521" s="1" t="n">
        <v>46042</v>
      </c>
      <c r="D521" t="inlineStr">
        <is>
          <t>ÖSTERGÖTLANDS LÄN</t>
        </is>
      </c>
      <c r="E521" t="inlineStr">
        <is>
          <t>LINKÖPING</t>
        </is>
      </c>
      <c r="G521" t="n">
        <v>4.5</v>
      </c>
      <c r="H521" t="n">
        <v>0</v>
      </c>
      <c r="I521" t="n">
        <v>0</v>
      </c>
      <c r="J521" t="n">
        <v>0</v>
      </c>
      <c r="K521" t="n">
        <v>0</v>
      </c>
      <c r="L521" t="n">
        <v>0</v>
      </c>
      <c r="M521" t="n">
        <v>0</v>
      </c>
      <c r="N521" t="n">
        <v>0</v>
      </c>
      <c r="O521" t="n">
        <v>0</v>
      </c>
      <c r="P521" t="n">
        <v>0</v>
      </c>
      <c r="Q521" t="n">
        <v>0</v>
      </c>
      <c r="R521" s="2" t="inlineStr"/>
    </row>
    <row r="522" ht="15" customHeight="1">
      <c r="A522" t="inlineStr">
        <is>
          <t>A 59205-2025</t>
        </is>
      </c>
      <c r="B522" s="1" t="n">
        <v>45988.60721064815</v>
      </c>
      <c r="C522" s="1" t="n">
        <v>46042</v>
      </c>
      <c r="D522" t="inlineStr">
        <is>
          <t>ÖSTERGÖTLANDS LÄN</t>
        </is>
      </c>
      <c r="E522" t="inlineStr">
        <is>
          <t>LINKÖPING</t>
        </is>
      </c>
      <c r="F522" t="inlineStr">
        <is>
          <t>Sveaskog</t>
        </is>
      </c>
      <c r="G522" t="n">
        <v>11.3</v>
      </c>
      <c r="H522" t="n">
        <v>0</v>
      </c>
      <c r="I522" t="n">
        <v>0</v>
      </c>
      <c r="J522" t="n">
        <v>0</v>
      </c>
      <c r="K522" t="n">
        <v>0</v>
      </c>
      <c r="L522" t="n">
        <v>0</v>
      </c>
      <c r="M522" t="n">
        <v>0</v>
      </c>
      <c r="N522" t="n">
        <v>0</v>
      </c>
      <c r="O522" t="n">
        <v>0</v>
      </c>
      <c r="P522" t="n">
        <v>0</v>
      </c>
      <c r="Q522" t="n">
        <v>0</v>
      </c>
      <c r="R522" s="2" t="inlineStr"/>
    </row>
    <row r="523" ht="15" customHeight="1">
      <c r="A523" t="inlineStr">
        <is>
          <t>A 858-2026</t>
        </is>
      </c>
      <c r="B523" s="1" t="n">
        <v>46030.41200231481</v>
      </c>
      <c r="C523" s="1" t="n">
        <v>46042</v>
      </c>
      <c r="D523" t="inlineStr">
        <is>
          <t>ÖSTERGÖTLANDS LÄN</t>
        </is>
      </c>
      <c r="E523" t="inlineStr">
        <is>
          <t>LINKÖPING</t>
        </is>
      </c>
      <c r="G523" t="n">
        <v>1.9</v>
      </c>
      <c r="H523" t="n">
        <v>0</v>
      </c>
      <c r="I523" t="n">
        <v>0</v>
      </c>
      <c r="J523" t="n">
        <v>0</v>
      </c>
      <c r="K523" t="n">
        <v>0</v>
      </c>
      <c r="L523" t="n">
        <v>0</v>
      </c>
      <c r="M523" t="n">
        <v>0</v>
      </c>
      <c r="N523" t="n">
        <v>0</v>
      </c>
      <c r="O523" t="n">
        <v>0</v>
      </c>
      <c r="P523" t="n">
        <v>0</v>
      </c>
      <c r="Q523" t="n">
        <v>0</v>
      </c>
      <c r="R523" s="2" t="inlineStr"/>
    </row>
    <row r="524" ht="15" customHeight="1">
      <c r="A524" t="inlineStr">
        <is>
          <t>A 860-2026</t>
        </is>
      </c>
      <c r="B524" s="1" t="n">
        <v>46030.41974537037</v>
      </c>
      <c r="C524" s="1" t="n">
        <v>46042</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873-2026</t>
        </is>
      </c>
      <c r="B525" s="1" t="n">
        <v>46030.43818287037</v>
      </c>
      <c r="C525" s="1" t="n">
        <v>46042</v>
      </c>
      <c r="D525" t="inlineStr">
        <is>
          <t>ÖSTERGÖTLANDS LÄN</t>
        </is>
      </c>
      <c r="E525" t="inlineStr">
        <is>
          <t>LINKÖPING</t>
        </is>
      </c>
      <c r="G525" t="n">
        <v>4.1</v>
      </c>
      <c r="H525" t="n">
        <v>0</v>
      </c>
      <c r="I525" t="n">
        <v>0</v>
      </c>
      <c r="J525" t="n">
        <v>0</v>
      </c>
      <c r="K525" t="n">
        <v>0</v>
      </c>
      <c r="L525" t="n">
        <v>0</v>
      </c>
      <c r="M525" t="n">
        <v>0</v>
      </c>
      <c r="N525" t="n">
        <v>0</v>
      </c>
      <c r="O525" t="n">
        <v>0</v>
      </c>
      <c r="P525" t="n">
        <v>0</v>
      </c>
      <c r="Q525" t="n">
        <v>0</v>
      </c>
      <c r="R525" s="2" t="inlineStr"/>
    </row>
    <row r="526" ht="15" customHeight="1">
      <c r="A526" t="inlineStr">
        <is>
          <t>A 6206-2024</t>
        </is>
      </c>
      <c r="B526" s="1" t="n">
        <v>45337.5977662037</v>
      </c>
      <c r="C526" s="1" t="n">
        <v>46042</v>
      </c>
      <c r="D526" t="inlineStr">
        <is>
          <t>ÖSTERGÖTLANDS LÄN</t>
        </is>
      </c>
      <c r="E526" t="inlineStr">
        <is>
          <t>LINKÖPING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944-2026</t>
        </is>
      </c>
      <c r="B527" s="1" t="n">
        <v>46030.53461805556</v>
      </c>
      <c r="C527" s="1" t="n">
        <v>46042</v>
      </c>
      <c r="D527" t="inlineStr">
        <is>
          <t>ÖSTERGÖTLANDS LÄN</t>
        </is>
      </c>
      <c r="E527" t="inlineStr">
        <is>
          <t>LINKÖPING</t>
        </is>
      </c>
      <c r="F527" t="inlineStr">
        <is>
          <t>Allmännings- och besparingsskogar</t>
        </is>
      </c>
      <c r="G527" t="n">
        <v>0.9</v>
      </c>
      <c r="H527" t="n">
        <v>0</v>
      </c>
      <c r="I527" t="n">
        <v>0</v>
      </c>
      <c r="J527" t="n">
        <v>0</v>
      </c>
      <c r="K527" t="n">
        <v>0</v>
      </c>
      <c r="L527" t="n">
        <v>0</v>
      </c>
      <c r="M527" t="n">
        <v>0</v>
      </c>
      <c r="N527" t="n">
        <v>0</v>
      </c>
      <c r="O527" t="n">
        <v>0</v>
      </c>
      <c r="P527" t="n">
        <v>0</v>
      </c>
      <c r="Q527" t="n">
        <v>0</v>
      </c>
      <c r="R527" s="2" t="inlineStr"/>
    </row>
    <row r="528" ht="15" customHeight="1">
      <c r="A528" t="inlineStr">
        <is>
          <t>A 1223-2026</t>
        </is>
      </c>
      <c r="B528" s="1" t="n">
        <v>46031.40233796297</v>
      </c>
      <c r="C528" s="1" t="n">
        <v>46042</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168-2024</t>
        </is>
      </c>
      <c r="B529" s="1" t="n">
        <v>45294</v>
      </c>
      <c r="C529" s="1" t="n">
        <v>46042</v>
      </c>
      <c r="D529" t="inlineStr">
        <is>
          <t>ÖSTERGÖTLANDS LÄN</t>
        </is>
      </c>
      <c r="E529" t="inlineStr">
        <is>
          <t>LINKÖPING</t>
        </is>
      </c>
      <c r="F529" t="inlineStr">
        <is>
          <t>Allmännings- och besparingsskogar</t>
        </is>
      </c>
      <c r="G529" t="n">
        <v>8.9</v>
      </c>
      <c r="H529" t="n">
        <v>0</v>
      </c>
      <c r="I529" t="n">
        <v>0</v>
      </c>
      <c r="J529" t="n">
        <v>0</v>
      </c>
      <c r="K529" t="n">
        <v>0</v>
      </c>
      <c r="L529" t="n">
        <v>0</v>
      </c>
      <c r="M529" t="n">
        <v>0</v>
      </c>
      <c r="N529" t="n">
        <v>0</v>
      </c>
      <c r="O529" t="n">
        <v>0</v>
      </c>
      <c r="P529" t="n">
        <v>0</v>
      </c>
      <c r="Q529" t="n">
        <v>0</v>
      </c>
      <c r="R529" s="2" t="inlineStr"/>
    </row>
    <row r="530" ht="15" customHeight="1">
      <c r="A530" t="inlineStr">
        <is>
          <t>A 59472-2025</t>
        </is>
      </c>
      <c r="B530" s="1" t="n">
        <v>45989.58321759259</v>
      </c>
      <c r="C530" s="1" t="n">
        <v>46042</v>
      </c>
      <c r="D530" t="inlineStr">
        <is>
          <t>ÖSTERGÖTLANDS LÄN</t>
        </is>
      </c>
      <c r="E530" t="inlineStr">
        <is>
          <t>LINKÖPING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51919-2024</t>
        </is>
      </c>
      <c r="B531" s="1" t="n">
        <v>45607.60791666667</v>
      </c>
      <c r="C531" s="1" t="n">
        <v>46042</v>
      </c>
      <c r="D531" t="inlineStr">
        <is>
          <t>ÖSTERGÖTLANDS LÄN</t>
        </is>
      </c>
      <c r="E531" t="inlineStr">
        <is>
          <t>LINKÖPING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56623-2024</t>
        </is>
      </c>
      <c r="B532" s="1" t="n">
        <v>45625</v>
      </c>
      <c r="C532" s="1" t="n">
        <v>46042</v>
      </c>
      <c r="D532" t="inlineStr">
        <is>
          <t>ÖSTERGÖTLANDS LÄN</t>
        </is>
      </c>
      <c r="E532" t="inlineStr">
        <is>
          <t>LINKÖPING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859-2026</t>
        </is>
      </c>
      <c r="B533" s="1" t="n">
        <v>46030.41450231482</v>
      </c>
      <c r="C533" s="1" t="n">
        <v>46042</v>
      </c>
      <c r="D533" t="inlineStr">
        <is>
          <t>ÖSTERGÖTLANDS LÄN</t>
        </is>
      </c>
      <c r="E533" t="inlineStr">
        <is>
          <t>LINKÖPING</t>
        </is>
      </c>
      <c r="G533" t="n">
        <v>0.2</v>
      </c>
      <c r="H533" t="n">
        <v>0</v>
      </c>
      <c r="I533" t="n">
        <v>0</v>
      </c>
      <c r="J533" t="n">
        <v>0</v>
      </c>
      <c r="K533" t="n">
        <v>0</v>
      </c>
      <c r="L533" t="n">
        <v>0</v>
      </c>
      <c r="M533" t="n">
        <v>0</v>
      </c>
      <c r="N533" t="n">
        <v>0</v>
      </c>
      <c r="O533" t="n">
        <v>0</v>
      </c>
      <c r="P533" t="n">
        <v>0</v>
      </c>
      <c r="Q533" t="n">
        <v>0</v>
      </c>
      <c r="R533" s="2" t="inlineStr"/>
    </row>
    <row r="534" ht="15" customHeight="1">
      <c r="A534" t="inlineStr">
        <is>
          <t>A 11330-2023</t>
        </is>
      </c>
      <c r="B534" s="1" t="n">
        <v>44993.24648148148</v>
      </c>
      <c r="C534" s="1" t="n">
        <v>46042</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63304-2021</t>
        </is>
      </c>
      <c r="B535" s="1" t="n">
        <v>44508.4396412037</v>
      </c>
      <c r="C535" s="1" t="n">
        <v>46042</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856-2026</t>
        </is>
      </c>
      <c r="B536" s="1" t="n">
        <v>46030.40644675926</v>
      </c>
      <c r="C536" s="1" t="n">
        <v>46042</v>
      </c>
      <c r="D536" t="inlineStr">
        <is>
          <t>ÖSTERGÖTLANDS LÄN</t>
        </is>
      </c>
      <c r="E536" t="inlineStr">
        <is>
          <t>LINKÖPING</t>
        </is>
      </c>
      <c r="G536" t="n">
        <v>6.4</v>
      </c>
      <c r="H536" t="n">
        <v>0</v>
      </c>
      <c r="I536" t="n">
        <v>0</v>
      </c>
      <c r="J536" t="n">
        <v>0</v>
      </c>
      <c r="K536" t="n">
        <v>0</v>
      </c>
      <c r="L536" t="n">
        <v>0</v>
      </c>
      <c r="M536" t="n">
        <v>0</v>
      </c>
      <c r="N536" t="n">
        <v>0</v>
      </c>
      <c r="O536" t="n">
        <v>0</v>
      </c>
      <c r="P536" t="n">
        <v>0</v>
      </c>
      <c r="Q536" t="n">
        <v>0</v>
      </c>
      <c r="R536" s="2" t="inlineStr"/>
    </row>
    <row r="537" ht="15" customHeight="1">
      <c r="A537" t="inlineStr">
        <is>
          <t>A 14528-2025</t>
        </is>
      </c>
      <c r="B537" s="1" t="n">
        <v>45741</v>
      </c>
      <c r="C537" s="1" t="n">
        <v>46042</v>
      </c>
      <c r="D537" t="inlineStr">
        <is>
          <t>ÖSTERGÖTLANDS LÄN</t>
        </is>
      </c>
      <c r="E537" t="inlineStr">
        <is>
          <t>LINKÖPING</t>
        </is>
      </c>
      <c r="G537" t="n">
        <v>1.5</v>
      </c>
      <c r="H537" t="n">
        <v>0</v>
      </c>
      <c r="I537" t="n">
        <v>0</v>
      </c>
      <c r="J537" t="n">
        <v>0</v>
      </c>
      <c r="K537" t="n">
        <v>0</v>
      </c>
      <c r="L537" t="n">
        <v>0</v>
      </c>
      <c r="M537" t="n">
        <v>0</v>
      </c>
      <c r="N537" t="n">
        <v>0</v>
      </c>
      <c r="O537" t="n">
        <v>0</v>
      </c>
      <c r="P537" t="n">
        <v>0</v>
      </c>
      <c r="Q537" t="n">
        <v>0</v>
      </c>
      <c r="R537" s="2" t="inlineStr"/>
    </row>
    <row r="538" ht="15" customHeight="1">
      <c r="A538" t="inlineStr">
        <is>
          <t>A 927-2026</t>
        </is>
      </c>
      <c r="B538" s="1" t="n">
        <v>46030.50560185185</v>
      </c>
      <c r="C538" s="1" t="n">
        <v>46042</v>
      </c>
      <c r="D538" t="inlineStr">
        <is>
          <t>ÖSTERGÖTLANDS LÄN</t>
        </is>
      </c>
      <c r="E538" t="inlineStr">
        <is>
          <t>LINKÖPING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940-2026</t>
        </is>
      </c>
      <c r="B539" s="1" t="n">
        <v>46030.53052083333</v>
      </c>
      <c r="C539" s="1" t="n">
        <v>46042</v>
      </c>
      <c r="D539" t="inlineStr">
        <is>
          <t>ÖSTERGÖTLANDS LÄN</t>
        </is>
      </c>
      <c r="E539" t="inlineStr">
        <is>
          <t>LINKÖPING</t>
        </is>
      </c>
      <c r="F539" t="inlineStr">
        <is>
          <t>Allmännings- och besparingsskogar</t>
        </is>
      </c>
      <c r="G539" t="n">
        <v>2.9</v>
      </c>
      <c r="H539" t="n">
        <v>0</v>
      </c>
      <c r="I539" t="n">
        <v>0</v>
      </c>
      <c r="J539" t="n">
        <v>0</v>
      </c>
      <c r="K539" t="n">
        <v>0</v>
      </c>
      <c r="L539" t="n">
        <v>0</v>
      </c>
      <c r="M539" t="n">
        <v>0</v>
      </c>
      <c r="N539" t="n">
        <v>0</v>
      </c>
      <c r="O539" t="n">
        <v>0</v>
      </c>
      <c r="P539" t="n">
        <v>0</v>
      </c>
      <c r="Q539" t="n">
        <v>0</v>
      </c>
      <c r="R539" s="2" t="inlineStr"/>
    </row>
    <row r="540" ht="15" customHeight="1">
      <c r="A540" t="inlineStr">
        <is>
          <t>A 3530-2024</t>
        </is>
      </c>
      <c r="B540" s="1" t="n">
        <v>45320.54717592592</v>
      </c>
      <c r="C540" s="1" t="n">
        <v>46042</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62073-2023</t>
        </is>
      </c>
      <c r="B541" s="1" t="n">
        <v>45266.73844907407</v>
      </c>
      <c r="C541" s="1" t="n">
        <v>46042</v>
      </c>
      <c r="D541" t="inlineStr">
        <is>
          <t>ÖSTERGÖTLANDS LÄN</t>
        </is>
      </c>
      <c r="E541" t="inlineStr">
        <is>
          <t>LINKÖPING</t>
        </is>
      </c>
      <c r="F541" t="inlineStr">
        <is>
          <t>Allmännings- och besparingsskogar</t>
        </is>
      </c>
      <c r="G541" t="n">
        <v>1.8</v>
      </c>
      <c r="H541" t="n">
        <v>0</v>
      </c>
      <c r="I541" t="n">
        <v>0</v>
      </c>
      <c r="J541" t="n">
        <v>0</v>
      </c>
      <c r="K541" t="n">
        <v>0</v>
      </c>
      <c r="L541" t="n">
        <v>0</v>
      </c>
      <c r="M541" t="n">
        <v>0</v>
      </c>
      <c r="N541" t="n">
        <v>0</v>
      </c>
      <c r="O541" t="n">
        <v>0</v>
      </c>
      <c r="P541" t="n">
        <v>0</v>
      </c>
      <c r="Q541" t="n">
        <v>0</v>
      </c>
      <c r="R541" s="2" t="inlineStr"/>
    </row>
    <row r="542" ht="15" customHeight="1">
      <c r="A542" t="inlineStr">
        <is>
          <t>A 5872-2025</t>
        </is>
      </c>
      <c r="B542" s="1" t="n">
        <v>45695.36659722222</v>
      </c>
      <c r="C542" s="1" t="n">
        <v>46042</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53814-2023</t>
        </is>
      </c>
      <c r="B543" s="1" t="n">
        <v>45231</v>
      </c>
      <c r="C543" s="1" t="n">
        <v>46042</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3432-2023</t>
        </is>
      </c>
      <c r="B544" s="1" t="n">
        <v>44949</v>
      </c>
      <c r="C544" s="1" t="n">
        <v>46042</v>
      </c>
      <c r="D544" t="inlineStr">
        <is>
          <t>ÖSTERGÖTLANDS LÄN</t>
        </is>
      </c>
      <c r="E544" t="inlineStr">
        <is>
          <t>LINKÖPING</t>
        </is>
      </c>
      <c r="G544" t="n">
        <v>1.9</v>
      </c>
      <c r="H544" t="n">
        <v>0</v>
      </c>
      <c r="I544" t="n">
        <v>0</v>
      </c>
      <c r="J544" t="n">
        <v>0</v>
      </c>
      <c r="K544" t="n">
        <v>0</v>
      </c>
      <c r="L544" t="n">
        <v>0</v>
      </c>
      <c r="M544" t="n">
        <v>0</v>
      </c>
      <c r="N544" t="n">
        <v>0</v>
      </c>
      <c r="O544" t="n">
        <v>0</v>
      </c>
      <c r="P544" t="n">
        <v>0</v>
      </c>
      <c r="Q544" t="n">
        <v>0</v>
      </c>
      <c r="R544" s="2" t="inlineStr"/>
    </row>
    <row r="545" ht="15" customHeight="1">
      <c r="A545" t="inlineStr">
        <is>
          <t>A 60087-2025</t>
        </is>
      </c>
      <c r="B545" s="1" t="n">
        <v>45993.71726851852</v>
      </c>
      <c r="C545" s="1" t="n">
        <v>46042</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54425-2022</t>
        </is>
      </c>
      <c r="B546" s="1" t="n">
        <v>44882.57453703704</v>
      </c>
      <c r="C546" s="1" t="n">
        <v>46042</v>
      </c>
      <c r="D546" t="inlineStr">
        <is>
          <t>ÖSTERGÖTLANDS LÄN</t>
        </is>
      </c>
      <c r="E546" t="inlineStr">
        <is>
          <t>LINKÖPING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54428-2022</t>
        </is>
      </c>
      <c r="B547" s="1" t="n">
        <v>44882.57643518518</v>
      </c>
      <c r="C547" s="1" t="n">
        <v>46042</v>
      </c>
      <c r="D547" t="inlineStr">
        <is>
          <t>ÖSTERGÖTLANDS LÄN</t>
        </is>
      </c>
      <c r="E547" t="inlineStr">
        <is>
          <t>LINKÖPING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2030-2026</t>
        </is>
      </c>
      <c r="B548" s="1" t="n">
        <v>46035.73590277778</v>
      </c>
      <c r="C548" s="1" t="n">
        <v>46042</v>
      </c>
      <c r="D548" t="inlineStr">
        <is>
          <t>ÖSTERGÖTLANDS LÄN</t>
        </is>
      </c>
      <c r="E548" t="inlineStr">
        <is>
          <t>LINKÖPING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660-2023</t>
        </is>
      </c>
      <c r="B549" s="1" t="n">
        <v>44930</v>
      </c>
      <c r="C549" s="1" t="n">
        <v>46042</v>
      </c>
      <c r="D549" t="inlineStr">
        <is>
          <t>ÖSTERGÖTLANDS LÄN</t>
        </is>
      </c>
      <c r="E549" t="inlineStr">
        <is>
          <t>LINKÖPING</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62501-2023</t>
        </is>
      </c>
      <c r="B550" s="1" t="n">
        <v>45268</v>
      </c>
      <c r="C550" s="1" t="n">
        <v>46042</v>
      </c>
      <c r="D550" t="inlineStr">
        <is>
          <t>ÖSTERGÖTLANDS LÄN</t>
        </is>
      </c>
      <c r="E550" t="inlineStr">
        <is>
          <t>LINKÖPING</t>
        </is>
      </c>
      <c r="G550" t="n">
        <v>7.4</v>
      </c>
      <c r="H550" t="n">
        <v>0</v>
      </c>
      <c r="I550" t="n">
        <v>0</v>
      </c>
      <c r="J550" t="n">
        <v>0</v>
      </c>
      <c r="K550" t="n">
        <v>0</v>
      </c>
      <c r="L550" t="n">
        <v>0</v>
      </c>
      <c r="M550" t="n">
        <v>0</v>
      </c>
      <c r="N550" t="n">
        <v>0</v>
      </c>
      <c r="O550" t="n">
        <v>0</v>
      </c>
      <c r="P550" t="n">
        <v>0</v>
      </c>
      <c r="Q550" t="n">
        <v>0</v>
      </c>
      <c r="R550" s="2" t="inlineStr"/>
    </row>
    <row r="551" ht="15" customHeight="1">
      <c r="A551" t="inlineStr">
        <is>
          <t>A 13413-2023</t>
        </is>
      </c>
      <c r="B551" s="1" t="n">
        <v>45005.58341435185</v>
      </c>
      <c r="C551" s="1" t="n">
        <v>46042</v>
      </c>
      <c r="D551" t="inlineStr">
        <is>
          <t>ÖSTERGÖTLANDS LÄN</t>
        </is>
      </c>
      <c r="E551" t="inlineStr">
        <is>
          <t>LINKÖPING</t>
        </is>
      </c>
      <c r="G551" t="n">
        <v>2.4</v>
      </c>
      <c r="H551" t="n">
        <v>0</v>
      </c>
      <c r="I551" t="n">
        <v>0</v>
      </c>
      <c r="J551" t="n">
        <v>0</v>
      </c>
      <c r="K551" t="n">
        <v>0</v>
      </c>
      <c r="L551" t="n">
        <v>0</v>
      </c>
      <c r="M551" t="n">
        <v>0</v>
      </c>
      <c r="N551" t="n">
        <v>0</v>
      </c>
      <c r="O551" t="n">
        <v>0</v>
      </c>
      <c r="P551" t="n">
        <v>0</v>
      </c>
      <c r="Q551" t="n">
        <v>0</v>
      </c>
      <c r="R551" s="2" t="inlineStr"/>
    </row>
    <row r="552" ht="15" customHeight="1">
      <c r="A552" t="inlineStr">
        <is>
          <t>A 26620-2023</t>
        </is>
      </c>
      <c r="B552" s="1" t="n">
        <v>45092.70390046296</v>
      </c>
      <c r="C552" s="1" t="n">
        <v>46042</v>
      </c>
      <c r="D552" t="inlineStr">
        <is>
          <t>ÖSTERGÖTLANDS LÄN</t>
        </is>
      </c>
      <c r="E552" t="inlineStr">
        <is>
          <t>LINKÖPING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2031-2026</t>
        </is>
      </c>
      <c r="B553" s="1" t="n">
        <v>46035.74182870371</v>
      </c>
      <c r="C553" s="1" t="n">
        <v>46042</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60306-2025</t>
        </is>
      </c>
      <c r="B554" s="1" t="n">
        <v>45994.68326388889</v>
      </c>
      <c r="C554" s="1" t="n">
        <v>46042</v>
      </c>
      <c r="D554" t="inlineStr">
        <is>
          <t>ÖSTERGÖTLANDS LÄN</t>
        </is>
      </c>
      <c r="E554" t="inlineStr">
        <is>
          <t>LINKÖPING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60284-2025</t>
        </is>
      </c>
      <c r="B555" s="1" t="n">
        <v>45994.64373842593</v>
      </c>
      <c r="C555" s="1" t="n">
        <v>46042</v>
      </c>
      <c r="D555" t="inlineStr">
        <is>
          <t>ÖSTERGÖTLANDS LÄN</t>
        </is>
      </c>
      <c r="E555" t="inlineStr">
        <is>
          <t>LINKÖPING</t>
        </is>
      </c>
      <c r="G555" t="n">
        <v>3.5</v>
      </c>
      <c r="H555" t="n">
        <v>0</v>
      </c>
      <c r="I555" t="n">
        <v>0</v>
      </c>
      <c r="J555" t="n">
        <v>0</v>
      </c>
      <c r="K555" t="n">
        <v>0</v>
      </c>
      <c r="L555" t="n">
        <v>0</v>
      </c>
      <c r="M555" t="n">
        <v>0</v>
      </c>
      <c r="N555" t="n">
        <v>0</v>
      </c>
      <c r="O555" t="n">
        <v>0</v>
      </c>
      <c r="P555" t="n">
        <v>0</v>
      </c>
      <c r="Q555" t="n">
        <v>0</v>
      </c>
      <c r="R555" s="2" t="inlineStr"/>
    </row>
    <row r="556" ht="15" customHeight="1">
      <c r="A556" t="inlineStr">
        <is>
          <t>A 16462-2021</t>
        </is>
      </c>
      <c r="B556" s="1" t="n">
        <v>44293</v>
      </c>
      <c r="C556" s="1" t="n">
        <v>46042</v>
      </c>
      <c r="D556" t="inlineStr">
        <is>
          <t>ÖSTERGÖTLANDS LÄN</t>
        </is>
      </c>
      <c r="E556" t="inlineStr">
        <is>
          <t>LINKÖPING</t>
        </is>
      </c>
      <c r="F556" t="inlineStr">
        <is>
          <t>Allmännings- och besparingsskogar</t>
        </is>
      </c>
      <c r="G556" t="n">
        <v>24.7</v>
      </c>
      <c r="H556" t="n">
        <v>0</v>
      </c>
      <c r="I556" t="n">
        <v>0</v>
      </c>
      <c r="J556" t="n">
        <v>0</v>
      </c>
      <c r="K556" t="n">
        <v>0</v>
      </c>
      <c r="L556" t="n">
        <v>0</v>
      </c>
      <c r="M556" t="n">
        <v>0</v>
      </c>
      <c r="N556" t="n">
        <v>0</v>
      </c>
      <c r="O556" t="n">
        <v>0</v>
      </c>
      <c r="P556" t="n">
        <v>0</v>
      </c>
      <c r="Q556" t="n">
        <v>0</v>
      </c>
      <c r="R556" s="2" t="inlineStr"/>
    </row>
    <row r="557" ht="15" customHeight="1">
      <c r="A557" t="inlineStr">
        <is>
          <t>A 63554-2023</t>
        </is>
      </c>
      <c r="B557" s="1" t="n">
        <v>45275</v>
      </c>
      <c r="C557" s="1" t="n">
        <v>46042</v>
      </c>
      <c r="D557" t="inlineStr">
        <is>
          <t>ÖSTERGÖTLANDS LÄN</t>
        </is>
      </c>
      <c r="E557" t="inlineStr">
        <is>
          <t>LINKÖPING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63638-2023</t>
        </is>
      </c>
      <c r="B558" s="1" t="n">
        <v>45275</v>
      </c>
      <c r="C558" s="1" t="n">
        <v>46042</v>
      </c>
      <c r="D558" t="inlineStr">
        <is>
          <t>ÖSTERGÖTLANDS LÄN</t>
        </is>
      </c>
      <c r="E558" t="inlineStr">
        <is>
          <t>LINKÖPING</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63658-2023</t>
        </is>
      </c>
      <c r="B559" s="1" t="n">
        <v>45275</v>
      </c>
      <c r="C559" s="1" t="n">
        <v>46042</v>
      </c>
      <c r="D559" t="inlineStr">
        <is>
          <t>ÖSTERGÖTLANDS LÄN</t>
        </is>
      </c>
      <c r="E559" t="inlineStr">
        <is>
          <t>LINKÖPING</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3044-2026</t>
        </is>
      </c>
      <c r="B560" s="1" t="n">
        <v>46038.73855324074</v>
      </c>
      <c r="C560" s="1" t="n">
        <v>46042</v>
      </c>
      <c r="D560" t="inlineStr">
        <is>
          <t>ÖSTERGÖTLANDS LÄN</t>
        </is>
      </c>
      <c r="E560" t="inlineStr">
        <is>
          <t>LINKÖPING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3043-2026</t>
        </is>
      </c>
      <c r="B561" s="1" t="n">
        <v>46038.73675925926</v>
      </c>
      <c r="C561" s="1" t="n">
        <v>46042</v>
      </c>
      <c r="D561" t="inlineStr">
        <is>
          <t>ÖSTERGÖTLANDS LÄN</t>
        </is>
      </c>
      <c r="E561" t="inlineStr">
        <is>
          <t>LINKÖPING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3046-2026</t>
        </is>
      </c>
      <c r="B562" s="1" t="n">
        <v>46038.74182870371</v>
      </c>
      <c r="C562" s="1" t="n">
        <v>46042</v>
      </c>
      <c r="D562" t="inlineStr">
        <is>
          <t>ÖSTERGÖTLANDS LÄN</t>
        </is>
      </c>
      <c r="E562" t="inlineStr">
        <is>
          <t>LINKÖPING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16820-2024</t>
        </is>
      </c>
      <c r="B563" s="1" t="n">
        <v>45411.46809027778</v>
      </c>
      <c r="C563" s="1" t="n">
        <v>46042</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4456-2024</t>
        </is>
      </c>
      <c r="B564" s="1" t="n">
        <v>45327.52847222222</v>
      </c>
      <c r="C564" s="1" t="n">
        <v>46042</v>
      </c>
      <c r="D564" t="inlineStr">
        <is>
          <t>ÖSTERGÖTLANDS LÄN</t>
        </is>
      </c>
      <c r="E564" t="inlineStr">
        <is>
          <t>LINKÖPING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60703-2025</t>
        </is>
      </c>
      <c r="B565" s="1" t="n">
        <v>45996.6052662037</v>
      </c>
      <c r="C565" s="1" t="n">
        <v>46042</v>
      </c>
      <c r="D565" t="inlineStr">
        <is>
          <t>ÖSTERGÖTLANDS LÄN</t>
        </is>
      </c>
      <c r="E565" t="inlineStr">
        <is>
          <t>LINKÖPING</t>
        </is>
      </c>
      <c r="F565" t="inlineStr">
        <is>
          <t>Övriga Aktiebolag</t>
        </is>
      </c>
      <c r="G565" t="n">
        <v>1.3</v>
      </c>
      <c r="H565" t="n">
        <v>0</v>
      </c>
      <c r="I565" t="n">
        <v>0</v>
      </c>
      <c r="J565" t="n">
        <v>0</v>
      </c>
      <c r="K565" t="n">
        <v>0</v>
      </c>
      <c r="L565" t="n">
        <v>0</v>
      </c>
      <c r="M565" t="n">
        <v>0</v>
      </c>
      <c r="N565" t="n">
        <v>0</v>
      </c>
      <c r="O565" t="n">
        <v>0</v>
      </c>
      <c r="P565" t="n">
        <v>0</v>
      </c>
      <c r="Q565" t="n">
        <v>0</v>
      </c>
      <c r="R565" s="2" t="inlineStr"/>
    </row>
    <row r="566" ht="15" customHeight="1">
      <c r="A566" t="inlineStr">
        <is>
          <t>A 3045-2026</t>
        </is>
      </c>
      <c r="B566" s="1" t="n">
        <v>46038.74047453704</v>
      </c>
      <c r="C566" s="1" t="n">
        <v>46042</v>
      </c>
      <c r="D566" t="inlineStr">
        <is>
          <t>ÖSTERGÖTLANDS LÄN</t>
        </is>
      </c>
      <c r="E566" t="inlineStr">
        <is>
          <t>LINKÖPING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20298-2025</t>
        </is>
      </c>
      <c r="B567" s="1" t="n">
        <v>45774.75024305555</v>
      </c>
      <c r="C567" s="1" t="n">
        <v>46042</v>
      </c>
      <c r="D567" t="inlineStr">
        <is>
          <t>ÖSTERGÖTLANDS LÄN</t>
        </is>
      </c>
      <c r="E567" t="inlineStr">
        <is>
          <t>LINKÖPING</t>
        </is>
      </c>
      <c r="G567" t="n">
        <v>1.3</v>
      </c>
      <c r="H567" t="n">
        <v>0</v>
      </c>
      <c r="I567" t="n">
        <v>0</v>
      </c>
      <c r="J567" t="n">
        <v>0</v>
      </c>
      <c r="K567" t="n">
        <v>0</v>
      </c>
      <c r="L567" t="n">
        <v>0</v>
      </c>
      <c r="M567" t="n">
        <v>0</v>
      </c>
      <c r="N567" t="n">
        <v>0</v>
      </c>
      <c r="O567" t="n">
        <v>0</v>
      </c>
      <c r="P567" t="n">
        <v>0</v>
      </c>
      <c r="Q567" t="n">
        <v>0</v>
      </c>
      <c r="R567" s="2" t="inlineStr"/>
    </row>
    <row r="568" ht="15" customHeight="1">
      <c r="A568" t="inlineStr">
        <is>
          <t>A 15121-2022</t>
        </is>
      </c>
      <c r="B568" s="1" t="n">
        <v>44658</v>
      </c>
      <c r="C568" s="1" t="n">
        <v>46042</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60866-2025</t>
        </is>
      </c>
      <c r="B569" s="1" t="n">
        <v>45999</v>
      </c>
      <c r="C569" s="1" t="n">
        <v>46042</v>
      </c>
      <c r="D569" t="inlineStr">
        <is>
          <t>ÖSTERGÖTLANDS LÄN</t>
        </is>
      </c>
      <c r="E569" t="inlineStr">
        <is>
          <t>LINKÖPING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50743-2023</t>
        </is>
      </c>
      <c r="B570" s="1" t="n">
        <v>45217</v>
      </c>
      <c r="C570" s="1" t="n">
        <v>46042</v>
      </c>
      <c r="D570" t="inlineStr">
        <is>
          <t>ÖSTERGÖTLANDS LÄN</t>
        </is>
      </c>
      <c r="E570" t="inlineStr">
        <is>
          <t>LINKÖPING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13687-2025</t>
        </is>
      </c>
      <c r="B571" s="1" t="n">
        <v>45737.31425925926</v>
      </c>
      <c r="C571" s="1" t="n">
        <v>46042</v>
      </c>
      <c r="D571" t="inlineStr">
        <is>
          <t>ÖSTERGÖTLANDS LÄN</t>
        </is>
      </c>
      <c r="E571" t="inlineStr">
        <is>
          <t>LINKÖPING</t>
        </is>
      </c>
      <c r="G571" t="n">
        <v>2.7</v>
      </c>
      <c r="H571" t="n">
        <v>0</v>
      </c>
      <c r="I571" t="n">
        <v>0</v>
      </c>
      <c r="J571" t="n">
        <v>0</v>
      </c>
      <c r="K571" t="n">
        <v>0</v>
      </c>
      <c r="L571" t="n">
        <v>0</v>
      </c>
      <c r="M571" t="n">
        <v>0</v>
      </c>
      <c r="N571" t="n">
        <v>0</v>
      </c>
      <c r="O571" t="n">
        <v>0</v>
      </c>
      <c r="P571" t="n">
        <v>0</v>
      </c>
      <c r="Q571" t="n">
        <v>0</v>
      </c>
      <c r="R571" s="2" t="inlineStr"/>
    </row>
    <row r="572" ht="15" customHeight="1">
      <c r="A572" t="inlineStr">
        <is>
          <t>A 13695-2025</t>
        </is>
      </c>
      <c r="B572" s="1" t="n">
        <v>45737.32219907407</v>
      </c>
      <c r="C572" s="1" t="n">
        <v>46042</v>
      </c>
      <c r="D572" t="inlineStr">
        <is>
          <t>ÖSTERGÖTLANDS LÄN</t>
        </is>
      </c>
      <c r="E572" t="inlineStr">
        <is>
          <t>LINKÖPING</t>
        </is>
      </c>
      <c r="G572" t="n">
        <v>5.3</v>
      </c>
      <c r="H572" t="n">
        <v>0</v>
      </c>
      <c r="I572" t="n">
        <v>0</v>
      </c>
      <c r="J572" t="n">
        <v>0</v>
      </c>
      <c r="K572" t="n">
        <v>0</v>
      </c>
      <c r="L572" t="n">
        <v>0</v>
      </c>
      <c r="M572" t="n">
        <v>0</v>
      </c>
      <c r="N572" t="n">
        <v>0</v>
      </c>
      <c r="O572" t="n">
        <v>0</v>
      </c>
      <c r="P572" t="n">
        <v>0</v>
      </c>
      <c r="Q572" t="n">
        <v>0</v>
      </c>
      <c r="R572" s="2" t="inlineStr"/>
    </row>
    <row r="573" ht="15" customHeight="1">
      <c r="A573" t="inlineStr">
        <is>
          <t>A 20294-2025</t>
        </is>
      </c>
      <c r="B573" s="1" t="n">
        <v>45774.74667824074</v>
      </c>
      <c r="C573" s="1" t="n">
        <v>46042</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10253-2022</t>
        </is>
      </c>
      <c r="B574" s="1" t="n">
        <v>44622</v>
      </c>
      <c r="C574" s="1" t="n">
        <v>46042</v>
      </c>
      <c r="D574" t="inlineStr">
        <is>
          <t>ÖSTERGÖTLANDS LÄN</t>
        </is>
      </c>
      <c r="E574" t="inlineStr">
        <is>
          <t>LINKÖPING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17128-2025</t>
        </is>
      </c>
      <c r="B575" s="1" t="n">
        <v>45755.72622685185</v>
      </c>
      <c r="C575" s="1" t="n">
        <v>46042</v>
      </c>
      <c r="D575" t="inlineStr">
        <is>
          <t>ÖSTERGÖTLANDS LÄN</t>
        </is>
      </c>
      <c r="E575" t="inlineStr">
        <is>
          <t>LINKÖPING</t>
        </is>
      </c>
      <c r="G575" t="n">
        <v>2.9</v>
      </c>
      <c r="H575" t="n">
        <v>0</v>
      </c>
      <c r="I575" t="n">
        <v>0</v>
      </c>
      <c r="J575" t="n">
        <v>0</v>
      </c>
      <c r="K575" t="n">
        <v>0</v>
      </c>
      <c r="L575" t="n">
        <v>0</v>
      </c>
      <c r="M575" t="n">
        <v>0</v>
      </c>
      <c r="N575" t="n">
        <v>0</v>
      </c>
      <c r="O575" t="n">
        <v>0</v>
      </c>
      <c r="P575" t="n">
        <v>0</v>
      </c>
      <c r="Q575" t="n">
        <v>0</v>
      </c>
      <c r="R575" s="2" t="inlineStr"/>
    </row>
    <row r="576" ht="15" customHeight="1">
      <c r="A576" t="inlineStr">
        <is>
          <t>A 52125-2022</t>
        </is>
      </c>
      <c r="B576" s="1" t="n">
        <v>44873</v>
      </c>
      <c r="C576" s="1" t="n">
        <v>46042</v>
      </c>
      <c r="D576" t="inlineStr">
        <is>
          <t>ÖSTERGÖTLANDS LÄN</t>
        </is>
      </c>
      <c r="E576" t="inlineStr">
        <is>
          <t>LINKÖPING</t>
        </is>
      </c>
      <c r="F576" t="inlineStr">
        <is>
          <t>Övriga Aktiebolag</t>
        </is>
      </c>
      <c r="G576" t="n">
        <v>0.7</v>
      </c>
      <c r="H576" t="n">
        <v>0</v>
      </c>
      <c r="I576" t="n">
        <v>0</v>
      </c>
      <c r="J576" t="n">
        <v>0</v>
      </c>
      <c r="K576" t="n">
        <v>0</v>
      </c>
      <c r="L576" t="n">
        <v>0</v>
      </c>
      <c r="M576" t="n">
        <v>0</v>
      </c>
      <c r="N576" t="n">
        <v>0</v>
      </c>
      <c r="O576" t="n">
        <v>0</v>
      </c>
      <c r="P576" t="n">
        <v>0</v>
      </c>
      <c r="Q576" t="n">
        <v>0</v>
      </c>
      <c r="R576" s="2" t="inlineStr"/>
    </row>
    <row r="577" ht="15" customHeight="1">
      <c r="A577" t="inlineStr">
        <is>
          <t>A 27343-2023</t>
        </is>
      </c>
      <c r="B577" s="1" t="n">
        <v>45096</v>
      </c>
      <c r="C577" s="1" t="n">
        <v>46042</v>
      </c>
      <c r="D577" t="inlineStr">
        <is>
          <t>ÖSTERGÖTLANDS LÄN</t>
        </is>
      </c>
      <c r="E577" t="inlineStr">
        <is>
          <t>LINKÖPING</t>
        </is>
      </c>
      <c r="F577" t="inlineStr">
        <is>
          <t>Allmännings- och besparingsskogar</t>
        </is>
      </c>
      <c r="G577" t="n">
        <v>6.9</v>
      </c>
      <c r="H577" t="n">
        <v>0</v>
      </c>
      <c r="I577" t="n">
        <v>0</v>
      </c>
      <c r="J577" t="n">
        <v>0</v>
      </c>
      <c r="K577" t="n">
        <v>0</v>
      </c>
      <c r="L577" t="n">
        <v>0</v>
      </c>
      <c r="M577" t="n">
        <v>0</v>
      </c>
      <c r="N577" t="n">
        <v>0</v>
      </c>
      <c r="O577" t="n">
        <v>0</v>
      </c>
      <c r="P577" t="n">
        <v>0</v>
      </c>
      <c r="Q577" t="n">
        <v>0</v>
      </c>
      <c r="R577" s="2" t="inlineStr"/>
    </row>
    <row r="578" ht="15" customHeight="1">
      <c r="A578" t="inlineStr">
        <is>
          <t>A 22842-2023</t>
        </is>
      </c>
      <c r="B578" s="1" t="n">
        <v>45071</v>
      </c>
      <c r="C578" s="1" t="n">
        <v>46042</v>
      </c>
      <c r="D578" t="inlineStr">
        <is>
          <t>ÖSTERGÖTLANDS LÄN</t>
        </is>
      </c>
      <c r="E578" t="inlineStr">
        <is>
          <t>LINKÖPING</t>
        </is>
      </c>
      <c r="F578" t="inlineStr">
        <is>
          <t>Kommuner</t>
        </is>
      </c>
      <c r="G578" t="n">
        <v>1.3</v>
      </c>
      <c r="H578" t="n">
        <v>0</v>
      </c>
      <c r="I578" t="n">
        <v>0</v>
      </c>
      <c r="J578" t="n">
        <v>0</v>
      </c>
      <c r="K578" t="n">
        <v>0</v>
      </c>
      <c r="L578" t="n">
        <v>0</v>
      </c>
      <c r="M578" t="n">
        <v>0</v>
      </c>
      <c r="N578" t="n">
        <v>0</v>
      </c>
      <c r="O578" t="n">
        <v>0</v>
      </c>
      <c r="P578" t="n">
        <v>0</v>
      </c>
      <c r="Q578" t="n">
        <v>0</v>
      </c>
      <c r="R578" s="2" t="inlineStr"/>
    </row>
    <row r="579" ht="15" customHeight="1">
      <c r="A579" t="inlineStr">
        <is>
          <t>A 14520-2025</t>
        </is>
      </c>
      <c r="B579" s="1" t="n">
        <v>45741</v>
      </c>
      <c r="C579" s="1" t="n">
        <v>46042</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31548-2022</t>
        </is>
      </c>
      <c r="B580" s="1" t="n">
        <v>44775.39832175926</v>
      </c>
      <c r="C580" s="1" t="n">
        <v>46042</v>
      </c>
      <c r="D580" t="inlineStr">
        <is>
          <t>ÖSTERGÖTLANDS LÄN</t>
        </is>
      </c>
      <c r="E580" t="inlineStr">
        <is>
          <t>LINKÖPING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62017-2024</t>
        </is>
      </c>
      <c r="B581" s="1" t="n">
        <v>45655.81140046296</v>
      </c>
      <c r="C581" s="1" t="n">
        <v>46042</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17785-2023</t>
        </is>
      </c>
      <c r="B582" s="1" t="n">
        <v>45037.55094907407</v>
      </c>
      <c r="C582" s="1" t="n">
        <v>46042</v>
      </c>
      <c r="D582" t="inlineStr">
        <is>
          <t>ÖSTERGÖTLANDS LÄN</t>
        </is>
      </c>
      <c r="E582" t="inlineStr">
        <is>
          <t>LINKÖPING</t>
        </is>
      </c>
      <c r="F582" t="inlineStr">
        <is>
          <t>Allmännings- och besparingsskogar</t>
        </is>
      </c>
      <c r="G582" t="n">
        <v>3.1</v>
      </c>
      <c r="H582" t="n">
        <v>0</v>
      </c>
      <c r="I582" t="n">
        <v>0</v>
      </c>
      <c r="J582" t="n">
        <v>0</v>
      </c>
      <c r="K582" t="n">
        <v>0</v>
      </c>
      <c r="L582" t="n">
        <v>0</v>
      </c>
      <c r="M582" t="n">
        <v>0</v>
      </c>
      <c r="N582" t="n">
        <v>0</v>
      </c>
      <c r="O582" t="n">
        <v>0</v>
      </c>
      <c r="P582" t="n">
        <v>0</v>
      </c>
      <c r="Q582" t="n">
        <v>0</v>
      </c>
      <c r="R582" s="2" t="inlineStr"/>
    </row>
    <row r="583" ht="15" customHeight="1">
      <c r="A583" t="inlineStr">
        <is>
          <t>A 62686-2023</t>
        </is>
      </c>
      <c r="B583" s="1" t="n">
        <v>45271</v>
      </c>
      <c r="C583" s="1" t="n">
        <v>46042</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42044-2023</t>
        </is>
      </c>
      <c r="B584" s="1" t="n">
        <v>45177</v>
      </c>
      <c r="C584" s="1" t="n">
        <v>46042</v>
      </c>
      <c r="D584" t="inlineStr">
        <is>
          <t>ÖSTERGÖTLANDS LÄN</t>
        </is>
      </c>
      <c r="E584" t="inlineStr">
        <is>
          <t>LINKÖPING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5314-2021</t>
        </is>
      </c>
      <c r="B585" s="1" t="n">
        <v>44229</v>
      </c>
      <c r="C585" s="1" t="n">
        <v>46042</v>
      </c>
      <c r="D585" t="inlineStr">
        <is>
          <t>ÖSTERGÖTLANDS LÄN</t>
        </is>
      </c>
      <c r="E585" t="inlineStr">
        <is>
          <t>LINKÖPING</t>
        </is>
      </c>
      <c r="G585" t="n">
        <v>6.2</v>
      </c>
      <c r="H585" t="n">
        <v>0</v>
      </c>
      <c r="I585" t="n">
        <v>0</v>
      </c>
      <c r="J585" t="n">
        <v>0</v>
      </c>
      <c r="K585" t="n">
        <v>0</v>
      </c>
      <c r="L585" t="n">
        <v>0</v>
      </c>
      <c r="M585" t="n">
        <v>0</v>
      </c>
      <c r="N585" t="n">
        <v>0</v>
      </c>
      <c r="O585" t="n">
        <v>0</v>
      </c>
      <c r="P585" t="n">
        <v>0</v>
      </c>
      <c r="Q585" t="n">
        <v>0</v>
      </c>
      <c r="R585" s="2" t="inlineStr"/>
    </row>
    <row r="586" ht="15" customHeight="1">
      <c r="A586" t="inlineStr">
        <is>
          <t>A 49656-2021</t>
        </is>
      </c>
      <c r="B586" s="1" t="n">
        <v>44454</v>
      </c>
      <c r="C586" s="1" t="n">
        <v>46042</v>
      </c>
      <c r="D586" t="inlineStr">
        <is>
          <t>ÖSTERGÖTLANDS LÄN</t>
        </is>
      </c>
      <c r="E586" t="inlineStr">
        <is>
          <t>LINKÖPING</t>
        </is>
      </c>
      <c r="G586" t="n">
        <v>2.3</v>
      </c>
      <c r="H586" t="n">
        <v>0</v>
      </c>
      <c r="I586" t="n">
        <v>0</v>
      </c>
      <c r="J586" t="n">
        <v>0</v>
      </c>
      <c r="K586" t="n">
        <v>0</v>
      </c>
      <c r="L586" t="n">
        <v>0</v>
      </c>
      <c r="M586" t="n">
        <v>0</v>
      </c>
      <c r="N586" t="n">
        <v>0</v>
      </c>
      <c r="O586" t="n">
        <v>0</v>
      </c>
      <c r="P586" t="n">
        <v>0</v>
      </c>
      <c r="Q586" t="n">
        <v>0</v>
      </c>
      <c r="R586" s="2" t="inlineStr"/>
    </row>
    <row r="587" ht="15" customHeight="1">
      <c r="A587" t="inlineStr">
        <is>
          <t>A 38230-2023</t>
        </is>
      </c>
      <c r="B587" s="1" t="n">
        <v>45161.55373842592</v>
      </c>
      <c r="C587" s="1" t="n">
        <v>46042</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45442-2024</t>
        </is>
      </c>
      <c r="B588" s="1" t="n">
        <v>45576.64189814815</v>
      </c>
      <c r="C588" s="1" t="n">
        <v>46042</v>
      </c>
      <c r="D588" t="inlineStr">
        <is>
          <t>ÖSTERGÖTLANDS LÄN</t>
        </is>
      </c>
      <c r="E588" t="inlineStr">
        <is>
          <t>LINKÖPING</t>
        </is>
      </c>
      <c r="G588" t="n">
        <v>1.8</v>
      </c>
      <c r="H588" t="n">
        <v>0</v>
      </c>
      <c r="I588" t="n">
        <v>0</v>
      </c>
      <c r="J588" t="n">
        <v>0</v>
      </c>
      <c r="K588" t="n">
        <v>0</v>
      </c>
      <c r="L588" t="n">
        <v>0</v>
      </c>
      <c r="M588" t="n">
        <v>0</v>
      </c>
      <c r="N588" t="n">
        <v>0</v>
      </c>
      <c r="O588" t="n">
        <v>0</v>
      </c>
      <c r="P588" t="n">
        <v>0</v>
      </c>
      <c r="Q588" t="n">
        <v>0</v>
      </c>
      <c r="R588" s="2" t="inlineStr"/>
    </row>
    <row r="589" ht="15" customHeight="1">
      <c r="A589" t="inlineStr">
        <is>
          <t>A 4908-2023</t>
        </is>
      </c>
      <c r="B589" s="1" t="n">
        <v>44958</v>
      </c>
      <c r="C589" s="1" t="n">
        <v>46042</v>
      </c>
      <c r="D589" t="inlineStr">
        <is>
          <t>ÖSTERGÖTLANDS LÄN</t>
        </is>
      </c>
      <c r="E589" t="inlineStr">
        <is>
          <t>LINKÖPING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1265-2023</t>
        </is>
      </c>
      <c r="B590" s="1" t="n">
        <v>44936</v>
      </c>
      <c r="C590" s="1" t="n">
        <v>46042</v>
      </c>
      <c r="D590" t="inlineStr">
        <is>
          <t>ÖSTERGÖTLANDS LÄN</t>
        </is>
      </c>
      <c r="E590" t="inlineStr">
        <is>
          <t>LINKÖPING</t>
        </is>
      </c>
      <c r="G590" t="n">
        <v>2.3</v>
      </c>
      <c r="H590" t="n">
        <v>0</v>
      </c>
      <c r="I590" t="n">
        <v>0</v>
      </c>
      <c r="J590" t="n">
        <v>0</v>
      </c>
      <c r="K590" t="n">
        <v>0</v>
      </c>
      <c r="L590" t="n">
        <v>0</v>
      </c>
      <c r="M590" t="n">
        <v>0</v>
      </c>
      <c r="N590" t="n">
        <v>0</v>
      </c>
      <c r="O590" t="n">
        <v>0</v>
      </c>
      <c r="P590" t="n">
        <v>0</v>
      </c>
      <c r="Q590" t="n">
        <v>0</v>
      </c>
      <c r="R590" s="2" t="inlineStr"/>
    </row>
    <row r="591" ht="15" customHeight="1">
      <c r="A591" t="inlineStr">
        <is>
          <t>A 12411-2022</t>
        </is>
      </c>
      <c r="B591" s="1" t="n">
        <v>44638.21601851852</v>
      </c>
      <c r="C591" s="1" t="n">
        <v>46042</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23491-2024</t>
        </is>
      </c>
      <c r="B592" s="1" t="n">
        <v>45453</v>
      </c>
      <c r="C592" s="1" t="n">
        <v>46042</v>
      </c>
      <c r="D592" t="inlineStr">
        <is>
          <t>ÖSTERGÖTLANDS LÄN</t>
        </is>
      </c>
      <c r="E592" t="inlineStr">
        <is>
          <t>LINKÖPING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70-2024</t>
        </is>
      </c>
      <c r="B593" s="1" t="n">
        <v>45293</v>
      </c>
      <c r="C593" s="1" t="n">
        <v>46042</v>
      </c>
      <c r="D593" t="inlineStr">
        <is>
          <t>ÖSTERGÖTLANDS LÄN</t>
        </is>
      </c>
      <c r="E593" t="inlineStr">
        <is>
          <t>LINKÖPING</t>
        </is>
      </c>
      <c r="G593" t="n">
        <v>1.3</v>
      </c>
      <c r="H593" t="n">
        <v>0</v>
      </c>
      <c r="I593" t="n">
        <v>0</v>
      </c>
      <c r="J593" t="n">
        <v>0</v>
      </c>
      <c r="K593" t="n">
        <v>0</v>
      </c>
      <c r="L593" t="n">
        <v>0</v>
      </c>
      <c r="M593" t="n">
        <v>0</v>
      </c>
      <c r="N593" t="n">
        <v>0</v>
      </c>
      <c r="O593" t="n">
        <v>0</v>
      </c>
      <c r="P593" t="n">
        <v>0</v>
      </c>
      <c r="Q593" t="n">
        <v>0</v>
      </c>
      <c r="R593" s="2" t="inlineStr"/>
    </row>
    <row r="594" ht="15" customHeight="1">
      <c r="A594" t="inlineStr">
        <is>
          <t>A 6054-2022</t>
        </is>
      </c>
      <c r="B594" s="1" t="n">
        <v>44599.53623842593</v>
      </c>
      <c r="C594" s="1" t="n">
        <v>46042</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31725-2022</t>
        </is>
      </c>
      <c r="B595" s="1" t="n">
        <v>44776.48541666667</v>
      </c>
      <c r="C595" s="1" t="n">
        <v>46042</v>
      </c>
      <c r="D595" t="inlineStr">
        <is>
          <t>ÖSTERGÖTLANDS LÄN</t>
        </is>
      </c>
      <c r="E595" t="inlineStr">
        <is>
          <t>LINKÖPING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57391-2023</t>
        </is>
      </c>
      <c r="B596" s="1" t="n">
        <v>45245</v>
      </c>
      <c r="C596" s="1" t="n">
        <v>46042</v>
      </c>
      <c r="D596" t="inlineStr">
        <is>
          <t>ÖSTERGÖTLANDS LÄN</t>
        </is>
      </c>
      <c r="E596" t="inlineStr">
        <is>
          <t>LINKÖPING</t>
        </is>
      </c>
      <c r="F596" t="inlineStr">
        <is>
          <t>Övriga Aktiebolag</t>
        </is>
      </c>
      <c r="G596" t="n">
        <v>1.7</v>
      </c>
      <c r="H596" t="n">
        <v>0</v>
      </c>
      <c r="I596" t="n">
        <v>0</v>
      </c>
      <c r="J596" t="n">
        <v>0</v>
      </c>
      <c r="K596" t="n">
        <v>0</v>
      </c>
      <c r="L596" t="n">
        <v>0</v>
      </c>
      <c r="M596" t="n">
        <v>0</v>
      </c>
      <c r="N596" t="n">
        <v>0</v>
      </c>
      <c r="O596" t="n">
        <v>0</v>
      </c>
      <c r="P596" t="n">
        <v>0</v>
      </c>
      <c r="Q596" t="n">
        <v>0</v>
      </c>
      <c r="R596" s="2" t="inlineStr"/>
    </row>
    <row r="597" ht="15" customHeight="1">
      <c r="A597" t="inlineStr">
        <is>
          <t>A 7992-2023</t>
        </is>
      </c>
      <c r="B597" s="1" t="n">
        <v>44970</v>
      </c>
      <c r="C597" s="1" t="n">
        <v>46042</v>
      </c>
      <c r="D597" t="inlineStr">
        <is>
          <t>ÖSTERGÖTLANDS LÄN</t>
        </is>
      </c>
      <c r="E597" t="inlineStr">
        <is>
          <t>LINKÖPING</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13689-2025</t>
        </is>
      </c>
      <c r="B598" s="1" t="n">
        <v>45737.31590277778</v>
      </c>
      <c r="C598" s="1" t="n">
        <v>46042</v>
      </c>
      <c r="D598" t="inlineStr">
        <is>
          <t>ÖSTERGÖTLANDS LÄN</t>
        </is>
      </c>
      <c r="E598" t="inlineStr">
        <is>
          <t>LINKÖPING</t>
        </is>
      </c>
      <c r="G598" t="n">
        <v>0.8</v>
      </c>
      <c r="H598" t="n">
        <v>0</v>
      </c>
      <c r="I598" t="n">
        <v>0</v>
      </c>
      <c r="J598" t="n">
        <v>0</v>
      </c>
      <c r="K598" t="n">
        <v>0</v>
      </c>
      <c r="L598" t="n">
        <v>0</v>
      </c>
      <c r="M598" t="n">
        <v>0</v>
      </c>
      <c r="N598" t="n">
        <v>0</v>
      </c>
      <c r="O598" t="n">
        <v>0</v>
      </c>
      <c r="P598" t="n">
        <v>0</v>
      </c>
      <c r="Q598" t="n">
        <v>0</v>
      </c>
      <c r="R598" s="2" t="inlineStr"/>
    </row>
    <row r="599" ht="15" customHeight="1">
      <c r="A599" t="inlineStr">
        <is>
          <t>A 13696-2025</t>
        </is>
      </c>
      <c r="B599" s="1" t="n">
        <v>45737.32273148148</v>
      </c>
      <c r="C599" s="1" t="n">
        <v>46042</v>
      </c>
      <c r="D599" t="inlineStr">
        <is>
          <t>ÖSTERGÖTLANDS LÄN</t>
        </is>
      </c>
      <c r="E599" t="inlineStr">
        <is>
          <t>LINKÖPING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1924-2024</t>
        </is>
      </c>
      <c r="B600" s="1" t="n">
        <v>45308</v>
      </c>
      <c r="C600" s="1" t="n">
        <v>46042</v>
      </c>
      <c r="D600" t="inlineStr">
        <is>
          <t>ÖSTERGÖTLANDS LÄN</t>
        </is>
      </c>
      <c r="E600" t="inlineStr">
        <is>
          <t>LINKÖPING</t>
        </is>
      </c>
      <c r="F600" t="inlineStr">
        <is>
          <t>Övriga Aktiebolag</t>
        </is>
      </c>
      <c r="G600" t="n">
        <v>0.5</v>
      </c>
      <c r="H600" t="n">
        <v>0</v>
      </c>
      <c r="I600" t="n">
        <v>0</v>
      </c>
      <c r="J600" t="n">
        <v>0</v>
      </c>
      <c r="K600" t="n">
        <v>0</v>
      </c>
      <c r="L600" t="n">
        <v>0</v>
      </c>
      <c r="M600" t="n">
        <v>0</v>
      </c>
      <c r="N600" t="n">
        <v>0</v>
      </c>
      <c r="O600" t="n">
        <v>0</v>
      </c>
      <c r="P600" t="n">
        <v>0</v>
      </c>
      <c r="Q600" t="n">
        <v>0</v>
      </c>
      <c r="R600" s="2" t="inlineStr"/>
    </row>
    <row r="601" ht="15" customHeight="1">
      <c r="A601" t="inlineStr">
        <is>
          <t>A 32346-2023</t>
        </is>
      </c>
      <c r="B601" s="1" t="n">
        <v>45120</v>
      </c>
      <c r="C601" s="1" t="n">
        <v>46042</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50508-2024</t>
        </is>
      </c>
      <c r="B602" s="1" t="n">
        <v>45601.53907407408</v>
      </c>
      <c r="C602" s="1" t="n">
        <v>46042</v>
      </c>
      <c r="D602" t="inlineStr">
        <is>
          <t>ÖSTERGÖTLANDS LÄN</t>
        </is>
      </c>
      <c r="E602" t="inlineStr">
        <is>
          <t>LINKÖPING</t>
        </is>
      </c>
      <c r="F602" t="inlineStr">
        <is>
          <t>Övriga Aktiebolag</t>
        </is>
      </c>
      <c r="G602" t="n">
        <v>2</v>
      </c>
      <c r="H602" t="n">
        <v>0</v>
      </c>
      <c r="I602" t="n">
        <v>0</v>
      </c>
      <c r="J602" t="n">
        <v>0</v>
      </c>
      <c r="K602" t="n">
        <v>0</v>
      </c>
      <c r="L602" t="n">
        <v>0</v>
      </c>
      <c r="M602" t="n">
        <v>0</v>
      </c>
      <c r="N602" t="n">
        <v>0</v>
      </c>
      <c r="O602" t="n">
        <v>0</v>
      </c>
      <c r="P602" t="n">
        <v>0</v>
      </c>
      <c r="Q602" t="n">
        <v>0</v>
      </c>
      <c r="R602" s="2" t="inlineStr"/>
    </row>
    <row r="603" ht="15" customHeight="1">
      <c r="A603" t="inlineStr">
        <is>
          <t>A 7808-2022</t>
        </is>
      </c>
      <c r="B603" s="1" t="n">
        <v>44608</v>
      </c>
      <c r="C603" s="1" t="n">
        <v>46042</v>
      </c>
      <c r="D603" t="inlineStr">
        <is>
          <t>ÖSTERGÖTLANDS LÄN</t>
        </is>
      </c>
      <c r="E603" t="inlineStr">
        <is>
          <t>LINKÖPING</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27844-2024</t>
        </is>
      </c>
      <c r="B604" s="1" t="n">
        <v>45475.63047453704</v>
      </c>
      <c r="C604" s="1" t="n">
        <v>46042</v>
      </c>
      <c r="D604" t="inlineStr">
        <is>
          <t>ÖSTERGÖTLANDS LÄN</t>
        </is>
      </c>
      <c r="E604" t="inlineStr">
        <is>
          <t>LINKÖPING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40810-2022</t>
        </is>
      </c>
      <c r="B605" s="1" t="n">
        <v>44824</v>
      </c>
      <c r="C605" s="1" t="n">
        <v>46042</v>
      </c>
      <c r="D605" t="inlineStr">
        <is>
          <t>ÖSTERGÖTLANDS LÄN</t>
        </is>
      </c>
      <c r="E605" t="inlineStr">
        <is>
          <t>LINKÖPING</t>
        </is>
      </c>
      <c r="G605" t="n">
        <v>2.8</v>
      </c>
      <c r="H605" t="n">
        <v>0</v>
      </c>
      <c r="I605" t="n">
        <v>0</v>
      </c>
      <c r="J605" t="n">
        <v>0</v>
      </c>
      <c r="K605" t="n">
        <v>0</v>
      </c>
      <c r="L605" t="n">
        <v>0</v>
      </c>
      <c r="M605" t="n">
        <v>0</v>
      </c>
      <c r="N605" t="n">
        <v>0</v>
      </c>
      <c r="O605" t="n">
        <v>0</v>
      </c>
      <c r="P605" t="n">
        <v>0</v>
      </c>
      <c r="Q605" t="n">
        <v>0</v>
      </c>
      <c r="R605" s="2" t="inlineStr"/>
    </row>
    <row r="606" ht="15" customHeight="1">
      <c r="A606" t="inlineStr">
        <is>
          <t>A 51559-2024</t>
        </is>
      </c>
      <c r="B606" s="1" t="n">
        <v>45604.61431712963</v>
      </c>
      <c r="C606" s="1" t="n">
        <v>46042</v>
      </c>
      <c r="D606" t="inlineStr">
        <is>
          <t>ÖSTERGÖTLANDS LÄN</t>
        </is>
      </c>
      <c r="E606" t="inlineStr">
        <is>
          <t>LINKÖPING</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49979-2022</t>
        </is>
      </c>
      <c r="B607" s="1" t="n">
        <v>44865</v>
      </c>
      <c r="C607" s="1" t="n">
        <v>46042</v>
      </c>
      <c r="D607" t="inlineStr">
        <is>
          <t>ÖSTERGÖTLANDS LÄN</t>
        </is>
      </c>
      <c r="E607" t="inlineStr">
        <is>
          <t>LINKÖPING</t>
        </is>
      </c>
      <c r="F607" t="inlineStr">
        <is>
          <t>Övriga Aktiebolag</t>
        </is>
      </c>
      <c r="G607" t="n">
        <v>11.4</v>
      </c>
      <c r="H607" t="n">
        <v>0</v>
      </c>
      <c r="I607" t="n">
        <v>0</v>
      </c>
      <c r="J607" t="n">
        <v>0</v>
      </c>
      <c r="K607" t="n">
        <v>0</v>
      </c>
      <c r="L607" t="n">
        <v>0</v>
      </c>
      <c r="M607" t="n">
        <v>0</v>
      </c>
      <c r="N607" t="n">
        <v>0</v>
      </c>
      <c r="O607" t="n">
        <v>0</v>
      </c>
      <c r="P607" t="n">
        <v>0</v>
      </c>
      <c r="Q607" t="n">
        <v>0</v>
      </c>
      <c r="R607" s="2" t="inlineStr"/>
    </row>
    <row r="608" ht="15" customHeight="1">
      <c r="A608" t="inlineStr">
        <is>
          <t>A 39219-2021</t>
        </is>
      </c>
      <c r="B608" s="1" t="n">
        <v>44413</v>
      </c>
      <c r="C608" s="1" t="n">
        <v>46042</v>
      </c>
      <c r="D608" t="inlineStr">
        <is>
          <t>ÖSTERGÖTLANDS LÄN</t>
        </is>
      </c>
      <c r="E608" t="inlineStr">
        <is>
          <t>LINKÖPING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39224-2021</t>
        </is>
      </c>
      <c r="B609" s="1" t="n">
        <v>44413</v>
      </c>
      <c r="C609" s="1" t="n">
        <v>46042</v>
      </c>
      <c r="D609" t="inlineStr">
        <is>
          <t>ÖSTERGÖTLANDS LÄN</t>
        </is>
      </c>
      <c r="E609" t="inlineStr">
        <is>
          <t>LINKÖPING</t>
        </is>
      </c>
      <c r="G609" t="n">
        <v>2.1</v>
      </c>
      <c r="H609" t="n">
        <v>0</v>
      </c>
      <c r="I609" t="n">
        <v>0</v>
      </c>
      <c r="J609" t="n">
        <v>0</v>
      </c>
      <c r="K609" t="n">
        <v>0</v>
      </c>
      <c r="L609" t="n">
        <v>0</v>
      </c>
      <c r="M609" t="n">
        <v>0</v>
      </c>
      <c r="N609" t="n">
        <v>0</v>
      </c>
      <c r="O609" t="n">
        <v>0</v>
      </c>
      <c r="P609" t="n">
        <v>0</v>
      </c>
      <c r="Q609" t="n">
        <v>0</v>
      </c>
      <c r="R609" s="2" t="inlineStr"/>
    </row>
    <row r="610" ht="15" customHeight="1">
      <c r="A610" t="inlineStr">
        <is>
          <t>A 62495-2023</t>
        </is>
      </c>
      <c r="B610" s="1" t="n">
        <v>45268.59717592593</v>
      </c>
      <c r="C610" s="1" t="n">
        <v>46042</v>
      </c>
      <c r="D610" t="inlineStr">
        <is>
          <t>ÖSTERGÖTLANDS LÄN</t>
        </is>
      </c>
      <c r="E610" t="inlineStr">
        <is>
          <t>LINKÖPING</t>
        </is>
      </c>
      <c r="G610" t="n">
        <v>4.1</v>
      </c>
      <c r="H610" t="n">
        <v>0</v>
      </c>
      <c r="I610" t="n">
        <v>0</v>
      </c>
      <c r="J610" t="n">
        <v>0</v>
      </c>
      <c r="K610" t="n">
        <v>0</v>
      </c>
      <c r="L610" t="n">
        <v>0</v>
      </c>
      <c r="M610" t="n">
        <v>0</v>
      </c>
      <c r="N610" t="n">
        <v>0</v>
      </c>
      <c r="O610" t="n">
        <v>0</v>
      </c>
      <c r="P610" t="n">
        <v>0</v>
      </c>
      <c r="Q610" t="n">
        <v>0</v>
      </c>
      <c r="R610" s="2" t="inlineStr"/>
    </row>
    <row r="611" ht="15" customHeight="1">
      <c r="A611" t="inlineStr">
        <is>
          <t>A 29413-2023</t>
        </is>
      </c>
      <c r="B611" s="1" t="n">
        <v>45106.46465277778</v>
      </c>
      <c r="C611" s="1" t="n">
        <v>46042</v>
      </c>
      <c r="D611" t="inlineStr">
        <is>
          <t>ÖSTERGÖTLANDS LÄN</t>
        </is>
      </c>
      <c r="E611" t="inlineStr">
        <is>
          <t>LINKÖPING</t>
        </is>
      </c>
      <c r="G611" t="n">
        <v>8</v>
      </c>
      <c r="H611" t="n">
        <v>0</v>
      </c>
      <c r="I611" t="n">
        <v>0</v>
      </c>
      <c r="J611" t="n">
        <v>0</v>
      </c>
      <c r="K611" t="n">
        <v>0</v>
      </c>
      <c r="L611" t="n">
        <v>0</v>
      </c>
      <c r="M611" t="n">
        <v>0</v>
      </c>
      <c r="N611" t="n">
        <v>0</v>
      </c>
      <c r="O611" t="n">
        <v>0</v>
      </c>
      <c r="P611" t="n">
        <v>0</v>
      </c>
      <c r="Q611" t="n">
        <v>0</v>
      </c>
      <c r="R611" s="2" t="inlineStr"/>
    </row>
    <row r="612" ht="15" customHeight="1">
      <c r="A612" t="inlineStr">
        <is>
          <t>A 25948-2023</t>
        </is>
      </c>
      <c r="B612" s="1" t="n">
        <v>45090</v>
      </c>
      <c r="C612" s="1" t="n">
        <v>46042</v>
      </c>
      <c r="D612" t="inlineStr">
        <is>
          <t>ÖSTERGÖTLANDS LÄN</t>
        </is>
      </c>
      <c r="E612" t="inlineStr">
        <is>
          <t>LINKÖPING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1627-2023</t>
        </is>
      </c>
      <c r="B613" s="1" t="n">
        <v>44937</v>
      </c>
      <c r="C613" s="1" t="n">
        <v>46042</v>
      </c>
      <c r="D613" t="inlineStr">
        <is>
          <t>ÖSTERGÖTLANDS LÄN</t>
        </is>
      </c>
      <c r="E613" t="inlineStr">
        <is>
          <t>LINKÖPING</t>
        </is>
      </c>
      <c r="G613" t="n">
        <v>10.8</v>
      </c>
      <c r="H613" t="n">
        <v>0</v>
      </c>
      <c r="I613" t="n">
        <v>0</v>
      </c>
      <c r="J613" t="n">
        <v>0</v>
      </c>
      <c r="K613" t="n">
        <v>0</v>
      </c>
      <c r="L613" t="n">
        <v>0</v>
      </c>
      <c r="M613" t="n">
        <v>0</v>
      </c>
      <c r="N613" t="n">
        <v>0</v>
      </c>
      <c r="O613" t="n">
        <v>0</v>
      </c>
      <c r="P613" t="n">
        <v>0</v>
      </c>
      <c r="Q613" t="n">
        <v>0</v>
      </c>
      <c r="R613" s="2" t="inlineStr"/>
    </row>
    <row r="614" ht="15" customHeight="1">
      <c r="A614" t="inlineStr">
        <is>
          <t>A 30481-2023</t>
        </is>
      </c>
      <c r="B614" s="1" t="n">
        <v>45111</v>
      </c>
      <c r="C614" s="1" t="n">
        <v>46042</v>
      </c>
      <c r="D614" t="inlineStr">
        <is>
          <t>ÖSTERGÖTLANDS LÄN</t>
        </is>
      </c>
      <c r="E614" t="inlineStr">
        <is>
          <t>LINKÖPING</t>
        </is>
      </c>
      <c r="F614" t="inlineStr">
        <is>
          <t>Övriga Aktiebolag</t>
        </is>
      </c>
      <c r="G614" t="n">
        <v>2</v>
      </c>
      <c r="H614" t="n">
        <v>0</v>
      </c>
      <c r="I614" t="n">
        <v>0</v>
      </c>
      <c r="J614" t="n">
        <v>0</v>
      </c>
      <c r="K614" t="n">
        <v>0</v>
      </c>
      <c r="L614" t="n">
        <v>0</v>
      </c>
      <c r="M614" t="n">
        <v>0</v>
      </c>
      <c r="N614" t="n">
        <v>0</v>
      </c>
      <c r="O614" t="n">
        <v>0</v>
      </c>
      <c r="P614" t="n">
        <v>0</v>
      </c>
      <c r="Q614" t="n">
        <v>0</v>
      </c>
      <c r="R614" s="2" t="inlineStr"/>
    </row>
    <row r="615" ht="15" customHeight="1">
      <c r="A615" t="inlineStr">
        <is>
          <t>A 21782-2024</t>
        </is>
      </c>
      <c r="B615" s="1" t="n">
        <v>45442.63368055555</v>
      </c>
      <c r="C615" s="1" t="n">
        <v>46042</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11671-2023</t>
        </is>
      </c>
      <c r="B616" s="1" t="n">
        <v>44994.48125</v>
      </c>
      <c r="C616" s="1" t="n">
        <v>46042</v>
      </c>
      <c r="D616" t="inlineStr">
        <is>
          <t>ÖSTERGÖTLANDS LÄN</t>
        </is>
      </c>
      <c r="E616" t="inlineStr">
        <is>
          <t>LINKÖPING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3013-2023</t>
        </is>
      </c>
      <c r="B617" s="1" t="n">
        <v>44945.8092824074</v>
      </c>
      <c r="C617" s="1" t="n">
        <v>46042</v>
      </c>
      <c r="D617" t="inlineStr">
        <is>
          <t>ÖSTERGÖTLANDS LÄN</t>
        </is>
      </c>
      <c r="E617" t="inlineStr">
        <is>
          <t>LINKÖPING</t>
        </is>
      </c>
      <c r="G617" t="n">
        <v>5.2</v>
      </c>
      <c r="H617" t="n">
        <v>0</v>
      </c>
      <c r="I617" t="n">
        <v>0</v>
      </c>
      <c r="J617" t="n">
        <v>0</v>
      </c>
      <c r="K617" t="n">
        <v>0</v>
      </c>
      <c r="L617" t="n">
        <v>0</v>
      </c>
      <c r="M617" t="n">
        <v>0</v>
      </c>
      <c r="N617" t="n">
        <v>0</v>
      </c>
      <c r="O617" t="n">
        <v>0</v>
      </c>
      <c r="P617" t="n">
        <v>0</v>
      </c>
      <c r="Q617" t="n">
        <v>0</v>
      </c>
      <c r="R617" s="2" t="inlineStr"/>
    </row>
    <row r="618" ht="15" customHeight="1">
      <c r="A618" t="inlineStr">
        <is>
          <t>A 49747-2024</t>
        </is>
      </c>
      <c r="B618" s="1" t="n">
        <v>45596</v>
      </c>
      <c r="C618" s="1" t="n">
        <v>46042</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42997-2021</t>
        </is>
      </c>
      <c r="B619" s="1" t="n">
        <v>44431.45556712963</v>
      </c>
      <c r="C619" s="1" t="n">
        <v>46042</v>
      </c>
      <c r="D619" t="inlineStr">
        <is>
          <t>ÖSTERGÖTLANDS LÄN</t>
        </is>
      </c>
      <c r="E619" t="inlineStr">
        <is>
          <t>LINKÖPING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3011-2023</t>
        </is>
      </c>
      <c r="B620" s="1" t="n">
        <v>44945</v>
      </c>
      <c r="C620" s="1" t="n">
        <v>46042</v>
      </c>
      <c r="D620" t="inlineStr">
        <is>
          <t>ÖSTERGÖTLANDS LÄN</t>
        </is>
      </c>
      <c r="E620" t="inlineStr">
        <is>
          <t>LINKÖPING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23735-2023</t>
        </is>
      </c>
      <c r="B621" s="1" t="n">
        <v>45077</v>
      </c>
      <c r="C621" s="1" t="n">
        <v>46042</v>
      </c>
      <c r="D621" t="inlineStr">
        <is>
          <t>ÖSTERGÖTLANDS LÄN</t>
        </is>
      </c>
      <c r="E621" t="inlineStr">
        <is>
          <t>LINKÖPING</t>
        </is>
      </c>
      <c r="G621" t="n">
        <v>1.7</v>
      </c>
      <c r="H621" t="n">
        <v>0</v>
      </c>
      <c r="I621" t="n">
        <v>0</v>
      </c>
      <c r="J621" t="n">
        <v>0</v>
      </c>
      <c r="K621" t="n">
        <v>0</v>
      </c>
      <c r="L621" t="n">
        <v>0</v>
      </c>
      <c r="M621" t="n">
        <v>0</v>
      </c>
      <c r="N621" t="n">
        <v>0</v>
      </c>
      <c r="O621" t="n">
        <v>0</v>
      </c>
      <c r="P621" t="n">
        <v>0</v>
      </c>
      <c r="Q621" t="n">
        <v>0</v>
      </c>
      <c r="R621" s="2" t="inlineStr"/>
    </row>
    <row r="622" ht="15" customHeight="1">
      <c r="A622" t="inlineStr">
        <is>
          <t>A 45821-2024</t>
        </is>
      </c>
      <c r="B622" s="1" t="n">
        <v>45579.75803240741</v>
      </c>
      <c r="C622" s="1" t="n">
        <v>46042</v>
      </c>
      <c r="D622" t="inlineStr">
        <is>
          <t>ÖSTERGÖTLANDS LÄN</t>
        </is>
      </c>
      <c r="E622" t="inlineStr">
        <is>
          <t>LINKÖPING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53647-2021</t>
        </is>
      </c>
      <c r="B623" s="1" t="n">
        <v>44469</v>
      </c>
      <c r="C623" s="1" t="n">
        <v>46042</v>
      </c>
      <c r="D623" t="inlineStr">
        <is>
          <t>ÖSTERGÖTLANDS LÄN</t>
        </is>
      </c>
      <c r="E623" t="inlineStr">
        <is>
          <t>LINKÖPING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6599-2023</t>
        </is>
      </c>
      <c r="B624" s="1" t="n">
        <v>44966.52603009259</v>
      </c>
      <c r="C624" s="1" t="n">
        <v>46042</v>
      </c>
      <c r="D624" t="inlineStr">
        <is>
          <t>ÖSTERGÖTLANDS LÄN</t>
        </is>
      </c>
      <c r="E624" t="inlineStr">
        <is>
          <t>LINKÖPING</t>
        </is>
      </c>
      <c r="G624" t="n">
        <v>1.9</v>
      </c>
      <c r="H624" t="n">
        <v>0</v>
      </c>
      <c r="I624" t="n">
        <v>0</v>
      </c>
      <c r="J624" t="n">
        <v>0</v>
      </c>
      <c r="K624" t="n">
        <v>0</v>
      </c>
      <c r="L624" t="n">
        <v>0</v>
      </c>
      <c r="M624" t="n">
        <v>0</v>
      </c>
      <c r="N624" t="n">
        <v>0</v>
      </c>
      <c r="O624" t="n">
        <v>0</v>
      </c>
      <c r="P624" t="n">
        <v>0</v>
      </c>
      <c r="Q624" t="n">
        <v>0</v>
      </c>
      <c r="R624" s="2" t="inlineStr"/>
    </row>
    <row r="625" ht="15" customHeight="1">
      <c r="A625" t="inlineStr">
        <is>
          <t>A 35735-2023</t>
        </is>
      </c>
      <c r="B625" s="1" t="n">
        <v>45147</v>
      </c>
      <c r="C625" s="1" t="n">
        <v>46042</v>
      </c>
      <c r="D625" t="inlineStr">
        <is>
          <t>ÖSTERGÖTLANDS LÄN</t>
        </is>
      </c>
      <c r="E625" t="inlineStr">
        <is>
          <t>LINKÖPING</t>
        </is>
      </c>
      <c r="G625" t="n">
        <v>2.8</v>
      </c>
      <c r="H625" t="n">
        <v>0</v>
      </c>
      <c r="I625" t="n">
        <v>0</v>
      </c>
      <c r="J625" t="n">
        <v>0</v>
      </c>
      <c r="K625" t="n">
        <v>0</v>
      </c>
      <c r="L625" t="n">
        <v>0</v>
      </c>
      <c r="M625" t="n">
        <v>0</v>
      </c>
      <c r="N625" t="n">
        <v>0</v>
      </c>
      <c r="O625" t="n">
        <v>0</v>
      </c>
      <c r="P625" t="n">
        <v>0</v>
      </c>
      <c r="Q625" t="n">
        <v>0</v>
      </c>
      <c r="R625" s="2" t="inlineStr"/>
    </row>
    <row r="626" ht="15" customHeight="1">
      <c r="A626" t="inlineStr">
        <is>
          <t>A 45831-2024</t>
        </is>
      </c>
      <c r="B626" s="1" t="n">
        <v>45579.90508101852</v>
      </c>
      <c r="C626" s="1" t="n">
        <v>46042</v>
      </c>
      <c r="D626" t="inlineStr">
        <is>
          <t>ÖSTERGÖTLANDS LÄN</t>
        </is>
      </c>
      <c r="E626" t="inlineStr">
        <is>
          <t>LINKÖPING</t>
        </is>
      </c>
      <c r="G626" t="n">
        <v>1.9</v>
      </c>
      <c r="H626" t="n">
        <v>0</v>
      </c>
      <c r="I626" t="n">
        <v>0</v>
      </c>
      <c r="J626" t="n">
        <v>0</v>
      </c>
      <c r="K626" t="n">
        <v>0</v>
      </c>
      <c r="L626" t="n">
        <v>0</v>
      </c>
      <c r="M626" t="n">
        <v>0</v>
      </c>
      <c r="N626" t="n">
        <v>0</v>
      </c>
      <c r="O626" t="n">
        <v>0</v>
      </c>
      <c r="P626" t="n">
        <v>0</v>
      </c>
      <c r="Q626" t="n">
        <v>0</v>
      </c>
      <c r="R626" s="2" t="inlineStr"/>
    </row>
    <row r="627" ht="15" customHeight="1">
      <c r="A627" t="inlineStr">
        <is>
          <t>A 17157-2024</t>
        </is>
      </c>
      <c r="B627" s="1" t="n">
        <v>45412.70567129629</v>
      </c>
      <c r="C627" s="1" t="n">
        <v>46042</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37154-2023</t>
        </is>
      </c>
      <c r="B628" s="1" t="n">
        <v>45155</v>
      </c>
      <c r="C628" s="1" t="n">
        <v>46042</v>
      </c>
      <c r="D628" t="inlineStr">
        <is>
          <t>ÖSTERGÖTLANDS LÄN</t>
        </is>
      </c>
      <c r="E628" t="inlineStr">
        <is>
          <t>LINKÖPING</t>
        </is>
      </c>
      <c r="G628" t="n">
        <v>1.7</v>
      </c>
      <c r="H628" t="n">
        <v>0</v>
      </c>
      <c r="I628" t="n">
        <v>0</v>
      </c>
      <c r="J628" t="n">
        <v>0</v>
      </c>
      <c r="K628" t="n">
        <v>0</v>
      </c>
      <c r="L628" t="n">
        <v>0</v>
      </c>
      <c r="M628" t="n">
        <v>0</v>
      </c>
      <c r="N628" t="n">
        <v>0</v>
      </c>
      <c r="O628" t="n">
        <v>0</v>
      </c>
      <c r="P628" t="n">
        <v>0</v>
      </c>
      <c r="Q628" t="n">
        <v>0</v>
      </c>
      <c r="R628" s="2" t="inlineStr"/>
    </row>
    <row r="629" ht="15" customHeight="1">
      <c r="A629" t="inlineStr">
        <is>
          <t>A 53812-2023</t>
        </is>
      </c>
      <c r="B629" s="1" t="n">
        <v>45231.39583333334</v>
      </c>
      <c r="C629" s="1" t="n">
        <v>46042</v>
      </c>
      <c r="D629" t="inlineStr">
        <is>
          <t>ÖSTERGÖTLANDS LÄN</t>
        </is>
      </c>
      <c r="E629" t="inlineStr">
        <is>
          <t>LINKÖPING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53830-2023</t>
        </is>
      </c>
      <c r="B630" s="1" t="n">
        <v>45230</v>
      </c>
      <c r="C630" s="1" t="n">
        <v>46042</v>
      </c>
      <c r="D630" t="inlineStr">
        <is>
          <t>ÖSTERGÖTLANDS LÄN</t>
        </is>
      </c>
      <c r="E630" t="inlineStr">
        <is>
          <t>LINKÖPING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56841-2023</t>
        </is>
      </c>
      <c r="B631" s="1" t="n">
        <v>45244</v>
      </c>
      <c r="C631" s="1" t="n">
        <v>46042</v>
      </c>
      <c r="D631" t="inlineStr">
        <is>
          <t>ÖSTERGÖTLANDS LÄN</t>
        </is>
      </c>
      <c r="E631" t="inlineStr">
        <is>
          <t>LINKÖPING</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56741-2023</t>
        </is>
      </c>
      <c r="B632" s="1" t="n">
        <v>45244</v>
      </c>
      <c r="C632" s="1" t="n">
        <v>46042</v>
      </c>
      <c r="D632" t="inlineStr">
        <is>
          <t>ÖSTERGÖTLANDS LÄN</t>
        </is>
      </c>
      <c r="E632" t="inlineStr">
        <is>
          <t>LINKÖPING</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53816-2023</t>
        </is>
      </c>
      <c r="B633" s="1" t="n">
        <v>45231.40012731482</v>
      </c>
      <c r="C633" s="1" t="n">
        <v>46042</v>
      </c>
      <c r="D633" t="inlineStr">
        <is>
          <t>ÖSTERGÖTLANDS LÄN</t>
        </is>
      </c>
      <c r="E633" t="inlineStr">
        <is>
          <t>LINKÖPING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63935-2021</t>
        </is>
      </c>
      <c r="B634" s="1" t="n">
        <v>44509</v>
      </c>
      <c r="C634" s="1" t="n">
        <v>46042</v>
      </c>
      <c r="D634" t="inlineStr">
        <is>
          <t>ÖSTERGÖTLANDS LÄN</t>
        </is>
      </c>
      <c r="E634" t="inlineStr">
        <is>
          <t>LINKÖPING</t>
        </is>
      </c>
      <c r="F634" t="inlineStr">
        <is>
          <t>Övriga statliga verk och myndigheter</t>
        </is>
      </c>
      <c r="G634" t="n">
        <v>2.8</v>
      </c>
      <c r="H634" t="n">
        <v>0</v>
      </c>
      <c r="I634" t="n">
        <v>0</v>
      </c>
      <c r="J634" t="n">
        <v>0</v>
      </c>
      <c r="K634" t="n">
        <v>0</v>
      </c>
      <c r="L634" t="n">
        <v>0</v>
      </c>
      <c r="M634" t="n">
        <v>0</v>
      </c>
      <c r="N634" t="n">
        <v>0</v>
      </c>
      <c r="O634" t="n">
        <v>0</v>
      </c>
      <c r="P634" t="n">
        <v>0</v>
      </c>
      <c r="Q634" t="n">
        <v>0</v>
      </c>
      <c r="R634" s="2" t="inlineStr"/>
    </row>
    <row r="635" ht="15" customHeight="1">
      <c r="A635" t="inlineStr">
        <is>
          <t>A 6726-2024</t>
        </is>
      </c>
      <c r="B635" s="1" t="n">
        <v>45341</v>
      </c>
      <c r="C635" s="1" t="n">
        <v>46042</v>
      </c>
      <c r="D635" t="inlineStr">
        <is>
          <t>ÖSTERGÖTLANDS LÄN</t>
        </is>
      </c>
      <c r="E635" t="inlineStr">
        <is>
          <t>LINKÖPING</t>
        </is>
      </c>
      <c r="G635" t="n">
        <v>2.7</v>
      </c>
      <c r="H635" t="n">
        <v>0</v>
      </c>
      <c r="I635" t="n">
        <v>0</v>
      </c>
      <c r="J635" t="n">
        <v>0</v>
      </c>
      <c r="K635" t="n">
        <v>0</v>
      </c>
      <c r="L635" t="n">
        <v>0</v>
      </c>
      <c r="M635" t="n">
        <v>0</v>
      </c>
      <c r="N635" t="n">
        <v>0</v>
      </c>
      <c r="O635" t="n">
        <v>0</v>
      </c>
      <c r="P635" t="n">
        <v>0</v>
      </c>
      <c r="Q635" t="n">
        <v>0</v>
      </c>
      <c r="R635" s="2" t="inlineStr"/>
    </row>
    <row r="636" ht="15" customHeight="1">
      <c r="A636" t="inlineStr">
        <is>
          <t>A 3007-2023</t>
        </is>
      </c>
      <c r="B636" s="1" t="n">
        <v>44945</v>
      </c>
      <c r="C636" s="1" t="n">
        <v>46042</v>
      </c>
      <c r="D636" t="inlineStr">
        <is>
          <t>ÖSTERGÖTLANDS LÄN</t>
        </is>
      </c>
      <c r="E636" t="inlineStr">
        <is>
          <t>LINKÖPING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18145-2021</t>
        </is>
      </c>
      <c r="B637" s="1" t="n">
        <v>44302</v>
      </c>
      <c r="C637" s="1" t="n">
        <v>46042</v>
      </c>
      <c r="D637" t="inlineStr">
        <is>
          <t>ÖSTERGÖTLANDS LÄN</t>
        </is>
      </c>
      <c r="E637" t="inlineStr">
        <is>
          <t>LINKÖPING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29309-2024</t>
        </is>
      </c>
      <c r="B638" s="1" t="n">
        <v>45483</v>
      </c>
      <c r="C638" s="1" t="n">
        <v>46042</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53411-2023</t>
        </is>
      </c>
      <c r="B639" s="1" t="n">
        <v>45229.81049768518</v>
      </c>
      <c r="C639" s="1" t="n">
        <v>46042</v>
      </c>
      <c r="D639" t="inlineStr">
        <is>
          <t>ÖSTERGÖTLANDS LÄN</t>
        </is>
      </c>
      <c r="E639" t="inlineStr">
        <is>
          <t>LINKÖPING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26788-2022</t>
        </is>
      </c>
      <c r="B640" s="1" t="n">
        <v>44740</v>
      </c>
      <c r="C640" s="1" t="n">
        <v>46042</v>
      </c>
      <c r="D640" t="inlineStr">
        <is>
          <t>ÖSTERGÖTLANDS LÄN</t>
        </is>
      </c>
      <c r="E640" t="inlineStr">
        <is>
          <t>LINKÖPING</t>
        </is>
      </c>
      <c r="G640" t="n">
        <v>3.2</v>
      </c>
      <c r="H640" t="n">
        <v>0</v>
      </c>
      <c r="I640" t="n">
        <v>0</v>
      </c>
      <c r="J640" t="n">
        <v>0</v>
      </c>
      <c r="K640" t="n">
        <v>0</v>
      </c>
      <c r="L640" t="n">
        <v>0</v>
      </c>
      <c r="M640" t="n">
        <v>0</v>
      </c>
      <c r="N640" t="n">
        <v>0</v>
      </c>
      <c r="O640" t="n">
        <v>0</v>
      </c>
      <c r="P640" t="n">
        <v>0</v>
      </c>
      <c r="Q640" t="n">
        <v>0</v>
      </c>
      <c r="R640" s="2" t="inlineStr"/>
    </row>
    <row r="641" ht="15" customHeight="1">
      <c r="A641" t="inlineStr">
        <is>
          <t>A 24462-2023</t>
        </is>
      </c>
      <c r="B641" s="1" t="n">
        <v>45082</v>
      </c>
      <c r="C641" s="1" t="n">
        <v>46042</v>
      </c>
      <c r="D641" t="inlineStr">
        <is>
          <t>ÖSTERGÖTLANDS LÄN</t>
        </is>
      </c>
      <c r="E641" t="inlineStr">
        <is>
          <t>LINKÖPING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62015-2024</t>
        </is>
      </c>
      <c r="B642" s="1" t="n">
        <v>45655.80457175926</v>
      </c>
      <c r="C642" s="1" t="n">
        <v>46042</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10741-2023</t>
        </is>
      </c>
      <c r="B643" s="1" t="n">
        <v>44988.70084490741</v>
      </c>
      <c r="C643" s="1" t="n">
        <v>46042</v>
      </c>
      <c r="D643" t="inlineStr">
        <is>
          <t>ÖSTERGÖTLANDS LÄN</t>
        </is>
      </c>
      <c r="E643" t="inlineStr">
        <is>
          <t>LINKÖPING</t>
        </is>
      </c>
      <c r="F643" t="inlineStr">
        <is>
          <t>Allmännings- och besparingsskogar</t>
        </is>
      </c>
      <c r="G643" t="n">
        <v>11.2</v>
      </c>
      <c r="H643" t="n">
        <v>0</v>
      </c>
      <c r="I643" t="n">
        <v>0</v>
      </c>
      <c r="J643" t="n">
        <v>0</v>
      </c>
      <c r="K643" t="n">
        <v>0</v>
      </c>
      <c r="L643" t="n">
        <v>0</v>
      </c>
      <c r="M643" t="n">
        <v>0</v>
      </c>
      <c r="N643" t="n">
        <v>0</v>
      </c>
      <c r="O643" t="n">
        <v>0</v>
      </c>
      <c r="P643" t="n">
        <v>0</v>
      </c>
      <c r="Q643" t="n">
        <v>0</v>
      </c>
      <c r="R643" s="2" t="inlineStr"/>
    </row>
    <row r="644" ht="15" customHeight="1">
      <c r="A644" t="inlineStr">
        <is>
          <t>A 43473-2024</t>
        </is>
      </c>
      <c r="B644" s="1" t="n">
        <v>45568</v>
      </c>
      <c r="C644" s="1" t="n">
        <v>46042</v>
      </c>
      <c r="D644" t="inlineStr">
        <is>
          <t>ÖSTERGÖTLANDS LÄN</t>
        </is>
      </c>
      <c r="E644" t="inlineStr">
        <is>
          <t>LINKÖPING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43475-2024</t>
        </is>
      </c>
      <c r="B645" s="1" t="n">
        <v>45568</v>
      </c>
      <c r="C645" s="1" t="n">
        <v>46042</v>
      </c>
      <c r="D645" t="inlineStr">
        <is>
          <t>ÖSTERGÖTLANDS LÄN</t>
        </is>
      </c>
      <c r="E645" t="inlineStr">
        <is>
          <t>LINKÖPING</t>
        </is>
      </c>
      <c r="G645" t="n">
        <v>3.2</v>
      </c>
      <c r="H645" t="n">
        <v>0</v>
      </c>
      <c r="I645" t="n">
        <v>0</v>
      </c>
      <c r="J645" t="n">
        <v>0</v>
      </c>
      <c r="K645" t="n">
        <v>0</v>
      </c>
      <c r="L645" t="n">
        <v>0</v>
      </c>
      <c r="M645" t="n">
        <v>0</v>
      </c>
      <c r="N645" t="n">
        <v>0</v>
      </c>
      <c r="O645" t="n">
        <v>0</v>
      </c>
      <c r="P645" t="n">
        <v>0</v>
      </c>
      <c r="Q645" t="n">
        <v>0</v>
      </c>
      <c r="R645" s="2" t="inlineStr"/>
    </row>
    <row r="646" ht="15" customHeight="1">
      <c r="A646" t="inlineStr">
        <is>
          <t>A 1207-2023</t>
        </is>
      </c>
      <c r="B646" s="1" t="n">
        <v>44930</v>
      </c>
      <c r="C646" s="1" t="n">
        <v>46042</v>
      </c>
      <c r="D646" t="inlineStr">
        <is>
          <t>ÖSTERGÖTLANDS LÄN</t>
        </is>
      </c>
      <c r="E646" t="inlineStr">
        <is>
          <t>LINKÖPING</t>
        </is>
      </c>
      <c r="F646" t="inlineStr">
        <is>
          <t>Övriga statliga verk och myndigheter</t>
        </is>
      </c>
      <c r="G646" t="n">
        <v>32.8</v>
      </c>
      <c r="H646" t="n">
        <v>0</v>
      </c>
      <c r="I646" t="n">
        <v>0</v>
      </c>
      <c r="J646" t="n">
        <v>0</v>
      </c>
      <c r="K646" t="n">
        <v>0</v>
      </c>
      <c r="L646" t="n">
        <v>0</v>
      </c>
      <c r="M646" t="n">
        <v>0</v>
      </c>
      <c r="N646" t="n">
        <v>0</v>
      </c>
      <c r="O646" t="n">
        <v>0</v>
      </c>
      <c r="P646" t="n">
        <v>0</v>
      </c>
      <c r="Q646" t="n">
        <v>0</v>
      </c>
      <c r="R646" s="2" t="inlineStr"/>
    </row>
    <row r="647" ht="15" customHeight="1">
      <c r="A647" t="inlineStr">
        <is>
          <t>A 29859-2024</t>
        </is>
      </c>
      <c r="B647" s="1" t="n">
        <v>45485.6846412037</v>
      </c>
      <c r="C647" s="1" t="n">
        <v>46042</v>
      </c>
      <c r="D647" t="inlineStr">
        <is>
          <t>ÖSTERGÖTLANDS LÄN</t>
        </is>
      </c>
      <c r="E647" t="inlineStr">
        <is>
          <t>LINKÖPING</t>
        </is>
      </c>
      <c r="G647" t="n">
        <v>0.4</v>
      </c>
      <c r="H647" t="n">
        <v>0</v>
      </c>
      <c r="I647" t="n">
        <v>0</v>
      </c>
      <c r="J647" t="n">
        <v>0</v>
      </c>
      <c r="K647" t="n">
        <v>0</v>
      </c>
      <c r="L647" t="n">
        <v>0</v>
      </c>
      <c r="M647" t="n">
        <v>0</v>
      </c>
      <c r="N647" t="n">
        <v>0</v>
      </c>
      <c r="O647" t="n">
        <v>0</v>
      </c>
      <c r="P647" t="n">
        <v>0</v>
      </c>
      <c r="Q647" t="n">
        <v>0</v>
      </c>
      <c r="R647" s="2" t="inlineStr"/>
    </row>
    <row r="648" ht="15" customHeight="1">
      <c r="A648" t="inlineStr">
        <is>
          <t>A 45819-2024</t>
        </is>
      </c>
      <c r="B648" s="1" t="n">
        <v>45579.7454050926</v>
      </c>
      <c r="C648" s="1" t="n">
        <v>46042</v>
      </c>
      <c r="D648" t="inlineStr">
        <is>
          <t>ÖSTERGÖTLANDS LÄN</t>
        </is>
      </c>
      <c r="E648" t="inlineStr">
        <is>
          <t>LINKÖPING</t>
        </is>
      </c>
      <c r="G648" t="n">
        <v>5</v>
      </c>
      <c r="H648" t="n">
        <v>0</v>
      </c>
      <c r="I648" t="n">
        <v>0</v>
      </c>
      <c r="J648" t="n">
        <v>0</v>
      </c>
      <c r="K648" t="n">
        <v>0</v>
      </c>
      <c r="L648" t="n">
        <v>0</v>
      </c>
      <c r="M648" t="n">
        <v>0</v>
      </c>
      <c r="N648" t="n">
        <v>0</v>
      </c>
      <c r="O648" t="n">
        <v>0</v>
      </c>
      <c r="P648" t="n">
        <v>0</v>
      </c>
      <c r="Q648" t="n">
        <v>0</v>
      </c>
      <c r="R648" s="2" t="inlineStr"/>
    </row>
    <row r="649" ht="15" customHeight="1">
      <c r="A649" t="inlineStr">
        <is>
          <t>A 15748-2025</t>
        </is>
      </c>
      <c r="B649" s="1" t="n">
        <v>45748.55282407408</v>
      </c>
      <c r="C649" s="1" t="n">
        <v>46042</v>
      </c>
      <c r="D649" t="inlineStr">
        <is>
          <t>ÖSTERGÖTLANDS LÄN</t>
        </is>
      </c>
      <c r="E649" t="inlineStr">
        <is>
          <t>LINKÖPING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15754-2025</t>
        </is>
      </c>
      <c r="B650" s="1" t="n">
        <v>45748.56105324074</v>
      </c>
      <c r="C650" s="1" t="n">
        <v>46042</v>
      </c>
      <c r="D650" t="inlineStr">
        <is>
          <t>ÖSTERGÖTLANDS LÄN</t>
        </is>
      </c>
      <c r="E650" t="inlineStr">
        <is>
          <t>LINKÖPING</t>
        </is>
      </c>
      <c r="G650" t="n">
        <v>1.7</v>
      </c>
      <c r="H650" t="n">
        <v>0</v>
      </c>
      <c r="I650" t="n">
        <v>0</v>
      </c>
      <c r="J650" t="n">
        <v>0</v>
      </c>
      <c r="K650" t="n">
        <v>0</v>
      </c>
      <c r="L650" t="n">
        <v>0</v>
      </c>
      <c r="M650" t="n">
        <v>0</v>
      </c>
      <c r="N650" t="n">
        <v>0</v>
      </c>
      <c r="O650" t="n">
        <v>0</v>
      </c>
      <c r="P650" t="n">
        <v>0</v>
      </c>
      <c r="Q650" t="n">
        <v>0</v>
      </c>
      <c r="R650" s="2" t="inlineStr"/>
    </row>
    <row r="651" ht="15" customHeight="1">
      <c r="A651" t="inlineStr">
        <is>
          <t>A 30518-2024</t>
        </is>
      </c>
      <c r="B651" s="1" t="n">
        <v>45492</v>
      </c>
      <c r="C651" s="1" t="n">
        <v>46042</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53797-2023</t>
        </is>
      </c>
      <c r="B652" s="1" t="n">
        <v>45230</v>
      </c>
      <c r="C652" s="1" t="n">
        <v>46042</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55345-2021</t>
        </is>
      </c>
      <c r="B653" s="1" t="n">
        <v>44475</v>
      </c>
      <c r="C653" s="1" t="n">
        <v>46042</v>
      </c>
      <c r="D653" t="inlineStr">
        <is>
          <t>ÖSTERGÖTLANDS LÄN</t>
        </is>
      </c>
      <c r="E653" t="inlineStr">
        <is>
          <t>LINKÖPING</t>
        </is>
      </c>
      <c r="G653" t="n">
        <v>5.7</v>
      </c>
      <c r="H653" t="n">
        <v>0</v>
      </c>
      <c r="I653" t="n">
        <v>0</v>
      </c>
      <c r="J653" t="n">
        <v>0</v>
      </c>
      <c r="K653" t="n">
        <v>0</v>
      </c>
      <c r="L653" t="n">
        <v>0</v>
      </c>
      <c r="M653" t="n">
        <v>0</v>
      </c>
      <c r="N653" t="n">
        <v>0</v>
      </c>
      <c r="O653" t="n">
        <v>0</v>
      </c>
      <c r="P653" t="n">
        <v>0</v>
      </c>
      <c r="Q653" t="n">
        <v>0</v>
      </c>
      <c r="R653" s="2" t="inlineStr"/>
    </row>
    <row r="654" ht="15" customHeight="1">
      <c r="A654" t="inlineStr">
        <is>
          <t>A 10198-2023</t>
        </is>
      </c>
      <c r="B654" s="1" t="n">
        <v>44986.54665509259</v>
      </c>
      <c r="C654" s="1" t="n">
        <v>46042</v>
      </c>
      <c r="D654" t="inlineStr">
        <is>
          <t>ÖSTERGÖTLANDS LÄN</t>
        </is>
      </c>
      <c r="E654" t="inlineStr">
        <is>
          <t>LINKÖPING</t>
        </is>
      </c>
      <c r="G654" t="n">
        <v>4.6</v>
      </c>
      <c r="H654" t="n">
        <v>0</v>
      </c>
      <c r="I654" t="n">
        <v>0</v>
      </c>
      <c r="J654" t="n">
        <v>0</v>
      </c>
      <c r="K654" t="n">
        <v>0</v>
      </c>
      <c r="L654" t="n">
        <v>0</v>
      </c>
      <c r="M654" t="n">
        <v>0</v>
      </c>
      <c r="N654" t="n">
        <v>0</v>
      </c>
      <c r="O654" t="n">
        <v>0</v>
      </c>
      <c r="P654" t="n">
        <v>0</v>
      </c>
      <c r="Q654" t="n">
        <v>0</v>
      </c>
      <c r="R654" s="2" t="inlineStr"/>
    </row>
    <row r="655" ht="15" customHeight="1">
      <c r="A655" t="inlineStr">
        <is>
          <t>A 4298-2023</t>
        </is>
      </c>
      <c r="B655" s="1" t="n">
        <v>44953</v>
      </c>
      <c r="C655" s="1" t="n">
        <v>46042</v>
      </c>
      <c r="D655" t="inlineStr">
        <is>
          <t>ÖSTERGÖTLANDS LÄN</t>
        </is>
      </c>
      <c r="E655" t="inlineStr">
        <is>
          <t>LINKÖPING</t>
        </is>
      </c>
      <c r="G655" t="n">
        <v>2.8</v>
      </c>
      <c r="H655" t="n">
        <v>0</v>
      </c>
      <c r="I655" t="n">
        <v>0</v>
      </c>
      <c r="J655" t="n">
        <v>0</v>
      </c>
      <c r="K655" t="n">
        <v>0</v>
      </c>
      <c r="L655" t="n">
        <v>0</v>
      </c>
      <c r="M655" t="n">
        <v>0</v>
      </c>
      <c r="N655" t="n">
        <v>0</v>
      </c>
      <c r="O655" t="n">
        <v>0</v>
      </c>
      <c r="P655" t="n">
        <v>0</v>
      </c>
      <c r="Q655" t="n">
        <v>0</v>
      </c>
      <c r="R655" s="2" t="inlineStr"/>
    </row>
    <row r="656" ht="15" customHeight="1">
      <c r="A656" t="inlineStr">
        <is>
          <t>A 12428-2024</t>
        </is>
      </c>
      <c r="B656" s="1" t="n">
        <v>45379</v>
      </c>
      <c r="C656" s="1" t="n">
        <v>46042</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26618-2023</t>
        </is>
      </c>
      <c r="B657" s="1" t="n">
        <v>45092.70306712963</v>
      </c>
      <c r="C657" s="1" t="n">
        <v>46042</v>
      </c>
      <c r="D657" t="inlineStr">
        <is>
          <t>ÖSTERGÖTLANDS LÄN</t>
        </is>
      </c>
      <c r="E657" t="inlineStr">
        <is>
          <t>LINKÖPING</t>
        </is>
      </c>
      <c r="G657" t="n">
        <v>6.9</v>
      </c>
      <c r="H657" t="n">
        <v>0</v>
      </c>
      <c r="I657" t="n">
        <v>0</v>
      </c>
      <c r="J657" t="n">
        <v>0</v>
      </c>
      <c r="K657" t="n">
        <v>0</v>
      </c>
      <c r="L657" t="n">
        <v>0</v>
      </c>
      <c r="M657" t="n">
        <v>0</v>
      </c>
      <c r="N657" t="n">
        <v>0</v>
      </c>
      <c r="O657" t="n">
        <v>0</v>
      </c>
      <c r="P657" t="n">
        <v>0</v>
      </c>
      <c r="Q657" t="n">
        <v>0</v>
      </c>
      <c r="R657" s="2" t="inlineStr"/>
    </row>
    <row r="658" ht="15" customHeight="1">
      <c r="A658" t="inlineStr">
        <is>
          <t>A 34930-2023</t>
        </is>
      </c>
      <c r="B658" s="1" t="n">
        <v>45142</v>
      </c>
      <c r="C658" s="1" t="n">
        <v>46042</v>
      </c>
      <c r="D658" t="inlineStr">
        <is>
          <t>ÖSTERGÖTLANDS LÄN</t>
        </is>
      </c>
      <c r="E658" t="inlineStr">
        <is>
          <t>LINKÖPING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670-2024</t>
        </is>
      </c>
      <c r="B659" s="1" t="n">
        <v>45300.3408912037</v>
      </c>
      <c r="C659" s="1" t="n">
        <v>46042</v>
      </c>
      <c r="D659" t="inlineStr">
        <is>
          <t>ÖSTERGÖTLANDS LÄN</t>
        </is>
      </c>
      <c r="E659" t="inlineStr">
        <is>
          <t>LINKÖPING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63845-2021</t>
        </is>
      </c>
      <c r="B660" s="1" t="n">
        <v>44509</v>
      </c>
      <c r="C660" s="1" t="n">
        <v>46042</v>
      </c>
      <c r="D660" t="inlineStr">
        <is>
          <t>ÖSTERGÖTLANDS LÄN</t>
        </is>
      </c>
      <c r="E660" t="inlineStr">
        <is>
          <t>LINKÖPING</t>
        </is>
      </c>
      <c r="G660" t="n">
        <v>5</v>
      </c>
      <c r="H660" t="n">
        <v>0</v>
      </c>
      <c r="I660" t="n">
        <v>0</v>
      </c>
      <c r="J660" t="n">
        <v>0</v>
      </c>
      <c r="K660" t="n">
        <v>0</v>
      </c>
      <c r="L660" t="n">
        <v>0</v>
      </c>
      <c r="M660" t="n">
        <v>0</v>
      </c>
      <c r="N660" t="n">
        <v>0</v>
      </c>
      <c r="O660" t="n">
        <v>0</v>
      </c>
      <c r="P660" t="n">
        <v>0</v>
      </c>
      <c r="Q660" t="n">
        <v>0</v>
      </c>
      <c r="R660" s="2" t="inlineStr"/>
    </row>
    <row r="661" ht="15" customHeight="1">
      <c r="A661" t="inlineStr">
        <is>
          <t>A 54034-2022</t>
        </is>
      </c>
      <c r="B661" s="1" t="n">
        <v>44881</v>
      </c>
      <c r="C661" s="1" t="n">
        <v>46042</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36336-2023</t>
        </is>
      </c>
      <c r="B662" s="1" t="n">
        <v>45152.45078703704</v>
      </c>
      <c r="C662" s="1" t="n">
        <v>46042</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48829-2023</t>
        </is>
      </c>
      <c r="B663" s="1" t="n">
        <v>45209.38177083333</v>
      </c>
      <c r="C663" s="1" t="n">
        <v>46042</v>
      </c>
      <c r="D663" t="inlineStr">
        <is>
          <t>ÖSTERGÖTLANDS LÄN</t>
        </is>
      </c>
      <c r="E663" t="inlineStr">
        <is>
          <t>LINKÖPING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48186-2022</t>
        </is>
      </c>
      <c r="B664" s="1" t="n">
        <v>44858</v>
      </c>
      <c r="C664" s="1" t="n">
        <v>46042</v>
      </c>
      <c r="D664" t="inlineStr">
        <is>
          <t>ÖSTERGÖTLANDS LÄN</t>
        </is>
      </c>
      <c r="E664" t="inlineStr">
        <is>
          <t>LINKÖPING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63669-2023</t>
        </is>
      </c>
      <c r="B665" s="1" t="n">
        <v>45275</v>
      </c>
      <c r="C665" s="1" t="n">
        <v>46042</v>
      </c>
      <c r="D665" t="inlineStr">
        <is>
          <t>ÖSTERGÖTLANDS LÄN</t>
        </is>
      </c>
      <c r="E665" t="inlineStr">
        <is>
          <t>LINKÖPING</t>
        </is>
      </c>
      <c r="F665" t="inlineStr">
        <is>
          <t>Övriga Aktiebolag</t>
        </is>
      </c>
      <c r="G665" t="n">
        <v>3</v>
      </c>
      <c r="H665" t="n">
        <v>0</v>
      </c>
      <c r="I665" t="n">
        <v>0</v>
      </c>
      <c r="J665" t="n">
        <v>0</v>
      </c>
      <c r="K665" t="n">
        <v>0</v>
      </c>
      <c r="L665" t="n">
        <v>0</v>
      </c>
      <c r="M665" t="n">
        <v>0</v>
      </c>
      <c r="N665" t="n">
        <v>0</v>
      </c>
      <c r="O665" t="n">
        <v>0</v>
      </c>
      <c r="P665" t="n">
        <v>0</v>
      </c>
      <c r="Q665" t="n">
        <v>0</v>
      </c>
      <c r="R665" s="2" t="inlineStr"/>
    </row>
    <row r="666" ht="15" customHeight="1">
      <c r="A666" t="inlineStr">
        <is>
          <t>A 24586-2024</t>
        </is>
      </c>
      <c r="B666" s="1" t="n">
        <v>45460.46664351852</v>
      </c>
      <c r="C666" s="1" t="n">
        <v>46042</v>
      </c>
      <c r="D666" t="inlineStr">
        <is>
          <t>ÖSTERGÖTLANDS LÄN</t>
        </is>
      </c>
      <c r="E666" t="inlineStr">
        <is>
          <t>LINKÖPING</t>
        </is>
      </c>
      <c r="G666" t="n">
        <v>4</v>
      </c>
      <c r="H666" t="n">
        <v>0</v>
      </c>
      <c r="I666" t="n">
        <v>0</v>
      </c>
      <c r="J666" t="n">
        <v>0</v>
      </c>
      <c r="K666" t="n">
        <v>0</v>
      </c>
      <c r="L666" t="n">
        <v>0</v>
      </c>
      <c r="M666" t="n">
        <v>0</v>
      </c>
      <c r="N666" t="n">
        <v>0</v>
      </c>
      <c r="O666" t="n">
        <v>0</v>
      </c>
      <c r="P666" t="n">
        <v>0</v>
      </c>
      <c r="Q666" t="n">
        <v>0</v>
      </c>
      <c r="R666" s="2" t="inlineStr"/>
    </row>
    <row r="667" ht="15" customHeight="1">
      <c r="A667" t="inlineStr">
        <is>
          <t>A 59576-2024</t>
        </is>
      </c>
      <c r="B667" s="1" t="n">
        <v>45638.66378472222</v>
      </c>
      <c r="C667" s="1" t="n">
        <v>46042</v>
      </c>
      <c r="D667" t="inlineStr">
        <is>
          <t>ÖSTERGÖTLANDS LÄN</t>
        </is>
      </c>
      <c r="E667" t="inlineStr">
        <is>
          <t>LINKÖPING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59642-2024</t>
        </is>
      </c>
      <c r="B668" s="1" t="n">
        <v>45639.31511574074</v>
      </c>
      <c r="C668" s="1" t="n">
        <v>46042</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59674-2024</t>
        </is>
      </c>
      <c r="B669" s="1" t="n">
        <v>45639</v>
      </c>
      <c r="C669" s="1" t="n">
        <v>46042</v>
      </c>
      <c r="D669" t="inlineStr">
        <is>
          <t>ÖSTERGÖTLANDS LÄN</t>
        </is>
      </c>
      <c r="E669" t="inlineStr">
        <is>
          <t>LINKÖPING</t>
        </is>
      </c>
      <c r="G669" t="n">
        <v>6.3</v>
      </c>
      <c r="H669" t="n">
        <v>0</v>
      </c>
      <c r="I669" t="n">
        <v>0</v>
      </c>
      <c r="J669" t="n">
        <v>0</v>
      </c>
      <c r="K669" t="n">
        <v>0</v>
      </c>
      <c r="L669" t="n">
        <v>0</v>
      </c>
      <c r="M669" t="n">
        <v>0</v>
      </c>
      <c r="N669" t="n">
        <v>0</v>
      </c>
      <c r="O669" t="n">
        <v>0</v>
      </c>
      <c r="P669" t="n">
        <v>0</v>
      </c>
      <c r="Q669" t="n">
        <v>0</v>
      </c>
      <c r="R669" s="2" t="inlineStr"/>
    </row>
    <row r="670" ht="15" customHeight="1">
      <c r="A670" t="inlineStr">
        <is>
          <t>A 3742-2021</t>
        </is>
      </c>
      <c r="B670" s="1" t="n">
        <v>44221</v>
      </c>
      <c r="C670" s="1" t="n">
        <v>46042</v>
      </c>
      <c r="D670" t="inlineStr">
        <is>
          <t>ÖSTERGÖTLANDS LÄN</t>
        </is>
      </c>
      <c r="E670" t="inlineStr">
        <is>
          <t>LINKÖPING</t>
        </is>
      </c>
      <c r="G670" t="n">
        <v>5.5</v>
      </c>
      <c r="H670" t="n">
        <v>0</v>
      </c>
      <c r="I670" t="n">
        <v>0</v>
      </c>
      <c r="J670" t="n">
        <v>0</v>
      </c>
      <c r="K670" t="n">
        <v>0</v>
      </c>
      <c r="L670" t="n">
        <v>0</v>
      </c>
      <c r="M670" t="n">
        <v>0</v>
      </c>
      <c r="N670" t="n">
        <v>0</v>
      </c>
      <c r="O670" t="n">
        <v>0</v>
      </c>
      <c r="P670" t="n">
        <v>0</v>
      </c>
      <c r="Q670" t="n">
        <v>0</v>
      </c>
      <c r="R670" s="2" t="inlineStr"/>
    </row>
    <row r="671" ht="15" customHeight="1">
      <c r="A671" t="inlineStr">
        <is>
          <t>A 18916-2024</t>
        </is>
      </c>
      <c r="B671" s="1" t="n">
        <v>45427.39541666667</v>
      </c>
      <c r="C671" s="1" t="n">
        <v>46042</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11084-2022</t>
        </is>
      </c>
      <c r="B672" s="1" t="n">
        <v>44628</v>
      </c>
      <c r="C672" s="1" t="n">
        <v>46042</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10203-2023</t>
        </is>
      </c>
      <c r="B673" s="1" t="n">
        <v>44986.55711805556</v>
      </c>
      <c r="C673" s="1" t="n">
        <v>46042</v>
      </c>
      <c r="D673" t="inlineStr">
        <is>
          <t>ÖSTERGÖTLANDS LÄN</t>
        </is>
      </c>
      <c r="E673" t="inlineStr">
        <is>
          <t>LINKÖPING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2618-2023</t>
        </is>
      </c>
      <c r="B674" s="1" t="n">
        <v>44944.35847222222</v>
      </c>
      <c r="C674" s="1" t="n">
        <v>46042</v>
      </c>
      <c r="D674" t="inlineStr">
        <is>
          <t>ÖSTERGÖTLANDS LÄN</t>
        </is>
      </c>
      <c r="E674" t="inlineStr">
        <is>
          <t>LINKÖPING</t>
        </is>
      </c>
      <c r="G674" t="n">
        <v>4.3</v>
      </c>
      <c r="H674" t="n">
        <v>0</v>
      </c>
      <c r="I674" t="n">
        <v>0</v>
      </c>
      <c r="J674" t="n">
        <v>0</v>
      </c>
      <c r="K674" t="n">
        <v>0</v>
      </c>
      <c r="L674" t="n">
        <v>0</v>
      </c>
      <c r="M674" t="n">
        <v>0</v>
      </c>
      <c r="N674" t="n">
        <v>0</v>
      </c>
      <c r="O674" t="n">
        <v>0</v>
      </c>
      <c r="P674" t="n">
        <v>0</v>
      </c>
      <c r="Q674" t="n">
        <v>0</v>
      </c>
      <c r="R674" s="2" t="inlineStr"/>
    </row>
    <row r="675" ht="15" customHeight="1">
      <c r="A675" t="inlineStr">
        <is>
          <t>A 62020-2024</t>
        </is>
      </c>
      <c r="B675" s="1" t="n">
        <v>45655.83563657408</v>
      </c>
      <c r="C675" s="1" t="n">
        <v>46042</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62021-2024</t>
        </is>
      </c>
      <c r="B676" s="1" t="n">
        <v>45655.84232638889</v>
      </c>
      <c r="C676" s="1" t="n">
        <v>46042</v>
      </c>
      <c r="D676" t="inlineStr">
        <is>
          <t>ÖSTERGÖTLANDS LÄN</t>
        </is>
      </c>
      <c r="E676" t="inlineStr">
        <is>
          <t>LINKÖPING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1362-2023</t>
        </is>
      </c>
      <c r="B677" s="1" t="n">
        <v>44931</v>
      </c>
      <c r="C677" s="1" t="n">
        <v>46042</v>
      </c>
      <c r="D677" t="inlineStr">
        <is>
          <t>ÖSTERGÖTLANDS LÄN</t>
        </is>
      </c>
      <c r="E677" t="inlineStr">
        <is>
          <t>LINKÖPING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49928-2024</t>
        </is>
      </c>
      <c r="B678" s="1" t="n">
        <v>45597.57811342592</v>
      </c>
      <c r="C678" s="1" t="n">
        <v>46042</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3627-2023</t>
        </is>
      </c>
      <c r="B679" s="1" t="n">
        <v>44950.64782407408</v>
      </c>
      <c r="C679" s="1" t="n">
        <v>46042</v>
      </c>
      <c r="D679" t="inlineStr">
        <is>
          <t>ÖSTERGÖTLANDS LÄN</t>
        </is>
      </c>
      <c r="E679" t="inlineStr">
        <is>
          <t>LINKÖPING</t>
        </is>
      </c>
      <c r="G679" t="n">
        <v>3.1</v>
      </c>
      <c r="H679" t="n">
        <v>0</v>
      </c>
      <c r="I679" t="n">
        <v>0</v>
      </c>
      <c r="J679" t="n">
        <v>0</v>
      </c>
      <c r="K679" t="n">
        <v>0</v>
      </c>
      <c r="L679" t="n">
        <v>0</v>
      </c>
      <c r="M679" t="n">
        <v>0</v>
      </c>
      <c r="N679" t="n">
        <v>0</v>
      </c>
      <c r="O679" t="n">
        <v>0</v>
      </c>
      <c r="P679" t="n">
        <v>0</v>
      </c>
      <c r="Q679" t="n">
        <v>0</v>
      </c>
      <c r="R679" s="2" t="inlineStr"/>
    </row>
    <row r="680" ht="15" customHeight="1">
      <c r="A680" t="inlineStr">
        <is>
          <t>A 51405-2023</t>
        </is>
      </c>
      <c r="B680" s="1" t="n">
        <v>45219</v>
      </c>
      <c r="C680" s="1" t="n">
        <v>46042</v>
      </c>
      <c r="D680" t="inlineStr">
        <is>
          <t>ÖSTERGÖTLANDS LÄN</t>
        </is>
      </c>
      <c r="E680" t="inlineStr">
        <is>
          <t>LINKÖPING</t>
        </is>
      </c>
      <c r="F680" t="inlineStr">
        <is>
          <t>Övriga Aktiebolag</t>
        </is>
      </c>
      <c r="G680" t="n">
        <v>3</v>
      </c>
      <c r="H680" t="n">
        <v>0</v>
      </c>
      <c r="I680" t="n">
        <v>0</v>
      </c>
      <c r="J680" t="n">
        <v>0</v>
      </c>
      <c r="K680" t="n">
        <v>0</v>
      </c>
      <c r="L680" t="n">
        <v>0</v>
      </c>
      <c r="M680" t="n">
        <v>0</v>
      </c>
      <c r="N680" t="n">
        <v>0</v>
      </c>
      <c r="O680" t="n">
        <v>0</v>
      </c>
      <c r="P680" t="n">
        <v>0</v>
      </c>
      <c r="Q680" t="n">
        <v>0</v>
      </c>
      <c r="R680" s="2" t="inlineStr"/>
    </row>
    <row r="681" ht="15" customHeight="1">
      <c r="A681" t="inlineStr">
        <is>
          <t>A 11601-2023</t>
        </is>
      </c>
      <c r="B681" s="1" t="n">
        <v>44994</v>
      </c>
      <c r="C681" s="1" t="n">
        <v>46042</v>
      </c>
      <c r="D681" t="inlineStr">
        <is>
          <t>ÖSTERGÖTLANDS LÄN</t>
        </is>
      </c>
      <c r="E681" t="inlineStr">
        <is>
          <t>LINKÖPING</t>
        </is>
      </c>
      <c r="G681" t="n">
        <v>1.7</v>
      </c>
      <c r="H681" t="n">
        <v>0</v>
      </c>
      <c r="I681" t="n">
        <v>0</v>
      </c>
      <c r="J681" t="n">
        <v>0</v>
      </c>
      <c r="K681" t="n">
        <v>0</v>
      </c>
      <c r="L681" t="n">
        <v>0</v>
      </c>
      <c r="M681" t="n">
        <v>0</v>
      </c>
      <c r="N681" t="n">
        <v>0</v>
      </c>
      <c r="O681" t="n">
        <v>0</v>
      </c>
      <c r="P681" t="n">
        <v>0</v>
      </c>
      <c r="Q681" t="n">
        <v>0</v>
      </c>
      <c r="R681" s="2" t="inlineStr"/>
    </row>
    <row r="682" ht="15" customHeight="1">
      <c r="A682" t="inlineStr">
        <is>
          <t>A 40338-2024</t>
        </is>
      </c>
      <c r="B682" s="1" t="n">
        <v>45555.32940972222</v>
      </c>
      <c r="C682" s="1" t="n">
        <v>46042</v>
      </c>
      <c r="D682" t="inlineStr">
        <is>
          <t>ÖSTERGÖTLANDS LÄN</t>
        </is>
      </c>
      <c r="E682" t="inlineStr">
        <is>
          <t>LINKÖPING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167-2024</t>
        </is>
      </c>
      <c r="B683" s="1" t="n">
        <v>45294</v>
      </c>
      <c r="C683" s="1" t="n">
        <v>46042</v>
      </c>
      <c r="D683" t="inlineStr">
        <is>
          <t>ÖSTERGÖTLANDS LÄN</t>
        </is>
      </c>
      <c r="E683" t="inlineStr">
        <is>
          <t>LINKÖPING</t>
        </is>
      </c>
      <c r="F683" t="inlineStr">
        <is>
          <t>Allmännings- och besparingsskogar</t>
        </is>
      </c>
      <c r="G683" t="n">
        <v>11.6</v>
      </c>
      <c r="H683" t="n">
        <v>0</v>
      </c>
      <c r="I683" t="n">
        <v>0</v>
      </c>
      <c r="J683" t="n">
        <v>0</v>
      </c>
      <c r="K683" t="n">
        <v>0</v>
      </c>
      <c r="L683" t="n">
        <v>0</v>
      </c>
      <c r="M683" t="n">
        <v>0</v>
      </c>
      <c r="N683" t="n">
        <v>0</v>
      </c>
      <c r="O683" t="n">
        <v>0</v>
      </c>
      <c r="P683" t="n">
        <v>0</v>
      </c>
      <c r="Q683" t="n">
        <v>0</v>
      </c>
      <c r="R683" s="2" t="inlineStr"/>
    </row>
    <row r="684" ht="15" customHeight="1">
      <c r="A684" t="inlineStr">
        <is>
          <t>A 27186-2021</t>
        </is>
      </c>
      <c r="B684" s="1" t="n">
        <v>44350.67715277777</v>
      </c>
      <c r="C684" s="1" t="n">
        <v>46042</v>
      </c>
      <c r="D684" t="inlineStr">
        <is>
          <t>ÖSTERGÖTLANDS LÄN</t>
        </is>
      </c>
      <c r="E684" t="inlineStr">
        <is>
          <t>LINKÖPING</t>
        </is>
      </c>
      <c r="F684" t="inlineStr">
        <is>
          <t>Allmännings- och besparingsskogar</t>
        </is>
      </c>
      <c r="G684" t="n">
        <v>1.4</v>
      </c>
      <c r="H684" t="n">
        <v>0</v>
      </c>
      <c r="I684" t="n">
        <v>0</v>
      </c>
      <c r="J684" t="n">
        <v>0</v>
      </c>
      <c r="K684" t="n">
        <v>0</v>
      </c>
      <c r="L684" t="n">
        <v>0</v>
      </c>
      <c r="M684" t="n">
        <v>0</v>
      </c>
      <c r="N684" t="n">
        <v>0</v>
      </c>
      <c r="O684" t="n">
        <v>0</v>
      </c>
      <c r="P684" t="n">
        <v>0</v>
      </c>
      <c r="Q684" t="n">
        <v>0</v>
      </c>
      <c r="R684" s="2" t="inlineStr"/>
    </row>
    <row r="685" ht="15" customHeight="1">
      <c r="A685" t="inlineStr">
        <is>
          <t>A 7343-2025</t>
        </is>
      </c>
      <c r="B685" s="1" t="n">
        <v>45703.67853009259</v>
      </c>
      <c r="C685" s="1" t="n">
        <v>46042</v>
      </c>
      <c r="D685" t="inlineStr">
        <is>
          <t>ÖSTERGÖTLANDS LÄN</t>
        </is>
      </c>
      <c r="E685" t="inlineStr">
        <is>
          <t>LINKÖPING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48271-2023</t>
        </is>
      </c>
      <c r="B686" s="1" t="n">
        <v>45205</v>
      </c>
      <c r="C686" s="1" t="n">
        <v>46042</v>
      </c>
      <c r="D686" t="inlineStr">
        <is>
          <t>ÖSTERGÖTLANDS LÄN</t>
        </is>
      </c>
      <c r="E686" t="inlineStr">
        <is>
          <t>LINKÖPING</t>
        </is>
      </c>
      <c r="G686" t="n">
        <v>3</v>
      </c>
      <c r="H686" t="n">
        <v>0</v>
      </c>
      <c r="I686" t="n">
        <v>0</v>
      </c>
      <c r="J686" t="n">
        <v>0</v>
      </c>
      <c r="K686" t="n">
        <v>0</v>
      </c>
      <c r="L686" t="n">
        <v>0</v>
      </c>
      <c r="M686" t="n">
        <v>0</v>
      </c>
      <c r="N686" t="n">
        <v>0</v>
      </c>
      <c r="O686" t="n">
        <v>0</v>
      </c>
      <c r="P686" t="n">
        <v>0</v>
      </c>
      <c r="Q686" t="n">
        <v>0</v>
      </c>
      <c r="R686" s="2" t="inlineStr"/>
    </row>
    <row r="687" ht="15" customHeight="1">
      <c r="A687" t="inlineStr">
        <is>
          <t>A 12720-2022</t>
        </is>
      </c>
      <c r="B687" s="1" t="n">
        <v>44641</v>
      </c>
      <c r="C687" s="1" t="n">
        <v>46042</v>
      </c>
      <c r="D687" t="inlineStr">
        <is>
          <t>ÖSTERGÖTLANDS LÄN</t>
        </is>
      </c>
      <c r="E687" t="inlineStr">
        <is>
          <t>LINKÖPING</t>
        </is>
      </c>
      <c r="F687" t="inlineStr">
        <is>
          <t>Övriga Aktiebolag</t>
        </is>
      </c>
      <c r="G687" t="n">
        <v>2</v>
      </c>
      <c r="H687" t="n">
        <v>0</v>
      </c>
      <c r="I687" t="n">
        <v>0</v>
      </c>
      <c r="J687" t="n">
        <v>0</v>
      </c>
      <c r="K687" t="n">
        <v>0</v>
      </c>
      <c r="L687" t="n">
        <v>0</v>
      </c>
      <c r="M687" t="n">
        <v>0</v>
      </c>
      <c r="N687" t="n">
        <v>0</v>
      </c>
      <c r="O687" t="n">
        <v>0</v>
      </c>
      <c r="P687" t="n">
        <v>0</v>
      </c>
      <c r="Q687" t="n">
        <v>0</v>
      </c>
      <c r="R687" s="2" t="inlineStr"/>
    </row>
    <row r="688" ht="15" customHeight="1">
      <c r="A688" t="inlineStr">
        <is>
          <t>A 62018-2024</t>
        </is>
      </c>
      <c r="B688" s="1" t="n">
        <v>45655.81387731482</v>
      </c>
      <c r="C688" s="1" t="n">
        <v>46042</v>
      </c>
      <c r="D688" t="inlineStr">
        <is>
          <t>ÖSTERGÖTLANDS LÄN</t>
        </is>
      </c>
      <c r="E688" t="inlineStr">
        <is>
          <t>LINKÖPING</t>
        </is>
      </c>
      <c r="G688" t="n">
        <v>1.3</v>
      </c>
      <c r="H688" t="n">
        <v>0</v>
      </c>
      <c r="I688" t="n">
        <v>0</v>
      </c>
      <c r="J688" t="n">
        <v>0</v>
      </c>
      <c r="K688" t="n">
        <v>0</v>
      </c>
      <c r="L688" t="n">
        <v>0</v>
      </c>
      <c r="M688" t="n">
        <v>0</v>
      </c>
      <c r="N688" t="n">
        <v>0</v>
      </c>
      <c r="O688" t="n">
        <v>0</v>
      </c>
      <c r="P688" t="n">
        <v>0</v>
      </c>
      <c r="Q688" t="n">
        <v>0</v>
      </c>
      <c r="R688" s="2" t="inlineStr"/>
    </row>
    <row r="689" ht="15" customHeight="1">
      <c r="A689" t="inlineStr">
        <is>
          <t>A 30551-2023</t>
        </is>
      </c>
      <c r="B689" s="1" t="n">
        <v>45111</v>
      </c>
      <c r="C689" s="1" t="n">
        <v>46042</v>
      </c>
      <c r="D689" t="inlineStr">
        <is>
          <t>ÖSTERGÖTLANDS LÄN</t>
        </is>
      </c>
      <c r="E689" t="inlineStr">
        <is>
          <t>LINKÖPING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30860-2022</t>
        </is>
      </c>
      <c r="B690" s="1" t="n">
        <v>44767</v>
      </c>
      <c r="C690" s="1" t="n">
        <v>46042</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60004-2022</t>
        </is>
      </c>
      <c r="B691" s="1" t="n">
        <v>44909.47206018519</v>
      </c>
      <c r="C691" s="1" t="n">
        <v>46042</v>
      </c>
      <c r="D691" t="inlineStr">
        <is>
          <t>ÖSTERGÖTLANDS LÄN</t>
        </is>
      </c>
      <c r="E691" t="inlineStr">
        <is>
          <t>LINKÖPING</t>
        </is>
      </c>
      <c r="G691" t="n">
        <v>2.2</v>
      </c>
      <c r="H691" t="n">
        <v>0</v>
      </c>
      <c r="I691" t="n">
        <v>0</v>
      </c>
      <c r="J691" t="n">
        <v>0</v>
      </c>
      <c r="K691" t="n">
        <v>0</v>
      </c>
      <c r="L691" t="n">
        <v>0</v>
      </c>
      <c r="M691" t="n">
        <v>0</v>
      </c>
      <c r="N691" t="n">
        <v>0</v>
      </c>
      <c r="O691" t="n">
        <v>0</v>
      </c>
      <c r="P691" t="n">
        <v>0</v>
      </c>
      <c r="Q691" t="n">
        <v>0</v>
      </c>
      <c r="R691" s="2" t="inlineStr"/>
    </row>
    <row r="692" ht="15" customHeight="1">
      <c r="A692" t="inlineStr">
        <is>
          <t>A 60010-2022</t>
        </is>
      </c>
      <c r="B692" s="1" t="n">
        <v>44909.4740625</v>
      </c>
      <c r="C692" s="1" t="n">
        <v>46042</v>
      </c>
      <c r="D692" t="inlineStr">
        <is>
          <t>ÖSTERGÖTLANDS LÄN</t>
        </is>
      </c>
      <c r="E692" t="inlineStr">
        <is>
          <t>LINKÖPING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53827-2023</t>
        </is>
      </c>
      <c r="B693" s="1" t="n">
        <v>45230</v>
      </c>
      <c r="C693" s="1" t="n">
        <v>46042</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4256-2022</t>
        </is>
      </c>
      <c r="B694" s="1" t="n">
        <v>44588</v>
      </c>
      <c r="C694" s="1" t="n">
        <v>46042</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61649-2023</t>
        </is>
      </c>
      <c r="B695" s="1" t="n">
        <v>45265</v>
      </c>
      <c r="C695" s="1" t="n">
        <v>46042</v>
      </c>
      <c r="D695" t="inlineStr">
        <is>
          <t>ÖSTERGÖTLANDS LÄN</t>
        </is>
      </c>
      <c r="E695" t="inlineStr">
        <is>
          <t>LINKÖPING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223-2024</t>
        </is>
      </c>
      <c r="B696" s="1" t="n">
        <v>45294.72739583333</v>
      </c>
      <c r="C696" s="1" t="n">
        <v>46042</v>
      </c>
      <c r="D696" t="inlineStr">
        <is>
          <t>ÖSTERGÖTLANDS LÄN</t>
        </is>
      </c>
      <c r="E696" t="inlineStr">
        <is>
          <t>LINKÖPING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19464-2024</t>
        </is>
      </c>
      <c r="B697" s="1" t="n">
        <v>45429</v>
      </c>
      <c r="C697" s="1" t="n">
        <v>46042</v>
      </c>
      <c r="D697" t="inlineStr">
        <is>
          <t>ÖSTERGÖTLANDS LÄN</t>
        </is>
      </c>
      <c r="E697" t="inlineStr">
        <is>
          <t>LINKÖPING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630-2024</t>
        </is>
      </c>
      <c r="B698" s="1" t="n">
        <v>45299.67736111111</v>
      </c>
      <c r="C698" s="1" t="n">
        <v>46042</v>
      </c>
      <c r="D698" t="inlineStr">
        <is>
          <t>ÖSTERGÖTLANDS LÄN</t>
        </is>
      </c>
      <c r="E698" t="inlineStr">
        <is>
          <t>LINKÖPING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30433-2024</t>
        </is>
      </c>
      <c r="B699" s="1" t="n">
        <v>45491.69741898148</v>
      </c>
      <c r="C699" s="1" t="n">
        <v>46042</v>
      </c>
      <c r="D699" t="inlineStr">
        <is>
          <t>ÖSTERGÖTLANDS LÄN</t>
        </is>
      </c>
      <c r="E699" t="inlineStr">
        <is>
          <t>LINKÖPING</t>
        </is>
      </c>
      <c r="G699" t="n">
        <v>1.7</v>
      </c>
      <c r="H699" t="n">
        <v>0</v>
      </c>
      <c r="I699" t="n">
        <v>0</v>
      </c>
      <c r="J699" t="n">
        <v>0</v>
      </c>
      <c r="K699" t="n">
        <v>0</v>
      </c>
      <c r="L699" t="n">
        <v>0</v>
      </c>
      <c r="M699" t="n">
        <v>0</v>
      </c>
      <c r="N699" t="n">
        <v>0</v>
      </c>
      <c r="O699" t="n">
        <v>0</v>
      </c>
      <c r="P699" t="n">
        <v>0</v>
      </c>
      <c r="Q699" t="n">
        <v>0</v>
      </c>
      <c r="R699" s="2" t="inlineStr"/>
    </row>
    <row r="700" ht="15" customHeight="1">
      <c r="A700" t="inlineStr">
        <is>
          <t>A 63528-2023</t>
        </is>
      </c>
      <c r="B700" s="1" t="n">
        <v>45274.94810185185</v>
      </c>
      <c r="C700" s="1" t="n">
        <v>46042</v>
      </c>
      <c r="D700" t="inlineStr">
        <is>
          <t>ÖSTERGÖTLANDS LÄN</t>
        </is>
      </c>
      <c r="E700" t="inlineStr">
        <is>
          <t>LINKÖPING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61936-2023</t>
        </is>
      </c>
      <c r="B701" s="1" t="n">
        <v>45266.54534722222</v>
      </c>
      <c r="C701" s="1" t="n">
        <v>46042</v>
      </c>
      <c r="D701" t="inlineStr">
        <is>
          <t>ÖSTERGÖTLANDS LÄN</t>
        </is>
      </c>
      <c r="E701" t="inlineStr">
        <is>
          <t>LINKÖPING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62492-2023</t>
        </is>
      </c>
      <c r="B702" s="1" t="n">
        <v>45268.58987268519</v>
      </c>
      <c r="C702" s="1" t="n">
        <v>46042</v>
      </c>
      <c r="D702" t="inlineStr">
        <is>
          <t>ÖSTERGÖTLANDS LÄN</t>
        </is>
      </c>
      <c r="E702" t="inlineStr">
        <is>
          <t>LINKÖPING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674-2024</t>
        </is>
      </c>
      <c r="B703" s="1" t="n">
        <v>45300.34408564815</v>
      </c>
      <c r="C703" s="1" t="n">
        <v>46042</v>
      </c>
      <c r="D703" t="inlineStr">
        <is>
          <t>ÖSTERGÖTLANDS LÄN</t>
        </is>
      </c>
      <c r="E703" t="inlineStr">
        <is>
          <t>LINKÖPING</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6782-2024</t>
        </is>
      </c>
      <c r="B704" s="1" t="n">
        <v>45342</v>
      </c>
      <c r="C704" s="1" t="n">
        <v>46042</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10094-2024</t>
        </is>
      </c>
      <c r="B705" s="1" t="n">
        <v>45364</v>
      </c>
      <c r="C705" s="1" t="n">
        <v>46042</v>
      </c>
      <c r="D705" t="inlineStr">
        <is>
          <t>ÖSTERGÖTLANDS LÄN</t>
        </is>
      </c>
      <c r="E705" t="inlineStr">
        <is>
          <t>LINKÖPING</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63684-2023</t>
        </is>
      </c>
      <c r="B706" s="1" t="n">
        <v>45275</v>
      </c>
      <c r="C706" s="1" t="n">
        <v>46042</v>
      </c>
      <c r="D706" t="inlineStr">
        <is>
          <t>ÖSTERGÖTLANDS LÄN</t>
        </is>
      </c>
      <c r="E706" t="inlineStr">
        <is>
          <t>LINKÖPING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63688-2023</t>
        </is>
      </c>
      <c r="B707" s="1" t="n">
        <v>45275</v>
      </c>
      <c r="C707" s="1" t="n">
        <v>46042</v>
      </c>
      <c r="D707" t="inlineStr">
        <is>
          <t>ÖSTERGÖTLANDS LÄN</t>
        </is>
      </c>
      <c r="E707" t="inlineStr">
        <is>
          <t>LINKÖPING</t>
        </is>
      </c>
      <c r="F707" t="inlineStr">
        <is>
          <t>Övriga Aktiebolag</t>
        </is>
      </c>
      <c r="G707" t="n">
        <v>2.4</v>
      </c>
      <c r="H707" t="n">
        <v>0</v>
      </c>
      <c r="I707" t="n">
        <v>0</v>
      </c>
      <c r="J707" t="n">
        <v>0</v>
      </c>
      <c r="K707" t="n">
        <v>0</v>
      </c>
      <c r="L707" t="n">
        <v>0</v>
      </c>
      <c r="M707" t="n">
        <v>0</v>
      </c>
      <c r="N707" t="n">
        <v>0</v>
      </c>
      <c r="O707" t="n">
        <v>0</v>
      </c>
      <c r="P707" t="n">
        <v>0</v>
      </c>
      <c r="Q707" t="n">
        <v>0</v>
      </c>
      <c r="R707" s="2" t="inlineStr"/>
    </row>
    <row r="708" ht="15" customHeight="1">
      <c r="A708" t="inlineStr">
        <is>
          <t>A 63691-2023</t>
        </is>
      </c>
      <c r="B708" s="1" t="n">
        <v>45275</v>
      </c>
      <c r="C708" s="1" t="n">
        <v>46042</v>
      </c>
      <c r="D708" t="inlineStr">
        <is>
          <t>ÖSTERGÖTLANDS LÄN</t>
        </is>
      </c>
      <c r="E708" t="inlineStr">
        <is>
          <t>LINKÖPING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36657-2023</t>
        </is>
      </c>
      <c r="B709" s="1" t="n">
        <v>45153.5702662037</v>
      </c>
      <c r="C709" s="1" t="n">
        <v>46042</v>
      </c>
      <c r="D709" t="inlineStr">
        <is>
          <t>ÖSTERGÖTLANDS LÄN</t>
        </is>
      </c>
      <c r="E709" t="inlineStr">
        <is>
          <t>LINKÖPING</t>
        </is>
      </c>
      <c r="F709" t="inlineStr">
        <is>
          <t>Allmännings- och besparingsskogar</t>
        </is>
      </c>
      <c r="G709" t="n">
        <v>2</v>
      </c>
      <c r="H709" t="n">
        <v>0</v>
      </c>
      <c r="I709" t="n">
        <v>0</v>
      </c>
      <c r="J709" t="n">
        <v>0</v>
      </c>
      <c r="K709" t="n">
        <v>0</v>
      </c>
      <c r="L709" t="n">
        <v>0</v>
      </c>
      <c r="M709" t="n">
        <v>0</v>
      </c>
      <c r="N709" t="n">
        <v>0</v>
      </c>
      <c r="O709" t="n">
        <v>0</v>
      </c>
      <c r="P709" t="n">
        <v>0</v>
      </c>
      <c r="Q709" t="n">
        <v>0</v>
      </c>
      <c r="R709" s="2" t="inlineStr"/>
    </row>
    <row r="710" ht="15" customHeight="1">
      <c r="A710" t="inlineStr">
        <is>
          <t>A 14667-2024</t>
        </is>
      </c>
      <c r="B710" s="1" t="n">
        <v>45397.42005787037</v>
      </c>
      <c r="C710" s="1" t="n">
        <v>46042</v>
      </c>
      <c r="D710" t="inlineStr">
        <is>
          <t>ÖSTERGÖTLANDS LÄN</t>
        </is>
      </c>
      <c r="E710" t="inlineStr">
        <is>
          <t>LINKÖPING</t>
        </is>
      </c>
      <c r="G710" t="n">
        <v>2.3</v>
      </c>
      <c r="H710" t="n">
        <v>0</v>
      </c>
      <c r="I710" t="n">
        <v>0</v>
      </c>
      <c r="J710" t="n">
        <v>0</v>
      </c>
      <c r="K710" t="n">
        <v>0</v>
      </c>
      <c r="L710" t="n">
        <v>0</v>
      </c>
      <c r="M710" t="n">
        <v>0</v>
      </c>
      <c r="N710" t="n">
        <v>0</v>
      </c>
      <c r="O710" t="n">
        <v>0</v>
      </c>
      <c r="P710" t="n">
        <v>0</v>
      </c>
      <c r="Q710" t="n">
        <v>0</v>
      </c>
      <c r="R710" s="2" t="inlineStr"/>
    </row>
    <row r="711" ht="15" customHeight="1">
      <c r="A711" t="inlineStr">
        <is>
          <t>A 15714-2024</t>
        </is>
      </c>
      <c r="B711" s="1" t="n">
        <v>45404.48288194444</v>
      </c>
      <c r="C711" s="1" t="n">
        <v>46042</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37715-2022</t>
        </is>
      </c>
      <c r="B712" s="1" t="n">
        <v>44810</v>
      </c>
      <c r="C712" s="1" t="n">
        <v>46042</v>
      </c>
      <c r="D712" t="inlineStr">
        <is>
          <t>ÖSTERGÖTLANDS LÄN</t>
        </is>
      </c>
      <c r="E712" t="inlineStr">
        <is>
          <t>LINKÖPING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30429-2024</t>
        </is>
      </c>
      <c r="B713" s="1" t="n">
        <v>45491.68972222223</v>
      </c>
      <c r="C713" s="1" t="n">
        <v>46042</v>
      </c>
      <c r="D713" t="inlineStr">
        <is>
          <t>ÖSTERGÖTLANDS LÄN</t>
        </is>
      </c>
      <c r="E713" t="inlineStr">
        <is>
          <t>LINKÖPING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30435-2024</t>
        </is>
      </c>
      <c r="B714" s="1" t="n">
        <v>45491.69962962963</v>
      </c>
      <c r="C714" s="1" t="n">
        <v>46042</v>
      </c>
      <c r="D714" t="inlineStr">
        <is>
          <t>ÖSTERGÖTLANDS LÄN</t>
        </is>
      </c>
      <c r="E714" t="inlineStr">
        <is>
          <t>LINKÖPING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4927-2021</t>
        </is>
      </c>
      <c r="B715" s="1" t="n">
        <v>44227.57215277778</v>
      </c>
      <c r="C715" s="1" t="n">
        <v>46042</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38231-2022</t>
        </is>
      </c>
      <c r="B716" s="1" t="n">
        <v>44812</v>
      </c>
      <c r="C716" s="1" t="n">
        <v>46042</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34557-2022</t>
        </is>
      </c>
      <c r="B717" s="1" t="n">
        <v>44794.57074074074</v>
      </c>
      <c r="C717" s="1" t="n">
        <v>46042</v>
      </c>
      <c r="D717" t="inlineStr">
        <is>
          <t>ÖSTERGÖTLANDS LÄN</t>
        </is>
      </c>
      <c r="E717" t="inlineStr">
        <is>
          <t>LINKÖPING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13011-2022</t>
        </is>
      </c>
      <c r="B718" s="1" t="n">
        <v>44643</v>
      </c>
      <c r="C718" s="1" t="n">
        <v>46042</v>
      </c>
      <c r="D718" t="inlineStr">
        <is>
          <t>ÖSTERGÖTLANDS LÄN</t>
        </is>
      </c>
      <c r="E718" t="inlineStr">
        <is>
          <t>LINKÖPING</t>
        </is>
      </c>
      <c r="G718" t="n">
        <v>3.7</v>
      </c>
      <c r="H718" t="n">
        <v>0</v>
      </c>
      <c r="I718" t="n">
        <v>0</v>
      </c>
      <c r="J718" t="n">
        <v>0</v>
      </c>
      <c r="K718" t="n">
        <v>0</v>
      </c>
      <c r="L718" t="n">
        <v>0</v>
      </c>
      <c r="M718" t="n">
        <v>0</v>
      </c>
      <c r="N718" t="n">
        <v>0</v>
      </c>
      <c r="O718" t="n">
        <v>0</v>
      </c>
      <c r="P718" t="n">
        <v>0</v>
      </c>
      <c r="Q718" t="n">
        <v>0</v>
      </c>
      <c r="R718" s="2" t="inlineStr"/>
    </row>
    <row r="719" ht="15" customHeight="1">
      <c r="A719" t="inlineStr">
        <is>
          <t>A 617-2024</t>
        </is>
      </c>
      <c r="B719" s="1" t="n">
        <v>45299.66028935185</v>
      </c>
      <c r="C719" s="1" t="n">
        <v>46042</v>
      </c>
      <c r="D719" t="inlineStr">
        <is>
          <t>ÖSTERGÖTLANDS LÄN</t>
        </is>
      </c>
      <c r="E719" t="inlineStr">
        <is>
          <t>LINKÖPING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19362-2023</t>
        </is>
      </c>
      <c r="B720" s="1" t="n">
        <v>45049</v>
      </c>
      <c r="C720" s="1" t="n">
        <v>46042</v>
      </c>
      <c r="D720" t="inlineStr">
        <is>
          <t>ÖSTERGÖTLANDS LÄN</t>
        </is>
      </c>
      <c r="E720" t="inlineStr">
        <is>
          <t>LINKÖPING</t>
        </is>
      </c>
      <c r="G720" t="n">
        <v>0.1</v>
      </c>
      <c r="H720" t="n">
        <v>0</v>
      </c>
      <c r="I720" t="n">
        <v>0</v>
      </c>
      <c r="J720" t="n">
        <v>0</v>
      </c>
      <c r="K720" t="n">
        <v>0</v>
      </c>
      <c r="L720" t="n">
        <v>0</v>
      </c>
      <c r="M720" t="n">
        <v>0</v>
      </c>
      <c r="N720" t="n">
        <v>0</v>
      </c>
      <c r="O720" t="n">
        <v>0</v>
      </c>
      <c r="P720" t="n">
        <v>0</v>
      </c>
      <c r="Q720" t="n">
        <v>0</v>
      </c>
      <c r="R720" s="2" t="inlineStr"/>
    </row>
    <row r="721" ht="15" customHeight="1">
      <c r="A721" t="inlineStr">
        <is>
          <t>A 19132-2023</t>
        </is>
      </c>
      <c r="B721" s="1" t="n">
        <v>45048.54754629629</v>
      </c>
      <c r="C721" s="1" t="n">
        <v>46042</v>
      </c>
      <c r="D721" t="inlineStr">
        <is>
          <t>ÖSTERGÖTLANDS LÄN</t>
        </is>
      </c>
      <c r="E721" t="inlineStr">
        <is>
          <t>LINKÖPING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31635-2023</t>
        </is>
      </c>
      <c r="B722" s="1" t="n">
        <v>45105</v>
      </c>
      <c r="C722" s="1" t="n">
        <v>46042</v>
      </c>
      <c r="D722" t="inlineStr">
        <is>
          <t>ÖSTERGÖTLANDS LÄN</t>
        </is>
      </c>
      <c r="E722" t="inlineStr">
        <is>
          <t>LINKÖPING</t>
        </is>
      </c>
      <c r="F722" t="inlineStr">
        <is>
          <t>Övriga statliga verk och myndigheter</t>
        </is>
      </c>
      <c r="G722" t="n">
        <v>4.6</v>
      </c>
      <c r="H722" t="n">
        <v>0</v>
      </c>
      <c r="I722" t="n">
        <v>0</v>
      </c>
      <c r="J722" t="n">
        <v>0</v>
      </c>
      <c r="K722" t="n">
        <v>0</v>
      </c>
      <c r="L722" t="n">
        <v>0</v>
      </c>
      <c r="M722" t="n">
        <v>0</v>
      </c>
      <c r="N722" t="n">
        <v>0</v>
      </c>
      <c r="O722" t="n">
        <v>0</v>
      </c>
      <c r="P722" t="n">
        <v>0</v>
      </c>
      <c r="Q722" t="n">
        <v>0</v>
      </c>
      <c r="R722" s="2" t="inlineStr"/>
    </row>
    <row r="723" ht="15" customHeight="1">
      <c r="A723" t="inlineStr">
        <is>
          <t>A 20296-2025</t>
        </is>
      </c>
      <c r="B723" s="1" t="n">
        <v>45774.74922453704</v>
      </c>
      <c r="C723" s="1" t="n">
        <v>46042</v>
      </c>
      <c r="D723" t="inlineStr">
        <is>
          <t>ÖSTERGÖTLANDS LÄN</t>
        </is>
      </c>
      <c r="E723" t="inlineStr">
        <is>
          <t>LINKÖPING</t>
        </is>
      </c>
      <c r="G723" t="n">
        <v>2.2</v>
      </c>
      <c r="H723" t="n">
        <v>0</v>
      </c>
      <c r="I723" t="n">
        <v>0</v>
      </c>
      <c r="J723" t="n">
        <v>0</v>
      </c>
      <c r="K723" t="n">
        <v>0</v>
      </c>
      <c r="L723" t="n">
        <v>0</v>
      </c>
      <c r="M723" t="n">
        <v>0</v>
      </c>
      <c r="N723" t="n">
        <v>0</v>
      </c>
      <c r="O723" t="n">
        <v>0</v>
      </c>
      <c r="P723" t="n">
        <v>0</v>
      </c>
      <c r="Q723" t="n">
        <v>0</v>
      </c>
      <c r="R723" s="2" t="inlineStr"/>
    </row>
    <row r="724" ht="15" customHeight="1">
      <c r="A724" t="inlineStr">
        <is>
          <t>A 22770-2024</t>
        </is>
      </c>
      <c r="B724" s="1" t="n">
        <v>45448.4634375</v>
      </c>
      <c r="C724" s="1" t="n">
        <v>46042</v>
      </c>
      <c r="D724" t="inlineStr">
        <is>
          <t>ÖSTERGÖTLANDS LÄN</t>
        </is>
      </c>
      <c r="E724" t="inlineStr">
        <is>
          <t>LINKÖPING</t>
        </is>
      </c>
      <c r="F724" t="inlineStr">
        <is>
          <t>Sveaskog</t>
        </is>
      </c>
      <c r="G724" t="n">
        <v>3.4</v>
      </c>
      <c r="H724" t="n">
        <v>0</v>
      </c>
      <c r="I724" t="n">
        <v>0</v>
      </c>
      <c r="J724" t="n">
        <v>0</v>
      </c>
      <c r="K724" t="n">
        <v>0</v>
      </c>
      <c r="L724" t="n">
        <v>0</v>
      </c>
      <c r="M724" t="n">
        <v>0</v>
      </c>
      <c r="N724" t="n">
        <v>0</v>
      </c>
      <c r="O724" t="n">
        <v>0</v>
      </c>
      <c r="P724" t="n">
        <v>0</v>
      </c>
      <c r="Q724" t="n">
        <v>0</v>
      </c>
      <c r="R724" s="2" t="inlineStr"/>
    </row>
    <row r="725" ht="15" customHeight="1">
      <c r="A725" t="inlineStr">
        <is>
          <t>A 11595-2025</t>
        </is>
      </c>
      <c r="B725" s="1" t="n">
        <v>45727.41893518518</v>
      </c>
      <c r="C725" s="1" t="n">
        <v>46042</v>
      </c>
      <c r="D725" t="inlineStr">
        <is>
          <t>ÖSTERGÖTLANDS LÄN</t>
        </is>
      </c>
      <c r="E725" t="inlineStr">
        <is>
          <t>LINKÖPING</t>
        </is>
      </c>
      <c r="G725" t="n">
        <v>6.6</v>
      </c>
      <c r="H725" t="n">
        <v>0</v>
      </c>
      <c r="I725" t="n">
        <v>0</v>
      </c>
      <c r="J725" t="n">
        <v>0</v>
      </c>
      <c r="K725" t="n">
        <v>0</v>
      </c>
      <c r="L725" t="n">
        <v>0</v>
      </c>
      <c r="M725" t="n">
        <v>0</v>
      </c>
      <c r="N725" t="n">
        <v>0</v>
      </c>
      <c r="O725" t="n">
        <v>0</v>
      </c>
      <c r="P725" t="n">
        <v>0</v>
      </c>
      <c r="Q725" t="n">
        <v>0</v>
      </c>
      <c r="R725" s="2" t="inlineStr"/>
    </row>
    <row r="726" ht="15" customHeight="1">
      <c r="A726" t="inlineStr">
        <is>
          <t>A 48839-2022</t>
        </is>
      </c>
      <c r="B726" s="1" t="n">
        <v>44859</v>
      </c>
      <c r="C726" s="1" t="n">
        <v>46042</v>
      </c>
      <c r="D726" t="inlineStr">
        <is>
          <t>ÖSTERGÖTLANDS LÄN</t>
        </is>
      </c>
      <c r="E726" t="inlineStr">
        <is>
          <t>LINKÖPING</t>
        </is>
      </c>
      <c r="F726" t="inlineStr">
        <is>
          <t>Övriga Aktiebolag</t>
        </is>
      </c>
      <c r="G726" t="n">
        <v>0.6</v>
      </c>
      <c r="H726" t="n">
        <v>0</v>
      </c>
      <c r="I726" t="n">
        <v>0</v>
      </c>
      <c r="J726" t="n">
        <v>0</v>
      </c>
      <c r="K726" t="n">
        <v>0</v>
      </c>
      <c r="L726" t="n">
        <v>0</v>
      </c>
      <c r="M726" t="n">
        <v>0</v>
      </c>
      <c r="N726" t="n">
        <v>0</v>
      </c>
      <c r="O726" t="n">
        <v>0</v>
      </c>
      <c r="P726" t="n">
        <v>0</v>
      </c>
      <c r="Q726" t="n">
        <v>0</v>
      </c>
      <c r="R726" s="2" t="inlineStr"/>
    </row>
    <row r="727" ht="15" customHeight="1">
      <c r="A727" t="inlineStr">
        <is>
          <t>A 8967-2025</t>
        </is>
      </c>
      <c r="B727" s="1" t="n">
        <v>45712</v>
      </c>
      <c r="C727" s="1" t="n">
        <v>46042</v>
      </c>
      <c r="D727" t="inlineStr">
        <is>
          <t>ÖSTERGÖTLANDS LÄN</t>
        </is>
      </c>
      <c r="E727" t="inlineStr">
        <is>
          <t>LINKÖPING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63678-2023</t>
        </is>
      </c>
      <c r="B728" s="1" t="n">
        <v>45275.64769675926</v>
      </c>
      <c r="C728" s="1" t="n">
        <v>46042</v>
      </c>
      <c r="D728" t="inlineStr">
        <is>
          <t>ÖSTERGÖTLANDS LÄN</t>
        </is>
      </c>
      <c r="E728" t="inlineStr">
        <is>
          <t>LINKÖPING</t>
        </is>
      </c>
      <c r="F728" t="inlineStr">
        <is>
          <t>Övriga Aktiebolag</t>
        </is>
      </c>
      <c r="G728" t="n">
        <v>0.4</v>
      </c>
      <c r="H728" t="n">
        <v>0</v>
      </c>
      <c r="I728" t="n">
        <v>0</v>
      </c>
      <c r="J728" t="n">
        <v>0</v>
      </c>
      <c r="K728" t="n">
        <v>0</v>
      </c>
      <c r="L728" t="n">
        <v>0</v>
      </c>
      <c r="M728" t="n">
        <v>0</v>
      </c>
      <c r="N728" t="n">
        <v>0</v>
      </c>
      <c r="O728" t="n">
        <v>0</v>
      </c>
      <c r="P728" t="n">
        <v>0</v>
      </c>
      <c r="Q728" t="n">
        <v>0</v>
      </c>
      <c r="R728" s="2" t="inlineStr"/>
    </row>
    <row r="729" ht="15" customHeight="1">
      <c r="A729" t="inlineStr">
        <is>
          <t>A 1844-2025</t>
        </is>
      </c>
      <c r="B729" s="1" t="n">
        <v>45671.57730324074</v>
      </c>
      <c r="C729" s="1" t="n">
        <v>46042</v>
      </c>
      <c r="D729" t="inlineStr">
        <is>
          <t>ÖSTERGÖTLANDS LÄN</t>
        </is>
      </c>
      <c r="E729" t="inlineStr">
        <is>
          <t>LINKÖPING</t>
        </is>
      </c>
      <c r="G729" t="n">
        <v>2</v>
      </c>
      <c r="H729" t="n">
        <v>0</v>
      </c>
      <c r="I729" t="n">
        <v>0</v>
      </c>
      <c r="J729" t="n">
        <v>0</v>
      </c>
      <c r="K729" t="n">
        <v>0</v>
      </c>
      <c r="L729" t="n">
        <v>0</v>
      </c>
      <c r="M729" t="n">
        <v>0</v>
      </c>
      <c r="N729" t="n">
        <v>0</v>
      </c>
      <c r="O729" t="n">
        <v>0</v>
      </c>
      <c r="P729" t="n">
        <v>0</v>
      </c>
      <c r="Q729" t="n">
        <v>0</v>
      </c>
      <c r="R729" s="2" t="inlineStr"/>
    </row>
    <row r="730" ht="15" customHeight="1">
      <c r="A730" t="inlineStr">
        <is>
          <t>A 21165-2025</t>
        </is>
      </c>
      <c r="B730" s="1" t="n">
        <v>45779.39417824074</v>
      </c>
      <c r="C730" s="1" t="n">
        <v>46042</v>
      </c>
      <c r="D730" t="inlineStr">
        <is>
          <t>ÖSTERGÖTLANDS LÄN</t>
        </is>
      </c>
      <c r="E730" t="inlineStr">
        <is>
          <t>LINKÖPING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21155-2025</t>
        </is>
      </c>
      <c r="B731" s="1" t="n">
        <v>45779.37586805555</v>
      </c>
      <c r="C731" s="1" t="n">
        <v>46042</v>
      </c>
      <c r="D731" t="inlineStr">
        <is>
          <t>ÖSTERGÖTLANDS LÄN</t>
        </is>
      </c>
      <c r="E731" t="inlineStr">
        <is>
          <t>LINKÖPING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22264-2025</t>
        </is>
      </c>
      <c r="B732" s="1" t="n">
        <v>45785</v>
      </c>
      <c r="C732" s="1" t="n">
        <v>46042</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9473-2024</t>
        </is>
      </c>
      <c r="B733" s="1" t="n">
        <v>45359.55474537037</v>
      </c>
      <c r="C733" s="1" t="n">
        <v>46042</v>
      </c>
      <c r="D733" t="inlineStr">
        <is>
          <t>ÖSTERGÖTLANDS LÄN</t>
        </is>
      </c>
      <c r="E733" t="inlineStr">
        <is>
          <t>LINKÖPING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6859-2024</t>
        </is>
      </c>
      <c r="B734" s="1" t="n">
        <v>45342</v>
      </c>
      <c r="C734" s="1" t="n">
        <v>46042</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44287-2024</t>
        </is>
      </c>
      <c r="B735" s="1" t="n">
        <v>45573.50582175926</v>
      </c>
      <c r="C735" s="1" t="n">
        <v>46042</v>
      </c>
      <c r="D735" t="inlineStr">
        <is>
          <t>ÖSTERGÖTLANDS LÄN</t>
        </is>
      </c>
      <c r="E735" t="inlineStr">
        <is>
          <t>LINKÖPING</t>
        </is>
      </c>
      <c r="G735" t="n">
        <v>12.7</v>
      </c>
      <c r="H735" t="n">
        <v>0</v>
      </c>
      <c r="I735" t="n">
        <v>0</v>
      </c>
      <c r="J735" t="n">
        <v>0</v>
      </c>
      <c r="K735" t="n">
        <v>0</v>
      </c>
      <c r="L735" t="n">
        <v>0</v>
      </c>
      <c r="M735" t="n">
        <v>0</v>
      </c>
      <c r="N735" t="n">
        <v>0</v>
      </c>
      <c r="O735" t="n">
        <v>0</v>
      </c>
      <c r="P735" t="n">
        <v>0</v>
      </c>
      <c r="Q735" t="n">
        <v>0</v>
      </c>
      <c r="R735" s="2" t="inlineStr"/>
    </row>
    <row r="736" ht="15" customHeight="1">
      <c r="A736" t="inlineStr">
        <is>
          <t>A 22364-2025</t>
        </is>
      </c>
      <c r="B736" s="1" t="n">
        <v>45786.46930555555</v>
      </c>
      <c r="C736" s="1" t="n">
        <v>46042</v>
      </c>
      <c r="D736" t="inlineStr">
        <is>
          <t>ÖSTERGÖTLANDS LÄN</t>
        </is>
      </c>
      <c r="E736" t="inlineStr">
        <is>
          <t>LINKÖPING</t>
        </is>
      </c>
      <c r="G736" t="n">
        <v>2.2</v>
      </c>
      <c r="H736" t="n">
        <v>0</v>
      </c>
      <c r="I736" t="n">
        <v>0</v>
      </c>
      <c r="J736" t="n">
        <v>0</v>
      </c>
      <c r="K736" t="n">
        <v>0</v>
      </c>
      <c r="L736" t="n">
        <v>0</v>
      </c>
      <c r="M736" t="n">
        <v>0</v>
      </c>
      <c r="N736" t="n">
        <v>0</v>
      </c>
      <c r="O736" t="n">
        <v>0</v>
      </c>
      <c r="P736" t="n">
        <v>0</v>
      </c>
      <c r="Q736" t="n">
        <v>0</v>
      </c>
      <c r="R736" s="2" t="inlineStr"/>
    </row>
    <row r="737" ht="15" customHeight="1">
      <c r="A737" t="inlineStr">
        <is>
          <t>A 572-2025</t>
        </is>
      </c>
      <c r="B737" s="1" t="n">
        <v>45664.56349537037</v>
      </c>
      <c r="C737" s="1" t="n">
        <v>46042</v>
      </c>
      <c r="D737" t="inlineStr">
        <is>
          <t>ÖSTERGÖTLANDS LÄN</t>
        </is>
      </c>
      <c r="E737" t="inlineStr">
        <is>
          <t>LINKÖPING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10797-2024</t>
        </is>
      </c>
      <c r="B738" s="1" t="n">
        <v>45369.6190162037</v>
      </c>
      <c r="C738" s="1" t="n">
        <v>46042</v>
      </c>
      <c r="D738" t="inlineStr">
        <is>
          <t>ÖSTERGÖTLANDS LÄN</t>
        </is>
      </c>
      <c r="E738" t="inlineStr">
        <is>
          <t>LINKÖPING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38580-2024</t>
        </is>
      </c>
      <c r="B739" s="1" t="n">
        <v>45546.64825231482</v>
      </c>
      <c r="C739" s="1" t="n">
        <v>46042</v>
      </c>
      <c r="D739" t="inlineStr">
        <is>
          <t>ÖSTERGÖTLANDS LÄN</t>
        </is>
      </c>
      <c r="E739" t="inlineStr">
        <is>
          <t>LINKÖPING</t>
        </is>
      </c>
      <c r="G739" t="n">
        <v>4.8</v>
      </c>
      <c r="H739" t="n">
        <v>0</v>
      </c>
      <c r="I739" t="n">
        <v>0</v>
      </c>
      <c r="J739" t="n">
        <v>0</v>
      </c>
      <c r="K739" t="n">
        <v>0</v>
      </c>
      <c r="L739" t="n">
        <v>0</v>
      </c>
      <c r="M739" t="n">
        <v>0</v>
      </c>
      <c r="N739" t="n">
        <v>0</v>
      </c>
      <c r="O739" t="n">
        <v>0</v>
      </c>
      <c r="P739" t="n">
        <v>0</v>
      </c>
      <c r="Q739" t="n">
        <v>0</v>
      </c>
      <c r="R739" s="2" t="inlineStr"/>
    </row>
    <row r="740" ht="15" customHeight="1">
      <c r="A740" t="inlineStr">
        <is>
          <t>A 57752-2023</t>
        </is>
      </c>
      <c r="B740" s="1" t="n">
        <v>45246.78474537037</v>
      </c>
      <c r="C740" s="1" t="n">
        <v>46042</v>
      </c>
      <c r="D740" t="inlineStr">
        <is>
          <t>ÖSTERGÖTLANDS LÄN</t>
        </is>
      </c>
      <c r="E740" t="inlineStr">
        <is>
          <t>LINKÖPING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29312-2024</t>
        </is>
      </c>
      <c r="B741" s="1" t="n">
        <v>45483</v>
      </c>
      <c r="C741" s="1" t="n">
        <v>46042</v>
      </c>
      <c r="D741" t="inlineStr">
        <is>
          <t>ÖSTERGÖTLANDS LÄN</t>
        </is>
      </c>
      <c r="E741" t="inlineStr">
        <is>
          <t>LINKÖPING</t>
        </is>
      </c>
      <c r="G741" t="n">
        <v>2.1</v>
      </c>
      <c r="H741" t="n">
        <v>0</v>
      </c>
      <c r="I741" t="n">
        <v>0</v>
      </c>
      <c r="J741" t="n">
        <v>0</v>
      </c>
      <c r="K741" t="n">
        <v>0</v>
      </c>
      <c r="L741" t="n">
        <v>0</v>
      </c>
      <c r="M741" t="n">
        <v>0</v>
      </c>
      <c r="N741" t="n">
        <v>0</v>
      </c>
      <c r="O741" t="n">
        <v>0</v>
      </c>
      <c r="P741" t="n">
        <v>0</v>
      </c>
      <c r="Q741" t="n">
        <v>0</v>
      </c>
      <c r="R741" s="2" t="inlineStr"/>
    </row>
    <row r="742" ht="15" customHeight="1">
      <c r="A742" t="inlineStr">
        <is>
          <t>A 23120-2025</t>
        </is>
      </c>
      <c r="B742" s="1" t="n">
        <v>45791.37481481482</v>
      </c>
      <c r="C742" s="1" t="n">
        <v>46042</v>
      </c>
      <c r="D742" t="inlineStr">
        <is>
          <t>ÖSTERGÖTLANDS LÄN</t>
        </is>
      </c>
      <c r="E742" t="inlineStr">
        <is>
          <t>LINKÖPING</t>
        </is>
      </c>
      <c r="G742" t="n">
        <v>2.9</v>
      </c>
      <c r="H742" t="n">
        <v>0</v>
      </c>
      <c r="I742" t="n">
        <v>0</v>
      </c>
      <c r="J742" t="n">
        <v>0</v>
      </c>
      <c r="K742" t="n">
        <v>0</v>
      </c>
      <c r="L742" t="n">
        <v>0</v>
      </c>
      <c r="M742" t="n">
        <v>0</v>
      </c>
      <c r="N742" t="n">
        <v>0</v>
      </c>
      <c r="O742" t="n">
        <v>0</v>
      </c>
      <c r="P742" t="n">
        <v>0</v>
      </c>
      <c r="Q742" t="n">
        <v>0</v>
      </c>
      <c r="R742" s="2" t="inlineStr"/>
    </row>
    <row r="743">
      <c r="A743" t="inlineStr">
        <is>
          <t>A 23768-2025</t>
        </is>
      </c>
      <c r="B743" s="1" t="n">
        <v>45793.47493055555</v>
      </c>
      <c r="C743" s="1" t="n">
        <v>46042</v>
      </c>
      <c r="D743" t="inlineStr">
        <is>
          <t>ÖSTERGÖTLANDS LÄN</t>
        </is>
      </c>
      <c r="E743" t="inlineStr">
        <is>
          <t>LINKÖPING</t>
        </is>
      </c>
      <c r="G743" t="n">
        <v>3.4</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2026-01-20T11:00:52Z</dcterms:created>
  <dcterms:modified xmlns:dcterms="http://purl.org/dc/terms/" xmlns:xsi="http://www.w3.org/2001/XMLSchema-instance" xsi:type="dcterms:W3CDTF">2026-01-20T11:00:53Z</dcterms:modified>
</cp:coreProperties>
</file>