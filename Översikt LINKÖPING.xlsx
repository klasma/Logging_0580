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45911</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45911</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45911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45911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45911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9192-2025</t>
        </is>
      </c>
      <c r="B15" s="1" t="n">
        <v>45714.45943287037</v>
      </c>
      <c r="C15" s="1" t="n">
        <v>45911</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577-2025</t>
        </is>
      </c>
      <c r="B16" s="1" t="n">
        <v>45664.56525462963</v>
      </c>
      <c r="C16" s="1" t="n">
        <v>45911</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45911</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45911</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45911</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45911</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45911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45911</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38913-2023</t>
        </is>
      </c>
      <c r="B23" s="1" t="n">
        <v>45163</v>
      </c>
      <c r="C23" s="1" t="n">
        <v>45911</v>
      </c>
      <c r="D23" t="inlineStr">
        <is>
          <t>ÖSTERGÖTLANDS LÄN</t>
        </is>
      </c>
      <c r="E23" t="inlineStr">
        <is>
          <t>LINKÖPING</t>
        </is>
      </c>
      <c r="G23" t="n">
        <v>2.7</v>
      </c>
      <c r="H23" t="n">
        <v>1</v>
      </c>
      <c r="I23" t="n">
        <v>1</v>
      </c>
      <c r="J23" t="n">
        <v>0</v>
      </c>
      <c r="K23" t="n">
        <v>0</v>
      </c>
      <c r="L23" t="n">
        <v>0</v>
      </c>
      <c r="M23" t="n">
        <v>0</v>
      </c>
      <c r="N23" t="n">
        <v>0</v>
      </c>
      <c r="O23" t="n">
        <v>0</v>
      </c>
      <c r="P23" t="n">
        <v>0</v>
      </c>
      <c r="Q23" t="n">
        <v>2</v>
      </c>
      <c r="R23" s="2" t="inlineStr">
        <is>
          <t>Skogsbräsma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49188-2024</t>
        </is>
      </c>
      <c r="B24" s="1" t="n">
        <v>45595</v>
      </c>
      <c r="C24" s="1" t="n">
        <v>45911</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45911</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27795-2025</t>
        </is>
      </c>
      <c r="B26" s="1" t="n">
        <v>45816.7908912037</v>
      </c>
      <c r="C26" s="1" t="n">
        <v>45911</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27981-2022</t>
        </is>
      </c>
      <c r="B27" s="1" t="n">
        <v>44745</v>
      </c>
      <c r="C27" s="1" t="n">
        <v>45911</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42858-2023</t>
        </is>
      </c>
      <c r="B28" s="1" t="n">
        <v>45177</v>
      </c>
      <c r="C28" s="1" t="n">
        <v>45911</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11613-2025</t>
        </is>
      </c>
      <c r="B29" s="1" t="n">
        <v>45727.44623842592</v>
      </c>
      <c r="C29" s="1" t="n">
        <v>45911</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41751-2023</t>
        </is>
      </c>
      <c r="B30" s="1" t="n">
        <v>45176</v>
      </c>
      <c r="C30" s="1" t="n">
        <v>45911</v>
      </c>
      <c r="D30" t="inlineStr">
        <is>
          <t>ÖSTERGÖTLANDS LÄN</t>
        </is>
      </c>
      <c r="E30" t="inlineStr">
        <is>
          <t>LINKÖPING</t>
        </is>
      </c>
      <c r="G30" t="n">
        <v>1.5</v>
      </c>
      <c r="H30" t="n">
        <v>1</v>
      </c>
      <c r="I30" t="n">
        <v>0</v>
      </c>
      <c r="J30" t="n">
        <v>1</v>
      </c>
      <c r="K30" t="n">
        <v>0</v>
      </c>
      <c r="L30" t="n">
        <v>0</v>
      </c>
      <c r="M30" t="n">
        <v>0</v>
      </c>
      <c r="N30" t="n">
        <v>0</v>
      </c>
      <c r="O30" t="n">
        <v>1</v>
      </c>
      <c r="P30" t="n">
        <v>0</v>
      </c>
      <c r="Q30" t="n">
        <v>2</v>
      </c>
      <c r="R30" s="2" t="inlineStr">
        <is>
          <t>Svinrot
Grönvit nattviol</t>
        </is>
      </c>
      <c r="S30">
        <f>HYPERLINK("https://klasma.github.io/Logging_0580/artfynd/A 41751-2023 artfynd.xlsx", "A 41751-2023")</f>
        <v/>
      </c>
      <c r="T30">
        <f>HYPERLINK("https://klasma.github.io/Logging_0580/kartor/A 41751-2023 karta.png", "A 41751-2023")</f>
        <v/>
      </c>
      <c r="V30">
        <f>HYPERLINK("https://klasma.github.io/Logging_0580/klagomål/A 41751-2023 FSC-klagomål.docx", "A 41751-2023")</f>
        <v/>
      </c>
      <c r="W30">
        <f>HYPERLINK("https://klasma.github.io/Logging_0580/klagomålsmail/A 41751-2023 FSC-klagomål mail.docx", "A 41751-2023")</f>
        <v/>
      </c>
      <c r="X30">
        <f>HYPERLINK("https://klasma.github.io/Logging_0580/tillsyn/A 41751-2023 tillsynsbegäran.docx", "A 41751-2023")</f>
        <v/>
      </c>
      <c r="Y30">
        <f>HYPERLINK("https://klasma.github.io/Logging_0580/tillsynsmail/A 41751-2023 tillsynsbegäran mail.docx", "A 41751-2023")</f>
        <v/>
      </c>
    </row>
    <row r="31" ht="15" customHeight="1">
      <c r="A31" t="inlineStr">
        <is>
          <t>A 8818-2025</t>
        </is>
      </c>
      <c r="B31" s="1" t="n">
        <v>45712</v>
      </c>
      <c r="C31" s="1" t="n">
        <v>45911</v>
      </c>
      <c r="D31" t="inlineStr">
        <is>
          <t>ÖSTERGÖTLANDS LÄN</t>
        </is>
      </c>
      <c r="E31" t="inlineStr">
        <is>
          <t>LINKÖPING</t>
        </is>
      </c>
      <c r="F31" t="inlineStr">
        <is>
          <t>Kommuner</t>
        </is>
      </c>
      <c r="G31" t="n">
        <v>0.6</v>
      </c>
      <c r="H31" t="n">
        <v>0</v>
      </c>
      <c r="I31" t="n">
        <v>0</v>
      </c>
      <c r="J31" t="n">
        <v>1</v>
      </c>
      <c r="K31" t="n">
        <v>1</v>
      </c>
      <c r="L31" t="n">
        <v>0</v>
      </c>
      <c r="M31" t="n">
        <v>0</v>
      </c>
      <c r="N31" t="n">
        <v>0</v>
      </c>
      <c r="O31" t="n">
        <v>2</v>
      </c>
      <c r="P31" t="n">
        <v>1</v>
      </c>
      <c r="Q31" t="n">
        <v>2</v>
      </c>
      <c r="R31" s="2" t="inlineStr">
        <is>
          <t>Luddvicker
Klubbsprötad bastardsvärmare</t>
        </is>
      </c>
      <c r="S31">
        <f>HYPERLINK("https://klasma.github.io/Logging_0580/artfynd/A 8818-2025 artfynd.xlsx", "A 8818-2025")</f>
        <v/>
      </c>
      <c r="T31">
        <f>HYPERLINK("https://klasma.github.io/Logging_0580/kartor/A 8818-2025 karta.png", "A 8818-2025")</f>
        <v/>
      </c>
      <c r="V31">
        <f>HYPERLINK("https://klasma.github.io/Logging_0580/klagomål/A 8818-2025 FSC-klagomål.docx", "A 8818-2025")</f>
        <v/>
      </c>
      <c r="W31">
        <f>HYPERLINK("https://klasma.github.io/Logging_0580/klagomålsmail/A 8818-2025 FSC-klagomål mail.docx", "A 8818-2025")</f>
        <v/>
      </c>
      <c r="X31">
        <f>HYPERLINK("https://klasma.github.io/Logging_0580/tillsyn/A 8818-2025 tillsynsbegäran.docx", "A 8818-2025")</f>
        <v/>
      </c>
      <c r="Y31">
        <f>HYPERLINK("https://klasma.github.io/Logging_0580/tillsynsmail/A 8818-2025 tillsynsbegäran mail.docx", "A 8818-2025")</f>
        <v/>
      </c>
    </row>
    <row r="32" ht="15" customHeight="1">
      <c r="A32" t="inlineStr">
        <is>
          <t>A 14879-2024</t>
        </is>
      </c>
      <c r="B32" s="1" t="n">
        <v>45398</v>
      </c>
      <c r="C32" s="1" t="n">
        <v>45911</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25985-2025</t>
        </is>
      </c>
      <c r="B33" s="1" t="n">
        <v>45804.64479166667</v>
      </c>
      <c r="C33" s="1" t="n">
        <v>45911</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55344-2024</t>
        </is>
      </c>
      <c r="B34" s="1" t="n">
        <v>45621.7202662037</v>
      </c>
      <c r="C34" s="1" t="n">
        <v>45911</v>
      </c>
      <c r="D34" t="inlineStr">
        <is>
          <t>ÖSTERGÖTLANDS LÄN</t>
        </is>
      </c>
      <c r="E34" t="inlineStr">
        <is>
          <t>LINKÖPING</t>
        </is>
      </c>
      <c r="G34" t="n">
        <v>6.6</v>
      </c>
      <c r="H34" t="n">
        <v>0</v>
      </c>
      <c r="I34" t="n">
        <v>0</v>
      </c>
      <c r="J34" t="n">
        <v>2</v>
      </c>
      <c r="K34" t="n">
        <v>0</v>
      </c>
      <c r="L34" t="n">
        <v>0</v>
      </c>
      <c r="M34" t="n">
        <v>0</v>
      </c>
      <c r="N34" t="n">
        <v>0</v>
      </c>
      <c r="O34" t="n">
        <v>2</v>
      </c>
      <c r="P34" t="n">
        <v>0</v>
      </c>
      <c r="Q34" t="n">
        <v>2</v>
      </c>
      <c r="R34" s="2" t="inlineStr">
        <is>
          <t>Kandelabersvamp
Stjärnnästing</t>
        </is>
      </c>
      <c r="S34">
        <f>HYPERLINK("https://klasma.github.io/Logging_0580/artfynd/A 55344-2024 artfynd.xlsx", "A 55344-2024")</f>
        <v/>
      </c>
      <c r="T34">
        <f>HYPERLINK("https://klasma.github.io/Logging_0580/kartor/A 55344-2024 karta.png", "A 55344-2024")</f>
        <v/>
      </c>
      <c r="V34">
        <f>HYPERLINK("https://klasma.github.io/Logging_0580/klagomål/A 55344-2024 FSC-klagomål.docx", "A 55344-2024")</f>
        <v/>
      </c>
      <c r="W34">
        <f>HYPERLINK("https://klasma.github.io/Logging_0580/klagomålsmail/A 55344-2024 FSC-klagomål mail.docx", "A 55344-2024")</f>
        <v/>
      </c>
      <c r="X34">
        <f>HYPERLINK("https://klasma.github.io/Logging_0580/tillsyn/A 55344-2024 tillsynsbegäran.docx", "A 55344-2024")</f>
        <v/>
      </c>
      <c r="Y34">
        <f>HYPERLINK("https://klasma.github.io/Logging_0580/tillsynsmail/A 55344-2024 tillsynsbegäran mail.docx", "A 55344-2024")</f>
        <v/>
      </c>
    </row>
    <row r="35" ht="15" customHeight="1">
      <c r="A35" t="inlineStr">
        <is>
          <t>A 20292-2025</t>
        </is>
      </c>
      <c r="B35" s="1" t="n">
        <v>45774.7449537037</v>
      </c>
      <c r="C35" s="1" t="n">
        <v>45911</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22040-2023</t>
        </is>
      </c>
      <c r="B36" s="1" t="n">
        <v>45068</v>
      </c>
      <c r="C36" s="1" t="n">
        <v>45911</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50404-2023</t>
        </is>
      </c>
      <c r="B37" s="1" t="n">
        <v>45216</v>
      </c>
      <c r="C37" s="1" t="n">
        <v>45911</v>
      </c>
      <c r="D37" t="inlineStr">
        <is>
          <t>ÖSTERGÖTLANDS LÄN</t>
        </is>
      </c>
      <c r="E37" t="inlineStr">
        <is>
          <t>LINKÖPING</t>
        </is>
      </c>
      <c r="G37" t="n">
        <v>1.2</v>
      </c>
      <c r="H37" t="n">
        <v>1</v>
      </c>
      <c r="I37" t="n">
        <v>1</v>
      </c>
      <c r="J37" t="n">
        <v>0</v>
      </c>
      <c r="K37" t="n">
        <v>0</v>
      </c>
      <c r="L37" t="n">
        <v>0</v>
      </c>
      <c r="M37" t="n">
        <v>0</v>
      </c>
      <c r="N37" t="n">
        <v>0</v>
      </c>
      <c r="O37" t="n">
        <v>0</v>
      </c>
      <c r="P37" t="n">
        <v>0</v>
      </c>
      <c r="Q37" t="n">
        <v>2</v>
      </c>
      <c r="R37" s="2" t="inlineStr">
        <is>
          <t>Hasselticka
Gullviva</t>
        </is>
      </c>
      <c r="S37">
        <f>HYPERLINK("https://klasma.github.io/Logging_0580/artfynd/A 50404-2023 artfynd.xlsx", "A 50404-2023")</f>
        <v/>
      </c>
      <c r="T37">
        <f>HYPERLINK("https://klasma.github.io/Logging_0580/kartor/A 50404-2023 karta.png", "A 50404-2023")</f>
        <v/>
      </c>
      <c r="V37">
        <f>HYPERLINK("https://klasma.github.io/Logging_0580/klagomål/A 50404-2023 FSC-klagomål.docx", "A 50404-2023")</f>
        <v/>
      </c>
      <c r="W37">
        <f>HYPERLINK("https://klasma.github.io/Logging_0580/klagomålsmail/A 50404-2023 FSC-klagomål mail.docx", "A 50404-2023")</f>
        <v/>
      </c>
      <c r="X37">
        <f>HYPERLINK("https://klasma.github.io/Logging_0580/tillsyn/A 50404-2023 tillsynsbegäran.docx", "A 50404-2023")</f>
        <v/>
      </c>
      <c r="Y37">
        <f>HYPERLINK("https://klasma.github.io/Logging_0580/tillsynsmail/A 50404-2023 tillsynsbegäran mail.docx", "A 50404-2023")</f>
        <v/>
      </c>
    </row>
    <row r="38" ht="15" customHeight="1">
      <c r="A38" t="inlineStr">
        <is>
          <t>A 21326-2025</t>
        </is>
      </c>
      <c r="B38" s="1" t="n">
        <v>45782.35407407407</v>
      </c>
      <c r="C38" s="1" t="n">
        <v>45911</v>
      </c>
      <c r="D38" t="inlineStr">
        <is>
          <t>ÖSTERGÖTLANDS LÄN</t>
        </is>
      </c>
      <c r="E38" t="inlineStr">
        <is>
          <t>LINKÖPING</t>
        </is>
      </c>
      <c r="G38" t="n">
        <v>4.9</v>
      </c>
      <c r="H38" t="n">
        <v>2</v>
      </c>
      <c r="I38" t="n">
        <v>0</v>
      </c>
      <c r="J38" t="n">
        <v>0</v>
      </c>
      <c r="K38" t="n">
        <v>0</v>
      </c>
      <c r="L38" t="n">
        <v>0</v>
      </c>
      <c r="M38" t="n">
        <v>0</v>
      </c>
      <c r="N38" t="n">
        <v>0</v>
      </c>
      <c r="O38" t="n">
        <v>0</v>
      </c>
      <c r="P38" t="n">
        <v>0</v>
      </c>
      <c r="Q38" t="n">
        <v>2</v>
      </c>
      <c r="R38" s="2" t="inlineStr">
        <is>
          <t>Blåsippa
Revlummer</t>
        </is>
      </c>
      <c r="S38">
        <f>HYPERLINK("https://klasma.github.io/Logging_0580/artfynd/A 21326-2025 artfynd.xlsx", "A 21326-2025")</f>
        <v/>
      </c>
      <c r="T38">
        <f>HYPERLINK("https://klasma.github.io/Logging_0580/kartor/A 21326-2025 karta.png", "A 21326-2025")</f>
        <v/>
      </c>
      <c r="V38">
        <f>HYPERLINK("https://klasma.github.io/Logging_0580/klagomål/A 21326-2025 FSC-klagomål.docx", "A 21326-2025")</f>
        <v/>
      </c>
      <c r="W38">
        <f>HYPERLINK("https://klasma.github.io/Logging_0580/klagomålsmail/A 21326-2025 FSC-klagomål mail.docx", "A 21326-2025")</f>
        <v/>
      </c>
      <c r="X38">
        <f>HYPERLINK("https://klasma.github.io/Logging_0580/tillsyn/A 21326-2025 tillsynsbegäran.docx", "A 21326-2025")</f>
        <v/>
      </c>
      <c r="Y38">
        <f>HYPERLINK("https://klasma.github.io/Logging_0580/tillsynsmail/A 21326-2025 tillsynsbegäran mail.docx", "A 21326-2025")</f>
        <v/>
      </c>
    </row>
    <row r="39" ht="15" customHeight="1">
      <c r="A39" t="inlineStr">
        <is>
          <t>A 38129-2021</t>
        </is>
      </c>
      <c r="B39" s="1" t="n">
        <v>44405.37199074074</v>
      </c>
      <c r="C39" s="1" t="n">
        <v>45911</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46496-2022</t>
        </is>
      </c>
      <c r="B40" s="1" t="n">
        <v>44848</v>
      </c>
      <c r="C40" s="1" t="n">
        <v>45911</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43017-2021</t>
        </is>
      </c>
      <c r="B41" s="1" t="n">
        <v>44431</v>
      </c>
      <c r="C41" s="1" t="n">
        <v>45911</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71127-2021</t>
        </is>
      </c>
      <c r="B42" s="1" t="n">
        <v>44537</v>
      </c>
      <c r="C42" s="1" t="n">
        <v>45911</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45911</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45911</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56250-2021</t>
        </is>
      </c>
      <c r="B45" s="1" t="n">
        <v>44479</v>
      </c>
      <c r="C45" s="1" t="n">
        <v>45911</v>
      </c>
      <c r="D45" t="inlineStr">
        <is>
          <t>ÖSTERGÖTLANDS LÄN</t>
        </is>
      </c>
      <c r="E45" t="inlineStr">
        <is>
          <t>LINKÖPING</t>
        </is>
      </c>
      <c r="F45" t="inlineStr">
        <is>
          <t>Övriga Aktiebolag</t>
        </is>
      </c>
      <c r="G45" t="n">
        <v>3.2</v>
      </c>
      <c r="H45" t="n">
        <v>0</v>
      </c>
      <c r="I45" t="n">
        <v>1</v>
      </c>
      <c r="J45" t="n">
        <v>0</v>
      </c>
      <c r="K45" t="n">
        <v>0</v>
      </c>
      <c r="L45" t="n">
        <v>0</v>
      </c>
      <c r="M45" t="n">
        <v>0</v>
      </c>
      <c r="N45" t="n">
        <v>0</v>
      </c>
      <c r="O45" t="n">
        <v>0</v>
      </c>
      <c r="P45" t="n">
        <v>0</v>
      </c>
      <c r="Q45" t="n">
        <v>1</v>
      </c>
      <c r="R45" s="2" t="inlineStr">
        <is>
          <t>Strutbräken</t>
        </is>
      </c>
      <c r="S45">
        <f>HYPERLINK("https://klasma.github.io/Logging_0580/artfynd/A 56250-2021 artfynd.xlsx", "A 56250-2021")</f>
        <v/>
      </c>
      <c r="T45">
        <f>HYPERLINK("https://klasma.github.io/Logging_0580/kartor/A 56250-2021 karta.png", "A 56250-2021")</f>
        <v/>
      </c>
      <c r="V45">
        <f>HYPERLINK("https://klasma.github.io/Logging_0580/klagomål/A 56250-2021 FSC-klagomål.docx", "A 56250-2021")</f>
        <v/>
      </c>
      <c r="W45">
        <f>HYPERLINK("https://klasma.github.io/Logging_0580/klagomålsmail/A 56250-2021 FSC-klagomål mail.docx", "A 56250-2021")</f>
        <v/>
      </c>
      <c r="X45">
        <f>HYPERLINK("https://klasma.github.io/Logging_0580/tillsyn/A 56250-2021 tillsynsbegäran.docx", "A 56250-2021")</f>
        <v/>
      </c>
      <c r="Y45">
        <f>HYPERLINK("https://klasma.github.io/Logging_0580/tillsynsmail/A 56250-2021 tillsynsbegäran mail.docx", "A 56250-2021")</f>
        <v/>
      </c>
    </row>
    <row r="46" ht="15" customHeight="1">
      <c r="A46" t="inlineStr">
        <is>
          <t>A 54835-2023</t>
        </is>
      </c>
      <c r="B46" s="1" t="n">
        <v>45236</v>
      </c>
      <c r="C46" s="1" t="n">
        <v>45911</v>
      </c>
      <c r="D46" t="inlineStr">
        <is>
          <t>ÖSTERGÖTLANDS LÄN</t>
        </is>
      </c>
      <c r="E46" t="inlineStr">
        <is>
          <t>LINKÖPING</t>
        </is>
      </c>
      <c r="G46" t="n">
        <v>2</v>
      </c>
      <c r="H46" t="n">
        <v>1</v>
      </c>
      <c r="I46" t="n">
        <v>0</v>
      </c>
      <c r="J46" t="n">
        <v>0</v>
      </c>
      <c r="K46" t="n">
        <v>0</v>
      </c>
      <c r="L46" t="n">
        <v>0</v>
      </c>
      <c r="M46" t="n">
        <v>0</v>
      </c>
      <c r="N46" t="n">
        <v>0</v>
      </c>
      <c r="O46" t="n">
        <v>0</v>
      </c>
      <c r="P46" t="n">
        <v>0</v>
      </c>
      <c r="Q46" t="n">
        <v>1</v>
      </c>
      <c r="R46" s="2" t="inlineStr">
        <is>
          <t>Sparvuggla</t>
        </is>
      </c>
      <c r="S46">
        <f>HYPERLINK("https://klasma.github.io/Logging_0580/artfynd/A 54835-2023 artfynd.xlsx", "A 54835-2023")</f>
        <v/>
      </c>
      <c r="T46">
        <f>HYPERLINK("https://klasma.github.io/Logging_0580/kartor/A 54835-2023 karta.png", "A 54835-2023")</f>
        <v/>
      </c>
      <c r="V46">
        <f>HYPERLINK("https://klasma.github.io/Logging_0580/klagomål/A 54835-2023 FSC-klagomål.docx", "A 54835-2023")</f>
        <v/>
      </c>
      <c r="W46">
        <f>HYPERLINK("https://klasma.github.io/Logging_0580/klagomålsmail/A 54835-2023 FSC-klagomål mail.docx", "A 54835-2023")</f>
        <v/>
      </c>
      <c r="X46">
        <f>HYPERLINK("https://klasma.github.io/Logging_0580/tillsyn/A 54835-2023 tillsynsbegäran.docx", "A 54835-2023")</f>
        <v/>
      </c>
      <c r="Y46">
        <f>HYPERLINK("https://klasma.github.io/Logging_0580/tillsynsmail/A 54835-2023 tillsynsbegäran mail.docx", "A 54835-2023")</f>
        <v/>
      </c>
      <c r="Z46">
        <f>HYPERLINK("https://klasma.github.io/Logging_0580/fåglar/A 54835-2023 prioriterade fågelarter.docx", "A 54835-2023")</f>
        <v/>
      </c>
    </row>
    <row r="47" ht="15" customHeight="1">
      <c r="A47" t="inlineStr">
        <is>
          <t>A 22526-2025</t>
        </is>
      </c>
      <c r="B47" s="1" t="n">
        <v>45786.78096064815</v>
      </c>
      <c r="C47" s="1" t="n">
        <v>45911</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Röd skogslilja</t>
        </is>
      </c>
      <c r="S47">
        <f>HYPERLINK("https://klasma.github.io/Logging_0580/artfynd/A 22526-2025 artfynd.xlsx", "A 22526-2025")</f>
        <v/>
      </c>
      <c r="T47">
        <f>HYPERLINK("https://klasma.github.io/Logging_0580/kartor/A 22526-2025 karta.png", "A 22526-2025")</f>
        <v/>
      </c>
      <c r="V47">
        <f>HYPERLINK("https://klasma.github.io/Logging_0580/klagomål/A 22526-2025 FSC-klagomål.docx", "A 22526-2025")</f>
        <v/>
      </c>
      <c r="W47">
        <f>HYPERLINK("https://klasma.github.io/Logging_0580/klagomålsmail/A 22526-2025 FSC-klagomål mail.docx", "A 22526-2025")</f>
        <v/>
      </c>
      <c r="X47">
        <f>HYPERLINK("https://klasma.github.io/Logging_0580/tillsyn/A 22526-2025 tillsynsbegäran.docx", "A 22526-2025")</f>
        <v/>
      </c>
      <c r="Y47">
        <f>HYPERLINK("https://klasma.github.io/Logging_0580/tillsynsmail/A 22526-2025 tillsynsbegäran mail.docx", "A 22526-2025")</f>
        <v/>
      </c>
    </row>
    <row r="48" ht="15" customHeight="1">
      <c r="A48" t="inlineStr">
        <is>
          <t>A 34881-2023</t>
        </is>
      </c>
      <c r="B48" s="1" t="n">
        <v>45140</v>
      </c>
      <c r="C48" s="1" t="n">
        <v>45911</v>
      </c>
      <c r="D48" t="inlineStr">
        <is>
          <t>ÖSTERGÖTLANDS LÄN</t>
        </is>
      </c>
      <c r="E48" t="inlineStr">
        <is>
          <t>LINKÖPING</t>
        </is>
      </c>
      <c r="G48" t="n">
        <v>1.9</v>
      </c>
      <c r="H48" t="n">
        <v>0</v>
      </c>
      <c r="I48" t="n">
        <v>0</v>
      </c>
      <c r="J48" t="n">
        <v>1</v>
      </c>
      <c r="K48" t="n">
        <v>0</v>
      </c>
      <c r="L48" t="n">
        <v>0</v>
      </c>
      <c r="M48" t="n">
        <v>0</v>
      </c>
      <c r="N48" t="n">
        <v>0</v>
      </c>
      <c r="O48" t="n">
        <v>1</v>
      </c>
      <c r="P48" t="n">
        <v>0</v>
      </c>
      <c r="Q48" t="n">
        <v>1</v>
      </c>
      <c r="R48" s="2" t="inlineStr">
        <is>
          <t>Tallticka</t>
        </is>
      </c>
      <c r="S48">
        <f>HYPERLINK("https://klasma.github.io/Logging_0580/artfynd/A 34881-2023 artfynd.xlsx", "A 34881-2023")</f>
        <v/>
      </c>
      <c r="T48">
        <f>HYPERLINK("https://klasma.github.io/Logging_0580/kartor/A 34881-2023 karta.png", "A 34881-2023")</f>
        <v/>
      </c>
      <c r="U48">
        <f>HYPERLINK("https://klasma.github.io/Logging_0580/knärot/A 34881-2023 karta knärot.png", "A 34881-2023")</f>
        <v/>
      </c>
      <c r="V48">
        <f>HYPERLINK("https://klasma.github.io/Logging_0580/klagomål/A 34881-2023 FSC-klagomål.docx", "A 34881-2023")</f>
        <v/>
      </c>
      <c r="W48">
        <f>HYPERLINK("https://klasma.github.io/Logging_0580/klagomålsmail/A 34881-2023 FSC-klagomål mail.docx", "A 34881-2023")</f>
        <v/>
      </c>
      <c r="X48">
        <f>HYPERLINK("https://klasma.github.io/Logging_0580/tillsyn/A 34881-2023 tillsynsbegäran.docx", "A 34881-2023")</f>
        <v/>
      </c>
      <c r="Y48">
        <f>HYPERLINK("https://klasma.github.io/Logging_0580/tillsynsmail/A 34881-2023 tillsynsbegäran mail.docx", "A 34881-2023")</f>
        <v/>
      </c>
    </row>
    <row r="49" ht="15" customHeight="1">
      <c r="A49" t="inlineStr">
        <is>
          <t>A 41749-2023</t>
        </is>
      </c>
      <c r="B49" s="1" t="n">
        <v>45176</v>
      </c>
      <c r="C49" s="1" t="n">
        <v>45911</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41749-2023 artfynd.xlsx", "A 41749-2023")</f>
        <v/>
      </c>
      <c r="T49">
        <f>HYPERLINK("https://klasma.github.io/Logging_0580/kartor/A 41749-2023 karta.png", "A 41749-2023")</f>
        <v/>
      </c>
      <c r="V49">
        <f>HYPERLINK("https://klasma.github.io/Logging_0580/klagomål/A 41749-2023 FSC-klagomål.docx", "A 41749-2023")</f>
        <v/>
      </c>
      <c r="W49">
        <f>HYPERLINK("https://klasma.github.io/Logging_0580/klagomålsmail/A 41749-2023 FSC-klagomål mail.docx", "A 41749-2023")</f>
        <v/>
      </c>
      <c r="X49">
        <f>HYPERLINK("https://klasma.github.io/Logging_0580/tillsyn/A 41749-2023 tillsynsbegäran.docx", "A 41749-2023")</f>
        <v/>
      </c>
      <c r="Y49">
        <f>HYPERLINK("https://klasma.github.io/Logging_0580/tillsynsmail/A 41749-2023 tillsynsbegäran mail.docx", "A 41749-2023")</f>
        <v/>
      </c>
    </row>
    <row r="50" ht="15" customHeight="1">
      <c r="A50" t="inlineStr">
        <is>
          <t>A 17389-2021</t>
        </is>
      </c>
      <c r="B50" s="1" t="n">
        <v>44298.96792824074</v>
      </c>
      <c r="C50" s="1" t="n">
        <v>45911</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40315-2024</t>
        </is>
      </c>
      <c r="B51" s="1" t="n">
        <v>45554.7571875</v>
      </c>
      <c r="C51" s="1" t="n">
        <v>45911</v>
      </c>
      <c r="D51" t="inlineStr">
        <is>
          <t>ÖSTERGÖTLANDS LÄN</t>
        </is>
      </c>
      <c r="E51" t="inlineStr">
        <is>
          <t>LINKÖPING</t>
        </is>
      </c>
      <c r="F51" t="inlineStr">
        <is>
          <t>Allmännings- och besparingsskogar</t>
        </is>
      </c>
      <c r="G51" t="n">
        <v>15.8</v>
      </c>
      <c r="H51" t="n">
        <v>0</v>
      </c>
      <c r="I51" t="n">
        <v>0</v>
      </c>
      <c r="J51" t="n">
        <v>0</v>
      </c>
      <c r="K51" t="n">
        <v>0</v>
      </c>
      <c r="L51" t="n">
        <v>0</v>
      </c>
      <c r="M51" t="n">
        <v>1</v>
      </c>
      <c r="N51" t="n">
        <v>0</v>
      </c>
      <c r="O51" t="n">
        <v>1</v>
      </c>
      <c r="P51" t="n">
        <v>1</v>
      </c>
      <c r="Q51" t="n">
        <v>1</v>
      </c>
      <c r="R51" s="2" t="inlineStr">
        <is>
          <t>Skogsalm</t>
        </is>
      </c>
      <c r="S51">
        <f>HYPERLINK("https://klasma.github.io/Logging_0580/artfynd/A 40315-2024 artfynd.xlsx", "A 40315-2024")</f>
        <v/>
      </c>
      <c r="T51">
        <f>HYPERLINK("https://klasma.github.io/Logging_0580/kartor/A 40315-2024 karta.png", "A 40315-2024")</f>
        <v/>
      </c>
      <c r="V51">
        <f>HYPERLINK("https://klasma.github.io/Logging_0580/klagomål/A 40315-2024 FSC-klagomål.docx", "A 40315-2024")</f>
        <v/>
      </c>
      <c r="W51">
        <f>HYPERLINK("https://klasma.github.io/Logging_0580/klagomålsmail/A 40315-2024 FSC-klagomål mail.docx", "A 40315-2024")</f>
        <v/>
      </c>
      <c r="X51">
        <f>HYPERLINK("https://klasma.github.io/Logging_0580/tillsyn/A 40315-2024 tillsynsbegäran.docx", "A 40315-2024")</f>
        <v/>
      </c>
      <c r="Y51">
        <f>HYPERLINK("https://klasma.github.io/Logging_0580/tillsynsmail/A 40315-2024 tillsynsbegäran mail.docx", "A 40315-2024")</f>
        <v/>
      </c>
    </row>
    <row r="52" ht="15" customHeight="1">
      <c r="A52" t="inlineStr">
        <is>
          <t>A 19103-2021</t>
        </is>
      </c>
      <c r="B52" s="1" t="n">
        <v>44308</v>
      </c>
      <c r="C52" s="1" t="n">
        <v>45911</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45317-2023</t>
        </is>
      </c>
      <c r="B53" s="1" t="n">
        <v>45191.74868055555</v>
      </c>
      <c r="C53" s="1" t="n">
        <v>45911</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20295-2025</t>
        </is>
      </c>
      <c r="B54" s="1" t="n">
        <v>45774.74846064814</v>
      </c>
      <c r="C54" s="1" t="n">
        <v>45911</v>
      </c>
      <c r="D54" t="inlineStr">
        <is>
          <t>ÖSTERGÖTLANDS LÄN</t>
        </is>
      </c>
      <c r="E54" t="inlineStr">
        <is>
          <t>LINKÖPING</t>
        </is>
      </c>
      <c r="G54" t="n">
        <v>3</v>
      </c>
      <c r="H54" t="n">
        <v>0</v>
      </c>
      <c r="I54" t="n">
        <v>0</v>
      </c>
      <c r="J54" t="n">
        <v>1</v>
      </c>
      <c r="K54" t="n">
        <v>0</v>
      </c>
      <c r="L54" t="n">
        <v>0</v>
      </c>
      <c r="M54" t="n">
        <v>0</v>
      </c>
      <c r="N54" t="n">
        <v>0</v>
      </c>
      <c r="O54" t="n">
        <v>1</v>
      </c>
      <c r="P54" t="n">
        <v>0</v>
      </c>
      <c r="Q54" t="n">
        <v>1</v>
      </c>
      <c r="R54" s="2" t="inlineStr">
        <is>
          <t>Tallticka</t>
        </is>
      </c>
      <c r="S54">
        <f>HYPERLINK("https://klasma.github.io/Logging_0580/artfynd/A 20295-2025 artfynd.xlsx", "A 20295-2025")</f>
        <v/>
      </c>
      <c r="T54">
        <f>HYPERLINK("https://klasma.github.io/Logging_0580/kartor/A 20295-2025 karta.png", "A 20295-2025")</f>
        <v/>
      </c>
      <c r="V54">
        <f>HYPERLINK("https://klasma.github.io/Logging_0580/klagomål/A 20295-2025 FSC-klagomål.docx", "A 20295-2025")</f>
        <v/>
      </c>
      <c r="W54">
        <f>HYPERLINK("https://klasma.github.io/Logging_0580/klagomålsmail/A 20295-2025 FSC-klagomål mail.docx", "A 20295-2025")</f>
        <v/>
      </c>
      <c r="X54">
        <f>HYPERLINK("https://klasma.github.io/Logging_0580/tillsyn/A 20295-2025 tillsynsbegäran.docx", "A 20295-2025")</f>
        <v/>
      </c>
      <c r="Y54">
        <f>HYPERLINK("https://klasma.github.io/Logging_0580/tillsynsmail/A 20295-2025 tillsynsbegäran mail.docx", "A 20295-2025")</f>
        <v/>
      </c>
    </row>
    <row r="55" ht="15" customHeight="1">
      <c r="A55" t="inlineStr">
        <is>
          <t>A 35948-2023</t>
        </is>
      </c>
      <c r="B55" s="1" t="n">
        <v>45148</v>
      </c>
      <c r="C55" s="1" t="n">
        <v>45911</v>
      </c>
      <c r="D55" t="inlineStr">
        <is>
          <t>ÖSTERGÖTLANDS LÄN</t>
        </is>
      </c>
      <c r="E55" t="inlineStr">
        <is>
          <t>LINKÖPING</t>
        </is>
      </c>
      <c r="G55" t="n">
        <v>1.9</v>
      </c>
      <c r="H55" t="n">
        <v>0</v>
      </c>
      <c r="I55" t="n">
        <v>1</v>
      </c>
      <c r="J55" t="n">
        <v>0</v>
      </c>
      <c r="K55" t="n">
        <v>0</v>
      </c>
      <c r="L55" t="n">
        <v>0</v>
      </c>
      <c r="M55" t="n">
        <v>0</v>
      </c>
      <c r="N55" t="n">
        <v>0</v>
      </c>
      <c r="O55" t="n">
        <v>0</v>
      </c>
      <c r="P55" t="n">
        <v>0</v>
      </c>
      <c r="Q55" t="n">
        <v>1</v>
      </c>
      <c r="R55" s="2" t="inlineStr">
        <is>
          <t>Brun nållav</t>
        </is>
      </c>
      <c r="S55">
        <f>HYPERLINK("https://klasma.github.io/Logging_0580/artfynd/A 35948-2023 artfynd.xlsx", "A 35948-2023")</f>
        <v/>
      </c>
      <c r="T55">
        <f>HYPERLINK("https://klasma.github.io/Logging_0580/kartor/A 35948-2023 karta.png", "A 35948-2023")</f>
        <v/>
      </c>
      <c r="V55">
        <f>HYPERLINK("https://klasma.github.io/Logging_0580/klagomål/A 35948-2023 FSC-klagomål.docx", "A 35948-2023")</f>
        <v/>
      </c>
      <c r="W55">
        <f>HYPERLINK("https://klasma.github.io/Logging_0580/klagomålsmail/A 35948-2023 FSC-klagomål mail.docx", "A 35948-2023")</f>
        <v/>
      </c>
      <c r="X55">
        <f>HYPERLINK("https://klasma.github.io/Logging_0580/tillsyn/A 35948-2023 tillsynsbegäran.docx", "A 35948-2023")</f>
        <v/>
      </c>
      <c r="Y55">
        <f>HYPERLINK("https://klasma.github.io/Logging_0580/tillsynsmail/A 35948-2023 tillsynsbegäran mail.docx", "A 35948-2023")</f>
        <v/>
      </c>
    </row>
    <row r="56" ht="15" customHeight="1">
      <c r="A56" t="inlineStr">
        <is>
          <t>A 13694-2025</t>
        </is>
      </c>
      <c r="B56" s="1" t="n">
        <v>45737.32148148148</v>
      </c>
      <c r="C56" s="1" t="n">
        <v>45911</v>
      </c>
      <c r="D56" t="inlineStr">
        <is>
          <t>ÖSTERGÖTLANDS LÄN</t>
        </is>
      </c>
      <c r="E56" t="inlineStr">
        <is>
          <t>LINKÖPING</t>
        </is>
      </c>
      <c r="G56" t="n">
        <v>9.300000000000001</v>
      </c>
      <c r="H56" t="n">
        <v>1</v>
      </c>
      <c r="I56" t="n">
        <v>0</v>
      </c>
      <c r="J56" t="n">
        <v>0</v>
      </c>
      <c r="K56" t="n">
        <v>0</v>
      </c>
      <c r="L56" t="n">
        <v>0</v>
      </c>
      <c r="M56" t="n">
        <v>0</v>
      </c>
      <c r="N56" t="n">
        <v>0</v>
      </c>
      <c r="O56" t="n">
        <v>0</v>
      </c>
      <c r="P56" t="n">
        <v>0</v>
      </c>
      <c r="Q56" t="n">
        <v>1</v>
      </c>
      <c r="R56" s="2" t="inlineStr">
        <is>
          <t>Mattlummer</t>
        </is>
      </c>
      <c r="S56">
        <f>HYPERLINK("https://klasma.github.io/Logging_0580/artfynd/A 13694-2025 artfynd.xlsx", "A 13694-2025")</f>
        <v/>
      </c>
      <c r="T56">
        <f>HYPERLINK("https://klasma.github.io/Logging_0580/kartor/A 13694-2025 karta.png", "A 13694-2025")</f>
        <v/>
      </c>
      <c r="V56">
        <f>HYPERLINK("https://klasma.github.io/Logging_0580/klagomål/A 13694-2025 FSC-klagomål.docx", "A 13694-2025")</f>
        <v/>
      </c>
      <c r="W56">
        <f>HYPERLINK("https://klasma.github.io/Logging_0580/klagomålsmail/A 13694-2025 FSC-klagomål mail.docx", "A 13694-2025")</f>
        <v/>
      </c>
      <c r="X56">
        <f>HYPERLINK("https://klasma.github.io/Logging_0580/tillsyn/A 13694-2025 tillsynsbegäran.docx", "A 13694-2025")</f>
        <v/>
      </c>
      <c r="Y56">
        <f>HYPERLINK("https://klasma.github.io/Logging_0580/tillsynsmail/A 13694-2025 tillsynsbegäran mail.docx", "A 13694-2025")</f>
        <v/>
      </c>
    </row>
    <row r="57" ht="15" customHeight="1">
      <c r="A57" t="inlineStr">
        <is>
          <t>A 1213-2023</t>
        </is>
      </c>
      <c r="B57" s="1" t="n">
        <v>44930</v>
      </c>
      <c r="C57" s="1" t="n">
        <v>45911</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27403-2025</t>
        </is>
      </c>
      <c r="B58" s="1" t="n">
        <v>45812.72518518518</v>
      </c>
      <c r="C58" s="1" t="n">
        <v>45911</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48984-2020</t>
        </is>
      </c>
      <c r="B59" s="1" t="n">
        <v>44104</v>
      </c>
      <c r="C59" s="1" t="n">
        <v>45911</v>
      </c>
      <c r="D59" t="inlineStr">
        <is>
          <t>ÖSTERGÖTLANDS LÄN</t>
        </is>
      </c>
      <c r="E59" t="inlineStr">
        <is>
          <t>LINKÖPING</t>
        </is>
      </c>
      <c r="G59" t="n">
        <v>2.8</v>
      </c>
      <c r="H59" t="n">
        <v>0</v>
      </c>
      <c r="I59" t="n">
        <v>0</v>
      </c>
      <c r="J59" t="n">
        <v>1</v>
      </c>
      <c r="K59" t="n">
        <v>0</v>
      </c>
      <c r="L59" t="n">
        <v>0</v>
      </c>
      <c r="M59" t="n">
        <v>0</v>
      </c>
      <c r="N59" t="n">
        <v>0</v>
      </c>
      <c r="O59" t="n">
        <v>1</v>
      </c>
      <c r="P59" t="n">
        <v>0</v>
      </c>
      <c r="Q59" t="n">
        <v>1</v>
      </c>
      <c r="R59" s="2" t="inlineStr">
        <is>
          <t>Vårstarr</t>
        </is>
      </c>
      <c r="S59">
        <f>HYPERLINK("https://klasma.github.io/Logging_0580/artfynd/A 48984-2020 artfynd.xlsx", "A 48984-2020")</f>
        <v/>
      </c>
      <c r="T59">
        <f>HYPERLINK("https://klasma.github.io/Logging_0580/kartor/A 48984-2020 karta.png", "A 48984-2020")</f>
        <v/>
      </c>
      <c r="V59">
        <f>HYPERLINK("https://klasma.github.io/Logging_0580/klagomål/A 48984-2020 FSC-klagomål.docx", "A 48984-2020")</f>
        <v/>
      </c>
      <c r="W59">
        <f>HYPERLINK("https://klasma.github.io/Logging_0580/klagomålsmail/A 48984-2020 FSC-klagomål mail.docx", "A 48984-2020")</f>
        <v/>
      </c>
      <c r="X59">
        <f>HYPERLINK("https://klasma.github.io/Logging_0580/tillsyn/A 48984-2020 tillsynsbegäran.docx", "A 48984-2020")</f>
        <v/>
      </c>
      <c r="Y59">
        <f>HYPERLINK("https://klasma.github.io/Logging_0580/tillsynsmail/A 48984-2020 tillsynsbegäran mail.docx", "A 48984-2020")</f>
        <v/>
      </c>
    </row>
    <row r="60" ht="15" customHeight="1">
      <c r="A60" t="inlineStr">
        <is>
          <t>A 56651-2023</t>
        </is>
      </c>
      <c r="B60" s="1" t="n">
        <v>45243</v>
      </c>
      <c r="C60" s="1" t="n">
        <v>45911</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50806-2023</t>
        </is>
      </c>
      <c r="B61" s="1" t="n">
        <v>45217</v>
      </c>
      <c r="C61" s="1" t="n">
        <v>45911</v>
      </c>
      <c r="D61" t="inlineStr">
        <is>
          <t>ÖSTERGÖTLANDS LÄN</t>
        </is>
      </c>
      <c r="E61" t="inlineStr">
        <is>
          <t>LINKÖPING</t>
        </is>
      </c>
      <c r="F61" t="inlineStr">
        <is>
          <t>Övriga Aktiebolag</t>
        </is>
      </c>
      <c r="G61" t="n">
        <v>0.7</v>
      </c>
      <c r="H61" t="n">
        <v>1</v>
      </c>
      <c r="I61" t="n">
        <v>0</v>
      </c>
      <c r="J61" t="n">
        <v>0</v>
      </c>
      <c r="K61" t="n">
        <v>0</v>
      </c>
      <c r="L61" t="n">
        <v>0</v>
      </c>
      <c r="M61" t="n">
        <v>0</v>
      </c>
      <c r="N61" t="n">
        <v>0</v>
      </c>
      <c r="O61" t="n">
        <v>0</v>
      </c>
      <c r="P61" t="n">
        <v>0</v>
      </c>
      <c r="Q61" t="n">
        <v>1</v>
      </c>
      <c r="R61" s="2" t="inlineStr">
        <is>
          <t>Gullviva</t>
        </is>
      </c>
      <c r="S61">
        <f>HYPERLINK("https://klasma.github.io/Logging_0580/artfynd/A 50806-2023 artfynd.xlsx", "A 50806-2023")</f>
        <v/>
      </c>
      <c r="T61">
        <f>HYPERLINK("https://klasma.github.io/Logging_0580/kartor/A 50806-2023 karta.png", "A 50806-2023")</f>
        <v/>
      </c>
      <c r="V61">
        <f>HYPERLINK("https://klasma.github.io/Logging_0580/klagomål/A 50806-2023 FSC-klagomål.docx", "A 50806-2023")</f>
        <v/>
      </c>
      <c r="W61">
        <f>HYPERLINK("https://klasma.github.io/Logging_0580/klagomålsmail/A 50806-2023 FSC-klagomål mail.docx", "A 50806-2023")</f>
        <v/>
      </c>
      <c r="X61">
        <f>HYPERLINK("https://klasma.github.io/Logging_0580/tillsyn/A 50806-2023 tillsynsbegäran.docx", "A 50806-2023")</f>
        <v/>
      </c>
      <c r="Y61">
        <f>HYPERLINK("https://klasma.github.io/Logging_0580/tillsynsmail/A 50806-2023 tillsynsbegäran mail.docx", "A 50806-2023")</f>
        <v/>
      </c>
    </row>
    <row r="62" ht="15" customHeight="1">
      <c r="A62" t="inlineStr">
        <is>
          <t>A 62071-2023</t>
        </is>
      </c>
      <c r="B62" s="1" t="n">
        <v>45266.73542824074</v>
      </c>
      <c r="C62" s="1" t="n">
        <v>45911</v>
      </c>
      <c r="D62" t="inlineStr">
        <is>
          <t>ÖSTERGÖTLANDS LÄN</t>
        </is>
      </c>
      <c r="E62" t="inlineStr">
        <is>
          <t>LINKÖPING</t>
        </is>
      </c>
      <c r="G62" t="n">
        <v>6.5</v>
      </c>
      <c r="H62" t="n">
        <v>0</v>
      </c>
      <c r="I62" t="n">
        <v>0</v>
      </c>
      <c r="J62" t="n">
        <v>1</v>
      </c>
      <c r="K62" t="n">
        <v>0</v>
      </c>
      <c r="L62" t="n">
        <v>0</v>
      </c>
      <c r="M62" t="n">
        <v>0</v>
      </c>
      <c r="N62" t="n">
        <v>0</v>
      </c>
      <c r="O62" t="n">
        <v>1</v>
      </c>
      <c r="P62" t="n">
        <v>0</v>
      </c>
      <c r="Q62" t="n">
        <v>1</v>
      </c>
      <c r="R62" s="2" t="inlineStr">
        <is>
          <t>Svinrot</t>
        </is>
      </c>
      <c r="S62">
        <f>HYPERLINK("https://klasma.github.io/Logging_0580/artfynd/A 62071-2023 artfynd.xlsx", "A 62071-2023")</f>
        <v/>
      </c>
      <c r="T62">
        <f>HYPERLINK("https://klasma.github.io/Logging_0580/kartor/A 62071-2023 karta.png", "A 62071-2023")</f>
        <v/>
      </c>
      <c r="V62">
        <f>HYPERLINK("https://klasma.github.io/Logging_0580/klagomål/A 62071-2023 FSC-klagomål.docx", "A 62071-2023")</f>
        <v/>
      </c>
      <c r="W62">
        <f>HYPERLINK("https://klasma.github.io/Logging_0580/klagomålsmail/A 62071-2023 FSC-klagomål mail.docx", "A 62071-2023")</f>
        <v/>
      </c>
      <c r="X62">
        <f>HYPERLINK("https://klasma.github.io/Logging_0580/tillsyn/A 62071-2023 tillsynsbegäran.docx", "A 62071-2023")</f>
        <v/>
      </c>
      <c r="Y62">
        <f>HYPERLINK("https://klasma.github.io/Logging_0580/tillsynsmail/A 62071-2023 tillsynsbegäran mail.docx", "A 62071-2023")</f>
        <v/>
      </c>
    </row>
    <row r="63" ht="15" customHeight="1">
      <c r="A63" t="inlineStr">
        <is>
          <t>A 90-2024</t>
        </is>
      </c>
      <c r="B63" s="1" t="n">
        <v>45293</v>
      </c>
      <c r="C63" s="1" t="n">
        <v>45911</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60573-2021</t>
        </is>
      </c>
      <c r="B64" s="1" t="n">
        <v>44496</v>
      </c>
      <c r="C64" s="1" t="n">
        <v>45911</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17444-2025</t>
        </is>
      </c>
      <c r="B65" s="1" t="n">
        <v>45757.43452546297</v>
      </c>
      <c r="C65" s="1" t="n">
        <v>45911</v>
      </c>
      <c r="D65" t="inlineStr">
        <is>
          <t>ÖSTERGÖTLANDS LÄN</t>
        </is>
      </c>
      <c r="E65" t="inlineStr">
        <is>
          <t>LINKÖPING</t>
        </is>
      </c>
      <c r="G65" t="n">
        <v>1.3</v>
      </c>
      <c r="H65" t="n">
        <v>1</v>
      </c>
      <c r="I65" t="n">
        <v>0</v>
      </c>
      <c r="J65" t="n">
        <v>1</v>
      </c>
      <c r="K65" t="n">
        <v>0</v>
      </c>
      <c r="L65" t="n">
        <v>0</v>
      </c>
      <c r="M65" t="n">
        <v>0</v>
      </c>
      <c r="N65" t="n">
        <v>0</v>
      </c>
      <c r="O65" t="n">
        <v>1</v>
      </c>
      <c r="P65" t="n">
        <v>0</v>
      </c>
      <c r="Q65" t="n">
        <v>1</v>
      </c>
      <c r="R65" s="2" t="inlineStr">
        <is>
          <t>Dårgräsfjäril</t>
        </is>
      </c>
      <c r="S65">
        <f>HYPERLINK("https://klasma.github.io/Logging_0580/artfynd/A 17444-2025 artfynd.xlsx", "A 17444-2025")</f>
        <v/>
      </c>
      <c r="T65">
        <f>HYPERLINK("https://klasma.github.io/Logging_0580/kartor/A 17444-2025 karta.png", "A 17444-2025")</f>
        <v/>
      </c>
      <c r="V65">
        <f>HYPERLINK("https://klasma.github.io/Logging_0580/klagomål/A 17444-2025 FSC-klagomål.docx", "A 17444-2025")</f>
        <v/>
      </c>
      <c r="W65">
        <f>HYPERLINK("https://klasma.github.io/Logging_0580/klagomålsmail/A 17444-2025 FSC-klagomål mail.docx", "A 17444-2025")</f>
        <v/>
      </c>
      <c r="X65">
        <f>HYPERLINK("https://klasma.github.io/Logging_0580/tillsyn/A 17444-2025 tillsynsbegäran.docx", "A 17444-2025")</f>
        <v/>
      </c>
      <c r="Y65">
        <f>HYPERLINK("https://klasma.github.io/Logging_0580/tillsynsmail/A 17444-2025 tillsynsbegäran mail.docx", "A 17444-2025")</f>
        <v/>
      </c>
    </row>
    <row r="66" ht="15" customHeight="1">
      <c r="A66" t="inlineStr">
        <is>
          <t>A 5984-2025</t>
        </is>
      </c>
      <c r="B66" s="1" t="n">
        <v>45695.55173611111</v>
      </c>
      <c r="C66" s="1" t="n">
        <v>45911</v>
      </c>
      <c r="D66" t="inlineStr">
        <is>
          <t>ÖSTERGÖTLANDS LÄN</t>
        </is>
      </c>
      <c r="E66" t="inlineStr">
        <is>
          <t>LINKÖPING</t>
        </is>
      </c>
      <c r="F66" t="inlineStr">
        <is>
          <t>Allmännings- och besparingsskogar</t>
        </is>
      </c>
      <c r="G66" t="n">
        <v>5.5</v>
      </c>
      <c r="H66" t="n">
        <v>0</v>
      </c>
      <c r="I66" t="n">
        <v>0</v>
      </c>
      <c r="J66" t="n">
        <v>1</v>
      </c>
      <c r="K66" t="n">
        <v>0</v>
      </c>
      <c r="L66" t="n">
        <v>0</v>
      </c>
      <c r="M66" t="n">
        <v>0</v>
      </c>
      <c r="N66" t="n">
        <v>0</v>
      </c>
      <c r="O66" t="n">
        <v>1</v>
      </c>
      <c r="P66" t="n">
        <v>0</v>
      </c>
      <c r="Q66" t="n">
        <v>1</v>
      </c>
      <c r="R66" s="2" t="inlineStr">
        <is>
          <t>Vanlig backsmörblomma</t>
        </is>
      </c>
      <c r="S66">
        <f>HYPERLINK("https://klasma.github.io/Logging_0580/artfynd/A 5984-2025 artfynd.xlsx", "A 5984-2025")</f>
        <v/>
      </c>
      <c r="T66">
        <f>HYPERLINK("https://klasma.github.io/Logging_0580/kartor/A 5984-2025 karta.png", "A 5984-2025")</f>
        <v/>
      </c>
      <c r="V66">
        <f>HYPERLINK("https://klasma.github.io/Logging_0580/klagomål/A 5984-2025 FSC-klagomål.docx", "A 5984-2025")</f>
        <v/>
      </c>
      <c r="W66">
        <f>HYPERLINK("https://klasma.github.io/Logging_0580/klagomålsmail/A 5984-2025 FSC-klagomål mail.docx", "A 5984-2025")</f>
        <v/>
      </c>
      <c r="X66">
        <f>HYPERLINK("https://klasma.github.io/Logging_0580/tillsyn/A 5984-2025 tillsynsbegäran.docx", "A 5984-2025")</f>
        <v/>
      </c>
      <c r="Y66">
        <f>HYPERLINK("https://klasma.github.io/Logging_0580/tillsynsmail/A 5984-2025 tillsynsbegäran mail.docx", "A 5984-2025")</f>
        <v/>
      </c>
    </row>
    <row r="67" ht="15" customHeight="1">
      <c r="A67" t="inlineStr">
        <is>
          <t>A 44930-2020</t>
        </is>
      </c>
      <c r="B67" s="1" t="n">
        <v>44088</v>
      </c>
      <c r="C67" s="1" t="n">
        <v>45911</v>
      </c>
      <c r="D67" t="inlineStr">
        <is>
          <t>ÖSTERGÖTLANDS LÄN</t>
        </is>
      </c>
      <c r="E67" t="inlineStr">
        <is>
          <t>LINKÖPING</t>
        </is>
      </c>
      <c r="G67" t="n">
        <v>2.6</v>
      </c>
      <c r="H67" t="n">
        <v>1</v>
      </c>
      <c r="I67" t="n">
        <v>0</v>
      </c>
      <c r="J67" t="n">
        <v>0</v>
      </c>
      <c r="K67" t="n">
        <v>1</v>
      </c>
      <c r="L67" t="n">
        <v>0</v>
      </c>
      <c r="M67" t="n">
        <v>0</v>
      </c>
      <c r="N67" t="n">
        <v>0</v>
      </c>
      <c r="O67" t="n">
        <v>1</v>
      </c>
      <c r="P67" t="n">
        <v>1</v>
      </c>
      <c r="Q67" t="n">
        <v>1</v>
      </c>
      <c r="R67" s="2" t="inlineStr">
        <is>
          <t>Knärot</t>
        </is>
      </c>
      <c r="S67">
        <f>HYPERLINK("https://klasma.github.io/Logging_0580/artfynd/A 44930-2020 artfynd.xlsx", "A 44930-2020")</f>
        <v/>
      </c>
      <c r="T67">
        <f>HYPERLINK("https://klasma.github.io/Logging_0580/kartor/A 44930-2020 karta.png", "A 44930-2020")</f>
        <v/>
      </c>
      <c r="U67">
        <f>HYPERLINK("https://klasma.github.io/Logging_0580/knärot/A 44930-2020 karta knärot.png", "A 44930-2020")</f>
        <v/>
      </c>
      <c r="V67">
        <f>HYPERLINK("https://klasma.github.io/Logging_0580/klagomål/A 44930-2020 FSC-klagomål.docx", "A 44930-2020")</f>
        <v/>
      </c>
      <c r="W67">
        <f>HYPERLINK("https://klasma.github.io/Logging_0580/klagomålsmail/A 44930-2020 FSC-klagomål mail.docx", "A 44930-2020")</f>
        <v/>
      </c>
      <c r="X67">
        <f>HYPERLINK("https://klasma.github.io/Logging_0580/tillsyn/A 44930-2020 tillsynsbegäran.docx", "A 44930-2020")</f>
        <v/>
      </c>
      <c r="Y67">
        <f>HYPERLINK("https://klasma.github.io/Logging_0580/tillsynsmail/A 44930-2020 tillsynsbegäran mail.docx", "A 44930-2020")</f>
        <v/>
      </c>
    </row>
    <row r="68" ht="15" customHeight="1">
      <c r="A68" t="inlineStr">
        <is>
          <t>A 40309-2024</t>
        </is>
      </c>
      <c r="B68" s="1" t="n">
        <v>45554.724375</v>
      </c>
      <c r="C68" s="1" t="n">
        <v>45911</v>
      </c>
      <c r="D68" t="inlineStr">
        <is>
          <t>ÖSTERGÖTLANDS LÄN</t>
        </is>
      </c>
      <c r="E68" t="inlineStr">
        <is>
          <t>LINKÖPING</t>
        </is>
      </c>
      <c r="F68" t="inlineStr">
        <is>
          <t>Allmännings- och besparingsskogar</t>
        </is>
      </c>
      <c r="G68" t="n">
        <v>6</v>
      </c>
      <c r="H68" t="n">
        <v>0</v>
      </c>
      <c r="I68" t="n">
        <v>0</v>
      </c>
      <c r="J68" t="n">
        <v>1</v>
      </c>
      <c r="K68" t="n">
        <v>0</v>
      </c>
      <c r="L68" t="n">
        <v>0</v>
      </c>
      <c r="M68" t="n">
        <v>0</v>
      </c>
      <c r="N68" t="n">
        <v>0</v>
      </c>
      <c r="O68" t="n">
        <v>1</v>
      </c>
      <c r="P68" t="n">
        <v>0</v>
      </c>
      <c r="Q68" t="n">
        <v>1</v>
      </c>
      <c r="R68" s="2" t="inlineStr">
        <is>
          <t>Garnlav</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row>
    <row r="69" ht="15" customHeight="1">
      <c r="A69" t="inlineStr">
        <is>
          <t>A 36723-2023</t>
        </is>
      </c>
      <c r="B69" s="1" t="n">
        <v>45153</v>
      </c>
      <c r="C69" s="1" t="n">
        <v>45911</v>
      </c>
      <c r="D69" t="inlineStr">
        <is>
          <t>ÖSTERGÖTLANDS LÄN</t>
        </is>
      </c>
      <c r="E69" t="inlineStr">
        <is>
          <t>LINKÖPING</t>
        </is>
      </c>
      <c r="F69" t="inlineStr">
        <is>
          <t>Allmännings- och besparingsskogar</t>
        </is>
      </c>
      <c r="G69" t="n">
        <v>9.9</v>
      </c>
      <c r="H69" t="n">
        <v>0</v>
      </c>
      <c r="I69" t="n">
        <v>0</v>
      </c>
      <c r="J69" t="n">
        <v>0</v>
      </c>
      <c r="K69" t="n">
        <v>1</v>
      </c>
      <c r="L69" t="n">
        <v>0</v>
      </c>
      <c r="M69" t="n">
        <v>0</v>
      </c>
      <c r="N69" t="n">
        <v>0</v>
      </c>
      <c r="O69" t="n">
        <v>1</v>
      </c>
      <c r="P69" t="n">
        <v>1</v>
      </c>
      <c r="Q69" t="n">
        <v>1</v>
      </c>
      <c r="R69" s="2" t="inlineStr">
        <is>
          <t>Bitter taggsvamp</t>
        </is>
      </c>
      <c r="S69">
        <f>HYPERLINK("https://klasma.github.io/Logging_0580/artfynd/A 36723-2023 artfynd.xlsx", "A 36723-2023")</f>
        <v/>
      </c>
      <c r="T69">
        <f>HYPERLINK("https://klasma.github.io/Logging_0580/kartor/A 36723-2023 karta.png", "A 36723-2023")</f>
        <v/>
      </c>
      <c r="V69">
        <f>HYPERLINK("https://klasma.github.io/Logging_0580/klagomål/A 36723-2023 FSC-klagomål.docx", "A 36723-2023")</f>
        <v/>
      </c>
      <c r="W69">
        <f>HYPERLINK("https://klasma.github.io/Logging_0580/klagomålsmail/A 36723-2023 FSC-klagomål mail.docx", "A 36723-2023")</f>
        <v/>
      </c>
      <c r="X69">
        <f>HYPERLINK("https://klasma.github.io/Logging_0580/tillsyn/A 36723-2023 tillsynsbegäran.docx", "A 36723-2023")</f>
        <v/>
      </c>
      <c r="Y69">
        <f>HYPERLINK("https://klasma.github.io/Logging_0580/tillsynsmail/A 36723-2023 tillsynsbegäran mail.docx", "A 36723-2023")</f>
        <v/>
      </c>
    </row>
    <row r="70" ht="15" customHeight="1">
      <c r="A70" t="inlineStr">
        <is>
          <t>A 15290-2025</t>
        </is>
      </c>
      <c r="B70" s="1" t="n">
        <v>45745.45288194445</v>
      </c>
      <c r="C70" s="1" t="n">
        <v>45911</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5911-2022</t>
        </is>
      </c>
      <c r="B71" s="1" t="n">
        <v>44597</v>
      </c>
      <c r="C71" s="1" t="n">
        <v>45911</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56128-2022</t>
        </is>
      </c>
      <c r="B72" s="1" t="n">
        <v>44889</v>
      </c>
      <c r="C72" s="1" t="n">
        <v>45911</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1716-2023</t>
        </is>
      </c>
      <c r="B73" s="1" t="n">
        <v>44938</v>
      </c>
      <c r="C73" s="1" t="n">
        <v>45911</v>
      </c>
      <c r="D73" t="inlineStr">
        <is>
          <t>ÖSTERGÖTLANDS LÄN</t>
        </is>
      </c>
      <c r="E73" t="inlineStr">
        <is>
          <t>LINKÖPING</t>
        </is>
      </c>
      <c r="G73" t="n">
        <v>3.6</v>
      </c>
      <c r="H73" t="n">
        <v>0</v>
      </c>
      <c r="I73" t="n">
        <v>0</v>
      </c>
      <c r="J73" t="n">
        <v>1</v>
      </c>
      <c r="K73" t="n">
        <v>0</v>
      </c>
      <c r="L73" t="n">
        <v>0</v>
      </c>
      <c r="M73" t="n">
        <v>0</v>
      </c>
      <c r="N73" t="n">
        <v>0</v>
      </c>
      <c r="O73" t="n">
        <v>1</v>
      </c>
      <c r="P73" t="n">
        <v>0</v>
      </c>
      <c r="Q73" t="n">
        <v>1</v>
      </c>
      <c r="R73" s="2" t="inlineStr">
        <is>
          <t>Svinrot</t>
        </is>
      </c>
      <c r="S73">
        <f>HYPERLINK("https://klasma.github.io/Logging_0580/artfynd/A 1716-2023 artfynd.xlsx", "A 1716-2023")</f>
        <v/>
      </c>
      <c r="T73">
        <f>HYPERLINK("https://klasma.github.io/Logging_0580/kartor/A 1716-2023 karta.png", "A 1716-2023")</f>
        <v/>
      </c>
      <c r="V73">
        <f>HYPERLINK("https://klasma.github.io/Logging_0580/klagomål/A 1716-2023 FSC-klagomål.docx", "A 1716-2023")</f>
        <v/>
      </c>
      <c r="W73">
        <f>HYPERLINK("https://klasma.github.io/Logging_0580/klagomålsmail/A 1716-2023 FSC-klagomål mail.docx", "A 1716-2023")</f>
        <v/>
      </c>
      <c r="X73">
        <f>HYPERLINK("https://klasma.github.io/Logging_0580/tillsyn/A 1716-2023 tillsynsbegäran.docx", "A 1716-2023")</f>
        <v/>
      </c>
      <c r="Y73">
        <f>HYPERLINK("https://klasma.github.io/Logging_0580/tillsynsmail/A 1716-2023 tillsynsbegäran mail.docx", "A 1716-2023")</f>
        <v/>
      </c>
    </row>
    <row r="74" ht="15" customHeight="1">
      <c r="A74" t="inlineStr">
        <is>
          <t>A 931-2025</t>
        </is>
      </c>
      <c r="B74" s="1" t="n">
        <v>45665.88498842593</v>
      </c>
      <c r="C74" s="1" t="n">
        <v>45911</v>
      </c>
      <c r="D74" t="inlineStr">
        <is>
          <t>ÖSTERGÖTLANDS LÄN</t>
        </is>
      </c>
      <c r="E74" t="inlineStr">
        <is>
          <t>LINKÖPING</t>
        </is>
      </c>
      <c r="F74" t="inlineStr">
        <is>
          <t>Övriga Aktiebolag</t>
        </is>
      </c>
      <c r="G74" t="n">
        <v>0.8</v>
      </c>
      <c r="H74" t="n">
        <v>0</v>
      </c>
      <c r="I74" t="n">
        <v>0</v>
      </c>
      <c r="J74" t="n">
        <v>1</v>
      </c>
      <c r="K74" t="n">
        <v>0</v>
      </c>
      <c r="L74" t="n">
        <v>0</v>
      </c>
      <c r="M74" t="n">
        <v>0</v>
      </c>
      <c r="N74" t="n">
        <v>0</v>
      </c>
      <c r="O74" t="n">
        <v>1</v>
      </c>
      <c r="P74" t="n">
        <v>0</v>
      </c>
      <c r="Q74" t="n">
        <v>1</v>
      </c>
      <c r="R74" s="2" t="inlineStr">
        <is>
          <t>Tallticka</t>
        </is>
      </c>
      <c r="S74">
        <f>HYPERLINK("https://klasma.github.io/Logging_0580/artfynd/A 931-2025 artfynd.xlsx", "A 931-2025")</f>
        <v/>
      </c>
      <c r="T74">
        <f>HYPERLINK("https://klasma.github.io/Logging_0580/kartor/A 931-2025 karta.png", "A 931-2025")</f>
        <v/>
      </c>
      <c r="V74">
        <f>HYPERLINK("https://klasma.github.io/Logging_0580/klagomål/A 931-2025 FSC-klagomål.docx", "A 931-2025")</f>
        <v/>
      </c>
      <c r="W74">
        <f>HYPERLINK("https://klasma.github.io/Logging_0580/klagomålsmail/A 931-2025 FSC-klagomål mail.docx", "A 931-2025")</f>
        <v/>
      </c>
      <c r="X74">
        <f>HYPERLINK("https://klasma.github.io/Logging_0580/tillsyn/A 931-2025 tillsynsbegäran.docx", "A 931-2025")</f>
        <v/>
      </c>
      <c r="Y74">
        <f>HYPERLINK("https://klasma.github.io/Logging_0580/tillsynsmail/A 931-2025 tillsynsbegäran mail.docx", "A 931-2025")</f>
        <v/>
      </c>
    </row>
    <row r="75" ht="15" customHeight="1">
      <c r="A75" t="inlineStr">
        <is>
          <t>A 126-2024</t>
        </is>
      </c>
      <c r="B75" s="1" t="n">
        <v>45294</v>
      </c>
      <c r="C75" s="1" t="n">
        <v>45911</v>
      </c>
      <c r="D75" t="inlineStr">
        <is>
          <t>ÖSTERGÖTLANDS LÄN</t>
        </is>
      </c>
      <c r="E75" t="inlineStr">
        <is>
          <t>LINKÖPING</t>
        </is>
      </c>
      <c r="G75" t="n">
        <v>1</v>
      </c>
      <c r="H75" t="n">
        <v>0</v>
      </c>
      <c r="I75" t="n">
        <v>1</v>
      </c>
      <c r="J75" t="n">
        <v>0</v>
      </c>
      <c r="K75" t="n">
        <v>0</v>
      </c>
      <c r="L75" t="n">
        <v>0</v>
      </c>
      <c r="M75" t="n">
        <v>0</v>
      </c>
      <c r="N75" t="n">
        <v>0</v>
      </c>
      <c r="O75" t="n">
        <v>0</v>
      </c>
      <c r="P75" t="n">
        <v>0</v>
      </c>
      <c r="Q75" t="n">
        <v>1</v>
      </c>
      <c r="R75" s="2" t="inlineStr">
        <is>
          <t>Blåmossa</t>
        </is>
      </c>
      <c r="S75">
        <f>HYPERLINK("https://klasma.github.io/Logging_0580/artfynd/A 126-2024 artfynd.xlsx", "A 126-2024")</f>
        <v/>
      </c>
      <c r="T75">
        <f>HYPERLINK("https://klasma.github.io/Logging_0580/kartor/A 126-2024 karta.png", "A 126-2024")</f>
        <v/>
      </c>
      <c r="V75">
        <f>HYPERLINK("https://klasma.github.io/Logging_0580/klagomål/A 126-2024 FSC-klagomål.docx", "A 126-2024")</f>
        <v/>
      </c>
      <c r="W75">
        <f>HYPERLINK("https://klasma.github.io/Logging_0580/klagomålsmail/A 126-2024 FSC-klagomål mail.docx", "A 126-2024")</f>
        <v/>
      </c>
      <c r="X75">
        <f>HYPERLINK("https://klasma.github.io/Logging_0580/tillsyn/A 126-2024 tillsynsbegäran.docx", "A 126-2024")</f>
        <v/>
      </c>
      <c r="Y75">
        <f>HYPERLINK("https://klasma.github.io/Logging_0580/tillsynsmail/A 126-2024 tillsynsbegäran mail.docx", "A 126-2024")</f>
        <v/>
      </c>
    </row>
    <row r="76" ht="15" customHeight="1">
      <c r="A76" t="inlineStr">
        <is>
          <t>A 3395-2023</t>
        </is>
      </c>
      <c r="B76" s="1" t="n">
        <v>44949</v>
      </c>
      <c r="C76" s="1" t="n">
        <v>45911</v>
      </c>
      <c r="D76" t="inlineStr">
        <is>
          <t>ÖSTERGÖTLANDS LÄN</t>
        </is>
      </c>
      <c r="E76" t="inlineStr">
        <is>
          <t>LINKÖPING</t>
        </is>
      </c>
      <c r="G76" t="n">
        <v>2</v>
      </c>
      <c r="H76" t="n">
        <v>0</v>
      </c>
      <c r="I76" t="n">
        <v>0</v>
      </c>
      <c r="J76" t="n">
        <v>1</v>
      </c>
      <c r="K76" t="n">
        <v>0</v>
      </c>
      <c r="L76" t="n">
        <v>0</v>
      </c>
      <c r="M76" t="n">
        <v>0</v>
      </c>
      <c r="N76" t="n">
        <v>0</v>
      </c>
      <c r="O76" t="n">
        <v>1</v>
      </c>
      <c r="P76" t="n">
        <v>0</v>
      </c>
      <c r="Q76" t="n">
        <v>1</v>
      </c>
      <c r="R76" s="2" t="inlineStr">
        <is>
          <t>Sommarfibbla</t>
        </is>
      </c>
      <c r="S76">
        <f>HYPERLINK("https://klasma.github.io/Logging_0580/artfynd/A 3395-2023 artfynd.xlsx", "A 3395-2023")</f>
        <v/>
      </c>
      <c r="T76">
        <f>HYPERLINK("https://klasma.github.io/Logging_0580/kartor/A 3395-2023 karta.png", "A 3395-2023")</f>
        <v/>
      </c>
      <c r="V76">
        <f>HYPERLINK("https://klasma.github.io/Logging_0580/klagomål/A 3395-2023 FSC-klagomål.docx", "A 3395-2023")</f>
        <v/>
      </c>
      <c r="W76">
        <f>HYPERLINK("https://klasma.github.io/Logging_0580/klagomålsmail/A 3395-2023 FSC-klagomål mail.docx", "A 3395-2023")</f>
        <v/>
      </c>
      <c r="X76">
        <f>HYPERLINK("https://klasma.github.io/Logging_0580/tillsyn/A 3395-2023 tillsynsbegäran.docx", "A 3395-2023")</f>
        <v/>
      </c>
      <c r="Y76">
        <f>HYPERLINK("https://klasma.github.io/Logging_0580/tillsynsmail/A 3395-2023 tillsynsbegäran mail.docx", "A 3395-2023")</f>
        <v/>
      </c>
    </row>
    <row r="77" ht="15" customHeight="1">
      <c r="A77" t="inlineStr">
        <is>
          <t>A 3397-2023</t>
        </is>
      </c>
      <c r="B77" s="1" t="n">
        <v>44949</v>
      </c>
      <c r="C77" s="1" t="n">
        <v>45911</v>
      </c>
      <c r="D77" t="inlineStr">
        <is>
          <t>ÖSTERGÖTLANDS LÄN</t>
        </is>
      </c>
      <c r="E77" t="inlineStr">
        <is>
          <t>LINKÖPING</t>
        </is>
      </c>
      <c r="G77" t="n">
        <v>4.1</v>
      </c>
      <c r="H77" t="n">
        <v>0</v>
      </c>
      <c r="I77" t="n">
        <v>0</v>
      </c>
      <c r="J77" t="n">
        <v>1</v>
      </c>
      <c r="K77" t="n">
        <v>0</v>
      </c>
      <c r="L77" t="n">
        <v>0</v>
      </c>
      <c r="M77" t="n">
        <v>0</v>
      </c>
      <c r="N77" t="n">
        <v>0</v>
      </c>
      <c r="O77" t="n">
        <v>1</v>
      </c>
      <c r="P77" t="n">
        <v>0</v>
      </c>
      <c r="Q77" t="n">
        <v>1</v>
      </c>
      <c r="R77" s="2" t="inlineStr">
        <is>
          <t>Svinrot</t>
        </is>
      </c>
      <c r="S77">
        <f>HYPERLINK("https://klasma.github.io/Logging_0580/artfynd/A 3397-2023 artfynd.xlsx", "A 3397-2023")</f>
        <v/>
      </c>
      <c r="T77">
        <f>HYPERLINK("https://klasma.github.io/Logging_0580/kartor/A 3397-2023 karta.png", "A 3397-2023")</f>
        <v/>
      </c>
      <c r="V77">
        <f>HYPERLINK("https://klasma.github.io/Logging_0580/klagomål/A 3397-2023 FSC-klagomål.docx", "A 3397-2023")</f>
        <v/>
      </c>
      <c r="W77">
        <f>HYPERLINK("https://klasma.github.io/Logging_0580/klagomålsmail/A 3397-2023 FSC-klagomål mail.docx", "A 3397-2023")</f>
        <v/>
      </c>
      <c r="X77">
        <f>HYPERLINK("https://klasma.github.io/Logging_0580/tillsyn/A 3397-2023 tillsynsbegäran.docx", "A 3397-2023")</f>
        <v/>
      </c>
      <c r="Y77">
        <f>HYPERLINK("https://klasma.github.io/Logging_0580/tillsynsmail/A 3397-2023 tillsynsbegäran mail.docx", "A 3397-2023")</f>
        <v/>
      </c>
    </row>
    <row r="78" ht="15" customHeight="1">
      <c r="A78" t="inlineStr">
        <is>
          <t>A 38881-2021</t>
        </is>
      </c>
      <c r="B78" s="1" t="n">
        <v>44411.46893518518</v>
      </c>
      <c r="C78" s="1" t="n">
        <v>45911</v>
      </c>
      <c r="D78" t="inlineStr">
        <is>
          <t>ÖSTERGÖTLANDS LÄN</t>
        </is>
      </c>
      <c r="E78" t="inlineStr">
        <is>
          <t>LINKÖPING</t>
        </is>
      </c>
      <c r="G78" t="n">
        <v>2.2</v>
      </c>
      <c r="H78" t="n">
        <v>0</v>
      </c>
      <c r="I78" t="n">
        <v>0</v>
      </c>
      <c r="J78" t="n">
        <v>0</v>
      </c>
      <c r="K78" t="n">
        <v>0</v>
      </c>
      <c r="L78" t="n">
        <v>0</v>
      </c>
      <c r="M78" t="n">
        <v>0</v>
      </c>
      <c r="N78" t="n">
        <v>0</v>
      </c>
      <c r="O78" t="n">
        <v>0</v>
      </c>
      <c r="P78" t="n">
        <v>0</v>
      </c>
      <c r="Q78" t="n">
        <v>0</v>
      </c>
      <c r="R78" s="2" t="inlineStr"/>
    </row>
    <row r="79" ht="15" customHeight="1">
      <c r="A79" t="inlineStr">
        <is>
          <t>A 38887-2021</t>
        </is>
      </c>
      <c r="B79" s="1" t="n">
        <v>44411</v>
      </c>
      <c r="C79" s="1" t="n">
        <v>45911</v>
      </c>
      <c r="D79" t="inlineStr">
        <is>
          <t>ÖSTERGÖTLANDS LÄN</t>
        </is>
      </c>
      <c r="E79" t="inlineStr">
        <is>
          <t>LINKÖPING</t>
        </is>
      </c>
      <c r="G79" t="n">
        <v>1.6</v>
      </c>
      <c r="H79" t="n">
        <v>0</v>
      </c>
      <c r="I79" t="n">
        <v>0</v>
      </c>
      <c r="J79" t="n">
        <v>0</v>
      </c>
      <c r="K79" t="n">
        <v>0</v>
      </c>
      <c r="L79" t="n">
        <v>0</v>
      </c>
      <c r="M79" t="n">
        <v>0</v>
      </c>
      <c r="N79" t="n">
        <v>0</v>
      </c>
      <c r="O79" t="n">
        <v>0</v>
      </c>
      <c r="P79" t="n">
        <v>0</v>
      </c>
      <c r="Q79" t="n">
        <v>0</v>
      </c>
      <c r="R79" s="2" t="inlineStr"/>
    </row>
    <row r="80" ht="15" customHeight="1">
      <c r="A80" t="inlineStr">
        <is>
          <t>A 5008-2021</t>
        </is>
      </c>
      <c r="B80" s="1" t="n">
        <v>44228</v>
      </c>
      <c r="C80" s="1" t="n">
        <v>45911</v>
      </c>
      <c r="D80" t="inlineStr">
        <is>
          <t>ÖSTERGÖTLANDS LÄN</t>
        </is>
      </c>
      <c r="E80" t="inlineStr">
        <is>
          <t>LINKÖPING</t>
        </is>
      </c>
      <c r="F80" t="inlineStr">
        <is>
          <t>Övriga Aktiebolag</t>
        </is>
      </c>
      <c r="G80" t="n">
        <v>0.3</v>
      </c>
      <c r="H80" t="n">
        <v>0</v>
      </c>
      <c r="I80" t="n">
        <v>0</v>
      </c>
      <c r="J80" t="n">
        <v>0</v>
      </c>
      <c r="K80" t="n">
        <v>0</v>
      </c>
      <c r="L80" t="n">
        <v>0</v>
      </c>
      <c r="M80" t="n">
        <v>0</v>
      </c>
      <c r="N80" t="n">
        <v>0</v>
      </c>
      <c r="O80" t="n">
        <v>0</v>
      </c>
      <c r="P80" t="n">
        <v>0</v>
      </c>
      <c r="Q80" t="n">
        <v>0</v>
      </c>
      <c r="R80" s="2" t="inlineStr"/>
    </row>
    <row r="81" ht="15" customHeight="1">
      <c r="A81" t="inlineStr">
        <is>
          <t>A 56239-2021</t>
        </is>
      </c>
      <c r="B81" s="1" t="n">
        <v>44478</v>
      </c>
      <c r="C81" s="1" t="n">
        <v>45911</v>
      </c>
      <c r="D81" t="inlineStr">
        <is>
          <t>ÖSTERGÖTLANDS LÄN</t>
        </is>
      </c>
      <c r="E81" t="inlineStr">
        <is>
          <t>LINKÖPING</t>
        </is>
      </c>
      <c r="F81" t="inlineStr">
        <is>
          <t>Övriga Aktiebolag</t>
        </is>
      </c>
      <c r="G81" t="n">
        <v>3</v>
      </c>
      <c r="H81" t="n">
        <v>0</v>
      </c>
      <c r="I81" t="n">
        <v>0</v>
      </c>
      <c r="J81" t="n">
        <v>0</v>
      </c>
      <c r="K81" t="n">
        <v>0</v>
      </c>
      <c r="L81" t="n">
        <v>0</v>
      </c>
      <c r="M81" t="n">
        <v>0</v>
      </c>
      <c r="N81" t="n">
        <v>0</v>
      </c>
      <c r="O81" t="n">
        <v>0</v>
      </c>
      <c r="P81" t="n">
        <v>0</v>
      </c>
      <c r="Q81" t="n">
        <v>0</v>
      </c>
      <c r="R81" s="2" t="inlineStr"/>
    </row>
    <row r="82" ht="15" customHeight="1">
      <c r="A82" t="inlineStr">
        <is>
          <t>A 7289-2021</t>
        </is>
      </c>
      <c r="B82" s="1" t="n">
        <v>44238</v>
      </c>
      <c r="C82" s="1" t="n">
        <v>45911</v>
      </c>
      <c r="D82" t="inlineStr">
        <is>
          <t>ÖSTERGÖTLANDS LÄN</t>
        </is>
      </c>
      <c r="E82" t="inlineStr">
        <is>
          <t>LINKÖPING</t>
        </is>
      </c>
      <c r="G82" t="n">
        <v>0.7</v>
      </c>
      <c r="H82" t="n">
        <v>0</v>
      </c>
      <c r="I82" t="n">
        <v>0</v>
      </c>
      <c r="J82" t="n">
        <v>0</v>
      </c>
      <c r="K82" t="n">
        <v>0</v>
      </c>
      <c r="L82" t="n">
        <v>0</v>
      </c>
      <c r="M82" t="n">
        <v>0</v>
      </c>
      <c r="N82" t="n">
        <v>0</v>
      </c>
      <c r="O82" t="n">
        <v>0</v>
      </c>
      <c r="P82" t="n">
        <v>0</v>
      </c>
      <c r="Q82" t="n">
        <v>0</v>
      </c>
      <c r="R82" s="2" t="inlineStr"/>
    </row>
    <row r="83" ht="15" customHeight="1">
      <c r="A83" t="inlineStr">
        <is>
          <t>A 6958-2021</t>
        </is>
      </c>
      <c r="B83" s="1" t="n">
        <v>44237</v>
      </c>
      <c r="C83" s="1" t="n">
        <v>45911</v>
      </c>
      <c r="D83" t="inlineStr">
        <is>
          <t>ÖSTERGÖTLANDS LÄN</t>
        </is>
      </c>
      <c r="E83" t="inlineStr">
        <is>
          <t>LINKÖPING</t>
        </is>
      </c>
      <c r="G83" t="n">
        <v>0.6</v>
      </c>
      <c r="H83" t="n">
        <v>0</v>
      </c>
      <c r="I83" t="n">
        <v>0</v>
      </c>
      <c r="J83" t="n">
        <v>0</v>
      </c>
      <c r="K83" t="n">
        <v>0</v>
      </c>
      <c r="L83" t="n">
        <v>0</v>
      </c>
      <c r="M83" t="n">
        <v>0</v>
      </c>
      <c r="N83" t="n">
        <v>0</v>
      </c>
      <c r="O83" t="n">
        <v>0</v>
      </c>
      <c r="P83" t="n">
        <v>0</v>
      </c>
      <c r="Q83" t="n">
        <v>0</v>
      </c>
      <c r="R83" s="2" t="inlineStr"/>
    </row>
    <row r="84" ht="15" customHeight="1">
      <c r="A84" t="inlineStr">
        <is>
          <t>A 398-2021</t>
        </is>
      </c>
      <c r="B84" s="1" t="n">
        <v>44201</v>
      </c>
      <c r="C84" s="1" t="n">
        <v>45911</v>
      </c>
      <c r="D84" t="inlineStr">
        <is>
          <t>ÖSTERGÖTLANDS LÄN</t>
        </is>
      </c>
      <c r="E84" t="inlineStr">
        <is>
          <t>LINKÖPING</t>
        </is>
      </c>
      <c r="G84" t="n">
        <v>2.2</v>
      </c>
      <c r="H84" t="n">
        <v>0</v>
      </c>
      <c r="I84" t="n">
        <v>0</v>
      </c>
      <c r="J84" t="n">
        <v>0</v>
      </c>
      <c r="K84" t="n">
        <v>0</v>
      </c>
      <c r="L84" t="n">
        <v>0</v>
      </c>
      <c r="M84" t="n">
        <v>0</v>
      </c>
      <c r="N84" t="n">
        <v>0</v>
      </c>
      <c r="O84" t="n">
        <v>0</v>
      </c>
      <c r="P84" t="n">
        <v>0</v>
      </c>
      <c r="Q84" t="n">
        <v>0</v>
      </c>
      <c r="R84" s="2" t="inlineStr"/>
    </row>
    <row r="85" ht="15" customHeight="1">
      <c r="A85" t="inlineStr">
        <is>
          <t>A 67322-2021</t>
        </is>
      </c>
      <c r="B85" s="1" t="n">
        <v>44523</v>
      </c>
      <c r="C85" s="1" t="n">
        <v>45911</v>
      </c>
      <c r="D85" t="inlineStr">
        <is>
          <t>ÖSTERGÖTLANDS LÄN</t>
        </is>
      </c>
      <c r="E85" t="inlineStr">
        <is>
          <t>LINKÖPING</t>
        </is>
      </c>
      <c r="G85" t="n">
        <v>0.8</v>
      </c>
      <c r="H85" t="n">
        <v>0</v>
      </c>
      <c r="I85" t="n">
        <v>0</v>
      </c>
      <c r="J85" t="n">
        <v>0</v>
      </c>
      <c r="K85" t="n">
        <v>0</v>
      </c>
      <c r="L85" t="n">
        <v>0</v>
      </c>
      <c r="M85" t="n">
        <v>0</v>
      </c>
      <c r="N85" t="n">
        <v>0</v>
      </c>
      <c r="O85" t="n">
        <v>0</v>
      </c>
      <c r="P85" t="n">
        <v>0</v>
      </c>
      <c r="Q85" t="n">
        <v>0</v>
      </c>
      <c r="R85" s="2" t="inlineStr"/>
    </row>
    <row r="86" ht="15" customHeight="1">
      <c r="A86" t="inlineStr">
        <is>
          <t>A 7840-2022</t>
        </is>
      </c>
      <c r="B86" s="1" t="n">
        <v>44608</v>
      </c>
      <c r="C86" s="1" t="n">
        <v>45911</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40506-2021</t>
        </is>
      </c>
      <c r="B87" s="1" t="n">
        <v>44420</v>
      </c>
      <c r="C87" s="1" t="n">
        <v>45911</v>
      </c>
      <c r="D87" t="inlineStr">
        <is>
          <t>ÖSTERGÖTLANDS LÄN</t>
        </is>
      </c>
      <c r="E87" t="inlineStr">
        <is>
          <t>LINKÖPING</t>
        </is>
      </c>
      <c r="G87" t="n">
        <v>1</v>
      </c>
      <c r="H87" t="n">
        <v>0</v>
      </c>
      <c r="I87" t="n">
        <v>0</v>
      </c>
      <c r="J87" t="n">
        <v>0</v>
      </c>
      <c r="K87" t="n">
        <v>0</v>
      </c>
      <c r="L87" t="n">
        <v>0</v>
      </c>
      <c r="M87" t="n">
        <v>0</v>
      </c>
      <c r="N87" t="n">
        <v>0</v>
      </c>
      <c r="O87" t="n">
        <v>0</v>
      </c>
      <c r="P87" t="n">
        <v>0</v>
      </c>
      <c r="Q87" t="n">
        <v>0</v>
      </c>
      <c r="R87" s="2" t="inlineStr"/>
    </row>
    <row r="88" ht="15" customHeight="1">
      <c r="A88" t="inlineStr">
        <is>
          <t>A 64269-2021</t>
        </is>
      </c>
      <c r="B88" s="1" t="n">
        <v>44510</v>
      </c>
      <c r="C88" s="1" t="n">
        <v>45911</v>
      </c>
      <c r="D88" t="inlineStr">
        <is>
          <t>ÖSTERGÖTLANDS LÄN</t>
        </is>
      </c>
      <c r="E88" t="inlineStr">
        <is>
          <t>LINKÖPING</t>
        </is>
      </c>
      <c r="G88" t="n">
        <v>1.9</v>
      </c>
      <c r="H88" t="n">
        <v>0</v>
      </c>
      <c r="I88" t="n">
        <v>0</v>
      </c>
      <c r="J88" t="n">
        <v>0</v>
      </c>
      <c r="K88" t="n">
        <v>0</v>
      </c>
      <c r="L88" t="n">
        <v>0</v>
      </c>
      <c r="M88" t="n">
        <v>0</v>
      </c>
      <c r="N88" t="n">
        <v>0</v>
      </c>
      <c r="O88" t="n">
        <v>0</v>
      </c>
      <c r="P88" t="n">
        <v>0</v>
      </c>
      <c r="Q88" t="n">
        <v>0</v>
      </c>
      <c r="R88" s="2" t="inlineStr"/>
    </row>
    <row r="89" ht="15" customHeight="1">
      <c r="A89" t="inlineStr">
        <is>
          <t>A 58407-2021</t>
        </is>
      </c>
      <c r="B89" s="1" t="n">
        <v>44488</v>
      </c>
      <c r="C89" s="1" t="n">
        <v>45911</v>
      </c>
      <c r="D89" t="inlineStr">
        <is>
          <t>ÖSTERGÖTLANDS LÄN</t>
        </is>
      </c>
      <c r="E89" t="inlineStr">
        <is>
          <t>LINKÖPING</t>
        </is>
      </c>
      <c r="G89" t="n">
        <v>1.1</v>
      </c>
      <c r="H89" t="n">
        <v>0</v>
      </c>
      <c r="I89" t="n">
        <v>0</v>
      </c>
      <c r="J89" t="n">
        <v>0</v>
      </c>
      <c r="K89" t="n">
        <v>0</v>
      </c>
      <c r="L89" t="n">
        <v>0</v>
      </c>
      <c r="M89" t="n">
        <v>0</v>
      </c>
      <c r="N89" t="n">
        <v>0</v>
      </c>
      <c r="O89" t="n">
        <v>0</v>
      </c>
      <c r="P89" t="n">
        <v>0</v>
      </c>
      <c r="Q89" t="n">
        <v>0</v>
      </c>
      <c r="R89" s="2" t="inlineStr"/>
    </row>
    <row r="90" ht="15" customHeight="1">
      <c r="A90" t="inlineStr">
        <is>
          <t>A 30800-2022</t>
        </is>
      </c>
      <c r="B90" s="1" t="n">
        <v>44764.75119212963</v>
      </c>
      <c r="C90" s="1" t="n">
        <v>45911</v>
      </c>
      <c r="D90" t="inlineStr">
        <is>
          <t>ÖSTERGÖTLANDS LÄN</t>
        </is>
      </c>
      <c r="E90" t="inlineStr">
        <is>
          <t>LINKÖPING</t>
        </is>
      </c>
      <c r="G90" t="n">
        <v>0.9</v>
      </c>
      <c r="H90" t="n">
        <v>0</v>
      </c>
      <c r="I90" t="n">
        <v>0</v>
      </c>
      <c r="J90" t="n">
        <v>0</v>
      </c>
      <c r="K90" t="n">
        <v>0</v>
      </c>
      <c r="L90" t="n">
        <v>0</v>
      </c>
      <c r="M90" t="n">
        <v>0</v>
      </c>
      <c r="N90" t="n">
        <v>0</v>
      </c>
      <c r="O90" t="n">
        <v>0</v>
      </c>
      <c r="P90" t="n">
        <v>0</v>
      </c>
      <c r="Q90" t="n">
        <v>0</v>
      </c>
      <c r="R90" s="2" t="inlineStr"/>
    </row>
    <row r="91" ht="15" customHeight="1">
      <c r="A91" t="inlineStr">
        <is>
          <t>A 40635-2021</t>
        </is>
      </c>
      <c r="B91" s="1" t="n">
        <v>44420</v>
      </c>
      <c r="C91" s="1" t="n">
        <v>45911</v>
      </c>
      <c r="D91" t="inlineStr">
        <is>
          <t>ÖSTERGÖTLANDS LÄN</t>
        </is>
      </c>
      <c r="E91" t="inlineStr">
        <is>
          <t>LINKÖPING</t>
        </is>
      </c>
      <c r="G91" t="n">
        <v>2.7</v>
      </c>
      <c r="H91" t="n">
        <v>0</v>
      </c>
      <c r="I91" t="n">
        <v>0</v>
      </c>
      <c r="J91" t="n">
        <v>0</v>
      </c>
      <c r="K91" t="n">
        <v>0</v>
      </c>
      <c r="L91" t="n">
        <v>0</v>
      </c>
      <c r="M91" t="n">
        <v>0</v>
      </c>
      <c r="N91" t="n">
        <v>0</v>
      </c>
      <c r="O91" t="n">
        <v>0</v>
      </c>
      <c r="P91" t="n">
        <v>0</v>
      </c>
      <c r="Q91" t="n">
        <v>0</v>
      </c>
      <c r="R91" s="2" t="inlineStr"/>
    </row>
    <row r="92" ht="15" customHeight="1">
      <c r="A92" t="inlineStr">
        <is>
          <t>A 49018-2022</t>
        </is>
      </c>
      <c r="B92" s="1" t="n">
        <v>44855</v>
      </c>
      <c r="C92" s="1" t="n">
        <v>45911</v>
      </c>
      <c r="D92" t="inlineStr">
        <is>
          <t>ÖSTERGÖTLANDS LÄN</t>
        </is>
      </c>
      <c r="E92" t="inlineStr">
        <is>
          <t>LINKÖPING</t>
        </is>
      </c>
      <c r="F92" t="inlineStr">
        <is>
          <t>Kommuner</t>
        </is>
      </c>
      <c r="G92" t="n">
        <v>0.4</v>
      </c>
      <c r="H92" t="n">
        <v>0</v>
      </c>
      <c r="I92" t="n">
        <v>0</v>
      </c>
      <c r="J92" t="n">
        <v>0</v>
      </c>
      <c r="K92" t="n">
        <v>0</v>
      </c>
      <c r="L92" t="n">
        <v>0</v>
      </c>
      <c r="M92" t="n">
        <v>0</v>
      </c>
      <c r="N92" t="n">
        <v>0</v>
      </c>
      <c r="O92" t="n">
        <v>0</v>
      </c>
      <c r="P92" t="n">
        <v>0</v>
      </c>
      <c r="Q92" t="n">
        <v>0</v>
      </c>
      <c r="R92" s="2" t="inlineStr"/>
    </row>
    <row r="93" ht="15" customHeight="1">
      <c r="A93" t="inlineStr">
        <is>
          <t>A 47319-2020</t>
        </is>
      </c>
      <c r="B93" s="1" t="n">
        <v>44095</v>
      </c>
      <c r="C93" s="1" t="n">
        <v>45911</v>
      </c>
      <c r="D93" t="inlineStr">
        <is>
          <t>ÖSTERGÖTLANDS LÄN</t>
        </is>
      </c>
      <c r="E93" t="inlineStr">
        <is>
          <t>LINKÖPING</t>
        </is>
      </c>
      <c r="F93" t="inlineStr">
        <is>
          <t>Kommuner</t>
        </is>
      </c>
      <c r="G93" t="n">
        <v>1.3</v>
      </c>
      <c r="H93" t="n">
        <v>0</v>
      </c>
      <c r="I93" t="n">
        <v>0</v>
      </c>
      <c r="J93" t="n">
        <v>0</v>
      </c>
      <c r="K93" t="n">
        <v>0</v>
      </c>
      <c r="L93" t="n">
        <v>0</v>
      </c>
      <c r="M93" t="n">
        <v>0</v>
      </c>
      <c r="N93" t="n">
        <v>0</v>
      </c>
      <c r="O93" t="n">
        <v>0</v>
      </c>
      <c r="P93" t="n">
        <v>0</v>
      </c>
      <c r="Q93" t="n">
        <v>0</v>
      </c>
      <c r="R93" s="2" t="inlineStr"/>
    </row>
    <row r="94" ht="15" customHeight="1">
      <c r="A94" t="inlineStr">
        <is>
          <t>A 1581-2022</t>
        </is>
      </c>
      <c r="B94" s="1" t="n">
        <v>44573</v>
      </c>
      <c r="C94" s="1" t="n">
        <v>45911</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46234-2022</t>
        </is>
      </c>
      <c r="B95" s="1" t="n">
        <v>44846</v>
      </c>
      <c r="C95" s="1" t="n">
        <v>45911</v>
      </c>
      <c r="D95" t="inlineStr">
        <is>
          <t>ÖSTERGÖTLANDS LÄN</t>
        </is>
      </c>
      <c r="E95" t="inlineStr">
        <is>
          <t>LINKÖPING</t>
        </is>
      </c>
      <c r="G95" t="n">
        <v>3.3</v>
      </c>
      <c r="H95" t="n">
        <v>0</v>
      </c>
      <c r="I95" t="n">
        <v>0</v>
      </c>
      <c r="J95" t="n">
        <v>0</v>
      </c>
      <c r="K95" t="n">
        <v>0</v>
      </c>
      <c r="L95" t="n">
        <v>0</v>
      </c>
      <c r="M95" t="n">
        <v>0</v>
      </c>
      <c r="N95" t="n">
        <v>0</v>
      </c>
      <c r="O95" t="n">
        <v>0</v>
      </c>
      <c r="P95" t="n">
        <v>0</v>
      </c>
      <c r="Q95" t="n">
        <v>0</v>
      </c>
      <c r="R95" s="2" t="inlineStr"/>
    </row>
    <row r="96" ht="15" customHeight="1">
      <c r="A96" t="inlineStr">
        <is>
          <t>A 38961-2021</t>
        </is>
      </c>
      <c r="B96" s="1" t="n">
        <v>44411</v>
      </c>
      <c r="C96" s="1" t="n">
        <v>45911</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159-2022</t>
        </is>
      </c>
      <c r="B97" s="1" t="n">
        <v>44564</v>
      </c>
      <c r="C97" s="1" t="n">
        <v>45911</v>
      </c>
      <c r="D97" t="inlineStr">
        <is>
          <t>ÖSTERGÖTLANDS LÄN</t>
        </is>
      </c>
      <c r="E97" t="inlineStr">
        <is>
          <t>LINKÖPING</t>
        </is>
      </c>
      <c r="G97" t="n">
        <v>0.3</v>
      </c>
      <c r="H97" t="n">
        <v>0</v>
      </c>
      <c r="I97" t="n">
        <v>0</v>
      </c>
      <c r="J97" t="n">
        <v>0</v>
      </c>
      <c r="K97" t="n">
        <v>0</v>
      </c>
      <c r="L97" t="n">
        <v>0</v>
      </c>
      <c r="M97" t="n">
        <v>0</v>
      </c>
      <c r="N97" t="n">
        <v>0</v>
      </c>
      <c r="O97" t="n">
        <v>0</v>
      </c>
      <c r="P97" t="n">
        <v>0</v>
      </c>
      <c r="Q97" t="n">
        <v>0</v>
      </c>
      <c r="R97" s="2" t="inlineStr"/>
    </row>
    <row r="98" ht="15" customHeight="1">
      <c r="A98" t="inlineStr">
        <is>
          <t>A 60639-2021</t>
        </is>
      </c>
      <c r="B98" s="1" t="n">
        <v>44496</v>
      </c>
      <c r="C98" s="1" t="n">
        <v>45911</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16715-2021</t>
        </is>
      </c>
      <c r="B99" s="1" t="n">
        <v>44294</v>
      </c>
      <c r="C99" s="1" t="n">
        <v>45911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47462-2022</t>
        </is>
      </c>
      <c r="B100" s="1" t="n">
        <v>44853.62758101852</v>
      </c>
      <c r="C100" s="1" t="n">
        <v>45911</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32433-2022</t>
        </is>
      </c>
      <c r="B101" s="1" t="n">
        <v>44782.48431712963</v>
      </c>
      <c r="C101" s="1" t="n">
        <v>45911</v>
      </c>
      <c r="D101" t="inlineStr">
        <is>
          <t>ÖSTERGÖTLANDS LÄN</t>
        </is>
      </c>
      <c r="E101" t="inlineStr">
        <is>
          <t>LINKÖPING</t>
        </is>
      </c>
      <c r="G101" t="n">
        <v>11.3</v>
      </c>
      <c r="H101" t="n">
        <v>0</v>
      </c>
      <c r="I101" t="n">
        <v>0</v>
      </c>
      <c r="J101" t="n">
        <v>0</v>
      </c>
      <c r="K101" t="n">
        <v>0</v>
      </c>
      <c r="L101" t="n">
        <v>0</v>
      </c>
      <c r="M101" t="n">
        <v>0</v>
      </c>
      <c r="N101" t="n">
        <v>0</v>
      </c>
      <c r="O101" t="n">
        <v>0</v>
      </c>
      <c r="P101" t="n">
        <v>0</v>
      </c>
      <c r="Q101" t="n">
        <v>0</v>
      </c>
      <c r="R101" s="2" t="inlineStr"/>
    </row>
    <row r="102" ht="15" customHeight="1">
      <c r="A102" t="inlineStr">
        <is>
          <t>A 38143-2021</t>
        </is>
      </c>
      <c r="B102" s="1" t="n">
        <v>44405</v>
      </c>
      <c r="C102" s="1" t="n">
        <v>45911</v>
      </c>
      <c r="D102" t="inlineStr">
        <is>
          <t>ÖSTERGÖTLANDS LÄN</t>
        </is>
      </c>
      <c r="E102" t="inlineStr">
        <is>
          <t>LINKÖPING</t>
        </is>
      </c>
      <c r="G102" t="n">
        <v>4.1</v>
      </c>
      <c r="H102" t="n">
        <v>0</v>
      </c>
      <c r="I102" t="n">
        <v>0</v>
      </c>
      <c r="J102" t="n">
        <v>0</v>
      </c>
      <c r="K102" t="n">
        <v>0</v>
      </c>
      <c r="L102" t="n">
        <v>0</v>
      </c>
      <c r="M102" t="n">
        <v>0</v>
      </c>
      <c r="N102" t="n">
        <v>0</v>
      </c>
      <c r="O102" t="n">
        <v>0</v>
      </c>
      <c r="P102" t="n">
        <v>0</v>
      </c>
      <c r="Q102" t="n">
        <v>0</v>
      </c>
      <c r="R102" s="2" t="inlineStr"/>
    </row>
    <row r="103" ht="15" customHeight="1">
      <c r="A103" t="inlineStr">
        <is>
          <t>A 38254-2021</t>
        </is>
      </c>
      <c r="B103" s="1" t="n">
        <v>44405</v>
      </c>
      <c r="C103" s="1" t="n">
        <v>45911</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261-2021</t>
        </is>
      </c>
      <c r="B104" s="1" t="n">
        <v>44200</v>
      </c>
      <c r="C104" s="1" t="n">
        <v>45911</v>
      </c>
      <c r="D104" t="inlineStr">
        <is>
          <t>ÖSTERGÖTLANDS LÄN</t>
        </is>
      </c>
      <c r="E104" t="inlineStr">
        <is>
          <t>LINKÖPING</t>
        </is>
      </c>
      <c r="G104" t="n">
        <v>3.1</v>
      </c>
      <c r="H104" t="n">
        <v>0</v>
      </c>
      <c r="I104" t="n">
        <v>0</v>
      </c>
      <c r="J104" t="n">
        <v>0</v>
      </c>
      <c r="K104" t="n">
        <v>0</v>
      </c>
      <c r="L104" t="n">
        <v>0</v>
      </c>
      <c r="M104" t="n">
        <v>0</v>
      </c>
      <c r="N104" t="n">
        <v>0</v>
      </c>
      <c r="O104" t="n">
        <v>0</v>
      </c>
      <c r="P104" t="n">
        <v>0</v>
      </c>
      <c r="Q104" t="n">
        <v>0</v>
      </c>
      <c r="R104" s="2" t="inlineStr"/>
    </row>
    <row r="105" ht="15" customHeight="1">
      <c r="A105" t="inlineStr">
        <is>
          <t>A 31703-2022</t>
        </is>
      </c>
      <c r="B105" s="1" t="n">
        <v>44776</v>
      </c>
      <c r="C105" s="1" t="n">
        <v>45911</v>
      </c>
      <c r="D105" t="inlineStr">
        <is>
          <t>ÖSTERGÖTLANDS LÄN</t>
        </is>
      </c>
      <c r="E105" t="inlineStr">
        <is>
          <t>LINKÖPING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67120-2020</t>
        </is>
      </c>
      <c r="B106" s="1" t="n">
        <v>44180</v>
      </c>
      <c r="C106" s="1" t="n">
        <v>45911</v>
      </c>
      <c r="D106" t="inlineStr">
        <is>
          <t>ÖSTERGÖTLANDS LÄN</t>
        </is>
      </c>
      <c r="E106" t="inlineStr">
        <is>
          <t>LINKÖPING</t>
        </is>
      </c>
      <c r="F106" t="inlineStr">
        <is>
          <t>Övriga statliga verk och myndigheter</t>
        </is>
      </c>
      <c r="G106" t="n">
        <v>1.4</v>
      </c>
      <c r="H106" t="n">
        <v>0</v>
      </c>
      <c r="I106" t="n">
        <v>0</v>
      </c>
      <c r="J106" t="n">
        <v>0</v>
      </c>
      <c r="K106" t="n">
        <v>0</v>
      </c>
      <c r="L106" t="n">
        <v>0</v>
      </c>
      <c r="M106" t="n">
        <v>0</v>
      </c>
      <c r="N106" t="n">
        <v>0</v>
      </c>
      <c r="O106" t="n">
        <v>0</v>
      </c>
      <c r="P106" t="n">
        <v>0</v>
      </c>
      <c r="Q106" t="n">
        <v>0</v>
      </c>
      <c r="R106" s="2" t="inlineStr"/>
    </row>
    <row r="107" ht="15" customHeight="1">
      <c r="A107" t="inlineStr">
        <is>
          <t>A 44054-2021</t>
        </is>
      </c>
      <c r="B107" s="1" t="n">
        <v>44434</v>
      </c>
      <c r="C107" s="1" t="n">
        <v>45911</v>
      </c>
      <c r="D107" t="inlineStr">
        <is>
          <t>ÖSTERGÖTLANDS LÄN</t>
        </is>
      </c>
      <c r="E107" t="inlineStr">
        <is>
          <t>LINKÖPING</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45911</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53146-2021</t>
        </is>
      </c>
      <c r="B109" s="1" t="n">
        <v>44466</v>
      </c>
      <c r="C109" s="1" t="n">
        <v>45911</v>
      </c>
      <c r="D109" t="inlineStr">
        <is>
          <t>ÖSTERGÖTLANDS LÄN</t>
        </is>
      </c>
      <c r="E109" t="inlineStr">
        <is>
          <t>LINKÖPING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44674-2020</t>
        </is>
      </c>
      <c r="B110" s="1" t="n">
        <v>44085</v>
      </c>
      <c r="C110" s="1" t="n">
        <v>45911</v>
      </c>
      <c r="D110" t="inlineStr">
        <is>
          <t>ÖSTERGÖTLANDS LÄN</t>
        </is>
      </c>
      <c r="E110" t="inlineStr">
        <is>
          <t>LINKÖPING</t>
        </is>
      </c>
      <c r="G110" t="n">
        <v>3.6</v>
      </c>
      <c r="H110" t="n">
        <v>0</v>
      </c>
      <c r="I110" t="n">
        <v>0</v>
      </c>
      <c r="J110" t="n">
        <v>0</v>
      </c>
      <c r="K110" t="n">
        <v>0</v>
      </c>
      <c r="L110" t="n">
        <v>0</v>
      </c>
      <c r="M110" t="n">
        <v>0</v>
      </c>
      <c r="N110" t="n">
        <v>0</v>
      </c>
      <c r="O110" t="n">
        <v>0</v>
      </c>
      <c r="P110" t="n">
        <v>0</v>
      </c>
      <c r="Q110" t="n">
        <v>0</v>
      </c>
      <c r="R110" s="2" t="inlineStr"/>
    </row>
    <row r="111" ht="15" customHeight="1">
      <c r="A111" t="inlineStr">
        <is>
          <t>A 40437-2021</t>
        </is>
      </c>
      <c r="B111" s="1" t="n">
        <v>44419</v>
      </c>
      <c r="C111" s="1" t="n">
        <v>45911</v>
      </c>
      <c r="D111" t="inlineStr">
        <is>
          <t>ÖSTERGÖTLANDS LÄN</t>
        </is>
      </c>
      <c r="E111" t="inlineStr">
        <is>
          <t>LINKÖPING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17497-2022</t>
        </is>
      </c>
      <c r="B112" s="1" t="n">
        <v>44679</v>
      </c>
      <c r="C112" s="1" t="n">
        <v>45911</v>
      </c>
      <c r="D112" t="inlineStr">
        <is>
          <t>ÖSTERGÖTLANDS LÄN</t>
        </is>
      </c>
      <c r="E112" t="inlineStr">
        <is>
          <t>LINKÖPING</t>
        </is>
      </c>
      <c r="F112" t="inlineStr">
        <is>
          <t>Kommuner</t>
        </is>
      </c>
      <c r="G112" t="n">
        <v>1.4</v>
      </c>
      <c r="H112" t="n">
        <v>0</v>
      </c>
      <c r="I112" t="n">
        <v>0</v>
      </c>
      <c r="J112" t="n">
        <v>0</v>
      </c>
      <c r="K112" t="n">
        <v>0</v>
      </c>
      <c r="L112" t="n">
        <v>0</v>
      </c>
      <c r="M112" t="n">
        <v>0</v>
      </c>
      <c r="N112" t="n">
        <v>0</v>
      </c>
      <c r="O112" t="n">
        <v>0</v>
      </c>
      <c r="P112" t="n">
        <v>0</v>
      </c>
      <c r="Q112" t="n">
        <v>0</v>
      </c>
      <c r="R112" s="2" t="inlineStr"/>
    </row>
    <row r="113" ht="15" customHeight="1">
      <c r="A113" t="inlineStr">
        <is>
          <t>A 17500-2022</t>
        </is>
      </c>
      <c r="B113" s="1" t="n">
        <v>44679</v>
      </c>
      <c r="C113" s="1" t="n">
        <v>45911</v>
      </c>
      <c r="D113" t="inlineStr">
        <is>
          <t>ÖSTERGÖTLANDS LÄN</t>
        </is>
      </c>
      <c r="E113" t="inlineStr">
        <is>
          <t>LINKÖPING</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32000-2022</t>
        </is>
      </c>
      <c r="B114" s="1" t="n">
        <v>44777</v>
      </c>
      <c r="C114" s="1" t="n">
        <v>45911</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50971-2020</t>
        </is>
      </c>
      <c r="B115" s="1" t="n">
        <v>44111</v>
      </c>
      <c r="C115" s="1" t="n">
        <v>45911</v>
      </c>
      <c r="D115" t="inlineStr">
        <is>
          <t>ÖSTERGÖTLANDS LÄN</t>
        </is>
      </c>
      <c r="E115" t="inlineStr">
        <is>
          <t>LINKÖPING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33876-2021</t>
        </is>
      </c>
      <c r="B116" s="1" t="n">
        <v>44378</v>
      </c>
      <c r="C116" s="1" t="n">
        <v>45911</v>
      </c>
      <c r="D116" t="inlineStr">
        <is>
          <t>ÖSTERGÖTLANDS LÄN</t>
        </is>
      </c>
      <c r="E116" t="inlineStr">
        <is>
          <t>LINKÖPING</t>
        </is>
      </c>
      <c r="G116" t="n">
        <v>6.3</v>
      </c>
      <c r="H116" t="n">
        <v>0</v>
      </c>
      <c r="I116" t="n">
        <v>0</v>
      </c>
      <c r="J116" t="n">
        <v>0</v>
      </c>
      <c r="K116" t="n">
        <v>0</v>
      </c>
      <c r="L116" t="n">
        <v>0</v>
      </c>
      <c r="M116" t="n">
        <v>0</v>
      </c>
      <c r="N116" t="n">
        <v>0</v>
      </c>
      <c r="O116" t="n">
        <v>0</v>
      </c>
      <c r="P116" t="n">
        <v>0</v>
      </c>
      <c r="Q116" t="n">
        <v>0</v>
      </c>
      <c r="R116" s="2" t="inlineStr"/>
    </row>
    <row r="117" ht="15" customHeight="1">
      <c r="A117" t="inlineStr">
        <is>
          <t>A 10123-2021</t>
        </is>
      </c>
      <c r="B117" s="1" t="n">
        <v>44256</v>
      </c>
      <c r="C117" s="1" t="n">
        <v>45911</v>
      </c>
      <c r="D117" t="inlineStr">
        <is>
          <t>ÖSTERGÖTLANDS LÄN</t>
        </is>
      </c>
      <c r="E117" t="inlineStr">
        <is>
          <t>LINKÖPING</t>
        </is>
      </c>
      <c r="F117" t="inlineStr">
        <is>
          <t>Allmännings- och besparingsskogar</t>
        </is>
      </c>
      <c r="G117" t="n">
        <v>1.7</v>
      </c>
      <c r="H117" t="n">
        <v>0</v>
      </c>
      <c r="I117" t="n">
        <v>0</v>
      </c>
      <c r="J117" t="n">
        <v>0</v>
      </c>
      <c r="K117" t="n">
        <v>0</v>
      </c>
      <c r="L117" t="n">
        <v>0</v>
      </c>
      <c r="M117" t="n">
        <v>0</v>
      </c>
      <c r="N117" t="n">
        <v>0</v>
      </c>
      <c r="O117" t="n">
        <v>0</v>
      </c>
      <c r="P117" t="n">
        <v>0</v>
      </c>
      <c r="Q117" t="n">
        <v>0</v>
      </c>
      <c r="R117" s="2" t="inlineStr"/>
    </row>
    <row r="118" ht="15" customHeight="1">
      <c r="A118" t="inlineStr">
        <is>
          <t>A 3862-2021</t>
        </is>
      </c>
      <c r="B118" s="1" t="n">
        <v>44221</v>
      </c>
      <c r="C118" s="1" t="n">
        <v>45911</v>
      </c>
      <c r="D118" t="inlineStr">
        <is>
          <t>ÖSTERGÖTLANDS LÄN</t>
        </is>
      </c>
      <c r="E118" t="inlineStr">
        <is>
          <t>LINKÖPING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3961-2021</t>
        </is>
      </c>
      <c r="B119" s="1" t="n">
        <v>44222</v>
      </c>
      <c r="C119" s="1" t="n">
        <v>45911</v>
      </c>
      <c r="D119" t="inlineStr">
        <is>
          <t>ÖSTERGÖTLANDS LÄN</t>
        </is>
      </c>
      <c r="E119" t="inlineStr">
        <is>
          <t>LINKÖPING</t>
        </is>
      </c>
      <c r="G119" t="n">
        <v>3.9</v>
      </c>
      <c r="H119" t="n">
        <v>0</v>
      </c>
      <c r="I119" t="n">
        <v>0</v>
      </c>
      <c r="J119" t="n">
        <v>0</v>
      </c>
      <c r="K119" t="n">
        <v>0</v>
      </c>
      <c r="L119" t="n">
        <v>0</v>
      </c>
      <c r="M119" t="n">
        <v>0</v>
      </c>
      <c r="N119" t="n">
        <v>0</v>
      </c>
      <c r="O119" t="n">
        <v>0</v>
      </c>
      <c r="P119" t="n">
        <v>0</v>
      </c>
      <c r="Q119" t="n">
        <v>0</v>
      </c>
      <c r="R119" s="2" t="inlineStr"/>
    </row>
    <row r="120" ht="15" customHeight="1">
      <c r="A120" t="inlineStr">
        <is>
          <t>A 49791-2021</t>
        </is>
      </c>
      <c r="B120" s="1" t="n">
        <v>44455.59368055555</v>
      </c>
      <c r="C120" s="1" t="n">
        <v>45911</v>
      </c>
      <c r="D120" t="inlineStr">
        <is>
          <t>ÖSTERGÖTLANDS LÄN</t>
        </is>
      </c>
      <c r="E120" t="inlineStr">
        <is>
          <t>LINKÖPING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37012-2021</t>
        </is>
      </c>
      <c r="B121" s="1" t="n">
        <v>44393</v>
      </c>
      <c r="C121" s="1" t="n">
        <v>45911</v>
      </c>
      <c r="D121" t="inlineStr">
        <is>
          <t>ÖSTERGÖTLANDS LÄN</t>
        </is>
      </c>
      <c r="E121" t="inlineStr">
        <is>
          <t>LINKÖPING</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27185-2021</t>
        </is>
      </c>
      <c r="B122" s="1" t="n">
        <v>44350</v>
      </c>
      <c r="C122" s="1" t="n">
        <v>45911</v>
      </c>
      <c r="D122" t="inlineStr">
        <is>
          <t>ÖSTERGÖTLANDS LÄN</t>
        </is>
      </c>
      <c r="E122" t="inlineStr">
        <is>
          <t>LINKÖPING</t>
        </is>
      </c>
      <c r="F122" t="inlineStr">
        <is>
          <t>Allmännings- och besparingsskogar</t>
        </is>
      </c>
      <c r="G122" t="n">
        <v>1.6</v>
      </c>
      <c r="H122" t="n">
        <v>0</v>
      </c>
      <c r="I122" t="n">
        <v>0</v>
      </c>
      <c r="J122" t="n">
        <v>0</v>
      </c>
      <c r="K122" t="n">
        <v>0</v>
      </c>
      <c r="L122" t="n">
        <v>0</v>
      </c>
      <c r="M122" t="n">
        <v>0</v>
      </c>
      <c r="N122" t="n">
        <v>0</v>
      </c>
      <c r="O122" t="n">
        <v>0</v>
      </c>
      <c r="P122" t="n">
        <v>0</v>
      </c>
      <c r="Q122" t="n">
        <v>0</v>
      </c>
      <c r="R122" s="2" t="inlineStr"/>
    </row>
    <row r="123" ht="15" customHeight="1">
      <c r="A123" t="inlineStr">
        <is>
          <t>A 29470-2022</t>
        </is>
      </c>
      <c r="B123" s="1" t="n">
        <v>44753</v>
      </c>
      <c r="C123" s="1" t="n">
        <v>45911</v>
      </c>
      <c r="D123" t="inlineStr">
        <is>
          <t>ÖSTERGÖTLANDS LÄN</t>
        </is>
      </c>
      <c r="E123" t="inlineStr">
        <is>
          <t>LINKÖPING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46730-2021</t>
        </is>
      </c>
      <c r="B124" s="1" t="n">
        <v>44445</v>
      </c>
      <c r="C124" s="1" t="n">
        <v>45911</v>
      </c>
      <c r="D124" t="inlineStr">
        <is>
          <t>ÖSTERGÖTLANDS LÄN</t>
        </is>
      </c>
      <c r="E124" t="inlineStr">
        <is>
          <t>LINKÖPING</t>
        </is>
      </c>
      <c r="F124" t="inlineStr">
        <is>
          <t>Övriga statliga verk och myndigheter</t>
        </is>
      </c>
      <c r="G124" t="n">
        <v>1.1</v>
      </c>
      <c r="H124" t="n">
        <v>0</v>
      </c>
      <c r="I124" t="n">
        <v>0</v>
      </c>
      <c r="J124" t="n">
        <v>0</v>
      </c>
      <c r="K124" t="n">
        <v>0</v>
      </c>
      <c r="L124" t="n">
        <v>0</v>
      </c>
      <c r="M124" t="n">
        <v>0</v>
      </c>
      <c r="N124" t="n">
        <v>0</v>
      </c>
      <c r="O124" t="n">
        <v>0</v>
      </c>
      <c r="P124" t="n">
        <v>0</v>
      </c>
      <c r="Q124" t="n">
        <v>0</v>
      </c>
      <c r="R124" s="2" t="inlineStr"/>
    </row>
    <row r="125" ht="15" customHeight="1">
      <c r="A125" t="inlineStr">
        <is>
          <t>A 26197-2021</t>
        </is>
      </c>
      <c r="B125" s="1" t="n">
        <v>44347.39319444444</v>
      </c>
      <c r="C125" s="1" t="n">
        <v>45911</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34487-2021</t>
        </is>
      </c>
      <c r="B126" s="1" t="n">
        <v>44382.29873842592</v>
      </c>
      <c r="C126" s="1" t="n">
        <v>45911</v>
      </c>
      <c r="D126" t="inlineStr">
        <is>
          <t>ÖSTERGÖTLANDS LÄN</t>
        </is>
      </c>
      <c r="E126" t="inlineStr">
        <is>
          <t>LINKÖPING</t>
        </is>
      </c>
      <c r="G126" t="n">
        <v>7.5</v>
      </c>
      <c r="H126" t="n">
        <v>0</v>
      </c>
      <c r="I126" t="n">
        <v>0</v>
      </c>
      <c r="J126" t="n">
        <v>0</v>
      </c>
      <c r="K126" t="n">
        <v>0</v>
      </c>
      <c r="L126" t="n">
        <v>0</v>
      </c>
      <c r="M126" t="n">
        <v>0</v>
      </c>
      <c r="N126" t="n">
        <v>0</v>
      </c>
      <c r="O126" t="n">
        <v>0</v>
      </c>
      <c r="P126" t="n">
        <v>0</v>
      </c>
      <c r="Q126" t="n">
        <v>0</v>
      </c>
      <c r="R126" s="2" t="inlineStr"/>
    </row>
    <row r="127" ht="15" customHeight="1">
      <c r="A127" t="inlineStr">
        <is>
          <t>A 16469-2021</t>
        </is>
      </c>
      <c r="B127" s="1" t="n">
        <v>44293.54331018519</v>
      </c>
      <c r="C127" s="1" t="n">
        <v>45911</v>
      </c>
      <c r="D127" t="inlineStr">
        <is>
          <t>ÖSTERGÖTLANDS LÄN</t>
        </is>
      </c>
      <c r="E127" t="inlineStr">
        <is>
          <t>LINKÖPING</t>
        </is>
      </c>
      <c r="F127" t="inlineStr">
        <is>
          <t>Allmännings- och besparingsskogar</t>
        </is>
      </c>
      <c r="G127" t="n">
        <v>33.5</v>
      </c>
      <c r="H127" t="n">
        <v>0</v>
      </c>
      <c r="I127" t="n">
        <v>0</v>
      </c>
      <c r="J127" t="n">
        <v>0</v>
      </c>
      <c r="K127" t="n">
        <v>0</v>
      </c>
      <c r="L127" t="n">
        <v>0</v>
      </c>
      <c r="M127" t="n">
        <v>0</v>
      </c>
      <c r="N127" t="n">
        <v>0</v>
      </c>
      <c r="O127" t="n">
        <v>0</v>
      </c>
      <c r="P127" t="n">
        <v>0</v>
      </c>
      <c r="Q127" t="n">
        <v>0</v>
      </c>
      <c r="R127" s="2" t="inlineStr"/>
    </row>
    <row r="128" ht="15" customHeight="1">
      <c r="A128" t="inlineStr">
        <is>
          <t>A 27313-2021</t>
        </is>
      </c>
      <c r="B128" s="1" t="n">
        <v>44350</v>
      </c>
      <c r="C128" s="1" t="n">
        <v>45911</v>
      </c>
      <c r="D128" t="inlineStr">
        <is>
          <t>ÖSTERGÖTLANDS LÄN</t>
        </is>
      </c>
      <c r="E128" t="inlineStr">
        <is>
          <t>LINKÖPING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64195-2021</t>
        </is>
      </c>
      <c r="B129" s="1" t="n">
        <v>44510</v>
      </c>
      <c r="C129" s="1" t="n">
        <v>45911</v>
      </c>
      <c r="D129" t="inlineStr">
        <is>
          <t>ÖSTERGÖTLANDS LÄN</t>
        </is>
      </c>
      <c r="E129" t="inlineStr">
        <is>
          <t>LINKÖPING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4382-2021</t>
        </is>
      </c>
      <c r="B130" s="1" t="n">
        <v>44223</v>
      </c>
      <c r="C130" s="1" t="n">
        <v>45911</v>
      </c>
      <c r="D130" t="inlineStr">
        <is>
          <t>ÖSTERGÖTLANDS LÄN</t>
        </is>
      </c>
      <c r="E130" t="inlineStr">
        <is>
          <t>LINKÖPING</t>
        </is>
      </c>
      <c r="G130" t="n">
        <v>4.2</v>
      </c>
      <c r="H130" t="n">
        <v>0</v>
      </c>
      <c r="I130" t="n">
        <v>0</v>
      </c>
      <c r="J130" t="n">
        <v>0</v>
      </c>
      <c r="K130" t="n">
        <v>0</v>
      </c>
      <c r="L130" t="n">
        <v>0</v>
      </c>
      <c r="M130" t="n">
        <v>0</v>
      </c>
      <c r="N130" t="n">
        <v>0</v>
      </c>
      <c r="O130" t="n">
        <v>0</v>
      </c>
      <c r="P130" t="n">
        <v>0</v>
      </c>
      <c r="Q130" t="n">
        <v>0</v>
      </c>
      <c r="R130" s="2" t="inlineStr"/>
    </row>
    <row r="131" ht="15" customHeight="1">
      <c r="A131" t="inlineStr">
        <is>
          <t>A 46416-2021</t>
        </is>
      </c>
      <c r="B131" s="1" t="n">
        <v>44442</v>
      </c>
      <c r="C131" s="1" t="n">
        <v>45911</v>
      </c>
      <c r="D131" t="inlineStr">
        <is>
          <t>ÖSTERGÖTLANDS LÄN</t>
        </is>
      </c>
      <c r="E131" t="inlineStr">
        <is>
          <t>LINKÖPING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58258-2021</t>
        </is>
      </c>
      <c r="B132" s="1" t="n">
        <v>44487</v>
      </c>
      <c r="C132" s="1" t="n">
        <v>45911</v>
      </c>
      <c r="D132" t="inlineStr">
        <is>
          <t>ÖSTERGÖTLANDS LÄN</t>
        </is>
      </c>
      <c r="E132" t="inlineStr">
        <is>
          <t>LINKÖPING</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58287-2021</t>
        </is>
      </c>
      <c r="B133" s="1" t="n">
        <v>44487</v>
      </c>
      <c r="C133" s="1" t="n">
        <v>45911</v>
      </c>
      <c r="D133" t="inlineStr">
        <is>
          <t>ÖSTERGÖTLANDS LÄN</t>
        </is>
      </c>
      <c r="E133" t="inlineStr">
        <is>
          <t>LINKÖPING</t>
        </is>
      </c>
      <c r="F133" t="inlineStr">
        <is>
          <t>Övriga Aktiebolag</t>
        </is>
      </c>
      <c r="G133" t="n">
        <v>1.5</v>
      </c>
      <c r="H133" t="n">
        <v>0</v>
      </c>
      <c r="I133" t="n">
        <v>0</v>
      </c>
      <c r="J133" t="n">
        <v>0</v>
      </c>
      <c r="K133" t="n">
        <v>0</v>
      </c>
      <c r="L133" t="n">
        <v>0</v>
      </c>
      <c r="M133" t="n">
        <v>0</v>
      </c>
      <c r="N133" t="n">
        <v>0</v>
      </c>
      <c r="O133" t="n">
        <v>0</v>
      </c>
      <c r="P133" t="n">
        <v>0</v>
      </c>
      <c r="Q133" t="n">
        <v>0</v>
      </c>
      <c r="R133" s="2" t="inlineStr"/>
    </row>
    <row r="134" ht="15" customHeight="1">
      <c r="A134" t="inlineStr">
        <is>
          <t>A 53660-2021</t>
        </is>
      </c>
      <c r="B134" s="1" t="n">
        <v>44469</v>
      </c>
      <c r="C134" s="1" t="n">
        <v>45911</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52966-2021</t>
        </is>
      </c>
      <c r="B135" s="1" t="n">
        <v>44467</v>
      </c>
      <c r="C135" s="1" t="n">
        <v>45911</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25305-2021</t>
        </is>
      </c>
      <c r="B136" s="1" t="n">
        <v>44342</v>
      </c>
      <c r="C136" s="1" t="n">
        <v>45911</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384-2021</t>
        </is>
      </c>
      <c r="B137" s="1" t="n">
        <v>44201.57689814815</v>
      </c>
      <c r="C137" s="1" t="n">
        <v>45911</v>
      </c>
      <c r="D137" t="inlineStr">
        <is>
          <t>ÖSTERGÖTLANDS LÄN</t>
        </is>
      </c>
      <c r="E137" t="inlineStr">
        <is>
          <t>LINKÖPING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38130-2021</t>
        </is>
      </c>
      <c r="B138" s="1" t="n">
        <v>44405</v>
      </c>
      <c r="C138" s="1" t="n">
        <v>45911</v>
      </c>
      <c r="D138" t="inlineStr">
        <is>
          <t>ÖSTERGÖTLANDS LÄN</t>
        </is>
      </c>
      <c r="E138" t="inlineStr">
        <is>
          <t>LINKÖPING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40527-2022</t>
        </is>
      </c>
      <c r="B139" s="1" t="n">
        <v>44823</v>
      </c>
      <c r="C139" s="1" t="n">
        <v>45911</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52968-2021</t>
        </is>
      </c>
      <c r="B140" s="1" t="n">
        <v>44467</v>
      </c>
      <c r="C140" s="1" t="n">
        <v>45911</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65395-2021</t>
        </is>
      </c>
      <c r="B141" s="1" t="n">
        <v>44515</v>
      </c>
      <c r="C141" s="1" t="n">
        <v>45911</v>
      </c>
      <c r="D141" t="inlineStr">
        <is>
          <t>ÖSTERGÖTLANDS LÄN</t>
        </is>
      </c>
      <c r="E141" t="inlineStr">
        <is>
          <t>LINKÖPING</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48016-2021</t>
        </is>
      </c>
      <c r="B142" s="1" t="n">
        <v>44449</v>
      </c>
      <c r="C142" s="1" t="n">
        <v>45911</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30858-2022</t>
        </is>
      </c>
      <c r="B143" s="1" t="n">
        <v>44767</v>
      </c>
      <c r="C143" s="1" t="n">
        <v>45911</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23175-2022</t>
        </is>
      </c>
      <c r="B144" s="1" t="n">
        <v>44719</v>
      </c>
      <c r="C144" s="1" t="n">
        <v>45911</v>
      </c>
      <c r="D144" t="inlineStr">
        <is>
          <t>ÖSTERGÖTLANDS LÄN</t>
        </is>
      </c>
      <c r="E144" t="inlineStr">
        <is>
          <t>LINKÖPING</t>
        </is>
      </c>
      <c r="F144" t="inlineStr">
        <is>
          <t>Allmännings- och besparingsskogar</t>
        </is>
      </c>
      <c r="G144" t="n">
        <v>1.4</v>
      </c>
      <c r="H144" t="n">
        <v>0</v>
      </c>
      <c r="I144" t="n">
        <v>0</v>
      </c>
      <c r="J144" t="n">
        <v>0</v>
      </c>
      <c r="K144" t="n">
        <v>0</v>
      </c>
      <c r="L144" t="n">
        <v>0</v>
      </c>
      <c r="M144" t="n">
        <v>0</v>
      </c>
      <c r="N144" t="n">
        <v>0</v>
      </c>
      <c r="O144" t="n">
        <v>0</v>
      </c>
      <c r="P144" t="n">
        <v>0</v>
      </c>
      <c r="Q144" t="n">
        <v>0</v>
      </c>
      <c r="R144" s="2" t="inlineStr"/>
    </row>
    <row r="145" ht="15" customHeight="1">
      <c r="A145" t="inlineStr">
        <is>
          <t>A 46969-2020</t>
        </is>
      </c>
      <c r="B145" s="1" t="n">
        <v>44090</v>
      </c>
      <c r="C145" s="1" t="n">
        <v>45911</v>
      </c>
      <c r="D145" t="inlineStr">
        <is>
          <t>ÖSTERGÖTLANDS LÄN</t>
        </is>
      </c>
      <c r="E145" t="inlineStr">
        <is>
          <t>LINKÖPING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46975-2020</t>
        </is>
      </c>
      <c r="B146" s="1" t="n">
        <v>44090</v>
      </c>
      <c r="C146" s="1" t="n">
        <v>45911</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45911</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45911</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9935-2021</t>
        </is>
      </c>
      <c r="B149" s="1" t="n">
        <v>44253</v>
      </c>
      <c r="C149" s="1" t="n">
        <v>45911</v>
      </c>
      <c r="D149" t="inlineStr">
        <is>
          <t>ÖSTERGÖTLANDS LÄN</t>
        </is>
      </c>
      <c r="E149" t="inlineStr">
        <is>
          <t>LINKÖPING</t>
        </is>
      </c>
      <c r="G149" t="n">
        <v>4.5</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45911</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45911</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20901-2021</t>
        </is>
      </c>
      <c r="B152" s="1" t="n">
        <v>44319</v>
      </c>
      <c r="C152" s="1" t="n">
        <v>45911</v>
      </c>
      <c r="D152" t="inlineStr">
        <is>
          <t>ÖSTERGÖTLANDS LÄN</t>
        </is>
      </c>
      <c r="E152" t="inlineStr">
        <is>
          <t>LINKÖPING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61153-2021</t>
        </is>
      </c>
      <c r="B153" s="1" t="n">
        <v>44497</v>
      </c>
      <c r="C153" s="1" t="n">
        <v>45911</v>
      </c>
      <c r="D153" t="inlineStr">
        <is>
          <t>ÖSTERGÖTLANDS LÄN</t>
        </is>
      </c>
      <c r="E153" t="inlineStr">
        <is>
          <t>LINKÖPING</t>
        </is>
      </c>
      <c r="G153" t="n">
        <v>1.7</v>
      </c>
      <c r="H153" t="n">
        <v>0</v>
      </c>
      <c r="I153" t="n">
        <v>0</v>
      </c>
      <c r="J153" t="n">
        <v>0</v>
      </c>
      <c r="K153" t="n">
        <v>0</v>
      </c>
      <c r="L153" t="n">
        <v>0</v>
      </c>
      <c r="M153" t="n">
        <v>0</v>
      </c>
      <c r="N153" t="n">
        <v>0</v>
      </c>
      <c r="O153" t="n">
        <v>0</v>
      </c>
      <c r="P153" t="n">
        <v>0</v>
      </c>
      <c r="Q153" t="n">
        <v>0</v>
      </c>
      <c r="R153" s="2" t="inlineStr"/>
    </row>
    <row r="154" ht="15" customHeight="1">
      <c r="A154" t="inlineStr">
        <is>
          <t>A 33885-2021</t>
        </is>
      </c>
      <c r="B154" s="1" t="n">
        <v>44378</v>
      </c>
      <c r="C154" s="1" t="n">
        <v>45911</v>
      </c>
      <c r="D154" t="inlineStr">
        <is>
          <t>ÖSTERGÖTLANDS LÄN</t>
        </is>
      </c>
      <c r="E154" t="inlineStr">
        <is>
          <t>LINKÖPING</t>
        </is>
      </c>
      <c r="G154" t="n">
        <v>3.5</v>
      </c>
      <c r="H154" t="n">
        <v>0</v>
      </c>
      <c r="I154" t="n">
        <v>0</v>
      </c>
      <c r="J154" t="n">
        <v>0</v>
      </c>
      <c r="K154" t="n">
        <v>0</v>
      </c>
      <c r="L154" t="n">
        <v>0</v>
      </c>
      <c r="M154" t="n">
        <v>0</v>
      </c>
      <c r="N154" t="n">
        <v>0</v>
      </c>
      <c r="O154" t="n">
        <v>0</v>
      </c>
      <c r="P154" t="n">
        <v>0</v>
      </c>
      <c r="Q154" t="n">
        <v>0</v>
      </c>
      <c r="R154" s="2" t="inlineStr"/>
    </row>
    <row r="155" ht="15" customHeight="1">
      <c r="A155" t="inlineStr">
        <is>
          <t>A 12413-2022</t>
        </is>
      </c>
      <c r="B155" s="1" t="n">
        <v>44638</v>
      </c>
      <c r="C155" s="1" t="n">
        <v>45911</v>
      </c>
      <c r="D155" t="inlineStr">
        <is>
          <t>ÖSTERGÖTLANDS LÄN</t>
        </is>
      </c>
      <c r="E155" t="inlineStr">
        <is>
          <t>LINKÖPING</t>
        </is>
      </c>
      <c r="G155" t="n">
        <v>1.3</v>
      </c>
      <c r="H155" t="n">
        <v>0</v>
      </c>
      <c r="I155" t="n">
        <v>0</v>
      </c>
      <c r="J155" t="n">
        <v>0</v>
      </c>
      <c r="K155" t="n">
        <v>0</v>
      </c>
      <c r="L155" t="n">
        <v>0</v>
      </c>
      <c r="M155" t="n">
        <v>0</v>
      </c>
      <c r="N155" t="n">
        <v>0</v>
      </c>
      <c r="O155" t="n">
        <v>0</v>
      </c>
      <c r="P155" t="n">
        <v>0</v>
      </c>
      <c r="Q155" t="n">
        <v>0</v>
      </c>
      <c r="R155" s="2" t="inlineStr"/>
    </row>
    <row r="156" ht="15" customHeight="1">
      <c r="A156" t="inlineStr">
        <is>
          <t>A 19318-2022</t>
        </is>
      </c>
      <c r="B156" s="1" t="n">
        <v>44692.5827662037</v>
      </c>
      <c r="C156" s="1" t="n">
        <v>45911</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41426-2022</t>
        </is>
      </c>
      <c r="B157" s="1" t="n">
        <v>44826</v>
      </c>
      <c r="C157" s="1" t="n">
        <v>45911</v>
      </c>
      <c r="D157" t="inlineStr">
        <is>
          <t>ÖSTERGÖTLANDS LÄN</t>
        </is>
      </c>
      <c r="E157" t="inlineStr">
        <is>
          <t>LINKÖPING</t>
        </is>
      </c>
      <c r="G157" t="n">
        <v>3</v>
      </c>
      <c r="H157" t="n">
        <v>0</v>
      </c>
      <c r="I157" t="n">
        <v>0</v>
      </c>
      <c r="J157" t="n">
        <v>0</v>
      </c>
      <c r="K157" t="n">
        <v>0</v>
      </c>
      <c r="L157" t="n">
        <v>0</v>
      </c>
      <c r="M157" t="n">
        <v>0</v>
      </c>
      <c r="N157" t="n">
        <v>0</v>
      </c>
      <c r="O157" t="n">
        <v>0</v>
      </c>
      <c r="P157" t="n">
        <v>0</v>
      </c>
      <c r="Q157" t="n">
        <v>0</v>
      </c>
      <c r="R157" s="2" t="inlineStr"/>
    </row>
    <row r="158" ht="15" customHeight="1">
      <c r="A158" t="inlineStr">
        <is>
          <t>A 34162-2022</t>
        </is>
      </c>
      <c r="B158" s="1" t="n">
        <v>44791</v>
      </c>
      <c r="C158" s="1" t="n">
        <v>45911</v>
      </c>
      <c r="D158" t="inlineStr">
        <is>
          <t>ÖSTERGÖTLANDS LÄN</t>
        </is>
      </c>
      <c r="E158" t="inlineStr">
        <is>
          <t>LINKÖPING</t>
        </is>
      </c>
      <c r="G158" t="n">
        <v>3</v>
      </c>
      <c r="H158" t="n">
        <v>0</v>
      </c>
      <c r="I158" t="n">
        <v>0</v>
      </c>
      <c r="J158" t="n">
        <v>0</v>
      </c>
      <c r="K158" t="n">
        <v>0</v>
      </c>
      <c r="L158" t="n">
        <v>0</v>
      </c>
      <c r="M158" t="n">
        <v>0</v>
      </c>
      <c r="N158" t="n">
        <v>0</v>
      </c>
      <c r="O158" t="n">
        <v>0</v>
      </c>
      <c r="P158" t="n">
        <v>0</v>
      </c>
      <c r="Q158" t="n">
        <v>0</v>
      </c>
      <c r="R158" s="2" t="inlineStr"/>
    </row>
    <row r="159" ht="15" customHeight="1">
      <c r="A159" t="inlineStr">
        <is>
          <t>A 46490-2022</t>
        </is>
      </c>
      <c r="B159" s="1" t="n">
        <v>44848</v>
      </c>
      <c r="C159" s="1" t="n">
        <v>45911</v>
      </c>
      <c r="D159" t="inlineStr">
        <is>
          <t>ÖSTERGÖTLANDS LÄN</t>
        </is>
      </c>
      <c r="E159" t="inlineStr">
        <is>
          <t>LINKÖPING</t>
        </is>
      </c>
      <c r="G159" t="n">
        <v>3.5</v>
      </c>
      <c r="H159" t="n">
        <v>0</v>
      </c>
      <c r="I159" t="n">
        <v>0</v>
      </c>
      <c r="J159" t="n">
        <v>0</v>
      </c>
      <c r="K159" t="n">
        <v>0</v>
      </c>
      <c r="L159" t="n">
        <v>0</v>
      </c>
      <c r="M159" t="n">
        <v>0</v>
      </c>
      <c r="N159" t="n">
        <v>0</v>
      </c>
      <c r="O159" t="n">
        <v>0</v>
      </c>
      <c r="P159" t="n">
        <v>0</v>
      </c>
      <c r="Q159" t="n">
        <v>0</v>
      </c>
      <c r="R159" s="2" t="inlineStr"/>
    </row>
    <row r="160" ht="15" customHeight="1">
      <c r="A160" t="inlineStr">
        <is>
          <t>A 61298-2021</t>
        </is>
      </c>
      <c r="B160" s="1" t="n">
        <v>44498.62533564815</v>
      </c>
      <c r="C160" s="1" t="n">
        <v>45911</v>
      </c>
      <c r="D160" t="inlineStr">
        <is>
          <t>ÖSTERGÖTLANDS LÄN</t>
        </is>
      </c>
      <c r="E160" t="inlineStr">
        <is>
          <t>LINKÖPING</t>
        </is>
      </c>
      <c r="G160" t="n">
        <v>4.3</v>
      </c>
      <c r="H160" t="n">
        <v>0</v>
      </c>
      <c r="I160" t="n">
        <v>0</v>
      </c>
      <c r="J160" t="n">
        <v>0</v>
      </c>
      <c r="K160" t="n">
        <v>0</v>
      </c>
      <c r="L160" t="n">
        <v>0</v>
      </c>
      <c r="M160" t="n">
        <v>0</v>
      </c>
      <c r="N160" t="n">
        <v>0</v>
      </c>
      <c r="O160" t="n">
        <v>0</v>
      </c>
      <c r="P160" t="n">
        <v>0</v>
      </c>
      <c r="Q160" t="n">
        <v>0</v>
      </c>
      <c r="R160" s="2" t="inlineStr"/>
    </row>
    <row r="161" ht="15" customHeight="1">
      <c r="A161" t="inlineStr">
        <is>
          <t>A 61333-2021</t>
        </is>
      </c>
      <c r="B161" s="1" t="n">
        <v>44498.6764699074</v>
      </c>
      <c r="C161" s="1" t="n">
        <v>45911</v>
      </c>
      <c r="D161" t="inlineStr">
        <is>
          <t>ÖSTERGÖTLANDS LÄN</t>
        </is>
      </c>
      <c r="E161" t="inlineStr">
        <is>
          <t>LINKÖPING</t>
        </is>
      </c>
      <c r="G161" t="n">
        <v>7.5</v>
      </c>
      <c r="H161" t="n">
        <v>0</v>
      </c>
      <c r="I161" t="n">
        <v>0</v>
      </c>
      <c r="J161" t="n">
        <v>0</v>
      </c>
      <c r="K161" t="n">
        <v>0</v>
      </c>
      <c r="L161" t="n">
        <v>0</v>
      </c>
      <c r="M161" t="n">
        <v>0</v>
      </c>
      <c r="N161" t="n">
        <v>0</v>
      </c>
      <c r="O161" t="n">
        <v>0</v>
      </c>
      <c r="P161" t="n">
        <v>0</v>
      </c>
      <c r="Q161" t="n">
        <v>0</v>
      </c>
      <c r="R161" s="2" t="inlineStr"/>
    </row>
    <row r="162" ht="15" customHeight="1">
      <c r="A162" t="inlineStr">
        <is>
          <t>A 65398-2021</t>
        </is>
      </c>
      <c r="B162" s="1" t="n">
        <v>44515</v>
      </c>
      <c r="C162" s="1" t="n">
        <v>45911</v>
      </c>
      <c r="D162" t="inlineStr">
        <is>
          <t>ÖSTERGÖTLANDS LÄN</t>
        </is>
      </c>
      <c r="E162" t="inlineStr">
        <is>
          <t>LINKÖPING</t>
        </is>
      </c>
      <c r="F162" t="inlineStr">
        <is>
          <t>Övriga statliga verk och myndigheter</t>
        </is>
      </c>
      <c r="G162" t="n">
        <v>2.4</v>
      </c>
      <c r="H162" t="n">
        <v>0</v>
      </c>
      <c r="I162" t="n">
        <v>0</v>
      </c>
      <c r="J162" t="n">
        <v>0</v>
      </c>
      <c r="K162" t="n">
        <v>0</v>
      </c>
      <c r="L162" t="n">
        <v>0</v>
      </c>
      <c r="M162" t="n">
        <v>0</v>
      </c>
      <c r="N162" t="n">
        <v>0</v>
      </c>
      <c r="O162" t="n">
        <v>0</v>
      </c>
      <c r="P162" t="n">
        <v>0</v>
      </c>
      <c r="Q162" t="n">
        <v>0</v>
      </c>
      <c r="R162" s="2" t="inlineStr"/>
    </row>
    <row r="163" ht="15" customHeight="1">
      <c r="A163" t="inlineStr">
        <is>
          <t>A 12412-2022</t>
        </is>
      </c>
      <c r="B163" s="1" t="n">
        <v>44638</v>
      </c>
      <c r="C163" s="1" t="n">
        <v>45911</v>
      </c>
      <c r="D163" t="inlineStr">
        <is>
          <t>ÖSTERGÖTLANDS LÄN</t>
        </is>
      </c>
      <c r="E163" t="inlineStr">
        <is>
          <t>LINKÖPING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54467-2022</t>
        </is>
      </c>
      <c r="B164" s="1" t="n">
        <v>44882</v>
      </c>
      <c r="C164" s="1" t="n">
        <v>45911</v>
      </c>
      <c r="D164" t="inlineStr">
        <is>
          <t>ÖSTERGÖTLANDS LÄN</t>
        </is>
      </c>
      <c r="E164" t="inlineStr">
        <is>
          <t>LINKÖPING</t>
        </is>
      </c>
      <c r="F164" t="inlineStr">
        <is>
          <t>Sveaskog</t>
        </is>
      </c>
      <c r="G164" t="n">
        <v>2.5</v>
      </c>
      <c r="H164" t="n">
        <v>0</v>
      </c>
      <c r="I164" t="n">
        <v>0</v>
      </c>
      <c r="J164" t="n">
        <v>0</v>
      </c>
      <c r="K164" t="n">
        <v>0</v>
      </c>
      <c r="L164" t="n">
        <v>0</v>
      </c>
      <c r="M164" t="n">
        <v>0</v>
      </c>
      <c r="N164" t="n">
        <v>0</v>
      </c>
      <c r="O164" t="n">
        <v>0</v>
      </c>
      <c r="P164" t="n">
        <v>0</v>
      </c>
      <c r="Q164" t="n">
        <v>0</v>
      </c>
      <c r="R164" s="2" t="inlineStr"/>
    </row>
    <row r="165" ht="15" customHeight="1">
      <c r="A165" t="inlineStr">
        <is>
          <t>A 36341-2022</t>
        </is>
      </c>
      <c r="B165" s="1" t="n">
        <v>44803</v>
      </c>
      <c r="C165" s="1" t="n">
        <v>45911</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67912-2021</t>
        </is>
      </c>
      <c r="B166" s="1" t="n">
        <v>44525</v>
      </c>
      <c r="C166" s="1" t="n">
        <v>45911</v>
      </c>
      <c r="D166" t="inlineStr">
        <is>
          <t>ÖSTERGÖTLANDS LÄN</t>
        </is>
      </c>
      <c r="E166" t="inlineStr">
        <is>
          <t>LINKÖPING</t>
        </is>
      </c>
      <c r="G166" t="n">
        <v>2.4</v>
      </c>
      <c r="H166" t="n">
        <v>0</v>
      </c>
      <c r="I166" t="n">
        <v>0</v>
      </c>
      <c r="J166" t="n">
        <v>0</v>
      </c>
      <c r="K166" t="n">
        <v>0</v>
      </c>
      <c r="L166" t="n">
        <v>0</v>
      </c>
      <c r="M166" t="n">
        <v>0</v>
      </c>
      <c r="N166" t="n">
        <v>0</v>
      </c>
      <c r="O166" t="n">
        <v>0</v>
      </c>
      <c r="P166" t="n">
        <v>0</v>
      </c>
      <c r="Q166" t="n">
        <v>0</v>
      </c>
      <c r="R166" s="2" t="inlineStr"/>
    </row>
    <row r="167" ht="15" customHeight="1">
      <c r="A167" t="inlineStr">
        <is>
          <t>A 67940-2021</t>
        </is>
      </c>
      <c r="B167" s="1" t="n">
        <v>44525.62849537037</v>
      </c>
      <c r="C167" s="1" t="n">
        <v>45911</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4240-2022</t>
        </is>
      </c>
      <c r="B168" s="1" t="n">
        <v>44588</v>
      </c>
      <c r="C168" s="1" t="n">
        <v>45911</v>
      </c>
      <c r="D168" t="inlineStr">
        <is>
          <t>ÖSTERGÖTLANDS LÄN</t>
        </is>
      </c>
      <c r="E168" t="inlineStr">
        <is>
          <t>LINKÖPING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10951-2022</t>
        </is>
      </c>
      <c r="B169" s="1" t="n">
        <v>44627</v>
      </c>
      <c r="C169" s="1" t="n">
        <v>45911</v>
      </c>
      <c r="D169" t="inlineStr">
        <is>
          <t>ÖSTERGÖTLANDS LÄN</t>
        </is>
      </c>
      <c r="E169" t="inlineStr">
        <is>
          <t>LINKÖPING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46803-2020</t>
        </is>
      </c>
      <c r="B170" s="1" t="n">
        <v>44089</v>
      </c>
      <c r="C170" s="1" t="n">
        <v>45911</v>
      </c>
      <c r="D170" t="inlineStr">
        <is>
          <t>ÖSTERGÖTLANDS LÄN</t>
        </is>
      </c>
      <c r="E170" t="inlineStr">
        <is>
          <t>LINKÖPING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33134-2022</t>
        </is>
      </c>
      <c r="B171" s="1" t="n">
        <v>44785</v>
      </c>
      <c r="C171" s="1" t="n">
        <v>45911</v>
      </c>
      <c r="D171" t="inlineStr">
        <is>
          <t>ÖSTERGÖTLANDS LÄN</t>
        </is>
      </c>
      <c r="E171" t="inlineStr">
        <is>
          <t>LINKÖPING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46891-2021</t>
        </is>
      </c>
      <c r="B172" s="1" t="n">
        <v>44446.44587962963</v>
      </c>
      <c r="C172" s="1" t="n">
        <v>45911</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13075-2022</t>
        </is>
      </c>
      <c r="B173" s="1" t="n">
        <v>44643</v>
      </c>
      <c r="C173" s="1" t="n">
        <v>45911</v>
      </c>
      <c r="D173" t="inlineStr">
        <is>
          <t>ÖSTERGÖTLANDS LÄN</t>
        </is>
      </c>
      <c r="E173" t="inlineStr">
        <is>
          <t>LINKÖPING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27666-2022</t>
        </is>
      </c>
      <c r="B174" s="1" t="n">
        <v>44743.39017361111</v>
      </c>
      <c r="C174" s="1" t="n">
        <v>45911</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19183-2021</t>
        </is>
      </c>
      <c r="B175" s="1" t="n">
        <v>44308.73248842593</v>
      </c>
      <c r="C175" s="1" t="n">
        <v>45911</v>
      </c>
      <c r="D175" t="inlineStr">
        <is>
          <t>ÖSTERGÖTLANDS LÄN</t>
        </is>
      </c>
      <c r="E175" t="inlineStr">
        <is>
          <t>LINKÖPING</t>
        </is>
      </c>
      <c r="F175" t="inlineStr">
        <is>
          <t>Allmännings- och besparingsskogar</t>
        </is>
      </c>
      <c r="G175" t="n">
        <v>4.6</v>
      </c>
      <c r="H175" t="n">
        <v>0</v>
      </c>
      <c r="I175" t="n">
        <v>0</v>
      </c>
      <c r="J175" t="n">
        <v>0</v>
      </c>
      <c r="K175" t="n">
        <v>0</v>
      </c>
      <c r="L175" t="n">
        <v>0</v>
      </c>
      <c r="M175" t="n">
        <v>0</v>
      </c>
      <c r="N175" t="n">
        <v>0</v>
      </c>
      <c r="O175" t="n">
        <v>0</v>
      </c>
      <c r="P175" t="n">
        <v>0</v>
      </c>
      <c r="Q175" t="n">
        <v>0</v>
      </c>
      <c r="R175" s="2" t="inlineStr"/>
    </row>
    <row r="176" ht="15" customHeight="1">
      <c r="A176" t="inlineStr">
        <is>
          <t>A 51912-2020</t>
        </is>
      </c>
      <c r="B176" s="1" t="n">
        <v>44116</v>
      </c>
      <c r="C176" s="1" t="n">
        <v>45911</v>
      </c>
      <c r="D176" t="inlineStr">
        <is>
          <t>ÖSTERGÖTLANDS LÄN</t>
        </is>
      </c>
      <c r="E176" t="inlineStr">
        <is>
          <t>LINKÖPING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45911</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59288-2020</t>
        </is>
      </c>
      <c r="B178" s="1" t="n">
        <v>44147</v>
      </c>
      <c r="C178" s="1" t="n">
        <v>45911</v>
      </c>
      <c r="D178" t="inlineStr">
        <is>
          <t>ÖSTERGÖTLANDS LÄN</t>
        </is>
      </c>
      <c r="E178" t="inlineStr">
        <is>
          <t>LINKÖPING</t>
        </is>
      </c>
      <c r="G178" t="n">
        <v>2.8</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45911</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45911</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13922-2021</t>
        </is>
      </c>
      <c r="B181" s="1" t="n">
        <v>44277.45946759259</v>
      </c>
      <c r="C181" s="1" t="n">
        <v>45911</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44879-2020</t>
        </is>
      </c>
      <c r="B182" s="1" t="n">
        <v>44087</v>
      </c>
      <c r="C182" s="1" t="n">
        <v>45911</v>
      </c>
      <c r="D182" t="inlineStr">
        <is>
          <t>ÖSTERGÖTLANDS LÄN</t>
        </is>
      </c>
      <c r="E182" t="inlineStr">
        <is>
          <t>LINKÖPING</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50035-2020</t>
        </is>
      </c>
      <c r="B183" s="1" t="n">
        <v>44109</v>
      </c>
      <c r="C183" s="1" t="n">
        <v>45911</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45911</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45911</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1787-2022</t>
        </is>
      </c>
      <c r="B186" s="1" t="n">
        <v>44574</v>
      </c>
      <c r="C186" s="1" t="n">
        <v>45911</v>
      </c>
      <c r="D186" t="inlineStr">
        <is>
          <t>ÖSTERGÖTLANDS LÄN</t>
        </is>
      </c>
      <c r="E186" t="inlineStr">
        <is>
          <t>LINKÖPING</t>
        </is>
      </c>
      <c r="G186" t="n">
        <v>1.9</v>
      </c>
      <c r="H186" t="n">
        <v>0</v>
      </c>
      <c r="I186" t="n">
        <v>0</v>
      </c>
      <c r="J186" t="n">
        <v>0</v>
      </c>
      <c r="K186" t="n">
        <v>0</v>
      </c>
      <c r="L186" t="n">
        <v>0</v>
      </c>
      <c r="M186" t="n">
        <v>0</v>
      </c>
      <c r="N186" t="n">
        <v>0</v>
      </c>
      <c r="O186" t="n">
        <v>0</v>
      </c>
      <c r="P186" t="n">
        <v>0</v>
      </c>
      <c r="Q186" t="n">
        <v>0</v>
      </c>
      <c r="R186" s="2" t="inlineStr"/>
    </row>
    <row r="187" ht="15" customHeight="1">
      <c r="A187" t="inlineStr">
        <is>
          <t>A 948-2022</t>
        </is>
      </c>
      <c r="B187" s="1" t="n">
        <v>44571</v>
      </c>
      <c r="C187" s="1" t="n">
        <v>45911</v>
      </c>
      <c r="D187" t="inlineStr">
        <is>
          <t>ÖSTERGÖTLANDS LÄN</t>
        </is>
      </c>
      <c r="E187" t="inlineStr">
        <is>
          <t>LINKÖPING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32255-2021</t>
        </is>
      </c>
      <c r="B188" s="1" t="n">
        <v>44371.45949074074</v>
      </c>
      <c r="C188" s="1" t="n">
        <v>45911</v>
      </c>
      <c r="D188" t="inlineStr">
        <is>
          <t>ÖSTERGÖTLANDS LÄN</t>
        </is>
      </c>
      <c r="E188" t="inlineStr">
        <is>
          <t>LINKÖPING</t>
        </is>
      </c>
      <c r="F188" t="inlineStr">
        <is>
          <t>Övriga Aktiebolag</t>
        </is>
      </c>
      <c r="G188" t="n">
        <v>1.1</v>
      </c>
      <c r="H188" t="n">
        <v>0</v>
      </c>
      <c r="I188" t="n">
        <v>0</v>
      </c>
      <c r="J188" t="n">
        <v>0</v>
      </c>
      <c r="K188" t="n">
        <v>0</v>
      </c>
      <c r="L188" t="n">
        <v>0</v>
      </c>
      <c r="M188" t="n">
        <v>0</v>
      </c>
      <c r="N188" t="n">
        <v>0</v>
      </c>
      <c r="O188" t="n">
        <v>0</v>
      </c>
      <c r="P188" t="n">
        <v>0</v>
      </c>
      <c r="Q188" t="n">
        <v>0</v>
      </c>
      <c r="R188" s="2" t="inlineStr"/>
    </row>
    <row r="189" ht="15" customHeight="1">
      <c r="A189" t="inlineStr">
        <is>
          <t>A 37014-2021</t>
        </is>
      </c>
      <c r="B189" s="1" t="n">
        <v>44393</v>
      </c>
      <c r="C189" s="1" t="n">
        <v>45911</v>
      </c>
      <c r="D189" t="inlineStr">
        <is>
          <t>ÖSTERGÖTLANDS LÄN</t>
        </is>
      </c>
      <c r="E189" t="inlineStr">
        <is>
          <t>LINKÖPING</t>
        </is>
      </c>
      <c r="F189" t="inlineStr">
        <is>
          <t>Allmännings- och besparingsskogar</t>
        </is>
      </c>
      <c r="G189" t="n">
        <v>7.7</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45911</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4929-2021</t>
        </is>
      </c>
      <c r="B191" s="1" t="n">
        <v>44227.57533564815</v>
      </c>
      <c r="C191" s="1" t="n">
        <v>45911</v>
      </c>
      <c r="D191" t="inlineStr">
        <is>
          <t>ÖSTERGÖTLANDS LÄN</t>
        </is>
      </c>
      <c r="E191" t="inlineStr">
        <is>
          <t>LINKÖPING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38134-2021</t>
        </is>
      </c>
      <c r="B192" s="1" t="n">
        <v>44405.3794212963</v>
      </c>
      <c r="C192" s="1" t="n">
        <v>45911</v>
      </c>
      <c r="D192" t="inlineStr">
        <is>
          <t>ÖSTERGÖTLANDS LÄN</t>
        </is>
      </c>
      <c r="E192" t="inlineStr">
        <is>
          <t>LINKÖPING</t>
        </is>
      </c>
      <c r="G192" t="n">
        <v>5.1</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45911</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33891-2021</t>
        </is>
      </c>
      <c r="B194" s="1" t="n">
        <v>44378</v>
      </c>
      <c r="C194" s="1" t="n">
        <v>45911</v>
      </c>
      <c r="D194" t="inlineStr">
        <is>
          <t>ÖSTERGÖTLANDS LÄN</t>
        </is>
      </c>
      <c r="E194" t="inlineStr">
        <is>
          <t>LINKÖPING</t>
        </is>
      </c>
      <c r="G194" t="n">
        <v>5.1</v>
      </c>
      <c r="H194" t="n">
        <v>0</v>
      </c>
      <c r="I194" t="n">
        <v>0</v>
      </c>
      <c r="J194" t="n">
        <v>0</v>
      </c>
      <c r="K194" t="n">
        <v>0</v>
      </c>
      <c r="L194" t="n">
        <v>0</v>
      </c>
      <c r="M194" t="n">
        <v>0</v>
      </c>
      <c r="N194" t="n">
        <v>0</v>
      </c>
      <c r="O194" t="n">
        <v>0</v>
      </c>
      <c r="P194" t="n">
        <v>0</v>
      </c>
      <c r="Q194" t="n">
        <v>0</v>
      </c>
      <c r="R194" s="2" t="inlineStr"/>
    </row>
    <row r="195" ht="15" customHeight="1">
      <c r="A195" t="inlineStr">
        <is>
          <t>A 34880-2022</t>
        </is>
      </c>
      <c r="B195" s="1" t="n">
        <v>44796</v>
      </c>
      <c r="C195" s="1" t="n">
        <v>45911</v>
      </c>
      <c r="D195" t="inlineStr">
        <is>
          <t>ÖSTERGÖTLANDS LÄN</t>
        </is>
      </c>
      <c r="E195" t="inlineStr">
        <is>
          <t>LINKÖPING</t>
        </is>
      </c>
      <c r="F195" t="inlineStr">
        <is>
          <t>Övriga statliga verk och myndigheter</t>
        </is>
      </c>
      <c r="G195" t="n">
        <v>4</v>
      </c>
      <c r="H195" t="n">
        <v>0</v>
      </c>
      <c r="I195" t="n">
        <v>0</v>
      </c>
      <c r="J195" t="n">
        <v>0</v>
      </c>
      <c r="K195" t="n">
        <v>0</v>
      </c>
      <c r="L195" t="n">
        <v>0</v>
      </c>
      <c r="M195" t="n">
        <v>0</v>
      </c>
      <c r="N195" t="n">
        <v>0</v>
      </c>
      <c r="O195" t="n">
        <v>0</v>
      </c>
      <c r="P195" t="n">
        <v>0</v>
      </c>
      <c r="Q195" t="n">
        <v>0</v>
      </c>
      <c r="R195" s="2" t="inlineStr"/>
    </row>
    <row r="196" ht="15" customHeight="1">
      <c r="A196" t="inlineStr">
        <is>
          <t>A 48042-2022</t>
        </is>
      </c>
      <c r="B196" s="1" t="n">
        <v>44855</v>
      </c>
      <c r="C196" s="1" t="n">
        <v>45911</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19254-2021</t>
        </is>
      </c>
      <c r="B197" s="1" t="n">
        <v>44309.38962962963</v>
      </c>
      <c r="C197" s="1" t="n">
        <v>45911</v>
      </c>
      <c r="D197" t="inlineStr">
        <is>
          <t>ÖSTERGÖTLANDS LÄN</t>
        </is>
      </c>
      <c r="E197" t="inlineStr">
        <is>
          <t>LINKÖPING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44849-2022</t>
        </is>
      </c>
      <c r="B198" s="1" t="n">
        <v>44841</v>
      </c>
      <c r="C198" s="1" t="n">
        <v>45911</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70835-2021</t>
        </is>
      </c>
      <c r="B199" s="1" t="n">
        <v>44537</v>
      </c>
      <c r="C199" s="1" t="n">
        <v>45911</v>
      </c>
      <c r="D199" t="inlineStr">
        <is>
          <t>ÖSTERGÖTLANDS LÄN</t>
        </is>
      </c>
      <c r="E199" t="inlineStr">
        <is>
          <t>LINKÖPING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60129-2020</t>
        </is>
      </c>
      <c r="B200" s="1" t="n">
        <v>44152</v>
      </c>
      <c r="C200" s="1" t="n">
        <v>45911</v>
      </c>
      <c r="D200" t="inlineStr">
        <is>
          <t>ÖSTERGÖTLANDS LÄN</t>
        </is>
      </c>
      <c r="E200" t="inlineStr">
        <is>
          <t>LINKÖPING</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50401-2020</t>
        </is>
      </c>
      <c r="B201" s="1" t="n">
        <v>44110</v>
      </c>
      <c r="C201" s="1" t="n">
        <v>45911</v>
      </c>
      <c r="D201" t="inlineStr">
        <is>
          <t>ÖSTERGÖTLANDS LÄN</t>
        </is>
      </c>
      <c r="E201" t="inlineStr">
        <is>
          <t>LINKÖPING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37934-2022</t>
        </is>
      </c>
      <c r="B202" s="1" t="n">
        <v>44809</v>
      </c>
      <c r="C202" s="1" t="n">
        <v>45911</v>
      </c>
      <c r="D202" t="inlineStr">
        <is>
          <t>ÖSTERGÖTLANDS LÄN</t>
        </is>
      </c>
      <c r="E202" t="inlineStr">
        <is>
          <t>LINKÖPING</t>
        </is>
      </c>
      <c r="G202" t="n">
        <v>1.6</v>
      </c>
      <c r="H202" t="n">
        <v>0</v>
      </c>
      <c r="I202" t="n">
        <v>0</v>
      </c>
      <c r="J202" t="n">
        <v>0</v>
      </c>
      <c r="K202" t="n">
        <v>0</v>
      </c>
      <c r="L202" t="n">
        <v>0</v>
      </c>
      <c r="M202" t="n">
        <v>0</v>
      </c>
      <c r="N202" t="n">
        <v>0</v>
      </c>
      <c r="O202" t="n">
        <v>0</v>
      </c>
      <c r="P202" t="n">
        <v>0</v>
      </c>
      <c r="Q202" t="n">
        <v>0</v>
      </c>
      <c r="R202" s="2" t="inlineStr"/>
    </row>
    <row r="203" ht="15" customHeight="1">
      <c r="A203" t="inlineStr">
        <is>
          <t>A 61302-2021</t>
        </is>
      </c>
      <c r="B203" s="1" t="n">
        <v>44498.63189814815</v>
      </c>
      <c r="C203" s="1" t="n">
        <v>45911</v>
      </c>
      <c r="D203" t="inlineStr">
        <is>
          <t>ÖSTERGÖTLANDS LÄN</t>
        </is>
      </c>
      <c r="E203" t="inlineStr">
        <is>
          <t>LINKÖPING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4377-2021</t>
        </is>
      </c>
      <c r="B204" s="1" t="n">
        <v>44223</v>
      </c>
      <c r="C204" s="1" t="n">
        <v>45911</v>
      </c>
      <c r="D204" t="inlineStr">
        <is>
          <t>ÖSTERGÖTLANDS LÄN</t>
        </is>
      </c>
      <c r="E204" t="inlineStr">
        <is>
          <t>LINKÖPING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10407-2025</t>
        </is>
      </c>
      <c r="B205" s="1" t="n">
        <v>45720.62863425926</v>
      </c>
      <c r="C205" s="1" t="n">
        <v>45911</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46980-2020</t>
        </is>
      </c>
      <c r="B206" s="1" t="n">
        <v>44090</v>
      </c>
      <c r="C206" s="1" t="n">
        <v>45911</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39021-2021</t>
        </is>
      </c>
      <c r="B207" s="1" t="n">
        <v>44412</v>
      </c>
      <c r="C207" s="1" t="n">
        <v>45911</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54854-2022</t>
        </is>
      </c>
      <c r="B208" s="1" t="n">
        <v>44884</v>
      </c>
      <c r="C208" s="1" t="n">
        <v>45911</v>
      </c>
      <c r="D208" t="inlineStr">
        <is>
          <t>ÖSTERGÖTLANDS LÄN</t>
        </is>
      </c>
      <c r="E208" t="inlineStr">
        <is>
          <t>LINKÖPING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54855-2022</t>
        </is>
      </c>
      <c r="B209" s="1" t="n">
        <v>44884.59502314815</v>
      </c>
      <c r="C209" s="1" t="n">
        <v>45911</v>
      </c>
      <c r="D209" t="inlineStr">
        <is>
          <t>ÖSTERGÖTLANDS LÄN</t>
        </is>
      </c>
      <c r="E209" t="inlineStr">
        <is>
          <t>LINKÖPING</t>
        </is>
      </c>
      <c r="G209" t="n">
        <v>2.9</v>
      </c>
      <c r="H209" t="n">
        <v>0</v>
      </c>
      <c r="I209" t="n">
        <v>0</v>
      </c>
      <c r="J209" t="n">
        <v>0</v>
      </c>
      <c r="K209" t="n">
        <v>0</v>
      </c>
      <c r="L209" t="n">
        <v>0</v>
      </c>
      <c r="M209" t="n">
        <v>0</v>
      </c>
      <c r="N209" t="n">
        <v>0</v>
      </c>
      <c r="O209" t="n">
        <v>0</v>
      </c>
      <c r="P209" t="n">
        <v>0</v>
      </c>
      <c r="Q209" t="n">
        <v>0</v>
      </c>
      <c r="R209" s="2" t="inlineStr"/>
    </row>
    <row r="210" ht="15" customHeight="1">
      <c r="A210" t="inlineStr">
        <is>
          <t>A 24586-2024</t>
        </is>
      </c>
      <c r="B210" s="1" t="n">
        <v>45460.46664351852</v>
      </c>
      <c r="C210" s="1" t="n">
        <v>45911</v>
      </c>
      <c r="D210" t="inlineStr">
        <is>
          <t>ÖSTERGÖTLANDS LÄN</t>
        </is>
      </c>
      <c r="E210" t="inlineStr">
        <is>
          <t>LINKÖPING</t>
        </is>
      </c>
      <c r="G210" t="n">
        <v>4</v>
      </c>
      <c r="H210" t="n">
        <v>0</v>
      </c>
      <c r="I210" t="n">
        <v>0</v>
      </c>
      <c r="J210" t="n">
        <v>0</v>
      </c>
      <c r="K210" t="n">
        <v>0</v>
      </c>
      <c r="L210" t="n">
        <v>0</v>
      </c>
      <c r="M210" t="n">
        <v>0</v>
      </c>
      <c r="N210" t="n">
        <v>0</v>
      </c>
      <c r="O210" t="n">
        <v>0</v>
      </c>
      <c r="P210" t="n">
        <v>0</v>
      </c>
      <c r="Q210" t="n">
        <v>0</v>
      </c>
      <c r="R210" s="2" t="inlineStr"/>
    </row>
    <row r="211" ht="15" customHeight="1">
      <c r="A211" t="inlineStr">
        <is>
          <t>A 17124-2025</t>
        </is>
      </c>
      <c r="B211" s="1" t="n">
        <v>45755.69678240741</v>
      </c>
      <c r="C211" s="1" t="n">
        <v>45911</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17126-2025</t>
        </is>
      </c>
      <c r="B212" s="1" t="n">
        <v>45755.70814814815</v>
      </c>
      <c r="C212" s="1" t="n">
        <v>45911</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17143-2025</t>
        </is>
      </c>
      <c r="B213" s="1" t="n">
        <v>45755.92731481481</v>
      </c>
      <c r="C213" s="1" t="n">
        <v>45911</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12035-2025</t>
        </is>
      </c>
      <c r="B214" s="1" t="n">
        <v>45728.64946759259</v>
      </c>
      <c r="C214" s="1" t="n">
        <v>45911</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29309-2024</t>
        </is>
      </c>
      <c r="B215" s="1" t="n">
        <v>45483</v>
      </c>
      <c r="C215" s="1" t="n">
        <v>45911</v>
      </c>
      <c r="D215" t="inlineStr">
        <is>
          <t>ÖSTERGÖTLANDS LÄN</t>
        </is>
      </c>
      <c r="E215" t="inlineStr">
        <is>
          <t>LINKÖPING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29411-2023</t>
        </is>
      </c>
      <c r="B216" s="1" t="n">
        <v>45106.46225694445</v>
      </c>
      <c r="C216" s="1" t="n">
        <v>45911</v>
      </c>
      <c r="D216" t="inlineStr">
        <is>
          <t>ÖSTERGÖTLANDS LÄN</t>
        </is>
      </c>
      <c r="E216" t="inlineStr">
        <is>
          <t>LINKÖPING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29412-2023</t>
        </is>
      </c>
      <c r="B217" s="1" t="n">
        <v>45106.46359953703</v>
      </c>
      <c r="C217" s="1" t="n">
        <v>45911</v>
      </c>
      <c r="D217" t="inlineStr">
        <is>
          <t>ÖSTERGÖTLANDS LÄN</t>
        </is>
      </c>
      <c r="E217" t="inlineStr">
        <is>
          <t>LINKÖPING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29413-2023</t>
        </is>
      </c>
      <c r="B218" s="1" t="n">
        <v>45106.46465277778</v>
      </c>
      <c r="C218" s="1" t="n">
        <v>45911</v>
      </c>
      <c r="D218" t="inlineStr">
        <is>
          <t>ÖSTERGÖTLANDS LÄN</t>
        </is>
      </c>
      <c r="E218" t="inlineStr">
        <is>
          <t>LINKÖPING</t>
        </is>
      </c>
      <c r="G218" t="n">
        <v>8</v>
      </c>
      <c r="H218" t="n">
        <v>0</v>
      </c>
      <c r="I218" t="n">
        <v>0</v>
      </c>
      <c r="J218" t="n">
        <v>0</v>
      </c>
      <c r="K218" t="n">
        <v>0</v>
      </c>
      <c r="L218" t="n">
        <v>0</v>
      </c>
      <c r="M218" t="n">
        <v>0</v>
      </c>
      <c r="N218" t="n">
        <v>0</v>
      </c>
      <c r="O218" t="n">
        <v>0</v>
      </c>
      <c r="P218" t="n">
        <v>0</v>
      </c>
      <c r="Q218" t="n">
        <v>0</v>
      </c>
      <c r="R218" s="2" t="inlineStr"/>
    </row>
    <row r="219" ht="15" customHeight="1">
      <c r="A219" t="inlineStr">
        <is>
          <t>A 39017-2021</t>
        </is>
      </c>
      <c r="B219" s="1" t="n">
        <v>44412</v>
      </c>
      <c r="C219" s="1" t="n">
        <v>45911</v>
      </c>
      <c r="D219" t="inlineStr">
        <is>
          <t>ÖSTERGÖTLANDS LÄN</t>
        </is>
      </c>
      <c r="E219" t="inlineStr">
        <is>
          <t>LINKÖPING</t>
        </is>
      </c>
      <c r="F219" t="inlineStr">
        <is>
          <t>Övriga statliga verk och myndigheter</t>
        </is>
      </c>
      <c r="G219" t="n">
        <v>0.8</v>
      </c>
      <c r="H219" t="n">
        <v>0</v>
      </c>
      <c r="I219" t="n">
        <v>0</v>
      </c>
      <c r="J219" t="n">
        <v>0</v>
      </c>
      <c r="K219" t="n">
        <v>0</v>
      </c>
      <c r="L219" t="n">
        <v>0</v>
      </c>
      <c r="M219" t="n">
        <v>0</v>
      </c>
      <c r="N219" t="n">
        <v>0</v>
      </c>
      <c r="O219" t="n">
        <v>0</v>
      </c>
      <c r="P219" t="n">
        <v>0</v>
      </c>
      <c r="Q219" t="n">
        <v>0</v>
      </c>
      <c r="R219" s="2" t="inlineStr"/>
    </row>
    <row r="220" ht="15" customHeight="1">
      <c r="A220" t="inlineStr">
        <is>
          <t>A 24151-2024</t>
        </is>
      </c>
      <c r="B220" s="1" t="n">
        <v>45456.67717592593</v>
      </c>
      <c r="C220" s="1" t="n">
        <v>45911</v>
      </c>
      <c r="D220" t="inlineStr">
        <is>
          <t>ÖSTERGÖTLANDS LÄN</t>
        </is>
      </c>
      <c r="E220" t="inlineStr">
        <is>
          <t>LINKÖPING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51484-2023</t>
        </is>
      </c>
      <c r="B221" s="1" t="n">
        <v>45222</v>
      </c>
      <c r="C221" s="1" t="n">
        <v>45911</v>
      </c>
      <c r="D221" t="inlineStr">
        <is>
          <t>ÖSTERGÖTLANDS LÄN</t>
        </is>
      </c>
      <c r="E221" t="inlineStr">
        <is>
          <t>LINKÖPING</t>
        </is>
      </c>
      <c r="F221" t="inlineStr">
        <is>
          <t>Övriga Aktiebolag</t>
        </is>
      </c>
      <c r="G221" t="n">
        <v>7.7</v>
      </c>
      <c r="H221" t="n">
        <v>0</v>
      </c>
      <c r="I221" t="n">
        <v>0</v>
      </c>
      <c r="J221" t="n">
        <v>0</v>
      </c>
      <c r="K221" t="n">
        <v>0</v>
      </c>
      <c r="L221" t="n">
        <v>0</v>
      </c>
      <c r="M221" t="n">
        <v>0</v>
      </c>
      <c r="N221" t="n">
        <v>0</v>
      </c>
      <c r="O221" t="n">
        <v>0</v>
      </c>
      <c r="P221" t="n">
        <v>0</v>
      </c>
      <c r="Q221" t="n">
        <v>0</v>
      </c>
      <c r="R221" s="2" t="inlineStr"/>
    </row>
    <row r="222" ht="15" customHeight="1">
      <c r="A222" t="inlineStr">
        <is>
          <t>A 16820-2024</t>
        </is>
      </c>
      <c r="B222" s="1" t="n">
        <v>45411.46809027778</v>
      </c>
      <c r="C222" s="1" t="n">
        <v>45911</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63845-2021</t>
        </is>
      </c>
      <c r="B223" s="1" t="n">
        <v>44509</v>
      </c>
      <c r="C223" s="1" t="n">
        <v>45911</v>
      </c>
      <c r="D223" t="inlineStr">
        <is>
          <t>ÖSTERGÖTLANDS LÄN</t>
        </is>
      </c>
      <c r="E223" t="inlineStr">
        <is>
          <t>LINKÖPING</t>
        </is>
      </c>
      <c r="G223" t="n">
        <v>5</v>
      </c>
      <c r="H223" t="n">
        <v>0</v>
      </c>
      <c r="I223" t="n">
        <v>0</v>
      </c>
      <c r="J223" t="n">
        <v>0</v>
      </c>
      <c r="K223" t="n">
        <v>0</v>
      </c>
      <c r="L223" t="n">
        <v>0</v>
      </c>
      <c r="M223" t="n">
        <v>0</v>
      </c>
      <c r="N223" t="n">
        <v>0</v>
      </c>
      <c r="O223" t="n">
        <v>0</v>
      </c>
      <c r="P223" t="n">
        <v>0</v>
      </c>
      <c r="Q223" t="n">
        <v>0</v>
      </c>
      <c r="R223" s="2" t="inlineStr"/>
    </row>
    <row r="224" ht="15" customHeight="1">
      <c r="A224" t="inlineStr">
        <is>
          <t>A 17785-2023</t>
        </is>
      </c>
      <c r="B224" s="1" t="n">
        <v>45037.55094907407</v>
      </c>
      <c r="C224" s="1" t="n">
        <v>45911</v>
      </c>
      <c r="D224" t="inlineStr">
        <is>
          <t>ÖSTERGÖTLANDS LÄN</t>
        </is>
      </c>
      <c r="E224" t="inlineStr">
        <is>
          <t>LINKÖPING</t>
        </is>
      </c>
      <c r="F224" t="inlineStr">
        <is>
          <t>Allmännings- och besparingsskogar</t>
        </is>
      </c>
      <c r="G224" t="n">
        <v>3.1</v>
      </c>
      <c r="H224" t="n">
        <v>0</v>
      </c>
      <c r="I224" t="n">
        <v>0</v>
      </c>
      <c r="J224" t="n">
        <v>0</v>
      </c>
      <c r="K224" t="n">
        <v>0</v>
      </c>
      <c r="L224" t="n">
        <v>0</v>
      </c>
      <c r="M224" t="n">
        <v>0</v>
      </c>
      <c r="N224" t="n">
        <v>0</v>
      </c>
      <c r="O224" t="n">
        <v>0</v>
      </c>
      <c r="P224" t="n">
        <v>0</v>
      </c>
      <c r="Q224" t="n">
        <v>0</v>
      </c>
      <c r="R224" s="2" t="inlineStr"/>
    </row>
    <row r="225" ht="15" customHeight="1">
      <c r="A225" t="inlineStr">
        <is>
          <t>A 30980-2022</t>
        </is>
      </c>
      <c r="B225" s="1" t="n">
        <v>44768</v>
      </c>
      <c r="C225" s="1" t="n">
        <v>45911</v>
      </c>
      <c r="D225" t="inlineStr">
        <is>
          <t>ÖSTERGÖTLANDS LÄN</t>
        </is>
      </c>
      <c r="E225" t="inlineStr">
        <is>
          <t>LINKÖPING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32346-2023</t>
        </is>
      </c>
      <c r="B226" s="1" t="n">
        <v>45120</v>
      </c>
      <c r="C226" s="1" t="n">
        <v>45911</v>
      </c>
      <c r="D226" t="inlineStr">
        <is>
          <t>ÖSTERGÖTLANDS LÄN</t>
        </is>
      </c>
      <c r="E226" t="inlineStr">
        <is>
          <t>LINKÖPING</t>
        </is>
      </c>
      <c r="G226" t="n">
        <v>0.7</v>
      </c>
      <c r="H226" t="n">
        <v>0</v>
      </c>
      <c r="I226" t="n">
        <v>0</v>
      </c>
      <c r="J226" t="n">
        <v>0</v>
      </c>
      <c r="K226" t="n">
        <v>0</v>
      </c>
      <c r="L226" t="n">
        <v>0</v>
      </c>
      <c r="M226" t="n">
        <v>0</v>
      </c>
      <c r="N226" t="n">
        <v>0</v>
      </c>
      <c r="O226" t="n">
        <v>0</v>
      </c>
      <c r="P226" t="n">
        <v>0</v>
      </c>
      <c r="Q226" t="n">
        <v>0</v>
      </c>
      <c r="R226" s="2" t="inlineStr"/>
    </row>
    <row r="227" ht="15" customHeight="1">
      <c r="A227" t="inlineStr">
        <is>
          <t>A 9473-2024</t>
        </is>
      </c>
      <c r="B227" s="1" t="n">
        <v>45359.55474537037</v>
      </c>
      <c r="C227" s="1" t="n">
        <v>45911</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1627-2023</t>
        </is>
      </c>
      <c r="B228" s="1" t="n">
        <v>44937</v>
      </c>
      <c r="C228" s="1" t="n">
        <v>45911</v>
      </c>
      <c r="D228" t="inlineStr">
        <is>
          <t>ÖSTERGÖTLANDS LÄN</t>
        </is>
      </c>
      <c r="E228" t="inlineStr">
        <is>
          <t>LINKÖPING</t>
        </is>
      </c>
      <c r="G228" t="n">
        <v>10.8</v>
      </c>
      <c r="H228" t="n">
        <v>0</v>
      </c>
      <c r="I228" t="n">
        <v>0</v>
      </c>
      <c r="J228" t="n">
        <v>0</v>
      </c>
      <c r="K228" t="n">
        <v>0</v>
      </c>
      <c r="L228" t="n">
        <v>0</v>
      </c>
      <c r="M228" t="n">
        <v>0</v>
      </c>
      <c r="N228" t="n">
        <v>0</v>
      </c>
      <c r="O228" t="n">
        <v>0</v>
      </c>
      <c r="P228" t="n">
        <v>0</v>
      </c>
      <c r="Q228" t="n">
        <v>0</v>
      </c>
      <c r="R228" s="2" t="inlineStr"/>
    </row>
    <row r="229" ht="15" customHeight="1">
      <c r="A229" t="inlineStr">
        <is>
          <t>A 10797-2024</t>
        </is>
      </c>
      <c r="B229" s="1" t="n">
        <v>45369.6190162037</v>
      </c>
      <c r="C229" s="1" t="n">
        <v>45911</v>
      </c>
      <c r="D229" t="inlineStr">
        <is>
          <t>ÖSTERGÖTLANDS LÄN</t>
        </is>
      </c>
      <c r="E229" t="inlineStr">
        <is>
          <t>LINKÖPING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9434-2024</t>
        </is>
      </c>
      <c r="B230" s="1" t="n">
        <v>45359</v>
      </c>
      <c r="C230" s="1" t="n">
        <v>45911</v>
      </c>
      <c r="D230" t="inlineStr">
        <is>
          <t>ÖSTERGÖTLANDS LÄN</t>
        </is>
      </c>
      <c r="E230" t="inlineStr">
        <is>
          <t>LINKÖPING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22264-2025</t>
        </is>
      </c>
      <c r="B231" s="1" t="n">
        <v>45785</v>
      </c>
      <c r="C231" s="1" t="n">
        <v>45911</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16665-2023</t>
        </is>
      </c>
      <c r="B232" s="1" t="n">
        <v>45030.5583912037</v>
      </c>
      <c r="C232" s="1" t="n">
        <v>45911</v>
      </c>
      <c r="D232" t="inlineStr">
        <is>
          <t>ÖSTERGÖTLANDS LÄN</t>
        </is>
      </c>
      <c r="E232" t="inlineStr">
        <is>
          <t>LINKÖPING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24351-2024</t>
        </is>
      </c>
      <c r="B233" s="1" t="n">
        <v>45457.59011574074</v>
      </c>
      <c r="C233" s="1" t="n">
        <v>45911</v>
      </c>
      <c r="D233" t="inlineStr">
        <is>
          <t>ÖSTERGÖTLANDS LÄN</t>
        </is>
      </c>
      <c r="E233" t="inlineStr">
        <is>
          <t>LINKÖPING</t>
        </is>
      </c>
      <c r="G233" t="n">
        <v>11.9</v>
      </c>
      <c r="H233" t="n">
        <v>0</v>
      </c>
      <c r="I233" t="n">
        <v>0</v>
      </c>
      <c r="J233" t="n">
        <v>0</v>
      </c>
      <c r="K233" t="n">
        <v>0</v>
      </c>
      <c r="L233" t="n">
        <v>0</v>
      </c>
      <c r="M233" t="n">
        <v>0</v>
      </c>
      <c r="N233" t="n">
        <v>0</v>
      </c>
      <c r="O233" t="n">
        <v>0</v>
      </c>
      <c r="P233" t="n">
        <v>0</v>
      </c>
      <c r="Q233" t="n">
        <v>0</v>
      </c>
      <c r="R233" s="2" t="inlineStr"/>
    </row>
    <row r="234" ht="15" customHeight="1">
      <c r="A234" t="inlineStr">
        <is>
          <t>A 63678-2023</t>
        </is>
      </c>
      <c r="B234" s="1" t="n">
        <v>45275.64769675926</v>
      </c>
      <c r="C234" s="1" t="n">
        <v>45911</v>
      </c>
      <c r="D234" t="inlineStr">
        <is>
          <t>ÖSTERGÖTLANDS LÄN</t>
        </is>
      </c>
      <c r="E234" t="inlineStr">
        <is>
          <t>LINKÖPING</t>
        </is>
      </c>
      <c r="F234" t="inlineStr">
        <is>
          <t>Övriga Aktiebolag</t>
        </is>
      </c>
      <c r="G234" t="n">
        <v>0.4</v>
      </c>
      <c r="H234" t="n">
        <v>0</v>
      </c>
      <c r="I234" t="n">
        <v>0</v>
      </c>
      <c r="J234" t="n">
        <v>0</v>
      </c>
      <c r="K234" t="n">
        <v>0</v>
      </c>
      <c r="L234" t="n">
        <v>0</v>
      </c>
      <c r="M234" t="n">
        <v>0</v>
      </c>
      <c r="N234" t="n">
        <v>0</v>
      </c>
      <c r="O234" t="n">
        <v>0</v>
      </c>
      <c r="P234" t="n">
        <v>0</v>
      </c>
      <c r="Q234" t="n">
        <v>0</v>
      </c>
      <c r="R234" s="2" t="inlineStr"/>
    </row>
    <row r="235" ht="15" customHeight="1">
      <c r="A235" t="inlineStr">
        <is>
          <t>A 63688-2023</t>
        </is>
      </c>
      <c r="B235" s="1" t="n">
        <v>45275</v>
      </c>
      <c r="C235" s="1" t="n">
        <v>45911</v>
      </c>
      <c r="D235" t="inlineStr">
        <is>
          <t>ÖSTERGÖTLANDS LÄN</t>
        </is>
      </c>
      <c r="E235" t="inlineStr">
        <is>
          <t>LINKÖPING</t>
        </is>
      </c>
      <c r="F235" t="inlineStr">
        <is>
          <t>Övriga Aktiebolag</t>
        </is>
      </c>
      <c r="G235" t="n">
        <v>2.4</v>
      </c>
      <c r="H235" t="n">
        <v>0</v>
      </c>
      <c r="I235" t="n">
        <v>0</v>
      </c>
      <c r="J235" t="n">
        <v>0</v>
      </c>
      <c r="K235" t="n">
        <v>0</v>
      </c>
      <c r="L235" t="n">
        <v>0</v>
      </c>
      <c r="M235" t="n">
        <v>0</v>
      </c>
      <c r="N235" t="n">
        <v>0</v>
      </c>
      <c r="O235" t="n">
        <v>0</v>
      </c>
      <c r="P235" t="n">
        <v>0</v>
      </c>
      <c r="Q235" t="n">
        <v>0</v>
      </c>
      <c r="R235" s="2" t="inlineStr"/>
    </row>
    <row r="236" ht="15" customHeight="1">
      <c r="A236" t="inlineStr">
        <is>
          <t>A 63691-2023</t>
        </is>
      </c>
      <c r="B236" s="1" t="n">
        <v>45275</v>
      </c>
      <c r="C236" s="1" t="n">
        <v>45911</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34557-2022</t>
        </is>
      </c>
      <c r="B237" s="1" t="n">
        <v>44794.57074074074</v>
      </c>
      <c r="C237" s="1" t="n">
        <v>45911</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60860-2024</t>
        </is>
      </c>
      <c r="B238" s="1" t="n">
        <v>45644.6893287037</v>
      </c>
      <c r="C238" s="1" t="n">
        <v>45911</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31640-2023</t>
        </is>
      </c>
      <c r="B239" s="1" t="n">
        <v>45117</v>
      </c>
      <c r="C239" s="1" t="n">
        <v>45911</v>
      </c>
      <c r="D239" t="inlineStr">
        <is>
          <t>ÖSTERGÖTLANDS LÄN</t>
        </is>
      </c>
      <c r="E239" t="inlineStr">
        <is>
          <t>LINKÖPING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62501-2023</t>
        </is>
      </c>
      <c r="B240" s="1" t="n">
        <v>45268</v>
      </c>
      <c r="C240" s="1" t="n">
        <v>45911</v>
      </c>
      <c r="D240" t="inlineStr">
        <is>
          <t>ÖSTERGÖTLANDS LÄN</t>
        </is>
      </c>
      <c r="E240" t="inlineStr">
        <is>
          <t>LINKÖPING</t>
        </is>
      </c>
      <c r="G240" t="n">
        <v>7.4</v>
      </c>
      <c r="H240" t="n">
        <v>0</v>
      </c>
      <c r="I240" t="n">
        <v>0</v>
      </c>
      <c r="J240" t="n">
        <v>0</v>
      </c>
      <c r="K240" t="n">
        <v>0</v>
      </c>
      <c r="L240" t="n">
        <v>0</v>
      </c>
      <c r="M240" t="n">
        <v>0</v>
      </c>
      <c r="N240" t="n">
        <v>0</v>
      </c>
      <c r="O240" t="n">
        <v>0</v>
      </c>
      <c r="P240" t="n">
        <v>0</v>
      </c>
      <c r="Q240" t="n">
        <v>0</v>
      </c>
      <c r="R240" s="2" t="inlineStr"/>
    </row>
    <row r="241" ht="15" customHeight="1">
      <c r="A241" t="inlineStr">
        <is>
          <t>A 58947-2022</t>
        </is>
      </c>
      <c r="B241" s="1" t="n">
        <v>44903.64769675926</v>
      </c>
      <c r="C241" s="1" t="n">
        <v>45911</v>
      </c>
      <c r="D241" t="inlineStr">
        <is>
          <t>ÖSTERGÖTLANDS LÄN</t>
        </is>
      </c>
      <c r="E241" t="inlineStr">
        <is>
          <t>LINKÖPING</t>
        </is>
      </c>
      <c r="G241" t="n">
        <v>4</v>
      </c>
      <c r="H241" t="n">
        <v>0</v>
      </c>
      <c r="I241" t="n">
        <v>0</v>
      </c>
      <c r="J241" t="n">
        <v>0</v>
      </c>
      <c r="K241" t="n">
        <v>0</v>
      </c>
      <c r="L241" t="n">
        <v>0</v>
      </c>
      <c r="M241" t="n">
        <v>0</v>
      </c>
      <c r="N241" t="n">
        <v>0</v>
      </c>
      <c r="O241" t="n">
        <v>0</v>
      </c>
      <c r="P241" t="n">
        <v>0</v>
      </c>
      <c r="Q241" t="n">
        <v>0</v>
      </c>
      <c r="R241" s="2" t="inlineStr"/>
    </row>
    <row r="242" ht="15" customHeight="1">
      <c r="A242" t="inlineStr">
        <is>
          <t>A 16213-2025</t>
        </is>
      </c>
      <c r="B242" s="1" t="n">
        <v>45750.62740740741</v>
      </c>
      <c r="C242" s="1" t="n">
        <v>45911</v>
      </c>
      <c r="D242" t="inlineStr">
        <is>
          <t>ÖSTERGÖTLANDS LÄN</t>
        </is>
      </c>
      <c r="E242" t="inlineStr">
        <is>
          <t>LINKÖPING</t>
        </is>
      </c>
      <c r="G242" t="n">
        <v>3.4</v>
      </c>
      <c r="H242" t="n">
        <v>0</v>
      </c>
      <c r="I242" t="n">
        <v>0</v>
      </c>
      <c r="J242" t="n">
        <v>0</v>
      </c>
      <c r="K242" t="n">
        <v>0</v>
      </c>
      <c r="L242" t="n">
        <v>0</v>
      </c>
      <c r="M242" t="n">
        <v>0</v>
      </c>
      <c r="N242" t="n">
        <v>0</v>
      </c>
      <c r="O242" t="n">
        <v>0</v>
      </c>
      <c r="P242" t="n">
        <v>0</v>
      </c>
      <c r="Q242" t="n">
        <v>0</v>
      </c>
      <c r="R242" s="2" t="inlineStr"/>
    </row>
    <row r="243" ht="15" customHeight="1">
      <c r="A243" t="inlineStr">
        <is>
          <t>A 49979-2022</t>
        </is>
      </c>
      <c r="B243" s="1" t="n">
        <v>44865</v>
      </c>
      <c r="C243" s="1" t="n">
        <v>45911</v>
      </c>
      <c r="D243" t="inlineStr">
        <is>
          <t>ÖSTERGÖTLANDS LÄN</t>
        </is>
      </c>
      <c r="E243" t="inlineStr">
        <is>
          <t>LINKÖPING</t>
        </is>
      </c>
      <c r="F243" t="inlineStr">
        <is>
          <t>Övriga Aktiebolag</t>
        </is>
      </c>
      <c r="G243" t="n">
        <v>11.4</v>
      </c>
      <c r="H243" t="n">
        <v>0</v>
      </c>
      <c r="I243" t="n">
        <v>0</v>
      </c>
      <c r="J243" t="n">
        <v>0</v>
      </c>
      <c r="K243" t="n">
        <v>0</v>
      </c>
      <c r="L243" t="n">
        <v>0</v>
      </c>
      <c r="M243" t="n">
        <v>0</v>
      </c>
      <c r="N243" t="n">
        <v>0</v>
      </c>
      <c r="O243" t="n">
        <v>0</v>
      </c>
      <c r="P243" t="n">
        <v>0</v>
      </c>
      <c r="Q243" t="n">
        <v>0</v>
      </c>
      <c r="R243" s="2" t="inlineStr"/>
    </row>
    <row r="244" ht="15" customHeight="1">
      <c r="A244" t="inlineStr">
        <is>
          <t>A 53827-2023</t>
        </is>
      </c>
      <c r="B244" s="1" t="n">
        <v>45230</v>
      </c>
      <c r="C244" s="1" t="n">
        <v>45911</v>
      </c>
      <c r="D244" t="inlineStr">
        <is>
          <t>ÖSTERGÖTLANDS LÄN</t>
        </is>
      </c>
      <c r="E244" t="inlineStr">
        <is>
          <t>LINKÖPING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34872-2023</t>
        </is>
      </c>
      <c r="B245" s="1" t="n">
        <v>45140</v>
      </c>
      <c r="C245" s="1" t="n">
        <v>45911</v>
      </c>
      <c r="D245" t="inlineStr">
        <is>
          <t>ÖSTERGÖTLANDS LÄN</t>
        </is>
      </c>
      <c r="E245" t="inlineStr">
        <is>
          <t>LINKÖPING</t>
        </is>
      </c>
      <c r="G245" t="n">
        <v>4.8</v>
      </c>
      <c r="H245" t="n">
        <v>0</v>
      </c>
      <c r="I245" t="n">
        <v>0</v>
      </c>
      <c r="J245" t="n">
        <v>0</v>
      </c>
      <c r="K245" t="n">
        <v>0</v>
      </c>
      <c r="L245" t="n">
        <v>0</v>
      </c>
      <c r="M245" t="n">
        <v>0</v>
      </c>
      <c r="N245" t="n">
        <v>0</v>
      </c>
      <c r="O245" t="n">
        <v>0</v>
      </c>
      <c r="P245" t="n">
        <v>0</v>
      </c>
      <c r="Q245" t="n">
        <v>0</v>
      </c>
      <c r="R245" s="2" t="inlineStr"/>
    </row>
    <row r="246" ht="15" customHeight="1">
      <c r="A246" t="inlineStr">
        <is>
          <t>A 17157-2024</t>
        </is>
      </c>
      <c r="B246" s="1" t="n">
        <v>45412.70567129629</v>
      </c>
      <c r="C246" s="1" t="n">
        <v>45911</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33000-2023</t>
        </is>
      </c>
      <c r="B247" s="1" t="n">
        <v>45125</v>
      </c>
      <c r="C247" s="1" t="n">
        <v>45911</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940-2023</t>
        </is>
      </c>
      <c r="B248" s="1" t="n">
        <v>44933</v>
      </c>
      <c r="C248" s="1" t="n">
        <v>45911</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13689-2025</t>
        </is>
      </c>
      <c r="B249" s="1" t="n">
        <v>45737.31590277778</v>
      </c>
      <c r="C249" s="1" t="n">
        <v>45911</v>
      </c>
      <c r="D249" t="inlineStr">
        <is>
          <t>ÖSTERGÖTLANDS LÄN</t>
        </is>
      </c>
      <c r="E249" t="inlineStr">
        <is>
          <t>LINKÖPING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13696-2025</t>
        </is>
      </c>
      <c r="B250" s="1" t="n">
        <v>45737.32273148148</v>
      </c>
      <c r="C250" s="1" t="n">
        <v>45911</v>
      </c>
      <c r="D250" t="inlineStr">
        <is>
          <t>ÖSTERGÖTLANDS LÄN</t>
        </is>
      </c>
      <c r="E250" t="inlineStr">
        <is>
          <t>LINKÖPING</t>
        </is>
      </c>
      <c r="G250" t="n">
        <v>3.5</v>
      </c>
      <c r="H250" t="n">
        <v>0</v>
      </c>
      <c r="I250" t="n">
        <v>0</v>
      </c>
      <c r="J250" t="n">
        <v>0</v>
      </c>
      <c r="K250" t="n">
        <v>0</v>
      </c>
      <c r="L250" t="n">
        <v>0</v>
      </c>
      <c r="M250" t="n">
        <v>0</v>
      </c>
      <c r="N250" t="n">
        <v>0</v>
      </c>
      <c r="O250" t="n">
        <v>0</v>
      </c>
      <c r="P250" t="n">
        <v>0</v>
      </c>
      <c r="Q250" t="n">
        <v>0</v>
      </c>
      <c r="R250" s="2" t="inlineStr"/>
    </row>
    <row r="251" ht="15" customHeight="1">
      <c r="A251" t="inlineStr">
        <is>
          <t>A 3042-2024</t>
        </is>
      </c>
      <c r="B251" s="1" t="n">
        <v>45316.35028935185</v>
      </c>
      <c r="C251" s="1" t="n">
        <v>45911</v>
      </c>
      <c r="D251" t="inlineStr">
        <is>
          <t>ÖSTERGÖTLANDS LÄN</t>
        </is>
      </c>
      <c r="E251" t="inlineStr">
        <is>
          <t>LINKÖPING</t>
        </is>
      </c>
      <c r="G251" t="n">
        <v>3.1</v>
      </c>
      <c r="H251" t="n">
        <v>0</v>
      </c>
      <c r="I251" t="n">
        <v>0</v>
      </c>
      <c r="J251" t="n">
        <v>0</v>
      </c>
      <c r="K251" t="n">
        <v>0</v>
      </c>
      <c r="L251" t="n">
        <v>0</v>
      </c>
      <c r="M251" t="n">
        <v>0</v>
      </c>
      <c r="N251" t="n">
        <v>0</v>
      </c>
      <c r="O251" t="n">
        <v>0</v>
      </c>
      <c r="P251" t="n">
        <v>0</v>
      </c>
      <c r="Q251" t="n">
        <v>0</v>
      </c>
      <c r="R251" s="2" t="inlineStr"/>
    </row>
    <row r="252" ht="15" customHeight="1">
      <c r="A252" t="inlineStr">
        <is>
          <t>A 7992-2023</t>
        </is>
      </c>
      <c r="B252" s="1" t="n">
        <v>44970</v>
      </c>
      <c r="C252" s="1" t="n">
        <v>45911</v>
      </c>
      <c r="D252" t="inlineStr">
        <is>
          <t>ÖSTERGÖTLANDS LÄN</t>
        </is>
      </c>
      <c r="E252" t="inlineStr">
        <is>
          <t>LINKÖPING</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45819-2024</t>
        </is>
      </c>
      <c r="B253" s="1" t="n">
        <v>45579.7454050926</v>
      </c>
      <c r="C253" s="1" t="n">
        <v>45911</v>
      </c>
      <c r="D253" t="inlineStr">
        <is>
          <t>ÖSTERGÖTLANDS LÄN</t>
        </is>
      </c>
      <c r="E253" t="inlineStr">
        <is>
          <t>LINKÖPING</t>
        </is>
      </c>
      <c r="G253" t="n">
        <v>5</v>
      </c>
      <c r="H253" t="n">
        <v>0</v>
      </c>
      <c r="I253" t="n">
        <v>0</v>
      </c>
      <c r="J253" t="n">
        <v>0</v>
      </c>
      <c r="K253" t="n">
        <v>0</v>
      </c>
      <c r="L253" t="n">
        <v>0</v>
      </c>
      <c r="M253" t="n">
        <v>0</v>
      </c>
      <c r="N253" t="n">
        <v>0</v>
      </c>
      <c r="O253" t="n">
        <v>0</v>
      </c>
      <c r="P253" t="n">
        <v>0</v>
      </c>
      <c r="Q253" t="n">
        <v>0</v>
      </c>
      <c r="R253" s="2" t="inlineStr"/>
    </row>
    <row r="254" ht="15" customHeight="1">
      <c r="A254" t="inlineStr">
        <is>
          <t>A 12428-2024</t>
        </is>
      </c>
      <c r="B254" s="1" t="n">
        <v>45379</v>
      </c>
      <c r="C254" s="1" t="n">
        <v>45911</v>
      </c>
      <c r="D254" t="inlineStr">
        <is>
          <t>ÖSTERGÖTLANDS LÄN</t>
        </is>
      </c>
      <c r="E254" t="inlineStr">
        <is>
          <t>LINKÖPING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3041-2024</t>
        </is>
      </c>
      <c r="B255" s="1" t="n">
        <v>45316.34875</v>
      </c>
      <c r="C255" s="1" t="n">
        <v>45911</v>
      </c>
      <c r="D255" t="inlineStr">
        <is>
          <t>ÖSTERGÖTLANDS LÄN</t>
        </is>
      </c>
      <c r="E255" t="inlineStr">
        <is>
          <t>LINKÖPING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3043-2024</t>
        </is>
      </c>
      <c r="B256" s="1" t="n">
        <v>45316</v>
      </c>
      <c r="C256" s="1" t="n">
        <v>45911</v>
      </c>
      <c r="D256" t="inlineStr">
        <is>
          <t>ÖSTERGÖTLANDS LÄN</t>
        </is>
      </c>
      <c r="E256" t="inlineStr">
        <is>
          <t>LINKÖPING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2997-2025</t>
        </is>
      </c>
      <c r="B257" s="1" t="n">
        <v>45678.54631944445</v>
      </c>
      <c r="C257" s="1" t="n">
        <v>45911</v>
      </c>
      <c r="D257" t="inlineStr">
        <is>
          <t>ÖSTERGÖTLANDS LÄN</t>
        </is>
      </c>
      <c r="E257" t="inlineStr">
        <is>
          <t>LINKÖPING</t>
        </is>
      </c>
      <c r="G257" t="n">
        <v>2.7</v>
      </c>
      <c r="H257" t="n">
        <v>0</v>
      </c>
      <c r="I257" t="n">
        <v>0</v>
      </c>
      <c r="J257" t="n">
        <v>0</v>
      </c>
      <c r="K257" t="n">
        <v>0</v>
      </c>
      <c r="L257" t="n">
        <v>0</v>
      </c>
      <c r="M257" t="n">
        <v>0</v>
      </c>
      <c r="N257" t="n">
        <v>0</v>
      </c>
      <c r="O257" t="n">
        <v>0</v>
      </c>
      <c r="P257" t="n">
        <v>0</v>
      </c>
      <c r="Q257" t="n">
        <v>0</v>
      </c>
      <c r="R257" s="2" t="inlineStr"/>
    </row>
    <row r="258" ht="15" customHeight="1">
      <c r="A258" t="inlineStr">
        <is>
          <t>A 31534-2023</t>
        </is>
      </c>
      <c r="B258" s="1" t="n">
        <v>45116</v>
      </c>
      <c r="C258" s="1" t="n">
        <v>45911</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6859-2024</t>
        </is>
      </c>
      <c r="B259" s="1" t="n">
        <v>45342</v>
      </c>
      <c r="C259" s="1" t="n">
        <v>45911</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26803-2024</t>
        </is>
      </c>
      <c r="B260" s="1" t="n">
        <v>45470</v>
      </c>
      <c r="C260" s="1" t="n">
        <v>45911</v>
      </c>
      <c r="D260" t="inlineStr">
        <is>
          <t>ÖSTERGÖTLANDS LÄN</t>
        </is>
      </c>
      <c r="E260" t="inlineStr">
        <is>
          <t>LINKÖPING</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38580-2024</t>
        </is>
      </c>
      <c r="B261" s="1" t="n">
        <v>45546.64825231482</v>
      </c>
      <c r="C261" s="1" t="n">
        <v>45911</v>
      </c>
      <c r="D261" t="inlineStr">
        <is>
          <t>ÖSTERGÖTLANDS LÄN</t>
        </is>
      </c>
      <c r="E261" t="inlineStr">
        <is>
          <t>LINKÖPING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572-2025</t>
        </is>
      </c>
      <c r="B262" s="1" t="n">
        <v>45664.56349537037</v>
      </c>
      <c r="C262" s="1" t="n">
        <v>45911</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3530-2024</t>
        </is>
      </c>
      <c r="B263" s="1" t="n">
        <v>45320.54717592592</v>
      </c>
      <c r="C263" s="1" t="n">
        <v>45911</v>
      </c>
      <c r="D263" t="inlineStr">
        <is>
          <t>ÖSTERGÖTLANDS LÄN</t>
        </is>
      </c>
      <c r="E263" t="inlineStr">
        <is>
          <t>LINKÖPING</t>
        </is>
      </c>
      <c r="G263" t="n">
        <v>1.5</v>
      </c>
      <c r="H263" t="n">
        <v>0</v>
      </c>
      <c r="I263" t="n">
        <v>0</v>
      </c>
      <c r="J263" t="n">
        <v>0</v>
      </c>
      <c r="K263" t="n">
        <v>0</v>
      </c>
      <c r="L263" t="n">
        <v>0</v>
      </c>
      <c r="M263" t="n">
        <v>0</v>
      </c>
      <c r="N263" t="n">
        <v>0</v>
      </c>
      <c r="O263" t="n">
        <v>0</v>
      </c>
      <c r="P263" t="n">
        <v>0</v>
      </c>
      <c r="Q263" t="n">
        <v>0</v>
      </c>
      <c r="R263" s="2" t="inlineStr"/>
    </row>
    <row r="264" ht="15" customHeight="1">
      <c r="A264" t="inlineStr">
        <is>
          <t>A 22364-2025</t>
        </is>
      </c>
      <c r="B264" s="1" t="n">
        <v>45786.46930555555</v>
      </c>
      <c r="C264" s="1" t="n">
        <v>45911</v>
      </c>
      <c r="D264" t="inlineStr">
        <is>
          <t>ÖSTERGÖTLANDS LÄN</t>
        </is>
      </c>
      <c r="E264" t="inlineStr">
        <is>
          <t>LINKÖPING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45806-2024</t>
        </is>
      </c>
      <c r="B265" s="1" t="n">
        <v>45579.69619212963</v>
      </c>
      <c r="C265" s="1" t="n">
        <v>45911</v>
      </c>
      <c r="D265" t="inlineStr">
        <is>
          <t>ÖSTERGÖTLANDS LÄN</t>
        </is>
      </c>
      <c r="E265" t="inlineStr">
        <is>
          <t>LINKÖPING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44535-2020</t>
        </is>
      </c>
      <c r="B266" s="1" t="n">
        <v>44085</v>
      </c>
      <c r="C266" s="1" t="n">
        <v>45911</v>
      </c>
      <c r="D266" t="inlineStr">
        <is>
          <t>ÖSTERGÖTLANDS LÄN</t>
        </is>
      </c>
      <c r="E266" t="inlineStr">
        <is>
          <t>LINKÖPING</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44287-2024</t>
        </is>
      </c>
      <c r="B267" s="1" t="n">
        <v>45573.50582175926</v>
      </c>
      <c r="C267" s="1" t="n">
        <v>45911</v>
      </c>
      <c r="D267" t="inlineStr">
        <is>
          <t>ÖSTERGÖTLANDS LÄN</t>
        </is>
      </c>
      <c r="E267" t="inlineStr">
        <is>
          <t>LINKÖPING</t>
        </is>
      </c>
      <c r="G267" t="n">
        <v>12.7</v>
      </c>
      <c r="H267" t="n">
        <v>0</v>
      </c>
      <c r="I267" t="n">
        <v>0</v>
      </c>
      <c r="J267" t="n">
        <v>0</v>
      </c>
      <c r="K267" t="n">
        <v>0</v>
      </c>
      <c r="L267" t="n">
        <v>0</v>
      </c>
      <c r="M267" t="n">
        <v>0</v>
      </c>
      <c r="N267" t="n">
        <v>0</v>
      </c>
      <c r="O267" t="n">
        <v>0</v>
      </c>
      <c r="P267" t="n">
        <v>0</v>
      </c>
      <c r="Q267" t="n">
        <v>0</v>
      </c>
      <c r="R267" s="2" t="inlineStr"/>
    </row>
    <row r="268" ht="15" customHeight="1">
      <c r="A268" t="inlineStr">
        <is>
          <t>A 10253-2022</t>
        </is>
      </c>
      <c r="B268" s="1" t="n">
        <v>44622</v>
      </c>
      <c r="C268" s="1" t="n">
        <v>45911</v>
      </c>
      <c r="D268" t="inlineStr">
        <is>
          <t>ÖSTERGÖTLANDS LÄN</t>
        </is>
      </c>
      <c r="E268" t="inlineStr">
        <is>
          <t>LINKÖPING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62686-2023</t>
        </is>
      </c>
      <c r="B269" s="1" t="n">
        <v>45271</v>
      </c>
      <c r="C269" s="1" t="n">
        <v>45911</v>
      </c>
      <c r="D269" t="inlineStr">
        <is>
          <t>ÖSTERGÖTLANDS LÄN</t>
        </is>
      </c>
      <c r="E269" t="inlineStr">
        <is>
          <t>LINKÖPING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29312-2024</t>
        </is>
      </c>
      <c r="B270" s="1" t="n">
        <v>45483</v>
      </c>
      <c r="C270" s="1" t="n">
        <v>45911</v>
      </c>
      <c r="D270" t="inlineStr">
        <is>
          <t>ÖSTERGÖTLANDS LÄN</t>
        </is>
      </c>
      <c r="E270" t="inlineStr">
        <is>
          <t>LINKÖPING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46225-2021</t>
        </is>
      </c>
      <c r="B271" s="1" t="n">
        <v>44442</v>
      </c>
      <c r="C271" s="1" t="n">
        <v>45911</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54428-2022</t>
        </is>
      </c>
      <c r="B272" s="1" t="n">
        <v>44882.57643518518</v>
      </c>
      <c r="C272" s="1" t="n">
        <v>45911</v>
      </c>
      <c r="D272" t="inlineStr">
        <is>
          <t>ÖSTERGÖTLANDS LÄN</t>
        </is>
      </c>
      <c r="E272" t="inlineStr">
        <is>
          <t>LINKÖPING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37154-2023</t>
        </is>
      </c>
      <c r="B273" s="1" t="n">
        <v>45155</v>
      </c>
      <c r="C273" s="1" t="n">
        <v>45911</v>
      </c>
      <c r="D273" t="inlineStr">
        <is>
          <t>ÖSTERGÖTLANDS LÄN</t>
        </is>
      </c>
      <c r="E273" t="inlineStr">
        <is>
          <t>LINKÖPING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23120-2025</t>
        </is>
      </c>
      <c r="B274" s="1" t="n">
        <v>45791.37481481482</v>
      </c>
      <c r="C274" s="1" t="n">
        <v>45911</v>
      </c>
      <c r="D274" t="inlineStr">
        <is>
          <t>ÖSTERGÖTLANDS LÄN</t>
        </is>
      </c>
      <c r="E274" t="inlineStr">
        <is>
          <t>LINKÖPING</t>
        </is>
      </c>
      <c r="G274" t="n">
        <v>2.9</v>
      </c>
      <c r="H274" t="n">
        <v>0</v>
      </c>
      <c r="I274" t="n">
        <v>0</v>
      </c>
      <c r="J274" t="n">
        <v>0</v>
      </c>
      <c r="K274" t="n">
        <v>0</v>
      </c>
      <c r="L274" t="n">
        <v>0</v>
      </c>
      <c r="M274" t="n">
        <v>0</v>
      </c>
      <c r="N274" t="n">
        <v>0</v>
      </c>
      <c r="O274" t="n">
        <v>0</v>
      </c>
      <c r="P274" t="n">
        <v>0</v>
      </c>
      <c r="Q274" t="n">
        <v>0</v>
      </c>
      <c r="R274" s="2" t="inlineStr"/>
    </row>
    <row r="275" ht="15" customHeight="1">
      <c r="A275" t="inlineStr">
        <is>
          <t>A 55345-2021</t>
        </is>
      </c>
      <c r="B275" s="1" t="n">
        <v>44475</v>
      </c>
      <c r="C275" s="1" t="n">
        <v>45911</v>
      </c>
      <c r="D275" t="inlineStr">
        <is>
          <t>ÖSTERGÖTLANDS LÄN</t>
        </is>
      </c>
      <c r="E275" t="inlineStr">
        <is>
          <t>LINKÖPING</t>
        </is>
      </c>
      <c r="G275" t="n">
        <v>5.7</v>
      </c>
      <c r="H275" t="n">
        <v>0</v>
      </c>
      <c r="I275" t="n">
        <v>0</v>
      </c>
      <c r="J275" t="n">
        <v>0</v>
      </c>
      <c r="K275" t="n">
        <v>0</v>
      </c>
      <c r="L275" t="n">
        <v>0</v>
      </c>
      <c r="M275" t="n">
        <v>0</v>
      </c>
      <c r="N275" t="n">
        <v>0</v>
      </c>
      <c r="O275" t="n">
        <v>0</v>
      </c>
      <c r="P275" t="n">
        <v>0</v>
      </c>
      <c r="Q275" t="n">
        <v>0</v>
      </c>
      <c r="R275" s="2" t="inlineStr"/>
    </row>
    <row r="276" ht="15" customHeight="1">
      <c r="A276" t="inlineStr">
        <is>
          <t>A 63489-2023</t>
        </is>
      </c>
      <c r="B276" s="1" t="n">
        <v>45274.66761574074</v>
      </c>
      <c r="C276" s="1" t="n">
        <v>45911</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11330-2023</t>
        </is>
      </c>
      <c r="B277" s="1" t="n">
        <v>44993.24648148148</v>
      </c>
      <c r="C277" s="1" t="n">
        <v>45911</v>
      </c>
      <c r="D277" t="inlineStr">
        <is>
          <t>ÖSTERGÖTLANDS LÄN</t>
        </is>
      </c>
      <c r="E277" t="inlineStr">
        <is>
          <t>LINKÖPING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42000-2023</t>
        </is>
      </c>
      <c r="B278" s="1" t="n">
        <v>45177</v>
      </c>
      <c r="C278" s="1" t="n">
        <v>45911</v>
      </c>
      <c r="D278" t="inlineStr">
        <is>
          <t>ÖSTERGÖTLANDS LÄN</t>
        </is>
      </c>
      <c r="E278" t="inlineStr">
        <is>
          <t>LINKÖPING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11790-2024</t>
        </is>
      </c>
      <c r="B279" s="1" t="n">
        <v>45374</v>
      </c>
      <c r="C279" s="1" t="n">
        <v>45911</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70-2024</t>
        </is>
      </c>
      <c r="B280" s="1" t="n">
        <v>45293</v>
      </c>
      <c r="C280" s="1" t="n">
        <v>45911</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48962-2022</t>
        </is>
      </c>
      <c r="B281" s="1" t="n">
        <v>44860.31635416667</v>
      </c>
      <c r="C281" s="1" t="n">
        <v>45911</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48699-2024</t>
        </is>
      </c>
      <c r="B282" s="1" t="n">
        <v>45593.52091435185</v>
      </c>
      <c r="C282" s="1" t="n">
        <v>45911</v>
      </c>
      <c r="D282" t="inlineStr">
        <is>
          <t>ÖSTERGÖTLANDS LÄN</t>
        </is>
      </c>
      <c r="E282" t="inlineStr">
        <is>
          <t>LINKÖPING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53647-2021</t>
        </is>
      </c>
      <c r="B283" s="1" t="n">
        <v>44469</v>
      </c>
      <c r="C283" s="1" t="n">
        <v>45911</v>
      </c>
      <c r="D283" t="inlineStr">
        <is>
          <t>ÖSTERGÖTLANDS LÄN</t>
        </is>
      </c>
      <c r="E283" t="inlineStr">
        <is>
          <t>LINKÖPING</t>
        </is>
      </c>
      <c r="G283" t="n">
        <v>2.3</v>
      </c>
      <c r="H283" t="n">
        <v>0</v>
      </c>
      <c r="I283" t="n">
        <v>0</v>
      </c>
      <c r="J283" t="n">
        <v>0</v>
      </c>
      <c r="K283" t="n">
        <v>0</v>
      </c>
      <c r="L283" t="n">
        <v>0</v>
      </c>
      <c r="M283" t="n">
        <v>0</v>
      </c>
      <c r="N283" t="n">
        <v>0</v>
      </c>
      <c r="O283" t="n">
        <v>0</v>
      </c>
      <c r="P283" t="n">
        <v>0</v>
      </c>
      <c r="Q283" t="n">
        <v>0</v>
      </c>
      <c r="R283" s="2" t="inlineStr"/>
    </row>
    <row r="284" ht="15" customHeight="1">
      <c r="A284" t="inlineStr">
        <is>
          <t>A 22772-2024</t>
        </is>
      </c>
      <c r="B284" s="1" t="n">
        <v>45448.46712962963</v>
      </c>
      <c r="C284" s="1" t="n">
        <v>45911</v>
      </c>
      <c r="D284" t="inlineStr">
        <is>
          <t>ÖSTERGÖTLANDS LÄN</t>
        </is>
      </c>
      <c r="E284" t="inlineStr">
        <is>
          <t>LINKÖPING</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18916-2024</t>
        </is>
      </c>
      <c r="B285" s="1" t="n">
        <v>45427.39541666667</v>
      </c>
      <c r="C285" s="1" t="n">
        <v>45911</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6782-2024</t>
        </is>
      </c>
      <c r="B286" s="1" t="n">
        <v>45342</v>
      </c>
      <c r="C286" s="1" t="n">
        <v>45911</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617-2024</t>
        </is>
      </c>
      <c r="B287" s="1" t="n">
        <v>45299.66028935185</v>
      </c>
      <c r="C287" s="1" t="n">
        <v>45911</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670-2024</t>
        </is>
      </c>
      <c r="B288" s="1" t="n">
        <v>45300.3408912037</v>
      </c>
      <c r="C288" s="1" t="n">
        <v>45911</v>
      </c>
      <c r="D288" t="inlineStr">
        <is>
          <t>ÖSTERGÖTLANDS LÄN</t>
        </is>
      </c>
      <c r="E288" t="inlineStr">
        <is>
          <t>LINKÖPING</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32602-2022</t>
        </is>
      </c>
      <c r="B289" s="1" t="n">
        <v>44783.43192129629</v>
      </c>
      <c r="C289" s="1" t="n">
        <v>45911</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13911-2025</t>
        </is>
      </c>
      <c r="B290" s="1" t="n">
        <v>45737.64784722222</v>
      </c>
      <c r="C290" s="1" t="n">
        <v>45911</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52125-2022</t>
        </is>
      </c>
      <c r="B291" s="1" t="n">
        <v>44873</v>
      </c>
      <c r="C291" s="1" t="n">
        <v>45911</v>
      </c>
      <c r="D291" t="inlineStr">
        <is>
          <t>ÖSTERGÖTLANDS LÄN</t>
        </is>
      </c>
      <c r="E291" t="inlineStr">
        <is>
          <t>LINKÖPING</t>
        </is>
      </c>
      <c r="F291" t="inlineStr">
        <is>
          <t>Övriga Aktiebolag</t>
        </is>
      </c>
      <c r="G291" t="n">
        <v>0.7</v>
      </c>
      <c r="H291" t="n">
        <v>0</v>
      </c>
      <c r="I291" t="n">
        <v>0</v>
      </c>
      <c r="J291" t="n">
        <v>0</v>
      </c>
      <c r="K291" t="n">
        <v>0</v>
      </c>
      <c r="L291" t="n">
        <v>0</v>
      </c>
      <c r="M291" t="n">
        <v>0</v>
      </c>
      <c r="N291" t="n">
        <v>0</v>
      </c>
      <c r="O291" t="n">
        <v>0</v>
      </c>
      <c r="P291" t="n">
        <v>0</v>
      </c>
      <c r="Q291" t="n">
        <v>0</v>
      </c>
      <c r="R291" s="2" t="inlineStr"/>
    </row>
    <row r="292" ht="15" customHeight="1">
      <c r="A292" t="inlineStr">
        <is>
          <t>A 23768-2025</t>
        </is>
      </c>
      <c r="B292" s="1" t="n">
        <v>45793.47493055555</v>
      </c>
      <c r="C292" s="1" t="n">
        <v>45911</v>
      </c>
      <c r="D292" t="inlineStr">
        <is>
          <t>ÖSTERGÖTLANDS LÄN</t>
        </is>
      </c>
      <c r="E292" t="inlineStr">
        <is>
          <t>LINKÖPING</t>
        </is>
      </c>
      <c r="G292" t="n">
        <v>3.4</v>
      </c>
      <c r="H292" t="n">
        <v>0</v>
      </c>
      <c r="I292" t="n">
        <v>0</v>
      </c>
      <c r="J292" t="n">
        <v>0</v>
      </c>
      <c r="K292" t="n">
        <v>0</v>
      </c>
      <c r="L292" t="n">
        <v>0</v>
      </c>
      <c r="M292" t="n">
        <v>0</v>
      </c>
      <c r="N292" t="n">
        <v>0</v>
      </c>
      <c r="O292" t="n">
        <v>0</v>
      </c>
      <c r="P292" t="n">
        <v>0</v>
      </c>
      <c r="Q292" t="n">
        <v>0</v>
      </c>
      <c r="R292" s="2" t="inlineStr"/>
    </row>
    <row r="293" ht="15" customHeight="1">
      <c r="A293" t="inlineStr">
        <is>
          <t>A 47876-2020</t>
        </is>
      </c>
      <c r="B293" s="1" t="n">
        <v>44099</v>
      </c>
      <c r="C293" s="1" t="n">
        <v>45911</v>
      </c>
      <c r="D293" t="inlineStr">
        <is>
          <t>ÖSTERGÖTLANDS LÄN</t>
        </is>
      </c>
      <c r="E293" t="inlineStr">
        <is>
          <t>LINKÖPING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1084-2023</t>
        </is>
      </c>
      <c r="B294" s="1" t="n">
        <v>44929</v>
      </c>
      <c r="C294" s="1" t="n">
        <v>45911</v>
      </c>
      <c r="D294" t="inlineStr">
        <is>
          <t>ÖSTERGÖTLANDS LÄN</t>
        </is>
      </c>
      <c r="E294" t="inlineStr">
        <is>
          <t>LINKÖPING</t>
        </is>
      </c>
      <c r="G294" t="n">
        <v>10.4</v>
      </c>
      <c r="H294" t="n">
        <v>0</v>
      </c>
      <c r="I294" t="n">
        <v>0</v>
      </c>
      <c r="J294" t="n">
        <v>0</v>
      </c>
      <c r="K294" t="n">
        <v>0</v>
      </c>
      <c r="L294" t="n">
        <v>0</v>
      </c>
      <c r="M294" t="n">
        <v>0</v>
      </c>
      <c r="N294" t="n">
        <v>0</v>
      </c>
      <c r="O294" t="n">
        <v>0</v>
      </c>
      <c r="P294" t="n">
        <v>0</v>
      </c>
      <c r="Q294" t="n">
        <v>0</v>
      </c>
      <c r="R294" s="2" t="inlineStr"/>
    </row>
    <row r="295" ht="15" customHeight="1">
      <c r="A295" t="inlineStr">
        <is>
          <t>A 44280-2024</t>
        </is>
      </c>
      <c r="B295" s="1" t="n">
        <v>45573.49461805556</v>
      </c>
      <c r="C295" s="1" t="n">
        <v>45911</v>
      </c>
      <c r="D295" t="inlineStr">
        <is>
          <t>ÖSTERGÖTLANDS LÄN</t>
        </is>
      </c>
      <c r="E295" t="inlineStr">
        <is>
          <t>LINKÖPING</t>
        </is>
      </c>
      <c r="G295" t="n">
        <v>5.3</v>
      </c>
      <c r="H295" t="n">
        <v>0</v>
      </c>
      <c r="I295" t="n">
        <v>0</v>
      </c>
      <c r="J295" t="n">
        <v>0</v>
      </c>
      <c r="K295" t="n">
        <v>0</v>
      </c>
      <c r="L295" t="n">
        <v>0</v>
      </c>
      <c r="M295" t="n">
        <v>0</v>
      </c>
      <c r="N295" t="n">
        <v>0</v>
      </c>
      <c r="O295" t="n">
        <v>0</v>
      </c>
      <c r="P295" t="n">
        <v>0</v>
      </c>
      <c r="Q295" t="n">
        <v>0</v>
      </c>
      <c r="R295" s="2" t="inlineStr"/>
    </row>
    <row r="296" ht="15" customHeight="1">
      <c r="A296" t="inlineStr">
        <is>
          <t>A 25996-2025</t>
        </is>
      </c>
      <c r="B296" s="1" t="n">
        <v>45804.65851851852</v>
      </c>
      <c r="C296" s="1" t="n">
        <v>45911</v>
      </c>
      <c r="D296" t="inlineStr">
        <is>
          <t>ÖSTERGÖTLANDS LÄN</t>
        </is>
      </c>
      <c r="E296" t="inlineStr">
        <is>
          <t>LINKÖPING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25829-2025</t>
        </is>
      </c>
      <c r="B297" s="1" t="n">
        <v>45804.44505787037</v>
      </c>
      <c r="C297" s="1" t="n">
        <v>45911</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29859-2024</t>
        </is>
      </c>
      <c r="B298" s="1" t="n">
        <v>45485.6846412037</v>
      </c>
      <c r="C298" s="1" t="n">
        <v>45911</v>
      </c>
      <c r="D298" t="inlineStr">
        <is>
          <t>ÖSTERGÖTLANDS LÄN</t>
        </is>
      </c>
      <c r="E298" t="inlineStr">
        <is>
          <t>LINKÖPING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51571-2024</t>
        </is>
      </c>
      <c r="B299" s="1" t="n">
        <v>45604</v>
      </c>
      <c r="C299" s="1" t="n">
        <v>45911</v>
      </c>
      <c r="D299" t="inlineStr">
        <is>
          <t>ÖSTERGÖTLANDS LÄN</t>
        </is>
      </c>
      <c r="E299" t="inlineStr">
        <is>
          <t>LINKÖPING</t>
        </is>
      </c>
      <c r="F299" t="inlineStr">
        <is>
          <t>Övriga Aktiebolag</t>
        </is>
      </c>
      <c r="G299" t="n">
        <v>1.4</v>
      </c>
      <c r="H299" t="n">
        <v>0</v>
      </c>
      <c r="I299" t="n">
        <v>0</v>
      </c>
      <c r="J299" t="n">
        <v>0</v>
      </c>
      <c r="K299" t="n">
        <v>0</v>
      </c>
      <c r="L299" t="n">
        <v>0</v>
      </c>
      <c r="M299" t="n">
        <v>0</v>
      </c>
      <c r="N299" t="n">
        <v>0</v>
      </c>
      <c r="O299" t="n">
        <v>0</v>
      </c>
      <c r="P299" t="n">
        <v>0</v>
      </c>
      <c r="Q299" t="n">
        <v>0</v>
      </c>
      <c r="R299" s="2" t="inlineStr"/>
    </row>
    <row r="300" ht="15" customHeight="1">
      <c r="A300" t="inlineStr">
        <is>
          <t>A 223-2024</t>
        </is>
      </c>
      <c r="B300" s="1" t="n">
        <v>45294.72739583333</v>
      </c>
      <c r="C300" s="1" t="n">
        <v>45911</v>
      </c>
      <c r="D300" t="inlineStr">
        <is>
          <t>ÖSTERGÖTLANDS LÄN</t>
        </is>
      </c>
      <c r="E300" t="inlineStr">
        <is>
          <t>LINKÖPING</t>
        </is>
      </c>
      <c r="G300" t="n">
        <v>2.2</v>
      </c>
      <c r="H300" t="n">
        <v>0</v>
      </c>
      <c r="I300" t="n">
        <v>0</v>
      </c>
      <c r="J300" t="n">
        <v>0</v>
      </c>
      <c r="K300" t="n">
        <v>0</v>
      </c>
      <c r="L300" t="n">
        <v>0</v>
      </c>
      <c r="M300" t="n">
        <v>0</v>
      </c>
      <c r="N300" t="n">
        <v>0</v>
      </c>
      <c r="O300" t="n">
        <v>0</v>
      </c>
      <c r="P300" t="n">
        <v>0</v>
      </c>
      <c r="Q300" t="n">
        <v>0</v>
      </c>
      <c r="R300" s="2" t="inlineStr"/>
    </row>
    <row r="301" ht="15" customHeight="1">
      <c r="A301" t="inlineStr">
        <is>
          <t>A 227-2024</t>
        </is>
      </c>
      <c r="B301" s="1" t="n">
        <v>45294.73603009259</v>
      </c>
      <c r="C301" s="1" t="n">
        <v>45911</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26002-2025</t>
        </is>
      </c>
      <c r="B302" s="1" t="n">
        <v>45804.66534722222</v>
      </c>
      <c r="C302" s="1" t="n">
        <v>45911</v>
      </c>
      <c r="D302" t="inlineStr">
        <is>
          <t>ÖSTERGÖTLANDS LÄN</t>
        </is>
      </c>
      <c r="E302" t="inlineStr">
        <is>
          <t>LINKÖPING</t>
        </is>
      </c>
      <c r="G302" t="n">
        <v>2.5</v>
      </c>
      <c r="H302" t="n">
        <v>0</v>
      </c>
      <c r="I302" t="n">
        <v>0</v>
      </c>
      <c r="J302" t="n">
        <v>0</v>
      </c>
      <c r="K302" t="n">
        <v>0</v>
      </c>
      <c r="L302" t="n">
        <v>0</v>
      </c>
      <c r="M302" t="n">
        <v>0</v>
      </c>
      <c r="N302" t="n">
        <v>0</v>
      </c>
      <c r="O302" t="n">
        <v>0</v>
      </c>
      <c r="P302" t="n">
        <v>0</v>
      </c>
      <c r="Q302" t="n">
        <v>0</v>
      </c>
      <c r="R302" s="2" t="inlineStr"/>
    </row>
    <row r="303" ht="15" customHeight="1">
      <c r="A303" t="inlineStr">
        <is>
          <t>A 13413-2023</t>
        </is>
      </c>
      <c r="B303" s="1" t="n">
        <v>45005.58341435185</v>
      </c>
      <c r="C303" s="1" t="n">
        <v>45911</v>
      </c>
      <c r="D303" t="inlineStr">
        <is>
          <t>ÖSTERGÖTLANDS LÄN</t>
        </is>
      </c>
      <c r="E303" t="inlineStr">
        <is>
          <t>LINKÖPING</t>
        </is>
      </c>
      <c r="G303" t="n">
        <v>2.4</v>
      </c>
      <c r="H303" t="n">
        <v>0</v>
      </c>
      <c r="I303" t="n">
        <v>0</v>
      </c>
      <c r="J303" t="n">
        <v>0</v>
      </c>
      <c r="K303" t="n">
        <v>0</v>
      </c>
      <c r="L303" t="n">
        <v>0</v>
      </c>
      <c r="M303" t="n">
        <v>0</v>
      </c>
      <c r="N303" t="n">
        <v>0</v>
      </c>
      <c r="O303" t="n">
        <v>0</v>
      </c>
      <c r="P303" t="n">
        <v>0</v>
      </c>
      <c r="Q303" t="n">
        <v>0</v>
      </c>
      <c r="R303" s="2" t="inlineStr"/>
    </row>
    <row r="304" ht="15" customHeight="1">
      <c r="A304" t="inlineStr">
        <is>
          <t>A 56917-2022</t>
        </is>
      </c>
      <c r="B304" s="1" t="n">
        <v>44894</v>
      </c>
      <c r="C304" s="1" t="n">
        <v>45911</v>
      </c>
      <c r="D304" t="inlineStr">
        <is>
          <t>ÖSTERGÖTLANDS LÄN</t>
        </is>
      </c>
      <c r="E304" t="inlineStr">
        <is>
          <t>LINKÖPING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63528-2023</t>
        </is>
      </c>
      <c r="B305" s="1" t="n">
        <v>45274.94810185185</v>
      </c>
      <c r="C305" s="1" t="n">
        <v>45911</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63638-2023</t>
        </is>
      </c>
      <c r="B306" s="1" t="n">
        <v>45275</v>
      </c>
      <c r="C306" s="1" t="n">
        <v>45911</v>
      </c>
      <c r="D306" t="inlineStr">
        <is>
          <t>ÖSTERGÖTLANDS LÄN</t>
        </is>
      </c>
      <c r="E306" t="inlineStr">
        <is>
          <t>LINKÖPING</t>
        </is>
      </c>
      <c r="F306" t="inlineStr">
        <is>
          <t>Övriga Aktiebolag</t>
        </is>
      </c>
      <c r="G306" t="n">
        <v>2.4</v>
      </c>
      <c r="H306" t="n">
        <v>0</v>
      </c>
      <c r="I306" t="n">
        <v>0</v>
      </c>
      <c r="J306" t="n">
        <v>0</v>
      </c>
      <c r="K306" t="n">
        <v>0</v>
      </c>
      <c r="L306" t="n">
        <v>0</v>
      </c>
      <c r="M306" t="n">
        <v>0</v>
      </c>
      <c r="N306" t="n">
        <v>0</v>
      </c>
      <c r="O306" t="n">
        <v>0</v>
      </c>
      <c r="P306" t="n">
        <v>0</v>
      </c>
      <c r="Q306" t="n">
        <v>0</v>
      </c>
      <c r="R306" s="2" t="inlineStr"/>
    </row>
    <row r="307" ht="15" customHeight="1">
      <c r="A307" t="inlineStr">
        <is>
          <t>A 63658-2023</t>
        </is>
      </c>
      <c r="B307" s="1" t="n">
        <v>45275</v>
      </c>
      <c r="C307" s="1" t="n">
        <v>45911</v>
      </c>
      <c r="D307" t="inlineStr">
        <is>
          <t>ÖSTERGÖTLANDS LÄN</t>
        </is>
      </c>
      <c r="E307" t="inlineStr">
        <is>
          <t>LINKÖPING</t>
        </is>
      </c>
      <c r="F307" t="inlineStr">
        <is>
          <t>Övriga Aktiebolag</t>
        </is>
      </c>
      <c r="G307" t="n">
        <v>1.5</v>
      </c>
      <c r="H307" t="n">
        <v>0</v>
      </c>
      <c r="I307" t="n">
        <v>0</v>
      </c>
      <c r="J307" t="n">
        <v>0</v>
      </c>
      <c r="K307" t="n">
        <v>0</v>
      </c>
      <c r="L307" t="n">
        <v>0</v>
      </c>
      <c r="M307" t="n">
        <v>0</v>
      </c>
      <c r="N307" t="n">
        <v>0</v>
      </c>
      <c r="O307" t="n">
        <v>0</v>
      </c>
      <c r="P307" t="n">
        <v>0</v>
      </c>
      <c r="Q307" t="n">
        <v>0</v>
      </c>
      <c r="R307" s="2" t="inlineStr"/>
    </row>
    <row r="308" ht="15" customHeight="1">
      <c r="A308" t="inlineStr">
        <is>
          <t>A 37683-2024</t>
        </is>
      </c>
      <c r="B308" s="1" t="n">
        <v>45541.59120370371</v>
      </c>
      <c r="C308" s="1" t="n">
        <v>45911</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7808-2022</t>
        </is>
      </c>
      <c r="B309" s="1" t="n">
        <v>44608</v>
      </c>
      <c r="C309" s="1" t="n">
        <v>45911</v>
      </c>
      <c r="D309" t="inlineStr">
        <is>
          <t>ÖSTERGÖTLANDS LÄN</t>
        </is>
      </c>
      <c r="E309" t="inlineStr">
        <is>
          <t>LINKÖPING</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1265-2023</t>
        </is>
      </c>
      <c r="B310" s="1" t="n">
        <v>44936</v>
      </c>
      <c r="C310" s="1" t="n">
        <v>45911</v>
      </c>
      <c r="D310" t="inlineStr">
        <is>
          <t>ÖSTERGÖTLANDS LÄN</t>
        </is>
      </c>
      <c r="E310" t="inlineStr">
        <is>
          <t>LINKÖPING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1362-2023</t>
        </is>
      </c>
      <c r="B311" s="1" t="n">
        <v>44931</v>
      </c>
      <c r="C311" s="1" t="n">
        <v>45911</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36336-2023</t>
        </is>
      </c>
      <c r="B312" s="1" t="n">
        <v>45152.45078703704</v>
      </c>
      <c r="C312" s="1" t="n">
        <v>45911</v>
      </c>
      <c r="D312" t="inlineStr">
        <is>
          <t>ÖSTERGÖTLANDS LÄN</t>
        </is>
      </c>
      <c r="E312" t="inlineStr">
        <is>
          <t>LINKÖPING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54034-2022</t>
        </is>
      </c>
      <c r="B313" s="1" t="n">
        <v>44881</v>
      </c>
      <c r="C313" s="1" t="n">
        <v>45911</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56623-2024</t>
        </is>
      </c>
      <c r="B314" s="1" t="n">
        <v>45625</v>
      </c>
      <c r="C314" s="1" t="n">
        <v>45911</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55493-2021</t>
        </is>
      </c>
      <c r="B315" s="1" t="n">
        <v>44475.61988425926</v>
      </c>
      <c r="C315" s="1" t="n">
        <v>45911</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6054-2022</t>
        </is>
      </c>
      <c r="B316" s="1" t="n">
        <v>44599.53623842593</v>
      </c>
      <c r="C316" s="1" t="n">
        <v>45911</v>
      </c>
      <c r="D316" t="inlineStr">
        <is>
          <t>ÖSTERGÖTLANDS LÄN</t>
        </is>
      </c>
      <c r="E316" t="inlineStr">
        <is>
          <t>LINKÖPING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25119-2023</t>
        </is>
      </c>
      <c r="B317" s="1" t="n">
        <v>45086.42326388889</v>
      </c>
      <c r="C317" s="1" t="n">
        <v>45911</v>
      </c>
      <c r="D317" t="inlineStr">
        <is>
          <t>ÖSTERGÖTLANDS LÄN</t>
        </is>
      </c>
      <c r="E317" t="inlineStr">
        <is>
          <t>LINKÖPING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55265-2020</t>
        </is>
      </c>
      <c r="B318" s="1" t="n">
        <v>44130</v>
      </c>
      <c r="C318" s="1" t="n">
        <v>45911</v>
      </c>
      <c r="D318" t="inlineStr">
        <is>
          <t>ÖSTERGÖTLANDS LÄN</t>
        </is>
      </c>
      <c r="E318" t="inlineStr">
        <is>
          <t>LINKÖPING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4456-2024</t>
        </is>
      </c>
      <c r="B319" s="1" t="n">
        <v>45327.52847222222</v>
      </c>
      <c r="C319" s="1" t="n">
        <v>45911</v>
      </c>
      <c r="D319" t="inlineStr">
        <is>
          <t>ÖSTERGÖTLANDS LÄN</t>
        </is>
      </c>
      <c r="E319" t="inlineStr">
        <is>
          <t>LINKÖPING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58114-2021</t>
        </is>
      </c>
      <c r="B320" s="1" t="n">
        <v>44487</v>
      </c>
      <c r="C320" s="1" t="n">
        <v>45911</v>
      </c>
      <c r="D320" t="inlineStr">
        <is>
          <t>ÖSTERGÖTLANDS LÄN</t>
        </is>
      </c>
      <c r="E320" t="inlineStr">
        <is>
          <t>LINKÖPING</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13011-2022</t>
        </is>
      </c>
      <c r="B321" s="1" t="n">
        <v>44643</v>
      </c>
      <c r="C321" s="1" t="n">
        <v>45911</v>
      </c>
      <c r="D321" t="inlineStr">
        <is>
          <t>ÖSTERGÖTLANDS LÄN</t>
        </is>
      </c>
      <c r="E321" t="inlineStr">
        <is>
          <t>LINKÖPING</t>
        </is>
      </c>
      <c r="G321" t="n">
        <v>3.7</v>
      </c>
      <c r="H321" t="n">
        <v>0</v>
      </c>
      <c r="I321" t="n">
        <v>0</v>
      </c>
      <c r="J321" t="n">
        <v>0</v>
      </c>
      <c r="K321" t="n">
        <v>0</v>
      </c>
      <c r="L321" t="n">
        <v>0</v>
      </c>
      <c r="M321" t="n">
        <v>0</v>
      </c>
      <c r="N321" t="n">
        <v>0</v>
      </c>
      <c r="O321" t="n">
        <v>0</v>
      </c>
      <c r="P321" t="n">
        <v>0</v>
      </c>
      <c r="Q321" t="n">
        <v>0</v>
      </c>
      <c r="R321" s="2" t="inlineStr"/>
    </row>
    <row r="322" ht="15" customHeight="1">
      <c r="A322" t="inlineStr">
        <is>
          <t>A 11595-2025</t>
        </is>
      </c>
      <c r="B322" s="1" t="n">
        <v>45727.41893518518</v>
      </c>
      <c r="C322" s="1" t="n">
        <v>45911</v>
      </c>
      <c r="D322" t="inlineStr">
        <is>
          <t>ÖSTERGÖTLANDS LÄN</t>
        </is>
      </c>
      <c r="E322" t="inlineStr">
        <is>
          <t>LINKÖPING</t>
        </is>
      </c>
      <c r="G322" t="n">
        <v>6.6</v>
      </c>
      <c r="H322" t="n">
        <v>0</v>
      </c>
      <c r="I322" t="n">
        <v>0</v>
      </c>
      <c r="J322" t="n">
        <v>0</v>
      </c>
      <c r="K322" t="n">
        <v>0</v>
      </c>
      <c r="L322" t="n">
        <v>0</v>
      </c>
      <c r="M322" t="n">
        <v>0</v>
      </c>
      <c r="N322" t="n">
        <v>0</v>
      </c>
      <c r="O322" t="n">
        <v>0</v>
      </c>
      <c r="P322" t="n">
        <v>0</v>
      </c>
      <c r="Q322" t="n">
        <v>0</v>
      </c>
      <c r="R322" s="2" t="inlineStr"/>
    </row>
    <row r="323" ht="15" customHeight="1">
      <c r="A323" t="inlineStr">
        <is>
          <t>A 52892-2024</t>
        </is>
      </c>
      <c r="B323" s="1" t="n">
        <v>45610</v>
      </c>
      <c r="C323" s="1" t="n">
        <v>45911</v>
      </c>
      <c r="D323" t="inlineStr">
        <is>
          <t>ÖSTERGÖTLANDS LÄN</t>
        </is>
      </c>
      <c r="E323" t="inlineStr">
        <is>
          <t>LINKÖPING</t>
        </is>
      </c>
      <c r="G323" t="n">
        <v>4.2</v>
      </c>
      <c r="H323" t="n">
        <v>0</v>
      </c>
      <c r="I323" t="n">
        <v>0</v>
      </c>
      <c r="J323" t="n">
        <v>0</v>
      </c>
      <c r="K323" t="n">
        <v>0</v>
      </c>
      <c r="L323" t="n">
        <v>0</v>
      </c>
      <c r="M323" t="n">
        <v>0</v>
      </c>
      <c r="N323" t="n">
        <v>0</v>
      </c>
      <c r="O323" t="n">
        <v>0</v>
      </c>
      <c r="P323" t="n">
        <v>0</v>
      </c>
      <c r="Q323" t="n">
        <v>0</v>
      </c>
      <c r="R323" s="2" t="inlineStr"/>
    </row>
    <row r="324" ht="15" customHeight="1">
      <c r="A324" t="inlineStr">
        <is>
          <t>A 50508-2024</t>
        </is>
      </c>
      <c r="B324" s="1" t="n">
        <v>45601.53907407408</v>
      </c>
      <c r="C324" s="1" t="n">
        <v>45911</v>
      </c>
      <c r="D324" t="inlineStr">
        <is>
          <t>ÖSTERGÖTLANDS LÄN</t>
        </is>
      </c>
      <c r="E324" t="inlineStr">
        <is>
          <t>LINKÖPING</t>
        </is>
      </c>
      <c r="F324" t="inlineStr">
        <is>
          <t>Övriga Aktiebolag</t>
        </is>
      </c>
      <c r="G324" t="n">
        <v>2</v>
      </c>
      <c r="H324" t="n">
        <v>0</v>
      </c>
      <c r="I324" t="n">
        <v>0</v>
      </c>
      <c r="J324" t="n">
        <v>0</v>
      </c>
      <c r="K324" t="n">
        <v>0</v>
      </c>
      <c r="L324" t="n">
        <v>0</v>
      </c>
      <c r="M324" t="n">
        <v>0</v>
      </c>
      <c r="N324" t="n">
        <v>0</v>
      </c>
      <c r="O324" t="n">
        <v>0</v>
      </c>
      <c r="P324" t="n">
        <v>0</v>
      </c>
      <c r="Q324" t="n">
        <v>0</v>
      </c>
      <c r="R324" s="2" t="inlineStr"/>
    </row>
    <row r="325" ht="15" customHeight="1">
      <c r="A325" t="inlineStr">
        <is>
          <t>A 36336-2022</t>
        </is>
      </c>
      <c r="B325" s="1" t="n">
        <v>44803</v>
      </c>
      <c r="C325" s="1" t="n">
        <v>45911</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48839-2022</t>
        </is>
      </c>
      <c r="B326" s="1" t="n">
        <v>44859</v>
      </c>
      <c r="C326" s="1" t="n">
        <v>45911</v>
      </c>
      <c r="D326" t="inlineStr">
        <is>
          <t>ÖSTERGÖTLANDS LÄN</t>
        </is>
      </c>
      <c r="E326" t="inlineStr">
        <is>
          <t>LINKÖPING</t>
        </is>
      </c>
      <c r="F326" t="inlineStr">
        <is>
          <t>Övriga Aktiebolag</t>
        </is>
      </c>
      <c r="G326" t="n">
        <v>0.6</v>
      </c>
      <c r="H326" t="n">
        <v>0</v>
      </c>
      <c r="I326" t="n">
        <v>0</v>
      </c>
      <c r="J326" t="n">
        <v>0</v>
      </c>
      <c r="K326" t="n">
        <v>0</v>
      </c>
      <c r="L326" t="n">
        <v>0</v>
      </c>
      <c r="M326" t="n">
        <v>0</v>
      </c>
      <c r="N326" t="n">
        <v>0</v>
      </c>
      <c r="O326" t="n">
        <v>0</v>
      </c>
      <c r="P326" t="n">
        <v>0</v>
      </c>
      <c r="Q326" t="n">
        <v>0</v>
      </c>
      <c r="R326" s="2" t="inlineStr"/>
    </row>
    <row r="327" ht="15" customHeight="1">
      <c r="A327" t="inlineStr">
        <is>
          <t>A 3008-2023</t>
        </is>
      </c>
      <c r="B327" s="1" t="n">
        <v>44945.79784722222</v>
      </c>
      <c r="C327" s="1" t="n">
        <v>45911</v>
      </c>
      <c r="D327" t="inlineStr">
        <is>
          <t>ÖSTERGÖTLANDS LÄN</t>
        </is>
      </c>
      <c r="E327" t="inlineStr">
        <is>
          <t>LINKÖPING</t>
        </is>
      </c>
      <c r="G327" t="n">
        <v>19.3</v>
      </c>
      <c r="H327" t="n">
        <v>0</v>
      </c>
      <c r="I327" t="n">
        <v>0</v>
      </c>
      <c r="J327" t="n">
        <v>0</v>
      </c>
      <c r="K327" t="n">
        <v>0</v>
      </c>
      <c r="L327" t="n">
        <v>0</v>
      </c>
      <c r="M327" t="n">
        <v>0</v>
      </c>
      <c r="N327" t="n">
        <v>0</v>
      </c>
      <c r="O327" t="n">
        <v>0</v>
      </c>
      <c r="P327" t="n">
        <v>0</v>
      </c>
      <c r="Q327" t="n">
        <v>0</v>
      </c>
      <c r="R327" s="2" t="inlineStr"/>
    </row>
    <row r="328" ht="15" customHeight="1">
      <c r="A328" t="inlineStr">
        <is>
          <t>A 54491-2020</t>
        </is>
      </c>
      <c r="B328" s="1" t="n">
        <v>44126.64</v>
      </c>
      <c r="C328" s="1" t="n">
        <v>45911</v>
      </c>
      <c r="D328" t="inlineStr">
        <is>
          <t>ÖSTERGÖTLANDS LÄN</t>
        </is>
      </c>
      <c r="E328" t="inlineStr">
        <is>
          <t>LINKÖPING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55736-2022</t>
        </is>
      </c>
      <c r="B329" s="1" t="n">
        <v>44888</v>
      </c>
      <c r="C329" s="1" t="n">
        <v>45911</v>
      </c>
      <c r="D329" t="inlineStr">
        <is>
          <t>ÖSTERGÖTLANDS LÄN</t>
        </is>
      </c>
      <c r="E329" t="inlineStr">
        <is>
          <t>LINKÖPING</t>
        </is>
      </c>
      <c r="G329" t="n">
        <v>5.5</v>
      </c>
      <c r="H329" t="n">
        <v>0</v>
      </c>
      <c r="I329" t="n">
        <v>0</v>
      </c>
      <c r="J329" t="n">
        <v>0</v>
      </c>
      <c r="K329" t="n">
        <v>0</v>
      </c>
      <c r="L329" t="n">
        <v>0</v>
      </c>
      <c r="M329" t="n">
        <v>0</v>
      </c>
      <c r="N329" t="n">
        <v>0</v>
      </c>
      <c r="O329" t="n">
        <v>0</v>
      </c>
      <c r="P329" t="n">
        <v>0</v>
      </c>
      <c r="Q329" t="n">
        <v>0</v>
      </c>
      <c r="R329" s="2" t="inlineStr"/>
    </row>
    <row r="330" ht="15" customHeight="1">
      <c r="A330" t="inlineStr">
        <is>
          <t>A 6387-2022</t>
        </is>
      </c>
      <c r="B330" s="1" t="n">
        <v>44600</v>
      </c>
      <c r="C330" s="1" t="n">
        <v>45911</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34641-2022</t>
        </is>
      </c>
      <c r="B331" s="1" t="n">
        <v>44795</v>
      </c>
      <c r="C331" s="1" t="n">
        <v>45911</v>
      </c>
      <c r="D331" t="inlineStr">
        <is>
          <t>ÖSTERGÖTLANDS LÄN</t>
        </is>
      </c>
      <c r="E331" t="inlineStr">
        <is>
          <t>LINKÖPING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13687-2025</t>
        </is>
      </c>
      <c r="B332" s="1" t="n">
        <v>45737.31425925926</v>
      </c>
      <c r="C332" s="1" t="n">
        <v>45911</v>
      </c>
      <c r="D332" t="inlineStr">
        <is>
          <t>ÖSTERGÖTLANDS LÄN</t>
        </is>
      </c>
      <c r="E332" t="inlineStr">
        <is>
          <t>LINKÖPING</t>
        </is>
      </c>
      <c r="G332" t="n">
        <v>2.7</v>
      </c>
      <c r="H332" t="n">
        <v>0</v>
      </c>
      <c r="I332" t="n">
        <v>0</v>
      </c>
      <c r="J332" t="n">
        <v>0</v>
      </c>
      <c r="K332" t="n">
        <v>0</v>
      </c>
      <c r="L332" t="n">
        <v>0</v>
      </c>
      <c r="M332" t="n">
        <v>0</v>
      </c>
      <c r="N332" t="n">
        <v>0</v>
      </c>
      <c r="O332" t="n">
        <v>0</v>
      </c>
      <c r="P332" t="n">
        <v>0</v>
      </c>
      <c r="Q332" t="n">
        <v>0</v>
      </c>
      <c r="R332" s="2" t="inlineStr"/>
    </row>
    <row r="333" ht="15" customHeight="1">
      <c r="A333" t="inlineStr">
        <is>
          <t>A 13688-2025</t>
        </is>
      </c>
      <c r="B333" s="1" t="n">
        <v>45737.3153125</v>
      </c>
      <c r="C333" s="1" t="n">
        <v>45911</v>
      </c>
      <c r="D333" t="inlineStr">
        <is>
          <t>ÖSTERGÖTLANDS LÄN</t>
        </is>
      </c>
      <c r="E333" t="inlineStr">
        <is>
          <t>LINKÖPING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13695-2025</t>
        </is>
      </c>
      <c r="B334" s="1" t="n">
        <v>45737.32219907407</v>
      </c>
      <c r="C334" s="1" t="n">
        <v>45911</v>
      </c>
      <c r="D334" t="inlineStr">
        <is>
          <t>ÖSTERGÖTLANDS LÄN</t>
        </is>
      </c>
      <c r="E334" t="inlineStr">
        <is>
          <t>LINKÖPING</t>
        </is>
      </c>
      <c r="G334" t="n">
        <v>5.3</v>
      </c>
      <c r="H334" t="n">
        <v>0</v>
      </c>
      <c r="I334" t="n">
        <v>0</v>
      </c>
      <c r="J334" t="n">
        <v>0</v>
      </c>
      <c r="K334" t="n">
        <v>0</v>
      </c>
      <c r="L334" t="n">
        <v>0</v>
      </c>
      <c r="M334" t="n">
        <v>0</v>
      </c>
      <c r="N334" t="n">
        <v>0</v>
      </c>
      <c r="O334" t="n">
        <v>0</v>
      </c>
      <c r="P334" t="n">
        <v>0</v>
      </c>
      <c r="Q334" t="n">
        <v>0</v>
      </c>
      <c r="R334" s="2" t="inlineStr"/>
    </row>
    <row r="335" ht="15" customHeight="1">
      <c r="A335" t="inlineStr">
        <is>
          <t>A 30434-2024</t>
        </is>
      </c>
      <c r="B335" s="1" t="n">
        <v>45491.69811342593</v>
      </c>
      <c r="C335" s="1" t="n">
        <v>45911</v>
      </c>
      <c r="D335" t="inlineStr">
        <is>
          <t>ÖSTERGÖTLANDS LÄN</t>
        </is>
      </c>
      <c r="E335" t="inlineStr">
        <is>
          <t>LINKÖPING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52413-2023</t>
        </is>
      </c>
      <c r="B336" s="1" t="n">
        <v>45225.27950231481</v>
      </c>
      <c r="C336" s="1" t="n">
        <v>45911</v>
      </c>
      <c r="D336" t="inlineStr">
        <is>
          <t>ÖSTERGÖTLANDS LÄN</t>
        </is>
      </c>
      <c r="E336" t="inlineStr">
        <is>
          <t>LINKÖPING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42054-2022</t>
        </is>
      </c>
      <c r="B337" s="1" t="n">
        <v>44830</v>
      </c>
      <c r="C337" s="1" t="n">
        <v>45911</v>
      </c>
      <c r="D337" t="inlineStr">
        <is>
          <t>ÖSTERGÖTLANDS LÄN</t>
        </is>
      </c>
      <c r="E337" t="inlineStr">
        <is>
          <t>LINKÖPING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53797-2023</t>
        </is>
      </c>
      <c r="B338" s="1" t="n">
        <v>45230</v>
      </c>
      <c r="C338" s="1" t="n">
        <v>45911</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11084-2022</t>
        </is>
      </c>
      <c r="B339" s="1" t="n">
        <v>44628</v>
      </c>
      <c r="C339" s="1" t="n">
        <v>45911</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57745-2022</t>
        </is>
      </c>
      <c r="B340" s="1" t="n">
        <v>44897.58119212963</v>
      </c>
      <c r="C340" s="1" t="n">
        <v>45911</v>
      </c>
      <c r="D340" t="inlineStr">
        <is>
          <t>ÖSTERGÖTLANDS LÄN</t>
        </is>
      </c>
      <c r="E340" t="inlineStr">
        <is>
          <t>LINKÖPING</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27264-2025</t>
        </is>
      </c>
      <c r="B341" s="1" t="n">
        <v>45812.4794212963</v>
      </c>
      <c r="C341" s="1" t="n">
        <v>45911</v>
      </c>
      <c r="D341" t="inlineStr">
        <is>
          <t>ÖSTERGÖTLANDS LÄN</t>
        </is>
      </c>
      <c r="E341" t="inlineStr">
        <is>
          <t>LINKÖPING</t>
        </is>
      </c>
      <c r="G341" t="n">
        <v>2.6</v>
      </c>
      <c r="H341" t="n">
        <v>0</v>
      </c>
      <c r="I341" t="n">
        <v>0</v>
      </c>
      <c r="J341" t="n">
        <v>0</v>
      </c>
      <c r="K341" t="n">
        <v>0</v>
      </c>
      <c r="L341" t="n">
        <v>0</v>
      </c>
      <c r="M341" t="n">
        <v>0</v>
      </c>
      <c r="N341" t="n">
        <v>0</v>
      </c>
      <c r="O341" t="n">
        <v>0</v>
      </c>
      <c r="P341" t="n">
        <v>0</v>
      </c>
      <c r="Q341" t="n">
        <v>0</v>
      </c>
      <c r="R341" s="2" t="inlineStr"/>
    </row>
    <row r="342" ht="15" customHeight="1">
      <c r="A342" t="inlineStr">
        <is>
          <t>A 14520-2025</t>
        </is>
      </c>
      <c r="B342" s="1" t="n">
        <v>45741</v>
      </c>
      <c r="C342" s="1" t="n">
        <v>45911</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58714-2020</t>
        </is>
      </c>
      <c r="B343" s="1" t="n">
        <v>44146</v>
      </c>
      <c r="C343" s="1" t="n">
        <v>45911</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22833-2023</t>
        </is>
      </c>
      <c r="B344" s="1" t="n">
        <v>45071</v>
      </c>
      <c r="C344" s="1" t="n">
        <v>45911</v>
      </c>
      <c r="D344" t="inlineStr">
        <is>
          <t>ÖSTERGÖTLANDS LÄN</t>
        </is>
      </c>
      <c r="E344" t="inlineStr">
        <is>
          <t>LINKÖPING</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17898-2022</t>
        </is>
      </c>
      <c r="B345" s="1" t="n">
        <v>44683</v>
      </c>
      <c r="C345" s="1" t="n">
        <v>45911</v>
      </c>
      <c r="D345" t="inlineStr">
        <is>
          <t>ÖSTERGÖTLANDS LÄN</t>
        </is>
      </c>
      <c r="E345" t="inlineStr">
        <is>
          <t>LINKÖPING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62017-2024</t>
        </is>
      </c>
      <c r="B346" s="1" t="n">
        <v>45655.81140046296</v>
      </c>
      <c r="C346" s="1" t="n">
        <v>45911</v>
      </c>
      <c r="D346" t="inlineStr">
        <is>
          <t>ÖSTERGÖTLANDS LÄN</t>
        </is>
      </c>
      <c r="E346" t="inlineStr">
        <is>
          <t>LINKÖPING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56064-2022</t>
        </is>
      </c>
      <c r="B347" s="1" t="n">
        <v>44889.59107638889</v>
      </c>
      <c r="C347" s="1" t="n">
        <v>45911</v>
      </c>
      <c r="D347" t="inlineStr">
        <is>
          <t>ÖSTERGÖTLANDS LÄN</t>
        </is>
      </c>
      <c r="E347" t="inlineStr">
        <is>
          <t>LINKÖPING</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40502-2024</t>
        </is>
      </c>
      <c r="B348" s="1" t="n">
        <v>45555.57263888889</v>
      </c>
      <c r="C348" s="1" t="n">
        <v>45911</v>
      </c>
      <c r="D348" t="inlineStr">
        <is>
          <t>ÖSTERGÖTLANDS LÄN</t>
        </is>
      </c>
      <c r="E348" t="inlineStr">
        <is>
          <t>LINKÖPING</t>
        </is>
      </c>
      <c r="F348" t="inlineStr">
        <is>
          <t>Allmännings- och besparingsskogar</t>
        </is>
      </c>
      <c r="G348" t="n">
        <v>17.5</v>
      </c>
      <c r="H348" t="n">
        <v>0</v>
      </c>
      <c r="I348" t="n">
        <v>0</v>
      </c>
      <c r="J348" t="n">
        <v>0</v>
      </c>
      <c r="K348" t="n">
        <v>0</v>
      </c>
      <c r="L348" t="n">
        <v>0</v>
      </c>
      <c r="M348" t="n">
        <v>0</v>
      </c>
      <c r="N348" t="n">
        <v>0</v>
      </c>
      <c r="O348" t="n">
        <v>0</v>
      </c>
      <c r="P348" t="n">
        <v>0</v>
      </c>
      <c r="Q348" t="n">
        <v>0</v>
      </c>
      <c r="R348" s="2" t="inlineStr"/>
    </row>
    <row r="349" ht="15" customHeight="1">
      <c r="A349" t="inlineStr">
        <is>
          <t>A 12411-2022</t>
        </is>
      </c>
      <c r="B349" s="1" t="n">
        <v>44638.21601851852</v>
      </c>
      <c r="C349" s="1" t="n">
        <v>45911</v>
      </c>
      <c r="D349" t="inlineStr">
        <is>
          <t>ÖSTERGÖTLANDS LÄN</t>
        </is>
      </c>
      <c r="E349" t="inlineStr">
        <is>
          <t>LINKÖPING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10492-2022</t>
        </is>
      </c>
      <c r="B350" s="1" t="n">
        <v>44623.6377199074</v>
      </c>
      <c r="C350" s="1" t="n">
        <v>45911</v>
      </c>
      <c r="D350" t="inlineStr">
        <is>
          <t>ÖSTERGÖTLANDS LÄN</t>
        </is>
      </c>
      <c r="E350" t="inlineStr">
        <is>
          <t>LINKÖPING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16200-2025</t>
        </is>
      </c>
      <c r="B351" s="1" t="n">
        <v>45750.61050925926</v>
      </c>
      <c r="C351" s="1" t="n">
        <v>45911</v>
      </c>
      <c r="D351" t="inlineStr">
        <is>
          <t>ÖSTERGÖTLANDS LÄN</t>
        </is>
      </c>
      <c r="E351" t="inlineStr">
        <is>
          <t>LINKÖPING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44155-2024</t>
        </is>
      </c>
      <c r="B352" s="1" t="n">
        <v>45572.68226851852</v>
      </c>
      <c r="C352" s="1" t="n">
        <v>45911</v>
      </c>
      <c r="D352" t="inlineStr">
        <is>
          <t>ÖSTERGÖTLANDS LÄN</t>
        </is>
      </c>
      <c r="E352" t="inlineStr">
        <is>
          <t>LINKÖPING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28200-2025</t>
        </is>
      </c>
      <c r="B353" s="1" t="n">
        <v>45818.4428125</v>
      </c>
      <c r="C353" s="1" t="n">
        <v>45911</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7343-2025</t>
        </is>
      </c>
      <c r="B354" s="1" t="n">
        <v>45703.67853009259</v>
      </c>
      <c r="C354" s="1" t="n">
        <v>45911</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8967-2025</t>
        </is>
      </c>
      <c r="B355" s="1" t="n">
        <v>45712</v>
      </c>
      <c r="C355" s="1" t="n">
        <v>45911</v>
      </c>
      <c r="D355" t="inlineStr">
        <is>
          <t>ÖSTERGÖTLANDS LÄN</t>
        </is>
      </c>
      <c r="E355" t="inlineStr">
        <is>
          <t>LINKÖPING</t>
        </is>
      </c>
      <c r="G355" t="n">
        <v>1.1</v>
      </c>
      <c r="H355" t="n">
        <v>0</v>
      </c>
      <c r="I355" t="n">
        <v>0</v>
      </c>
      <c r="J355" t="n">
        <v>0</v>
      </c>
      <c r="K355" t="n">
        <v>0</v>
      </c>
      <c r="L355" t="n">
        <v>0</v>
      </c>
      <c r="M355" t="n">
        <v>0</v>
      </c>
      <c r="N355" t="n">
        <v>0</v>
      </c>
      <c r="O355" t="n">
        <v>0</v>
      </c>
      <c r="P355" t="n">
        <v>0</v>
      </c>
      <c r="Q355" t="n">
        <v>0</v>
      </c>
      <c r="R355" s="2" t="inlineStr"/>
    </row>
    <row r="356" ht="15" customHeight="1">
      <c r="A356" t="inlineStr">
        <is>
          <t>A 35427-2023</t>
        </is>
      </c>
      <c r="B356" s="1" t="n">
        <v>45146</v>
      </c>
      <c r="C356" s="1" t="n">
        <v>45911</v>
      </c>
      <c r="D356" t="inlineStr">
        <is>
          <t>ÖSTERGÖTLANDS LÄN</t>
        </is>
      </c>
      <c r="E356" t="inlineStr">
        <is>
          <t>LINKÖPING</t>
        </is>
      </c>
      <c r="F356" t="inlineStr">
        <is>
          <t>Övriga Aktiebolag</t>
        </is>
      </c>
      <c r="G356" t="n">
        <v>2.5</v>
      </c>
      <c r="H356" t="n">
        <v>0</v>
      </c>
      <c r="I356" t="n">
        <v>0</v>
      </c>
      <c r="J356" t="n">
        <v>0</v>
      </c>
      <c r="K356" t="n">
        <v>0</v>
      </c>
      <c r="L356" t="n">
        <v>0</v>
      </c>
      <c r="M356" t="n">
        <v>0</v>
      </c>
      <c r="N356" t="n">
        <v>0</v>
      </c>
      <c r="O356" t="n">
        <v>0</v>
      </c>
      <c r="P356" t="n">
        <v>0</v>
      </c>
      <c r="Q356" t="n">
        <v>0</v>
      </c>
      <c r="R356" s="2" t="inlineStr"/>
    </row>
    <row r="357" ht="15" customHeight="1">
      <c r="A357" t="inlineStr">
        <is>
          <t>A 30468-2023</t>
        </is>
      </c>
      <c r="B357" s="1" t="n">
        <v>45111.58732638889</v>
      </c>
      <c r="C357" s="1" t="n">
        <v>45911</v>
      </c>
      <c r="D357" t="inlineStr">
        <is>
          <t>ÖSTERGÖTLANDS LÄN</t>
        </is>
      </c>
      <c r="E357" t="inlineStr">
        <is>
          <t>LINKÖPING</t>
        </is>
      </c>
      <c r="G357" t="n">
        <v>10.1</v>
      </c>
      <c r="H357" t="n">
        <v>0</v>
      </c>
      <c r="I357" t="n">
        <v>0</v>
      </c>
      <c r="J357" t="n">
        <v>0</v>
      </c>
      <c r="K357" t="n">
        <v>0</v>
      </c>
      <c r="L357" t="n">
        <v>0</v>
      </c>
      <c r="M357" t="n">
        <v>0</v>
      </c>
      <c r="N357" t="n">
        <v>0</v>
      </c>
      <c r="O357" t="n">
        <v>0</v>
      </c>
      <c r="P357" t="n">
        <v>0</v>
      </c>
      <c r="Q357" t="n">
        <v>0</v>
      </c>
      <c r="R357" s="2" t="inlineStr"/>
    </row>
    <row r="358" ht="15" customHeight="1">
      <c r="A358" t="inlineStr">
        <is>
          <t>A 42997-2021</t>
        </is>
      </c>
      <c r="B358" s="1" t="n">
        <v>44431.45556712963</v>
      </c>
      <c r="C358" s="1" t="n">
        <v>45911</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27950-2025</t>
        </is>
      </c>
      <c r="B359" s="1" t="n">
        <v>45817.52960648148</v>
      </c>
      <c r="C359" s="1" t="n">
        <v>45911</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27797-2025</t>
        </is>
      </c>
      <c r="B360" s="1" t="n">
        <v>45816.80521990741</v>
      </c>
      <c r="C360" s="1" t="n">
        <v>45911</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27798-2025</t>
        </is>
      </c>
      <c r="B361" s="1" t="n">
        <v>45816.81532407407</v>
      </c>
      <c r="C361" s="1" t="n">
        <v>45911</v>
      </c>
      <c r="D361" t="inlineStr">
        <is>
          <t>ÖSTERGÖTLANDS LÄN</t>
        </is>
      </c>
      <c r="E361" t="inlineStr">
        <is>
          <t>LINKÖPING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28209-2025</t>
        </is>
      </c>
      <c r="B362" s="1" t="n">
        <v>45818.45112268518</v>
      </c>
      <c r="C362" s="1" t="n">
        <v>45911</v>
      </c>
      <c r="D362" t="inlineStr">
        <is>
          <t>ÖSTERGÖTLANDS LÄN</t>
        </is>
      </c>
      <c r="E362" t="inlineStr">
        <is>
          <t>LINKÖPING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28204-2025</t>
        </is>
      </c>
      <c r="B363" s="1" t="n">
        <v>45818.4477662037</v>
      </c>
      <c r="C363" s="1" t="n">
        <v>45911</v>
      </c>
      <c r="D363" t="inlineStr">
        <is>
          <t>ÖSTERGÖTLANDS LÄN</t>
        </is>
      </c>
      <c r="E363" t="inlineStr">
        <is>
          <t>LINKÖPING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28398-2025</t>
        </is>
      </c>
      <c r="B364" s="1" t="n">
        <v>45819.34208333334</v>
      </c>
      <c r="C364" s="1" t="n">
        <v>45911</v>
      </c>
      <c r="D364" t="inlineStr">
        <is>
          <t>ÖSTERGÖTLANDS LÄN</t>
        </is>
      </c>
      <c r="E364" t="inlineStr">
        <is>
          <t>LINKÖPING</t>
        </is>
      </c>
      <c r="F364" t="inlineStr">
        <is>
          <t>Sveaskog</t>
        </is>
      </c>
      <c r="G364" t="n">
        <v>7.9</v>
      </c>
      <c r="H364" t="n">
        <v>0</v>
      </c>
      <c r="I364" t="n">
        <v>0</v>
      </c>
      <c r="J364" t="n">
        <v>0</v>
      </c>
      <c r="K364" t="n">
        <v>0</v>
      </c>
      <c r="L364" t="n">
        <v>0</v>
      </c>
      <c r="M364" t="n">
        <v>0</v>
      </c>
      <c r="N364" t="n">
        <v>0</v>
      </c>
      <c r="O364" t="n">
        <v>0</v>
      </c>
      <c r="P364" t="n">
        <v>0</v>
      </c>
      <c r="Q364" t="n">
        <v>0</v>
      </c>
      <c r="R364" s="2" t="inlineStr"/>
    </row>
    <row r="365" ht="15" customHeight="1">
      <c r="A365" t="inlineStr">
        <is>
          <t>A 20296-2025</t>
        </is>
      </c>
      <c r="B365" s="1" t="n">
        <v>45774.74922453704</v>
      </c>
      <c r="C365" s="1" t="n">
        <v>45911</v>
      </c>
      <c r="D365" t="inlineStr">
        <is>
          <t>ÖSTERGÖTLANDS LÄN</t>
        </is>
      </c>
      <c r="E365" t="inlineStr">
        <is>
          <t>LINKÖPING</t>
        </is>
      </c>
      <c r="G365" t="n">
        <v>2.2</v>
      </c>
      <c r="H365" t="n">
        <v>0</v>
      </c>
      <c r="I365" t="n">
        <v>0</v>
      </c>
      <c r="J365" t="n">
        <v>0</v>
      </c>
      <c r="K365" t="n">
        <v>0</v>
      </c>
      <c r="L365" t="n">
        <v>0</v>
      </c>
      <c r="M365" t="n">
        <v>0</v>
      </c>
      <c r="N365" t="n">
        <v>0</v>
      </c>
      <c r="O365" t="n">
        <v>0</v>
      </c>
      <c r="P365" t="n">
        <v>0</v>
      </c>
      <c r="Q365" t="n">
        <v>0</v>
      </c>
      <c r="R365" s="2" t="inlineStr"/>
    </row>
    <row r="366" ht="15" customHeight="1">
      <c r="A366" t="inlineStr">
        <is>
          <t>A 56841-2023</t>
        </is>
      </c>
      <c r="B366" s="1" t="n">
        <v>45244</v>
      </c>
      <c r="C366" s="1" t="n">
        <v>45911</v>
      </c>
      <c r="D366" t="inlineStr">
        <is>
          <t>ÖSTERGÖTLANDS LÄN</t>
        </is>
      </c>
      <c r="E366" t="inlineStr">
        <is>
          <t>LINKÖPING</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28416-2025</t>
        </is>
      </c>
      <c r="B367" s="1" t="n">
        <v>45819.35346064815</v>
      </c>
      <c r="C367" s="1" t="n">
        <v>45911</v>
      </c>
      <c r="D367" t="inlineStr">
        <is>
          <t>ÖSTERGÖTLANDS LÄN</t>
        </is>
      </c>
      <c r="E367" t="inlineStr">
        <is>
          <t>LINKÖPING</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14028-2024</t>
        </is>
      </c>
      <c r="B368" s="1" t="n">
        <v>45392</v>
      </c>
      <c r="C368" s="1" t="n">
        <v>45911</v>
      </c>
      <c r="D368" t="inlineStr">
        <is>
          <t>ÖSTERGÖTLANDS LÄN</t>
        </is>
      </c>
      <c r="E368" t="inlineStr">
        <is>
          <t>LINKÖPING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29027-2025</t>
        </is>
      </c>
      <c r="B369" s="1" t="n">
        <v>45821.4375462963</v>
      </c>
      <c r="C369" s="1" t="n">
        <v>45911</v>
      </c>
      <c r="D369" t="inlineStr">
        <is>
          <t>ÖSTERGÖTLANDS LÄN</t>
        </is>
      </c>
      <c r="E369" t="inlineStr">
        <is>
          <t>LINKÖPING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29393-2025</t>
        </is>
      </c>
      <c r="B370" s="1" t="n">
        <v>45824.6057175926</v>
      </c>
      <c r="C370" s="1" t="n">
        <v>45911</v>
      </c>
      <c r="D370" t="inlineStr">
        <is>
          <t>ÖSTERGÖTLANDS LÄN</t>
        </is>
      </c>
      <c r="E370" t="inlineStr">
        <is>
          <t>LINKÖPING</t>
        </is>
      </c>
      <c r="F370" t="inlineStr">
        <is>
          <t>Sveaskog</t>
        </is>
      </c>
      <c r="G370" t="n">
        <v>24.6</v>
      </c>
      <c r="H370" t="n">
        <v>0</v>
      </c>
      <c r="I370" t="n">
        <v>0</v>
      </c>
      <c r="J370" t="n">
        <v>0</v>
      </c>
      <c r="K370" t="n">
        <v>0</v>
      </c>
      <c r="L370" t="n">
        <v>0</v>
      </c>
      <c r="M370" t="n">
        <v>0</v>
      </c>
      <c r="N370" t="n">
        <v>0</v>
      </c>
      <c r="O370" t="n">
        <v>0</v>
      </c>
      <c r="P370" t="n">
        <v>0</v>
      </c>
      <c r="Q370" t="n">
        <v>0</v>
      </c>
      <c r="R370" s="2" t="inlineStr"/>
    </row>
    <row r="371" ht="15" customHeight="1">
      <c r="A371" t="inlineStr">
        <is>
          <t>A 53812-2023</t>
        </is>
      </c>
      <c r="B371" s="1" t="n">
        <v>45231.39583333334</v>
      </c>
      <c r="C371" s="1" t="n">
        <v>45911</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29411-2025</t>
        </is>
      </c>
      <c r="B372" s="1" t="n">
        <v>45824.6219212963</v>
      </c>
      <c r="C372" s="1" t="n">
        <v>45911</v>
      </c>
      <c r="D372" t="inlineStr">
        <is>
          <t>ÖSTERGÖTLANDS LÄN</t>
        </is>
      </c>
      <c r="E372" t="inlineStr">
        <is>
          <t>LINKÖPING</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53830-2023</t>
        </is>
      </c>
      <c r="B373" s="1" t="n">
        <v>45230</v>
      </c>
      <c r="C373" s="1" t="n">
        <v>45911</v>
      </c>
      <c r="D373" t="inlineStr">
        <is>
          <t>ÖSTERGÖTLANDS LÄN</t>
        </is>
      </c>
      <c r="E373" t="inlineStr">
        <is>
          <t>LINKÖPING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38715-2023</t>
        </is>
      </c>
      <c r="B374" s="1" t="n">
        <v>45160</v>
      </c>
      <c r="C374" s="1" t="n">
        <v>45911</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14667-2024</t>
        </is>
      </c>
      <c r="B375" s="1" t="n">
        <v>45397.42005787037</v>
      </c>
      <c r="C375" s="1" t="n">
        <v>45911</v>
      </c>
      <c r="D375" t="inlineStr">
        <is>
          <t>ÖSTERGÖTLANDS LÄN</t>
        </is>
      </c>
      <c r="E375" t="inlineStr">
        <is>
          <t>LINKÖPING</t>
        </is>
      </c>
      <c r="G375" t="n">
        <v>2.3</v>
      </c>
      <c r="H375" t="n">
        <v>0</v>
      </c>
      <c r="I375" t="n">
        <v>0</v>
      </c>
      <c r="J375" t="n">
        <v>0</v>
      </c>
      <c r="K375" t="n">
        <v>0</v>
      </c>
      <c r="L375" t="n">
        <v>0</v>
      </c>
      <c r="M375" t="n">
        <v>0</v>
      </c>
      <c r="N375" t="n">
        <v>0</v>
      </c>
      <c r="O375" t="n">
        <v>0</v>
      </c>
      <c r="P375" t="n">
        <v>0</v>
      </c>
      <c r="Q375" t="n">
        <v>0</v>
      </c>
      <c r="R375" s="2" t="inlineStr"/>
    </row>
    <row r="376" ht="15" customHeight="1">
      <c r="A376" t="inlineStr">
        <is>
          <t>A 2697-2023</t>
        </is>
      </c>
      <c r="B376" s="1" t="n">
        <v>44944</v>
      </c>
      <c r="C376" s="1" t="n">
        <v>45911</v>
      </c>
      <c r="D376" t="inlineStr">
        <is>
          <t>ÖSTERGÖTLANDS LÄN</t>
        </is>
      </c>
      <c r="E376" t="inlineStr">
        <is>
          <t>LINKÖPING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53641-2023</t>
        </is>
      </c>
      <c r="B377" s="1" t="n">
        <v>45230</v>
      </c>
      <c r="C377" s="1" t="n">
        <v>45911</v>
      </c>
      <c r="D377" t="inlineStr">
        <is>
          <t>ÖSTERGÖTLANDS LÄN</t>
        </is>
      </c>
      <c r="E377" t="inlineStr">
        <is>
          <t>LINKÖPING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48707-2023</t>
        </is>
      </c>
      <c r="B378" s="1" t="n">
        <v>45202</v>
      </c>
      <c r="C378" s="1" t="n">
        <v>45911</v>
      </c>
      <c r="D378" t="inlineStr">
        <is>
          <t>ÖSTERGÖTLANDS LÄN</t>
        </is>
      </c>
      <c r="E378" t="inlineStr">
        <is>
          <t>LINKÖPING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29599-2025</t>
        </is>
      </c>
      <c r="B379" s="1" t="n">
        <v>45825.41101851852</v>
      </c>
      <c r="C379" s="1" t="n">
        <v>45911</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53411-2023</t>
        </is>
      </c>
      <c r="B380" s="1" t="n">
        <v>45229.81049768518</v>
      </c>
      <c r="C380" s="1" t="n">
        <v>45911</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56741-2023</t>
        </is>
      </c>
      <c r="B381" s="1" t="n">
        <v>45244</v>
      </c>
      <c r="C381" s="1" t="n">
        <v>45911</v>
      </c>
      <c r="D381" t="inlineStr">
        <is>
          <t>ÖSTERGÖTLANDS LÄN</t>
        </is>
      </c>
      <c r="E381" t="inlineStr">
        <is>
          <t>LINKÖPING</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59948-2022</t>
        </is>
      </c>
      <c r="B382" s="1" t="n">
        <v>44909</v>
      </c>
      <c r="C382" s="1" t="n">
        <v>45911</v>
      </c>
      <c r="D382" t="inlineStr">
        <is>
          <t>ÖSTERGÖTLANDS LÄN</t>
        </is>
      </c>
      <c r="E382" t="inlineStr">
        <is>
          <t>LINKÖPING</t>
        </is>
      </c>
      <c r="G382" t="n">
        <v>6.7</v>
      </c>
      <c r="H382" t="n">
        <v>0</v>
      </c>
      <c r="I382" t="n">
        <v>0</v>
      </c>
      <c r="J382" t="n">
        <v>0</v>
      </c>
      <c r="K382" t="n">
        <v>0</v>
      </c>
      <c r="L382" t="n">
        <v>0</v>
      </c>
      <c r="M382" t="n">
        <v>0</v>
      </c>
      <c r="N382" t="n">
        <v>0</v>
      </c>
      <c r="O382" t="n">
        <v>0</v>
      </c>
      <c r="P382" t="n">
        <v>0</v>
      </c>
      <c r="Q382" t="n">
        <v>0</v>
      </c>
      <c r="R382" s="2" t="inlineStr"/>
    </row>
    <row r="383" ht="15" customHeight="1">
      <c r="A383" t="inlineStr">
        <is>
          <t>A 56792-2023</t>
        </is>
      </c>
      <c r="B383" s="1" t="n">
        <v>45244</v>
      </c>
      <c r="C383" s="1" t="n">
        <v>45911</v>
      </c>
      <c r="D383" t="inlineStr">
        <is>
          <t>ÖSTERGÖTLANDS LÄN</t>
        </is>
      </c>
      <c r="E383" t="inlineStr">
        <is>
          <t>LINKÖPING</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50471-2024</t>
        </is>
      </c>
      <c r="B384" s="1" t="n">
        <v>45601.47166666666</v>
      </c>
      <c r="C384" s="1" t="n">
        <v>45911</v>
      </c>
      <c r="D384" t="inlineStr">
        <is>
          <t>ÖSTERGÖTLANDS LÄN</t>
        </is>
      </c>
      <c r="E384" t="inlineStr">
        <is>
          <t>LINKÖPING</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3007-2023</t>
        </is>
      </c>
      <c r="B385" s="1" t="n">
        <v>44945</v>
      </c>
      <c r="C385" s="1" t="n">
        <v>45911</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40338-2024</t>
        </is>
      </c>
      <c r="B386" s="1" t="n">
        <v>45555.32940972222</v>
      </c>
      <c r="C386" s="1" t="n">
        <v>45911</v>
      </c>
      <c r="D386" t="inlineStr">
        <is>
          <t>ÖSTERGÖTLANDS LÄN</t>
        </is>
      </c>
      <c r="E386" t="inlineStr">
        <is>
          <t>LINKÖPING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3013-2023</t>
        </is>
      </c>
      <c r="B387" s="1" t="n">
        <v>44945.8092824074</v>
      </c>
      <c r="C387" s="1" t="n">
        <v>45911</v>
      </c>
      <c r="D387" t="inlineStr">
        <is>
          <t>ÖSTERGÖTLANDS LÄN</t>
        </is>
      </c>
      <c r="E387" t="inlineStr">
        <is>
          <t>LINKÖPING</t>
        </is>
      </c>
      <c r="G387" t="n">
        <v>5.2</v>
      </c>
      <c r="H387" t="n">
        <v>0</v>
      </c>
      <c r="I387" t="n">
        <v>0</v>
      </c>
      <c r="J387" t="n">
        <v>0</v>
      </c>
      <c r="K387" t="n">
        <v>0</v>
      </c>
      <c r="L387" t="n">
        <v>0</v>
      </c>
      <c r="M387" t="n">
        <v>0</v>
      </c>
      <c r="N387" t="n">
        <v>0</v>
      </c>
      <c r="O387" t="n">
        <v>0</v>
      </c>
      <c r="P387" t="n">
        <v>0</v>
      </c>
      <c r="Q387" t="n">
        <v>0</v>
      </c>
      <c r="R387" s="2" t="inlineStr"/>
    </row>
    <row r="388" ht="15" customHeight="1">
      <c r="A388" t="inlineStr">
        <is>
          <t>A 27766-2022</t>
        </is>
      </c>
      <c r="B388" s="1" t="n">
        <v>44743.53112268518</v>
      </c>
      <c r="C388" s="1" t="n">
        <v>45911</v>
      </c>
      <c r="D388" t="inlineStr">
        <is>
          <t>ÖSTERGÖTLANDS LÄN</t>
        </is>
      </c>
      <c r="E388" t="inlineStr">
        <is>
          <t>LINKÖPING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55945-2024</t>
        </is>
      </c>
      <c r="B389" s="1" t="n">
        <v>45623.61754629629</v>
      </c>
      <c r="C389" s="1" t="n">
        <v>45911</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1993-2023</t>
        </is>
      </c>
      <c r="B390" s="1" t="n">
        <v>44939</v>
      </c>
      <c r="C390" s="1" t="n">
        <v>45911</v>
      </c>
      <c r="D390" t="inlineStr">
        <is>
          <t>ÖSTERGÖTLANDS LÄN</t>
        </is>
      </c>
      <c r="E390" t="inlineStr">
        <is>
          <t>LINKÖPING</t>
        </is>
      </c>
      <c r="G390" t="n">
        <v>3.7</v>
      </c>
      <c r="H390" t="n">
        <v>0</v>
      </c>
      <c r="I390" t="n">
        <v>0</v>
      </c>
      <c r="J390" t="n">
        <v>0</v>
      </c>
      <c r="K390" t="n">
        <v>0</v>
      </c>
      <c r="L390" t="n">
        <v>0</v>
      </c>
      <c r="M390" t="n">
        <v>0</v>
      </c>
      <c r="N390" t="n">
        <v>0</v>
      </c>
      <c r="O390" t="n">
        <v>0</v>
      </c>
      <c r="P390" t="n">
        <v>0</v>
      </c>
      <c r="Q390" t="n">
        <v>0</v>
      </c>
      <c r="R390" s="2" t="inlineStr"/>
    </row>
    <row r="391" ht="15" customHeight="1">
      <c r="A391" t="inlineStr">
        <is>
          <t>A 2618-2023</t>
        </is>
      </c>
      <c r="B391" s="1" t="n">
        <v>44944.35847222222</v>
      </c>
      <c r="C391" s="1" t="n">
        <v>45911</v>
      </c>
      <c r="D391" t="inlineStr">
        <is>
          <t>ÖSTERGÖTLANDS LÄN</t>
        </is>
      </c>
      <c r="E391" t="inlineStr">
        <is>
          <t>LINKÖPING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10203-2023</t>
        </is>
      </c>
      <c r="B392" s="1" t="n">
        <v>44986.55711805556</v>
      </c>
      <c r="C392" s="1" t="n">
        <v>45911</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34889-2023</t>
        </is>
      </c>
      <c r="B393" s="1" t="n">
        <v>45140</v>
      </c>
      <c r="C393" s="1" t="n">
        <v>45911</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34928-2023</t>
        </is>
      </c>
      <c r="B394" s="1" t="n">
        <v>45142</v>
      </c>
      <c r="C394" s="1" t="n">
        <v>45911</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48271-2023</t>
        </is>
      </c>
      <c r="B395" s="1" t="n">
        <v>45205</v>
      </c>
      <c r="C395" s="1" t="n">
        <v>45911</v>
      </c>
      <c r="D395" t="inlineStr">
        <is>
          <t>ÖSTERGÖTLANDS LÄN</t>
        </is>
      </c>
      <c r="E395" t="inlineStr">
        <is>
          <t>LINKÖPING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30355-2025</t>
        </is>
      </c>
      <c r="B396" s="1" t="n">
        <v>45827</v>
      </c>
      <c r="C396" s="1" t="n">
        <v>45911</v>
      </c>
      <c r="D396" t="inlineStr">
        <is>
          <t>ÖSTERGÖTLANDS LÄN</t>
        </is>
      </c>
      <c r="E396" t="inlineStr">
        <is>
          <t>LINKÖPING</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30353-2025</t>
        </is>
      </c>
      <c r="B397" s="1" t="n">
        <v>45827</v>
      </c>
      <c r="C397" s="1" t="n">
        <v>45911</v>
      </c>
      <c r="D397" t="inlineStr">
        <is>
          <t>ÖSTERGÖTLANDS LÄN</t>
        </is>
      </c>
      <c r="E397" t="inlineStr">
        <is>
          <t>LINKÖPING</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1268-2023</t>
        </is>
      </c>
      <c r="B398" s="1" t="n">
        <v>44936</v>
      </c>
      <c r="C398" s="1" t="n">
        <v>45911</v>
      </c>
      <c r="D398" t="inlineStr">
        <is>
          <t>ÖSTERGÖTLANDS LÄN</t>
        </is>
      </c>
      <c r="E398" t="inlineStr">
        <is>
          <t>LINKÖPING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5314-2021</t>
        </is>
      </c>
      <c r="B399" s="1" t="n">
        <v>44229</v>
      </c>
      <c r="C399" s="1" t="n">
        <v>45911</v>
      </c>
      <c r="D399" t="inlineStr">
        <is>
          <t>ÖSTERGÖTLANDS LÄN</t>
        </is>
      </c>
      <c r="E399" t="inlineStr">
        <is>
          <t>LINKÖPING</t>
        </is>
      </c>
      <c r="G399" t="n">
        <v>6.2</v>
      </c>
      <c r="H399" t="n">
        <v>0</v>
      </c>
      <c r="I399" t="n">
        <v>0</v>
      </c>
      <c r="J399" t="n">
        <v>0</v>
      </c>
      <c r="K399" t="n">
        <v>0</v>
      </c>
      <c r="L399" t="n">
        <v>0</v>
      </c>
      <c r="M399" t="n">
        <v>0</v>
      </c>
      <c r="N399" t="n">
        <v>0</v>
      </c>
      <c r="O399" t="n">
        <v>0</v>
      </c>
      <c r="P399" t="n">
        <v>0</v>
      </c>
      <c r="Q399" t="n">
        <v>0</v>
      </c>
      <c r="R399" s="2" t="inlineStr"/>
    </row>
    <row r="400" ht="15" customHeight="1">
      <c r="A400" t="inlineStr">
        <is>
          <t>A 13266-2025</t>
        </is>
      </c>
      <c r="B400" s="1" t="n">
        <v>45735.53318287037</v>
      </c>
      <c r="C400" s="1" t="n">
        <v>45911</v>
      </c>
      <c r="D400" t="inlineStr">
        <is>
          <t>ÖSTERGÖTLANDS LÄN</t>
        </is>
      </c>
      <c r="E400" t="inlineStr">
        <is>
          <t>LINKÖPING</t>
        </is>
      </c>
      <c r="G400" t="n">
        <v>3.1</v>
      </c>
      <c r="H400" t="n">
        <v>0</v>
      </c>
      <c r="I400" t="n">
        <v>0</v>
      </c>
      <c r="J400" t="n">
        <v>0</v>
      </c>
      <c r="K400" t="n">
        <v>0</v>
      </c>
      <c r="L400" t="n">
        <v>0</v>
      </c>
      <c r="M400" t="n">
        <v>0</v>
      </c>
      <c r="N400" t="n">
        <v>0</v>
      </c>
      <c r="O400" t="n">
        <v>0</v>
      </c>
      <c r="P400" t="n">
        <v>0</v>
      </c>
      <c r="Q400" t="n">
        <v>0</v>
      </c>
      <c r="R400" s="2" t="inlineStr"/>
    </row>
    <row r="401" ht="15" customHeight="1">
      <c r="A401" t="inlineStr">
        <is>
          <t>A 49747-2024</t>
        </is>
      </c>
      <c r="B401" s="1" t="n">
        <v>45596</v>
      </c>
      <c r="C401" s="1" t="n">
        <v>45911</v>
      </c>
      <c r="D401" t="inlineStr">
        <is>
          <t>ÖSTERGÖTLANDS LÄN</t>
        </is>
      </c>
      <c r="E401" t="inlineStr">
        <is>
          <t>LINKÖPING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60001-2022</t>
        </is>
      </c>
      <c r="B402" s="1" t="n">
        <v>44909.47087962963</v>
      </c>
      <c r="C402" s="1" t="n">
        <v>45911</v>
      </c>
      <c r="D402" t="inlineStr">
        <is>
          <t>ÖSTERGÖTLANDS LÄN</t>
        </is>
      </c>
      <c r="E402" t="inlineStr">
        <is>
          <t>LINKÖPING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39457-2023</t>
        </is>
      </c>
      <c r="B403" s="1" t="n">
        <v>45166</v>
      </c>
      <c r="C403" s="1" t="n">
        <v>45911</v>
      </c>
      <c r="D403" t="inlineStr">
        <is>
          <t>ÖSTERGÖTLANDS LÄN</t>
        </is>
      </c>
      <c r="E403" t="inlineStr">
        <is>
          <t>LINKÖPING</t>
        </is>
      </c>
      <c r="G403" t="n">
        <v>2.1</v>
      </c>
      <c r="H403" t="n">
        <v>0</v>
      </c>
      <c r="I403" t="n">
        <v>0</v>
      </c>
      <c r="J403" t="n">
        <v>0</v>
      </c>
      <c r="K403" t="n">
        <v>0</v>
      </c>
      <c r="L403" t="n">
        <v>0</v>
      </c>
      <c r="M403" t="n">
        <v>0</v>
      </c>
      <c r="N403" t="n">
        <v>0</v>
      </c>
      <c r="O403" t="n">
        <v>0</v>
      </c>
      <c r="P403" t="n">
        <v>0</v>
      </c>
      <c r="Q403" t="n">
        <v>0</v>
      </c>
      <c r="R403" s="2" t="inlineStr"/>
    </row>
    <row r="404" ht="15" customHeight="1">
      <c r="A404" t="inlineStr">
        <is>
          <t>A 31725-2022</t>
        </is>
      </c>
      <c r="B404" s="1" t="n">
        <v>44776.48541666667</v>
      </c>
      <c r="C404" s="1" t="n">
        <v>45911</v>
      </c>
      <c r="D404" t="inlineStr">
        <is>
          <t>ÖSTERGÖTLANDS LÄN</t>
        </is>
      </c>
      <c r="E404" t="inlineStr">
        <is>
          <t>LINKÖPING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1657-2024</t>
        </is>
      </c>
      <c r="B405" s="1" t="n">
        <v>45306.82501157407</v>
      </c>
      <c r="C405" s="1" t="n">
        <v>45911</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2389-2023</t>
        </is>
      </c>
      <c r="B406" s="1" t="n">
        <v>44942</v>
      </c>
      <c r="C406" s="1" t="n">
        <v>45911</v>
      </c>
      <c r="D406" t="inlineStr">
        <is>
          <t>ÖSTERGÖTLANDS LÄN</t>
        </is>
      </c>
      <c r="E406" t="inlineStr">
        <is>
          <t>LINKÖPING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3627-2023</t>
        </is>
      </c>
      <c r="B407" s="1" t="n">
        <v>44950.64782407408</v>
      </c>
      <c r="C407" s="1" t="n">
        <v>45911</v>
      </c>
      <c r="D407" t="inlineStr">
        <is>
          <t>ÖSTERGÖTLANDS LÄN</t>
        </is>
      </c>
      <c r="E407" t="inlineStr">
        <is>
          <t>LINKÖPING</t>
        </is>
      </c>
      <c r="G407" t="n">
        <v>3.1</v>
      </c>
      <c r="H407" t="n">
        <v>0</v>
      </c>
      <c r="I407" t="n">
        <v>0</v>
      </c>
      <c r="J407" t="n">
        <v>0</v>
      </c>
      <c r="K407" t="n">
        <v>0</v>
      </c>
      <c r="L407" t="n">
        <v>0</v>
      </c>
      <c r="M407" t="n">
        <v>0</v>
      </c>
      <c r="N407" t="n">
        <v>0</v>
      </c>
      <c r="O407" t="n">
        <v>0</v>
      </c>
      <c r="P407" t="n">
        <v>0</v>
      </c>
      <c r="Q407" t="n">
        <v>0</v>
      </c>
      <c r="R407" s="2" t="inlineStr"/>
    </row>
    <row r="408" ht="15" customHeight="1">
      <c r="A408" t="inlineStr">
        <is>
          <t>A 62687-2023</t>
        </is>
      </c>
      <c r="B408" s="1" t="n">
        <v>45271</v>
      </c>
      <c r="C408" s="1" t="n">
        <v>45911</v>
      </c>
      <c r="D408" t="inlineStr">
        <is>
          <t>ÖSTERGÖTLANDS LÄN</t>
        </is>
      </c>
      <c r="E408" t="inlineStr">
        <is>
          <t>LINKÖPING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30976-2022</t>
        </is>
      </c>
      <c r="B409" s="1" t="n">
        <v>44768</v>
      </c>
      <c r="C409" s="1" t="n">
        <v>45911</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37057-2025</t>
        </is>
      </c>
      <c r="B410" s="1" t="n">
        <v>45875.37489583333</v>
      </c>
      <c r="C410" s="1" t="n">
        <v>45911</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18891-2022</t>
        </is>
      </c>
      <c r="B411" s="1" t="n">
        <v>44690</v>
      </c>
      <c r="C411" s="1" t="n">
        <v>45911</v>
      </c>
      <c r="D411" t="inlineStr">
        <is>
          <t>ÖSTERGÖTLANDS LÄN</t>
        </is>
      </c>
      <c r="E411" t="inlineStr">
        <is>
          <t>LINKÖPING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30860-2022</t>
        </is>
      </c>
      <c r="B412" s="1" t="n">
        <v>44767</v>
      </c>
      <c r="C412" s="1" t="n">
        <v>45911</v>
      </c>
      <c r="D412" t="inlineStr">
        <is>
          <t>ÖSTERGÖTLANDS LÄN</t>
        </is>
      </c>
      <c r="E412" t="inlineStr">
        <is>
          <t>LINKÖPING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48186-2022</t>
        </is>
      </c>
      <c r="B413" s="1" t="n">
        <v>44858</v>
      </c>
      <c r="C413" s="1" t="n">
        <v>45911</v>
      </c>
      <c r="D413" t="inlineStr">
        <is>
          <t>ÖSTERGÖTLANDS LÄN</t>
        </is>
      </c>
      <c r="E413" t="inlineStr">
        <is>
          <t>LINKÖPING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28266-2024</t>
        </is>
      </c>
      <c r="B414" s="1" t="n">
        <v>45477.43600694444</v>
      </c>
      <c r="C414" s="1" t="n">
        <v>45911</v>
      </c>
      <c r="D414" t="inlineStr">
        <is>
          <t>ÖSTERGÖTLANDS LÄN</t>
        </is>
      </c>
      <c r="E414" t="inlineStr">
        <is>
          <t>LINKÖPING</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26620-2023</t>
        </is>
      </c>
      <c r="B415" s="1" t="n">
        <v>45092.70390046296</v>
      </c>
      <c r="C415" s="1" t="n">
        <v>45911</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31581-2025</t>
        </is>
      </c>
      <c r="B416" s="1" t="n">
        <v>45833.6840162037</v>
      </c>
      <c r="C416" s="1" t="n">
        <v>45911</v>
      </c>
      <c r="D416" t="inlineStr">
        <is>
          <t>ÖSTERGÖTLANDS LÄN</t>
        </is>
      </c>
      <c r="E416" t="inlineStr">
        <is>
          <t>LINKÖPING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31585-2025</t>
        </is>
      </c>
      <c r="B417" s="1" t="n">
        <v>45833.68815972222</v>
      </c>
      <c r="C417" s="1" t="n">
        <v>45911</v>
      </c>
      <c r="D417" t="inlineStr">
        <is>
          <t>ÖSTERGÖTLANDS LÄN</t>
        </is>
      </c>
      <c r="E417" t="inlineStr">
        <is>
          <t>LINKÖPING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31548-2022</t>
        </is>
      </c>
      <c r="B418" s="1" t="n">
        <v>44775.39832175926</v>
      </c>
      <c r="C418" s="1" t="n">
        <v>45911</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45506-2020</t>
        </is>
      </c>
      <c r="B419" s="1" t="n">
        <v>44089</v>
      </c>
      <c r="C419" s="1" t="n">
        <v>45911</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1211-2023</t>
        </is>
      </c>
      <c r="B420" s="1" t="n">
        <v>44930</v>
      </c>
      <c r="C420" s="1" t="n">
        <v>45911</v>
      </c>
      <c r="D420" t="inlineStr">
        <is>
          <t>ÖSTERGÖTLANDS LÄN</t>
        </is>
      </c>
      <c r="E420" t="inlineStr">
        <is>
          <t>LINKÖPING</t>
        </is>
      </c>
      <c r="F420" t="inlineStr">
        <is>
          <t>Övriga statliga verk och myndigheter</t>
        </is>
      </c>
      <c r="G420" t="n">
        <v>7.9</v>
      </c>
      <c r="H420" t="n">
        <v>0</v>
      </c>
      <c r="I420" t="n">
        <v>0</v>
      </c>
      <c r="J420" t="n">
        <v>0</v>
      </c>
      <c r="K420" t="n">
        <v>0</v>
      </c>
      <c r="L420" t="n">
        <v>0</v>
      </c>
      <c r="M420" t="n">
        <v>0</v>
      </c>
      <c r="N420" t="n">
        <v>0</v>
      </c>
      <c r="O420" t="n">
        <v>0</v>
      </c>
      <c r="P420" t="n">
        <v>0</v>
      </c>
      <c r="Q420" t="n">
        <v>0</v>
      </c>
      <c r="R420" s="2" t="inlineStr"/>
    </row>
    <row r="421" ht="15" customHeight="1">
      <c r="A421" t="inlineStr">
        <is>
          <t>A 51191-2022</t>
        </is>
      </c>
      <c r="B421" s="1" t="n">
        <v>44865</v>
      </c>
      <c r="C421" s="1" t="n">
        <v>45911</v>
      </c>
      <c r="D421" t="inlineStr">
        <is>
          <t>ÖSTERGÖTLANDS LÄN</t>
        </is>
      </c>
      <c r="E421" t="inlineStr">
        <is>
          <t>LINKÖPING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56180-2024</t>
        </is>
      </c>
      <c r="B422" s="1" t="n">
        <v>45624.56611111111</v>
      </c>
      <c r="C422" s="1" t="n">
        <v>45911</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55632-2022</t>
        </is>
      </c>
      <c r="B423" s="1" t="n">
        <v>44888</v>
      </c>
      <c r="C423" s="1" t="n">
        <v>45911</v>
      </c>
      <c r="D423" t="inlineStr">
        <is>
          <t>ÖSTERGÖTLANDS LÄN</t>
        </is>
      </c>
      <c r="E423" t="inlineStr">
        <is>
          <t>LINKÖPING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938-2023</t>
        </is>
      </c>
      <c r="B424" s="1" t="n">
        <v>44933</v>
      </c>
      <c r="C424" s="1" t="n">
        <v>45911</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25418-2023</t>
        </is>
      </c>
      <c r="B425" s="1" t="n">
        <v>45089</v>
      </c>
      <c r="C425" s="1" t="n">
        <v>45911</v>
      </c>
      <c r="D425" t="inlineStr">
        <is>
          <t>ÖSTERGÖTLANDS LÄN</t>
        </is>
      </c>
      <c r="E425" t="inlineStr">
        <is>
          <t>LINKÖPING</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45911</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32723-2025</t>
        </is>
      </c>
      <c r="B427" s="1" t="n">
        <v>45838</v>
      </c>
      <c r="C427" s="1" t="n">
        <v>45911</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63669-2023</t>
        </is>
      </c>
      <c r="B428" s="1" t="n">
        <v>45275</v>
      </c>
      <c r="C428" s="1" t="n">
        <v>45911</v>
      </c>
      <c r="D428" t="inlineStr">
        <is>
          <t>ÖSTERGÖTLANDS LÄN</t>
        </is>
      </c>
      <c r="E428" t="inlineStr">
        <is>
          <t>LINKÖPING</t>
        </is>
      </c>
      <c r="F428" t="inlineStr">
        <is>
          <t>Övriga Aktiebolag</t>
        </is>
      </c>
      <c r="G428" t="n">
        <v>3</v>
      </c>
      <c r="H428" t="n">
        <v>0</v>
      </c>
      <c r="I428" t="n">
        <v>0</v>
      </c>
      <c r="J428" t="n">
        <v>0</v>
      </c>
      <c r="K428" t="n">
        <v>0</v>
      </c>
      <c r="L428" t="n">
        <v>0</v>
      </c>
      <c r="M428" t="n">
        <v>0</v>
      </c>
      <c r="N428" t="n">
        <v>0</v>
      </c>
      <c r="O428" t="n">
        <v>0</v>
      </c>
      <c r="P428" t="n">
        <v>0</v>
      </c>
      <c r="Q428" t="n">
        <v>0</v>
      </c>
      <c r="R428" s="2" t="inlineStr"/>
    </row>
    <row r="429" ht="15" customHeight="1">
      <c r="A429" t="inlineStr">
        <is>
          <t>A 12289-2025</t>
        </is>
      </c>
      <c r="B429" s="1" t="n">
        <v>45729</v>
      </c>
      <c r="C429" s="1" t="n">
        <v>45911</v>
      </c>
      <c r="D429" t="inlineStr">
        <is>
          <t>ÖSTERGÖTLANDS LÄN</t>
        </is>
      </c>
      <c r="E429" t="inlineStr">
        <is>
          <t>LINKÖPING</t>
        </is>
      </c>
      <c r="F429" t="inlineStr">
        <is>
          <t>Övriga statliga verk och myndigheter</t>
        </is>
      </c>
      <c r="G429" t="n">
        <v>6.5</v>
      </c>
      <c r="H429" t="n">
        <v>0</v>
      </c>
      <c r="I429" t="n">
        <v>0</v>
      </c>
      <c r="J429" t="n">
        <v>0</v>
      </c>
      <c r="K429" t="n">
        <v>0</v>
      </c>
      <c r="L429" t="n">
        <v>0</v>
      </c>
      <c r="M429" t="n">
        <v>0</v>
      </c>
      <c r="N429" t="n">
        <v>0</v>
      </c>
      <c r="O429" t="n">
        <v>0</v>
      </c>
      <c r="P429" t="n">
        <v>0</v>
      </c>
      <c r="Q429" t="n">
        <v>0</v>
      </c>
      <c r="R429" s="2" t="inlineStr"/>
    </row>
    <row r="430" ht="15" customHeight="1">
      <c r="A430" t="inlineStr">
        <is>
          <t>A 36657-2023</t>
        </is>
      </c>
      <c r="B430" s="1" t="n">
        <v>45153.5702662037</v>
      </c>
      <c r="C430" s="1" t="n">
        <v>45911</v>
      </c>
      <c r="D430" t="inlineStr">
        <is>
          <t>ÖSTERGÖTLANDS LÄN</t>
        </is>
      </c>
      <c r="E430" t="inlineStr">
        <is>
          <t>LINKÖPING</t>
        </is>
      </c>
      <c r="F430" t="inlineStr">
        <is>
          <t>Allmännings- och besparingsskogar</t>
        </is>
      </c>
      <c r="G430" t="n">
        <v>2</v>
      </c>
      <c r="H430" t="n">
        <v>0</v>
      </c>
      <c r="I430" t="n">
        <v>0</v>
      </c>
      <c r="J430" t="n">
        <v>0</v>
      </c>
      <c r="K430" t="n">
        <v>0</v>
      </c>
      <c r="L430" t="n">
        <v>0</v>
      </c>
      <c r="M430" t="n">
        <v>0</v>
      </c>
      <c r="N430" t="n">
        <v>0</v>
      </c>
      <c r="O430" t="n">
        <v>0</v>
      </c>
      <c r="P430" t="n">
        <v>0</v>
      </c>
      <c r="Q430" t="n">
        <v>0</v>
      </c>
      <c r="R430" s="2" t="inlineStr"/>
    </row>
    <row r="431" ht="15" customHeight="1">
      <c r="A431" t="inlineStr">
        <is>
          <t>A 19169-2023</t>
        </is>
      </c>
      <c r="B431" s="1" t="n">
        <v>45044</v>
      </c>
      <c r="C431" s="1" t="n">
        <v>45911</v>
      </c>
      <c r="D431" t="inlineStr">
        <is>
          <t>ÖSTERGÖTLANDS LÄN</t>
        </is>
      </c>
      <c r="E431" t="inlineStr">
        <is>
          <t>LINKÖPING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1209-2023</t>
        </is>
      </c>
      <c r="B432" s="1" t="n">
        <v>44930</v>
      </c>
      <c r="C432" s="1" t="n">
        <v>45911</v>
      </c>
      <c r="D432" t="inlineStr">
        <is>
          <t>ÖSTERGÖTLANDS LÄN</t>
        </is>
      </c>
      <c r="E432" t="inlineStr">
        <is>
          <t>LINKÖPING</t>
        </is>
      </c>
      <c r="F432" t="inlineStr">
        <is>
          <t>Övriga statliga verk och myndigheter</t>
        </is>
      </c>
      <c r="G432" t="n">
        <v>25.8</v>
      </c>
      <c r="H432" t="n">
        <v>0</v>
      </c>
      <c r="I432" t="n">
        <v>0</v>
      </c>
      <c r="J432" t="n">
        <v>0</v>
      </c>
      <c r="K432" t="n">
        <v>0</v>
      </c>
      <c r="L432" t="n">
        <v>0</v>
      </c>
      <c r="M432" t="n">
        <v>0</v>
      </c>
      <c r="N432" t="n">
        <v>0</v>
      </c>
      <c r="O432" t="n">
        <v>0</v>
      </c>
      <c r="P432" t="n">
        <v>0</v>
      </c>
      <c r="Q432" t="n">
        <v>0</v>
      </c>
      <c r="R432" s="2" t="inlineStr"/>
    </row>
    <row r="433" ht="15" customHeight="1">
      <c r="A433" t="inlineStr">
        <is>
          <t>A 11601-2023</t>
        </is>
      </c>
      <c r="B433" s="1" t="n">
        <v>44994</v>
      </c>
      <c r="C433" s="1" t="n">
        <v>45911</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2085-2024</t>
        </is>
      </c>
      <c r="B434" s="1" t="n">
        <v>45309</v>
      </c>
      <c r="C434" s="1" t="n">
        <v>45911</v>
      </c>
      <c r="D434" t="inlineStr">
        <is>
          <t>ÖSTERGÖTLANDS LÄN</t>
        </is>
      </c>
      <c r="E434" t="inlineStr">
        <is>
          <t>LINKÖPING</t>
        </is>
      </c>
      <c r="G434" t="n">
        <v>4.5</v>
      </c>
      <c r="H434" t="n">
        <v>0</v>
      </c>
      <c r="I434" t="n">
        <v>0</v>
      </c>
      <c r="J434" t="n">
        <v>0</v>
      </c>
      <c r="K434" t="n">
        <v>0</v>
      </c>
      <c r="L434" t="n">
        <v>0</v>
      </c>
      <c r="M434" t="n">
        <v>0</v>
      </c>
      <c r="N434" t="n">
        <v>0</v>
      </c>
      <c r="O434" t="n">
        <v>0</v>
      </c>
      <c r="P434" t="n">
        <v>0</v>
      </c>
      <c r="Q434" t="n">
        <v>0</v>
      </c>
      <c r="R434" s="2" t="inlineStr"/>
    </row>
    <row r="435" ht="15" customHeight="1">
      <c r="A435" t="inlineStr">
        <is>
          <t>A 61227-2024</t>
        </is>
      </c>
      <c r="B435" s="1" t="n">
        <v>45645.66853009259</v>
      </c>
      <c r="C435" s="1" t="n">
        <v>45911</v>
      </c>
      <c r="D435" t="inlineStr">
        <is>
          <t>ÖSTERGÖTLANDS LÄN</t>
        </is>
      </c>
      <c r="E435" t="inlineStr">
        <is>
          <t>LINKÖPING</t>
        </is>
      </c>
      <c r="G435" t="n">
        <v>6</v>
      </c>
      <c r="H435" t="n">
        <v>0</v>
      </c>
      <c r="I435" t="n">
        <v>0</v>
      </c>
      <c r="J435" t="n">
        <v>0</v>
      </c>
      <c r="K435" t="n">
        <v>0</v>
      </c>
      <c r="L435" t="n">
        <v>0</v>
      </c>
      <c r="M435" t="n">
        <v>0</v>
      </c>
      <c r="N435" t="n">
        <v>0</v>
      </c>
      <c r="O435" t="n">
        <v>0</v>
      </c>
      <c r="P435" t="n">
        <v>0</v>
      </c>
      <c r="Q435" t="n">
        <v>0</v>
      </c>
      <c r="R435" s="2" t="inlineStr"/>
    </row>
    <row r="436" ht="15" customHeight="1">
      <c r="A436" t="inlineStr">
        <is>
          <t>A 1260-2023</t>
        </is>
      </c>
      <c r="B436" s="1" t="n">
        <v>44936</v>
      </c>
      <c r="C436" s="1" t="n">
        <v>45911</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7702-2023</t>
        </is>
      </c>
      <c r="B437" s="1" t="n">
        <v>44967</v>
      </c>
      <c r="C437" s="1" t="n">
        <v>45911</v>
      </c>
      <c r="D437" t="inlineStr">
        <is>
          <t>ÖSTERGÖTLANDS LÄN</t>
        </is>
      </c>
      <c r="E437" t="inlineStr">
        <is>
          <t>LINKÖPING</t>
        </is>
      </c>
      <c r="F437" t="inlineStr">
        <is>
          <t>Övriga statliga verk och myndigheter</t>
        </is>
      </c>
      <c r="G437" t="n">
        <v>8</v>
      </c>
      <c r="H437" t="n">
        <v>0</v>
      </c>
      <c r="I437" t="n">
        <v>0</v>
      </c>
      <c r="J437" t="n">
        <v>0</v>
      </c>
      <c r="K437" t="n">
        <v>0</v>
      </c>
      <c r="L437" t="n">
        <v>0</v>
      </c>
      <c r="M437" t="n">
        <v>0</v>
      </c>
      <c r="N437" t="n">
        <v>0</v>
      </c>
      <c r="O437" t="n">
        <v>0</v>
      </c>
      <c r="P437" t="n">
        <v>0</v>
      </c>
      <c r="Q437" t="n">
        <v>0</v>
      </c>
      <c r="R437" s="2" t="inlineStr"/>
    </row>
    <row r="438" ht="15" customHeight="1">
      <c r="A438" t="inlineStr">
        <is>
          <t>A 48-2024</t>
        </is>
      </c>
      <c r="B438" s="1" t="n">
        <v>45293</v>
      </c>
      <c r="C438" s="1" t="n">
        <v>45911</v>
      </c>
      <c r="D438" t="inlineStr">
        <is>
          <t>ÖSTERGÖTLANDS LÄN</t>
        </is>
      </c>
      <c r="E438" t="inlineStr">
        <is>
          <t>LINKÖPING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674-2024</t>
        </is>
      </c>
      <c r="B439" s="1" t="n">
        <v>45300.34408564815</v>
      </c>
      <c r="C439" s="1" t="n">
        <v>45911</v>
      </c>
      <c r="D439" t="inlineStr">
        <is>
          <t>ÖSTERGÖTLANDS LÄN</t>
        </is>
      </c>
      <c r="E439" t="inlineStr">
        <is>
          <t>LINKÖPING</t>
        </is>
      </c>
      <c r="F439" t="inlineStr">
        <is>
          <t>Sveaskog</t>
        </is>
      </c>
      <c r="G439" t="n">
        <v>2.9</v>
      </c>
      <c r="H439" t="n">
        <v>0</v>
      </c>
      <c r="I439" t="n">
        <v>0</v>
      </c>
      <c r="J439" t="n">
        <v>0</v>
      </c>
      <c r="K439" t="n">
        <v>0</v>
      </c>
      <c r="L439" t="n">
        <v>0</v>
      </c>
      <c r="M439" t="n">
        <v>0</v>
      </c>
      <c r="N439" t="n">
        <v>0</v>
      </c>
      <c r="O439" t="n">
        <v>0</v>
      </c>
      <c r="P439" t="n">
        <v>0</v>
      </c>
      <c r="Q439" t="n">
        <v>0</v>
      </c>
      <c r="R439" s="2" t="inlineStr"/>
    </row>
    <row r="440" ht="15" customHeight="1">
      <c r="A440" t="inlineStr">
        <is>
          <t>A 63684-2023</t>
        </is>
      </c>
      <c r="B440" s="1" t="n">
        <v>45275</v>
      </c>
      <c r="C440" s="1" t="n">
        <v>45911</v>
      </c>
      <c r="D440" t="inlineStr">
        <is>
          <t>ÖSTERGÖTLANDS LÄN</t>
        </is>
      </c>
      <c r="E440" t="inlineStr">
        <is>
          <t>LINKÖPING</t>
        </is>
      </c>
      <c r="G440" t="n">
        <v>0.4</v>
      </c>
      <c r="H440" t="n">
        <v>0</v>
      </c>
      <c r="I440" t="n">
        <v>0</v>
      </c>
      <c r="J440" t="n">
        <v>0</v>
      </c>
      <c r="K440" t="n">
        <v>0</v>
      </c>
      <c r="L440" t="n">
        <v>0</v>
      </c>
      <c r="M440" t="n">
        <v>0</v>
      </c>
      <c r="N440" t="n">
        <v>0</v>
      </c>
      <c r="O440" t="n">
        <v>0</v>
      </c>
      <c r="P440" t="n">
        <v>0</v>
      </c>
      <c r="Q440" t="n">
        <v>0</v>
      </c>
      <c r="R440" s="2" t="inlineStr"/>
    </row>
    <row r="441" ht="15" customHeight="1">
      <c r="A441" t="inlineStr">
        <is>
          <t>A 167-2024</t>
        </is>
      </c>
      <c r="B441" s="1" t="n">
        <v>45294</v>
      </c>
      <c r="C441" s="1" t="n">
        <v>45911</v>
      </c>
      <c r="D441" t="inlineStr">
        <is>
          <t>ÖSTERGÖTLANDS LÄN</t>
        </is>
      </c>
      <c r="E441" t="inlineStr">
        <is>
          <t>LINKÖPING</t>
        </is>
      </c>
      <c r="F441" t="inlineStr">
        <is>
          <t>Allmännings- och besparingsskogar</t>
        </is>
      </c>
      <c r="G441" t="n">
        <v>11.6</v>
      </c>
      <c r="H441" t="n">
        <v>0</v>
      </c>
      <c r="I441" t="n">
        <v>0</v>
      </c>
      <c r="J441" t="n">
        <v>0</v>
      </c>
      <c r="K441" t="n">
        <v>0</v>
      </c>
      <c r="L441" t="n">
        <v>0</v>
      </c>
      <c r="M441" t="n">
        <v>0</v>
      </c>
      <c r="N441" t="n">
        <v>0</v>
      </c>
      <c r="O441" t="n">
        <v>0</v>
      </c>
      <c r="P441" t="n">
        <v>0</v>
      </c>
      <c r="Q441" t="n">
        <v>0</v>
      </c>
      <c r="R441" s="2" t="inlineStr"/>
    </row>
    <row r="442" ht="15" customHeight="1">
      <c r="A442" t="inlineStr">
        <is>
          <t>A 36725-2023</t>
        </is>
      </c>
      <c r="B442" s="1" t="n">
        <v>45153.68471064815</v>
      </c>
      <c r="C442" s="1" t="n">
        <v>45911</v>
      </c>
      <c r="D442" t="inlineStr">
        <is>
          <t>ÖSTERGÖTLANDS LÄN</t>
        </is>
      </c>
      <c r="E442" t="inlineStr">
        <is>
          <t>LINKÖPING</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56560-2023</t>
        </is>
      </c>
      <c r="B443" s="1" t="n">
        <v>45238</v>
      </c>
      <c r="C443" s="1" t="n">
        <v>45911</v>
      </c>
      <c r="D443" t="inlineStr">
        <is>
          <t>ÖSTERGÖTLANDS LÄN</t>
        </is>
      </c>
      <c r="E443" t="inlineStr">
        <is>
          <t>LINKÖPING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19132-2023</t>
        </is>
      </c>
      <c r="B444" s="1" t="n">
        <v>45048.54754629629</v>
      </c>
      <c r="C444" s="1" t="n">
        <v>45911</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38046-2025</t>
        </is>
      </c>
      <c r="B445" s="1" t="n">
        <v>45882.39939814815</v>
      </c>
      <c r="C445" s="1" t="n">
        <v>45911</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52412-2023</t>
        </is>
      </c>
      <c r="B446" s="1" t="n">
        <v>45225.27888888889</v>
      </c>
      <c r="C446" s="1" t="n">
        <v>45911</v>
      </c>
      <c r="D446" t="inlineStr">
        <is>
          <t>ÖSTERGÖTLANDS LÄN</t>
        </is>
      </c>
      <c r="E446" t="inlineStr">
        <is>
          <t>LINKÖPING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62492-2023</t>
        </is>
      </c>
      <c r="B447" s="1" t="n">
        <v>45268.58987268519</v>
      </c>
      <c r="C447" s="1" t="n">
        <v>45911</v>
      </c>
      <c r="D447" t="inlineStr">
        <is>
          <t>ÖSTERGÖTLANDS LÄN</t>
        </is>
      </c>
      <c r="E447" t="inlineStr">
        <is>
          <t>LINKÖPING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27343-2023</t>
        </is>
      </c>
      <c r="B448" s="1" t="n">
        <v>45096</v>
      </c>
      <c r="C448" s="1" t="n">
        <v>45911</v>
      </c>
      <c r="D448" t="inlineStr">
        <is>
          <t>ÖSTERGÖTLANDS LÄN</t>
        </is>
      </c>
      <c r="E448" t="inlineStr">
        <is>
          <t>LINKÖPING</t>
        </is>
      </c>
      <c r="F448" t="inlineStr">
        <is>
          <t>Allmännings- och besparingsskogar</t>
        </is>
      </c>
      <c r="G448" t="n">
        <v>6.9</v>
      </c>
      <c r="H448" t="n">
        <v>0</v>
      </c>
      <c r="I448" t="n">
        <v>0</v>
      </c>
      <c r="J448" t="n">
        <v>0</v>
      </c>
      <c r="K448" t="n">
        <v>0</v>
      </c>
      <c r="L448" t="n">
        <v>0</v>
      </c>
      <c r="M448" t="n">
        <v>0</v>
      </c>
      <c r="N448" t="n">
        <v>0</v>
      </c>
      <c r="O448" t="n">
        <v>0</v>
      </c>
      <c r="P448" t="n">
        <v>0</v>
      </c>
      <c r="Q448" t="n">
        <v>0</v>
      </c>
      <c r="R448" s="2" t="inlineStr"/>
    </row>
    <row r="449" ht="15" customHeight="1">
      <c r="A449" t="inlineStr">
        <is>
          <t>A 38230-2023</t>
        </is>
      </c>
      <c r="B449" s="1" t="n">
        <v>45161.55373842592</v>
      </c>
      <c r="C449" s="1" t="n">
        <v>45911</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56756-2023</t>
        </is>
      </c>
      <c r="B450" s="1" t="n">
        <v>45244</v>
      </c>
      <c r="C450" s="1" t="n">
        <v>45911</v>
      </c>
      <c r="D450" t="inlineStr">
        <is>
          <t>ÖSTERGÖTLANDS LÄN</t>
        </is>
      </c>
      <c r="E450" t="inlineStr">
        <is>
          <t>LINKÖPING</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22774-2024</t>
        </is>
      </c>
      <c r="B451" s="1" t="n">
        <v>45448.46924768519</v>
      </c>
      <c r="C451" s="1" t="n">
        <v>45911</v>
      </c>
      <c r="D451" t="inlineStr">
        <is>
          <t>ÖSTERGÖTLANDS LÄN</t>
        </is>
      </c>
      <c r="E451" t="inlineStr">
        <is>
          <t>LINKÖPING</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22778-2024</t>
        </is>
      </c>
      <c r="B452" s="1" t="n">
        <v>45448.47233796296</v>
      </c>
      <c r="C452" s="1" t="n">
        <v>45911</v>
      </c>
      <c r="D452" t="inlineStr">
        <is>
          <t>ÖSTERGÖTLANDS LÄN</t>
        </is>
      </c>
      <c r="E452" t="inlineStr">
        <is>
          <t>LINKÖPING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38886-2024</t>
        </is>
      </c>
      <c r="B453" s="1" t="n">
        <v>45547.66443287037</v>
      </c>
      <c r="C453" s="1" t="n">
        <v>45911</v>
      </c>
      <c r="D453" t="inlineStr">
        <is>
          <t>ÖSTERGÖTLANDS LÄN</t>
        </is>
      </c>
      <c r="E453" t="inlineStr">
        <is>
          <t>LINKÖPING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11590-2023</t>
        </is>
      </c>
      <c r="B454" s="1" t="n">
        <v>44994.36689814815</v>
      </c>
      <c r="C454" s="1" t="n">
        <v>45911</v>
      </c>
      <c r="D454" t="inlineStr">
        <is>
          <t>ÖSTERGÖTLANDS LÄN</t>
        </is>
      </c>
      <c r="E454" t="inlineStr">
        <is>
          <t>LINKÖPING</t>
        </is>
      </c>
      <c r="G454" t="n">
        <v>3.1</v>
      </c>
      <c r="H454" t="n">
        <v>0</v>
      </c>
      <c r="I454" t="n">
        <v>0</v>
      </c>
      <c r="J454" t="n">
        <v>0</v>
      </c>
      <c r="K454" t="n">
        <v>0</v>
      </c>
      <c r="L454" t="n">
        <v>0</v>
      </c>
      <c r="M454" t="n">
        <v>0</v>
      </c>
      <c r="N454" t="n">
        <v>0</v>
      </c>
      <c r="O454" t="n">
        <v>0</v>
      </c>
      <c r="P454" t="n">
        <v>0</v>
      </c>
      <c r="Q454" t="n">
        <v>0</v>
      </c>
      <c r="R454" s="2" t="inlineStr"/>
    </row>
    <row r="455" ht="15" customHeight="1">
      <c r="A455" t="inlineStr">
        <is>
          <t>A 34864-2023</t>
        </is>
      </c>
      <c r="B455" s="1" t="n">
        <v>45141</v>
      </c>
      <c r="C455" s="1" t="n">
        <v>45911</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52531-2023</t>
        </is>
      </c>
      <c r="B456" s="1" t="n">
        <v>45225</v>
      </c>
      <c r="C456" s="1" t="n">
        <v>45911</v>
      </c>
      <c r="D456" t="inlineStr">
        <is>
          <t>ÖSTERGÖTLANDS LÄN</t>
        </is>
      </c>
      <c r="E456" t="inlineStr">
        <is>
          <t>LINKÖPING</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33947-2025</t>
        </is>
      </c>
      <c r="B457" s="1" t="n">
        <v>45842.65444444444</v>
      </c>
      <c r="C457" s="1" t="n">
        <v>45911</v>
      </c>
      <c r="D457" t="inlineStr">
        <is>
          <t>ÖSTERGÖTLANDS LÄN</t>
        </is>
      </c>
      <c r="E457" t="inlineStr">
        <is>
          <t>LINKÖPING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34930-2023</t>
        </is>
      </c>
      <c r="B458" s="1" t="n">
        <v>45142</v>
      </c>
      <c r="C458" s="1" t="n">
        <v>45911</v>
      </c>
      <c r="D458" t="inlineStr">
        <is>
          <t>ÖSTERGÖTLANDS LÄN</t>
        </is>
      </c>
      <c r="E458" t="inlineStr">
        <is>
          <t>LINKÖPING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30985-2022</t>
        </is>
      </c>
      <c r="B459" s="1" t="n">
        <v>44768</v>
      </c>
      <c r="C459" s="1" t="n">
        <v>45911</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10461-2023</t>
        </is>
      </c>
      <c r="B460" s="1" t="n">
        <v>44987.5969212963</v>
      </c>
      <c r="C460" s="1" t="n">
        <v>45911</v>
      </c>
      <c r="D460" t="inlineStr">
        <is>
          <t>ÖSTERGÖTLANDS LÄN</t>
        </is>
      </c>
      <c r="E460" t="inlineStr">
        <is>
          <t>LINKÖPING</t>
        </is>
      </c>
      <c r="G460" t="n">
        <v>7.8</v>
      </c>
      <c r="H460" t="n">
        <v>0</v>
      </c>
      <c r="I460" t="n">
        <v>0</v>
      </c>
      <c r="J460" t="n">
        <v>0</v>
      </c>
      <c r="K460" t="n">
        <v>0</v>
      </c>
      <c r="L460" t="n">
        <v>0</v>
      </c>
      <c r="M460" t="n">
        <v>0</v>
      </c>
      <c r="N460" t="n">
        <v>0</v>
      </c>
      <c r="O460" t="n">
        <v>0</v>
      </c>
      <c r="P460" t="n">
        <v>0</v>
      </c>
      <c r="Q460" t="n">
        <v>0</v>
      </c>
      <c r="R460" s="2" t="inlineStr"/>
    </row>
    <row r="461" ht="15" customHeight="1">
      <c r="A461" t="inlineStr">
        <is>
          <t>A 41345-2021</t>
        </is>
      </c>
      <c r="B461" s="1" t="n">
        <v>44424.61851851852</v>
      </c>
      <c r="C461" s="1" t="n">
        <v>45911</v>
      </c>
      <c r="D461" t="inlineStr">
        <is>
          <t>ÖSTERGÖTLANDS LÄN</t>
        </is>
      </c>
      <c r="E461" t="inlineStr">
        <is>
          <t>LINKÖPING</t>
        </is>
      </c>
      <c r="F461" t="inlineStr">
        <is>
          <t>Sveaskog</t>
        </is>
      </c>
      <c r="G461" t="n">
        <v>6.3</v>
      </c>
      <c r="H461" t="n">
        <v>0</v>
      </c>
      <c r="I461" t="n">
        <v>0</v>
      </c>
      <c r="J461" t="n">
        <v>0</v>
      </c>
      <c r="K461" t="n">
        <v>0</v>
      </c>
      <c r="L461" t="n">
        <v>0</v>
      </c>
      <c r="M461" t="n">
        <v>0</v>
      </c>
      <c r="N461" t="n">
        <v>0</v>
      </c>
      <c r="O461" t="n">
        <v>0</v>
      </c>
      <c r="P461" t="n">
        <v>0</v>
      </c>
      <c r="Q461" t="n">
        <v>0</v>
      </c>
      <c r="R461" s="2" t="inlineStr"/>
    </row>
    <row r="462" ht="15" customHeight="1">
      <c r="A462" t="inlineStr">
        <is>
          <t>A 67129-2020</t>
        </is>
      </c>
      <c r="B462" s="1" t="n">
        <v>44180</v>
      </c>
      <c r="C462" s="1" t="n">
        <v>45911</v>
      </c>
      <c r="D462" t="inlineStr">
        <is>
          <t>ÖSTERGÖTLANDS LÄN</t>
        </is>
      </c>
      <c r="E462" t="inlineStr">
        <is>
          <t>LINKÖPING</t>
        </is>
      </c>
      <c r="F462" t="inlineStr">
        <is>
          <t>Övriga statliga verk och myndigheter</t>
        </is>
      </c>
      <c r="G462" t="n">
        <v>2.7</v>
      </c>
      <c r="H462" t="n">
        <v>0</v>
      </c>
      <c r="I462" t="n">
        <v>0</v>
      </c>
      <c r="J462" t="n">
        <v>0</v>
      </c>
      <c r="K462" t="n">
        <v>0</v>
      </c>
      <c r="L462" t="n">
        <v>0</v>
      </c>
      <c r="M462" t="n">
        <v>0</v>
      </c>
      <c r="N462" t="n">
        <v>0</v>
      </c>
      <c r="O462" t="n">
        <v>0</v>
      </c>
      <c r="P462" t="n">
        <v>0</v>
      </c>
      <c r="Q462" t="n">
        <v>0</v>
      </c>
      <c r="R462" s="2" t="inlineStr"/>
    </row>
    <row r="463" ht="15" customHeight="1">
      <c r="A463" t="inlineStr">
        <is>
          <t>A 25292-2021</t>
        </is>
      </c>
      <c r="B463" s="1" t="n">
        <v>44342</v>
      </c>
      <c r="C463" s="1" t="n">
        <v>45911</v>
      </c>
      <c r="D463" t="inlineStr">
        <is>
          <t>ÖSTERGÖTLANDS LÄN</t>
        </is>
      </c>
      <c r="E463" t="inlineStr">
        <is>
          <t>LINKÖPING</t>
        </is>
      </c>
      <c r="F463" t="inlineStr">
        <is>
          <t>Övriga Aktiebolag</t>
        </is>
      </c>
      <c r="G463" t="n">
        <v>12.8</v>
      </c>
      <c r="H463" t="n">
        <v>0</v>
      </c>
      <c r="I463" t="n">
        <v>0</v>
      </c>
      <c r="J463" t="n">
        <v>0</v>
      </c>
      <c r="K463" t="n">
        <v>0</v>
      </c>
      <c r="L463" t="n">
        <v>0</v>
      </c>
      <c r="M463" t="n">
        <v>0</v>
      </c>
      <c r="N463" t="n">
        <v>0</v>
      </c>
      <c r="O463" t="n">
        <v>0</v>
      </c>
      <c r="P463" t="n">
        <v>0</v>
      </c>
      <c r="Q463" t="n">
        <v>0</v>
      </c>
      <c r="R463" s="2" t="inlineStr"/>
    </row>
    <row r="464" ht="15" customHeight="1">
      <c r="A464" t="inlineStr">
        <is>
          <t>A 61307-2021</t>
        </is>
      </c>
      <c r="B464" s="1" t="n">
        <v>44498.63928240741</v>
      </c>
      <c r="C464" s="1" t="n">
        <v>45911</v>
      </c>
      <c r="D464" t="inlineStr">
        <is>
          <t>ÖSTERGÖTLANDS LÄN</t>
        </is>
      </c>
      <c r="E464" t="inlineStr">
        <is>
          <t>LINKÖPING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61325-2021</t>
        </is>
      </c>
      <c r="B465" s="1" t="n">
        <v>44498.66814814815</v>
      </c>
      <c r="C465" s="1" t="n">
        <v>45911</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60010-2022</t>
        </is>
      </c>
      <c r="B466" s="1" t="n">
        <v>44909.4740625</v>
      </c>
      <c r="C466" s="1" t="n">
        <v>45911</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62012-2024</t>
        </is>
      </c>
      <c r="B467" s="1" t="n">
        <v>45655.79679398148</v>
      </c>
      <c r="C467" s="1" t="n">
        <v>45911</v>
      </c>
      <c r="D467" t="inlineStr">
        <is>
          <t>ÖSTERGÖTLANDS LÄN</t>
        </is>
      </c>
      <c r="E467" t="inlineStr">
        <is>
          <t>LINKÖPING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55305-2020</t>
        </is>
      </c>
      <c r="B468" s="1" t="n">
        <v>44130</v>
      </c>
      <c r="C468" s="1" t="n">
        <v>45911</v>
      </c>
      <c r="D468" t="inlineStr">
        <is>
          <t>ÖSTERGÖTLANDS LÄN</t>
        </is>
      </c>
      <c r="E468" t="inlineStr">
        <is>
          <t>LINKÖPING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59642-2024</t>
        </is>
      </c>
      <c r="B469" s="1" t="n">
        <v>45639.31511574074</v>
      </c>
      <c r="C469" s="1" t="n">
        <v>45911</v>
      </c>
      <c r="D469" t="inlineStr">
        <is>
          <t>ÖSTERGÖTLANDS LÄN</t>
        </is>
      </c>
      <c r="E469" t="inlineStr">
        <is>
          <t>LINKÖPING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30518-2024</t>
        </is>
      </c>
      <c r="B470" s="1" t="n">
        <v>45492</v>
      </c>
      <c r="C470" s="1" t="n">
        <v>45911</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15748-2025</t>
        </is>
      </c>
      <c r="B471" s="1" t="n">
        <v>45748.55282407408</v>
      </c>
      <c r="C471" s="1" t="n">
        <v>45911</v>
      </c>
      <c r="D471" t="inlineStr">
        <is>
          <t>ÖSTERGÖTLANDS LÄN</t>
        </is>
      </c>
      <c r="E471" t="inlineStr">
        <is>
          <t>LINKÖPING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31792-2021</t>
        </is>
      </c>
      <c r="B472" s="1" t="n">
        <v>44369</v>
      </c>
      <c r="C472" s="1" t="n">
        <v>45911</v>
      </c>
      <c r="D472" t="inlineStr">
        <is>
          <t>ÖSTERGÖTLANDS LÄN</t>
        </is>
      </c>
      <c r="E472" t="inlineStr">
        <is>
          <t>LINKÖPING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25097-2023</t>
        </is>
      </c>
      <c r="B473" s="1" t="n">
        <v>45086</v>
      </c>
      <c r="C473" s="1" t="n">
        <v>45911</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39074-2025</t>
        </is>
      </c>
      <c r="B474" s="1" t="n">
        <v>45888</v>
      </c>
      <c r="C474" s="1" t="n">
        <v>45911</v>
      </c>
      <c r="D474" t="inlineStr">
        <is>
          <t>ÖSTERGÖTLANDS LÄN</t>
        </is>
      </c>
      <c r="E474" t="inlineStr">
        <is>
          <t>LINKÖPING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35735-2023</t>
        </is>
      </c>
      <c r="B475" s="1" t="n">
        <v>45147</v>
      </c>
      <c r="C475" s="1" t="n">
        <v>45911</v>
      </c>
      <c r="D475" t="inlineStr">
        <is>
          <t>ÖSTERGÖTLANDS LÄN</t>
        </is>
      </c>
      <c r="E475" t="inlineStr">
        <is>
          <t>LINKÖPING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4908-2023</t>
        </is>
      </c>
      <c r="B476" s="1" t="n">
        <v>44958</v>
      </c>
      <c r="C476" s="1" t="n">
        <v>45911</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16462-2021</t>
        </is>
      </c>
      <c r="B477" s="1" t="n">
        <v>44293</v>
      </c>
      <c r="C477" s="1" t="n">
        <v>45911</v>
      </c>
      <c r="D477" t="inlineStr">
        <is>
          <t>ÖSTERGÖTLANDS LÄN</t>
        </is>
      </c>
      <c r="E477" t="inlineStr">
        <is>
          <t>LINKÖPING</t>
        </is>
      </c>
      <c r="F477" t="inlineStr">
        <is>
          <t>Allmännings- och besparingsskogar</t>
        </is>
      </c>
      <c r="G477" t="n">
        <v>24.7</v>
      </c>
      <c r="H477" t="n">
        <v>0</v>
      </c>
      <c r="I477" t="n">
        <v>0</v>
      </c>
      <c r="J477" t="n">
        <v>0</v>
      </c>
      <c r="K477" t="n">
        <v>0</v>
      </c>
      <c r="L477" t="n">
        <v>0</v>
      </c>
      <c r="M477" t="n">
        <v>0</v>
      </c>
      <c r="N477" t="n">
        <v>0</v>
      </c>
      <c r="O477" t="n">
        <v>0</v>
      </c>
      <c r="P477" t="n">
        <v>0</v>
      </c>
      <c r="Q477" t="n">
        <v>0</v>
      </c>
      <c r="R477" s="2" t="inlineStr"/>
    </row>
    <row r="478" ht="15" customHeight="1">
      <c r="A478" t="inlineStr">
        <is>
          <t>A 37715-2022</t>
        </is>
      </c>
      <c r="B478" s="1" t="n">
        <v>44810</v>
      </c>
      <c r="C478" s="1" t="n">
        <v>45911</v>
      </c>
      <c r="D478" t="inlineStr">
        <is>
          <t>ÖSTERGÖTLANDS LÄN</t>
        </is>
      </c>
      <c r="E478" t="inlineStr">
        <is>
          <t>LINKÖPING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25776-2021</t>
        </is>
      </c>
      <c r="B479" s="1" t="n">
        <v>44343</v>
      </c>
      <c r="C479" s="1" t="n">
        <v>45911</v>
      </c>
      <c r="D479" t="inlineStr">
        <is>
          <t>ÖSTERGÖTLANDS LÄN</t>
        </is>
      </c>
      <c r="E479" t="inlineStr">
        <is>
          <t>LINKÖPING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30856-2022</t>
        </is>
      </c>
      <c r="B480" s="1" t="n">
        <v>44767</v>
      </c>
      <c r="C480" s="1" t="n">
        <v>45911</v>
      </c>
      <c r="D480" t="inlineStr">
        <is>
          <t>ÖSTERGÖTLANDS LÄN</t>
        </is>
      </c>
      <c r="E480" t="inlineStr">
        <is>
          <t>LINKÖPING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53529-2024</t>
        </is>
      </c>
      <c r="B481" s="1" t="n">
        <v>45614</v>
      </c>
      <c r="C481" s="1" t="n">
        <v>45911</v>
      </c>
      <c r="D481" t="inlineStr">
        <is>
          <t>ÖSTERGÖTLANDS LÄN</t>
        </is>
      </c>
      <c r="E481" t="inlineStr">
        <is>
          <t>LINKÖPING</t>
        </is>
      </c>
      <c r="G481" t="n">
        <v>6.7</v>
      </c>
      <c r="H481" t="n">
        <v>0</v>
      </c>
      <c r="I481" t="n">
        <v>0</v>
      </c>
      <c r="J481" t="n">
        <v>0</v>
      </c>
      <c r="K481" t="n">
        <v>0</v>
      </c>
      <c r="L481" t="n">
        <v>0</v>
      </c>
      <c r="M481" t="n">
        <v>0</v>
      </c>
      <c r="N481" t="n">
        <v>0</v>
      </c>
      <c r="O481" t="n">
        <v>0</v>
      </c>
      <c r="P481" t="n">
        <v>0</v>
      </c>
      <c r="Q481" t="n">
        <v>0</v>
      </c>
      <c r="R481" s="2" t="inlineStr"/>
    </row>
    <row r="482" ht="15" customHeight="1">
      <c r="A482" t="inlineStr">
        <is>
          <t>A 19187-2021</t>
        </is>
      </c>
      <c r="B482" s="1" t="n">
        <v>44308</v>
      </c>
      <c r="C482" s="1" t="n">
        <v>45911</v>
      </c>
      <c r="D482" t="inlineStr">
        <is>
          <t>ÖSTERGÖTLANDS LÄN</t>
        </is>
      </c>
      <c r="E482" t="inlineStr">
        <is>
          <t>LINKÖPING</t>
        </is>
      </c>
      <c r="F482" t="inlineStr">
        <is>
          <t>Allmännings- och besparingsskogar</t>
        </is>
      </c>
      <c r="G482" t="n">
        <v>20</v>
      </c>
      <c r="H482" t="n">
        <v>0</v>
      </c>
      <c r="I482" t="n">
        <v>0</v>
      </c>
      <c r="J482" t="n">
        <v>0</v>
      </c>
      <c r="K482" t="n">
        <v>0</v>
      </c>
      <c r="L482" t="n">
        <v>0</v>
      </c>
      <c r="M482" t="n">
        <v>0</v>
      </c>
      <c r="N482" t="n">
        <v>0</v>
      </c>
      <c r="O482" t="n">
        <v>0</v>
      </c>
      <c r="P482" t="n">
        <v>0</v>
      </c>
      <c r="Q482" t="n">
        <v>0</v>
      </c>
      <c r="R482" s="2" t="inlineStr"/>
    </row>
    <row r="483" ht="15" customHeight="1">
      <c r="A483" t="inlineStr">
        <is>
          <t>A 38971-2025</t>
        </is>
      </c>
      <c r="B483" s="1" t="n">
        <v>45887.71827546296</v>
      </c>
      <c r="C483" s="1" t="n">
        <v>45911</v>
      </c>
      <c r="D483" t="inlineStr">
        <is>
          <t>ÖSTERGÖTLANDS LÄN</t>
        </is>
      </c>
      <c r="E483" t="inlineStr">
        <is>
          <t>LINKÖPING</t>
        </is>
      </c>
      <c r="G483" t="n">
        <v>3.9</v>
      </c>
      <c r="H483" t="n">
        <v>0</v>
      </c>
      <c r="I483" t="n">
        <v>0</v>
      </c>
      <c r="J483" t="n">
        <v>0</v>
      </c>
      <c r="K483" t="n">
        <v>0</v>
      </c>
      <c r="L483" t="n">
        <v>0</v>
      </c>
      <c r="M483" t="n">
        <v>0</v>
      </c>
      <c r="N483" t="n">
        <v>0</v>
      </c>
      <c r="O483" t="n">
        <v>0</v>
      </c>
      <c r="P483" t="n">
        <v>0</v>
      </c>
      <c r="Q483" t="n">
        <v>0</v>
      </c>
      <c r="R483" s="2" t="inlineStr"/>
    </row>
    <row r="484" ht="15" customHeight="1">
      <c r="A484" t="inlineStr">
        <is>
          <t>A 39219-2021</t>
        </is>
      </c>
      <c r="B484" s="1" t="n">
        <v>44413</v>
      </c>
      <c r="C484" s="1" t="n">
        <v>45911</v>
      </c>
      <c r="D484" t="inlineStr">
        <is>
          <t>ÖSTERGÖTLANDS LÄN</t>
        </is>
      </c>
      <c r="E484" t="inlineStr">
        <is>
          <t>LINKÖPING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39224-2021</t>
        </is>
      </c>
      <c r="B485" s="1" t="n">
        <v>44413</v>
      </c>
      <c r="C485" s="1" t="n">
        <v>45911</v>
      </c>
      <c r="D485" t="inlineStr">
        <is>
          <t>ÖSTERGÖTLANDS LÄN</t>
        </is>
      </c>
      <c r="E485" t="inlineStr">
        <is>
          <t>LINKÖPING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20469-2025</t>
        </is>
      </c>
      <c r="B486" s="1" t="n">
        <v>45775</v>
      </c>
      <c r="C486" s="1" t="n">
        <v>45911</v>
      </c>
      <c r="D486" t="inlineStr">
        <is>
          <t>ÖSTERGÖTLANDS LÄN</t>
        </is>
      </c>
      <c r="E486" t="inlineStr">
        <is>
          <t>LINKÖPING</t>
        </is>
      </c>
      <c r="F486" t="inlineStr">
        <is>
          <t>Kyrkan</t>
        </is>
      </c>
      <c r="G486" t="n">
        <v>6.1</v>
      </c>
      <c r="H486" t="n">
        <v>0</v>
      </c>
      <c r="I486" t="n">
        <v>0</v>
      </c>
      <c r="J486" t="n">
        <v>0</v>
      </c>
      <c r="K486" t="n">
        <v>0</v>
      </c>
      <c r="L486" t="n">
        <v>0</v>
      </c>
      <c r="M486" t="n">
        <v>0</v>
      </c>
      <c r="N486" t="n">
        <v>0</v>
      </c>
      <c r="O486" t="n">
        <v>0</v>
      </c>
      <c r="P486" t="n">
        <v>0</v>
      </c>
      <c r="Q486" t="n">
        <v>0</v>
      </c>
      <c r="R486" s="2" t="inlineStr"/>
    </row>
    <row r="487" ht="15" customHeight="1">
      <c r="A487" t="inlineStr">
        <is>
          <t>A 3742-2021</t>
        </is>
      </c>
      <c r="B487" s="1" t="n">
        <v>44221</v>
      </c>
      <c r="C487" s="1" t="n">
        <v>45911</v>
      </c>
      <c r="D487" t="inlineStr">
        <is>
          <t>ÖSTERGÖTLANDS LÄN</t>
        </is>
      </c>
      <c r="E487" t="inlineStr">
        <is>
          <t>LINKÖPING</t>
        </is>
      </c>
      <c r="G487" t="n">
        <v>5.5</v>
      </c>
      <c r="H487" t="n">
        <v>0</v>
      </c>
      <c r="I487" t="n">
        <v>0</v>
      </c>
      <c r="J487" t="n">
        <v>0</v>
      </c>
      <c r="K487" t="n">
        <v>0</v>
      </c>
      <c r="L487" t="n">
        <v>0</v>
      </c>
      <c r="M487" t="n">
        <v>0</v>
      </c>
      <c r="N487" t="n">
        <v>0</v>
      </c>
      <c r="O487" t="n">
        <v>0</v>
      </c>
      <c r="P487" t="n">
        <v>0</v>
      </c>
      <c r="Q487" t="n">
        <v>0</v>
      </c>
      <c r="R487" s="2" t="inlineStr"/>
    </row>
    <row r="488" ht="15" customHeight="1">
      <c r="A488" t="inlineStr">
        <is>
          <t>A 3011-2023</t>
        </is>
      </c>
      <c r="B488" s="1" t="n">
        <v>44945</v>
      </c>
      <c r="C488" s="1" t="n">
        <v>45911</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45442-2024</t>
        </is>
      </c>
      <c r="B489" s="1" t="n">
        <v>45576.64189814815</v>
      </c>
      <c r="C489" s="1" t="n">
        <v>45911</v>
      </c>
      <c r="D489" t="inlineStr">
        <is>
          <t>ÖSTERGÖTLANDS LÄN</t>
        </is>
      </c>
      <c r="E489" t="inlineStr">
        <is>
          <t>LINKÖPING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3432-2023</t>
        </is>
      </c>
      <c r="B490" s="1" t="n">
        <v>44949</v>
      </c>
      <c r="C490" s="1" t="n">
        <v>45911</v>
      </c>
      <c r="D490" t="inlineStr">
        <is>
          <t>ÖSTERGÖTLANDS LÄN</t>
        </is>
      </c>
      <c r="E490" t="inlineStr">
        <is>
          <t>LINKÖPING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1440-2021</t>
        </is>
      </c>
      <c r="B491" s="1" t="n">
        <v>44208</v>
      </c>
      <c r="C491" s="1" t="n">
        <v>45911</v>
      </c>
      <c r="D491" t="inlineStr">
        <is>
          <t>ÖSTERGÖTLANDS LÄN</t>
        </is>
      </c>
      <c r="E491" t="inlineStr">
        <is>
          <t>LINKÖPING</t>
        </is>
      </c>
      <c r="G491" t="n">
        <v>8.4</v>
      </c>
      <c r="H491" t="n">
        <v>0</v>
      </c>
      <c r="I491" t="n">
        <v>0</v>
      </c>
      <c r="J491" t="n">
        <v>0</v>
      </c>
      <c r="K491" t="n">
        <v>0</v>
      </c>
      <c r="L491" t="n">
        <v>0</v>
      </c>
      <c r="M491" t="n">
        <v>0</v>
      </c>
      <c r="N491" t="n">
        <v>0</v>
      </c>
      <c r="O491" t="n">
        <v>0</v>
      </c>
      <c r="P491" t="n">
        <v>0</v>
      </c>
      <c r="Q491" t="n">
        <v>0</v>
      </c>
      <c r="R491" s="2" t="inlineStr"/>
    </row>
    <row r="492" ht="15" customHeight="1">
      <c r="A492" t="inlineStr">
        <is>
          <t>A 60472-2022</t>
        </is>
      </c>
      <c r="B492" s="1" t="n">
        <v>44911.41037037037</v>
      </c>
      <c r="C492" s="1" t="n">
        <v>45911</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43934-2023</t>
        </is>
      </c>
      <c r="B493" s="1" t="n">
        <v>45187</v>
      </c>
      <c r="C493" s="1" t="n">
        <v>45911</v>
      </c>
      <c r="D493" t="inlineStr">
        <is>
          <t>ÖSTERGÖTLANDS LÄN</t>
        </is>
      </c>
      <c r="E493" t="inlineStr">
        <is>
          <t>LINKÖPING</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12720-2022</t>
        </is>
      </c>
      <c r="B494" s="1" t="n">
        <v>44641</v>
      </c>
      <c r="C494" s="1" t="n">
        <v>45911</v>
      </c>
      <c r="D494" t="inlineStr">
        <is>
          <t>ÖSTERGÖTLANDS LÄN</t>
        </is>
      </c>
      <c r="E494" t="inlineStr">
        <is>
          <t>LINKÖPING</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39438-2025</t>
        </is>
      </c>
      <c r="B495" s="1" t="n">
        <v>45889.68641203704</v>
      </c>
      <c r="C495" s="1" t="n">
        <v>45911</v>
      </c>
      <c r="D495" t="inlineStr">
        <is>
          <t>ÖSTERGÖTLANDS LÄN</t>
        </is>
      </c>
      <c r="E495" t="inlineStr">
        <is>
          <t>LINKÖPING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44739-2020</t>
        </is>
      </c>
      <c r="B496" s="1" t="n">
        <v>44085</v>
      </c>
      <c r="C496" s="1" t="n">
        <v>45911</v>
      </c>
      <c r="D496" t="inlineStr">
        <is>
          <t>ÖSTERGÖTLANDS LÄN</t>
        </is>
      </c>
      <c r="E496" t="inlineStr">
        <is>
          <t>LINKÖPING</t>
        </is>
      </c>
      <c r="G496" t="n">
        <v>5</v>
      </c>
      <c r="H496" t="n">
        <v>0</v>
      </c>
      <c r="I496" t="n">
        <v>0</v>
      </c>
      <c r="J496" t="n">
        <v>0</v>
      </c>
      <c r="K496" t="n">
        <v>0</v>
      </c>
      <c r="L496" t="n">
        <v>0</v>
      </c>
      <c r="M496" t="n">
        <v>0</v>
      </c>
      <c r="N496" t="n">
        <v>0</v>
      </c>
      <c r="O496" t="n">
        <v>0</v>
      </c>
      <c r="P496" t="n">
        <v>0</v>
      </c>
      <c r="Q496" t="n">
        <v>0</v>
      </c>
      <c r="R496" s="2" t="inlineStr"/>
    </row>
    <row r="497" ht="15" customHeight="1">
      <c r="A497" t="inlineStr">
        <is>
          <t>A 47364-2020</t>
        </is>
      </c>
      <c r="B497" s="1" t="n">
        <v>44097</v>
      </c>
      <c r="C497" s="1" t="n">
        <v>45911</v>
      </c>
      <c r="D497" t="inlineStr">
        <is>
          <t>ÖSTERGÖTLANDS LÄN</t>
        </is>
      </c>
      <c r="E497" t="inlineStr">
        <is>
          <t>LINKÖPING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33800-2023</t>
        </is>
      </c>
      <c r="B498" s="1" t="n">
        <v>45121</v>
      </c>
      <c r="C498" s="1" t="n">
        <v>45911</v>
      </c>
      <c r="D498" t="inlineStr">
        <is>
          <t>ÖSTERGÖTLANDS LÄN</t>
        </is>
      </c>
      <c r="E498" t="inlineStr">
        <is>
          <t>LINKÖPING</t>
        </is>
      </c>
      <c r="G498" t="n">
        <v>1.3</v>
      </c>
      <c r="H498" t="n">
        <v>0</v>
      </c>
      <c r="I498" t="n">
        <v>0</v>
      </c>
      <c r="J498" t="n">
        <v>0</v>
      </c>
      <c r="K498" t="n">
        <v>0</v>
      </c>
      <c r="L498" t="n">
        <v>0</v>
      </c>
      <c r="M498" t="n">
        <v>0</v>
      </c>
      <c r="N498" t="n">
        <v>0</v>
      </c>
      <c r="O498" t="n">
        <v>0</v>
      </c>
      <c r="P498" t="n">
        <v>0</v>
      </c>
      <c r="Q498" t="n">
        <v>0</v>
      </c>
      <c r="R498" s="2" t="inlineStr"/>
    </row>
    <row r="499" ht="15" customHeight="1">
      <c r="A499" t="inlineStr">
        <is>
          <t>A 47991-2023</t>
        </is>
      </c>
      <c r="B499" s="1" t="n">
        <v>45204.62655092592</v>
      </c>
      <c r="C499" s="1" t="n">
        <v>45911</v>
      </c>
      <c r="D499" t="inlineStr">
        <is>
          <t>ÖSTERGÖTLANDS LÄN</t>
        </is>
      </c>
      <c r="E499" t="inlineStr">
        <is>
          <t>LINKÖPING</t>
        </is>
      </c>
      <c r="F499" t="inlineStr">
        <is>
          <t>Allmännings- och besparingsskogar</t>
        </is>
      </c>
      <c r="G499" t="n">
        <v>7.3</v>
      </c>
      <c r="H499" t="n">
        <v>0</v>
      </c>
      <c r="I499" t="n">
        <v>0</v>
      </c>
      <c r="J499" t="n">
        <v>0</v>
      </c>
      <c r="K499" t="n">
        <v>0</v>
      </c>
      <c r="L499" t="n">
        <v>0</v>
      </c>
      <c r="M499" t="n">
        <v>0</v>
      </c>
      <c r="N499" t="n">
        <v>0</v>
      </c>
      <c r="O499" t="n">
        <v>0</v>
      </c>
      <c r="P499" t="n">
        <v>0</v>
      </c>
      <c r="Q499" t="n">
        <v>0</v>
      </c>
      <c r="R499" s="2" t="inlineStr"/>
    </row>
    <row r="500" ht="15" customHeight="1">
      <c r="A500" t="inlineStr">
        <is>
          <t>A 40169-2025</t>
        </is>
      </c>
      <c r="B500" s="1" t="n">
        <v>45894.62824074074</v>
      </c>
      <c r="C500" s="1" t="n">
        <v>45911</v>
      </c>
      <c r="D500" t="inlineStr">
        <is>
          <t>ÖSTERGÖTLANDS LÄN</t>
        </is>
      </c>
      <c r="E500" t="inlineStr">
        <is>
          <t>LINKÖPING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45831-2024</t>
        </is>
      </c>
      <c r="B501" s="1" t="n">
        <v>45579.90508101852</v>
      </c>
      <c r="C501" s="1" t="n">
        <v>45911</v>
      </c>
      <c r="D501" t="inlineStr">
        <is>
          <t>ÖSTERGÖTLANDS LÄN</t>
        </is>
      </c>
      <c r="E501" t="inlineStr">
        <is>
          <t>LINKÖPING</t>
        </is>
      </c>
      <c r="G501" t="n">
        <v>1.9</v>
      </c>
      <c r="H501" t="n">
        <v>0</v>
      </c>
      <c r="I501" t="n">
        <v>0</v>
      </c>
      <c r="J501" t="n">
        <v>0</v>
      </c>
      <c r="K501" t="n">
        <v>0</v>
      </c>
      <c r="L501" t="n">
        <v>0</v>
      </c>
      <c r="M501" t="n">
        <v>0</v>
      </c>
      <c r="N501" t="n">
        <v>0</v>
      </c>
      <c r="O501" t="n">
        <v>0</v>
      </c>
      <c r="P501" t="n">
        <v>0</v>
      </c>
      <c r="Q501" t="n">
        <v>0</v>
      </c>
      <c r="R501" s="2" t="inlineStr"/>
    </row>
    <row r="502" ht="15" customHeight="1">
      <c r="A502" t="inlineStr">
        <is>
          <t>A 57396-2021</t>
        </is>
      </c>
      <c r="B502" s="1" t="n">
        <v>44483.56151620371</v>
      </c>
      <c r="C502" s="1" t="n">
        <v>45911</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22842-2023</t>
        </is>
      </c>
      <c r="B503" s="1" t="n">
        <v>45071</v>
      </c>
      <c r="C503" s="1" t="n">
        <v>45911</v>
      </c>
      <c r="D503" t="inlineStr">
        <is>
          <t>ÖSTERGÖTLANDS LÄN</t>
        </is>
      </c>
      <c r="E503" t="inlineStr">
        <is>
          <t>LINKÖPING</t>
        </is>
      </c>
      <c r="F503" t="inlineStr">
        <is>
          <t>Kommuner</t>
        </is>
      </c>
      <c r="G503" t="n">
        <v>1.3</v>
      </c>
      <c r="H503" t="n">
        <v>0</v>
      </c>
      <c r="I503" t="n">
        <v>0</v>
      </c>
      <c r="J503" t="n">
        <v>0</v>
      </c>
      <c r="K503" t="n">
        <v>0</v>
      </c>
      <c r="L503" t="n">
        <v>0</v>
      </c>
      <c r="M503" t="n">
        <v>0</v>
      </c>
      <c r="N503" t="n">
        <v>0</v>
      </c>
      <c r="O503" t="n">
        <v>0</v>
      </c>
      <c r="P503" t="n">
        <v>0</v>
      </c>
      <c r="Q503" t="n">
        <v>0</v>
      </c>
      <c r="R503" s="2" t="inlineStr"/>
    </row>
    <row r="504" ht="15" customHeight="1">
      <c r="A504" t="inlineStr">
        <is>
          <t>A 50386-2021</t>
        </is>
      </c>
      <c r="B504" s="1" t="n">
        <v>44459</v>
      </c>
      <c r="C504" s="1" t="n">
        <v>45911</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35781-2023</t>
        </is>
      </c>
      <c r="B505" s="1" t="n">
        <v>45147</v>
      </c>
      <c r="C505" s="1" t="n">
        <v>45911</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22770-2024</t>
        </is>
      </c>
      <c r="B506" s="1" t="n">
        <v>45448.4634375</v>
      </c>
      <c r="C506" s="1" t="n">
        <v>45911</v>
      </c>
      <c r="D506" t="inlineStr">
        <is>
          <t>ÖSTERGÖTLANDS LÄN</t>
        </is>
      </c>
      <c r="E506" t="inlineStr">
        <is>
          <t>LINKÖPING</t>
        </is>
      </c>
      <c r="F506" t="inlineStr">
        <is>
          <t>Sveaskog</t>
        </is>
      </c>
      <c r="G506" t="n">
        <v>3.4</v>
      </c>
      <c r="H506" t="n">
        <v>0</v>
      </c>
      <c r="I506" t="n">
        <v>0</v>
      </c>
      <c r="J506" t="n">
        <v>0</v>
      </c>
      <c r="K506" t="n">
        <v>0</v>
      </c>
      <c r="L506" t="n">
        <v>0</v>
      </c>
      <c r="M506" t="n">
        <v>0</v>
      </c>
      <c r="N506" t="n">
        <v>0</v>
      </c>
      <c r="O506" t="n">
        <v>0</v>
      </c>
      <c r="P506" t="n">
        <v>0</v>
      </c>
      <c r="Q506" t="n">
        <v>0</v>
      </c>
      <c r="R506" s="2" t="inlineStr"/>
    </row>
    <row r="507" ht="15" customHeight="1">
      <c r="A507" t="inlineStr">
        <is>
          <t>A 7354-2025</t>
        </is>
      </c>
      <c r="B507" s="1" t="n">
        <v>45704.41174768518</v>
      </c>
      <c r="C507" s="1" t="n">
        <v>45911</v>
      </c>
      <c r="D507" t="inlineStr">
        <is>
          <t>ÖSTERGÖTLANDS LÄN</t>
        </is>
      </c>
      <c r="E507" t="inlineStr">
        <is>
          <t>LINKÖPING</t>
        </is>
      </c>
      <c r="G507" t="n">
        <v>4.8</v>
      </c>
      <c r="H507" t="n">
        <v>0</v>
      </c>
      <c r="I507" t="n">
        <v>0</v>
      </c>
      <c r="J507" t="n">
        <v>0</v>
      </c>
      <c r="K507" t="n">
        <v>0</v>
      </c>
      <c r="L507" t="n">
        <v>0</v>
      </c>
      <c r="M507" t="n">
        <v>0</v>
      </c>
      <c r="N507" t="n">
        <v>0</v>
      </c>
      <c r="O507" t="n">
        <v>0</v>
      </c>
      <c r="P507" t="n">
        <v>0</v>
      </c>
      <c r="Q507" t="n">
        <v>0</v>
      </c>
      <c r="R507" s="2" t="inlineStr"/>
    </row>
    <row r="508" ht="15" customHeight="1">
      <c r="A508" t="inlineStr">
        <is>
          <t>A 11671-2023</t>
        </is>
      </c>
      <c r="B508" s="1" t="n">
        <v>44994.48125</v>
      </c>
      <c r="C508" s="1" t="n">
        <v>45911</v>
      </c>
      <c r="D508" t="inlineStr">
        <is>
          <t>ÖSTERGÖTLANDS LÄN</t>
        </is>
      </c>
      <c r="E508" t="inlineStr">
        <is>
          <t>LINKÖPING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63935-2021</t>
        </is>
      </c>
      <c r="B509" s="1" t="n">
        <v>44509</v>
      </c>
      <c r="C509" s="1" t="n">
        <v>45911</v>
      </c>
      <c r="D509" t="inlineStr">
        <is>
          <t>ÖSTERGÖTLANDS LÄN</t>
        </is>
      </c>
      <c r="E509" t="inlineStr">
        <is>
          <t>LINKÖPING</t>
        </is>
      </c>
      <c r="F509" t="inlineStr">
        <is>
          <t>Övriga statliga verk och myndigheter</t>
        </is>
      </c>
      <c r="G509" t="n">
        <v>2.8</v>
      </c>
      <c r="H509" t="n">
        <v>0</v>
      </c>
      <c r="I509" t="n">
        <v>0</v>
      </c>
      <c r="J509" t="n">
        <v>0</v>
      </c>
      <c r="K509" t="n">
        <v>0</v>
      </c>
      <c r="L509" t="n">
        <v>0</v>
      </c>
      <c r="M509" t="n">
        <v>0</v>
      </c>
      <c r="N509" t="n">
        <v>0</v>
      </c>
      <c r="O509" t="n">
        <v>0</v>
      </c>
      <c r="P509" t="n">
        <v>0</v>
      </c>
      <c r="Q509" t="n">
        <v>0</v>
      </c>
      <c r="R509" s="2" t="inlineStr"/>
    </row>
    <row r="510" ht="15" customHeight="1">
      <c r="A510" t="inlineStr">
        <is>
          <t>A 35178-2025</t>
        </is>
      </c>
      <c r="B510" s="1" t="n">
        <v>45852.91939814815</v>
      </c>
      <c r="C510" s="1" t="n">
        <v>45911</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54425-2022</t>
        </is>
      </c>
      <c r="B511" s="1" t="n">
        <v>44882.57453703704</v>
      </c>
      <c r="C511" s="1" t="n">
        <v>45911</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35174-2025</t>
        </is>
      </c>
      <c r="B512" s="1" t="n">
        <v>45852.90648148148</v>
      </c>
      <c r="C512" s="1" t="n">
        <v>45911</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26007-2025</t>
        </is>
      </c>
      <c r="B513" s="1" t="n">
        <v>45804.67081018518</v>
      </c>
      <c r="C513" s="1" t="n">
        <v>45911</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40810-2022</t>
        </is>
      </c>
      <c r="B514" s="1" t="n">
        <v>44824</v>
      </c>
      <c r="C514" s="1" t="n">
        <v>45911</v>
      </c>
      <c r="D514" t="inlineStr">
        <is>
          <t>ÖSTERGÖTLANDS LÄN</t>
        </is>
      </c>
      <c r="E514" t="inlineStr">
        <is>
          <t>LINKÖPING</t>
        </is>
      </c>
      <c r="G514" t="n">
        <v>2.8</v>
      </c>
      <c r="H514" t="n">
        <v>0</v>
      </c>
      <c r="I514" t="n">
        <v>0</v>
      </c>
      <c r="J514" t="n">
        <v>0</v>
      </c>
      <c r="K514" t="n">
        <v>0</v>
      </c>
      <c r="L514" t="n">
        <v>0</v>
      </c>
      <c r="M514" t="n">
        <v>0</v>
      </c>
      <c r="N514" t="n">
        <v>0</v>
      </c>
      <c r="O514" t="n">
        <v>0</v>
      </c>
      <c r="P514" t="n">
        <v>0</v>
      </c>
      <c r="Q514" t="n">
        <v>0</v>
      </c>
      <c r="R514" s="2" t="inlineStr"/>
    </row>
    <row r="515" ht="15" customHeight="1">
      <c r="A515" t="inlineStr">
        <is>
          <t>A 35179-2025</t>
        </is>
      </c>
      <c r="B515" s="1" t="n">
        <v>45852.93737268518</v>
      </c>
      <c r="C515" s="1" t="n">
        <v>45911</v>
      </c>
      <c r="D515" t="inlineStr">
        <is>
          <t>ÖSTERGÖTLANDS LÄN</t>
        </is>
      </c>
      <c r="E515" t="inlineStr">
        <is>
          <t>LINKÖPING</t>
        </is>
      </c>
      <c r="G515" t="n">
        <v>2.2</v>
      </c>
      <c r="H515" t="n">
        <v>0</v>
      </c>
      <c r="I515" t="n">
        <v>0</v>
      </c>
      <c r="J515" t="n">
        <v>0</v>
      </c>
      <c r="K515" t="n">
        <v>0</v>
      </c>
      <c r="L515" t="n">
        <v>0</v>
      </c>
      <c r="M515" t="n">
        <v>0</v>
      </c>
      <c r="N515" t="n">
        <v>0</v>
      </c>
      <c r="O515" t="n">
        <v>0</v>
      </c>
      <c r="P515" t="n">
        <v>0</v>
      </c>
      <c r="Q515" t="n">
        <v>0</v>
      </c>
      <c r="R515" s="2" t="inlineStr"/>
    </row>
    <row r="516" ht="15" customHeight="1">
      <c r="A516" t="inlineStr">
        <is>
          <t>A 35180-2025</t>
        </is>
      </c>
      <c r="B516" s="1" t="n">
        <v>45852.9413425926</v>
      </c>
      <c r="C516" s="1" t="n">
        <v>45911</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4927-2021</t>
        </is>
      </c>
      <c r="B517" s="1" t="n">
        <v>44227.57215277778</v>
      </c>
      <c r="C517" s="1" t="n">
        <v>45911</v>
      </c>
      <c r="D517" t="inlineStr">
        <is>
          <t>ÖSTERGÖTLANDS LÄN</t>
        </is>
      </c>
      <c r="E517" t="inlineStr">
        <is>
          <t>LINKÖPING</t>
        </is>
      </c>
      <c r="G517" t="n">
        <v>0.3</v>
      </c>
      <c r="H517" t="n">
        <v>0</v>
      </c>
      <c r="I517" t="n">
        <v>0</v>
      </c>
      <c r="J517" t="n">
        <v>0</v>
      </c>
      <c r="K517" t="n">
        <v>0</v>
      </c>
      <c r="L517" t="n">
        <v>0</v>
      </c>
      <c r="M517" t="n">
        <v>0</v>
      </c>
      <c r="N517" t="n">
        <v>0</v>
      </c>
      <c r="O517" t="n">
        <v>0</v>
      </c>
      <c r="P517" t="n">
        <v>0</v>
      </c>
      <c r="Q517" t="n">
        <v>0</v>
      </c>
      <c r="R517" s="2" t="inlineStr"/>
    </row>
    <row r="518" ht="15" customHeight="1">
      <c r="A518" t="inlineStr">
        <is>
          <t>A 30547-2023</t>
        </is>
      </c>
      <c r="B518" s="1" t="n">
        <v>45111.75905092592</v>
      </c>
      <c r="C518" s="1" t="n">
        <v>45911</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24904-2024</t>
        </is>
      </c>
      <c r="B519" s="1" t="n">
        <v>45461</v>
      </c>
      <c r="C519" s="1" t="n">
        <v>45911</v>
      </c>
      <c r="D519" t="inlineStr">
        <is>
          <t>ÖSTERGÖTLANDS LÄN</t>
        </is>
      </c>
      <c r="E519" t="inlineStr">
        <is>
          <t>LINKÖPING</t>
        </is>
      </c>
      <c r="G519" t="n">
        <v>3.8</v>
      </c>
      <c r="H519" t="n">
        <v>0</v>
      </c>
      <c r="I519" t="n">
        <v>0</v>
      </c>
      <c r="J519" t="n">
        <v>0</v>
      </c>
      <c r="K519" t="n">
        <v>0</v>
      </c>
      <c r="L519" t="n">
        <v>0</v>
      </c>
      <c r="M519" t="n">
        <v>0</v>
      </c>
      <c r="N519" t="n">
        <v>0</v>
      </c>
      <c r="O519" t="n">
        <v>0</v>
      </c>
      <c r="P519" t="n">
        <v>0</v>
      </c>
      <c r="Q519" t="n">
        <v>0</v>
      </c>
      <c r="R519" s="2" t="inlineStr"/>
    </row>
    <row r="520" ht="15" customHeight="1">
      <c r="A520" t="inlineStr">
        <is>
          <t>A 26788-2022</t>
        </is>
      </c>
      <c r="B520" s="1" t="n">
        <v>44740</v>
      </c>
      <c r="C520" s="1" t="n">
        <v>45911</v>
      </c>
      <c r="D520" t="inlineStr">
        <is>
          <t>ÖSTERGÖTLANDS LÄN</t>
        </is>
      </c>
      <c r="E520" t="inlineStr">
        <is>
          <t>LINKÖPING</t>
        </is>
      </c>
      <c r="G520" t="n">
        <v>3.2</v>
      </c>
      <c r="H520" t="n">
        <v>0</v>
      </c>
      <c r="I520" t="n">
        <v>0</v>
      </c>
      <c r="J520" t="n">
        <v>0</v>
      </c>
      <c r="K520" t="n">
        <v>0</v>
      </c>
      <c r="L520" t="n">
        <v>0</v>
      </c>
      <c r="M520" t="n">
        <v>0</v>
      </c>
      <c r="N520" t="n">
        <v>0</v>
      </c>
      <c r="O520" t="n">
        <v>0</v>
      </c>
      <c r="P520" t="n">
        <v>0</v>
      </c>
      <c r="Q520" t="n">
        <v>0</v>
      </c>
      <c r="R520" s="2" t="inlineStr"/>
    </row>
    <row r="521" ht="15" customHeight="1">
      <c r="A521" t="inlineStr">
        <is>
          <t>A 15121-2022</t>
        </is>
      </c>
      <c r="B521" s="1" t="n">
        <v>44658</v>
      </c>
      <c r="C521" s="1" t="n">
        <v>45911</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51919-2024</t>
        </is>
      </c>
      <c r="B522" s="1" t="n">
        <v>45607.60791666667</v>
      </c>
      <c r="C522" s="1" t="n">
        <v>45911</v>
      </c>
      <c r="D522" t="inlineStr">
        <is>
          <t>ÖSTERGÖTLANDS LÄN</t>
        </is>
      </c>
      <c r="E522" t="inlineStr">
        <is>
          <t>LINKÖPING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20298-2025</t>
        </is>
      </c>
      <c r="B523" s="1" t="n">
        <v>45774.75024305555</v>
      </c>
      <c r="C523" s="1" t="n">
        <v>45911</v>
      </c>
      <c r="D523" t="inlineStr">
        <is>
          <t>ÖSTERGÖTLANDS LÄN</t>
        </is>
      </c>
      <c r="E523" t="inlineStr">
        <is>
          <t>LINKÖPING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55009-2023</t>
        </is>
      </c>
      <c r="B524" s="1" t="n">
        <v>45237</v>
      </c>
      <c r="C524" s="1" t="n">
        <v>45911</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20291-2025</t>
        </is>
      </c>
      <c r="B525" s="1" t="n">
        <v>45774.74288194445</v>
      </c>
      <c r="C525" s="1" t="n">
        <v>45911</v>
      </c>
      <c r="D525" t="inlineStr">
        <is>
          <t>ÖSTERGÖTLANDS LÄN</t>
        </is>
      </c>
      <c r="E525" t="inlineStr">
        <is>
          <t>LINKÖPING</t>
        </is>
      </c>
      <c r="G525" t="n">
        <v>2.3</v>
      </c>
      <c r="H525" t="n">
        <v>0</v>
      </c>
      <c r="I525" t="n">
        <v>0</v>
      </c>
      <c r="J525" t="n">
        <v>0</v>
      </c>
      <c r="K525" t="n">
        <v>0</v>
      </c>
      <c r="L525" t="n">
        <v>0</v>
      </c>
      <c r="M525" t="n">
        <v>0</v>
      </c>
      <c r="N525" t="n">
        <v>0</v>
      </c>
      <c r="O525" t="n">
        <v>0</v>
      </c>
      <c r="P525" t="n">
        <v>0</v>
      </c>
      <c r="Q525" t="n">
        <v>0</v>
      </c>
      <c r="R525" s="2" t="inlineStr"/>
    </row>
    <row r="526" ht="15" customHeight="1">
      <c r="A526" t="inlineStr">
        <is>
          <t>A 20293-2025</t>
        </is>
      </c>
      <c r="B526" s="1" t="n">
        <v>45774.74611111111</v>
      </c>
      <c r="C526" s="1" t="n">
        <v>45911</v>
      </c>
      <c r="D526" t="inlineStr">
        <is>
          <t>ÖSTERGÖTLANDS LÄN</t>
        </is>
      </c>
      <c r="E526" t="inlineStr">
        <is>
          <t>LINKÖPING</t>
        </is>
      </c>
      <c r="G526" t="n">
        <v>1.8</v>
      </c>
      <c r="H526" t="n">
        <v>0</v>
      </c>
      <c r="I526" t="n">
        <v>0</v>
      </c>
      <c r="J526" t="n">
        <v>0</v>
      </c>
      <c r="K526" t="n">
        <v>0</v>
      </c>
      <c r="L526" t="n">
        <v>0</v>
      </c>
      <c r="M526" t="n">
        <v>0</v>
      </c>
      <c r="N526" t="n">
        <v>0</v>
      </c>
      <c r="O526" t="n">
        <v>0</v>
      </c>
      <c r="P526" t="n">
        <v>0</v>
      </c>
      <c r="Q526" t="n">
        <v>0</v>
      </c>
      <c r="R526" s="2" t="inlineStr"/>
    </row>
    <row r="527" ht="15" customHeight="1">
      <c r="A527" t="inlineStr">
        <is>
          <t>A 660-2023</t>
        </is>
      </c>
      <c r="B527" s="1" t="n">
        <v>44930</v>
      </c>
      <c r="C527" s="1" t="n">
        <v>45911</v>
      </c>
      <c r="D527" t="inlineStr">
        <is>
          <t>ÖSTERGÖTLANDS LÄN</t>
        </is>
      </c>
      <c r="E527" t="inlineStr">
        <is>
          <t>LINKÖPING</t>
        </is>
      </c>
      <c r="F527" t="inlineStr">
        <is>
          <t>Kyrkan</t>
        </is>
      </c>
      <c r="G527" t="n">
        <v>1.6</v>
      </c>
      <c r="H527" t="n">
        <v>0</v>
      </c>
      <c r="I527" t="n">
        <v>0</v>
      </c>
      <c r="J527" t="n">
        <v>0</v>
      </c>
      <c r="K527" t="n">
        <v>0</v>
      </c>
      <c r="L527" t="n">
        <v>0</v>
      </c>
      <c r="M527" t="n">
        <v>0</v>
      </c>
      <c r="N527" t="n">
        <v>0</v>
      </c>
      <c r="O527" t="n">
        <v>0</v>
      </c>
      <c r="P527" t="n">
        <v>0</v>
      </c>
      <c r="Q527" t="n">
        <v>0</v>
      </c>
      <c r="R527" s="2" t="inlineStr"/>
    </row>
    <row r="528" ht="15" customHeight="1">
      <c r="A528" t="inlineStr">
        <is>
          <t>A 14576-2023</t>
        </is>
      </c>
      <c r="B528" s="1" t="n">
        <v>45013</v>
      </c>
      <c r="C528" s="1" t="n">
        <v>45911</v>
      </c>
      <c r="D528" t="inlineStr">
        <is>
          <t>ÖSTERGÖTLANDS LÄN</t>
        </is>
      </c>
      <c r="E528" t="inlineStr">
        <is>
          <t>LINKÖPING</t>
        </is>
      </c>
      <c r="G528" t="n">
        <v>3.2</v>
      </c>
      <c r="H528" t="n">
        <v>0</v>
      </c>
      <c r="I528" t="n">
        <v>0</v>
      </c>
      <c r="J528" t="n">
        <v>0</v>
      </c>
      <c r="K528" t="n">
        <v>0</v>
      </c>
      <c r="L528" t="n">
        <v>0</v>
      </c>
      <c r="M528" t="n">
        <v>0</v>
      </c>
      <c r="N528" t="n">
        <v>0</v>
      </c>
      <c r="O528" t="n">
        <v>0</v>
      </c>
      <c r="P528" t="n">
        <v>0</v>
      </c>
      <c r="Q528" t="n">
        <v>0</v>
      </c>
      <c r="R528" s="2" t="inlineStr"/>
    </row>
    <row r="529" ht="15" customHeight="1">
      <c r="A529" t="inlineStr">
        <is>
          <t>A 64694-2023</t>
        </is>
      </c>
      <c r="B529" s="1" t="n">
        <v>45281</v>
      </c>
      <c r="C529" s="1" t="n">
        <v>45911</v>
      </c>
      <c r="D529" t="inlineStr">
        <is>
          <t>ÖSTERGÖTLANDS LÄN</t>
        </is>
      </c>
      <c r="E529" t="inlineStr">
        <is>
          <t>LINKÖPING</t>
        </is>
      </c>
      <c r="F529" t="inlineStr">
        <is>
          <t>Övriga statliga verk och myndigheter</t>
        </is>
      </c>
      <c r="G529" t="n">
        <v>4.9</v>
      </c>
      <c r="H529" t="n">
        <v>0</v>
      </c>
      <c r="I529" t="n">
        <v>0</v>
      </c>
      <c r="J529" t="n">
        <v>0</v>
      </c>
      <c r="K529" t="n">
        <v>0</v>
      </c>
      <c r="L529" t="n">
        <v>0</v>
      </c>
      <c r="M529" t="n">
        <v>0</v>
      </c>
      <c r="N529" t="n">
        <v>0</v>
      </c>
      <c r="O529" t="n">
        <v>0</v>
      </c>
      <c r="P529" t="n">
        <v>0</v>
      </c>
      <c r="Q529" t="n">
        <v>0</v>
      </c>
      <c r="R529" s="2" t="inlineStr"/>
    </row>
    <row r="530" ht="15" customHeight="1">
      <c r="A530" t="inlineStr">
        <is>
          <t>A 12089-2025</t>
        </is>
      </c>
      <c r="B530" s="1" t="n">
        <v>45729</v>
      </c>
      <c r="C530" s="1" t="n">
        <v>45911</v>
      </c>
      <c r="D530" t="inlineStr">
        <is>
          <t>ÖSTERGÖTLANDS LÄN</t>
        </is>
      </c>
      <c r="E530" t="inlineStr">
        <is>
          <t>LINKÖPING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29293-2025</t>
        </is>
      </c>
      <c r="B531" s="1" t="n">
        <v>45824</v>
      </c>
      <c r="C531" s="1" t="n">
        <v>45911</v>
      </c>
      <c r="D531" t="inlineStr">
        <is>
          <t>ÖSTERGÖTLANDS LÄN</t>
        </is>
      </c>
      <c r="E531" t="inlineStr">
        <is>
          <t>LINKÖPING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63487-2023</t>
        </is>
      </c>
      <c r="B532" s="1" t="n">
        <v>45274.66712962963</v>
      </c>
      <c r="C532" s="1" t="n">
        <v>45911</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15307-2025</t>
        </is>
      </c>
      <c r="B533" s="1" t="n">
        <v>45746.70038194444</v>
      </c>
      <c r="C533" s="1" t="n">
        <v>45911</v>
      </c>
      <c r="D533" t="inlineStr">
        <is>
          <t>ÖSTERGÖTLANDS LÄN</t>
        </is>
      </c>
      <c r="E533" t="inlineStr">
        <is>
          <t>LINKÖPING</t>
        </is>
      </c>
      <c r="G533" t="n">
        <v>3.3</v>
      </c>
      <c r="H533" t="n">
        <v>0</v>
      </c>
      <c r="I533" t="n">
        <v>0</v>
      </c>
      <c r="J533" t="n">
        <v>0</v>
      </c>
      <c r="K533" t="n">
        <v>0</v>
      </c>
      <c r="L533" t="n">
        <v>0</v>
      </c>
      <c r="M533" t="n">
        <v>0</v>
      </c>
      <c r="N533" t="n">
        <v>0</v>
      </c>
      <c r="O533" t="n">
        <v>0</v>
      </c>
      <c r="P533" t="n">
        <v>0</v>
      </c>
      <c r="Q533" t="n">
        <v>0</v>
      </c>
      <c r="R533" s="2" t="inlineStr"/>
    </row>
    <row r="534" ht="15" customHeight="1">
      <c r="A534" t="inlineStr">
        <is>
          <t>A 59954-2020</t>
        </is>
      </c>
      <c r="B534" s="1" t="n">
        <v>44151</v>
      </c>
      <c r="C534" s="1" t="n">
        <v>45911</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59969-2020</t>
        </is>
      </c>
      <c r="B535" s="1" t="n">
        <v>44151</v>
      </c>
      <c r="C535" s="1" t="n">
        <v>45911</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35747-2025</t>
        </is>
      </c>
      <c r="B536" s="1" t="n">
        <v>45860.56385416666</v>
      </c>
      <c r="C536" s="1" t="n">
        <v>45911</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20455-2024</t>
        </is>
      </c>
      <c r="B537" s="1" t="n">
        <v>45435.65314814815</v>
      </c>
      <c r="C537" s="1" t="n">
        <v>45911</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30471-2023</t>
        </is>
      </c>
      <c r="B538" s="1" t="n">
        <v>45111.58931712963</v>
      </c>
      <c r="C538" s="1" t="n">
        <v>45911</v>
      </c>
      <c r="D538" t="inlineStr">
        <is>
          <t>ÖSTERGÖTLANDS LÄN</t>
        </is>
      </c>
      <c r="E538" t="inlineStr">
        <is>
          <t>LINKÖPING</t>
        </is>
      </c>
      <c r="G538" t="n">
        <v>2.9</v>
      </c>
      <c r="H538" t="n">
        <v>0</v>
      </c>
      <c r="I538" t="n">
        <v>0</v>
      </c>
      <c r="J538" t="n">
        <v>0</v>
      </c>
      <c r="K538" t="n">
        <v>0</v>
      </c>
      <c r="L538" t="n">
        <v>0</v>
      </c>
      <c r="M538" t="n">
        <v>0</v>
      </c>
      <c r="N538" t="n">
        <v>0</v>
      </c>
      <c r="O538" t="n">
        <v>0</v>
      </c>
      <c r="P538" t="n">
        <v>0</v>
      </c>
      <c r="Q538" t="n">
        <v>0</v>
      </c>
      <c r="R538" s="2" t="inlineStr"/>
    </row>
    <row r="539" ht="15" customHeight="1">
      <c r="A539" t="inlineStr">
        <is>
          <t>A 41511-2025</t>
        </is>
      </c>
      <c r="B539" s="1" t="n">
        <v>45901.53839120371</v>
      </c>
      <c r="C539" s="1" t="n">
        <v>45911</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35745-2025</t>
        </is>
      </c>
      <c r="B540" s="1" t="n">
        <v>45860.54739583333</v>
      </c>
      <c r="C540" s="1" t="n">
        <v>45911</v>
      </c>
      <c r="D540" t="inlineStr">
        <is>
          <t>ÖSTERGÖTLANDS LÄN</t>
        </is>
      </c>
      <c r="E540" t="inlineStr">
        <is>
          <t>LINKÖPING</t>
        </is>
      </c>
      <c r="G540" t="n">
        <v>4.4</v>
      </c>
      <c r="H540" t="n">
        <v>0</v>
      </c>
      <c r="I540" t="n">
        <v>0</v>
      </c>
      <c r="J540" t="n">
        <v>0</v>
      </c>
      <c r="K540" t="n">
        <v>0</v>
      </c>
      <c r="L540" t="n">
        <v>0</v>
      </c>
      <c r="M540" t="n">
        <v>0</v>
      </c>
      <c r="N540" t="n">
        <v>0</v>
      </c>
      <c r="O540" t="n">
        <v>0</v>
      </c>
      <c r="P540" t="n">
        <v>0</v>
      </c>
      <c r="Q540" t="n">
        <v>0</v>
      </c>
      <c r="R540" s="2" t="inlineStr"/>
    </row>
    <row r="541" ht="15" customHeight="1">
      <c r="A541" t="inlineStr">
        <is>
          <t>A 35757-2025</t>
        </is>
      </c>
      <c r="B541" s="1" t="n">
        <v>45860.59876157407</v>
      </c>
      <c r="C541" s="1" t="n">
        <v>45911</v>
      </c>
      <c r="D541" t="inlineStr">
        <is>
          <t>ÖSTERGÖTLANDS LÄN</t>
        </is>
      </c>
      <c r="E541" t="inlineStr">
        <is>
          <t>LINKÖPING</t>
        </is>
      </c>
      <c r="G541" t="n">
        <v>5.7</v>
      </c>
      <c r="H541" t="n">
        <v>0</v>
      </c>
      <c r="I541" t="n">
        <v>0</v>
      </c>
      <c r="J541" t="n">
        <v>0</v>
      </c>
      <c r="K541" t="n">
        <v>0</v>
      </c>
      <c r="L541" t="n">
        <v>0</v>
      </c>
      <c r="M541" t="n">
        <v>0</v>
      </c>
      <c r="N541" t="n">
        <v>0</v>
      </c>
      <c r="O541" t="n">
        <v>0</v>
      </c>
      <c r="P541" t="n">
        <v>0</v>
      </c>
      <c r="Q541" t="n">
        <v>0</v>
      </c>
      <c r="R541" s="2" t="inlineStr"/>
    </row>
    <row r="542" ht="15" customHeight="1">
      <c r="A542" t="inlineStr">
        <is>
          <t>A 41706-2025</t>
        </is>
      </c>
      <c r="B542" s="1" t="n">
        <v>45902.42209490741</v>
      </c>
      <c r="C542" s="1" t="n">
        <v>45911</v>
      </c>
      <c r="D542" t="inlineStr">
        <is>
          <t>ÖSTERGÖTLANDS LÄN</t>
        </is>
      </c>
      <c r="E542" t="inlineStr">
        <is>
          <t>LINKÖPING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62321-2022</t>
        </is>
      </c>
      <c r="B543" s="1" t="n">
        <v>44916</v>
      </c>
      <c r="C543" s="1" t="n">
        <v>45911</v>
      </c>
      <c r="D543" t="inlineStr">
        <is>
          <t>ÖSTERGÖTLANDS LÄN</t>
        </is>
      </c>
      <c r="E543" t="inlineStr">
        <is>
          <t>LINKÖPING</t>
        </is>
      </c>
      <c r="F543" t="inlineStr">
        <is>
          <t>Kommuner</t>
        </is>
      </c>
      <c r="G543" t="n">
        <v>5.3</v>
      </c>
      <c r="H543" t="n">
        <v>0</v>
      </c>
      <c r="I543" t="n">
        <v>0</v>
      </c>
      <c r="J543" t="n">
        <v>0</v>
      </c>
      <c r="K543" t="n">
        <v>0</v>
      </c>
      <c r="L543" t="n">
        <v>0</v>
      </c>
      <c r="M543" t="n">
        <v>0</v>
      </c>
      <c r="N543" t="n">
        <v>0</v>
      </c>
      <c r="O543" t="n">
        <v>0</v>
      </c>
      <c r="P543" t="n">
        <v>0</v>
      </c>
      <c r="Q543" t="n">
        <v>0</v>
      </c>
      <c r="R543" s="2" t="inlineStr"/>
    </row>
    <row r="544" ht="15" customHeight="1">
      <c r="A544" t="inlineStr">
        <is>
          <t>A 14093-2024</t>
        </is>
      </c>
      <c r="B544" s="1" t="n">
        <v>45392.60278935185</v>
      </c>
      <c r="C544" s="1" t="n">
        <v>45911</v>
      </c>
      <c r="D544" t="inlineStr">
        <is>
          <t>ÖSTERGÖTLANDS LÄN</t>
        </is>
      </c>
      <c r="E544" t="inlineStr">
        <is>
          <t>LINKÖPING</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35759-2025</t>
        </is>
      </c>
      <c r="B545" s="1" t="n">
        <v>45860</v>
      </c>
      <c r="C545" s="1" t="n">
        <v>45911</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43475-2024</t>
        </is>
      </c>
      <c r="B546" s="1" t="n">
        <v>45568</v>
      </c>
      <c r="C546" s="1" t="n">
        <v>45911</v>
      </c>
      <c r="D546" t="inlineStr">
        <is>
          <t>ÖSTERGÖTLANDS LÄN</t>
        </is>
      </c>
      <c r="E546" t="inlineStr">
        <is>
          <t>LINKÖPING</t>
        </is>
      </c>
      <c r="G546" t="n">
        <v>3.2</v>
      </c>
      <c r="H546" t="n">
        <v>0</v>
      </c>
      <c r="I546" t="n">
        <v>0</v>
      </c>
      <c r="J546" t="n">
        <v>0</v>
      </c>
      <c r="K546" t="n">
        <v>0</v>
      </c>
      <c r="L546" t="n">
        <v>0</v>
      </c>
      <c r="M546" t="n">
        <v>0</v>
      </c>
      <c r="N546" t="n">
        <v>0</v>
      </c>
      <c r="O546" t="n">
        <v>0</v>
      </c>
      <c r="P546" t="n">
        <v>0</v>
      </c>
      <c r="Q546" t="n">
        <v>0</v>
      </c>
      <c r="R546" s="2" t="inlineStr"/>
    </row>
    <row r="547" ht="15" customHeight="1">
      <c r="A547" t="inlineStr">
        <is>
          <t>A 49088-2020</t>
        </is>
      </c>
      <c r="B547" s="1" t="n">
        <v>44104</v>
      </c>
      <c r="C547" s="1" t="n">
        <v>45911</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63304-2021</t>
        </is>
      </c>
      <c r="B548" s="1" t="n">
        <v>44508.4396412037</v>
      </c>
      <c r="C548" s="1" t="n">
        <v>45911</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17103-2025</t>
        </is>
      </c>
      <c r="B549" s="1" t="n">
        <v>45755.66143518518</v>
      </c>
      <c r="C549" s="1" t="n">
        <v>45911</v>
      </c>
      <c r="D549" t="inlineStr">
        <is>
          <t>ÖSTERGÖTLANDS LÄN</t>
        </is>
      </c>
      <c r="E549" t="inlineStr">
        <is>
          <t>LINKÖPING</t>
        </is>
      </c>
      <c r="G549" t="n">
        <v>1.9</v>
      </c>
      <c r="H549" t="n">
        <v>0</v>
      </c>
      <c r="I549" t="n">
        <v>0</v>
      </c>
      <c r="J549" t="n">
        <v>0</v>
      </c>
      <c r="K549" t="n">
        <v>0</v>
      </c>
      <c r="L549" t="n">
        <v>0</v>
      </c>
      <c r="M549" t="n">
        <v>0</v>
      </c>
      <c r="N549" t="n">
        <v>0</v>
      </c>
      <c r="O549" t="n">
        <v>0</v>
      </c>
      <c r="P549" t="n">
        <v>0</v>
      </c>
      <c r="Q549" t="n">
        <v>0</v>
      </c>
      <c r="R549" s="2" t="inlineStr"/>
    </row>
    <row r="550" ht="15" customHeight="1">
      <c r="A550" t="inlineStr">
        <is>
          <t>A 30551-2023</t>
        </is>
      </c>
      <c r="B550" s="1" t="n">
        <v>45111</v>
      </c>
      <c r="C550" s="1" t="n">
        <v>45911</v>
      </c>
      <c r="D550" t="inlineStr">
        <is>
          <t>ÖSTERGÖTLANDS LÄN</t>
        </is>
      </c>
      <c r="E550" t="inlineStr">
        <is>
          <t>LINKÖPING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50784-2022</t>
        </is>
      </c>
      <c r="B551" s="1" t="n">
        <v>44862</v>
      </c>
      <c r="C551" s="1" t="n">
        <v>45911</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19362-2023</t>
        </is>
      </c>
      <c r="B552" s="1" t="n">
        <v>45049</v>
      </c>
      <c r="C552" s="1" t="n">
        <v>45911</v>
      </c>
      <c r="D552" t="inlineStr">
        <is>
          <t>ÖSTERGÖTLANDS LÄN</t>
        </is>
      </c>
      <c r="E552" t="inlineStr">
        <is>
          <t>LINKÖPING</t>
        </is>
      </c>
      <c r="G552" t="n">
        <v>0.1</v>
      </c>
      <c r="H552" t="n">
        <v>0</v>
      </c>
      <c r="I552" t="n">
        <v>0</v>
      </c>
      <c r="J552" t="n">
        <v>0</v>
      </c>
      <c r="K552" t="n">
        <v>0</v>
      </c>
      <c r="L552" t="n">
        <v>0</v>
      </c>
      <c r="M552" t="n">
        <v>0</v>
      </c>
      <c r="N552" t="n">
        <v>0</v>
      </c>
      <c r="O552" t="n">
        <v>0</v>
      </c>
      <c r="P552" t="n">
        <v>0</v>
      </c>
      <c r="Q552" t="n">
        <v>0</v>
      </c>
      <c r="R552" s="2" t="inlineStr"/>
    </row>
    <row r="553" ht="15" customHeight="1">
      <c r="A553" t="inlineStr">
        <is>
          <t>A 22043-2023</t>
        </is>
      </c>
      <c r="B553" s="1" t="n">
        <v>45069.39050925926</v>
      </c>
      <c r="C553" s="1" t="n">
        <v>45911</v>
      </c>
      <c r="D553" t="inlineStr">
        <is>
          <t>ÖSTERGÖTLANDS LÄN</t>
        </is>
      </c>
      <c r="E553" t="inlineStr">
        <is>
          <t>LINKÖPING</t>
        </is>
      </c>
      <c r="G553" t="n">
        <v>5.9</v>
      </c>
      <c r="H553" t="n">
        <v>0</v>
      </c>
      <c r="I553" t="n">
        <v>0</v>
      </c>
      <c r="J553" t="n">
        <v>0</v>
      </c>
      <c r="K553" t="n">
        <v>0</v>
      </c>
      <c r="L553" t="n">
        <v>0</v>
      </c>
      <c r="M553" t="n">
        <v>0</v>
      </c>
      <c r="N553" t="n">
        <v>0</v>
      </c>
      <c r="O553" t="n">
        <v>0</v>
      </c>
      <c r="P553" t="n">
        <v>0</v>
      </c>
      <c r="Q553" t="n">
        <v>0</v>
      </c>
      <c r="R553" s="2" t="inlineStr"/>
    </row>
    <row r="554" ht="15" customHeight="1">
      <c r="A554" t="inlineStr">
        <is>
          <t>A 35463-2023</t>
        </is>
      </c>
      <c r="B554" s="1" t="n">
        <v>45146</v>
      </c>
      <c r="C554" s="1" t="n">
        <v>45911</v>
      </c>
      <c r="D554" t="inlineStr">
        <is>
          <t>ÖSTERGÖTLANDS LÄN</t>
        </is>
      </c>
      <c r="E554" t="inlineStr">
        <is>
          <t>LINKÖPING</t>
        </is>
      </c>
      <c r="F554" t="inlineStr">
        <is>
          <t>Övriga Aktiebolag</t>
        </is>
      </c>
      <c r="G554" t="n">
        <v>1.8</v>
      </c>
      <c r="H554" t="n">
        <v>0</v>
      </c>
      <c r="I554" t="n">
        <v>0</v>
      </c>
      <c r="J554" t="n">
        <v>0</v>
      </c>
      <c r="K554" t="n">
        <v>0</v>
      </c>
      <c r="L554" t="n">
        <v>0</v>
      </c>
      <c r="M554" t="n">
        <v>0</v>
      </c>
      <c r="N554" t="n">
        <v>0</v>
      </c>
      <c r="O554" t="n">
        <v>0</v>
      </c>
      <c r="P554" t="n">
        <v>0</v>
      </c>
      <c r="Q554" t="n">
        <v>0</v>
      </c>
      <c r="R554" s="2" t="inlineStr"/>
    </row>
    <row r="555" ht="15" customHeight="1">
      <c r="A555" t="inlineStr">
        <is>
          <t>A 16111-2022</t>
        </is>
      </c>
      <c r="B555" s="1" t="n">
        <v>44665</v>
      </c>
      <c r="C555" s="1" t="n">
        <v>45911</v>
      </c>
      <c r="D555" t="inlineStr">
        <is>
          <t>ÖSTERGÖTLANDS LÄN</t>
        </is>
      </c>
      <c r="E555" t="inlineStr">
        <is>
          <t>LINKÖPING</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49656-2021</t>
        </is>
      </c>
      <c r="B556" s="1" t="n">
        <v>44454</v>
      </c>
      <c r="C556" s="1" t="n">
        <v>45911</v>
      </c>
      <c r="D556" t="inlineStr">
        <is>
          <t>ÖSTERGÖTLANDS LÄN</t>
        </is>
      </c>
      <c r="E556" t="inlineStr">
        <is>
          <t>LINKÖPING</t>
        </is>
      </c>
      <c r="G556" t="n">
        <v>2.3</v>
      </c>
      <c r="H556" t="n">
        <v>0</v>
      </c>
      <c r="I556" t="n">
        <v>0</v>
      </c>
      <c r="J556" t="n">
        <v>0</v>
      </c>
      <c r="K556" t="n">
        <v>0</v>
      </c>
      <c r="L556" t="n">
        <v>0</v>
      </c>
      <c r="M556" t="n">
        <v>0</v>
      </c>
      <c r="N556" t="n">
        <v>0</v>
      </c>
      <c r="O556" t="n">
        <v>0</v>
      </c>
      <c r="P556" t="n">
        <v>0</v>
      </c>
      <c r="Q556" t="n">
        <v>0</v>
      </c>
      <c r="R556" s="2" t="inlineStr"/>
    </row>
    <row r="557" ht="15" customHeight="1">
      <c r="A557" t="inlineStr">
        <is>
          <t>A 31635-2023</t>
        </is>
      </c>
      <c r="B557" s="1" t="n">
        <v>45105</v>
      </c>
      <c r="C557" s="1" t="n">
        <v>45911</v>
      </c>
      <c r="D557" t="inlineStr">
        <is>
          <t>ÖSTERGÖTLANDS LÄN</t>
        </is>
      </c>
      <c r="E557" t="inlineStr">
        <is>
          <t>LINKÖPING</t>
        </is>
      </c>
      <c r="F557" t="inlineStr">
        <is>
          <t>Övriga statliga verk och myndigheter</t>
        </is>
      </c>
      <c r="G557" t="n">
        <v>4.6</v>
      </c>
      <c r="H557" t="n">
        <v>0</v>
      </c>
      <c r="I557" t="n">
        <v>0</v>
      </c>
      <c r="J557" t="n">
        <v>0</v>
      </c>
      <c r="K557" t="n">
        <v>0</v>
      </c>
      <c r="L557" t="n">
        <v>0</v>
      </c>
      <c r="M557" t="n">
        <v>0</v>
      </c>
      <c r="N557" t="n">
        <v>0</v>
      </c>
      <c r="O557" t="n">
        <v>0</v>
      </c>
      <c r="P557" t="n">
        <v>0</v>
      </c>
      <c r="Q557" t="n">
        <v>0</v>
      </c>
      <c r="R557" s="2" t="inlineStr"/>
    </row>
    <row r="558" ht="15" customHeight="1">
      <c r="A558" t="inlineStr">
        <is>
          <t>A 49928-2024</t>
        </is>
      </c>
      <c r="B558" s="1" t="n">
        <v>45597.57811342592</v>
      </c>
      <c r="C558" s="1" t="n">
        <v>45911</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30465-2023</t>
        </is>
      </c>
      <c r="B559" s="1" t="n">
        <v>45111</v>
      </c>
      <c r="C559" s="1" t="n">
        <v>45911</v>
      </c>
      <c r="D559" t="inlineStr">
        <is>
          <t>ÖSTERGÖTLANDS LÄN</t>
        </is>
      </c>
      <c r="E559" t="inlineStr">
        <is>
          <t>LINKÖPING</t>
        </is>
      </c>
      <c r="F559" t="inlineStr">
        <is>
          <t>Övriga Aktiebolag</t>
        </is>
      </c>
      <c r="G559" t="n">
        <v>0.7</v>
      </c>
      <c r="H559" t="n">
        <v>0</v>
      </c>
      <c r="I559" t="n">
        <v>0</v>
      </c>
      <c r="J559" t="n">
        <v>0</v>
      </c>
      <c r="K559" t="n">
        <v>0</v>
      </c>
      <c r="L559" t="n">
        <v>0</v>
      </c>
      <c r="M559" t="n">
        <v>0</v>
      </c>
      <c r="N559" t="n">
        <v>0</v>
      </c>
      <c r="O559" t="n">
        <v>0</v>
      </c>
      <c r="P559" t="n">
        <v>0</v>
      </c>
      <c r="Q559" t="n">
        <v>0</v>
      </c>
      <c r="R559" s="2" t="inlineStr"/>
    </row>
    <row r="560" ht="15" customHeight="1">
      <c r="A560" t="inlineStr">
        <is>
          <t>A 42623-2025</t>
        </is>
      </c>
      <c r="B560" s="1" t="n">
        <v>45905</v>
      </c>
      <c r="C560" s="1" t="n">
        <v>45911</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42626-2025</t>
        </is>
      </c>
      <c r="B561" s="1" t="n">
        <v>45905</v>
      </c>
      <c r="C561" s="1" t="n">
        <v>45911</v>
      </c>
      <c r="D561" t="inlineStr">
        <is>
          <t>ÖSTERGÖTLANDS LÄN</t>
        </is>
      </c>
      <c r="E561" t="inlineStr">
        <is>
          <t>LINKÖPING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30521-2024</t>
        </is>
      </c>
      <c r="B562" s="1" t="n">
        <v>45492</v>
      </c>
      <c r="C562" s="1" t="n">
        <v>45911</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54845-2023</t>
        </is>
      </c>
      <c r="B563" s="1" t="n">
        <v>45236</v>
      </c>
      <c r="C563" s="1" t="n">
        <v>45911</v>
      </c>
      <c r="D563" t="inlineStr">
        <is>
          <t>ÖSTERGÖTLANDS LÄN</t>
        </is>
      </c>
      <c r="E563" t="inlineStr">
        <is>
          <t>LINKÖPING</t>
        </is>
      </c>
      <c r="F563" t="inlineStr">
        <is>
          <t>Övriga Aktiebolag</t>
        </is>
      </c>
      <c r="G563" t="n">
        <v>5.7</v>
      </c>
      <c r="H563" t="n">
        <v>0</v>
      </c>
      <c r="I563" t="n">
        <v>0</v>
      </c>
      <c r="J563" t="n">
        <v>0</v>
      </c>
      <c r="K563" t="n">
        <v>0</v>
      </c>
      <c r="L563" t="n">
        <v>0</v>
      </c>
      <c r="M563" t="n">
        <v>0</v>
      </c>
      <c r="N563" t="n">
        <v>0</v>
      </c>
      <c r="O563" t="n">
        <v>0</v>
      </c>
      <c r="P563" t="n">
        <v>0</v>
      </c>
      <c r="Q563" t="n">
        <v>0</v>
      </c>
      <c r="R563" s="2" t="inlineStr"/>
    </row>
    <row r="564" ht="15" customHeight="1">
      <c r="A564" t="inlineStr">
        <is>
          <t>A 46687-2021</t>
        </is>
      </c>
      <c r="B564" s="1" t="n">
        <v>44445</v>
      </c>
      <c r="C564" s="1" t="n">
        <v>45911</v>
      </c>
      <c r="D564" t="inlineStr">
        <is>
          <t>ÖSTERGÖTLANDS LÄN</t>
        </is>
      </c>
      <c r="E564" t="inlineStr">
        <is>
          <t>LINKÖPING</t>
        </is>
      </c>
      <c r="F564" t="inlineStr">
        <is>
          <t>Övriga statliga verk och myndigheter</t>
        </is>
      </c>
      <c r="G564" t="n">
        <v>2.3</v>
      </c>
      <c r="H564" t="n">
        <v>0</v>
      </c>
      <c r="I564" t="n">
        <v>0</v>
      </c>
      <c r="J564" t="n">
        <v>0</v>
      </c>
      <c r="K564" t="n">
        <v>0</v>
      </c>
      <c r="L564" t="n">
        <v>0</v>
      </c>
      <c r="M564" t="n">
        <v>0</v>
      </c>
      <c r="N564" t="n">
        <v>0</v>
      </c>
      <c r="O564" t="n">
        <v>0</v>
      </c>
      <c r="P564" t="n">
        <v>0</v>
      </c>
      <c r="Q564" t="n">
        <v>0</v>
      </c>
      <c r="R564" s="2" t="inlineStr"/>
    </row>
    <row r="565" ht="15" customHeight="1">
      <c r="A565" t="inlineStr">
        <is>
          <t>A 40618-2021</t>
        </is>
      </c>
      <c r="B565" s="1" t="n">
        <v>44420.49575231481</v>
      </c>
      <c r="C565" s="1" t="n">
        <v>45911</v>
      </c>
      <c r="D565" t="inlineStr">
        <is>
          <t>ÖSTERGÖTLANDS LÄN</t>
        </is>
      </c>
      <c r="E565" t="inlineStr">
        <is>
          <t>LINKÖPING</t>
        </is>
      </c>
      <c r="G565" t="n">
        <v>2.3</v>
      </c>
      <c r="H565" t="n">
        <v>0</v>
      </c>
      <c r="I565" t="n">
        <v>0</v>
      </c>
      <c r="J565" t="n">
        <v>0</v>
      </c>
      <c r="K565" t="n">
        <v>0</v>
      </c>
      <c r="L565" t="n">
        <v>0</v>
      </c>
      <c r="M565" t="n">
        <v>0</v>
      </c>
      <c r="N565" t="n">
        <v>0</v>
      </c>
      <c r="O565" t="n">
        <v>0</v>
      </c>
      <c r="P565" t="n">
        <v>0</v>
      </c>
      <c r="Q565" t="n">
        <v>0</v>
      </c>
      <c r="R565" s="2" t="inlineStr"/>
    </row>
    <row r="566" ht="15" customHeight="1">
      <c r="A566" t="inlineStr">
        <is>
          <t>A 62374-2020</t>
        </is>
      </c>
      <c r="B566" s="1" t="n">
        <v>44159</v>
      </c>
      <c r="C566" s="1" t="n">
        <v>45911</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23735-2023</t>
        </is>
      </c>
      <c r="B567" s="1" t="n">
        <v>45077</v>
      </c>
      <c r="C567" s="1" t="n">
        <v>45911</v>
      </c>
      <c r="D567" t="inlineStr">
        <is>
          <t>ÖSTERGÖTLANDS LÄN</t>
        </is>
      </c>
      <c r="E567" t="inlineStr">
        <is>
          <t>LINKÖPING</t>
        </is>
      </c>
      <c r="G567" t="n">
        <v>1.7</v>
      </c>
      <c r="H567" t="n">
        <v>0</v>
      </c>
      <c r="I567" t="n">
        <v>0</v>
      </c>
      <c r="J567" t="n">
        <v>0</v>
      </c>
      <c r="K567" t="n">
        <v>0</v>
      </c>
      <c r="L567" t="n">
        <v>0</v>
      </c>
      <c r="M567" t="n">
        <v>0</v>
      </c>
      <c r="N567" t="n">
        <v>0</v>
      </c>
      <c r="O567" t="n">
        <v>0</v>
      </c>
      <c r="P567" t="n">
        <v>0</v>
      </c>
      <c r="Q567" t="n">
        <v>0</v>
      </c>
      <c r="R567" s="2" t="inlineStr"/>
    </row>
    <row r="568" ht="15" customHeight="1">
      <c r="A568" t="inlineStr">
        <is>
          <t>A 350-2022</t>
        </is>
      </c>
      <c r="B568" s="1" t="n">
        <v>44565</v>
      </c>
      <c r="C568" s="1" t="n">
        <v>45911</v>
      </c>
      <c r="D568" t="inlineStr">
        <is>
          <t>ÖSTERGÖTLANDS LÄN</t>
        </is>
      </c>
      <c r="E568" t="inlineStr">
        <is>
          <t>LINKÖPING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4256-2022</t>
        </is>
      </c>
      <c r="B569" s="1" t="n">
        <v>44588</v>
      </c>
      <c r="C569" s="1" t="n">
        <v>45911</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42624-2025</t>
        </is>
      </c>
      <c r="B570" s="1" t="n">
        <v>45905</v>
      </c>
      <c r="C570" s="1" t="n">
        <v>45911</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30855-2022</t>
        </is>
      </c>
      <c r="B571" s="1" t="n">
        <v>44767</v>
      </c>
      <c r="C571" s="1" t="n">
        <v>45911</v>
      </c>
      <c r="D571" t="inlineStr">
        <is>
          <t>ÖSTERGÖTLANDS LÄN</t>
        </is>
      </c>
      <c r="E571" t="inlineStr">
        <is>
          <t>LINKÖPING</t>
        </is>
      </c>
      <c r="G571" t="n">
        <v>2.2</v>
      </c>
      <c r="H571" t="n">
        <v>0</v>
      </c>
      <c r="I571" t="n">
        <v>0</v>
      </c>
      <c r="J571" t="n">
        <v>0</v>
      </c>
      <c r="K571" t="n">
        <v>0</v>
      </c>
      <c r="L571" t="n">
        <v>0</v>
      </c>
      <c r="M571" t="n">
        <v>0</v>
      </c>
      <c r="N571" t="n">
        <v>0</v>
      </c>
      <c r="O571" t="n">
        <v>0</v>
      </c>
      <c r="P571" t="n">
        <v>0</v>
      </c>
      <c r="Q571" t="n">
        <v>0</v>
      </c>
      <c r="R571" s="2" t="inlineStr"/>
    </row>
    <row r="572" ht="15" customHeight="1">
      <c r="A572" t="inlineStr">
        <is>
          <t>A 25948-2023</t>
        </is>
      </c>
      <c r="B572" s="1" t="n">
        <v>45090</v>
      </c>
      <c r="C572" s="1" t="n">
        <v>45911</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1355-2023</t>
        </is>
      </c>
      <c r="B573" s="1" t="n">
        <v>44931</v>
      </c>
      <c r="C573" s="1" t="n">
        <v>45911</v>
      </c>
      <c r="D573" t="inlineStr">
        <is>
          <t>ÖSTERGÖTLANDS LÄN</t>
        </is>
      </c>
      <c r="E573" t="inlineStr">
        <is>
          <t>LINKÖPING</t>
        </is>
      </c>
      <c r="G573" t="n">
        <v>4</v>
      </c>
      <c r="H573" t="n">
        <v>0</v>
      </c>
      <c r="I573" t="n">
        <v>0</v>
      </c>
      <c r="J573" t="n">
        <v>0</v>
      </c>
      <c r="K573" t="n">
        <v>0</v>
      </c>
      <c r="L573" t="n">
        <v>0</v>
      </c>
      <c r="M573" t="n">
        <v>0</v>
      </c>
      <c r="N573" t="n">
        <v>0</v>
      </c>
      <c r="O573" t="n">
        <v>0</v>
      </c>
      <c r="P573" t="n">
        <v>0</v>
      </c>
      <c r="Q573" t="n">
        <v>0</v>
      </c>
      <c r="R573" s="2" t="inlineStr"/>
    </row>
    <row r="574" ht="15" customHeight="1">
      <c r="A574" t="inlineStr">
        <is>
          <t>A 27844-2024</t>
        </is>
      </c>
      <c r="B574" s="1" t="n">
        <v>45475.63047453704</v>
      </c>
      <c r="C574" s="1" t="n">
        <v>45911</v>
      </c>
      <c r="D574" t="inlineStr">
        <is>
          <t>ÖSTERGÖTLANDS LÄN</t>
        </is>
      </c>
      <c r="E574" t="inlineStr">
        <is>
          <t>LINKÖPING</t>
        </is>
      </c>
      <c r="G574" t="n">
        <v>1.2</v>
      </c>
      <c r="H574" t="n">
        <v>0</v>
      </c>
      <c r="I574" t="n">
        <v>0</v>
      </c>
      <c r="J574" t="n">
        <v>0</v>
      </c>
      <c r="K574" t="n">
        <v>0</v>
      </c>
      <c r="L574" t="n">
        <v>0</v>
      </c>
      <c r="M574" t="n">
        <v>0</v>
      </c>
      <c r="N574" t="n">
        <v>0</v>
      </c>
      <c r="O574" t="n">
        <v>0</v>
      </c>
      <c r="P574" t="n">
        <v>0</v>
      </c>
      <c r="Q574" t="n">
        <v>0</v>
      </c>
      <c r="R574" s="2" t="inlineStr"/>
    </row>
    <row r="575" ht="15" customHeight="1">
      <c r="A575" t="inlineStr">
        <is>
          <t>A 33867-2023</t>
        </is>
      </c>
      <c r="B575" s="1" t="n">
        <v>45133.94640046296</v>
      </c>
      <c r="C575" s="1" t="n">
        <v>45911</v>
      </c>
      <c r="D575" t="inlineStr">
        <is>
          <t>ÖSTERGÖTLANDS LÄN</t>
        </is>
      </c>
      <c r="E575" t="inlineStr">
        <is>
          <t>LINKÖPING</t>
        </is>
      </c>
      <c r="G575" t="n">
        <v>2.3</v>
      </c>
      <c r="H575" t="n">
        <v>0</v>
      </c>
      <c r="I575" t="n">
        <v>0</v>
      </c>
      <c r="J575" t="n">
        <v>0</v>
      </c>
      <c r="K575" t="n">
        <v>0</v>
      </c>
      <c r="L575" t="n">
        <v>0</v>
      </c>
      <c r="M575" t="n">
        <v>0</v>
      </c>
      <c r="N575" t="n">
        <v>0</v>
      </c>
      <c r="O575" t="n">
        <v>0</v>
      </c>
      <c r="P575" t="n">
        <v>0</v>
      </c>
      <c r="Q575" t="n">
        <v>0</v>
      </c>
      <c r="R575" s="2" t="inlineStr"/>
    </row>
    <row r="576" ht="15" customHeight="1">
      <c r="A576" t="inlineStr">
        <is>
          <t>A 10741-2023</t>
        </is>
      </c>
      <c r="B576" s="1" t="n">
        <v>44988.70084490741</v>
      </c>
      <c r="C576" s="1" t="n">
        <v>45911</v>
      </c>
      <c r="D576" t="inlineStr">
        <is>
          <t>ÖSTERGÖTLANDS LÄN</t>
        </is>
      </c>
      <c r="E576" t="inlineStr">
        <is>
          <t>LINKÖPING</t>
        </is>
      </c>
      <c r="F576" t="inlineStr">
        <is>
          <t>Allmännings- och besparingsskogar</t>
        </is>
      </c>
      <c r="G576" t="n">
        <v>11.2</v>
      </c>
      <c r="H576" t="n">
        <v>0</v>
      </c>
      <c r="I576" t="n">
        <v>0</v>
      </c>
      <c r="J576" t="n">
        <v>0</v>
      </c>
      <c r="K576" t="n">
        <v>0</v>
      </c>
      <c r="L576" t="n">
        <v>0</v>
      </c>
      <c r="M576" t="n">
        <v>0</v>
      </c>
      <c r="N576" t="n">
        <v>0</v>
      </c>
      <c r="O576" t="n">
        <v>0</v>
      </c>
      <c r="P576" t="n">
        <v>0</v>
      </c>
      <c r="Q576" t="n">
        <v>0</v>
      </c>
      <c r="R576" s="2" t="inlineStr"/>
    </row>
    <row r="577" ht="15" customHeight="1">
      <c r="A577" t="inlineStr">
        <is>
          <t>A 50963-2021</t>
        </is>
      </c>
      <c r="B577" s="1" t="n">
        <v>44460</v>
      </c>
      <c r="C577" s="1" t="n">
        <v>45911</v>
      </c>
      <c r="D577" t="inlineStr">
        <is>
          <t>ÖSTERGÖTLANDS LÄN</t>
        </is>
      </c>
      <c r="E577" t="inlineStr">
        <is>
          <t>LINKÖPING</t>
        </is>
      </c>
      <c r="G577" t="n">
        <v>4.4</v>
      </c>
      <c r="H577" t="n">
        <v>0</v>
      </c>
      <c r="I577" t="n">
        <v>0</v>
      </c>
      <c r="J577" t="n">
        <v>0</v>
      </c>
      <c r="K577" t="n">
        <v>0</v>
      </c>
      <c r="L577" t="n">
        <v>0</v>
      </c>
      <c r="M577" t="n">
        <v>0</v>
      </c>
      <c r="N577" t="n">
        <v>0</v>
      </c>
      <c r="O577" t="n">
        <v>0</v>
      </c>
      <c r="P577" t="n">
        <v>0</v>
      </c>
      <c r="Q577" t="n">
        <v>0</v>
      </c>
      <c r="R577" s="2" t="inlineStr"/>
    </row>
    <row r="578" ht="15" customHeight="1">
      <c r="A578" t="inlineStr">
        <is>
          <t>A 53616-2020</t>
        </is>
      </c>
      <c r="B578" s="1" t="n">
        <v>44123</v>
      </c>
      <c r="C578" s="1" t="n">
        <v>45911</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45821-2024</t>
        </is>
      </c>
      <c r="B579" s="1" t="n">
        <v>45579.75803240741</v>
      </c>
      <c r="C579" s="1" t="n">
        <v>45911</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24462-2023</t>
        </is>
      </c>
      <c r="B580" s="1" t="n">
        <v>45082</v>
      </c>
      <c r="C580" s="1" t="n">
        <v>45911</v>
      </c>
      <c r="D580" t="inlineStr">
        <is>
          <t>ÖSTERGÖTLANDS LÄN</t>
        </is>
      </c>
      <c r="E580" t="inlineStr">
        <is>
          <t>LINKÖPING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61936-2023</t>
        </is>
      </c>
      <c r="B581" s="1" t="n">
        <v>45266.54534722222</v>
      </c>
      <c r="C581" s="1" t="n">
        <v>45911</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1263-2024</t>
        </is>
      </c>
      <c r="B582" s="1" t="n">
        <v>45302</v>
      </c>
      <c r="C582" s="1" t="n">
        <v>45911</v>
      </c>
      <c r="D582" t="inlineStr">
        <is>
          <t>ÖSTERGÖTLANDS LÄN</t>
        </is>
      </c>
      <c r="E582" t="inlineStr">
        <is>
          <t>LINKÖPING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24464-2023</t>
        </is>
      </c>
      <c r="B583" s="1" t="n">
        <v>45082.58068287037</v>
      </c>
      <c r="C583" s="1" t="n">
        <v>45911</v>
      </c>
      <c r="D583" t="inlineStr">
        <is>
          <t>ÖSTERGÖTLANDS LÄN</t>
        </is>
      </c>
      <c r="E583" t="inlineStr">
        <is>
          <t>LINKÖPING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48829-2023</t>
        </is>
      </c>
      <c r="B584" s="1" t="n">
        <v>45209.38177083333</v>
      </c>
      <c r="C584" s="1" t="n">
        <v>45911</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48389-2024</t>
        </is>
      </c>
      <c r="B585" s="1" t="n">
        <v>45590.59991898148</v>
      </c>
      <c r="C585" s="1" t="n">
        <v>45911</v>
      </c>
      <c r="D585" t="inlineStr">
        <is>
          <t>ÖSTERGÖTLANDS LÄN</t>
        </is>
      </c>
      <c r="E585" t="inlineStr">
        <is>
          <t>LINKÖPING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61281-2021</t>
        </is>
      </c>
      <c r="B586" s="1" t="n">
        <v>44498.60736111111</v>
      </c>
      <c r="C586" s="1" t="n">
        <v>45911</v>
      </c>
      <c r="D586" t="inlineStr">
        <is>
          <t>ÖSTERGÖTLANDS LÄN</t>
        </is>
      </c>
      <c r="E586" t="inlineStr">
        <is>
          <t>LINKÖPING</t>
        </is>
      </c>
      <c r="G586" t="n">
        <v>4.5</v>
      </c>
      <c r="H586" t="n">
        <v>0</v>
      </c>
      <c r="I586" t="n">
        <v>0</v>
      </c>
      <c r="J586" t="n">
        <v>0</v>
      </c>
      <c r="K586" t="n">
        <v>0</v>
      </c>
      <c r="L586" t="n">
        <v>0</v>
      </c>
      <c r="M586" t="n">
        <v>0</v>
      </c>
      <c r="N586" t="n">
        <v>0</v>
      </c>
      <c r="O586" t="n">
        <v>0</v>
      </c>
      <c r="P586" t="n">
        <v>0</v>
      </c>
      <c r="Q586" t="n">
        <v>0</v>
      </c>
      <c r="R586" s="2" t="inlineStr"/>
    </row>
    <row r="587" ht="15" customHeight="1">
      <c r="A587" t="inlineStr">
        <is>
          <t>A 38231-2022</t>
        </is>
      </c>
      <c r="B587" s="1" t="n">
        <v>44812</v>
      </c>
      <c r="C587" s="1" t="n">
        <v>45911</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50799-2022</t>
        </is>
      </c>
      <c r="B588" s="1" t="n">
        <v>44862</v>
      </c>
      <c r="C588" s="1" t="n">
        <v>45911</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40431-2024</t>
        </is>
      </c>
      <c r="B589" s="1" t="n">
        <v>45555.47070601852</v>
      </c>
      <c r="C589" s="1" t="n">
        <v>45911</v>
      </c>
      <c r="D589" t="inlineStr">
        <is>
          <t>ÖSTERGÖTLANDS LÄN</t>
        </is>
      </c>
      <c r="E589" t="inlineStr">
        <is>
          <t>LINKÖPING</t>
        </is>
      </c>
      <c r="F589" t="inlineStr">
        <is>
          <t>Allmännings- och besparingsskogar</t>
        </is>
      </c>
      <c r="G589" t="n">
        <v>2.9</v>
      </c>
      <c r="H589" t="n">
        <v>0</v>
      </c>
      <c r="I589" t="n">
        <v>0</v>
      </c>
      <c r="J589" t="n">
        <v>0</v>
      </c>
      <c r="K589" t="n">
        <v>0</v>
      </c>
      <c r="L589" t="n">
        <v>0</v>
      </c>
      <c r="M589" t="n">
        <v>0</v>
      </c>
      <c r="N589" t="n">
        <v>0</v>
      </c>
      <c r="O589" t="n">
        <v>0</v>
      </c>
      <c r="P589" t="n">
        <v>0</v>
      </c>
      <c r="Q589" t="n">
        <v>0</v>
      </c>
      <c r="R589" s="2" t="inlineStr"/>
    </row>
    <row r="590" ht="15" customHeight="1">
      <c r="A590" t="inlineStr">
        <is>
          <t>A 6369-2023</t>
        </is>
      </c>
      <c r="B590" s="1" t="n">
        <v>44965.61106481482</v>
      </c>
      <c r="C590" s="1" t="n">
        <v>45911</v>
      </c>
      <c r="D590" t="inlineStr">
        <is>
          <t>ÖSTERGÖTLANDS LÄN</t>
        </is>
      </c>
      <c r="E590" t="inlineStr">
        <is>
          <t>LINKÖPING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267-2023</t>
        </is>
      </c>
      <c r="B591" s="1" t="n">
        <v>44928.80907407407</v>
      </c>
      <c r="C591" s="1" t="n">
        <v>45911</v>
      </c>
      <c r="D591" t="inlineStr">
        <is>
          <t>ÖSTERGÖTLANDS LÄN</t>
        </is>
      </c>
      <c r="E591" t="inlineStr">
        <is>
          <t>LINKÖPING</t>
        </is>
      </c>
      <c r="G591" t="n">
        <v>2.7</v>
      </c>
      <c r="H591" t="n">
        <v>0</v>
      </c>
      <c r="I591" t="n">
        <v>0</v>
      </c>
      <c r="J591" t="n">
        <v>0</v>
      </c>
      <c r="K591" t="n">
        <v>0</v>
      </c>
      <c r="L591" t="n">
        <v>0</v>
      </c>
      <c r="M591" t="n">
        <v>0</v>
      </c>
      <c r="N591" t="n">
        <v>0</v>
      </c>
      <c r="O591" t="n">
        <v>0</v>
      </c>
      <c r="P591" t="n">
        <v>0</v>
      </c>
      <c r="Q591" t="n">
        <v>0</v>
      </c>
      <c r="R591" s="2" t="inlineStr"/>
    </row>
    <row r="592" ht="15" customHeight="1">
      <c r="A592" t="inlineStr">
        <is>
          <t>A 26618-2023</t>
        </is>
      </c>
      <c r="B592" s="1" t="n">
        <v>45092.70306712963</v>
      </c>
      <c r="C592" s="1" t="n">
        <v>45911</v>
      </c>
      <c r="D592" t="inlineStr">
        <is>
          <t>ÖSTERGÖTLANDS LÄN</t>
        </is>
      </c>
      <c r="E592" t="inlineStr">
        <is>
          <t>LINKÖPING</t>
        </is>
      </c>
      <c r="G592" t="n">
        <v>6.9</v>
      </c>
      <c r="H592" t="n">
        <v>0</v>
      </c>
      <c r="I592" t="n">
        <v>0</v>
      </c>
      <c r="J592" t="n">
        <v>0</v>
      </c>
      <c r="K592" t="n">
        <v>0</v>
      </c>
      <c r="L592" t="n">
        <v>0</v>
      </c>
      <c r="M592" t="n">
        <v>0</v>
      </c>
      <c r="N592" t="n">
        <v>0</v>
      </c>
      <c r="O592" t="n">
        <v>0</v>
      </c>
      <c r="P592" t="n">
        <v>0</v>
      </c>
      <c r="Q592" t="n">
        <v>0</v>
      </c>
      <c r="R592" s="2" t="inlineStr"/>
    </row>
    <row r="593" ht="15" customHeight="1">
      <c r="A593" t="inlineStr">
        <is>
          <t>A 63665-2023</t>
        </is>
      </c>
      <c r="B593" s="1" t="n">
        <v>45275</v>
      </c>
      <c r="C593" s="1" t="n">
        <v>45911</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10094-2024</t>
        </is>
      </c>
      <c r="B594" s="1" t="n">
        <v>45364</v>
      </c>
      <c r="C594" s="1" t="n">
        <v>45911</v>
      </c>
      <c r="D594" t="inlineStr">
        <is>
          <t>ÖSTERGÖTLANDS LÄN</t>
        </is>
      </c>
      <c r="E594" t="inlineStr">
        <is>
          <t>LINKÖPING</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67123-2020</t>
        </is>
      </c>
      <c r="B595" s="1" t="n">
        <v>44180</v>
      </c>
      <c r="C595" s="1" t="n">
        <v>45911</v>
      </c>
      <c r="D595" t="inlineStr">
        <is>
          <t>ÖSTERGÖTLANDS LÄN</t>
        </is>
      </c>
      <c r="E595" t="inlineStr">
        <is>
          <t>LINKÖPING</t>
        </is>
      </c>
      <c r="F595" t="inlineStr">
        <is>
          <t>Övriga statliga verk och myndigheter</t>
        </is>
      </c>
      <c r="G595" t="n">
        <v>1.3</v>
      </c>
      <c r="H595" t="n">
        <v>0</v>
      </c>
      <c r="I595" t="n">
        <v>0</v>
      </c>
      <c r="J595" t="n">
        <v>0</v>
      </c>
      <c r="K595" t="n">
        <v>0</v>
      </c>
      <c r="L595" t="n">
        <v>0</v>
      </c>
      <c r="M595" t="n">
        <v>0</v>
      </c>
      <c r="N595" t="n">
        <v>0</v>
      </c>
      <c r="O595" t="n">
        <v>0</v>
      </c>
      <c r="P595" t="n">
        <v>0</v>
      </c>
      <c r="Q595" t="n">
        <v>0</v>
      </c>
      <c r="R595" s="2" t="inlineStr"/>
    </row>
    <row r="596" ht="15" customHeight="1">
      <c r="A596" t="inlineStr">
        <is>
          <t>A 1207-2023</t>
        </is>
      </c>
      <c r="B596" s="1" t="n">
        <v>44930</v>
      </c>
      <c r="C596" s="1" t="n">
        <v>45911</v>
      </c>
      <c r="D596" t="inlineStr">
        <is>
          <t>ÖSTERGÖTLANDS LÄN</t>
        </is>
      </c>
      <c r="E596" t="inlineStr">
        <is>
          <t>LINKÖPING</t>
        </is>
      </c>
      <c r="F596" t="inlineStr">
        <is>
          <t>Övriga statliga verk och myndigheter</t>
        </is>
      </c>
      <c r="G596" t="n">
        <v>32.8</v>
      </c>
      <c r="H596" t="n">
        <v>0</v>
      </c>
      <c r="I596" t="n">
        <v>0</v>
      </c>
      <c r="J596" t="n">
        <v>0</v>
      </c>
      <c r="K596" t="n">
        <v>0</v>
      </c>
      <c r="L596" t="n">
        <v>0</v>
      </c>
      <c r="M596" t="n">
        <v>0</v>
      </c>
      <c r="N596" t="n">
        <v>0</v>
      </c>
      <c r="O596" t="n">
        <v>0</v>
      </c>
      <c r="P596" t="n">
        <v>0</v>
      </c>
      <c r="Q596" t="n">
        <v>0</v>
      </c>
      <c r="R596" s="2" t="inlineStr"/>
    </row>
    <row r="597" ht="15" customHeight="1">
      <c r="A597" t="inlineStr">
        <is>
          <t>A 62015-2024</t>
        </is>
      </c>
      <c r="B597" s="1" t="n">
        <v>45655.80457175926</v>
      </c>
      <c r="C597" s="1" t="n">
        <v>45911</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62020-2024</t>
        </is>
      </c>
      <c r="B598" s="1" t="n">
        <v>45655.83563657408</v>
      </c>
      <c r="C598" s="1" t="n">
        <v>45911</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62021-2024</t>
        </is>
      </c>
      <c r="B599" s="1" t="n">
        <v>45655.84232638889</v>
      </c>
      <c r="C599" s="1" t="n">
        <v>45911</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30429-2024</t>
        </is>
      </c>
      <c r="B600" s="1" t="n">
        <v>45491.68972222223</v>
      </c>
      <c r="C600" s="1" t="n">
        <v>45911</v>
      </c>
      <c r="D600" t="inlineStr">
        <is>
          <t>ÖSTERGÖTLANDS LÄN</t>
        </is>
      </c>
      <c r="E600" t="inlineStr">
        <is>
          <t>LINKÖPING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27891-2021</t>
        </is>
      </c>
      <c r="B601" s="1" t="n">
        <v>44354.65108796296</v>
      </c>
      <c r="C601" s="1" t="n">
        <v>45911</v>
      </c>
      <c r="D601" t="inlineStr">
        <is>
          <t>ÖSTERGÖTLANDS LÄN</t>
        </is>
      </c>
      <c r="E601" t="inlineStr">
        <is>
          <t>LINKÖPING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57391-2023</t>
        </is>
      </c>
      <c r="B602" s="1" t="n">
        <v>45245</v>
      </c>
      <c r="C602" s="1" t="n">
        <v>45911</v>
      </c>
      <c r="D602" t="inlineStr">
        <is>
          <t>ÖSTERGÖTLANDS LÄN</t>
        </is>
      </c>
      <c r="E602" t="inlineStr">
        <is>
          <t>LINKÖPING</t>
        </is>
      </c>
      <c r="F602" t="inlineStr">
        <is>
          <t>Övriga Aktiebolag</t>
        </is>
      </c>
      <c r="G602" t="n">
        <v>1.7</v>
      </c>
      <c r="H602" t="n">
        <v>0</v>
      </c>
      <c r="I602" t="n">
        <v>0</v>
      </c>
      <c r="J602" t="n">
        <v>0</v>
      </c>
      <c r="K602" t="n">
        <v>0</v>
      </c>
      <c r="L602" t="n">
        <v>0</v>
      </c>
      <c r="M602" t="n">
        <v>0</v>
      </c>
      <c r="N602" t="n">
        <v>0</v>
      </c>
      <c r="O602" t="n">
        <v>0</v>
      </c>
      <c r="P602" t="n">
        <v>0</v>
      </c>
      <c r="Q602" t="n">
        <v>0</v>
      </c>
      <c r="R602" s="2" t="inlineStr"/>
    </row>
    <row r="603" ht="15" customHeight="1">
      <c r="A603" t="inlineStr">
        <is>
          <t>A 20294-2025</t>
        </is>
      </c>
      <c r="B603" s="1" t="n">
        <v>45774.74667824074</v>
      </c>
      <c r="C603" s="1" t="n">
        <v>45911</v>
      </c>
      <c r="D603" t="inlineStr">
        <is>
          <t>ÖSTERGÖTLANDS LÄN</t>
        </is>
      </c>
      <c r="E603" t="inlineStr">
        <is>
          <t>LINKÖPING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60013-2022</t>
        </is>
      </c>
      <c r="B604" s="1" t="n">
        <v>44909.47482638889</v>
      </c>
      <c r="C604" s="1" t="n">
        <v>45911</v>
      </c>
      <c r="D604" t="inlineStr">
        <is>
          <t>ÖSTERGÖTLANDS LÄN</t>
        </is>
      </c>
      <c r="E604" t="inlineStr">
        <is>
          <t>LINKÖPING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30435-2024</t>
        </is>
      </c>
      <c r="B605" s="1" t="n">
        <v>45491.69962962963</v>
      </c>
      <c r="C605" s="1" t="n">
        <v>45911</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53816-2023</t>
        </is>
      </c>
      <c r="B606" s="1" t="n">
        <v>45231.40012731482</v>
      </c>
      <c r="C606" s="1" t="n">
        <v>45911</v>
      </c>
      <c r="D606" t="inlineStr">
        <is>
          <t>ÖSTERGÖTLANDS LÄN</t>
        </is>
      </c>
      <c r="E606" t="inlineStr">
        <is>
          <t>LINKÖPING</t>
        </is>
      </c>
      <c r="G606" t="n">
        <v>0.5</v>
      </c>
      <c r="H606" t="n">
        <v>0</v>
      </c>
      <c r="I606" t="n">
        <v>0</v>
      </c>
      <c r="J606" t="n">
        <v>0</v>
      </c>
      <c r="K606" t="n">
        <v>0</v>
      </c>
      <c r="L606" t="n">
        <v>0</v>
      </c>
      <c r="M606" t="n">
        <v>0</v>
      </c>
      <c r="N606" t="n">
        <v>0</v>
      </c>
      <c r="O606" t="n">
        <v>0</v>
      </c>
      <c r="P606" t="n">
        <v>0</v>
      </c>
      <c r="Q606" t="n">
        <v>0</v>
      </c>
      <c r="R606" s="2" t="inlineStr"/>
    </row>
    <row r="607" ht="15" customHeight="1">
      <c r="A607" t="inlineStr">
        <is>
          <t>A 36557-2023</t>
        </is>
      </c>
      <c r="B607" s="1" t="n">
        <v>45153</v>
      </c>
      <c r="C607" s="1" t="n">
        <v>45911</v>
      </c>
      <c r="D607" t="inlineStr">
        <is>
          <t>ÖSTERGÖTLANDS LÄN</t>
        </is>
      </c>
      <c r="E607" t="inlineStr">
        <is>
          <t>LINKÖPING</t>
        </is>
      </c>
      <c r="F607" t="inlineStr">
        <is>
          <t>Övriga Aktiebolag</t>
        </is>
      </c>
      <c r="G607" t="n">
        <v>3.1</v>
      </c>
      <c r="H607" t="n">
        <v>0</v>
      </c>
      <c r="I607" t="n">
        <v>0</v>
      </c>
      <c r="J607" t="n">
        <v>0</v>
      </c>
      <c r="K607" t="n">
        <v>0</v>
      </c>
      <c r="L607" t="n">
        <v>0</v>
      </c>
      <c r="M607" t="n">
        <v>0</v>
      </c>
      <c r="N607" t="n">
        <v>0</v>
      </c>
      <c r="O607" t="n">
        <v>0</v>
      </c>
      <c r="P607" t="n">
        <v>0</v>
      </c>
      <c r="Q607" t="n">
        <v>0</v>
      </c>
      <c r="R607" s="2" t="inlineStr"/>
    </row>
    <row r="608" ht="15" customHeight="1">
      <c r="A608" t="inlineStr">
        <is>
          <t>A 6599-2023</t>
        </is>
      </c>
      <c r="B608" s="1" t="n">
        <v>44966.52603009259</v>
      </c>
      <c r="C608" s="1" t="n">
        <v>45911</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3007-2025</t>
        </is>
      </c>
      <c r="B609" s="1" t="n">
        <v>45678.56328703704</v>
      </c>
      <c r="C609" s="1" t="n">
        <v>45911</v>
      </c>
      <c r="D609" t="inlineStr">
        <is>
          <t>ÖSTERGÖTLANDS LÄN</t>
        </is>
      </c>
      <c r="E609" t="inlineStr">
        <is>
          <t>LINKÖPING</t>
        </is>
      </c>
      <c r="G609" t="n">
        <v>3.1</v>
      </c>
      <c r="H609" t="n">
        <v>0</v>
      </c>
      <c r="I609" t="n">
        <v>0</v>
      </c>
      <c r="J609" t="n">
        <v>0</v>
      </c>
      <c r="K609" t="n">
        <v>0</v>
      </c>
      <c r="L609" t="n">
        <v>0</v>
      </c>
      <c r="M609" t="n">
        <v>0</v>
      </c>
      <c r="N609" t="n">
        <v>0</v>
      </c>
      <c r="O609" t="n">
        <v>0</v>
      </c>
      <c r="P609" t="n">
        <v>0</v>
      </c>
      <c r="Q609" t="n">
        <v>0</v>
      </c>
      <c r="R609" s="2" t="inlineStr"/>
    </row>
    <row r="610" ht="15" customHeight="1">
      <c r="A610" t="inlineStr">
        <is>
          <t>A 43473-2024</t>
        </is>
      </c>
      <c r="B610" s="1" t="n">
        <v>45568</v>
      </c>
      <c r="C610" s="1" t="n">
        <v>45911</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34877-2023</t>
        </is>
      </c>
      <c r="B611" s="1" t="n">
        <v>45140</v>
      </c>
      <c r="C611" s="1" t="n">
        <v>45911</v>
      </c>
      <c r="D611" t="inlineStr">
        <is>
          <t>ÖSTERGÖTLANDS LÄN</t>
        </is>
      </c>
      <c r="E611" t="inlineStr">
        <is>
          <t>LINKÖPING</t>
        </is>
      </c>
      <c r="G611" t="n">
        <v>1.9</v>
      </c>
      <c r="H611" t="n">
        <v>0</v>
      </c>
      <c r="I611" t="n">
        <v>0</v>
      </c>
      <c r="J611" t="n">
        <v>0</v>
      </c>
      <c r="K611" t="n">
        <v>0</v>
      </c>
      <c r="L611" t="n">
        <v>0</v>
      </c>
      <c r="M611" t="n">
        <v>0</v>
      </c>
      <c r="N611" t="n">
        <v>0</v>
      </c>
      <c r="O611" t="n">
        <v>0</v>
      </c>
      <c r="P611" t="n">
        <v>0</v>
      </c>
      <c r="Q611" t="n">
        <v>0</v>
      </c>
      <c r="R611" s="2" t="inlineStr"/>
    </row>
    <row r="612" ht="15" customHeight="1">
      <c r="A612" t="inlineStr">
        <is>
          <t>A 1924-2024</t>
        </is>
      </c>
      <c r="B612" s="1" t="n">
        <v>45308</v>
      </c>
      <c r="C612" s="1" t="n">
        <v>45911</v>
      </c>
      <c r="D612" t="inlineStr">
        <is>
          <t>ÖSTERGÖTLANDS LÄN</t>
        </is>
      </c>
      <c r="E612" t="inlineStr">
        <is>
          <t>LINKÖPING</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34558-2022</t>
        </is>
      </c>
      <c r="B613" s="1" t="n">
        <v>44794.57594907407</v>
      </c>
      <c r="C613" s="1" t="n">
        <v>45911</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168-2024</t>
        </is>
      </c>
      <c r="B614" s="1" t="n">
        <v>45294</v>
      </c>
      <c r="C614" s="1" t="n">
        <v>45911</v>
      </c>
      <c r="D614" t="inlineStr">
        <is>
          <t>ÖSTERGÖTLANDS LÄN</t>
        </is>
      </c>
      <c r="E614" t="inlineStr">
        <is>
          <t>LINKÖPING</t>
        </is>
      </c>
      <c r="F614" t="inlineStr">
        <is>
          <t>Allmännings- och besparingsskogar</t>
        </is>
      </c>
      <c r="G614" t="n">
        <v>8.9</v>
      </c>
      <c r="H614" t="n">
        <v>0</v>
      </c>
      <c r="I614" t="n">
        <v>0</v>
      </c>
      <c r="J614" t="n">
        <v>0</v>
      </c>
      <c r="K614" t="n">
        <v>0</v>
      </c>
      <c r="L614" t="n">
        <v>0</v>
      </c>
      <c r="M614" t="n">
        <v>0</v>
      </c>
      <c r="N614" t="n">
        <v>0</v>
      </c>
      <c r="O614" t="n">
        <v>0</v>
      </c>
      <c r="P614" t="n">
        <v>0</v>
      </c>
      <c r="Q614" t="n">
        <v>0</v>
      </c>
      <c r="R614" s="2" t="inlineStr"/>
    </row>
    <row r="615" ht="15" customHeight="1">
      <c r="A615" t="inlineStr">
        <is>
          <t>A 15658-2023</t>
        </is>
      </c>
      <c r="B615" s="1" t="n">
        <v>45021.41194444444</v>
      </c>
      <c r="C615" s="1" t="n">
        <v>45911</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30433-2024</t>
        </is>
      </c>
      <c r="B616" s="1" t="n">
        <v>45491.69741898148</v>
      </c>
      <c r="C616" s="1" t="n">
        <v>45911</v>
      </c>
      <c r="D616" t="inlineStr">
        <is>
          <t>ÖSTERGÖTLANDS LÄN</t>
        </is>
      </c>
      <c r="E616" t="inlineStr">
        <is>
          <t>LINKÖPING</t>
        </is>
      </c>
      <c r="G616" t="n">
        <v>1.7</v>
      </c>
      <c r="H616" t="n">
        <v>0</v>
      </c>
      <c r="I616" t="n">
        <v>0</v>
      </c>
      <c r="J616" t="n">
        <v>0</v>
      </c>
      <c r="K616" t="n">
        <v>0</v>
      </c>
      <c r="L616" t="n">
        <v>0</v>
      </c>
      <c r="M616" t="n">
        <v>0</v>
      </c>
      <c r="N616" t="n">
        <v>0</v>
      </c>
      <c r="O616" t="n">
        <v>0</v>
      </c>
      <c r="P616" t="n">
        <v>0</v>
      </c>
      <c r="Q616" t="n">
        <v>0</v>
      </c>
      <c r="R616" s="2" t="inlineStr"/>
    </row>
    <row r="617" ht="15" customHeight="1">
      <c r="A617" t="inlineStr">
        <is>
          <t>A 52220-2023</t>
        </is>
      </c>
      <c r="B617" s="1" t="n">
        <v>45217</v>
      </c>
      <c r="C617" s="1" t="n">
        <v>45911</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52225-2023</t>
        </is>
      </c>
      <c r="B618" s="1" t="n">
        <v>45217</v>
      </c>
      <c r="C618" s="1" t="n">
        <v>45911</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61532-2021</t>
        </is>
      </c>
      <c r="B619" s="1" t="n">
        <v>44501</v>
      </c>
      <c r="C619" s="1" t="n">
        <v>45911</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3374-2023</t>
        </is>
      </c>
      <c r="B620" s="1" t="n">
        <v>44949</v>
      </c>
      <c r="C620" s="1" t="n">
        <v>45911</v>
      </c>
      <c r="D620" t="inlineStr">
        <is>
          <t>ÖSTERGÖTLANDS LÄN</t>
        </is>
      </c>
      <c r="E620" t="inlineStr">
        <is>
          <t>LINKÖPING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224-2024</t>
        </is>
      </c>
      <c r="B621" s="1" t="n">
        <v>45294</v>
      </c>
      <c r="C621" s="1" t="n">
        <v>45911</v>
      </c>
      <c r="D621" t="inlineStr">
        <is>
          <t>ÖSTERGÖTLANDS LÄN</t>
        </is>
      </c>
      <c r="E621" t="inlineStr">
        <is>
          <t>LINKÖPING</t>
        </is>
      </c>
      <c r="G621" t="n">
        <v>2.8</v>
      </c>
      <c r="H621" t="n">
        <v>0</v>
      </c>
      <c r="I621" t="n">
        <v>0</v>
      </c>
      <c r="J621" t="n">
        <v>0</v>
      </c>
      <c r="K621" t="n">
        <v>0</v>
      </c>
      <c r="L621" t="n">
        <v>0</v>
      </c>
      <c r="M621" t="n">
        <v>0</v>
      </c>
      <c r="N621" t="n">
        <v>0</v>
      </c>
      <c r="O621" t="n">
        <v>0</v>
      </c>
      <c r="P621" t="n">
        <v>0</v>
      </c>
      <c r="Q621" t="n">
        <v>0</v>
      </c>
      <c r="R621" s="2" t="inlineStr"/>
    </row>
    <row r="622" ht="15" customHeight="1">
      <c r="A622" t="inlineStr">
        <is>
          <t>A 19464-2024</t>
        </is>
      </c>
      <c r="B622" s="1" t="n">
        <v>45429</v>
      </c>
      <c r="C622" s="1" t="n">
        <v>45911</v>
      </c>
      <c r="D622" t="inlineStr">
        <is>
          <t>ÖSTERGÖTLANDS LÄN</t>
        </is>
      </c>
      <c r="E622" t="inlineStr">
        <is>
          <t>LINKÖPING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6726-2024</t>
        </is>
      </c>
      <c r="B623" s="1" t="n">
        <v>45341</v>
      </c>
      <c r="C623" s="1" t="n">
        <v>45911</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42044-2023</t>
        </is>
      </c>
      <c r="B624" s="1" t="n">
        <v>45177</v>
      </c>
      <c r="C624" s="1" t="n">
        <v>45911</v>
      </c>
      <c r="D624" t="inlineStr">
        <is>
          <t>ÖSTERGÖTLANDS LÄN</t>
        </is>
      </c>
      <c r="E624" t="inlineStr">
        <is>
          <t>LINKÖPING</t>
        </is>
      </c>
      <c r="G624" t="n">
        <v>3.9</v>
      </c>
      <c r="H624" t="n">
        <v>0</v>
      </c>
      <c r="I624" t="n">
        <v>0</v>
      </c>
      <c r="J624" t="n">
        <v>0</v>
      </c>
      <c r="K624" t="n">
        <v>0</v>
      </c>
      <c r="L624" t="n">
        <v>0</v>
      </c>
      <c r="M624" t="n">
        <v>0</v>
      </c>
      <c r="N624" t="n">
        <v>0</v>
      </c>
      <c r="O624" t="n">
        <v>0</v>
      </c>
      <c r="P624" t="n">
        <v>0</v>
      </c>
      <c r="Q624" t="n">
        <v>0</v>
      </c>
      <c r="R624" s="2" t="inlineStr"/>
    </row>
    <row r="625" ht="15" customHeight="1">
      <c r="A625" t="inlineStr">
        <is>
          <t>A 630-2024</t>
        </is>
      </c>
      <c r="B625" s="1" t="n">
        <v>45299.67736111111</v>
      </c>
      <c r="C625" s="1" t="n">
        <v>45911</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72567-2021</t>
        </is>
      </c>
      <c r="B626" s="1" t="n">
        <v>44546.45023148148</v>
      </c>
      <c r="C626" s="1" t="n">
        <v>45911</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53814-2023</t>
        </is>
      </c>
      <c r="B627" s="1" t="n">
        <v>45231</v>
      </c>
      <c r="C627" s="1" t="n">
        <v>45911</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21782-2024</t>
        </is>
      </c>
      <c r="B628" s="1" t="n">
        <v>45442.63368055555</v>
      </c>
      <c r="C628" s="1" t="n">
        <v>45911</v>
      </c>
      <c r="D628" t="inlineStr">
        <is>
          <t>ÖSTERGÖTLANDS LÄN</t>
        </is>
      </c>
      <c r="E628" t="inlineStr">
        <is>
          <t>LINKÖPING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60004-2022</t>
        </is>
      </c>
      <c r="B629" s="1" t="n">
        <v>44909.47206018519</v>
      </c>
      <c r="C629" s="1" t="n">
        <v>45911</v>
      </c>
      <c r="D629" t="inlineStr">
        <is>
          <t>ÖSTERGÖTLANDS LÄN</t>
        </is>
      </c>
      <c r="E629" t="inlineStr">
        <is>
          <t>LINKÖPING</t>
        </is>
      </c>
      <c r="G629" t="n">
        <v>2.2</v>
      </c>
      <c r="H629" t="n">
        <v>0</v>
      </c>
      <c r="I629" t="n">
        <v>0</v>
      </c>
      <c r="J629" t="n">
        <v>0</v>
      </c>
      <c r="K629" t="n">
        <v>0</v>
      </c>
      <c r="L629" t="n">
        <v>0</v>
      </c>
      <c r="M629" t="n">
        <v>0</v>
      </c>
      <c r="N629" t="n">
        <v>0</v>
      </c>
      <c r="O629" t="n">
        <v>0</v>
      </c>
      <c r="P629" t="n">
        <v>0</v>
      </c>
      <c r="Q629" t="n">
        <v>0</v>
      </c>
      <c r="R629" s="2" t="inlineStr"/>
    </row>
    <row r="630" ht="15" customHeight="1">
      <c r="A630" t="inlineStr">
        <is>
          <t>A 52796-2023</t>
        </is>
      </c>
      <c r="B630" s="1" t="n">
        <v>45219</v>
      </c>
      <c r="C630" s="1" t="n">
        <v>45911</v>
      </c>
      <c r="D630" t="inlineStr">
        <is>
          <t>ÖSTERGÖTLANDS LÄN</t>
        </is>
      </c>
      <c r="E630" t="inlineStr">
        <is>
          <t>LINKÖPING</t>
        </is>
      </c>
      <c r="F630" t="inlineStr">
        <is>
          <t>Övriga statliga verk och myndigheter</t>
        </is>
      </c>
      <c r="G630" t="n">
        <v>3.9</v>
      </c>
      <c r="H630" t="n">
        <v>0</v>
      </c>
      <c r="I630" t="n">
        <v>0</v>
      </c>
      <c r="J630" t="n">
        <v>0</v>
      </c>
      <c r="K630" t="n">
        <v>0</v>
      </c>
      <c r="L630" t="n">
        <v>0</v>
      </c>
      <c r="M630" t="n">
        <v>0</v>
      </c>
      <c r="N630" t="n">
        <v>0</v>
      </c>
      <c r="O630" t="n">
        <v>0</v>
      </c>
      <c r="P630" t="n">
        <v>0</v>
      </c>
      <c r="Q630" t="n">
        <v>0</v>
      </c>
      <c r="R630" s="2" t="inlineStr"/>
    </row>
    <row r="631" ht="15" customHeight="1">
      <c r="A631" t="inlineStr">
        <is>
          <t>A 50743-2023</t>
        </is>
      </c>
      <c r="B631" s="1" t="n">
        <v>45217</v>
      </c>
      <c r="C631" s="1" t="n">
        <v>45911</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45771-2023</t>
        </is>
      </c>
      <c r="B632" s="1" t="n">
        <v>45195.4384375</v>
      </c>
      <c r="C632" s="1" t="n">
        <v>45911</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63554-2023</t>
        </is>
      </c>
      <c r="B633" s="1" t="n">
        <v>45275</v>
      </c>
      <c r="C633" s="1" t="n">
        <v>45911</v>
      </c>
      <c r="D633" t="inlineStr">
        <is>
          <t>ÖSTERGÖTLANDS LÄN</t>
        </is>
      </c>
      <c r="E633" t="inlineStr">
        <is>
          <t>LINKÖPING</t>
        </is>
      </c>
      <c r="G633" t="n">
        <v>4.3</v>
      </c>
      <c r="H633" t="n">
        <v>0</v>
      </c>
      <c r="I633" t="n">
        <v>0</v>
      </c>
      <c r="J633" t="n">
        <v>0</v>
      </c>
      <c r="K633" t="n">
        <v>0</v>
      </c>
      <c r="L633" t="n">
        <v>0</v>
      </c>
      <c r="M633" t="n">
        <v>0</v>
      </c>
      <c r="N633" t="n">
        <v>0</v>
      </c>
      <c r="O633" t="n">
        <v>0</v>
      </c>
      <c r="P633" t="n">
        <v>0</v>
      </c>
      <c r="Q633" t="n">
        <v>0</v>
      </c>
      <c r="R633" s="2" t="inlineStr"/>
    </row>
    <row r="634" ht="15" customHeight="1">
      <c r="A634" t="inlineStr">
        <is>
          <t>A 57766-2023</t>
        </is>
      </c>
      <c r="B634" s="1" t="n">
        <v>45246</v>
      </c>
      <c r="C634" s="1" t="n">
        <v>45911</v>
      </c>
      <c r="D634" t="inlineStr">
        <is>
          <t>ÖSTERGÖTLANDS LÄN</t>
        </is>
      </c>
      <c r="E634" t="inlineStr">
        <is>
          <t>LINKÖPING</t>
        </is>
      </c>
      <c r="F634" t="inlineStr">
        <is>
          <t>Allmännings- och besparingsskogar</t>
        </is>
      </c>
      <c r="G634" t="n">
        <v>12.8</v>
      </c>
      <c r="H634" t="n">
        <v>0</v>
      </c>
      <c r="I634" t="n">
        <v>0</v>
      </c>
      <c r="J634" t="n">
        <v>0</v>
      </c>
      <c r="K634" t="n">
        <v>0</v>
      </c>
      <c r="L634" t="n">
        <v>0</v>
      </c>
      <c r="M634" t="n">
        <v>0</v>
      </c>
      <c r="N634" t="n">
        <v>0</v>
      </c>
      <c r="O634" t="n">
        <v>0</v>
      </c>
      <c r="P634" t="n">
        <v>0</v>
      </c>
      <c r="Q634" t="n">
        <v>0</v>
      </c>
      <c r="R634" s="2" t="inlineStr"/>
    </row>
    <row r="635" ht="15" customHeight="1">
      <c r="A635" t="inlineStr">
        <is>
          <t>A 30111-2024</t>
        </is>
      </c>
      <c r="B635" s="1" t="n">
        <v>45489.46947916667</v>
      </c>
      <c r="C635" s="1" t="n">
        <v>45911</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30119-2024</t>
        </is>
      </c>
      <c r="B636" s="1" t="n">
        <v>45489</v>
      </c>
      <c r="C636" s="1" t="n">
        <v>45911</v>
      </c>
      <c r="D636" t="inlineStr">
        <is>
          <t>ÖSTERGÖTLANDS LÄN</t>
        </is>
      </c>
      <c r="E636" t="inlineStr">
        <is>
          <t>LINKÖPING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6206-2024</t>
        </is>
      </c>
      <c r="B637" s="1" t="n">
        <v>45337.5977662037</v>
      </c>
      <c r="C637" s="1" t="n">
        <v>45911</v>
      </c>
      <c r="D637" t="inlineStr">
        <is>
          <t>ÖSTERGÖTLANDS LÄN</t>
        </is>
      </c>
      <c r="E637" t="inlineStr">
        <is>
          <t>LINKÖPING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27186-2021</t>
        </is>
      </c>
      <c r="B638" s="1" t="n">
        <v>44350.67715277777</v>
      </c>
      <c r="C638" s="1" t="n">
        <v>45911</v>
      </c>
      <c r="D638" t="inlineStr">
        <is>
          <t>ÖSTERGÖTLANDS LÄN</t>
        </is>
      </c>
      <c r="E638" t="inlineStr">
        <is>
          <t>LINKÖPING</t>
        </is>
      </c>
      <c r="F638" t="inlineStr">
        <is>
          <t>Allmännings- och besparingsskogar</t>
        </is>
      </c>
      <c r="G638" t="n">
        <v>1.4</v>
      </c>
      <c r="H638" t="n">
        <v>0</v>
      </c>
      <c r="I638" t="n">
        <v>0</v>
      </c>
      <c r="J638" t="n">
        <v>0</v>
      </c>
      <c r="K638" t="n">
        <v>0</v>
      </c>
      <c r="L638" t="n">
        <v>0</v>
      </c>
      <c r="M638" t="n">
        <v>0</v>
      </c>
      <c r="N638" t="n">
        <v>0</v>
      </c>
      <c r="O638" t="n">
        <v>0</v>
      </c>
      <c r="P638" t="n">
        <v>0</v>
      </c>
      <c r="Q638" t="n">
        <v>0</v>
      </c>
      <c r="R638" s="2" t="inlineStr"/>
    </row>
    <row r="639" ht="15" customHeight="1">
      <c r="A639" t="inlineStr">
        <is>
          <t>A 10194-2023</t>
        </is>
      </c>
      <c r="B639" s="1" t="n">
        <v>44986.52277777778</v>
      </c>
      <c r="C639" s="1" t="n">
        <v>45911</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15714-2024</t>
        </is>
      </c>
      <c r="B640" s="1" t="n">
        <v>45404.48288194444</v>
      </c>
      <c r="C640" s="1" t="n">
        <v>45911</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55944-2024</t>
        </is>
      </c>
      <c r="B641" s="1" t="n">
        <v>45623.61640046296</v>
      </c>
      <c r="C641" s="1" t="n">
        <v>45911</v>
      </c>
      <c r="D641" t="inlineStr">
        <is>
          <t>ÖSTERGÖTLANDS LÄN</t>
        </is>
      </c>
      <c r="E641" t="inlineStr">
        <is>
          <t>LINKÖPING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55947-2024</t>
        </is>
      </c>
      <c r="B642" s="1" t="n">
        <v>45623</v>
      </c>
      <c r="C642" s="1" t="n">
        <v>45911</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47703-2023</t>
        </is>
      </c>
      <c r="B643" s="1" t="n">
        <v>45203</v>
      </c>
      <c r="C643" s="1" t="n">
        <v>45911</v>
      </c>
      <c r="D643" t="inlineStr">
        <is>
          <t>ÖSTERGÖTLANDS LÄN</t>
        </is>
      </c>
      <c r="E643" t="inlineStr">
        <is>
          <t>LINKÖPING</t>
        </is>
      </c>
      <c r="G643" t="n">
        <v>4.1</v>
      </c>
      <c r="H643" t="n">
        <v>0</v>
      </c>
      <c r="I643" t="n">
        <v>0</v>
      </c>
      <c r="J643" t="n">
        <v>0</v>
      </c>
      <c r="K643" t="n">
        <v>0</v>
      </c>
      <c r="L643" t="n">
        <v>0</v>
      </c>
      <c r="M643" t="n">
        <v>0</v>
      </c>
      <c r="N643" t="n">
        <v>0</v>
      </c>
      <c r="O643" t="n">
        <v>0</v>
      </c>
      <c r="P643" t="n">
        <v>0</v>
      </c>
      <c r="Q643" t="n">
        <v>0</v>
      </c>
      <c r="R643" s="2" t="inlineStr"/>
    </row>
    <row r="644" ht="15" customHeight="1">
      <c r="A644" t="inlineStr">
        <is>
          <t>A 51559-2024</t>
        </is>
      </c>
      <c r="B644" s="1" t="n">
        <v>45604.61431712963</v>
      </c>
      <c r="C644" s="1" t="n">
        <v>45911</v>
      </c>
      <c r="D644" t="inlineStr">
        <is>
          <t>ÖSTERGÖTLANDS LÄN</t>
        </is>
      </c>
      <c r="E644" t="inlineStr">
        <is>
          <t>LINKÖPING</t>
        </is>
      </c>
      <c r="F644" t="inlineStr">
        <is>
          <t>Övriga Aktiebolag</t>
        </is>
      </c>
      <c r="G644" t="n">
        <v>2.4</v>
      </c>
      <c r="H644" t="n">
        <v>0</v>
      </c>
      <c r="I644" t="n">
        <v>0</v>
      </c>
      <c r="J644" t="n">
        <v>0</v>
      </c>
      <c r="K644" t="n">
        <v>0</v>
      </c>
      <c r="L644" t="n">
        <v>0</v>
      </c>
      <c r="M644" t="n">
        <v>0</v>
      </c>
      <c r="N644" t="n">
        <v>0</v>
      </c>
      <c r="O644" t="n">
        <v>0</v>
      </c>
      <c r="P644" t="n">
        <v>0</v>
      </c>
      <c r="Q644" t="n">
        <v>0</v>
      </c>
      <c r="R644" s="2" t="inlineStr"/>
    </row>
    <row r="645" ht="15" customHeight="1">
      <c r="A645" t="inlineStr">
        <is>
          <t>A 30481-2023</t>
        </is>
      </c>
      <c r="B645" s="1" t="n">
        <v>45111</v>
      </c>
      <c r="C645" s="1" t="n">
        <v>45911</v>
      </c>
      <c r="D645" t="inlineStr">
        <is>
          <t>ÖSTERGÖTLANDS LÄN</t>
        </is>
      </c>
      <c r="E645" t="inlineStr">
        <is>
          <t>LINKÖPING</t>
        </is>
      </c>
      <c r="F645" t="inlineStr">
        <is>
          <t>Övriga Aktiebolag</t>
        </is>
      </c>
      <c r="G645" t="n">
        <v>2</v>
      </c>
      <c r="H645" t="n">
        <v>0</v>
      </c>
      <c r="I645" t="n">
        <v>0</v>
      </c>
      <c r="J645" t="n">
        <v>0</v>
      </c>
      <c r="K645" t="n">
        <v>0</v>
      </c>
      <c r="L645" t="n">
        <v>0</v>
      </c>
      <c r="M645" t="n">
        <v>0</v>
      </c>
      <c r="N645" t="n">
        <v>0</v>
      </c>
      <c r="O645" t="n">
        <v>0</v>
      </c>
      <c r="P645" t="n">
        <v>0</v>
      </c>
      <c r="Q645" t="n">
        <v>0</v>
      </c>
      <c r="R645" s="2" t="inlineStr"/>
    </row>
    <row r="646" ht="15" customHeight="1">
      <c r="A646" t="inlineStr">
        <is>
          <t>A 74160-2021</t>
        </is>
      </c>
      <c r="B646" s="1" t="n">
        <v>44558</v>
      </c>
      <c r="C646" s="1" t="n">
        <v>45911</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63559-2023</t>
        </is>
      </c>
      <c r="B647" s="1" t="n">
        <v>45275.35924768518</v>
      </c>
      <c r="C647" s="1" t="n">
        <v>45911</v>
      </c>
      <c r="D647" t="inlineStr">
        <is>
          <t>ÖSTERGÖTLANDS LÄN</t>
        </is>
      </c>
      <c r="E647" t="inlineStr">
        <is>
          <t>LINKÖPING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62353-2022</t>
        </is>
      </c>
      <c r="B648" s="1" t="n">
        <v>44923</v>
      </c>
      <c r="C648" s="1" t="n">
        <v>45911</v>
      </c>
      <c r="D648" t="inlineStr">
        <is>
          <t>ÖSTERGÖTLANDS LÄN</t>
        </is>
      </c>
      <c r="E648" t="inlineStr">
        <is>
          <t>LINKÖPING</t>
        </is>
      </c>
      <c r="F648" t="inlineStr">
        <is>
          <t>Allmännings- och besparingsskogar</t>
        </is>
      </c>
      <c r="G648" t="n">
        <v>1.7</v>
      </c>
      <c r="H648" t="n">
        <v>0</v>
      </c>
      <c r="I648" t="n">
        <v>0</v>
      </c>
      <c r="J648" t="n">
        <v>0</v>
      </c>
      <c r="K648" t="n">
        <v>0</v>
      </c>
      <c r="L648" t="n">
        <v>0</v>
      </c>
      <c r="M648" t="n">
        <v>0</v>
      </c>
      <c r="N648" t="n">
        <v>0</v>
      </c>
      <c r="O648" t="n">
        <v>0</v>
      </c>
      <c r="P648" t="n">
        <v>0</v>
      </c>
      <c r="Q648" t="n">
        <v>0</v>
      </c>
      <c r="R648" s="2" t="inlineStr"/>
    </row>
    <row r="649" ht="15" customHeight="1">
      <c r="A649" t="inlineStr">
        <is>
          <t>A 15754-2025</t>
        </is>
      </c>
      <c r="B649" s="1" t="n">
        <v>45748.56105324074</v>
      </c>
      <c r="C649" s="1" t="n">
        <v>45911</v>
      </c>
      <c r="D649" t="inlineStr">
        <is>
          <t>ÖSTERGÖTLANDS LÄN</t>
        </is>
      </c>
      <c r="E649" t="inlineStr">
        <is>
          <t>LINKÖPING</t>
        </is>
      </c>
      <c r="G649" t="n">
        <v>1.7</v>
      </c>
      <c r="H649" t="n">
        <v>0</v>
      </c>
      <c r="I649" t="n">
        <v>0</v>
      </c>
      <c r="J649" t="n">
        <v>0</v>
      </c>
      <c r="K649" t="n">
        <v>0</v>
      </c>
      <c r="L649" t="n">
        <v>0</v>
      </c>
      <c r="M649" t="n">
        <v>0</v>
      </c>
      <c r="N649" t="n">
        <v>0</v>
      </c>
      <c r="O649" t="n">
        <v>0</v>
      </c>
      <c r="P649" t="n">
        <v>0</v>
      </c>
      <c r="Q649" t="n">
        <v>0</v>
      </c>
      <c r="R649" s="2" t="inlineStr"/>
    </row>
    <row r="650" ht="15" customHeight="1">
      <c r="A650" t="inlineStr">
        <is>
          <t>A 4298-2023</t>
        </is>
      </c>
      <c r="B650" s="1" t="n">
        <v>44953</v>
      </c>
      <c r="C650" s="1" t="n">
        <v>45911</v>
      </c>
      <c r="D650" t="inlineStr">
        <is>
          <t>ÖSTERGÖTLANDS LÄN</t>
        </is>
      </c>
      <c r="E650" t="inlineStr">
        <is>
          <t>LINKÖPING</t>
        </is>
      </c>
      <c r="G650" t="n">
        <v>2.8</v>
      </c>
      <c r="H650" t="n">
        <v>0</v>
      </c>
      <c r="I650" t="n">
        <v>0</v>
      </c>
      <c r="J650" t="n">
        <v>0</v>
      </c>
      <c r="K650" t="n">
        <v>0</v>
      </c>
      <c r="L650" t="n">
        <v>0</v>
      </c>
      <c r="M650" t="n">
        <v>0</v>
      </c>
      <c r="N650" t="n">
        <v>0</v>
      </c>
      <c r="O650" t="n">
        <v>0</v>
      </c>
      <c r="P650" t="n">
        <v>0</v>
      </c>
      <c r="Q650" t="n">
        <v>0</v>
      </c>
      <c r="R650" s="2" t="inlineStr"/>
    </row>
    <row r="651" ht="15" customHeight="1">
      <c r="A651" t="inlineStr">
        <is>
          <t>A 18145-2021</t>
        </is>
      </c>
      <c r="B651" s="1" t="n">
        <v>44302</v>
      </c>
      <c r="C651" s="1" t="n">
        <v>45911</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23491-2024</t>
        </is>
      </c>
      <c r="B652" s="1" t="n">
        <v>45453</v>
      </c>
      <c r="C652" s="1" t="n">
        <v>45911</v>
      </c>
      <c r="D652" t="inlineStr">
        <is>
          <t>ÖSTERGÖTLANDS LÄN</t>
        </is>
      </c>
      <c r="E652" t="inlineStr">
        <is>
          <t>LINKÖPING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25568-2024</t>
        </is>
      </c>
      <c r="B653" s="1" t="n">
        <v>45463.58699074074</v>
      </c>
      <c r="C653" s="1" t="n">
        <v>45911</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38136-2023</t>
        </is>
      </c>
      <c r="B654" s="1" t="n">
        <v>45161.37310185185</v>
      </c>
      <c r="C654" s="1" t="n">
        <v>45911</v>
      </c>
      <c r="D654" t="inlineStr">
        <is>
          <t>ÖSTERGÖTLANDS LÄN</t>
        </is>
      </c>
      <c r="E654" t="inlineStr">
        <is>
          <t>LINKÖPING</t>
        </is>
      </c>
      <c r="G654" t="n">
        <v>5.6</v>
      </c>
      <c r="H654" t="n">
        <v>0</v>
      </c>
      <c r="I654" t="n">
        <v>0</v>
      </c>
      <c r="J654" t="n">
        <v>0</v>
      </c>
      <c r="K654" t="n">
        <v>0</v>
      </c>
      <c r="L654" t="n">
        <v>0</v>
      </c>
      <c r="M654" t="n">
        <v>0</v>
      </c>
      <c r="N654" t="n">
        <v>0</v>
      </c>
      <c r="O654" t="n">
        <v>0</v>
      </c>
      <c r="P654" t="n">
        <v>0</v>
      </c>
      <c r="Q654" t="n">
        <v>0</v>
      </c>
      <c r="R654" s="2" t="inlineStr"/>
    </row>
    <row r="655" ht="15" customHeight="1">
      <c r="A655" t="inlineStr">
        <is>
          <t>A 12317-2025</t>
        </is>
      </c>
      <c r="B655" s="1" t="n">
        <v>45729.8487037037</v>
      </c>
      <c r="C655" s="1" t="n">
        <v>45911</v>
      </c>
      <c r="D655" t="inlineStr">
        <is>
          <t>ÖSTERGÖTLANDS LÄN</t>
        </is>
      </c>
      <c r="E655" t="inlineStr">
        <is>
          <t>LINKÖPING</t>
        </is>
      </c>
      <c r="G655" t="n">
        <v>8</v>
      </c>
      <c r="H655" t="n">
        <v>0</v>
      </c>
      <c r="I655" t="n">
        <v>0</v>
      </c>
      <c r="J655" t="n">
        <v>0</v>
      </c>
      <c r="K655" t="n">
        <v>0</v>
      </c>
      <c r="L655" t="n">
        <v>0</v>
      </c>
      <c r="M655" t="n">
        <v>0</v>
      </c>
      <c r="N655" t="n">
        <v>0</v>
      </c>
      <c r="O655" t="n">
        <v>0</v>
      </c>
      <c r="P655" t="n">
        <v>0</v>
      </c>
      <c r="Q655" t="n">
        <v>0</v>
      </c>
      <c r="R655" s="2" t="inlineStr"/>
    </row>
    <row r="656" ht="15" customHeight="1">
      <c r="A656" t="inlineStr">
        <is>
          <t>A 14528-2025</t>
        </is>
      </c>
      <c r="B656" s="1" t="n">
        <v>45741</v>
      </c>
      <c r="C656" s="1" t="n">
        <v>45911</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61649-2023</t>
        </is>
      </c>
      <c r="B657" s="1" t="n">
        <v>45265</v>
      </c>
      <c r="C657" s="1" t="n">
        <v>45911</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60985-2023</t>
        </is>
      </c>
      <c r="B658" s="1" t="n">
        <v>45261.48429398148</v>
      </c>
      <c r="C658" s="1" t="n">
        <v>45911</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421-2024</t>
        </is>
      </c>
      <c r="B659" s="1" t="n">
        <v>45296.51877314815</v>
      </c>
      <c r="C659" s="1" t="n">
        <v>45911</v>
      </c>
      <c r="D659" t="inlineStr">
        <is>
          <t>ÖSTERGÖTLANDS LÄN</t>
        </is>
      </c>
      <c r="E659" t="inlineStr">
        <is>
          <t>LINKÖPING</t>
        </is>
      </c>
      <c r="G659" t="n">
        <v>3.7</v>
      </c>
      <c r="H659" t="n">
        <v>0</v>
      </c>
      <c r="I659" t="n">
        <v>0</v>
      </c>
      <c r="J659" t="n">
        <v>0</v>
      </c>
      <c r="K659" t="n">
        <v>0</v>
      </c>
      <c r="L659" t="n">
        <v>0</v>
      </c>
      <c r="M659" t="n">
        <v>0</v>
      </c>
      <c r="N659" t="n">
        <v>0</v>
      </c>
      <c r="O659" t="n">
        <v>0</v>
      </c>
      <c r="P659" t="n">
        <v>0</v>
      </c>
      <c r="Q659" t="n">
        <v>0</v>
      </c>
      <c r="R659" s="2" t="inlineStr"/>
    </row>
    <row r="660" ht="15" customHeight="1">
      <c r="A660" t="inlineStr">
        <is>
          <t>A 13691-2025</t>
        </is>
      </c>
      <c r="B660" s="1" t="n">
        <v>45737.31671296297</v>
      </c>
      <c r="C660" s="1" t="n">
        <v>45911</v>
      </c>
      <c r="D660" t="inlineStr">
        <is>
          <t>ÖSTERGÖTLANDS LÄN</t>
        </is>
      </c>
      <c r="E660" t="inlineStr">
        <is>
          <t>LINKÖPING</t>
        </is>
      </c>
      <c r="G660" t="n">
        <v>2.5</v>
      </c>
      <c r="H660" t="n">
        <v>0</v>
      </c>
      <c r="I660" t="n">
        <v>0</v>
      </c>
      <c r="J660" t="n">
        <v>0</v>
      </c>
      <c r="K660" t="n">
        <v>0</v>
      </c>
      <c r="L660" t="n">
        <v>0</v>
      </c>
      <c r="M660" t="n">
        <v>0</v>
      </c>
      <c r="N660" t="n">
        <v>0</v>
      </c>
      <c r="O660" t="n">
        <v>0</v>
      </c>
      <c r="P660" t="n">
        <v>0</v>
      </c>
      <c r="Q660" t="n">
        <v>0</v>
      </c>
      <c r="R660" s="2" t="inlineStr"/>
    </row>
    <row r="661" ht="15" customHeight="1">
      <c r="A661" t="inlineStr">
        <is>
          <t>A 51405-2023</t>
        </is>
      </c>
      <c r="B661" s="1" t="n">
        <v>45219</v>
      </c>
      <c r="C661" s="1" t="n">
        <v>45911</v>
      </c>
      <c r="D661" t="inlineStr">
        <is>
          <t>ÖSTERGÖTLANDS LÄN</t>
        </is>
      </c>
      <c r="E661" t="inlineStr">
        <is>
          <t>LINKÖPING</t>
        </is>
      </c>
      <c r="F661" t="inlineStr">
        <is>
          <t>Övriga Aktiebolag</t>
        </is>
      </c>
      <c r="G661" t="n">
        <v>3</v>
      </c>
      <c r="H661" t="n">
        <v>0</v>
      </c>
      <c r="I661" t="n">
        <v>0</v>
      </c>
      <c r="J661" t="n">
        <v>0</v>
      </c>
      <c r="K661" t="n">
        <v>0</v>
      </c>
      <c r="L661" t="n">
        <v>0</v>
      </c>
      <c r="M661" t="n">
        <v>0</v>
      </c>
      <c r="N661" t="n">
        <v>0</v>
      </c>
      <c r="O661" t="n">
        <v>0</v>
      </c>
      <c r="P661" t="n">
        <v>0</v>
      </c>
      <c r="Q661" t="n">
        <v>0</v>
      </c>
      <c r="R661" s="2" t="inlineStr"/>
    </row>
    <row r="662" ht="15" customHeight="1">
      <c r="A662" t="inlineStr">
        <is>
          <t>A 53639-2023</t>
        </is>
      </c>
      <c r="B662" s="1" t="n">
        <v>45230.59686342593</v>
      </c>
      <c r="C662" s="1" t="n">
        <v>45911</v>
      </c>
      <c r="D662" t="inlineStr">
        <is>
          <t>ÖSTERGÖTLANDS LÄN</t>
        </is>
      </c>
      <c r="E662" t="inlineStr">
        <is>
          <t>LINKÖPING</t>
        </is>
      </c>
      <c r="G662" t="n">
        <v>2.3</v>
      </c>
      <c r="H662" t="n">
        <v>0</v>
      </c>
      <c r="I662" t="n">
        <v>0</v>
      </c>
      <c r="J662" t="n">
        <v>0</v>
      </c>
      <c r="K662" t="n">
        <v>0</v>
      </c>
      <c r="L662" t="n">
        <v>0</v>
      </c>
      <c r="M662" t="n">
        <v>0</v>
      </c>
      <c r="N662" t="n">
        <v>0</v>
      </c>
      <c r="O662" t="n">
        <v>0</v>
      </c>
      <c r="P662" t="n">
        <v>0</v>
      </c>
      <c r="Q662" t="n">
        <v>0</v>
      </c>
      <c r="R662" s="2" t="inlineStr"/>
    </row>
    <row r="663" ht="15" customHeight="1">
      <c r="A663" t="inlineStr">
        <is>
          <t>A 24467-2023</t>
        </is>
      </c>
      <c r="B663" s="1" t="n">
        <v>45082</v>
      </c>
      <c r="C663" s="1" t="n">
        <v>45911</v>
      </c>
      <c r="D663" t="inlineStr">
        <is>
          <t>ÖSTERGÖTLANDS LÄN</t>
        </is>
      </c>
      <c r="E663" t="inlineStr">
        <is>
          <t>LINKÖPING</t>
        </is>
      </c>
      <c r="G663" t="n">
        <v>2.4</v>
      </c>
      <c r="H663" t="n">
        <v>0</v>
      </c>
      <c r="I663" t="n">
        <v>0</v>
      </c>
      <c r="J663" t="n">
        <v>0</v>
      </c>
      <c r="K663" t="n">
        <v>0</v>
      </c>
      <c r="L663" t="n">
        <v>0</v>
      </c>
      <c r="M663" t="n">
        <v>0</v>
      </c>
      <c r="N663" t="n">
        <v>0</v>
      </c>
      <c r="O663" t="n">
        <v>0</v>
      </c>
      <c r="P663" t="n">
        <v>0</v>
      </c>
      <c r="Q663" t="n">
        <v>0</v>
      </c>
      <c r="R663" s="2" t="inlineStr"/>
    </row>
    <row r="664" ht="15" customHeight="1">
      <c r="A664" t="inlineStr">
        <is>
          <t>A 62488-2023</t>
        </is>
      </c>
      <c r="B664" s="1" t="n">
        <v>45268.5847337963</v>
      </c>
      <c r="C664" s="1" t="n">
        <v>45911</v>
      </c>
      <c r="D664" t="inlineStr">
        <is>
          <t>ÖSTERGÖTLANDS LÄN</t>
        </is>
      </c>
      <c r="E664" t="inlineStr">
        <is>
          <t>LINKÖPING</t>
        </is>
      </c>
      <c r="G664" t="n">
        <v>4.1</v>
      </c>
      <c r="H664" t="n">
        <v>0</v>
      </c>
      <c r="I664" t="n">
        <v>0</v>
      </c>
      <c r="J664" t="n">
        <v>0</v>
      </c>
      <c r="K664" t="n">
        <v>0</v>
      </c>
      <c r="L664" t="n">
        <v>0</v>
      </c>
      <c r="M664" t="n">
        <v>0</v>
      </c>
      <c r="N664" t="n">
        <v>0</v>
      </c>
      <c r="O664" t="n">
        <v>0</v>
      </c>
      <c r="P664" t="n">
        <v>0</v>
      </c>
      <c r="Q664" t="n">
        <v>0</v>
      </c>
      <c r="R664" s="2" t="inlineStr"/>
    </row>
    <row r="665" ht="15" customHeight="1">
      <c r="A665" t="inlineStr">
        <is>
          <t>A 62495-2023</t>
        </is>
      </c>
      <c r="B665" s="1" t="n">
        <v>45268.59717592593</v>
      </c>
      <c r="C665" s="1" t="n">
        <v>45911</v>
      </c>
      <c r="D665" t="inlineStr">
        <is>
          <t>ÖSTERGÖTLANDS LÄN</t>
        </is>
      </c>
      <c r="E665" t="inlineStr">
        <is>
          <t>LINKÖPING</t>
        </is>
      </c>
      <c r="G665" t="n">
        <v>4.1</v>
      </c>
      <c r="H665" t="n">
        <v>0</v>
      </c>
      <c r="I665" t="n">
        <v>0</v>
      </c>
      <c r="J665" t="n">
        <v>0</v>
      </c>
      <c r="K665" t="n">
        <v>0</v>
      </c>
      <c r="L665" t="n">
        <v>0</v>
      </c>
      <c r="M665" t="n">
        <v>0</v>
      </c>
      <c r="N665" t="n">
        <v>0</v>
      </c>
      <c r="O665" t="n">
        <v>0</v>
      </c>
      <c r="P665" t="n">
        <v>0</v>
      </c>
      <c r="Q665" t="n">
        <v>0</v>
      </c>
      <c r="R665" s="2" t="inlineStr"/>
    </row>
    <row r="666" ht="15" customHeight="1">
      <c r="A666" t="inlineStr">
        <is>
          <t>A 10198-2023</t>
        </is>
      </c>
      <c r="B666" s="1" t="n">
        <v>44986.54665509259</v>
      </c>
      <c r="C666" s="1" t="n">
        <v>45911</v>
      </c>
      <c r="D666" t="inlineStr">
        <is>
          <t>ÖSTERGÖTLANDS LÄN</t>
        </is>
      </c>
      <c r="E666" t="inlineStr">
        <is>
          <t>LINKÖPING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22771-2024</t>
        </is>
      </c>
      <c r="B667" s="1" t="n">
        <v>45448.46574074074</v>
      </c>
      <c r="C667" s="1" t="n">
        <v>45911</v>
      </c>
      <c r="D667" t="inlineStr">
        <is>
          <t>ÖSTERGÖTLANDS LÄN</t>
        </is>
      </c>
      <c r="E667" t="inlineStr">
        <is>
          <t>LINKÖPING</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17128-2025</t>
        </is>
      </c>
      <c r="B668" s="1" t="n">
        <v>45755.72622685185</v>
      </c>
      <c r="C668" s="1" t="n">
        <v>45911</v>
      </c>
      <c r="D668" t="inlineStr">
        <is>
          <t>ÖSTERGÖTLANDS LÄN</t>
        </is>
      </c>
      <c r="E668" t="inlineStr">
        <is>
          <t>LINKÖPING</t>
        </is>
      </c>
      <c r="G668" t="n">
        <v>2.9</v>
      </c>
      <c r="H668" t="n">
        <v>0</v>
      </c>
      <c r="I668" t="n">
        <v>0</v>
      </c>
      <c r="J668" t="n">
        <v>0</v>
      </c>
      <c r="K668" t="n">
        <v>0</v>
      </c>
      <c r="L668" t="n">
        <v>0</v>
      </c>
      <c r="M668" t="n">
        <v>0</v>
      </c>
      <c r="N668" t="n">
        <v>0</v>
      </c>
      <c r="O668" t="n">
        <v>0</v>
      </c>
      <c r="P668" t="n">
        <v>0</v>
      </c>
      <c r="Q668" t="n">
        <v>0</v>
      </c>
      <c r="R668" s="2" t="inlineStr"/>
    </row>
    <row r="669" ht="15" customHeight="1">
      <c r="A669" t="inlineStr">
        <is>
          <t>A 62018-2024</t>
        </is>
      </c>
      <c r="B669" s="1" t="n">
        <v>45655.81387731482</v>
      </c>
      <c r="C669" s="1" t="n">
        <v>45911</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62073-2023</t>
        </is>
      </c>
      <c r="B670" s="1" t="n">
        <v>45266.73844907407</v>
      </c>
      <c r="C670" s="1" t="n">
        <v>45911</v>
      </c>
      <c r="D670" t="inlineStr">
        <is>
          <t>ÖSTERGÖTLANDS LÄN</t>
        </is>
      </c>
      <c r="E670" t="inlineStr">
        <is>
          <t>LINKÖPING</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672-2024</t>
        </is>
      </c>
      <c r="B671" s="1" t="n">
        <v>45300</v>
      </c>
      <c r="C671" s="1" t="n">
        <v>45911</v>
      </c>
      <c r="D671" t="inlineStr">
        <is>
          <t>ÖSTERGÖTLANDS LÄN</t>
        </is>
      </c>
      <c r="E671" t="inlineStr">
        <is>
          <t>LINKÖPING</t>
        </is>
      </c>
      <c r="F671" t="inlineStr">
        <is>
          <t>Sveaskog</t>
        </is>
      </c>
      <c r="G671" t="n">
        <v>4.5</v>
      </c>
      <c r="H671" t="n">
        <v>0</v>
      </c>
      <c r="I671" t="n">
        <v>0</v>
      </c>
      <c r="J671" t="n">
        <v>0</v>
      </c>
      <c r="K671" t="n">
        <v>0</v>
      </c>
      <c r="L671" t="n">
        <v>0</v>
      </c>
      <c r="M671" t="n">
        <v>0</v>
      </c>
      <c r="N671" t="n">
        <v>0</v>
      </c>
      <c r="O671" t="n">
        <v>0</v>
      </c>
      <c r="P671" t="n">
        <v>0</v>
      </c>
      <c r="Q671" t="n">
        <v>0</v>
      </c>
      <c r="R671" s="2" t="inlineStr"/>
    </row>
    <row r="672" ht="15" customHeight="1">
      <c r="A672" t="inlineStr">
        <is>
          <t>A 42832-2023</t>
        </is>
      </c>
      <c r="B672" s="1" t="n">
        <v>45182.38091435185</v>
      </c>
      <c r="C672" s="1" t="n">
        <v>45911</v>
      </c>
      <c r="D672" t="inlineStr">
        <is>
          <t>ÖSTERGÖTLANDS LÄN</t>
        </is>
      </c>
      <c r="E672" t="inlineStr">
        <is>
          <t>LINKÖPING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5872-2025</t>
        </is>
      </c>
      <c r="B673" s="1" t="n">
        <v>45695.36659722222</v>
      </c>
      <c r="C673" s="1" t="n">
        <v>45911</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59674-2024</t>
        </is>
      </c>
      <c r="B674" s="1" t="n">
        <v>45639</v>
      </c>
      <c r="C674" s="1" t="n">
        <v>45911</v>
      </c>
      <c r="D674" t="inlineStr">
        <is>
          <t>ÖSTERGÖTLANDS LÄN</t>
        </is>
      </c>
      <c r="E674" t="inlineStr">
        <is>
          <t>LINKÖPING</t>
        </is>
      </c>
      <c r="G674" t="n">
        <v>6.3</v>
      </c>
      <c r="H674" t="n">
        <v>0</v>
      </c>
      <c r="I674" t="n">
        <v>0</v>
      </c>
      <c r="J674" t="n">
        <v>0</v>
      </c>
      <c r="K674" t="n">
        <v>0</v>
      </c>
      <c r="L674" t="n">
        <v>0</v>
      </c>
      <c r="M674" t="n">
        <v>0</v>
      </c>
      <c r="N674" t="n">
        <v>0</v>
      </c>
      <c r="O674" t="n">
        <v>0</v>
      </c>
      <c r="P674" t="n">
        <v>0</v>
      </c>
      <c r="Q674" t="n">
        <v>0</v>
      </c>
      <c r="R674" s="2" t="inlineStr"/>
    </row>
    <row r="675" ht="15" customHeight="1">
      <c r="A675" t="inlineStr">
        <is>
          <t>A 59576-2024</t>
        </is>
      </c>
      <c r="B675" s="1" t="n">
        <v>45638.66378472222</v>
      </c>
      <c r="C675" s="1" t="n">
        <v>45911</v>
      </c>
      <c r="D675" t="inlineStr">
        <is>
          <t>ÖSTERGÖTLANDS LÄN</t>
        </is>
      </c>
      <c r="E675" t="inlineStr">
        <is>
          <t>LINKÖPING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51583-2024</t>
        </is>
      </c>
      <c r="B676" s="1" t="n">
        <v>45604.6397337963</v>
      </c>
      <c r="C676" s="1" t="n">
        <v>45911</v>
      </c>
      <c r="D676" t="inlineStr">
        <is>
          <t>ÖSTERGÖTLANDS LÄN</t>
        </is>
      </c>
      <c r="E676" t="inlineStr">
        <is>
          <t>LINKÖPING</t>
        </is>
      </c>
      <c r="F676" t="inlineStr">
        <is>
          <t>Övriga Aktiebolag</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62019-2024</t>
        </is>
      </c>
      <c r="B677" s="1" t="n">
        <v>45655.82</v>
      </c>
      <c r="C677" s="1" t="n">
        <v>45911</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38317-2024</t>
        </is>
      </c>
      <c r="B678" s="1" t="n">
        <v>45545.65766203704</v>
      </c>
      <c r="C678" s="1" t="n">
        <v>45911</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50182-2023</t>
        </is>
      </c>
      <c r="B679" s="1" t="n">
        <v>45208</v>
      </c>
      <c r="C679" s="1" t="n">
        <v>45911</v>
      </c>
      <c r="D679" t="inlineStr">
        <is>
          <t>ÖSTERGÖTLANDS LÄN</t>
        </is>
      </c>
      <c r="E679" t="inlineStr">
        <is>
          <t>LINKÖPING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1844-2025</t>
        </is>
      </c>
      <c r="B680" s="1" t="n">
        <v>45671.57730324074</v>
      </c>
      <c r="C680" s="1" t="n">
        <v>45911</v>
      </c>
      <c r="D680" t="inlineStr">
        <is>
          <t>ÖSTERGÖTLANDS LÄN</t>
        </is>
      </c>
      <c r="E680" t="inlineStr">
        <is>
          <t>LINKÖPING</t>
        </is>
      </c>
      <c r="G680" t="n">
        <v>2</v>
      </c>
      <c r="H680" t="n">
        <v>0</v>
      </c>
      <c r="I680" t="n">
        <v>0</v>
      </c>
      <c r="J680" t="n">
        <v>0</v>
      </c>
      <c r="K680" t="n">
        <v>0</v>
      </c>
      <c r="L680" t="n">
        <v>0</v>
      </c>
      <c r="M680" t="n">
        <v>0</v>
      </c>
      <c r="N680" t="n">
        <v>0</v>
      </c>
      <c r="O680" t="n">
        <v>0</v>
      </c>
      <c r="P680" t="n">
        <v>0</v>
      </c>
      <c r="Q680" t="n">
        <v>0</v>
      </c>
      <c r="R680" s="2" t="inlineStr"/>
    </row>
    <row r="681" ht="15" customHeight="1">
      <c r="A681" t="inlineStr">
        <is>
          <t>A 21155-2025</t>
        </is>
      </c>
      <c r="B681" s="1" t="n">
        <v>45779.37586805555</v>
      </c>
      <c r="C681" s="1" t="n">
        <v>45911</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21165-2025</t>
        </is>
      </c>
      <c r="B682" s="1" t="n">
        <v>45779.39417824074</v>
      </c>
      <c r="C682" s="1" t="n">
        <v>45911</v>
      </c>
      <c r="D682" t="inlineStr">
        <is>
          <t>ÖSTERGÖTLANDS LÄN</t>
        </is>
      </c>
      <c r="E682" t="inlineStr">
        <is>
          <t>LINKÖPING</t>
        </is>
      </c>
      <c r="G682" t="n">
        <v>1.2</v>
      </c>
      <c r="H682" t="n">
        <v>0</v>
      </c>
      <c r="I682" t="n">
        <v>0</v>
      </c>
      <c r="J682" t="n">
        <v>0</v>
      </c>
      <c r="K682" t="n">
        <v>0</v>
      </c>
      <c r="L682" t="n">
        <v>0</v>
      </c>
      <c r="M682" t="n">
        <v>0</v>
      </c>
      <c r="N682" t="n">
        <v>0</v>
      </c>
      <c r="O682" t="n">
        <v>0</v>
      </c>
      <c r="P682" t="n">
        <v>0</v>
      </c>
      <c r="Q682" t="n">
        <v>0</v>
      </c>
      <c r="R682" s="2" t="inlineStr"/>
    </row>
    <row r="683">
      <c r="A683" t="inlineStr">
        <is>
          <t>A 57752-2023</t>
        </is>
      </c>
      <c r="B683" s="1" t="n">
        <v>45246.78474537037</v>
      </c>
      <c r="C683" s="1" t="n">
        <v>45911</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2025-09-11T08:51:40Z</dcterms:created>
  <dcterms:modified xmlns:dcterms="http://purl.org/dc/terms/" xmlns:xsi="http://www.w3.org/2001/XMLSchema-instance" xsi:type="dcterms:W3CDTF">2025-09-11T08:51:41Z</dcterms:modified>
</cp:coreProperties>
</file>