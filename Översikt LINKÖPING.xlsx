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46022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46022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46022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46022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46022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46022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46022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46022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46022</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9192-2025</t>
        </is>
      </c>
      <c r="B12" s="1" t="n">
        <v>45714.45943287037</v>
      </c>
      <c r="C12" s="1" t="n">
        <v>46022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46022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46022</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46022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46022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46022</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46022</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46022</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46022</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46022</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46022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58068-2021</t>
        </is>
      </c>
      <c r="B23" s="1" t="n">
        <v>44487</v>
      </c>
      <c r="C23" s="1" t="n">
        <v>46022</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27981-2022</t>
        </is>
      </c>
      <c r="B24" s="1" t="n">
        <v>44745</v>
      </c>
      <c r="C24" s="1" t="n">
        <v>46022</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21326-2025</t>
        </is>
      </c>
      <c r="B25" s="1" t="n">
        <v>45782.35407407407</v>
      </c>
      <c r="C25" s="1" t="n">
        <v>46022</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50404-2023</t>
        </is>
      </c>
      <c r="B26" s="1" t="n">
        <v>45216</v>
      </c>
      <c r="C26" s="1" t="n">
        <v>46022</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46022</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46022</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46022</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46022</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25985-2025</t>
        </is>
      </c>
      <c r="B31" s="1" t="n">
        <v>45804.64479166667</v>
      </c>
      <c r="C31" s="1" t="n">
        <v>46022</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46022</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46022</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46022</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46022</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46022</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46022</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38913-2023</t>
        </is>
      </c>
      <c r="B38" s="1" t="n">
        <v>45163</v>
      </c>
      <c r="C38" s="1" t="n">
        <v>46022</v>
      </c>
      <c r="D38" t="inlineStr">
        <is>
          <t>ÖSTERGÖTLANDS LÄN</t>
        </is>
      </c>
      <c r="E38" t="inlineStr">
        <is>
          <t>LINKÖPING</t>
        </is>
      </c>
      <c r="G38" t="n">
        <v>2.7</v>
      </c>
      <c r="H38" t="n">
        <v>1</v>
      </c>
      <c r="I38" t="n">
        <v>1</v>
      </c>
      <c r="J38" t="n">
        <v>0</v>
      </c>
      <c r="K38" t="n">
        <v>0</v>
      </c>
      <c r="L38" t="n">
        <v>0</v>
      </c>
      <c r="M38" t="n">
        <v>0</v>
      </c>
      <c r="N38" t="n">
        <v>0</v>
      </c>
      <c r="O38" t="n">
        <v>0</v>
      </c>
      <c r="P38" t="n">
        <v>0</v>
      </c>
      <c r="Q38" t="n">
        <v>2</v>
      </c>
      <c r="R38" s="2" t="inlineStr">
        <is>
          <t>Skogsbräsma
Revlummer</t>
        </is>
      </c>
      <c r="S38">
        <f>HYPERLINK("https://klasma.github.io/Logging_0580/artfynd/A 38913-2023 artfynd.xlsx", "A 38913-2023")</f>
        <v/>
      </c>
      <c r="T38">
        <f>HYPERLINK("https://klasma.github.io/Logging_0580/kartor/A 38913-2023 karta.png", "A 38913-2023")</f>
        <v/>
      </c>
      <c r="V38">
        <f>HYPERLINK("https://klasma.github.io/Logging_0580/klagomål/A 38913-2023 FSC-klagomål.docx", "A 38913-2023")</f>
        <v/>
      </c>
      <c r="W38">
        <f>HYPERLINK("https://klasma.github.io/Logging_0580/klagomålsmail/A 38913-2023 FSC-klagomål mail.docx", "A 38913-2023")</f>
        <v/>
      </c>
      <c r="X38">
        <f>HYPERLINK("https://klasma.github.io/Logging_0580/tillsyn/A 38913-2023 tillsynsbegäran.docx", "A 38913-2023")</f>
        <v/>
      </c>
      <c r="Y38">
        <f>HYPERLINK("https://klasma.github.io/Logging_0580/tillsynsmail/A 38913-2023 tillsynsbegäran mail.docx", "A 38913-2023")</f>
        <v/>
      </c>
    </row>
    <row r="39" ht="15" customHeight="1">
      <c r="A39" t="inlineStr">
        <is>
          <t>A 41751-2023</t>
        </is>
      </c>
      <c r="B39" s="1" t="n">
        <v>45176</v>
      </c>
      <c r="C39" s="1" t="n">
        <v>46022</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46022</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46022</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38129-2021</t>
        </is>
      </c>
      <c r="B42" s="1" t="n">
        <v>44405.37199074074</v>
      </c>
      <c r="C42" s="1" t="n">
        <v>46022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46022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46022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46022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46022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46022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46022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60573-2021</t>
        </is>
      </c>
      <c r="B49" s="1" t="n">
        <v>44496</v>
      </c>
      <c r="C49" s="1" t="n">
        <v>46022</v>
      </c>
      <c r="D49" t="inlineStr">
        <is>
          <t>ÖSTERGÖTLANDS LÄN</t>
        </is>
      </c>
      <c r="E49" t="inlineStr">
        <is>
          <t>LINKÖPING</t>
        </is>
      </c>
      <c r="F49" t="inlineStr">
        <is>
          <t>Övriga Aktiebolag</t>
        </is>
      </c>
      <c r="G49" t="n">
        <v>5.6</v>
      </c>
      <c r="H49" t="n">
        <v>0</v>
      </c>
      <c r="I49" t="n">
        <v>0</v>
      </c>
      <c r="J49" t="n">
        <v>1</v>
      </c>
      <c r="K49" t="n">
        <v>0</v>
      </c>
      <c r="L49" t="n">
        <v>0</v>
      </c>
      <c r="M49" t="n">
        <v>0</v>
      </c>
      <c r="N49" t="n">
        <v>0</v>
      </c>
      <c r="O49" t="n">
        <v>1</v>
      </c>
      <c r="P49" t="n">
        <v>0</v>
      </c>
      <c r="Q49" t="n">
        <v>1</v>
      </c>
      <c r="R49" s="2" t="inlineStr">
        <is>
          <t>Sommarfibbla</t>
        </is>
      </c>
      <c r="S49">
        <f>HYPERLINK("https://klasma.github.io/Logging_0580/artfynd/A 60573-2021 artfynd.xlsx", "A 60573-2021")</f>
        <v/>
      </c>
      <c r="T49">
        <f>HYPERLINK("https://klasma.github.io/Logging_0580/kartor/A 60573-2021 karta.png", "A 60573-2021")</f>
        <v/>
      </c>
      <c r="V49">
        <f>HYPERLINK("https://klasma.github.io/Logging_0580/klagomål/A 60573-2021 FSC-klagomål.docx", "A 60573-2021")</f>
        <v/>
      </c>
      <c r="W49">
        <f>HYPERLINK("https://klasma.github.io/Logging_0580/klagomålsmail/A 60573-2021 FSC-klagomål mail.docx", "A 60573-2021")</f>
        <v/>
      </c>
      <c r="X49">
        <f>HYPERLINK("https://klasma.github.io/Logging_0580/tillsyn/A 60573-2021 tillsynsbegäran.docx", "A 60573-2021")</f>
        <v/>
      </c>
      <c r="Y49">
        <f>HYPERLINK("https://klasma.github.io/Logging_0580/tillsynsmail/A 60573-2021 tillsynsbegäran mail.docx", "A 60573-2021")</f>
        <v/>
      </c>
    </row>
    <row r="50" ht="15" customHeight="1">
      <c r="A50" t="inlineStr">
        <is>
          <t>A 931-2025</t>
        </is>
      </c>
      <c r="B50" s="1" t="n">
        <v>45665.88498842593</v>
      </c>
      <c r="C50" s="1" t="n">
        <v>46022</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46022</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46022</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46022</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48347-2025</t>
        </is>
      </c>
      <c r="B54" s="1" t="n">
        <v>45932</v>
      </c>
      <c r="C54" s="1" t="n">
        <v>46022</v>
      </c>
      <c r="D54" t="inlineStr">
        <is>
          <t>ÖSTERGÖTLANDS LÄN</t>
        </is>
      </c>
      <c r="E54" t="inlineStr">
        <is>
          <t>LINKÖPING</t>
        </is>
      </c>
      <c r="F54" t="inlineStr">
        <is>
          <t>Övriga Aktiebolag</t>
        </is>
      </c>
      <c r="G54" t="n">
        <v>0.9</v>
      </c>
      <c r="H54" t="n">
        <v>0</v>
      </c>
      <c r="I54" t="n">
        <v>0</v>
      </c>
      <c r="J54" t="n">
        <v>1</v>
      </c>
      <c r="K54" t="n">
        <v>0</v>
      </c>
      <c r="L54" t="n">
        <v>0</v>
      </c>
      <c r="M54" t="n">
        <v>0</v>
      </c>
      <c r="N54" t="n">
        <v>0</v>
      </c>
      <c r="O54" t="n">
        <v>1</v>
      </c>
      <c r="P54" t="n">
        <v>0</v>
      </c>
      <c r="Q54" t="n">
        <v>1</v>
      </c>
      <c r="R54" s="2" t="inlineStr">
        <is>
          <t>Igelkott</t>
        </is>
      </c>
      <c r="S54">
        <f>HYPERLINK("https://klasma.github.io/Logging_0580/artfynd/A 48347-2025 artfynd.xlsx", "A 48347-2025")</f>
        <v/>
      </c>
      <c r="T54">
        <f>HYPERLINK("https://klasma.github.io/Logging_0580/kartor/A 48347-2025 karta.png", "A 48347-2025")</f>
        <v/>
      </c>
      <c r="V54">
        <f>HYPERLINK("https://klasma.github.io/Logging_0580/klagomål/A 48347-2025 FSC-klagomål.docx", "A 48347-2025")</f>
        <v/>
      </c>
      <c r="W54">
        <f>HYPERLINK("https://klasma.github.io/Logging_0580/klagomålsmail/A 48347-2025 FSC-klagomål mail.docx", "A 48347-2025")</f>
        <v/>
      </c>
      <c r="X54">
        <f>HYPERLINK("https://klasma.github.io/Logging_0580/tillsyn/A 48347-2025 tillsynsbegäran.docx", "A 48347-2025")</f>
        <v/>
      </c>
      <c r="Y54">
        <f>HYPERLINK("https://klasma.github.io/Logging_0580/tillsynsmail/A 48347-2025 tillsynsbegäran mail.docx", "A 48347-2025")</f>
        <v/>
      </c>
    </row>
    <row r="55" ht="15" customHeight="1">
      <c r="A55" t="inlineStr">
        <is>
          <t>A 22526-2025</t>
        </is>
      </c>
      <c r="B55" s="1" t="n">
        <v>45786.78096064815</v>
      </c>
      <c r="C55" s="1" t="n">
        <v>46022</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48353-2025</t>
        </is>
      </c>
      <c r="B56" s="1" t="n">
        <v>45932</v>
      </c>
      <c r="C56" s="1" t="n">
        <v>46022</v>
      </c>
      <c r="D56" t="inlineStr">
        <is>
          <t>ÖSTERGÖTLANDS LÄN</t>
        </is>
      </c>
      <c r="E56" t="inlineStr">
        <is>
          <t>LINKÖPING</t>
        </is>
      </c>
      <c r="F56" t="inlineStr">
        <is>
          <t>Övriga Aktiebolag</t>
        </is>
      </c>
      <c r="G56" t="n">
        <v>4.5</v>
      </c>
      <c r="H56" t="n">
        <v>1</v>
      </c>
      <c r="I56" t="n">
        <v>0</v>
      </c>
      <c r="J56" t="n">
        <v>1</v>
      </c>
      <c r="K56" t="n">
        <v>0</v>
      </c>
      <c r="L56" t="n">
        <v>0</v>
      </c>
      <c r="M56" t="n">
        <v>0</v>
      </c>
      <c r="N56" t="n">
        <v>0</v>
      </c>
      <c r="O56" t="n">
        <v>1</v>
      </c>
      <c r="P56" t="n">
        <v>0</v>
      </c>
      <c r="Q56" t="n">
        <v>1</v>
      </c>
      <c r="R56" s="2" t="inlineStr">
        <is>
          <t>Entita</t>
        </is>
      </c>
      <c r="S56">
        <f>HYPERLINK("https://klasma.github.io/Logging_0580/artfynd/A 48353-2025 artfynd.xlsx", "A 48353-2025")</f>
        <v/>
      </c>
      <c r="T56">
        <f>HYPERLINK("https://klasma.github.io/Logging_0580/kartor/A 48353-2025 karta.png", "A 48353-2025")</f>
        <v/>
      </c>
      <c r="V56">
        <f>HYPERLINK("https://klasma.github.io/Logging_0580/klagomål/A 48353-2025 FSC-klagomål.docx", "A 48353-2025")</f>
        <v/>
      </c>
      <c r="W56">
        <f>HYPERLINK("https://klasma.github.io/Logging_0580/klagomålsmail/A 48353-2025 FSC-klagomål mail.docx", "A 48353-2025")</f>
        <v/>
      </c>
      <c r="X56">
        <f>HYPERLINK("https://klasma.github.io/Logging_0580/tillsyn/A 48353-2025 tillsynsbegäran.docx", "A 48353-2025")</f>
        <v/>
      </c>
      <c r="Y56">
        <f>HYPERLINK("https://klasma.github.io/Logging_0580/tillsynsmail/A 48353-2025 tillsynsbegäran mail.docx", "A 48353-2025")</f>
        <v/>
      </c>
      <c r="Z56">
        <f>HYPERLINK("https://klasma.github.io/Logging_0580/fåglar/A 48353-2025 prioriterade fågelarter.docx", "A 48353-2025")</f>
        <v/>
      </c>
    </row>
    <row r="57" ht="15" customHeight="1">
      <c r="A57" t="inlineStr">
        <is>
          <t>A 48273-2025</t>
        </is>
      </c>
      <c r="B57" s="1" t="n">
        <v>45932</v>
      </c>
      <c r="C57" s="1" t="n">
        <v>46022</v>
      </c>
      <c r="D57" t="inlineStr">
        <is>
          <t>ÖSTERGÖTLANDS LÄN</t>
        </is>
      </c>
      <c r="E57" t="inlineStr">
        <is>
          <t>LINKÖPING</t>
        </is>
      </c>
      <c r="F57" t="inlineStr">
        <is>
          <t>Övriga Aktiebolag</t>
        </is>
      </c>
      <c r="G57" t="n">
        <v>4.6</v>
      </c>
      <c r="H57" t="n">
        <v>0</v>
      </c>
      <c r="I57" t="n">
        <v>0</v>
      </c>
      <c r="J57" t="n">
        <v>1</v>
      </c>
      <c r="K57" t="n">
        <v>0</v>
      </c>
      <c r="L57" t="n">
        <v>0</v>
      </c>
      <c r="M57" t="n">
        <v>0</v>
      </c>
      <c r="N57" t="n">
        <v>0</v>
      </c>
      <c r="O57" t="n">
        <v>1</v>
      </c>
      <c r="P57" t="n">
        <v>0</v>
      </c>
      <c r="Q57" t="n">
        <v>1</v>
      </c>
      <c r="R57" s="2" t="inlineStr">
        <is>
          <t>Barrviolspindling</t>
        </is>
      </c>
      <c r="S57">
        <f>HYPERLINK("https://klasma.github.io/Logging_0580/artfynd/A 48273-2025 artfynd.xlsx", "A 48273-2025")</f>
        <v/>
      </c>
      <c r="T57">
        <f>HYPERLINK("https://klasma.github.io/Logging_0580/kartor/A 48273-2025 karta.png", "A 48273-2025")</f>
        <v/>
      </c>
      <c r="V57">
        <f>HYPERLINK("https://klasma.github.io/Logging_0580/klagomål/A 48273-2025 FSC-klagomål.docx", "A 48273-2025")</f>
        <v/>
      </c>
      <c r="W57">
        <f>HYPERLINK("https://klasma.github.io/Logging_0580/klagomålsmail/A 48273-2025 FSC-klagomål mail.docx", "A 48273-2025")</f>
        <v/>
      </c>
      <c r="X57">
        <f>HYPERLINK("https://klasma.github.io/Logging_0580/tillsyn/A 48273-2025 tillsynsbegäran.docx", "A 48273-2025")</f>
        <v/>
      </c>
      <c r="Y57">
        <f>HYPERLINK("https://klasma.github.io/Logging_0580/tillsynsmail/A 48273-2025 tillsynsbegäran mail.docx", "A 48273-2025")</f>
        <v/>
      </c>
    </row>
    <row r="58" ht="15" customHeight="1">
      <c r="A58" t="inlineStr">
        <is>
          <t>A 48298-2025</t>
        </is>
      </c>
      <c r="B58" s="1" t="n">
        <v>45932</v>
      </c>
      <c r="C58" s="1" t="n">
        <v>46022</v>
      </c>
      <c r="D58" t="inlineStr">
        <is>
          <t>ÖSTERGÖTLANDS LÄN</t>
        </is>
      </c>
      <c r="E58" t="inlineStr">
        <is>
          <t>LINKÖPING</t>
        </is>
      </c>
      <c r="F58" t="inlineStr">
        <is>
          <t>Övriga Aktiebolag</t>
        </is>
      </c>
      <c r="G58" t="n">
        <v>1.7</v>
      </c>
      <c r="H58" t="n">
        <v>0</v>
      </c>
      <c r="I58" t="n">
        <v>1</v>
      </c>
      <c r="J58" t="n">
        <v>0</v>
      </c>
      <c r="K58" t="n">
        <v>0</v>
      </c>
      <c r="L58" t="n">
        <v>0</v>
      </c>
      <c r="M58" t="n">
        <v>0</v>
      </c>
      <c r="N58" t="n">
        <v>0</v>
      </c>
      <c r="O58" t="n">
        <v>0</v>
      </c>
      <c r="P58" t="n">
        <v>0</v>
      </c>
      <c r="Q58" t="n">
        <v>1</v>
      </c>
      <c r="R58" s="2" t="inlineStr">
        <is>
          <t>Västlig hakmossa</t>
        </is>
      </c>
      <c r="S58">
        <f>HYPERLINK("https://klasma.github.io/Logging_0580/artfynd/A 48298-2025 artfynd.xlsx", "A 48298-2025")</f>
        <v/>
      </c>
      <c r="T58">
        <f>HYPERLINK("https://klasma.github.io/Logging_0580/kartor/A 48298-2025 karta.png", "A 48298-2025")</f>
        <v/>
      </c>
      <c r="V58">
        <f>HYPERLINK("https://klasma.github.io/Logging_0580/klagomål/A 48298-2025 FSC-klagomål.docx", "A 48298-2025")</f>
        <v/>
      </c>
      <c r="W58">
        <f>HYPERLINK("https://klasma.github.io/Logging_0580/klagomålsmail/A 48298-2025 FSC-klagomål mail.docx", "A 48298-2025")</f>
        <v/>
      </c>
      <c r="X58">
        <f>HYPERLINK("https://klasma.github.io/Logging_0580/tillsyn/A 48298-2025 tillsynsbegäran.docx", "A 48298-2025")</f>
        <v/>
      </c>
      <c r="Y58">
        <f>HYPERLINK("https://klasma.github.io/Logging_0580/tillsynsmail/A 48298-2025 tillsynsbegäran mail.docx", "A 48298-2025")</f>
        <v/>
      </c>
    </row>
    <row r="59" ht="15" customHeight="1">
      <c r="A59" t="inlineStr">
        <is>
          <t>A 41749-2023</t>
        </is>
      </c>
      <c r="B59" s="1" t="n">
        <v>45176</v>
      </c>
      <c r="C59" s="1" t="n">
        <v>46022</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59948-2022</t>
        </is>
      </c>
      <c r="B60" s="1" t="n">
        <v>44909</v>
      </c>
      <c r="C60" s="1" t="n">
        <v>46022</v>
      </c>
      <c r="D60" t="inlineStr">
        <is>
          <t>ÖSTERGÖTLANDS LÄN</t>
        </is>
      </c>
      <c r="E60" t="inlineStr">
        <is>
          <t>LINKÖPING</t>
        </is>
      </c>
      <c r="G60" t="n">
        <v>6.7</v>
      </c>
      <c r="H60" t="n">
        <v>0</v>
      </c>
      <c r="I60" t="n">
        <v>0</v>
      </c>
      <c r="J60" t="n">
        <v>0</v>
      </c>
      <c r="K60" t="n">
        <v>0</v>
      </c>
      <c r="L60" t="n">
        <v>0</v>
      </c>
      <c r="M60" t="n">
        <v>1</v>
      </c>
      <c r="N60" t="n">
        <v>0</v>
      </c>
      <c r="O60" t="n">
        <v>1</v>
      </c>
      <c r="P60" t="n">
        <v>1</v>
      </c>
      <c r="Q60" t="n">
        <v>1</v>
      </c>
      <c r="R60" s="2" t="inlineStr">
        <is>
          <t>Skogsalm</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row>
    <row r="61" ht="15" customHeight="1">
      <c r="A61" t="inlineStr">
        <is>
          <t>A 43989-2025</t>
        </is>
      </c>
      <c r="B61" s="1" t="n">
        <v>45915.44128472222</v>
      </c>
      <c r="C61" s="1" t="n">
        <v>46022</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44760-2025</t>
        </is>
      </c>
      <c r="B62" s="1" t="n">
        <v>45917.71873842592</v>
      </c>
      <c r="C62" s="1" t="n">
        <v>46022</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27403-2025</t>
        </is>
      </c>
      <c r="B63" s="1" t="n">
        <v>45812.72518518518</v>
      </c>
      <c r="C63" s="1" t="n">
        <v>46022</v>
      </c>
      <c r="D63" t="inlineStr">
        <is>
          <t>ÖSTERGÖTLANDS LÄN</t>
        </is>
      </c>
      <c r="E63" t="inlineStr">
        <is>
          <t>LINKÖPING</t>
        </is>
      </c>
      <c r="G63" t="n">
        <v>1.4</v>
      </c>
      <c r="H63" t="n">
        <v>0</v>
      </c>
      <c r="I63" t="n">
        <v>0</v>
      </c>
      <c r="J63" t="n">
        <v>1</v>
      </c>
      <c r="K63" t="n">
        <v>0</v>
      </c>
      <c r="L63" t="n">
        <v>0</v>
      </c>
      <c r="M63" t="n">
        <v>0</v>
      </c>
      <c r="N63" t="n">
        <v>0</v>
      </c>
      <c r="O63" t="n">
        <v>1</v>
      </c>
      <c r="P63" t="n">
        <v>0</v>
      </c>
      <c r="Q63" t="n">
        <v>1</v>
      </c>
      <c r="R63" s="2" t="inlineStr">
        <is>
          <t>Tallticka</t>
        </is>
      </c>
      <c r="S63">
        <f>HYPERLINK("https://klasma.github.io/Logging_0580/artfynd/A 27403-2025 artfynd.xlsx", "A 27403-2025")</f>
        <v/>
      </c>
      <c r="T63">
        <f>HYPERLINK("https://klasma.github.io/Logging_0580/kartor/A 27403-2025 karta.png", "A 27403-2025")</f>
        <v/>
      </c>
      <c r="V63">
        <f>HYPERLINK("https://klasma.github.io/Logging_0580/klagomål/A 27403-2025 FSC-klagomål.docx", "A 27403-2025")</f>
        <v/>
      </c>
      <c r="W63">
        <f>HYPERLINK("https://klasma.github.io/Logging_0580/klagomålsmail/A 27403-2025 FSC-klagomål mail.docx", "A 27403-2025")</f>
        <v/>
      </c>
      <c r="X63">
        <f>HYPERLINK("https://klasma.github.io/Logging_0580/tillsyn/A 27403-2025 tillsynsbegäran.docx", "A 27403-2025")</f>
        <v/>
      </c>
      <c r="Y63">
        <f>HYPERLINK("https://klasma.github.io/Logging_0580/tillsynsmail/A 27403-2025 tillsynsbegäran mail.docx", "A 27403-2025")</f>
        <v/>
      </c>
    </row>
    <row r="64" ht="15" customHeight="1">
      <c r="A64" t="inlineStr">
        <is>
          <t>A 37683-2024</t>
        </is>
      </c>
      <c r="B64" s="1" t="n">
        <v>45541.59120370371</v>
      </c>
      <c r="C64" s="1" t="n">
        <v>46022</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50034-2025</t>
        </is>
      </c>
      <c r="B65" s="1" t="n">
        <v>45941</v>
      </c>
      <c r="C65" s="1" t="n">
        <v>46022</v>
      </c>
      <c r="D65" t="inlineStr">
        <is>
          <t>ÖSTERGÖTLANDS LÄN</t>
        </is>
      </c>
      <c r="E65" t="inlineStr">
        <is>
          <t>LINKÖPING</t>
        </is>
      </c>
      <c r="G65" t="n">
        <v>6.2</v>
      </c>
      <c r="H65" t="n">
        <v>0</v>
      </c>
      <c r="I65" t="n">
        <v>0</v>
      </c>
      <c r="J65" t="n">
        <v>0</v>
      </c>
      <c r="K65" t="n">
        <v>0</v>
      </c>
      <c r="L65" t="n">
        <v>0</v>
      </c>
      <c r="M65" t="n">
        <v>1</v>
      </c>
      <c r="N65" t="n">
        <v>0</v>
      </c>
      <c r="O65" t="n">
        <v>1</v>
      </c>
      <c r="P65" t="n">
        <v>1</v>
      </c>
      <c r="Q65" t="n">
        <v>1</v>
      </c>
      <c r="R65" s="2" t="inlineStr">
        <is>
          <t>Skogsalm</t>
        </is>
      </c>
      <c r="S65">
        <f>HYPERLINK("https://klasma.github.io/Logging_0580/artfynd/A 50034-2025 artfynd.xlsx", "A 50034-2025")</f>
        <v/>
      </c>
      <c r="T65">
        <f>HYPERLINK("https://klasma.github.io/Logging_0580/kartor/A 50034-2025 karta.png", "A 50034-2025")</f>
        <v/>
      </c>
      <c r="V65">
        <f>HYPERLINK("https://klasma.github.io/Logging_0580/klagomål/A 50034-2025 FSC-klagomål.docx", "A 50034-2025")</f>
        <v/>
      </c>
      <c r="W65">
        <f>HYPERLINK("https://klasma.github.io/Logging_0580/klagomålsmail/A 50034-2025 FSC-klagomål mail.docx", "A 50034-2025")</f>
        <v/>
      </c>
      <c r="X65">
        <f>HYPERLINK("https://klasma.github.io/Logging_0580/tillsyn/A 50034-2025 tillsynsbegäran.docx", "A 50034-2025")</f>
        <v/>
      </c>
      <c r="Y65">
        <f>HYPERLINK("https://klasma.github.io/Logging_0580/tillsynsmail/A 50034-2025 tillsynsbegäran mail.docx", "A 50034-2025")</f>
        <v/>
      </c>
    </row>
    <row r="66" ht="15" customHeight="1">
      <c r="A66" t="inlineStr">
        <is>
          <t>A 56651-2023</t>
        </is>
      </c>
      <c r="B66" s="1" t="n">
        <v>45243</v>
      </c>
      <c r="C66" s="1" t="n">
        <v>46022</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17444-2025</t>
        </is>
      </c>
      <c r="B67" s="1" t="n">
        <v>45757.43452546297</v>
      </c>
      <c r="C67" s="1" t="n">
        <v>46022</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59474-2025</t>
        </is>
      </c>
      <c r="B68" s="1" t="n">
        <v>45989.58512731481</v>
      </c>
      <c r="C68" s="1" t="n">
        <v>46022</v>
      </c>
      <c r="D68" t="inlineStr">
        <is>
          <t>ÖSTERGÖTLANDS LÄN</t>
        </is>
      </c>
      <c r="E68" t="inlineStr">
        <is>
          <t>LINKÖPING</t>
        </is>
      </c>
      <c r="G68" t="n">
        <v>8</v>
      </c>
      <c r="H68" t="n">
        <v>0</v>
      </c>
      <c r="I68" t="n">
        <v>1</v>
      </c>
      <c r="J68" t="n">
        <v>0</v>
      </c>
      <c r="K68" t="n">
        <v>0</v>
      </c>
      <c r="L68" t="n">
        <v>0</v>
      </c>
      <c r="M68" t="n">
        <v>0</v>
      </c>
      <c r="N68" t="n">
        <v>0</v>
      </c>
      <c r="O68" t="n">
        <v>0</v>
      </c>
      <c r="P68" t="n">
        <v>0</v>
      </c>
      <c r="Q68" t="n">
        <v>1</v>
      </c>
      <c r="R68" s="2" t="inlineStr">
        <is>
          <t>Fällmossa</t>
        </is>
      </c>
      <c r="S68">
        <f>HYPERLINK("https://klasma.github.io/Logging_0580/artfynd/A 59474-2025 artfynd.xlsx", "A 59474-2025")</f>
        <v/>
      </c>
      <c r="T68">
        <f>HYPERLINK("https://klasma.github.io/Logging_0580/kartor/A 59474-2025 karta.png", "A 59474-2025")</f>
        <v/>
      </c>
      <c r="V68">
        <f>HYPERLINK("https://klasma.github.io/Logging_0580/klagomål/A 59474-2025 FSC-klagomål.docx", "A 59474-2025")</f>
        <v/>
      </c>
      <c r="W68">
        <f>HYPERLINK("https://klasma.github.io/Logging_0580/klagomålsmail/A 59474-2025 FSC-klagomål mail.docx", "A 59474-2025")</f>
        <v/>
      </c>
      <c r="X68">
        <f>HYPERLINK("https://klasma.github.io/Logging_0580/tillsyn/A 59474-2025 tillsynsbegäran.docx", "A 59474-2025")</f>
        <v/>
      </c>
      <c r="Y68">
        <f>HYPERLINK("https://klasma.github.io/Logging_0580/tillsynsmail/A 59474-2025 tillsynsbegäran mail.docx", "A 59474-2025")</f>
        <v/>
      </c>
    </row>
    <row r="69" ht="15" customHeight="1">
      <c r="A69" t="inlineStr">
        <is>
          <t>A 36723-2023</t>
        </is>
      </c>
      <c r="B69" s="1" t="n">
        <v>45153</v>
      </c>
      <c r="C69" s="1" t="n">
        <v>46022</v>
      </c>
      <c r="D69" t="inlineStr">
        <is>
          <t>ÖSTERGÖTLANDS LÄN</t>
        </is>
      </c>
      <c r="E69" t="inlineStr">
        <is>
          <t>LINKÖPING</t>
        </is>
      </c>
      <c r="F69" t="inlineStr">
        <is>
          <t>Allmännings- och besparingsskogar</t>
        </is>
      </c>
      <c r="G69" t="n">
        <v>9.9</v>
      </c>
      <c r="H69" t="n">
        <v>0</v>
      </c>
      <c r="I69" t="n">
        <v>0</v>
      </c>
      <c r="J69" t="n">
        <v>0</v>
      </c>
      <c r="K69" t="n">
        <v>1</v>
      </c>
      <c r="L69" t="n">
        <v>0</v>
      </c>
      <c r="M69" t="n">
        <v>0</v>
      </c>
      <c r="N69" t="n">
        <v>0</v>
      </c>
      <c r="O69" t="n">
        <v>1</v>
      </c>
      <c r="P69" t="n">
        <v>1</v>
      </c>
      <c r="Q69" t="n">
        <v>1</v>
      </c>
      <c r="R69" s="2" t="inlineStr">
        <is>
          <t>Bitter taggsvamp</t>
        </is>
      </c>
      <c r="S69">
        <f>HYPERLINK("https://klasma.github.io/Logging_0580/artfynd/A 36723-2023 artfynd.xlsx", "A 36723-2023")</f>
        <v/>
      </c>
      <c r="T69">
        <f>HYPERLINK("https://klasma.github.io/Logging_0580/kartor/A 36723-2023 karta.png", "A 36723-2023")</f>
        <v/>
      </c>
      <c r="V69">
        <f>HYPERLINK("https://klasma.github.io/Logging_0580/klagomål/A 36723-2023 FSC-klagomål.docx", "A 36723-2023")</f>
        <v/>
      </c>
      <c r="W69">
        <f>HYPERLINK("https://klasma.github.io/Logging_0580/klagomålsmail/A 36723-2023 FSC-klagomål mail.docx", "A 36723-2023")</f>
        <v/>
      </c>
      <c r="X69">
        <f>HYPERLINK("https://klasma.github.io/Logging_0580/tillsyn/A 36723-2023 tillsynsbegäran.docx", "A 36723-2023")</f>
        <v/>
      </c>
      <c r="Y69">
        <f>HYPERLINK("https://klasma.github.io/Logging_0580/tillsynsmail/A 36723-2023 tillsynsbegäran mail.docx", "A 36723-2023")</f>
        <v/>
      </c>
    </row>
    <row r="70" ht="15" customHeight="1">
      <c r="A70" t="inlineStr">
        <is>
          <t>A 5911-2022</t>
        </is>
      </c>
      <c r="B70" s="1" t="n">
        <v>44597</v>
      </c>
      <c r="C70" s="1" t="n">
        <v>46022</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46022</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46022</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15290-2025</t>
        </is>
      </c>
      <c r="B73" s="1" t="n">
        <v>45745.45288194445</v>
      </c>
      <c r="C73" s="1" t="n">
        <v>46022</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34881-2023</t>
        </is>
      </c>
      <c r="B74" s="1" t="n">
        <v>45140</v>
      </c>
      <c r="C74" s="1" t="n">
        <v>46022</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50471-2024</t>
        </is>
      </c>
      <c r="B75" s="1" t="n">
        <v>45601.47166666666</v>
      </c>
      <c r="C75" s="1" t="n">
        <v>46022</v>
      </c>
      <c r="D75" t="inlineStr">
        <is>
          <t>ÖSTERGÖTLANDS LÄN</t>
        </is>
      </c>
      <c r="E75" t="inlineStr">
        <is>
          <t>LINKÖPING</t>
        </is>
      </c>
      <c r="F75" t="inlineStr">
        <is>
          <t>Övriga Aktiebolag</t>
        </is>
      </c>
      <c r="G75" t="n">
        <v>2</v>
      </c>
      <c r="H75" t="n">
        <v>0</v>
      </c>
      <c r="I75" t="n">
        <v>1</v>
      </c>
      <c r="J75" t="n">
        <v>0</v>
      </c>
      <c r="K75" t="n">
        <v>0</v>
      </c>
      <c r="L75" t="n">
        <v>0</v>
      </c>
      <c r="M75" t="n">
        <v>0</v>
      </c>
      <c r="N75" t="n">
        <v>0</v>
      </c>
      <c r="O75" t="n">
        <v>0</v>
      </c>
      <c r="P75" t="n">
        <v>0</v>
      </c>
      <c r="Q75" t="n">
        <v>1</v>
      </c>
      <c r="R75" s="2" t="inlineStr">
        <is>
          <t>Västlig hakmossa</t>
        </is>
      </c>
      <c r="S75">
        <f>HYPERLINK("https://klasma.github.io/Logging_0580/artfynd/A 50471-2024 artfynd.xlsx", "A 50471-2024")</f>
        <v/>
      </c>
      <c r="T75">
        <f>HYPERLINK("https://klasma.github.io/Logging_0580/kartor/A 50471-2024 karta.png", "A 50471-2024")</f>
        <v/>
      </c>
      <c r="V75">
        <f>HYPERLINK("https://klasma.github.io/Logging_0580/klagomål/A 50471-2024 FSC-klagomål.docx", "A 50471-2024")</f>
        <v/>
      </c>
      <c r="W75">
        <f>HYPERLINK("https://klasma.github.io/Logging_0580/klagomålsmail/A 50471-2024 FSC-klagomål mail.docx", "A 50471-2024")</f>
        <v/>
      </c>
      <c r="X75">
        <f>HYPERLINK("https://klasma.github.io/Logging_0580/tillsyn/A 50471-2024 tillsynsbegäran.docx", "A 50471-2024")</f>
        <v/>
      </c>
      <c r="Y75">
        <f>HYPERLINK("https://klasma.github.io/Logging_0580/tillsynsmail/A 50471-2024 tillsynsbegäran mail.docx", "A 50471-2024")</f>
        <v/>
      </c>
    </row>
    <row r="76" ht="15" customHeight="1">
      <c r="A76" t="inlineStr">
        <is>
          <t>A 17389-2021</t>
        </is>
      </c>
      <c r="B76" s="1" t="n">
        <v>44298.96792824074</v>
      </c>
      <c r="C76" s="1" t="n">
        <v>46022</v>
      </c>
      <c r="D76" t="inlineStr">
        <is>
          <t>ÖSTERGÖTLANDS LÄN</t>
        </is>
      </c>
      <c r="E76" t="inlineStr">
        <is>
          <t>LINKÖPING</t>
        </is>
      </c>
      <c r="G76" t="n">
        <v>5.1</v>
      </c>
      <c r="H76" t="n">
        <v>0</v>
      </c>
      <c r="I76" t="n">
        <v>1</v>
      </c>
      <c r="J76" t="n">
        <v>0</v>
      </c>
      <c r="K76" t="n">
        <v>0</v>
      </c>
      <c r="L76" t="n">
        <v>0</v>
      </c>
      <c r="M76" t="n">
        <v>0</v>
      </c>
      <c r="N76" t="n">
        <v>0</v>
      </c>
      <c r="O76" t="n">
        <v>0</v>
      </c>
      <c r="P76" t="n">
        <v>0</v>
      </c>
      <c r="Q76" t="n">
        <v>1</v>
      </c>
      <c r="R76" s="2" t="inlineStr">
        <is>
          <t>Blomkålssvamp</t>
        </is>
      </c>
      <c r="S76">
        <f>HYPERLINK("https://klasma.github.io/Logging_0580/artfynd/A 17389-2021 artfynd.xlsx", "A 17389-2021")</f>
        <v/>
      </c>
      <c r="T76">
        <f>HYPERLINK("https://klasma.github.io/Logging_0580/kartor/A 17389-2021 karta.png", "A 17389-2021")</f>
        <v/>
      </c>
      <c r="V76">
        <f>HYPERLINK("https://klasma.github.io/Logging_0580/klagomål/A 17389-2021 FSC-klagomål.docx", "A 17389-2021")</f>
        <v/>
      </c>
      <c r="W76">
        <f>HYPERLINK("https://klasma.github.io/Logging_0580/klagomålsmail/A 17389-2021 FSC-klagomål mail.docx", "A 17389-2021")</f>
        <v/>
      </c>
      <c r="X76">
        <f>HYPERLINK("https://klasma.github.io/Logging_0580/tillsyn/A 17389-2021 tillsynsbegäran.docx", "A 17389-2021")</f>
        <v/>
      </c>
      <c r="Y76">
        <f>HYPERLINK("https://klasma.github.io/Logging_0580/tillsynsmail/A 17389-2021 tillsynsbegäran mail.docx", "A 17389-2021")</f>
        <v/>
      </c>
    </row>
    <row r="77" ht="15" customHeight="1">
      <c r="A77" t="inlineStr">
        <is>
          <t>A 56128-2022</t>
        </is>
      </c>
      <c r="B77" s="1" t="n">
        <v>44889</v>
      </c>
      <c r="C77" s="1" t="n">
        <v>46022</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46022</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60311-2025</t>
        </is>
      </c>
      <c r="B79" s="1" t="n">
        <v>45994</v>
      </c>
      <c r="C79" s="1" t="n">
        <v>46022</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Gammelekslav</t>
        </is>
      </c>
      <c r="S79">
        <f>HYPERLINK("https://klasma.github.io/Logging_0580/artfynd/A 60311-2025 artfynd.xlsx", "A 60311-2025")</f>
        <v/>
      </c>
      <c r="T79">
        <f>HYPERLINK("https://klasma.github.io/Logging_0580/kartor/A 60311-2025 karta.png", "A 60311-2025")</f>
        <v/>
      </c>
      <c r="V79">
        <f>HYPERLINK("https://klasma.github.io/Logging_0580/klagomål/A 60311-2025 FSC-klagomål.docx", "A 60311-2025")</f>
        <v/>
      </c>
      <c r="W79">
        <f>HYPERLINK("https://klasma.github.io/Logging_0580/klagomålsmail/A 60311-2025 FSC-klagomål mail.docx", "A 60311-2025")</f>
        <v/>
      </c>
      <c r="X79">
        <f>HYPERLINK("https://klasma.github.io/Logging_0580/tillsyn/A 60311-2025 tillsynsbegäran.docx", "A 60311-2025")</f>
        <v/>
      </c>
      <c r="Y79">
        <f>HYPERLINK("https://klasma.github.io/Logging_0580/tillsynsmail/A 60311-2025 tillsynsbegäran mail.docx", "A 60311-2025")</f>
        <v/>
      </c>
    </row>
    <row r="80" ht="15" customHeight="1">
      <c r="A80" t="inlineStr">
        <is>
          <t>A 54835-2023</t>
        </is>
      </c>
      <c r="B80" s="1" t="n">
        <v>45236</v>
      </c>
      <c r="C80" s="1" t="n">
        <v>46022</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56112-2025</t>
        </is>
      </c>
      <c r="B81" s="1" t="n">
        <v>45973.73625</v>
      </c>
      <c r="C81" s="1" t="n">
        <v>46022</v>
      </c>
      <c r="D81" t="inlineStr">
        <is>
          <t>ÖSTERGÖTLANDS LÄN</t>
        </is>
      </c>
      <c r="E81" t="inlineStr">
        <is>
          <t>LINKÖPING</t>
        </is>
      </c>
      <c r="G81" t="n">
        <v>0.6</v>
      </c>
      <c r="H81" t="n">
        <v>0</v>
      </c>
      <c r="I81" t="n">
        <v>0</v>
      </c>
      <c r="J81" t="n">
        <v>1</v>
      </c>
      <c r="K81" t="n">
        <v>0</v>
      </c>
      <c r="L81" t="n">
        <v>0</v>
      </c>
      <c r="M81" t="n">
        <v>0</v>
      </c>
      <c r="N81" t="n">
        <v>0</v>
      </c>
      <c r="O81" t="n">
        <v>1</v>
      </c>
      <c r="P81" t="n">
        <v>0</v>
      </c>
      <c r="Q81" t="n">
        <v>1</v>
      </c>
      <c r="R81" s="2" t="inlineStr">
        <is>
          <t>Solvända</t>
        </is>
      </c>
      <c r="S81">
        <f>HYPERLINK("https://klasma.github.io/Logging_0580/artfynd/A 56112-2025 artfynd.xlsx", "A 56112-2025")</f>
        <v/>
      </c>
      <c r="T81">
        <f>HYPERLINK("https://klasma.github.io/Logging_0580/kartor/A 56112-2025 karta.png", "A 56112-2025")</f>
        <v/>
      </c>
      <c r="V81">
        <f>HYPERLINK("https://klasma.github.io/Logging_0580/klagomål/A 56112-2025 FSC-klagomål.docx", "A 56112-2025")</f>
        <v/>
      </c>
      <c r="W81">
        <f>HYPERLINK("https://klasma.github.io/Logging_0580/klagomålsmail/A 56112-2025 FSC-klagomål mail.docx", "A 56112-2025")</f>
        <v/>
      </c>
      <c r="X81">
        <f>HYPERLINK("https://klasma.github.io/Logging_0580/tillsyn/A 56112-2025 tillsynsbegäran.docx", "A 56112-2025")</f>
        <v/>
      </c>
      <c r="Y81">
        <f>HYPERLINK("https://klasma.github.io/Logging_0580/tillsynsmail/A 56112-2025 tillsynsbegäran mail.docx", "A 56112-2025")</f>
        <v/>
      </c>
    </row>
    <row r="82" ht="15" customHeight="1">
      <c r="A82" t="inlineStr">
        <is>
          <t>A 126-2024</t>
        </is>
      </c>
      <c r="B82" s="1" t="n">
        <v>45294</v>
      </c>
      <c r="C82" s="1" t="n">
        <v>46022</v>
      </c>
      <c r="D82" t="inlineStr">
        <is>
          <t>ÖSTERGÖTLANDS LÄN</t>
        </is>
      </c>
      <c r="E82" t="inlineStr">
        <is>
          <t>LINKÖPING</t>
        </is>
      </c>
      <c r="G82" t="n">
        <v>1</v>
      </c>
      <c r="H82" t="n">
        <v>0</v>
      </c>
      <c r="I82" t="n">
        <v>1</v>
      </c>
      <c r="J82" t="n">
        <v>0</v>
      </c>
      <c r="K82" t="n">
        <v>0</v>
      </c>
      <c r="L82" t="n">
        <v>0</v>
      </c>
      <c r="M82" t="n">
        <v>0</v>
      </c>
      <c r="N82" t="n">
        <v>0</v>
      </c>
      <c r="O82" t="n">
        <v>0</v>
      </c>
      <c r="P82" t="n">
        <v>0</v>
      </c>
      <c r="Q82" t="n">
        <v>1</v>
      </c>
      <c r="R82" s="2" t="inlineStr">
        <is>
          <t>Blåmossa</t>
        </is>
      </c>
      <c r="S82">
        <f>HYPERLINK("https://klasma.github.io/Logging_0580/artfynd/A 126-2024 artfynd.xlsx", "A 126-2024")</f>
        <v/>
      </c>
      <c r="T82">
        <f>HYPERLINK("https://klasma.github.io/Logging_0580/kartor/A 126-2024 karta.png", "A 126-2024")</f>
        <v/>
      </c>
      <c r="V82">
        <f>HYPERLINK("https://klasma.github.io/Logging_0580/klagomål/A 126-2024 FSC-klagomål.docx", "A 126-2024")</f>
        <v/>
      </c>
      <c r="W82">
        <f>HYPERLINK("https://klasma.github.io/Logging_0580/klagomålsmail/A 126-2024 FSC-klagomål mail.docx", "A 126-2024")</f>
        <v/>
      </c>
      <c r="X82">
        <f>HYPERLINK("https://klasma.github.io/Logging_0580/tillsyn/A 126-2024 tillsynsbegäran.docx", "A 126-2024")</f>
        <v/>
      </c>
      <c r="Y82">
        <f>HYPERLINK("https://klasma.github.io/Logging_0580/tillsynsmail/A 126-2024 tillsynsbegäran mail.docx", "A 126-2024")</f>
        <v/>
      </c>
    </row>
    <row r="83" ht="15" customHeight="1">
      <c r="A83" t="inlineStr">
        <is>
          <t>A 3395-2023</t>
        </is>
      </c>
      <c r="B83" s="1" t="n">
        <v>44949</v>
      </c>
      <c r="C83" s="1" t="n">
        <v>46022</v>
      </c>
      <c r="D83" t="inlineStr">
        <is>
          <t>ÖSTERGÖTLANDS LÄN</t>
        </is>
      </c>
      <c r="E83" t="inlineStr">
        <is>
          <t>LINKÖPING</t>
        </is>
      </c>
      <c r="G83" t="n">
        <v>2</v>
      </c>
      <c r="H83" t="n">
        <v>0</v>
      </c>
      <c r="I83" t="n">
        <v>0</v>
      </c>
      <c r="J83" t="n">
        <v>1</v>
      </c>
      <c r="K83" t="n">
        <v>0</v>
      </c>
      <c r="L83" t="n">
        <v>0</v>
      </c>
      <c r="M83" t="n">
        <v>0</v>
      </c>
      <c r="N83" t="n">
        <v>0</v>
      </c>
      <c r="O83" t="n">
        <v>1</v>
      </c>
      <c r="P83" t="n">
        <v>0</v>
      </c>
      <c r="Q83" t="n">
        <v>1</v>
      </c>
      <c r="R83" s="2" t="inlineStr">
        <is>
          <t>Sommarfibbla</t>
        </is>
      </c>
      <c r="S83">
        <f>HYPERLINK("https://klasma.github.io/Logging_0580/artfynd/A 3395-2023 artfynd.xlsx", "A 3395-2023")</f>
        <v/>
      </c>
      <c r="T83">
        <f>HYPERLINK("https://klasma.github.io/Logging_0580/kartor/A 3395-2023 karta.png", "A 3395-2023")</f>
        <v/>
      </c>
      <c r="V83">
        <f>HYPERLINK("https://klasma.github.io/Logging_0580/klagomål/A 3395-2023 FSC-klagomål.docx", "A 3395-2023")</f>
        <v/>
      </c>
      <c r="W83">
        <f>HYPERLINK("https://klasma.github.io/Logging_0580/klagomålsmail/A 3395-2023 FSC-klagomål mail.docx", "A 3395-2023")</f>
        <v/>
      </c>
      <c r="X83">
        <f>HYPERLINK("https://klasma.github.io/Logging_0580/tillsyn/A 3395-2023 tillsynsbegäran.docx", "A 3395-2023")</f>
        <v/>
      </c>
      <c r="Y83">
        <f>HYPERLINK("https://klasma.github.io/Logging_0580/tillsynsmail/A 3395-2023 tillsynsbegäran mail.docx", "A 3395-2023")</f>
        <v/>
      </c>
    </row>
    <row r="84" ht="15" customHeight="1">
      <c r="A84" t="inlineStr">
        <is>
          <t>A 19103-2021</t>
        </is>
      </c>
      <c r="B84" s="1" t="n">
        <v>44308</v>
      </c>
      <c r="C84" s="1" t="n">
        <v>46022</v>
      </c>
      <c r="D84" t="inlineStr">
        <is>
          <t>ÖSTERGÖTLANDS LÄN</t>
        </is>
      </c>
      <c r="E84" t="inlineStr">
        <is>
          <t>LINKÖPING</t>
        </is>
      </c>
      <c r="G84" t="n">
        <v>4.7</v>
      </c>
      <c r="H84" t="n">
        <v>0</v>
      </c>
      <c r="I84" t="n">
        <v>0</v>
      </c>
      <c r="J84" t="n">
        <v>1</v>
      </c>
      <c r="K84" t="n">
        <v>0</v>
      </c>
      <c r="L84" t="n">
        <v>0</v>
      </c>
      <c r="M84" t="n">
        <v>0</v>
      </c>
      <c r="N84" t="n">
        <v>0</v>
      </c>
      <c r="O84" t="n">
        <v>1</v>
      </c>
      <c r="P84" t="n">
        <v>0</v>
      </c>
      <c r="Q84" t="n">
        <v>1</v>
      </c>
      <c r="R84" s="2" t="inlineStr">
        <is>
          <t>Tallticka</t>
        </is>
      </c>
      <c r="S84">
        <f>HYPERLINK("https://klasma.github.io/Logging_0580/artfynd/A 19103-2021 artfynd.xlsx", "A 19103-2021")</f>
        <v/>
      </c>
      <c r="T84">
        <f>HYPERLINK("https://klasma.github.io/Logging_0580/kartor/A 19103-2021 karta.png", "A 19103-2021")</f>
        <v/>
      </c>
      <c r="V84">
        <f>HYPERLINK("https://klasma.github.io/Logging_0580/klagomål/A 19103-2021 FSC-klagomål.docx", "A 19103-2021")</f>
        <v/>
      </c>
      <c r="W84">
        <f>HYPERLINK("https://klasma.github.io/Logging_0580/klagomålsmail/A 19103-2021 FSC-klagomål mail.docx", "A 19103-2021")</f>
        <v/>
      </c>
      <c r="X84">
        <f>HYPERLINK("https://klasma.github.io/Logging_0580/tillsyn/A 19103-2021 tillsynsbegäran.docx", "A 19103-2021")</f>
        <v/>
      </c>
      <c r="Y84">
        <f>HYPERLINK("https://klasma.github.io/Logging_0580/tillsynsmail/A 19103-2021 tillsynsbegäran mail.docx", "A 19103-2021")</f>
        <v/>
      </c>
    </row>
    <row r="85" ht="15" customHeight="1">
      <c r="A85" t="inlineStr">
        <is>
          <t>A 50806-2023</t>
        </is>
      </c>
      <c r="B85" s="1" t="n">
        <v>45217</v>
      </c>
      <c r="C85" s="1" t="n">
        <v>46022</v>
      </c>
      <c r="D85" t="inlineStr">
        <is>
          <t>ÖSTERGÖTLANDS LÄN</t>
        </is>
      </c>
      <c r="E85" t="inlineStr">
        <is>
          <t>LINKÖPING</t>
        </is>
      </c>
      <c r="F85" t="inlineStr">
        <is>
          <t>Övriga Aktiebolag</t>
        </is>
      </c>
      <c r="G85" t="n">
        <v>0.7</v>
      </c>
      <c r="H85" t="n">
        <v>1</v>
      </c>
      <c r="I85" t="n">
        <v>0</v>
      </c>
      <c r="J85" t="n">
        <v>0</v>
      </c>
      <c r="K85" t="n">
        <v>0</v>
      </c>
      <c r="L85" t="n">
        <v>0</v>
      </c>
      <c r="M85" t="n">
        <v>0</v>
      </c>
      <c r="N85" t="n">
        <v>0</v>
      </c>
      <c r="O85" t="n">
        <v>0</v>
      </c>
      <c r="P85" t="n">
        <v>0</v>
      </c>
      <c r="Q85" t="n">
        <v>1</v>
      </c>
      <c r="R85" s="2" t="inlineStr">
        <is>
          <t>Gullviva</t>
        </is>
      </c>
      <c r="S85">
        <f>HYPERLINK("https://klasma.github.io/Logging_0580/artfynd/A 50806-2023 artfynd.xlsx", "A 50806-2023")</f>
        <v/>
      </c>
      <c r="T85">
        <f>HYPERLINK("https://klasma.github.io/Logging_0580/kartor/A 50806-2023 karta.png", "A 50806-2023")</f>
        <v/>
      </c>
      <c r="V85">
        <f>HYPERLINK("https://klasma.github.io/Logging_0580/klagomål/A 50806-2023 FSC-klagomål.docx", "A 50806-2023")</f>
        <v/>
      </c>
      <c r="W85">
        <f>HYPERLINK("https://klasma.github.io/Logging_0580/klagomålsmail/A 50806-2023 FSC-klagomål mail.docx", "A 50806-2023")</f>
        <v/>
      </c>
      <c r="X85">
        <f>HYPERLINK("https://klasma.github.io/Logging_0580/tillsyn/A 50806-2023 tillsynsbegäran.docx", "A 50806-2023")</f>
        <v/>
      </c>
      <c r="Y85">
        <f>HYPERLINK("https://klasma.github.io/Logging_0580/tillsynsmail/A 50806-2023 tillsynsbegäran mail.docx", "A 50806-2023")</f>
        <v/>
      </c>
    </row>
    <row r="86" ht="15" customHeight="1">
      <c r="A86" t="inlineStr">
        <is>
          <t>A 39457-2023</t>
        </is>
      </c>
      <c r="B86" s="1" t="n">
        <v>45166</v>
      </c>
      <c r="C86" s="1" t="n">
        <v>46022</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35948-2023</t>
        </is>
      </c>
      <c r="B87" s="1" t="n">
        <v>45148</v>
      </c>
      <c r="C87" s="1" t="n">
        <v>46022</v>
      </c>
      <c r="D87" t="inlineStr">
        <is>
          <t>ÖSTERGÖTLANDS LÄN</t>
        </is>
      </c>
      <c r="E87" t="inlineStr">
        <is>
          <t>LINKÖPING</t>
        </is>
      </c>
      <c r="G87" t="n">
        <v>1.9</v>
      </c>
      <c r="H87" t="n">
        <v>0</v>
      </c>
      <c r="I87" t="n">
        <v>1</v>
      </c>
      <c r="J87" t="n">
        <v>0</v>
      </c>
      <c r="K87" t="n">
        <v>0</v>
      </c>
      <c r="L87" t="n">
        <v>0</v>
      </c>
      <c r="M87" t="n">
        <v>0</v>
      </c>
      <c r="N87" t="n">
        <v>0</v>
      </c>
      <c r="O87" t="n">
        <v>0</v>
      </c>
      <c r="P87" t="n">
        <v>0</v>
      </c>
      <c r="Q87" t="n">
        <v>1</v>
      </c>
      <c r="R87" s="2" t="inlineStr">
        <is>
          <t>Brun nållav</t>
        </is>
      </c>
      <c r="S87">
        <f>HYPERLINK("https://klasma.github.io/Logging_0580/artfynd/A 35948-2023 artfynd.xlsx", "A 35948-2023")</f>
        <v/>
      </c>
      <c r="T87">
        <f>HYPERLINK("https://klasma.github.io/Logging_0580/kartor/A 35948-2023 karta.png", "A 35948-2023")</f>
        <v/>
      </c>
      <c r="V87">
        <f>HYPERLINK("https://klasma.github.io/Logging_0580/klagomål/A 35948-2023 FSC-klagomål.docx", "A 35948-2023")</f>
        <v/>
      </c>
      <c r="W87">
        <f>HYPERLINK("https://klasma.github.io/Logging_0580/klagomålsmail/A 35948-2023 FSC-klagomål mail.docx", "A 35948-2023")</f>
        <v/>
      </c>
      <c r="X87">
        <f>HYPERLINK("https://klasma.github.io/Logging_0580/tillsyn/A 35948-2023 tillsynsbegäran.docx", "A 35948-2023")</f>
        <v/>
      </c>
      <c r="Y87">
        <f>HYPERLINK("https://klasma.github.io/Logging_0580/tillsynsmail/A 35948-2023 tillsynsbegäran mail.docx", "A 35948-2023")</f>
        <v/>
      </c>
    </row>
    <row r="88" ht="15" customHeight="1">
      <c r="A88" t="inlineStr">
        <is>
          <t>A 62071-2023</t>
        </is>
      </c>
      <c r="B88" s="1" t="n">
        <v>45266.73542824074</v>
      </c>
      <c r="C88" s="1" t="n">
        <v>46022</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3397-2023</t>
        </is>
      </c>
      <c r="B89" s="1" t="n">
        <v>44949</v>
      </c>
      <c r="C89" s="1" t="n">
        <v>46022</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20295-2025</t>
        </is>
      </c>
      <c r="B90" s="1" t="n">
        <v>45774.74846064814</v>
      </c>
      <c r="C90" s="1" t="n">
        <v>46022</v>
      </c>
      <c r="D90" t="inlineStr">
        <is>
          <t>ÖSTERGÖTLANDS LÄN</t>
        </is>
      </c>
      <c r="E90" t="inlineStr">
        <is>
          <t>LINKÖPING</t>
        </is>
      </c>
      <c r="G90" t="n">
        <v>3</v>
      </c>
      <c r="H90" t="n">
        <v>0</v>
      </c>
      <c r="I90" t="n">
        <v>0</v>
      </c>
      <c r="J90" t="n">
        <v>1</v>
      </c>
      <c r="K90" t="n">
        <v>0</v>
      </c>
      <c r="L90" t="n">
        <v>0</v>
      </c>
      <c r="M90" t="n">
        <v>0</v>
      </c>
      <c r="N90" t="n">
        <v>0</v>
      </c>
      <c r="O90" t="n">
        <v>1</v>
      </c>
      <c r="P90" t="n">
        <v>0</v>
      </c>
      <c r="Q90" t="n">
        <v>1</v>
      </c>
      <c r="R90" s="2" t="inlineStr">
        <is>
          <t>Tallticka</t>
        </is>
      </c>
      <c r="S90">
        <f>HYPERLINK("https://klasma.github.io/Logging_0580/artfynd/A 20295-2025 artfynd.xlsx", "A 20295-2025")</f>
        <v/>
      </c>
      <c r="T90">
        <f>HYPERLINK("https://klasma.github.io/Logging_0580/kartor/A 20295-2025 karta.png", "A 20295-2025")</f>
        <v/>
      </c>
      <c r="V90">
        <f>HYPERLINK("https://klasma.github.io/Logging_0580/klagomål/A 20295-2025 FSC-klagomål.docx", "A 20295-2025")</f>
        <v/>
      </c>
      <c r="W90">
        <f>HYPERLINK("https://klasma.github.io/Logging_0580/klagomålsmail/A 20295-2025 FSC-klagomål mail.docx", "A 20295-2025")</f>
        <v/>
      </c>
      <c r="X90">
        <f>HYPERLINK("https://klasma.github.io/Logging_0580/tillsyn/A 20295-2025 tillsynsbegäran.docx", "A 20295-2025")</f>
        <v/>
      </c>
      <c r="Y90">
        <f>HYPERLINK("https://klasma.github.io/Logging_0580/tillsynsmail/A 20295-2025 tillsynsbegäran mail.docx", "A 20295-2025")</f>
        <v/>
      </c>
    </row>
    <row r="91" ht="15" customHeight="1">
      <c r="A91" t="inlineStr">
        <is>
          <t>A 38881-2021</t>
        </is>
      </c>
      <c r="B91" s="1" t="n">
        <v>44411.46893518518</v>
      </c>
      <c r="C91" s="1" t="n">
        <v>46022</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46022</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46022</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46022</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46022</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46022</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46022</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46022</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46022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46022</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46022</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46022</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46022</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46022</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46022</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46022</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46022</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46022</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46022</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46022</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46022</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46022</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46022</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46022</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46022</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46022</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46022</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261-2021</t>
        </is>
      </c>
      <c r="B118" s="1" t="n">
        <v>44200</v>
      </c>
      <c r="C118" s="1" t="n">
        <v>46022</v>
      </c>
      <c r="D118" t="inlineStr">
        <is>
          <t>ÖSTERGÖTLANDS LÄN</t>
        </is>
      </c>
      <c r="E118" t="inlineStr">
        <is>
          <t>LINKÖPING</t>
        </is>
      </c>
      <c r="G118" t="n">
        <v>3.1</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46022</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46022</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46022</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46022</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46022</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46022</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46022</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46022</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46022</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46022</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46022</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46022</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46022</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46022</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46022</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46022</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46022</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16469-2021</t>
        </is>
      </c>
      <c r="B136" s="1" t="n">
        <v>44293.54331018519</v>
      </c>
      <c r="C136" s="1" t="n">
        <v>46022</v>
      </c>
      <c r="D136" t="inlineStr">
        <is>
          <t>ÖSTERGÖTLANDS LÄN</t>
        </is>
      </c>
      <c r="E136" t="inlineStr">
        <is>
          <t>LINKÖPING</t>
        </is>
      </c>
      <c r="F136" t="inlineStr">
        <is>
          <t>Allmännings- och besparingsskogar</t>
        </is>
      </c>
      <c r="G136" t="n">
        <v>33.5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46022</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46022</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46022</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46022</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46022</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46022</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46022</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46022</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46022</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46022</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46022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46022</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38130-2021</t>
        </is>
      </c>
      <c r="B149" s="1" t="n">
        <v>44405</v>
      </c>
      <c r="C149" s="1" t="n">
        <v>46022</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46022</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46022</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46022</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46022</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46022</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46022</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46022</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46022</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31705-2022</t>
        </is>
      </c>
      <c r="B158" s="1" t="n">
        <v>44776.43607638889</v>
      </c>
      <c r="C158" s="1" t="n">
        <v>46022</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46022</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36341-2022</t>
        </is>
      </c>
      <c r="B160" s="1" t="n">
        <v>44803</v>
      </c>
      <c r="C160" s="1" t="n">
        <v>46022</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46022</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46022</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46022</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46022</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46022</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46022</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46022</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46022</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46022</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46022</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46022</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70835-2021</t>
        </is>
      </c>
      <c r="B172" s="1" t="n">
        <v>44537</v>
      </c>
      <c r="C172" s="1" t="n">
        <v>46022</v>
      </c>
      <c r="D172" t="inlineStr">
        <is>
          <t>ÖSTERGÖTLANDS LÄN</t>
        </is>
      </c>
      <c r="E172" t="inlineStr">
        <is>
          <t>LINKÖPING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46022</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46022</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46022</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46022</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46022</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46022</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46022</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46022</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46022</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46022</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56688-2021</t>
        </is>
      </c>
      <c r="B183" s="1" t="n">
        <v>44481</v>
      </c>
      <c r="C183" s="1" t="n">
        <v>46022</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46022</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46022</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23416-2022</t>
        </is>
      </c>
      <c r="B186" s="1" t="n">
        <v>44720.78243055556</v>
      </c>
      <c r="C186" s="1" t="n">
        <v>46022</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46022</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46022</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46022</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19254-2021</t>
        </is>
      </c>
      <c r="B190" s="1" t="n">
        <v>44309.38962962963</v>
      </c>
      <c r="C190" s="1" t="n">
        <v>46022</v>
      </c>
      <c r="D190" t="inlineStr">
        <is>
          <t>ÖSTERGÖTLANDS LÄN</t>
        </is>
      </c>
      <c r="E190" t="inlineStr">
        <is>
          <t>LINKÖPING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46022</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46022</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46022</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46490-2022</t>
        </is>
      </c>
      <c r="B194" s="1" t="n">
        <v>44848</v>
      </c>
      <c r="C194" s="1" t="n">
        <v>46022</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46022</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46022</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46022</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46022</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46022</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46022</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46022</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46022</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12412-2022</t>
        </is>
      </c>
      <c r="B203" s="1" t="n">
        <v>44638</v>
      </c>
      <c r="C203" s="1" t="n">
        <v>46022</v>
      </c>
      <c r="D203" t="inlineStr">
        <is>
          <t>ÖSTERGÖTLANDS LÄN</t>
        </is>
      </c>
      <c r="E203" t="inlineStr">
        <is>
          <t>LINKÖPING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46022</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46022</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46022</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46022</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46022</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28266-2024</t>
        </is>
      </c>
      <c r="B209" s="1" t="n">
        <v>45477.43600694444</v>
      </c>
      <c r="C209" s="1" t="n">
        <v>46022</v>
      </c>
      <c r="D209" t="inlineStr">
        <is>
          <t>ÖSTERGÖTLANDS LÄN</t>
        </is>
      </c>
      <c r="E209" t="inlineStr">
        <is>
          <t>LINKÖPING</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22772-2024</t>
        </is>
      </c>
      <c r="B210" s="1" t="n">
        <v>45448.46712962963</v>
      </c>
      <c r="C210" s="1" t="n">
        <v>46022</v>
      </c>
      <c r="D210" t="inlineStr">
        <is>
          <t>ÖSTERGÖTLANDS LÄN</t>
        </is>
      </c>
      <c r="E210" t="inlineStr">
        <is>
          <t>LINKÖPING</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3008-2023</t>
        </is>
      </c>
      <c r="B211" s="1" t="n">
        <v>44945.79784722222</v>
      </c>
      <c r="C211" s="1" t="n">
        <v>46022</v>
      </c>
      <c r="D211" t="inlineStr">
        <is>
          <t>ÖSTERGÖTLANDS LÄN</t>
        </is>
      </c>
      <c r="E211" t="inlineStr">
        <is>
          <t>LINKÖPING</t>
        </is>
      </c>
      <c r="G211" t="n">
        <v>19.3</v>
      </c>
      <c r="H211" t="n">
        <v>0</v>
      </c>
      <c r="I211" t="n">
        <v>0</v>
      </c>
      <c r="J211" t="n">
        <v>0</v>
      </c>
      <c r="K211" t="n">
        <v>0</v>
      </c>
      <c r="L211" t="n">
        <v>0</v>
      </c>
      <c r="M211" t="n">
        <v>0</v>
      </c>
      <c r="N211" t="n">
        <v>0</v>
      </c>
      <c r="O211" t="n">
        <v>0</v>
      </c>
      <c r="P211" t="n">
        <v>0</v>
      </c>
      <c r="Q211" t="n">
        <v>0</v>
      </c>
      <c r="R211" s="2" t="inlineStr"/>
    </row>
    <row r="212" ht="15" customHeight="1">
      <c r="A212" t="inlineStr">
        <is>
          <t>A 12035-2025</t>
        </is>
      </c>
      <c r="B212" s="1" t="n">
        <v>45728.64946759259</v>
      </c>
      <c r="C212" s="1" t="n">
        <v>46022</v>
      </c>
      <c r="D212" t="inlineStr">
        <is>
          <t>ÖSTERGÖTLANDS LÄN</t>
        </is>
      </c>
      <c r="E212" t="inlineStr">
        <is>
          <t>LINKÖPING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20455-2024</t>
        </is>
      </c>
      <c r="B213" s="1" t="n">
        <v>45435.65314814815</v>
      </c>
      <c r="C213" s="1" t="n">
        <v>46022</v>
      </c>
      <c r="D213" t="inlineStr">
        <is>
          <t>ÖSTERGÖTLANDS LÄN</t>
        </is>
      </c>
      <c r="E213" t="inlineStr">
        <is>
          <t>LINKÖPING</t>
        </is>
      </c>
      <c r="G213" t="n">
        <v>2.6</v>
      </c>
      <c r="H213" t="n">
        <v>0</v>
      </c>
      <c r="I213" t="n">
        <v>0</v>
      </c>
      <c r="J213" t="n">
        <v>0</v>
      </c>
      <c r="K213" t="n">
        <v>0</v>
      </c>
      <c r="L213" t="n">
        <v>0</v>
      </c>
      <c r="M213" t="n">
        <v>0</v>
      </c>
      <c r="N213" t="n">
        <v>0</v>
      </c>
      <c r="O213" t="n">
        <v>0</v>
      </c>
      <c r="P213" t="n">
        <v>0</v>
      </c>
      <c r="Q213" t="n">
        <v>0</v>
      </c>
      <c r="R213" s="2" t="inlineStr"/>
    </row>
    <row r="214" ht="15" customHeight="1">
      <c r="A214" t="inlineStr">
        <is>
          <t>A 224-2024</t>
        </is>
      </c>
      <c r="B214" s="1" t="n">
        <v>45294</v>
      </c>
      <c r="C214" s="1" t="n">
        <v>46022</v>
      </c>
      <c r="D214" t="inlineStr">
        <is>
          <t>ÖSTERGÖTLANDS LÄN</t>
        </is>
      </c>
      <c r="E214" t="inlineStr">
        <is>
          <t>LINKÖPING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54845-2023</t>
        </is>
      </c>
      <c r="B215" s="1" t="n">
        <v>45236</v>
      </c>
      <c r="C215" s="1" t="n">
        <v>46022</v>
      </c>
      <c r="D215" t="inlineStr">
        <is>
          <t>ÖSTERGÖTLANDS LÄN</t>
        </is>
      </c>
      <c r="E215" t="inlineStr">
        <is>
          <t>LINKÖPING</t>
        </is>
      </c>
      <c r="F215" t="inlineStr">
        <is>
          <t>Övriga Aktiebolag</t>
        </is>
      </c>
      <c r="G215" t="n">
        <v>5.7</v>
      </c>
      <c r="H215" t="n">
        <v>0</v>
      </c>
      <c r="I215" t="n">
        <v>0</v>
      </c>
      <c r="J215" t="n">
        <v>0</v>
      </c>
      <c r="K215" t="n">
        <v>0</v>
      </c>
      <c r="L215" t="n">
        <v>0</v>
      </c>
      <c r="M215" t="n">
        <v>0</v>
      </c>
      <c r="N215" t="n">
        <v>0</v>
      </c>
      <c r="O215" t="n">
        <v>0</v>
      </c>
      <c r="P215" t="n">
        <v>0</v>
      </c>
      <c r="Q215" t="n">
        <v>0</v>
      </c>
      <c r="R215" s="2" t="inlineStr"/>
    </row>
    <row r="216" ht="15" customHeight="1">
      <c r="A216" t="inlineStr">
        <is>
          <t>A 25418-2023</t>
        </is>
      </c>
      <c r="B216" s="1" t="n">
        <v>45089</v>
      </c>
      <c r="C216" s="1" t="n">
        <v>46022</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52796-2023</t>
        </is>
      </c>
      <c r="B217" s="1" t="n">
        <v>45219</v>
      </c>
      <c r="C217" s="1" t="n">
        <v>46022</v>
      </c>
      <c r="D217" t="inlineStr">
        <is>
          <t>ÖSTERGÖTLANDS LÄN</t>
        </is>
      </c>
      <c r="E217" t="inlineStr">
        <is>
          <t>LINKÖPING</t>
        </is>
      </c>
      <c r="F217" t="inlineStr">
        <is>
          <t>Övriga statliga verk och myndigheter</t>
        </is>
      </c>
      <c r="G217" t="n">
        <v>3.9</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46022</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30855-2022</t>
        </is>
      </c>
      <c r="B219" s="1" t="n">
        <v>44767</v>
      </c>
      <c r="C219" s="1" t="n">
        <v>46022</v>
      </c>
      <c r="D219" t="inlineStr">
        <is>
          <t>ÖSTERGÖTLANDS LÄN</t>
        </is>
      </c>
      <c r="E219" t="inlineStr">
        <is>
          <t>LINKÖPING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30856-2022</t>
        </is>
      </c>
      <c r="B220" s="1" t="n">
        <v>44767</v>
      </c>
      <c r="C220" s="1" t="n">
        <v>46022</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62488-2023</t>
        </is>
      </c>
      <c r="B221" s="1" t="n">
        <v>45268.5847337963</v>
      </c>
      <c r="C221" s="1" t="n">
        <v>46022</v>
      </c>
      <c r="D221" t="inlineStr">
        <is>
          <t>ÖSTERGÖTLANDS LÄN</t>
        </is>
      </c>
      <c r="E221" t="inlineStr">
        <is>
          <t>LINKÖPING</t>
        </is>
      </c>
      <c r="G221" t="n">
        <v>4.1</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45275.64769675926</v>
      </c>
      <c r="C222" s="1" t="n">
        <v>46022</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24351-2024</t>
        </is>
      </c>
      <c r="B223" s="1" t="n">
        <v>45457.59011574074</v>
      </c>
      <c r="C223" s="1" t="n">
        <v>46022</v>
      </c>
      <c r="D223" t="inlineStr">
        <is>
          <t>ÖSTERGÖTLANDS LÄN</t>
        </is>
      </c>
      <c r="E223" t="inlineStr">
        <is>
          <t>LINKÖPING</t>
        </is>
      </c>
      <c r="G223" t="n">
        <v>11.9</v>
      </c>
      <c r="H223" t="n">
        <v>0</v>
      </c>
      <c r="I223" t="n">
        <v>0</v>
      </c>
      <c r="J223" t="n">
        <v>0</v>
      </c>
      <c r="K223" t="n">
        <v>0</v>
      </c>
      <c r="L223" t="n">
        <v>0</v>
      </c>
      <c r="M223" t="n">
        <v>0</v>
      </c>
      <c r="N223" t="n">
        <v>0</v>
      </c>
      <c r="O223" t="n">
        <v>0</v>
      </c>
      <c r="P223" t="n">
        <v>0</v>
      </c>
      <c r="Q223" t="n">
        <v>0</v>
      </c>
      <c r="R223" s="2" t="inlineStr"/>
    </row>
    <row r="224" ht="15" customHeight="1">
      <c r="A224" t="inlineStr">
        <is>
          <t>A 57745-2022</t>
        </is>
      </c>
      <c r="B224" s="1" t="n">
        <v>44897.58119212963</v>
      </c>
      <c r="C224" s="1" t="n">
        <v>46022</v>
      </c>
      <c r="D224" t="inlineStr">
        <is>
          <t>ÖSTERGÖTLANDS LÄN</t>
        </is>
      </c>
      <c r="E224" t="inlineStr">
        <is>
          <t>LINKÖPING</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34889-2023</t>
        </is>
      </c>
      <c r="B225" s="1" t="n">
        <v>45140</v>
      </c>
      <c r="C225" s="1" t="n">
        <v>46022</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1993-2023</t>
        </is>
      </c>
      <c r="B226" s="1" t="n">
        <v>44939</v>
      </c>
      <c r="C226" s="1" t="n">
        <v>46022</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1844-2025</t>
        </is>
      </c>
      <c r="B227" s="1" t="n">
        <v>45671.57730324074</v>
      </c>
      <c r="C227" s="1" t="n">
        <v>46022</v>
      </c>
      <c r="D227" t="inlineStr">
        <is>
          <t>ÖSTERGÖTLANDS LÄN</t>
        </is>
      </c>
      <c r="E227" t="inlineStr">
        <is>
          <t>LINKÖPING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22771-2024</t>
        </is>
      </c>
      <c r="B228" s="1" t="n">
        <v>45448.46574074074</v>
      </c>
      <c r="C228" s="1" t="n">
        <v>46022</v>
      </c>
      <c r="D228" t="inlineStr">
        <is>
          <t>ÖSTERGÖTLANDS LÄN</t>
        </is>
      </c>
      <c r="E228" t="inlineStr">
        <is>
          <t>LINKÖPING</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52220-2023</t>
        </is>
      </c>
      <c r="B229" s="1" t="n">
        <v>45217</v>
      </c>
      <c r="C229" s="1" t="n">
        <v>46022</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52225-2023</t>
        </is>
      </c>
      <c r="B230" s="1" t="n">
        <v>45217</v>
      </c>
      <c r="C230" s="1" t="n">
        <v>46022</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21165-2025</t>
        </is>
      </c>
      <c r="B231" s="1" t="n">
        <v>45779.39417824074</v>
      </c>
      <c r="C231" s="1" t="n">
        <v>46022</v>
      </c>
      <c r="D231" t="inlineStr">
        <is>
          <t>ÖSTERGÖTLANDS LÄN</t>
        </is>
      </c>
      <c r="E231" t="inlineStr">
        <is>
          <t>LINKÖPING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42832-2023</t>
        </is>
      </c>
      <c r="B232" s="1" t="n">
        <v>45182.38091435185</v>
      </c>
      <c r="C232" s="1" t="n">
        <v>46022</v>
      </c>
      <c r="D232" t="inlineStr">
        <is>
          <t>ÖSTERGÖTLANDS LÄN</t>
        </is>
      </c>
      <c r="E232" t="inlineStr">
        <is>
          <t>LINKÖPING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21155-2025</t>
        </is>
      </c>
      <c r="B233" s="1" t="n">
        <v>45779.37586805555</v>
      </c>
      <c r="C233" s="1" t="n">
        <v>46022</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56560-2023</t>
        </is>
      </c>
      <c r="B234" s="1" t="n">
        <v>45238</v>
      </c>
      <c r="C234" s="1" t="n">
        <v>46022</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52412-2023</t>
        </is>
      </c>
      <c r="B235" s="1" t="n">
        <v>45225.27888888889</v>
      </c>
      <c r="C235" s="1" t="n">
        <v>46022</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52413-2023</t>
        </is>
      </c>
      <c r="B236" s="1" t="n">
        <v>45225.27950231481</v>
      </c>
      <c r="C236" s="1" t="n">
        <v>46022</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7354-2025</t>
        </is>
      </c>
      <c r="B237" s="1" t="n">
        <v>45704.41174768518</v>
      </c>
      <c r="C237" s="1" t="n">
        <v>46022</v>
      </c>
      <c r="D237" t="inlineStr">
        <is>
          <t>ÖSTERGÖTLANDS LÄN</t>
        </is>
      </c>
      <c r="E237" t="inlineStr">
        <is>
          <t>LINKÖPING</t>
        </is>
      </c>
      <c r="G237" t="n">
        <v>4.8</v>
      </c>
      <c r="H237" t="n">
        <v>0</v>
      </c>
      <c r="I237" t="n">
        <v>0</v>
      </c>
      <c r="J237" t="n">
        <v>0</v>
      </c>
      <c r="K237" t="n">
        <v>0</v>
      </c>
      <c r="L237" t="n">
        <v>0</v>
      </c>
      <c r="M237" t="n">
        <v>0</v>
      </c>
      <c r="N237" t="n">
        <v>0</v>
      </c>
      <c r="O237" t="n">
        <v>0</v>
      </c>
      <c r="P237" t="n">
        <v>0</v>
      </c>
      <c r="Q237" t="n">
        <v>0</v>
      </c>
      <c r="R237" s="2" t="inlineStr"/>
    </row>
    <row r="238" ht="15" customHeight="1">
      <c r="A238" t="inlineStr">
        <is>
          <t>A 3008-2023</t>
        </is>
      </c>
      <c r="B238" s="1" t="n">
        <v>44945.79784722222</v>
      </c>
      <c r="C238" s="1" t="n">
        <v>46022</v>
      </c>
      <c r="D238" t="inlineStr">
        <is>
          <t>ÖSTERGÖTLANDS LÄN</t>
        </is>
      </c>
      <c r="E238" t="inlineStr">
        <is>
          <t>LINKÖPING</t>
        </is>
      </c>
      <c r="G238" t="n">
        <v>19.3</v>
      </c>
      <c r="H238" t="n">
        <v>0</v>
      </c>
      <c r="I238" t="n">
        <v>0</v>
      </c>
      <c r="J238" t="n">
        <v>0</v>
      </c>
      <c r="K238" t="n">
        <v>0</v>
      </c>
      <c r="L238" t="n">
        <v>0</v>
      </c>
      <c r="M238" t="n">
        <v>0</v>
      </c>
      <c r="N238" t="n">
        <v>0</v>
      </c>
      <c r="O238" t="n">
        <v>0</v>
      </c>
      <c r="P238" t="n">
        <v>0</v>
      </c>
      <c r="Q238" t="n">
        <v>0</v>
      </c>
      <c r="R238" s="2" t="inlineStr"/>
    </row>
    <row r="239" ht="15" customHeight="1">
      <c r="A239" t="inlineStr">
        <is>
          <t>A 55945-2024</t>
        </is>
      </c>
      <c r="B239" s="1" t="n">
        <v>45623.61754629629</v>
      </c>
      <c r="C239" s="1" t="n">
        <v>46022</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39438-2025</t>
        </is>
      </c>
      <c r="B240" s="1" t="n">
        <v>45889.68641203704</v>
      </c>
      <c r="C240" s="1" t="n">
        <v>46022</v>
      </c>
      <c r="D240" t="inlineStr">
        <is>
          <t>ÖSTERGÖTLANDS LÄN</t>
        </is>
      </c>
      <c r="E240" t="inlineStr">
        <is>
          <t>LINKÖPING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22264-2025</t>
        </is>
      </c>
      <c r="B241" s="1" t="n">
        <v>45785</v>
      </c>
      <c r="C241" s="1" t="n">
        <v>46022</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34928-2023</t>
        </is>
      </c>
      <c r="B242" s="1" t="n">
        <v>45142</v>
      </c>
      <c r="C242" s="1" t="n">
        <v>46022</v>
      </c>
      <c r="D242" t="inlineStr">
        <is>
          <t>ÖSTERGÖTLANDS LÄN</t>
        </is>
      </c>
      <c r="E242" t="inlineStr">
        <is>
          <t>LINKÖPING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27264-2025</t>
        </is>
      </c>
      <c r="B243" s="1" t="n">
        <v>45812.4794212963</v>
      </c>
      <c r="C243" s="1" t="n">
        <v>46022</v>
      </c>
      <c r="D243" t="inlineStr">
        <is>
          <t>ÖSTERGÖTLANDS LÄN</t>
        </is>
      </c>
      <c r="E243" t="inlineStr">
        <is>
          <t>LINKÖPING</t>
        </is>
      </c>
      <c r="G243" t="n">
        <v>2.6</v>
      </c>
      <c r="H243" t="n">
        <v>0</v>
      </c>
      <c r="I243" t="n">
        <v>0</v>
      </c>
      <c r="J243" t="n">
        <v>0</v>
      </c>
      <c r="K243" t="n">
        <v>0</v>
      </c>
      <c r="L243" t="n">
        <v>0</v>
      </c>
      <c r="M243" t="n">
        <v>0</v>
      </c>
      <c r="N243" t="n">
        <v>0</v>
      </c>
      <c r="O243" t="n">
        <v>0</v>
      </c>
      <c r="P243" t="n">
        <v>0</v>
      </c>
      <c r="Q243" t="n">
        <v>0</v>
      </c>
      <c r="R243" s="2" t="inlineStr"/>
    </row>
    <row r="244" ht="15" customHeight="1">
      <c r="A244" t="inlineStr">
        <is>
          <t>A 1263-2024</t>
        </is>
      </c>
      <c r="B244" s="1" t="n">
        <v>45302</v>
      </c>
      <c r="C244" s="1" t="n">
        <v>46022</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52531-2023</t>
        </is>
      </c>
      <c r="B245" s="1" t="n">
        <v>45225</v>
      </c>
      <c r="C245" s="1" t="n">
        <v>46022</v>
      </c>
      <c r="D245" t="inlineStr">
        <is>
          <t>ÖSTERGÖTLANDS LÄN</t>
        </is>
      </c>
      <c r="E245" t="inlineStr">
        <is>
          <t>LINKÖPING</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48343-2025</t>
        </is>
      </c>
      <c r="B246" s="1" t="n">
        <v>45932</v>
      </c>
      <c r="C246" s="1" t="n">
        <v>46022</v>
      </c>
      <c r="D246" t="inlineStr">
        <is>
          <t>ÖSTERGÖTLANDS LÄN</t>
        </is>
      </c>
      <c r="E246" t="inlineStr">
        <is>
          <t>LINKÖPING</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48266-2025</t>
        </is>
      </c>
      <c r="B247" s="1" t="n">
        <v>45932</v>
      </c>
      <c r="C247" s="1" t="n">
        <v>46022</v>
      </c>
      <c r="D247" t="inlineStr">
        <is>
          <t>ÖSTERGÖTLANDS LÄN</t>
        </is>
      </c>
      <c r="E247" t="inlineStr">
        <is>
          <t>LINKÖPING</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39074-2025</t>
        </is>
      </c>
      <c r="B248" s="1" t="n">
        <v>45888</v>
      </c>
      <c r="C248" s="1" t="n">
        <v>46022</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72567-2021</t>
        </is>
      </c>
      <c r="B249" s="1" t="n">
        <v>44546.45023148148</v>
      </c>
      <c r="C249" s="1" t="n">
        <v>46022</v>
      </c>
      <c r="D249" t="inlineStr">
        <is>
          <t>ÖSTERGÖTLANDS LÄN</t>
        </is>
      </c>
      <c r="E249" t="inlineStr">
        <is>
          <t>LINKÖPING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20291-2025</t>
        </is>
      </c>
      <c r="B250" s="1" t="n">
        <v>45774.74288194445</v>
      </c>
      <c r="C250" s="1" t="n">
        <v>46022</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20293-2025</t>
        </is>
      </c>
      <c r="B251" s="1" t="n">
        <v>45774.74611111111</v>
      </c>
      <c r="C251" s="1" t="n">
        <v>46022</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9473-2024</t>
        </is>
      </c>
      <c r="B252" s="1" t="n">
        <v>45359.55474537037</v>
      </c>
      <c r="C252" s="1" t="n">
        <v>46022</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6859-2024</t>
        </is>
      </c>
      <c r="B253" s="1" t="n">
        <v>45342</v>
      </c>
      <c r="C253" s="1" t="n">
        <v>46022</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44287-2024</t>
        </is>
      </c>
      <c r="B254" s="1" t="n">
        <v>45573.50582175926</v>
      </c>
      <c r="C254" s="1" t="n">
        <v>46022</v>
      </c>
      <c r="D254" t="inlineStr">
        <is>
          <t>ÖSTERGÖTLANDS LÄN</t>
        </is>
      </c>
      <c r="E254" t="inlineStr">
        <is>
          <t>LINKÖPING</t>
        </is>
      </c>
      <c r="G254" t="n">
        <v>12.7</v>
      </c>
      <c r="H254" t="n">
        <v>0</v>
      </c>
      <c r="I254" t="n">
        <v>0</v>
      </c>
      <c r="J254" t="n">
        <v>0</v>
      </c>
      <c r="K254" t="n">
        <v>0</v>
      </c>
      <c r="L254" t="n">
        <v>0</v>
      </c>
      <c r="M254" t="n">
        <v>0</v>
      </c>
      <c r="N254" t="n">
        <v>0</v>
      </c>
      <c r="O254" t="n">
        <v>0</v>
      </c>
      <c r="P254" t="n">
        <v>0</v>
      </c>
      <c r="Q254" t="n">
        <v>0</v>
      </c>
      <c r="R254" s="2" t="inlineStr"/>
    </row>
    <row r="255" ht="15" customHeight="1">
      <c r="A255" t="inlineStr">
        <is>
          <t>A 22364-2025</t>
        </is>
      </c>
      <c r="B255" s="1" t="n">
        <v>45786.46930555555</v>
      </c>
      <c r="C255" s="1" t="n">
        <v>46022</v>
      </c>
      <c r="D255" t="inlineStr">
        <is>
          <t>ÖSTERGÖTLANDS LÄN</t>
        </is>
      </c>
      <c r="E255" t="inlineStr">
        <is>
          <t>LINKÖPING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572-2025</t>
        </is>
      </c>
      <c r="B256" s="1" t="n">
        <v>45664.56349537037</v>
      </c>
      <c r="C256" s="1" t="n">
        <v>46022</v>
      </c>
      <c r="D256" t="inlineStr">
        <is>
          <t>ÖSTERGÖTLANDS LÄN</t>
        </is>
      </c>
      <c r="E256" t="inlineStr">
        <is>
          <t>LINKÖPING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10797-2024</t>
        </is>
      </c>
      <c r="B257" s="1" t="n">
        <v>45369.6190162037</v>
      </c>
      <c r="C257" s="1" t="n">
        <v>46022</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3041-2024</t>
        </is>
      </c>
      <c r="B258" s="1" t="n">
        <v>45316.34875</v>
      </c>
      <c r="C258" s="1" t="n">
        <v>46022</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50963-2021</t>
        </is>
      </c>
      <c r="B259" s="1" t="n">
        <v>44460</v>
      </c>
      <c r="C259" s="1" t="n">
        <v>46022</v>
      </c>
      <c r="D259" t="inlineStr">
        <is>
          <t>ÖSTERGÖTLANDS LÄN</t>
        </is>
      </c>
      <c r="E259" t="inlineStr">
        <is>
          <t>LINKÖPING</t>
        </is>
      </c>
      <c r="G259" t="n">
        <v>4.4</v>
      </c>
      <c r="H259" t="n">
        <v>0</v>
      </c>
      <c r="I259" t="n">
        <v>0</v>
      </c>
      <c r="J259" t="n">
        <v>0</v>
      </c>
      <c r="K259" t="n">
        <v>0</v>
      </c>
      <c r="L259" t="n">
        <v>0</v>
      </c>
      <c r="M259" t="n">
        <v>0</v>
      </c>
      <c r="N259" t="n">
        <v>0</v>
      </c>
      <c r="O259" t="n">
        <v>0</v>
      </c>
      <c r="P259" t="n">
        <v>0</v>
      </c>
      <c r="Q259" t="n">
        <v>0</v>
      </c>
      <c r="R259" s="2" t="inlineStr"/>
    </row>
    <row r="260" ht="15" customHeight="1">
      <c r="A260" t="inlineStr">
        <is>
          <t>A 61307-2021</t>
        </is>
      </c>
      <c r="B260" s="1" t="n">
        <v>44498.63928240741</v>
      </c>
      <c r="C260" s="1" t="n">
        <v>46022</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61325-2021</t>
        </is>
      </c>
      <c r="B261" s="1" t="n">
        <v>44498.66814814815</v>
      </c>
      <c r="C261" s="1" t="n">
        <v>46022</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40169-2025</t>
        </is>
      </c>
      <c r="B262" s="1" t="n">
        <v>45894.62824074074</v>
      </c>
      <c r="C262" s="1" t="n">
        <v>46022</v>
      </c>
      <c r="D262" t="inlineStr">
        <is>
          <t>ÖSTERGÖTLANDS LÄN</t>
        </is>
      </c>
      <c r="E262" t="inlineStr">
        <is>
          <t>LINKÖPING</t>
        </is>
      </c>
      <c r="G262" t="n">
        <v>2.8</v>
      </c>
      <c r="H262" t="n">
        <v>0</v>
      </c>
      <c r="I262" t="n">
        <v>0</v>
      </c>
      <c r="J262" t="n">
        <v>0</v>
      </c>
      <c r="K262" t="n">
        <v>0</v>
      </c>
      <c r="L262" t="n">
        <v>0</v>
      </c>
      <c r="M262" t="n">
        <v>0</v>
      </c>
      <c r="N262" t="n">
        <v>0</v>
      </c>
      <c r="O262" t="n">
        <v>0</v>
      </c>
      <c r="P262" t="n">
        <v>0</v>
      </c>
      <c r="Q262" t="n">
        <v>0</v>
      </c>
      <c r="R262" s="2" t="inlineStr"/>
    </row>
    <row r="263" ht="15" customHeight="1">
      <c r="A263" t="inlineStr">
        <is>
          <t>A 38580-2024</t>
        </is>
      </c>
      <c r="B263" s="1" t="n">
        <v>45546.64825231482</v>
      </c>
      <c r="C263" s="1" t="n">
        <v>46022</v>
      </c>
      <c r="D263" t="inlineStr">
        <is>
          <t>ÖSTERGÖTLANDS LÄN</t>
        </is>
      </c>
      <c r="E263" t="inlineStr">
        <is>
          <t>LINKÖPING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63665-2023</t>
        </is>
      </c>
      <c r="B264" s="1" t="n">
        <v>45275</v>
      </c>
      <c r="C264" s="1" t="n">
        <v>46022</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57752-2023</t>
        </is>
      </c>
      <c r="B265" s="1" t="n">
        <v>45246.78474537037</v>
      </c>
      <c r="C265" s="1" t="n">
        <v>46022</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33867-2023</t>
        </is>
      </c>
      <c r="B266" s="1" t="n">
        <v>45133.94640046296</v>
      </c>
      <c r="C266" s="1" t="n">
        <v>46022</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48254-2025</t>
        </is>
      </c>
      <c r="B267" s="1" t="n">
        <v>45932</v>
      </c>
      <c r="C267" s="1" t="n">
        <v>46022</v>
      </c>
      <c r="D267" t="inlineStr">
        <is>
          <t>ÖSTERGÖTLANDS LÄN</t>
        </is>
      </c>
      <c r="E267" t="inlineStr">
        <is>
          <t>LINKÖPING</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29312-2024</t>
        </is>
      </c>
      <c r="B268" s="1" t="n">
        <v>45483</v>
      </c>
      <c r="C268" s="1" t="n">
        <v>46022</v>
      </c>
      <c r="D268" t="inlineStr">
        <is>
          <t>ÖSTERGÖTLANDS LÄN</t>
        </is>
      </c>
      <c r="E268" t="inlineStr">
        <is>
          <t>LINKÖPING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23120-2025</t>
        </is>
      </c>
      <c r="B269" s="1" t="n">
        <v>45791.37481481482</v>
      </c>
      <c r="C269" s="1" t="n">
        <v>46022</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30985-2022</t>
        </is>
      </c>
      <c r="B270" s="1" t="n">
        <v>44768</v>
      </c>
      <c r="C270" s="1" t="n">
        <v>46022</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38317-2024</t>
        </is>
      </c>
      <c r="B271" s="1" t="n">
        <v>45545.65766203704</v>
      </c>
      <c r="C271" s="1" t="n">
        <v>46022</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23768-2025</t>
        </is>
      </c>
      <c r="B272" s="1" t="n">
        <v>45793.47493055555</v>
      </c>
      <c r="C272" s="1" t="n">
        <v>46022</v>
      </c>
      <c r="D272" t="inlineStr">
        <is>
          <t>ÖSTERGÖTLANDS LÄN</t>
        </is>
      </c>
      <c r="E272" t="inlineStr">
        <is>
          <t>LINKÖPING</t>
        </is>
      </c>
      <c r="G272" t="n">
        <v>3.4</v>
      </c>
      <c r="H272" t="n">
        <v>0</v>
      </c>
      <c r="I272" t="n">
        <v>0</v>
      </c>
      <c r="J272" t="n">
        <v>0</v>
      </c>
      <c r="K272" t="n">
        <v>0</v>
      </c>
      <c r="L272" t="n">
        <v>0</v>
      </c>
      <c r="M272" t="n">
        <v>0</v>
      </c>
      <c r="N272" t="n">
        <v>0</v>
      </c>
      <c r="O272" t="n">
        <v>0</v>
      </c>
      <c r="P272" t="n">
        <v>0</v>
      </c>
      <c r="Q272" t="n">
        <v>0</v>
      </c>
      <c r="R272" s="2" t="inlineStr"/>
    </row>
    <row r="273" ht="15" customHeight="1">
      <c r="A273" t="inlineStr">
        <is>
          <t>A 58947-2022</t>
        </is>
      </c>
      <c r="B273" s="1" t="n">
        <v>44903.64769675926</v>
      </c>
      <c r="C273" s="1" t="n">
        <v>46022</v>
      </c>
      <c r="D273" t="inlineStr">
        <is>
          <t>ÖSTERGÖTLANDS LÄN</t>
        </is>
      </c>
      <c r="E273" t="inlineStr">
        <is>
          <t>LINKÖPING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16665-2023</t>
        </is>
      </c>
      <c r="B274" s="1" t="n">
        <v>45030.5583912037</v>
      </c>
      <c r="C274" s="1" t="n">
        <v>46022</v>
      </c>
      <c r="D274" t="inlineStr">
        <is>
          <t>ÖSTERGÖTLANDS LÄN</t>
        </is>
      </c>
      <c r="E274" t="inlineStr">
        <is>
          <t>LINKÖPING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48699-2024</t>
        </is>
      </c>
      <c r="B275" s="1" t="n">
        <v>45593.52091435185</v>
      </c>
      <c r="C275" s="1" t="n">
        <v>46022</v>
      </c>
      <c r="D275" t="inlineStr">
        <is>
          <t>ÖSTERGÖTLANDS LÄN</t>
        </is>
      </c>
      <c r="E275" t="inlineStr">
        <is>
          <t>LINKÖPING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41511-2025</t>
        </is>
      </c>
      <c r="B276" s="1" t="n">
        <v>45901.53839120371</v>
      </c>
      <c r="C276" s="1" t="n">
        <v>46022</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60001-2022</t>
        </is>
      </c>
      <c r="B277" s="1" t="n">
        <v>44909.47087962963</v>
      </c>
      <c r="C277" s="1" t="n">
        <v>46022</v>
      </c>
      <c r="D277" t="inlineStr">
        <is>
          <t>ÖSTERGÖTLANDS LÄN</t>
        </is>
      </c>
      <c r="E277" t="inlineStr">
        <is>
          <t>LINKÖPING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60013-2022</t>
        </is>
      </c>
      <c r="B278" s="1" t="n">
        <v>44909.47482638889</v>
      </c>
      <c r="C278" s="1" t="n">
        <v>46022</v>
      </c>
      <c r="D278" t="inlineStr">
        <is>
          <t>ÖSTERGÖTLANDS LÄN</t>
        </is>
      </c>
      <c r="E278" t="inlineStr">
        <is>
          <t>LINKÖPING</t>
        </is>
      </c>
      <c r="G278" t="n">
        <v>0.9</v>
      </c>
      <c r="H278" t="n">
        <v>0</v>
      </c>
      <c r="I278" t="n">
        <v>0</v>
      </c>
      <c r="J278" t="n">
        <v>0</v>
      </c>
      <c r="K278" t="n">
        <v>0</v>
      </c>
      <c r="L278" t="n">
        <v>0</v>
      </c>
      <c r="M278" t="n">
        <v>0</v>
      </c>
      <c r="N278" t="n">
        <v>0</v>
      </c>
      <c r="O278" t="n">
        <v>0</v>
      </c>
      <c r="P278" t="n">
        <v>0</v>
      </c>
      <c r="Q278" t="n">
        <v>0</v>
      </c>
      <c r="R278" s="2" t="inlineStr"/>
    </row>
    <row r="279" ht="15" customHeight="1">
      <c r="A279" t="inlineStr">
        <is>
          <t>A 1211-2023</t>
        </is>
      </c>
      <c r="B279" s="1" t="n">
        <v>44930</v>
      </c>
      <c r="C279" s="1" t="n">
        <v>46022</v>
      </c>
      <c r="D279" t="inlineStr">
        <is>
          <t>ÖSTERGÖTLANDS LÄN</t>
        </is>
      </c>
      <c r="E279" t="inlineStr">
        <is>
          <t>LINKÖPING</t>
        </is>
      </c>
      <c r="F279" t="inlineStr">
        <is>
          <t>Övriga statliga verk och myndigheter</t>
        </is>
      </c>
      <c r="G279" t="n">
        <v>7.9</v>
      </c>
      <c r="H279" t="n">
        <v>0</v>
      </c>
      <c r="I279" t="n">
        <v>0</v>
      </c>
      <c r="J279" t="n">
        <v>0</v>
      </c>
      <c r="K279" t="n">
        <v>0</v>
      </c>
      <c r="L279" t="n">
        <v>0</v>
      </c>
      <c r="M279" t="n">
        <v>0</v>
      </c>
      <c r="N279" t="n">
        <v>0</v>
      </c>
      <c r="O279" t="n">
        <v>0</v>
      </c>
      <c r="P279" t="n">
        <v>0</v>
      </c>
      <c r="Q279" t="n">
        <v>0</v>
      </c>
      <c r="R279" s="2" t="inlineStr"/>
    </row>
    <row r="280" ht="15" customHeight="1">
      <c r="A280" t="inlineStr">
        <is>
          <t>A 38136-2023</t>
        </is>
      </c>
      <c r="B280" s="1" t="n">
        <v>45161.37310185185</v>
      </c>
      <c r="C280" s="1" t="n">
        <v>46022</v>
      </c>
      <c r="D280" t="inlineStr">
        <is>
          <t>ÖSTERGÖTLANDS LÄN</t>
        </is>
      </c>
      <c r="E280" t="inlineStr">
        <is>
          <t>LINKÖPING</t>
        </is>
      </c>
      <c r="G280" t="n">
        <v>5.6</v>
      </c>
      <c r="H280" t="n">
        <v>0</v>
      </c>
      <c r="I280" t="n">
        <v>0</v>
      </c>
      <c r="J280" t="n">
        <v>0</v>
      </c>
      <c r="K280" t="n">
        <v>0</v>
      </c>
      <c r="L280" t="n">
        <v>0</v>
      </c>
      <c r="M280" t="n">
        <v>0</v>
      </c>
      <c r="N280" t="n">
        <v>0</v>
      </c>
      <c r="O280" t="n">
        <v>0</v>
      </c>
      <c r="P280" t="n">
        <v>0</v>
      </c>
      <c r="Q280" t="n">
        <v>0</v>
      </c>
      <c r="R280" s="2" t="inlineStr"/>
    </row>
    <row r="281" ht="15" customHeight="1">
      <c r="A281" t="inlineStr">
        <is>
          <t>A 41706-2025</t>
        </is>
      </c>
      <c r="B281" s="1" t="n">
        <v>45902.42209490741</v>
      </c>
      <c r="C281" s="1" t="n">
        <v>46022</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3042-2024</t>
        </is>
      </c>
      <c r="B282" s="1" t="n">
        <v>45316.35028935185</v>
      </c>
      <c r="C282" s="1" t="n">
        <v>46022</v>
      </c>
      <c r="D282" t="inlineStr">
        <is>
          <t>ÖSTERGÖTLANDS LÄN</t>
        </is>
      </c>
      <c r="E282" t="inlineStr">
        <is>
          <t>LINKÖPING</t>
        </is>
      </c>
      <c r="G282" t="n">
        <v>3.1</v>
      </c>
      <c r="H282" t="n">
        <v>0</v>
      </c>
      <c r="I282" t="n">
        <v>0</v>
      </c>
      <c r="J282" t="n">
        <v>0</v>
      </c>
      <c r="K282" t="n">
        <v>0</v>
      </c>
      <c r="L282" t="n">
        <v>0</v>
      </c>
      <c r="M282" t="n">
        <v>0</v>
      </c>
      <c r="N282" t="n">
        <v>0</v>
      </c>
      <c r="O282" t="n">
        <v>0</v>
      </c>
      <c r="P282" t="n">
        <v>0</v>
      </c>
      <c r="Q282" t="n">
        <v>0</v>
      </c>
      <c r="R282" s="2" t="inlineStr"/>
    </row>
    <row r="283" ht="15" customHeight="1">
      <c r="A283" t="inlineStr">
        <is>
          <t>A 49455-2025</t>
        </is>
      </c>
      <c r="B283" s="1" t="n">
        <v>45938</v>
      </c>
      <c r="C283" s="1" t="n">
        <v>46022</v>
      </c>
      <c r="D283" t="inlineStr">
        <is>
          <t>ÖSTERGÖTLANDS LÄN</t>
        </is>
      </c>
      <c r="E283" t="inlineStr">
        <is>
          <t>LINKÖPING</t>
        </is>
      </c>
      <c r="F283" t="inlineStr">
        <is>
          <t>Övriga Aktiebolag</t>
        </is>
      </c>
      <c r="G283" t="n">
        <v>5.9</v>
      </c>
      <c r="H283" t="n">
        <v>0</v>
      </c>
      <c r="I283" t="n">
        <v>0</v>
      </c>
      <c r="J283" t="n">
        <v>0</v>
      </c>
      <c r="K283" t="n">
        <v>0</v>
      </c>
      <c r="L283" t="n">
        <v>0</v>
      </c>
      <c r="M283" t="n">
        <v>0</v>
      </c>
      <c r="N283" t="n">
        <v>0</v>
      </c>
      <c r="O283" t="n">
        <v>0</v>
      </c>
      <c r="P283" t="n">
        <v>0</v>
      </c>
      <c r="Q283" t="n">
        <v>0</v>
      </c>
      <c r="R283" s="2" t="inlineStr"/>
    </row>
    <row r="284" ht="15" customHeight="1">
      <c r="A284" t="inlineStr">
        <is>
          <t>A 13911-2025</t>
        </is>
      </c>
      <c r="B284" s="1" t="n">
        <v>45737.64784722222</v>
      </c>
      <c r="C284" s="1" t="n">
        <v>46022</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29293-2025</t>
        </is>
      </c>
      <c r="B285" s="1" t="n">
        <v>45824</v>
      </c>
      <c r="C285" s="1" t="n">
        <v>46022</v>
      </c>
      <c r="D285" t="inlineStr">
        <is>
          <t>ÖSTERGÖTLANDS LÄN</t>
        </is>
      </c>
      <c r="E285" t="inlineStr">
        <is>
          <t>LINKÖPING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42624-2025</t>
        </is>
      </c>
      <c r="B286" s="1" t="n">
        <v>45905</v>
      </c>
      <c r="C286" s="1" t="n">
        <v>46022</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42626-2025</t>
        </is>
      </c>
      <c r="B287" s="1" t="n">
        <v>45905</v>
      </c>
      <c r="C287" s="1" t="n">
        <v>46022</v>
      </c>
      <c r="D287" t="inlineStr">
        <is>
          <t>ÖSTERGÖTLANDS LÄN</t>
        </is>
      </c>
      <c r="E287" t="inlineStr">
        <is>
          <t>LINKÖPING</t>
        </is>
      </c>
      <c r="G287" t="n">
        <v>3.6</v>
      </c>
      <c r="H287" t="n">
        <v>0</v>
      </c>
      <c r="I287" t="n">
        <v>0</v>
      </c>
      <c r="J287" t="n">
        <v>0</v>
      </c>
      <c r="K287" t="n">
        <v>0</v>
      </c>
      <c r="L287" t="n">
        <v>0</v>
      </c>
      <c r="M287" t="n">
        <v>0</v>
      </c>
      <c r="N287" t="n">
        <v>0</v>
      </c>
      <c r="O287" t="n">
        <v>0</v>
      </c>
      <c r="P287" t="n">
        <v>0</v>
      </c>
      <c r="Q287" t="n">
        <v>0</v>
      </c>
      <c r="R287" s="2" t="inlineStr"/>
    </row>
    <row r="288" ht="15" customHeight="1">
      <c r="A288" t="inlineStr">
        <is>
          <t>A 42623-2025</t>
        </is>
      </c>
      <c r="B288" s="1" t="n">
        <v>45905</v>
      </c>
      <c r="C288" s="1" t="n">
        <v>46022</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12317-2025</t>
        </is>
      </c>
      <c r="B289" s="1" t="n">
        <v>45729.8487037037</v>
      </c>
      <c r="C289" s="1" t="n">
        <v>46022</v>
      </c>
      <c r="D289" t="inlineStr">
        <is>
          <t>ÖSTERGÖTLANDS LÄN</t>
        </is>
      </c>
      <c r="E289" t="inlineStr">
        <is>
          <t>LINKÖPING</t>
        </is>
      </c>
      <c r="G289" t="n">
        <v>8</v>
      </c>
      <c r="H289" t="n">
        <v>0</v>
      </c>
      <c r="I289" t="n">
        <v>0</v>
      </c>
      <c r="J289" t="n">
        <v>0</v>
      </c>
      <c r="K289" t="n">
        <v>0</v>
      </c>
      <c r="L289" t="n">
        <v>0</v>
      </c>
      <c r="M289" t="n">
        <v>0</v>
      </c>
      <c r="N289" t="n">
        <v>0</v>
      </c>
      <c r="O289" t="n">
        <v>0</v>
      </c>
      <c r="P289" t="n">
        <v>0</v>
      </c>
      <c r="Q289" t="n">
        <v>0</v>
      </c>
      <c r="R289" s="2" t="inlineStr"/>
    </row>
    <row r="290" ht="15" customHeight="1">
      <c r="A290" t="inlineStr">
        <is>
          <t>A 36557-2023</t>
        </is>
      </c>
      <c r="B290" s="1" t="n">
        <v>45153</v>
      </c>
      <c r="C290" s="1" t="n">
        <v>46022</v>
      </c>
      <c r="D290" t="inlineStr">
        <is>
          <t>ÖSTERGÖTLANDS LÄN</t>
        </is>
      </c>
      <c r="E290" t="inlineStr">
        <is>
          <t>LINKÖPING</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44280-2024</t>
        </is>
      </c>
      <c r="B291" s="1" t="n">
        <v>45573.49461805556</v>
      </c>
      <c r="C291" s="1" t="n">
        <v>46022</v>
      </c>
      <c r="D291" t="inlineStr">
        <is>
          <t>ÖSTERGÖTLANDS LÄN</t>
        </is>
      </c>
      <c r="E291" t="inlineStr">
        <is>
          <t>LINKÖPING</t>
        </is>
      </c>
      <c r="G291" t="n">
        <v>5.3</v>
      </c>
      <c r="H291" t="n">
        <v>0</v>
      </c>
      <c r="I291" t="n">
        <v>0</v>
      </c>
      <c r="J291" t="n">
        <v>0</v>
      </c>
      <c r="K291" t="n">
        <v>0</v>
      </c>
      <c r="L291" t="n">
        <v>0</v>
      </c>
      <c r="M291" t="n">
        <v>0</v>
      </c>
      <c r="N291" t="n">
        <v>0</v>
      </c>
      <c r="O291" t="n">
        <v>0</v>
      </c>
      <c r="P291" t="n">
        <v>0</v>
      </c>
      <c r="Q291" t="n">
        <v>0</v>
      </c>
      <c r="R291" s="2" t="inlineStr"/>
    </row>
    <row r="292" ht="15" customHeight="1">
      <c r="A292" t="inlineStr">
        <is>
          <t>A 2085-2024</t>
        </is>
      </c>
      <c r="B292" s="1" t="n">
        <v>45309</v>
      </c>
      <c r="C292" s="1" t="n">
        <v>46022</v>
      </c>
      <c r="D292" t="inlineStr">
        <is>
          <t>ÖSTERGÖTLANDS LÄN</t>
        </is>
      </c>
      <c r="E292" t="inlineStr">
        <is>
          <t>LINKÖPING</t>
        </is>
      </c>
      <c r="G292" t="n">
        <v>4.5</v>
      </c>
      <c r="H292" t="n">
        <v>0</v>
      </c>
      <c r="I292" t="n">
        <v>0</v>
      </c>
      <c r="J292" t="n">
        <v>0</v>
      </c>
      <c r="K292" t="n">
        <v>0</v>
      </c>
      <c r="L292" t="n">
        <v>0</v>
      </c>
      <c r="M292" t="n">
        <v>0</v>
      </c>
      <c r="N292" t="n">
        <v>0</v>
      </c>
      <c r="O292" t="n">
        <v>0</v>
      </c>
      <c r="P292" t="n">
        <v>0</v>
      </c>
      <c r="Q292" t="n">
        <v>0</v>
      </c>
      <c r="R292" s="2" t="inlineStr"/>
    </row>
    <row r="293" ht="15" customHeight="1">
      <c r="A293" t="inlineStr">
        <is>
          <t>A 30468-2023</t>
        </is>
      </c>
      <c r="B293" s="1" t="n">
        <v>45111.58732638889</v>
      </c>
      <c r="C293" s="1" t="n">
        <v>46022</v>
      </c>
      <c r="D293" t="inlineStr">
        <is>
          <t>ÖSTERGÖTLANDS LÄN</t>
        </is>
      </c>
      <c r="E293" t="inlineStr">
        <is>
          <t>LINKÖPING</t>
        </is>
      </c>
      <c r="G293" t="n">
        <v>10.1</v>
      </c>
      <c r="H293" t="n">
        <v>0</v>
      </c>
      <c r="I293" t="n">
        <v>0</v>
      </c>
      <c r="J293" t="n">
        <v>0</v>
      </c>
      <c r="K293" t="n">
        <v>0</v>
      </c>
      <c r="L293" t="n">
        <v>0</v>
      </c>
      <c r="M293" t="n">
        <v>0</v>
      </c>
      <c r="N293" t="n">
        <v>0</v>
      </c>
      <c r="O293" t="n">
        <v>0</v>
      </c>
      <c r="P293" t="n">
        <v>0</v>
      </c>
      <c r="Q293" t="n">
        <v>0</v>
      </c>
      <c r="R293" s="2" t="inlineStr"/>
    </row>
    <row r="294" ht="15" customHeight="1">
      <c r="A294" t="inlineStr">
        <is>
          <t>A 38715-2023</t>
        </is>
      </c>
      <c r="B294" s="1" t="n">
        <v>45160</v>
      </c>
      <c r="C294" s="1" t="n">
        <v>46022</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34864-2023</t>
        </is>
      </c>
      <c r="B295" s="1" t="n">
        <v>45141</v>
      </c>
      <c r="C295" s="1" t="n">
        <v>46022</v>
      </c>
      <c r="D295" t="inlineStr">
        <is>
          <t>ÖSTERGÖTLANDS LÄN</t>
        </is>
      </c>
      <c r="E295" t="inlineStr">
        <is>
          <t>LINKÖPING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46687-2021</t>
        </is>
      </c>
      <c r="B296" s="1" t="n">
        <v>44445</v>
      </c>
      <c r="C296" s="1" t="n">
        <v>46022</v>
      </c>
      <c r="D296" t="inlineStr">
        <is>
          <t>ÖSTERGÖTLANDS LÄN</t>
        </is>
      </c>
      <c r="E296" t="inlineStr">
        <is>
          <t>LINKÖPING</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17103-2025</t>
        </is>
      </c>
      <c r="B297" s="1" t="n">
        <v>45755.66143518518</v>
      </c>
      <c r="C297" s="1" t="n">
        <v>46022</v>
      </c>
      <c r="D297" t="inlineStr">
        <is>
          <t>ÖSTERGÖTLANDS LÄN</t>
        </is>
      </c>
      <c r="E297" t="inlineStr">
        <is>
          <t>LINKÖPING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49605-2025</t>
        </is>
      </c>
      <c r="B298" s="1" t="n">
        <v>45938</v>
      </c>
      <c r="C298" s="1" t="n">
        <v>46022</v>
      </c>
      <c r="D298" t="inlineStr">
        <is>
          <t>ÖSTERGÖTLANDS LÄN</t>
        </is>
      </c>
      <c r="E298" t="inlineStr">
        <is>
          <t>LINKÖPING</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49663-2025</t>
        </is>
      </c>
      <c r="B299" s="1" t="n">
        <v>45938</v>
      </c>
      <c r="C299" s="1" t="n">
        <v>46022</v>
      </c>
      <c r="D299" t="inlineStr">
        <is>
          <t>ÖSTERGÖTLANDS LÄN</t>
        </is>
      </c>
      <c r="E299" t="inlineStr">
        <is>
          <t>LINKÖPING</t>
        </is>
      </c>
      <c r="F299" t="inlineStr">
        <is>
          <t>Övriga Aktiebolag</t>
        </is>
      </c>
      <c r="G299" t="n">
        <v>1.2</v>
      </c>
      <c r="H299" t="n">
        <v>0</v>
      </c>
      <c r="I299" t="n">
        <v>0</v>
      </c>
      <c r="J299" t="n">
        <v>0</v>
      </c>
      <c r="K299" t="n">
        <v>0</v>
      </c>
      <c r="L299" t="n">
        <v>0</v>
      </c>
      <c r="M299" t="n">
        <v>0</v>
      </c>
      <c r="N299" t="n">
        <v>0</v>
      </c>
      <c r="O299" t="n">
        <v>0</v>
      </c>
      <c r="P299" t="n">
        <v>0</v>
      </c>
      <c r="Q299" t="n">
        <v>0</v>
      </c>
      <c r="R299" s="2" t="inlineStr"/>
    </row>
    <row r="300" ht="15" customHeight="1">
      <c r="A300" t="inlineStr">
        <is>
          <t>A 26002-2025</t>
        </is>
      </c>
      <c r="B300" s="1" t="n">
        <v>45804.66534722222</v>
      </c>
      <c r="C300" s="1" t="n">
        <v>46022</v>
      </c>
      <c r="D300" t="inlineStr">
        <is>
          <t>ÖSTERGÖTLANDS LÄN</t>
        </is>
      </c>
      <c r="E300" t="inlineStr">
        <is>
          <t>LINKÖPING</t>
        </is>
      </c>
      <c r="G300" t="n">
        <v>2.5</v>
      </c>
      <c r="H300" t="n">
        <v>0</v>
      </c>
      <c r="I300" t="n">
        <v>0</v>
      </c>
      <c r="J300" t="n">
        <v>0</v>
      </c>
      <c r="K300" t="n">
        <v>0</v>
      </c>
      <c r="L300" t="n">
        <v>0</v>
      </c>
      <c r="M300" t="n">
        <v>0</v>
      </c>
      <c r="N300" t="n">
        <v>0</v>
      </c>
      <c r="O300" t="n">
        <v>0</v>
      </c>
      <c r="P300" t="n">
        <v>0</v>
      </c>
      <c r="Q300" t="n">
        <v>0</v>
      </c>
      <c r="R300" s="2" t="inlineStr"/>
    </row>
    <row r="301" ht="15" customHeight="1">
      <c r="A301" t="inlineStr">
        <is>
          <t>A 40618-2021</t>
        </is>
      </c>
      <c r="B301" s="1" t="n">
        <v>44420.49575231481</v>
      </c>
      <c r="C301" s="1" t="n">
        <v>46022</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56180-2024</t>
        </is>
      </c>
      <c r="B302" s="1" t="n">
        <v>45624.56611111111</v>
      </c>
      <c r="C302" s="1" t="n">
        <v>46022</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44170-2025</t>
        </is>
      </c>
      <c r="B303" s="1" t="n">
        <v>45915.59864583334</v>
      </c>
      <c r="C303" s="1" t="n">
        <v>46022</v>
      </c>
      <c r="D303" t="inlineStr">
        <is>
          <t>ÖSTERGÖTLANDS LÄN</t>
        </is>
      </c>
      <c r="E303" t="inlineStr">
        <is>
          <t>LINKÖPING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25996-2025</t>
        </is>
      </c>
      <c r="B304" s="1" t="n">
        <v>45804.65851851852</v>
      </c>
      <c r="C304" s="1" t="n">
        <v>46022</v>
      </c>
      <c r="D304" t="inlineStr">
        <is>
          <t>ÖSTERGÖTLANDS LÄN</t>
        </is>
      </c>
      <c r="E304" t="inlineStr">
        <is>
          <t>LINKÖPING</t>
        </is>
      </c>
      <c r="G304" t="n">
        <v>3.2</v>
      </c>
      <c r="H304" t="n">
        <v>0</v>
      </c>
      <c r="I304" t="n">
        <v>0</v>
      </c>
      <c r="J304" t="n">
        <v>0</v>
      </c>
      <c r="K304" t="n">
        <v>0</v>
      </c>
      <c r="L304" t="n">
        <v>0</v>
      </c>
      <c r="M304" t="n">
        <v>0</v>
      </c>
      <c r="N304" t="n">
        <v>0</v>
      </c>
      <c r="O304" t="n">
        <v>0</v>
      </c>
      <c r="P304" t="n">
        <v>0</v>
      </c>
      <c r="Q304" t="n">
        <v>0</v>
      </c>
      <c r="R304" s="2" t="inlineStr"/>
    </row>
    <row r="305" ht="15" customHeight="1">
      <c r="A305" t="inlineStr">
        <is>
          <t>A 30471-2023</t>
        </is>
      </c>
      <c r="B305" s="1" t="n">
        <v>45111.58931712963</v>
      </c>
      <c r="C305" s="1" t="n">
        <v>46022</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43755-2025</t>
        </is>
      </c>
      <c r="B306" s="1" t="n">
        <v>45912.47329861111</v>
      </c>
      <c r="C306" s="1" t="n">
        <v>46022</v>
      </c>
      <c r="D306" t="inlineStr">
        <is>
          <t>ÖSTERGÖTLANDS LÄN</t>
        </is>
      </c>
      <c r="E306" t="inlineStr">
        <is>
          <t>LINKÖPING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43758-2025</t>
        </is>
      </c>
      <c r="B307" s="1" t="n">
        <v>45912.47711805555</v>
      </c>
      <c r="C307" s="1" t="n">
        <v>46022</v>
      </c>
      <c r="D307" t="inlineStr">
        <is>
          <t>ÖSTERGÖTLANDS LÄN</t>
        </is>
      </c>
      <c r="E307" t="inlineStr">
        <is>
          <t>LINKÖPING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43753-2025</t>
        </is>
      </c>
      <c r="B308" s="1" t="n">
        <v>45912.4715625</v>
      </c>
      <c r="C308" s="1" t="n">
        <v>46022</v>
      </c>
      <c r="D308" t="inlineStr">
        <is>
          <t>ÖSTERGÖTLANDS LÄN</t>
        </is>
      </c>
      <c r="E308" t="inlineStr">
        <is>
          <t>LINKÖPING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227-2024</t>
        </is>
      </c>
      <c r="B309" s="1" t="n">
        <v>45294.73603009259</v>
      </c>
      <c r="C309" s="1" t="n">
        <v>46022</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44759-2025</t>
        </is>
      </c>
      <c r="B310" s="1" t="n">
        <v>45917.7152662037</v>
      </c>
      <c r="C310" s="1" t="n">
        <v>46022</v>
      </c>
      <c r="D310" t="inlineStr">
        <is>
          <t>ÖSTERGÖTLANDS LÄN</t>
        </is>
      </c>
      <c r="E310" t="inlineStr">
        <is>
          <t>LINKÖPING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44155-2024</t>
        </is>
      </c>
      <c r="B311" s="1" t="n">
        <v>45572.68226851852</v>
      </c>
      <c r="C311" s="1" t="n">
        <v>46022</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30434-2024</t>
        </is>
      </c>
      <c r="B312" s="1" t="n">
        <v>45491.69811342593</v>
      </c>
      <c r="C312" s="1" t="n">
        <v>46022</v>
      </c>
      <c r="D312" t="inlineStr">
        <is>
          <t>ÖSTERGÖTLANDS LÄN</t>
        </is>
      </c>
      <c r="E312" t="inlineStr">
        <is>
          <t>LINKÖPING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56917-2022</t>
        </is>
      </c>
      <c r="B313" s="1" t="n">
        <v>44894</v>
      </c>
      <c r="C313" s="1" t="n">
        <v>46022</v>
      </c>
      <c r="D313" t="inlineStr">
        <is>
          <t>ÖSTERGÖTLANDS LÄN</t>
        </is>
      </c>
      <c r="E313" t="inlineStr">
        <is>
          <t>LINKÖPING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57766-2023</t>
        </is>
      </c>
      <c r="B314" s="1" t="n">
        <v>45246</v>
      </c>
      <c r="C314" s="1" t="n">
        <v>46022</v>
      </c>
      <c r="D314" t="inlineStr">
        <is>
          <t>ÖSTERGÖTLANDS LÄN</t>
        </is>
      </c>
      <c r="E314" t="inlineStr">
        <is>
          <t>LINKÖPING</t>
        </is>
      </c>
      <c r="F314" t="inlineStr">
        <is>
          <t>Allmännings- och besparingsskogar</t>
        </is>
      </c>
      <c r="G314" t="n">
        <v>12.8</v>
      </c>
      <c r="H314" t="n">
        <v>0</v>
      </c>
      <c r="I314" t="n">
        <v>0</v>
      </c>
      <c r="J314" t="n">
        <v>0</v>
      </c>
      <c r="K314" t="n">
        <v>0</v>
      </c>
      <c r="L314" t="n">
        <v>0</v>
      </c>
      <c r="M314" t="n">
        <v>0</v>
      </c>
      <c r="N314" t="n">
        <v>0</v>
      </c>
      <c r="O314" t="n">
        <v>0</v>
      </c>
      <c r="P314" t="n">
        <v>0</v>
      </c>
      <c r="Q314" t="n">
        <v>0</v>
      </c>
      <c r="R314" s="2" t="inlineStr"/>
    </row>
    <row r="315" ht="15" customHeight="1">
      <c r="A315" t="inlineStr">
        <is>
          <t>A 44764-2025</t>
        </is>
      </c>
      <c r="B315" s="1" t="n">
        <v>45917.72821759259</v>
      </c>
      <c r="C315" s="1" t="n">
        <v>46022</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45112-2025</t>
        </is>
      </c>
      <c r="B316" s="1" t="n">
        <v>45919</v>
      </c>
      <c r="C316" s="1" t="n">
        <v>46022</v>
      </c>
      <c r="D316" t="inlineStr">
        <is>
          <t>ÖSTERGÖTLANDS LÄN</t>
        </is>
      </c>
      <c r="E316" t="inlineStr">
        <is>
          <t>LINKÖPING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49632-2025</t>
        </is>
      </c>
      <c r="B317" s="1" t="n">
        <v>45938</v>
      </c>
      <c r="C317" s="1" t="n">
        <v>46022</v>
      </c>
      <c r="D317" t="inlineStr">
        <is>
          <t>ÖSTERGÖTLANDS LÄN</t>
        </is>
      </c>
      <c r="E317" t="inlineStr">
        <is>
          <t>LINKÖPING</t>
        </is>
      </c>
      <c r="F317" t="inlineStr">
        <is>
          <t>Övriga Aktiebolag</t>
        </is>
      </c>
      <c r="G317" t="n">
        <v>1.6</v>
      </c>
      <c r="H317" t="n">
        <v>0</v>
      </c>
      <c r="I317" t="n">
        <v>0</v>
      </c>
      <c r="J317" t="n">
        <v>0</v>
      </c>
      <c r="K317" t="n">
        <v>0</v>
      </c>
      <c r="L317" t="n">
        <v>0</v>
      </c>
      <c r="M317" t="n">
        <v>0</v>
      </c>
      <c r="N317" t="n">
        <v>0</v>
      </c>
      <c r="O317" t="n">
        <v>0</v>
      </c>
      <c r="P317" t="n">
        <v>0</v>
      </c>
      <c r="Q317" t="n">
        <v>0</v>
      </c>
      <c r="R317" s="2" t="inlineStr"/>
    </row>
    <row r="318" ht="15" customHeight="1">
      <c r="A318" t="inlineStr">
        <is>
          <t>A 49647-2025</t>
        </is>
      </c>
      <c r="B318" s="1" t="n">
        <v>45938</v>
      </c>
      <c r="C318" s="1" t="n">
        <v>46022</v>
      </c>
      <c r="D318" t="inlineStr">
        <is>
          <t>ÖSTERGÖTLANDS LÄN</t>
        </is>
      </c>
      <c r="E318" t="inlineStr">
        <is>
          <t>LINKÖPING</t>
        </is>
      </c>
      <c r="F318" t="inlineStr">
        <is>
          <t>Övriga Aktiebolag</t>
        </is>
      </c>
      <c r="G318" t="n">
        <v>0.6</v>
      </c>
      <c r="H318" t="n">
        <v>0</v>
      </c>
      <c r="I318" t="n">
        <v>0</v>
      </c>
      <c r="J318" t="n">
        <v>0</v>
      </c>
      <c r="K318" t="n">
        <v>0</v>
      </c>
      <c r="L318" t="n">
        <v>0</v>
      </c>
      <c r="M318" t="n">
        <v>0</v>
      </c>
      <c r="N318" t="n">
        <v>0</v>
      </c>
      <c r="O318" t="n">
        <v>0</v>
      </c>
      <c r="P318" t="n">
        <v>0</v>
      </c>
      <c r="Q318" t="n">
        <v>0</v>
      </c>
      <c r="R318" s="2" t="inlineStr"/>
    </row>
    <row r="319" ht="15" customHeight="1">
      <c r="A319" t="inlineStr">
        <is>
          <t>A 49652-2025</t>
        </is>
      </c>
      <c r="B319" s="1" t="n">
        <v>45938</v>
      </c>
      <c r="C319" s="1" t="n">
        <v>46022</v>
      </c>
      <c r="D319" t="inlineStr">
        <is>
          <t>ÖSTERGÖTLANDS LÄN</t>
        </is>
      </c>
      <c r="E319" t="inlineStr">
        <is>
          <t>LINKÖPING</t>
        </is>
      </c>
      <c r="F319" t="inlineStr">
        <is>
          <t>Övriga Aktiebolag</t>
        </is>
      </c>
      <c r="G319" t="n">
        <v>1.8</v>
      </c>
      <c r="H319" t="n">
        <v>0</v>
      </c>
      <c r="I319" t="n">
        <v>0</v>
      </c>
      <c r="J319" t="n">
        <v>0</v>
      </c>
      <c r="K319" t="n">
        <v>0</v>
      </c>
      <c r="L319" t="n">
        <v>0</v>
      </c>
      <c r="M319" t="n">
        <v>0</v>
      </c>
      <c r="N319" t="n">
        <v>0</v>
      </c>
      <c r="O319" t="n">
        <v>0</v>
      </c>
      <c r="P319" t="n">
        <v>0</v>
      </c>
      <c r="Q319" t="n">
        <v>0</v>
      </c>
      <c r="R319" s="2" t="inlineStr"/>
    </row>
    <row r="320" ht="15" customHeight="1">
      <c r="A320" t="inlineStr">
        <is>
          <t>A 49654-2025</t>
        </is>
      </c>
      <c r="B320" s="1" t="n">
        <v>45938</v>
      </c>
      <c r="C320" s="1" t="n">
        <v>46022</v>
      </c>
      <c r="D320" t="inlineStr">
        <is>
          <t>ÖSTERGÖTLANDS LÄN</t>
        </is>
      </c>
      <c r="E320" t="inlineStr">
        <is>
          <t>LINKÖPING</t>
        </is>
      </c>
      <c r="F320" t="inlineStr">
        <is>
          <t>Övriga Aktiebolag</t>
        </is>
      </c>
      <c r="G320" t="n">
        <v>3.1</v>
      </c>
      <c r="H320" t="n">
        <v>0</v>
      </c>
      <c r="I320" t="n">
        <v>0</v>
      </c>
      <c r="J320" t="n">
        <v>0</v>
      </c>
      <c r="K320" t="n">
        <v>0</v>
      </c>
      <c r="L320" t="n">
        <v>0</v>
      </c>
      <c r="M320" t="n">
        <v>0</v>
      </c>
      <c r="N320" t="n">
        <v>0</v>
      </c>
      <c r="O320" t="n">
        <v>0</v>
      </c>
      <c r="P320" t="n">
        <v>0</v>
      </c>
      <c r="Q320" t="n">
        <v>0</v>
      </c>
      <c r="R320" s="2" t="inlineStr"/>
    </row>
    <row r="321" ht="15" customHeight="1">
      <c r="A321" t="inlineStr">
        <is>
          <t>A 25568-2024</t>
        </is>
      </c>
      <c r="B321" s="1" t="n">
        <v>45463.58699074074</v>
      </c>
      <c r="C321" s="1" t="n">
        <v>46022</v>
      </c>
      <c r="D321" t="inlineStr">
        <is>
          <t>ÖSTERGÖTLANDS LÄN</t>
        </is>
      </c>
      <c r="E321" t="inlineStr">
        <is>
          <t>LINKÖPING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45634-2025</t>
        </is>
      </c>
      <c r="B322" s="1" t="n">
        <v>45922.85089120371</v>
      </c>
      <c r="C322" s="1" t="n">
        <v>46022</v>
      </c>
      <c r="D322" t="inlineStr">
        <is>
          <t>ÖSTERGÖTLANDS LÄN</t>
        </is>
      </c>
      <c r="E322" t="inlineStr">
        <is>
          <t>LINKÖPING</t>
        </is>
      </c>
      <c r="F322" t="inlineStr">
        <is>
          <t>Övriga Aktiebolag</t>
        </is>
      </c>
      <c r="G322" t="n">
        <v>0.3</v>
      </c>
      <c r="H322" t="n">
        <v>0</v>
      </c>
      <c r="I322" t="n">
        <v>0</v>
      </c>
      <c r="J322" t="n">
        <v>0</v>
      </c>
      <c r="K322" t="n">
        <v>0</v>
      </c>
      <c r="L322" t="n">
        <v>0</v>
      </c>
      <c r="M322" t="n">
        <v>0</v>
      </c>
      <c r="N322" t="n">
        <v>0</v>
      </c>
      <c r="O322" t="n">
        <v>0</v>
      </c>
      <c r="P322" t="n">
        <v>0</v>
      </c>
      <c r="Q322" t="n">
        <v>0</v>
      </c>
      <c r="R322" s="2" t="inlineStr"/>
    </row>
    <row r="323" ht="15" customHeight="1">
      <c r="A323" t="inlineStr">
        <is>
          <t>A 22833-2023</t>
        </is>
      </c>
      <c r="B323" s="1" t="n">
        <v>45071</v>
      </c>
      <c r="C323" s="1" t="n">
        <v>46022</v>
      </c>
      <c r="D323" t="inlineStr">
        <is>
          <t>ÖSTERGÖTLANDS LÄN</t>
        </is>
      </c>
      <c r="E323" t="inlineStr">
        <is>
          <t>LINKÖPING</t>
        </is>
      </c>
      <c r="F323" t="inlineStr">
        <is>
          <t>Kommuner</t>
        </is>
      </c>
      <c r="G323" t="n">
        <v>1</v>
      </c>
      <c r="H323" t="n">
        <v>0</v>
      </c>
      <c r="I323" t="n">
        <v>0</v>
      </c>
      <c r="J323" t="n">
        <v>0</v>
      </c>
      <c r="K323" t="n">
        <v>0</v>
      </c>
      <c r="L323" t="n">
        <v>0</v>
      </c>
      <c r="M323" t="n">
        <v>0</v>
      </c>
      <c r="N323" t="n">
        <v>0</v>
      </c>
      <c r="O323" t="n">
        <v>0</v>
      </c>
      <c r="P323" t="n">
        <v>0</v>
      </c>
      <c r="Q323" t="n">
        <v>0</v>
      </c>
      <c r="R323" s="2" t="inlineStr"/>
    </row>
    <row r="324" ht="15" customHeight="1">
      <c r="A324" t="inlineStr">
        <is>
          <t>A 45792-2025</t>
        </is>
      </c>
      <c r="B324" s="1" t="n">
        <v>45923.56998842592</v>
      </c>
      <c r="C324" s="1" t="n">
        <v>46022</v>
      </c>
      <c r="D324" t="inlineStr">
        <is>
          <t>ÖSTERGÖTLANDS LÄN</t>
        </is>
      </c>
      <c r="E324" t="inlineStr">
        <is>
          <t>LINKÖPING</t>
        </is>
      </c>
      <c r="G324" t="n">
        <v>2.6</v>
      </c>
      <c r="H324" t="n">
        <v>0</v>
      </c>
      <c r="I324" t="n">
        <v>0</v>
      </c>
      <c r="J324" t="n">
        <v>0</v>
      </c>
      <c r="K324" t="n">
        <v>0</v>
      </c>
      <c r="L324" t="n">
        <v>0</v>
      </c>
      <c r="M324" t="n">
        <v>0</v>
      </c>
      <c r="N324" t="n">
        <v>0</v>
      </c>
      <c r="O324" t="n">
        <v>0</v>
      </c>
      <c r="P324" t="n">
        <v>0</v>
      </c>
      <c r="Q324" t="n">
        <v>0</v>
      </c>
      <c r="R324" s="2" t="inlineStr"/>
    </row>
    <row r="325" ht="15" customHeight="1">
      <c r="A325" t="inlineStr">
        <is>
          <t>A 45804-2025</t>
        </is>
      </c>
      <c r="B325" s="1" t="n">
        <v>45923.5819675926</v>
      </c>
      <c r="C325" s="1" t="n">
        <v>46022</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2997-2025</t>
        </is>
      </c>
      <c r="B326" s="1" t="n">
        <v>45678.54631944445</v>
      </c>
      <c r="C326" s="1" t="n">
        <v>46022</v>
      </c>
      <c r="D326" t="inlineStr">
        <is>
          <t>ÖSTERGÖTLANDS LÄN</t>
        </is>
      </c>
      <c r="E326" t="inlineStr">
        <is>
          <t>LINKÖPING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49615-2025</t>
        </is>
      </c>
      <c r="B327" s="1" t="n">
        <v>45938</v>
      </c>
      <c r="C327" s="1" t="n">
        <v>46022</v>
      </c>
      <c r="D327" t="inlineStr">
        <is>
          <t>ÖSTERGÖTLANDS LÄN</t>
        </is>
      </c>
      <c r="E327" t="inlineStr">
        <is>
          <t>LINKÖPING</t>
        </is>
      </c>
      <c r="F327" t="inlineStr">
        <is>
          <t>Övriga Aktiebolag</t>
        </is>
      </c>
      <c r="G327" t="n">
        <v>1.6</v>
      </c>
      <c r="H327" t="n">
        <v>0</v>
      </c>
      <c r="I327" t="n">
        <v>0</v>
      </c>
      <c r="J327" t="n">
        <v>0</v>
      </c>
      <c r="K327" t="n">
        <v>0</v>
      </c>
      <c r="L327" t="n">
        <v>0</v>
      </c>
      <c r="M327" t="n">
        <v>0</v>
      </c>
      <c r="N327" t="n">
        <v>0</v>
      </c>
      <c r="O327" t="n">
        <v>0</v>
      </c>
      <c r="P327" t="n">
        <v>0</v>
      </c>
      <c r="Q327" t="n">
        <v>0</v>
      </c>
      <c r="R327" s="2" t="inlineStr"/>
    </row>
    <row r="328" ht="15" customHeight="1">
      <c r="A328" t="inlineStr">
        <is>
          <t>A 49619-2025</t>
        </is>
      </c>
      <c r="B328" s="1" t="n">
        <v>45938</v>
      </c>
      <c r="C328" s="1" t="n">
        <v>46022</v>
      </c>
      <c r="D328" t="inlineStr">
        <is>
          <t>ÖSTERGÖTLANDS LÄN</t>
        </is>
      </c>
      <c r="E328" t="inlineStr">
        <is>
          <t>LINKÖPING</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49629-2025</t>
        </is>
      </c>
      <c r="B329" s="1" t="n">
        <v>45938</v>
      </c>
      <c r="C329" s="1" t="n">
        <v>46022</v>
      </c>
      <c r="D329" t="inlineStr">
        <is>
          <t>ÖSTERGÖTLANDS LÄN</t>
        </is>
      </c>
      <c r="E329" t="inlineStr">
        <is>
          <t>LINKÖPING</t>
        </is>
      </c>
      <c r="F329" t="inlineStr">
        <is>
          <t>Övriga Aktiebolag</t>
        </is>
      </c>
      <c r="G329" t="n">
        <v>4.5</v>
      </c>
      <c r="H329" t="n">
        <v>0</v>
      </c>
      <c r="I329" t="n">
        <v>0</v>
      </c>
      <c r="J329" t="n">
        <v>0</v>
      </c>
      <c r="K329" t="n">
        <v>0</v>
      </c>
      <c r="L329" t="n">
        <v>0</v>
      </c>
      <c r="M329" t="n">
        <v>0</v>
      </c>
      <c r="N329" t="n">
        <v>0</v>
      </c>
      <c r="O329" t="n">
        <v>0</v>
      </c>
      <c r="P329" t="n">
        <v>0</v>
      </c>
      <c r="Q329" t="n">
        <v>0</v>
      </c>
      <c r="R329" s="2" t="inlineStr"/>
    </row>
    <row r="330" ht="15" customHeight="1">
      <c r="A330" t="inlineStr">
        <is>
          <t>A 49650-2025</t>
        </is>
      </c>
      <c r="B330" s="1" t="n">
        <v>45938</v>
      </c>
      <c r="C330" s="1" t="n">
        <v>46022</v>
      </c>
      <c r="D330" t="inlineStr">
        <is>
          <t>ÖSTERGÖTLANDS LÄN</t>
        </is>
      </c>
      <c r="E330" t="inlineStr">
        <is>
          <t>LINKÖPING</t>
        </is>
      </c>
      <c r="F330" t="inlineStr">
        <is>
          <t>Övriga Aktiebolag</t>
        </is>
      </c>
      <c r="G330" t="n">
        <v>1.5</v>
      </c>
      <c r="H330" t="n">
        <v>0</v>
      </c>
      <c r="I330" t="n">
        <v>0</v>
      </c>
      <c r="J330" t="n">
        <v>0</v>
      </c>
      <c r="K330" t="n">
        <v>0</v>
      </c>
      <c r="L330" t="n">
        <v>0</v>
      </c>
      <c r="M330" t="n">
        <v>0</v>
      </c>
      <c r="N330" t="n">
        <v>0</v>
      </c>
      <c r="O330" t="n">
        <v>0</v>
      </c>
      <c r="P330" t="n">
        <v>0</v>
      </c>
      <c r="Q330" t="n">
        <v>0</v>
      </c>
      <c r="R330" s="2" t="inlineStr"/>
    </row>
    <row r="331" ht="15" customHeight="1">
      <c r="A331" t="inlineStr">
        <is>
          <t>A 46426-2025</t>
        </is>
      </c>
      <c r="B331" s="1" t="n">
        <v>45925.6012962963</v>
      </c>
      <c r="C331" s="1" t="n">
        <v>46022</v>
      </c>
      <c r="D331" t="inlineStr">
        <is>
          <t>ÖSTERGÖTLANDS LÄN</t>
        </is>
      </c>
      <c r="E331" t="inlineStr">
        <is>
          <t>LINKÖPING</t>
        </is>
      </c>
      <c r="G331" t="n">
        <v>4.4</v>
      </c>
      <c r="H331" t="n">
        <v>0</v>
      </c>
      <c r="I331" t="n">
        <v>0</v>
      </c>
      <c r="J331" t="n">
        <v>0</v>
      </c>
      <c r="K331" t="n">
        <v>0</v>
      </c>
      <c r="L331" t="n">
        <v>0</v>
      </c>
      <c r="M331" t="n">
        <v>0</v>
      </c>
      <c r="N331" t="n">
        <v>0</v>
      </c>
      <c r="O331" t="n">
        <v>0</v>
      </c>
      <c r="P331" t="n">
        <v>0</v>
      </c>
      <c r="Q331" t="n">
        <v>0</v>
      </c>
      <c r="R331" s="2" t="inlineStr"/>
    </row>
    <row r="332" ht="15" customHeight="1">
      <c r="A332" t="inlineStr">
        <is>
          <t>A 27950-2025</t>
        </is>
      </c>
      <c r="B332" s="1" t="n">
        <v>45817.52960648148</v>
      </c>
      <c r="C332" s="1" t="n">
        <v>46022</v>
      </c>
      <c r="D332" t="inlineStr">
        <is>
          <t>ÖSTERGÖTLANDS LÄN</t>
        </is>
      </c>
      <c r="E332" t="inlineStr">
        <is>
          <t>LINKÖPING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41345-2021</t>
        </is>
      </c>
      <c r="B333" s="1" t="n">
        <v>44424.61851851852</v>
      </c>
      <c r="C333" s="1" t="n">
        <v>46022</v>
      </c>
      <c r="D333" t="inlineStr">
        <is>
          <t>ÖSTERGÖTLANDS LÄN</t>
        </is>
      </c>
      <c r="E333" t="inlineStr">
        <is>
          <t>LINKÖPING</t>
        </is>
      </c>
      <c r="F333" t="inlineStr">
        <is>
          <t>Sveaskog</t>
        </is>
      </c>
      <c r="G333" t="n">
        <v>6.3</v>
      </c>
      <c r="H333" t="n">
        <v>0</v>
      </c>
      <c r="I333" t="n">
        <v>0</v>
      </c>
      <c r="J333" t="n">
        <v>0</v>
      </c>
      <c r="K333" t="n">
        <v>0</v>
      </c>
      <c r="L333" t="n">
        <v>0</v>
      </c>
      <c r="M333" t="n">
        <v>0</v>
      </c>
      <c r="N333" t="n">
        <v>0</v>
      </c>
      <c r="O333" t="n">
        <v>0</v>
      </c>
      <c r="P333" t="n">
        <v>0</v>
      </c>
      <c r="Q333" t="n">
        <v>0</v>
      </c>
      <c r="R333" s="2" t="inlineStr"/>
    </row>
    <row r="334" ht="15" customHeight="1">
      <c r="A334" t="inlineStr">
        <is>
          <t>A 13266-2025</t>
        </is>
      </c>
      <c r="B334" s="1" t="n">
        <v>45735.53318287037</v>
      </c>
      <c r="C334" s="1" t="n">
        <v>46022</v>
      </c>
      <c r="D334" t="inlineStr">
        <is>
          <t>ÖSTERGÖTLANDS LÄN</t>
        </is>
      </c>
      <c r="E334" t="inlineStr">
        <is>
          <t>LINKÖPING</t>
        </is>
      </c>
      <c r="G334" t="n">
        <v>3.1</v>
      </c>
      <c r="H334" t="n">
        <v>0</v>
      </c>
      <c r="I334" t="n">
        <v>0</v>
      </c>
      <c r="J334" t="n">
        <v>0</v>
      </c>
      <c r="K334" t="n">
        <v>0</v>
      </c>
      <c r="L334" t="n">
        <v>0</v>
      </c>
      <c r="M334" t="n">
        <v>0</v>
      </c>
      <c r="N334" t="n">
        <v>0</v>
      </c>
      <c r="O334" t="n">
        <v>0</v>
      </c>
      <c r="P334" t="n">
        <v>0</v>
      </c>
      <c r="Q334" t="n">
        <v>0</v>
      </c>
      <c r="R334" s="2" t="inlineStr"/>
    </row>
    <row r="335" ht="15" customHeight="1">
      <c r="A335" t="inlineStr">
        <is>
          <t>A 46428-2025</t>
        </is>
      </c>
      <c r="B335" s="1" t="n">
        <v>45925.60758101852</v>
      </c>
      <c r="C335" s="1" t="n">
        <v>46022</v>
      </c>
      <c r="D335" t="inlineStr">
        <is>
          <t>ÖSTERGÖTLANDS LÄN</t>
        </is>
      </c>
      <c r="E335" t="inlineStr">
        <is>
          <t>LINKÖPING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16213-2025</t>
        </is>
      </c>
      <c r="B336" s="1" t="n">
        <v>45750.62740740741</v>
      </c>
      <c r="C336" s="1" t="n">
        <v>46022</v>
      </c>
      <c r="D336" t="inlineStr">
        <is>
          <t>ÖSTERGÖTLANDS LÄN</t>
        </is>
      </c>
      <c r="E336" t="inlineStr">
        <is>
          <t>LINKÖPING</t>
        </is>
      </c>
      <c r="G336" t="n">
        <v>3.4</v>
      </c>
      <c r="H336" t="n">
        <v>0</v>
      </c>
      <c r="I336" t="n">
        <v>0</v>
      </c>
      <c r="J336" t="n">
        <v>0</v>
      </c>
      <c r="K336" t="n">
        <v>0</v>
      </c>
      <c r="L336" t="n">
        <v>0</v>
      </c>
      <c r="M336" t="n">
        <v>0</v>
      </c>
      <c r="N336" t="n">
        <v>0</v>
      </c>
      <c r="O336" t="n">
        <v>0</v>
      </c>
      <c r="P336" t="n">
        <v>0</v>
      </c>
      <c r="Q336" t="n">
        <v>0</v>
      </c>
      <c r="R336" s="2" t="inlineStr"/>
    </row>
    <row r="337" ht="15" customHeight="1">
      <c r="A337" t="inlineStr">
        <is>
          <t>A 27797-2025</t>
        </is>
      </c>
      <c r="B337" s="1" t="n">
        <v>45816.80521990741</v>
      </c>
      <c r="C337" s="1" t="n">
        <v>46022</v>
      </c>
      <c r="D337" t="inlineStr">
        <is>
          <t>ÖSTERGÖTLANDS LÄN</t>
        </is>
      </c>
      <c r="E337" t="inlineStr">
        <is>
          <t>LINKÖPING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27798-2025</t>
        </is>
      </c>
      <c r="B338" s="1" t="n">
        <v>45816.81532407407</v>
      </c>
      <c r="C338" s="1" t="n">
        <v>46022</v>
      </c>
      <c r="D338" t="inlineStr">
        <is>
          <t>ÖSTERGÖTLANDS LÄN</t>
        </is>
      </c>
      <c r="E338" t="inlineStr">
        <is>
          <t>LINKÖPING</t>
        </is>
      </c>
      <c r="G338" t="n">
        <v>1.9</v>
      </c>
      <c r="H338" t="n">
        <v>0</v>
      </c>
      <c r="I338" t="n">
        <v>0</v>
      </c>
      <c r="J338" t="n">
        <v>0</v>
      </c>
      <c r="K338" t="n">
        <v>0</v>
      </c>
      <c r="L338" t="n">
        <v>0</v>
      </c>
      <c r="M338" t="n">
        <v>0</v>
      </c>
      <c r="N338" t="n">
        <v>0</v>
      </c>
      <c r="O338" t="n">
        <v>0</v>
      </c>
      <c r="P338" t="n">
        <v>0</v>
      </c>
      <c r="Q338" t="n">
        <v>0</v>
      </c>
      <c r="R338" s="2" t="inlineStr"/>
    </row>
    <row r="339" ht="15" customHeight="1">
      <c r="A339" t="inlineStr">
        <is>
          <t>A 28200-2025</t>
        </is>
      </c>
      <c r="B339" s="1" t="n">
        <v>45818.4428125</v>
      </c>
      <c r="C339" s="1" t="n">
        <v>46022</v>
      </c>
      <c r="D339" t="inlineStr">
        <is>
          <t>ÖSTERGÖTLANDS LÄN</t>
        </is>
      </c>
      <c r="E339" t="inlineStr">
        <is>
          <t>LINKÖPING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49633-2025</t>
        </is>
      </c>
      <c r="B340" s="1" t="n">
        <v>45938</v>
      </c>
      <c r="C340" s="1" t="n">
        <v>46022</v>
      </c>
      <c r="D340" t="inlineStr">
        <is>
          <t>ÖSTERGÖTLANDS LÄN</t>
        </is>
      </c>
      <c r="E340" t="inlineStr">
        <is>
          <t>LINKÖPING</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46377-2025</t>
        </is>
      </c>
      <c r="B341" s="1" t="n">
        <v>45925.51773148148</v>
      </c>
      <c r="C341" s="1" t="n">
        <v>46022</v>
      </c>
      <c r="D341" t="inlineStr">
        <is>
          <t>ÖSTERGÖTLANDS LÄN</t>
        </is>
      </c>
      <c r="E341" t="inlineStr">
        <is>
          <t>LINKÖPING</t>
        </is>
      </c>
      <c r="G341" t="n">
        <v>3.1</v>
      </c>
      <c r="H341" t="n">
        <v>0</v>
      </c>
      <c r="I341" t="n">
        <v>0</v>
      </c>
      <c r="J341" t="n">
        <v>0</v>
      </c>
      <c r="K341" t="n">
        <v>0</v>
      </c>
      <c r="L341" t="n">
        <v>0</v>
      </c>
      <c r="M341" t="n">
        <v>0</v>
      </c>
      <c r="N341" t="n">
        <v>0</v>
      </c>
      <c r="O341" t="n">
        <v>0</v>
      </c>
      <c r="P341" t="n">
        <v>0</v>
      </c>
      <c r="Q341" t="n">
        <v>0</v>
      </c>
      <c r="R341" s="2" t="inlineStr"/>
    </row>
    <row r="342" ht="15" customHeight="1">
      <c r="A342" t="inlineStr">
        <is>
          <t>A 28204-2025</t>
        </is>
      </c>
      <c r="B342" s="1" t="n">
        <v>45818.4477662037</v>
      </c>
      <c r="C342" s="1" t="n">
        <v>46022</v>
      </c>
      <c r="D342" t="inlineStr">
        <is>
          <t>ÖSTERGÖTLANDS LÄN</t>
        </is>
      </c>
      <c r="E342" t="inlineStr">
        <is>
          <t>LINKÖPING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28416-2025</t>
        </is>
      </c>
      <c r="B343" s="1" t="n">
        <v>45819.35346064815</v>
      </c>
      <c r="C343" s="1" t="n">
        <v>46022</v>
      </c>
      <c r="D343" t="inlineStr">
        <is>
          <t>ÖSTERGÖTLANDS LÄN</t>
        </is>
      </c>
      <c r="E343" t="inlineStr">
        <is>
          <t>LINKÖPING</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46225-2021</t>
        </is>
      </c>
      <c r="B344" s="1" t="n">
        <v>44442</v>
      </c>
      <c r="C344" s="1" t="n">
        <v>46022</v>
      </c>
      <c r="D344" t="inlineStr">
        <is>
          <t>ÖSTERGÖTLANDS LÄN</t>
        </is>
      </c>
      <c r="E344" t="inlineStr">
        <is>
          <t>LINKÖPING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25776-2021</t>
        </is>
      </c>
      <c r="B345" s="1" t="n">
        <v>44343</v>
      </c>
      <c r="C345" s="1" t="n">
        <v>46022</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51484-2023</t>
        </is>
      </c>
      <c r="B346" s="1" t="n">
        <v>45222</v>
      </c>
      <c r="C346" s="1" t="n">
        <v>46022</v>
      </c>
      <c r="D346" t="inlineStr">
        <is>
          <t>ÖSTERGÖTLANDS LÄN</t>
        </is>
      </c>
      <c r="E346" t="inlineStr">
        <is>
          <t>LINKÖPING</t>
        </is>
      </c>
      <c r="F346" t="inlineStr">
        <is>
          <t>Övriga Aktiebolag</t>
        </is>
      </c>
      <c r="G346" t="n">
        <v>7.7</v>
      </c>
      <c r="H346" t="n">
        <v>0</v>
      </c>
      <c r="I346" t="n">
        <v>0</v>
      </c>
      <c r="J346" t="n">
        <v>0</v>
      </c>
      <c r="K346" t="n">
        <v>0</v>
      </c>
      <c r="L346" t="n">
        <v>0</v>
      </c>
      <c r="M346" t="n">
        <v>0</v>
      </c>
      <c r="N346" t="n">
        <v>0</v>
      </c>
      <c r="O346" t="n">
        <v>0</v>
      </c>
      <c r="P346" t="n">
        <v>0</v>
      </c>
      <c r="Q346" t="n">
        <v>0</v>
      </c>
      <c r="R346" s="2" t="inlineStr"/>
    </row>
    <row r="347" ht="15" customHeight="1">
      <c r="A347" t="inlineStr">
        <is>
          <t>A 46847-2025</t>
        </is>
      </c>
      <c r="B347" s="1" t="n">
        <v>45928.69971064815</v>
      </c>
      <c r="C347" s="1" t="n">
        <v>46022</v>
      </c>
      <c r="D347" t="inlineStr">
        <is>
          <t>ÖSTERGÖTLANDS LÄN</t>
        </is>
      </c>
      <c r="E347" t="inlineStr">
        <is>
          <t>LINKÖPING</t>
        </is>
      </c>
      <c r="G347" t="n">
        <v>4.6</v>
      </c>
      <c r="H347" t="n">
        <v>0</v>
      </c>
      <c r="I347" t="n">
        <v>0</v>
      </c>
      <c r="J347" t="n">
        <v>0</v>
      </c>
      <c r="K347" t="n">
        <v>0</v>
      </c>
      <c r="L347" t="n">
        <v>0</v>
      </c>
      <c r="M347" t="n">
        <v>0</v>
      </c>
      <c r="N347" t="n">
        <v>0</v>
      </c>
      <c r="O347" t="n">
        <v>0</v>
      </c>
      <c r="P347" t="n">
        <v>0</v>
      </c>
      <c r="Q347" t="n">
        <v>0</v>
      </c>
      <c r="R347" s="2" t="inlineStr"/>
    </row>
    <row r="348" ht="15" customHeight="1">
      <c r="A348" t="inlineStr">
        <is>
          <t>A 17898-2022</t>
        </is>
      </c>
      <c r="B348" s="1" t="n">
        <v>44683</v>
      </c>
      <c r="C348" s="1" t="n">
        <v>46022</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28398-2025</t>
        </is>
      </c>
      <c r="B349" s="1" t="n">
        <v>45819.34208333334</v>
      </c>
      <c r="C349" s="1" t="n">
        <v>46022</v>
      </c>
      <c r="D349" t="inlineStr">
        <is>
          <t>ÖSTERGÖTLANDS LÄN</t>
        </is>
      </c>
      <c r="E349" t="inlineStr">
        <is>
          <t>LINKÖPING</t>
        </is>
      </c>
      <c r="F349" t="inlineStr">
        <is>
          <t>Sveaskog</t>
        </is>
      </c>
      <c r="G349" t="n">
        <v>7.9</v>
      </c>
      <c r="H349" t="n">
        <v>0</v>
      </c>
      <c r="I349" t="n">
        <v>0</v>
      </c>
      <c r="J349" t="n">
        <v>0</v>
      </c>
      <c r="K349" t="n">
        <v>0</v>
      </c>
      <c r="L349" t="n">
        <v>0</v>
      </c>
      <c r="M349" t="n">
        <v>0</v>
      </c>
      <c r="N349" t="n">
        <v>0</v>
      </c>
      <c r="O349" t="n">
        <v>0</v>
      </c>
      <c r="P349" t="n">
        <v>0</v>
      </c>
      <c r="Q349" t="n">
        <v>0</v>
      </c>
      <c r="R349" s="2" t="inlineStr"/>
    </row>
    <row r="350" ht="15" customHeight="1">
      <c r="A350" t="inlineStr">
        <is>
          <t>A 28209-2025</t>
        </is>
      </c>
      <c r="B350" s="1" t="n">
        <v>45818.45112268518</v>
      </c>
      <c r="C350" s="1" t="n">
        <v>46022</v>
      </c>
      <c r="D350" t="inlineStr">
        <is>
          <t>ÖSTERGÖTLANDS LÄN</t>
        </is>
      </c>
      <c r="E350" t="inlineStr">
        <is>
          <t>LINKÖPING</t>
        </is>
      </c>
      <c r="G350" t="n">
        <v>4.2</v>
      </c>
      <c r="H350" t="n">
        <v>0</v>
      </c>
      <c r="I350" t="n">
        <v>0</v>
      </c>
      <c r="J350" t="n">
        <v>0</v>
      </c>
      <c r="K350" t="n">
        <v>0</v>
      </c>
      <c r="L350" t="n">
        <v>0</v>
      </c>
      <c r="M350" t="n">
        <v>0</v>
      </c>
      <c r="N350" t="n">
        <v>0</v>
      </c>
      <c r="O350" t="n">
        <v>0</v>
      </c>
      <c r="P350" t="n">
        <v>0</v>
      </c>
      <c r="Q350" t="n">
        <v>0</v>
      </c>
      <c r="R350" s="2" t="inlineStr"/>
    </row>
    <row r="351" ht="15" customHeight="1">
      <c r="A351" t="inlineStr">
        <is>
          <t>A 47233-2025</t>
        </is>
      </c>
      <c r="B351" s="1" t="n">
        <v>45930.40612268518</v>
      </c>
      <c r="C351" s="1" t="n">
        <v>46022</v>
      </c>
      <c r="D351" t="inlineStr">
        <is>
          <t>ÖSTERGÖTLANDS LÄN</t>
        </is>
      </c>
      <c r="E351" t="inlineStr">
        <is>
          <t>LINKÖPING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63487-2023</t>
        </is>
      </c>
      <c r="B352" s="1" t="n">
        <v>45274.66712962963</v>
      </c>
      <c r="C352" s="1" t="n">
        <v>46022</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35463-2023</t>
        </is>
      </c>
      <c r="B353" s="1" t="n">
        <v>45146</v>
      </c>
      <c r="C353" s="1" t="n">
        <v>46022</v>
      </c>
      <c r="D353" t="inlineStr">
        <is>
          <t>ÖSTERGÖTLANDS LÄN</t>
        </is>
      </c>
      <c r="E353" t="inlineStr">
        <is>
          <t>LINKÖPING</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47606-2025</t>
        </is>
      </c>
      <c r="B354" s="1" t="n">
        <v>45931.46402777778</v>
      </c>
      <c r="C354" s="1" t="n">
        <v>46022</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47304-2025</t>
        </is>
      </c>
      <c r="B355" s="1" t="n">
        <v>45930.52037037037</v>
      </c>
      <c r="C355" s="1" t="n">
        <v>46022</v>
      </c>
      <c r="D355" t="inlineStr">
        <is>
          <t>ÖSTERGÖTLANDS LÄN</t>
        </is>
      </c>
      <c r="E355" t="inlineStr">
        <is>
          <t>LINKÖPING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29027-2025</t>
        </is>
      </c>
      <c r="B356" s="1" t="n">
        <v>45821.4375462963</v>
      </c>
      <c r="C356" s="1" t="n">
        <v>46022</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29411-2025</t>
        </is>
      </c>
      <c r="B357" s="1" t="n">
        <v>45824.6219212963</v>
      </c>
      <c r="C357" s="1" t="n">
        <v>46022</v>
      </c>
      <c r="D357" t="inlineStr">
        <is>
          <t>ÖSTERGÖTLANDS LÄN</t>
        </is>
      </c>
      <c r="E357" t="inlineStr">
        <is>
          <t>LINKÖPING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55632-2022</t>
        </is>
      </c>
      <c r="B358" s="1" t="n">
        <v>44888</v>
      </c>
      <c r="C358" s="1" t="n">
        <v>46022</v>
      </c>
      <c r="D358" t="inlineStr">
        <is>
          <t>ÖSTERGÖTLANDS LÄN</t>
        </is>
      </c>
      <c r="E358" t="inlineStr">
        <is>
          <t>LINKÖPING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63559-2023</t>
        </is>
      </c>
      <c r="B359" s="1" t="n">
        <v>45275.35924768518</v>
      </c>
      <c r="C359" s="1" t="n">
        <v>46022</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29393-2025</t>
        </is>
      </c>
      <c r="B360" s="1" t="n">
        <v>45824.6057175926</v>
      </c>
      <c r="C360" s="1" t="n">
        <v>46022</v>
      </c>
      <c r="D360" t="inlineStr">
        <is>
          <t>ÖSTERGÖTLANDS LÄN</t>
        </is>
      </c>
      <c r="E360" t="inlineStr">
        <is>
          <t>LINKÖPING</t>
        </is>
      </c>
      <c r="F360" t="inlineStr">
        <is>
          <t>Sveaskog</t>
        </is>
      </c>
      <c r="G360" t="n">
        <v>24.6</v>
      </c>
      <c r="H360" t="n">
        <v>0</v>
      </c>
      <c r="I360" t="n">
        <v>0</v>
      </c>
      <c r="J360" t="n">
        <v>0</v>
      </c>
      <c r="K360" t="n">
        <v>0</v>
      </c>
      <c r="L360" t="n">
        <v>0</v>
      </c>
      <c r="M360" t="n">
        <v>0</v>
      </c>
      <c r="N360" t="n">
        <v>0</v>
      </c>
      <c r="O360" t="n">
        <v>0</v>
      </c>
      <c r="P360" t="n">
        <v>0</v>
      </c>
      <c r="Q360" t="n">
        <v>0</v>
      </c>
      <c r="R360" s="2" t="inlineStr"/>
    </row>
    <row r="361" ht="15" customHeight="1">
      <c r="A361" t="inlineStr">
        <is>
          <t>A 29599-2025</t>
        </is>
      </c>
      <c r="B361" s="1" t="n">
        <v>45825.41101851852</v>
      </c>
      <c r="C361" s="1" t="n">
        <v>46022</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58114-2021</t>
        </is>
      </c>
      <c r="B362" s="1" t="n">
        <v>44487</v>
      </c>
      <c r="C362" s="1" t="n">
        <v>46022</v>
      </c>
      <c r="D362" t="inlineStr">
        <is>
          <t>ÖSTERGÖTLANDS LÄN</t>
        </is>
      </c>
      <c r="E362" t="inlineStr">
        <is>
          <t>LINKÖPING</t>
        </is>
      </c>
      <c r="F362" t="inlineStr">
        <is>
          <t>Övriga Aktiebolag</t>
        </is>
      </c>
      <c r="G362" t="n">
        <v>0.8</v>
      </c>
      <c r="H362" t="n">
        <v>0</v>
      </c>
      <c r="I362" t="n">
        <v>0</v>
      </c>
      <c r="J362" t="n">
        <v>0</v>
      </c>
      <c r="K362" t="n">
        <v>0</v>
      </c>
      <c r="L362" t="n">
        <v>0</v>
      </c>
      <c r="M362" t="n">
        <v>0</v>
      </c>
      <c r="N362" t="n">
        <v>0</v>
      </c>
      <c r="O362" t="n">
        <v>0</v>
      </c>
      <c r="P362" t="n">
        <v>0</v>
      </c>
      <c r="Q362" t="n">
        <v>0</v>
      </c>
      <c r="R362" s="2" t="inlineStr"/>
    </row>
    <row r="363" ht="15" customHeight="1">
      <c r="A363" t="inlineStr">
        <is>
          <t>A 30355-2025</t>
        </is>
      </c>
      <c r="B363" s="1" t="n">
        <v>45827</v>
      </c>
      <c r="C363" s="1" t="n">
        <v>46022</v>
      </c>
      <c r="D363" t="inlineStr">
        <is>
          <t>ÖSTERGÖTLANDS LÄN</t>
        </is>
      </c>
      <c r="E363" t="inlineStr">
        <is>
          <t>LINKÖPING</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55944-2024</t>
        </is>
      </c>
      <c r="B364" s="1" t="n">
        <v>45623.61640046296</v>
      </c>
      <c r="C364" s="1" t="n">
        <v>46022</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55947-2024</t>
        </is>
      </c>
      <c r="B365" s="1" t="n">
        <v>45623</v>
      </c>
      <c r="C365" s="1" t="n">
        <v>46022</v>
      </c>
      <c r="D365" t="inlineStr">
        <is>
          <t>ÖSTERGÖTLANDS LÄN</t>
        </is>
      </c>
      <c r="E365" t="inlineStr">
        <is>
          <t>LINKÖPING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30353-2025</t>
        </is>
      </c>
      <c r="B366" s="1" t="n">
        <v>45827</v>
      </c>
      <c r="C366" s="1" t="n">
        <v>46022</v>
      </c>
      <c r="D366" t="inlineStr">
        <is>
          <t>ÖSTERGÖTLANDS LÄN</t>
        </is>
      </c>
      <c r="E366" t="inlineStr">
        <is>
          <t>LINKÖPING</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3374-2023</t>
        </is>
      </c>
      <c r="B367" s="1" t="n">
        <v>44949</v>
      </c>
      <c r="C367" s="1" t="n">
        <v>46022</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24151-2024</t>
        </is>
      </c>
      <c r="B368" s="1" t="n">
        <v>45456.67717592593</v>
      </c>
      <c r="C368" s="1" t="n">
        <v>46022</v>
      </c>
      <c r="D368" t="inlineStr">
        <is>
          <t>ÖSTERGÖTLANDS LÄN</t>
        </is>
      </c>
      <c r="E368" t="inlineStr">
        <is>
          <t>LINKÖPING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40983-2025</t>
        </is>
      </c>
      <c r="B369" s="1" t="n">
        <v>45898</v>
      </c>
      <c r="C369" s="1" t="n">
        <v>46022</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14576-2023</t>
        </is>
      </c>
      <c r="B370" s="1" t="n">
        <v>45013</v>
      </c>
      <c r="C370" s="1" t="n">
        <v>46022</v>
      </c>
      <c r="D370" t="inlineStr">
        <is>
          <t>ÖSTERGÖTLANDS LÄN</t>
        </is>
      </c>
      <c r="E370" t="inlineStr">
        <is>
          <t>LINKÖPING</t>
        </is>
      </c>
      <c r="G370" t="n">
        <v>3.2</v>
      </c>
      <c r="H370" t="n">
        <v>0</v>
      </c>
      <c r="I370" t="n">
        <v>0</v>
      </c>
      <c r="J370" t="n">
        <v>0</v>
      </c>
      <c r="K370" t="n">
        <v>0</v>
      </c>
      <c r="L370" t="n">
        <v>0</v>
      </c>
      <c r="M370" t="n">
        <v>0</v>
      </c>
      <c r="N370" t="n">
        <v>0</v>
      </c>
      <c r="O370" t="n">
        <v>0</v>
      </c>
      <c r="P370" t="n">
        <v>0</v>
      </c>
      <c r="Q370" t="n">
        <v>0</v>
      </c>
      <c r="R370" s="2" t="inlineStr"/>
    </row>
    <row r="371" ht="15" customHeight="1">
      <c r="A371" t="inlineStr">
        <is>
          <t>A 50056-2025</t>
        </is>
      </c>
      <c r="B371" s="1" t="n">
        <v>45941</v>
      </c>
      <c r="C371" s="1" t="n">
        <v>46022</v>
      </c>
      <c r="D371" t="inlineStr">
        <is>
          <t>ÖSTERGÖTLANDS LÄN</t>
        </is>
      </c>
      <c r="E371" t="inlineStr">
        <is>
          <t>LINKÖPING</t>
        </is>
      </c>
      <c r="G371" t="n">
        <v>0.3</v>
      </c>
      <c r="H371" t="n">
        <v>0</v>
      </c>
      <c r="I371" t="n">
        <v>0</v>
      </c>
      <c r="J371" t="n">
        <v>0</v>
      </c>
      <c r="K371" t="n">
        <v>0</v>
      </c>
      <c r="L371" t="n">
        <v>0</v>
      </c>
      <c r="M371" t="n">
        <v>0</v>
      </c>
      <c r="N371" t="n">
        <v>0</v>
      </c>
      <c r="O371" t="n">
        <v>0</v>
      </c>
      <c r="P371" t="n">
        <v>0</v>
      </c>
      <c r="Q371" t="n">
        <v>0</v>
      </c>
      <c r="R371" s="2" t="inlineStr"/>
    </row>
    <row r="372" ht="15" customHeight="1">
      <c r="A372" t="inlineStr">
        <is>
          <t>A 31581-2025</t>
        </is>
      </c>
      <c r="B372" s="1" t="n">
        <v>45833.6840162037</v>
      </c>
      <c r="C372" s="1" t="n">
        <v>46022</v>
      </c>
      <c r="D372" t="inlineStr">
        <is>
          <t>ÖSTERGÖTLANDS LÄN</t>
        </is>
      </c>
      <c r="E372" t="inlineStr">
        <is>
          <t>LINKÖPING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31585-2025</t>
        </is>
      </c>
      <c r="B373" s="1" t="n">
        <v>45833.68815972222</v>
      </c>
      <c r="C373" s="1" t="n">
        <v>46022</v>
      </c>
      <c r="D373" t="inlineStr">
        <is>
          <t>ÖSTERGÖTLANDS LÄN</t>
        </is>
      </c>
      <c r="E373" t="inlineStr">
        <is>
          <t>LINKÖPING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74160-2021</t>
        </is>
      </c>
      <c r="B374" s="1" t="n">
        <v>44558</v>
      </c>
      <c r="C374" s="1" t="n">
        <v>46022</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55004-2025</t>
        </is>
      </c>
      <c r="B375" s="1" t="n">
        <v>45967</v>
      </c>
      <c r="C375" s="1" t="n">
        <v>46022</v>
      </c>
      <c r="D375" t="inlineStr">
        <is>
          <t>ÖSTERGÖTLANDS LÄN</t>
        </is>
      </c>
      <c r="E375" t="inlineStr">
        <is>
          <t>LINKÖPING</t>
        </is>
      </c>
      <c r="G375" t="n">
        <v>2.5</v>
      </c>
      <c r="H375" t="n">
        <v>0</v>
      </c>
      <c r="I375" t="n">
        <v>0</v>
      </c>
      <c r="J375" t="n">
        <v>0</v>
      </c>
      <c r="K375" t="n">
        <v>0</v>
      </c>
      <c r="L375" t="n">
        <v>0</v>
      </c>
      <c r="M375" t="n">
        <v>0</v>
      </c>
      <c r="N375" t="n">
        <v>0</v>
      </c>
      <c r="O375" t="n">
        <v>0</v>
      </c>
      <c r="P375" t="n">
        <v>0</v>
      </c>
      <c r="Q375" t="n">
        <v>0</v>
      </c>
      <c r="R375" s="2" t="inlineStr"/>
    </row>
    <row r="376" ht="15" customHeight="1">
      <c r="A376" t="inlineStr">
        <is>
          <t>A 50667-2025</t>
        </is>
      </c>
      <c r="B376" s="1" t="n">
        <v>45945</v>
      </c>
      <c r="C376" s="1" t="n">
        <v>46022</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32723-2025</t>
        </is>
      </c>
      <c r="B377" s="1" t="n">
        <v>45838</v>
      </c>
      <c r="C377" s="1" t="n">
        <v>46022</v>
      </c>
      <c r="D377" t="inlineStr">
        <is>
          <t>ÖSTERGÖTLANDS LÄN</t>
        </is>
      </c>
      <c r="E377" t="inlineStr">
        <is>
          <t>LINKÖPING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58802-2025</t>
        </is>
      </c>
      <c r="B378" s="1" t="n">
        <v>45986.8768287037</v>
      </c>
      <c r="C378" s="1" t="n">
        <v>46022</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27766-2022</t>
        </is>
      </c>
      <c r="B379" s="1" t="n">
        <v>44743.53112268518</v>
      </c>
      <c r="C379" s="1" t="n">
        <v>46022</v>
      </c>
      <c r="D379" t="inlineStr">
        <is>
          <t>ÖSTERGÖTLANDS LÄN</t>
        </is>
      </c>
      <c r="E379" t="inlineStr">
        <is>
          <t>LINKÖPING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53641-2023</t>
        </is>
      </c>
      <c r="B380" s="1" t="n">
        <v>45230</v>
      </c>
      <c r="C380" s="1" t="n">
        <v>46022</v>
      </c>
      <c r="D380" t="inlineStr">
        <is>
          <t>ÖSTERGÖTLANDS LÄN</t>
        </is>
      </c>
      <c r="E380" t="inlineStr">
        <is>
          <t>LINKÖPING</t>
        </is>
      </c>
      <c r="G380" t="n">
        <v>1.7</v>
      </c>
      <c r="H380" t="n">
        <v>0</v>
      </c>
      <c r="I380" t="n">
        <v>0</v>
      </c>
      <c r="J380" t="n">
        <v>0</v>
      </c>
      <c r="K380" t="n">
        <v>0</v>
      </c>
      <c r="L380" t="n">
        <v>0</v>
      </c>
      <c r="M380" t="n">
        <v>0</v>
      </c>
      <c r="N380" t="n">
        <v>0</v>
      </c>
      <c r="O380" t="n">
        <v>0</v>
      </c>
      <c r="P380" t="n">
        <v>0</v>
      </c>
      <c r="Q380" t="n">
        <v>0</v>
      </c>
      <c r="R380" s="2" t="inlineStr"/>
    </row>
    <row r="381" ht="15" customHeight="1">
      <c r="A381" t="inlineStr">
        <is>
          <t>A 33000-2023</t>
        </is>
      </c>
      <c r="B381" s="1" t="n">
        <v>45125</v>
      </c>
      <c r="C381" s="1" t="n">
        <v>46022</v>
      </c>
      <c r="D381" t="inlineStr">
        <is>
          <t>ÖSTERGÖTLANDS LÄN</t>
        </is>
      </c>
      <c r="E381" t="inlineStr">
        <is>
          <t>LINKÖPING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52892-2024</t>
        </is>
      </c>
      <c r="B382" s="1" t="n">
        <v>45610</v>
      </c>
      <c r="C382" s="1" t="n">
        <v>46022</v>
      </c>
      <c r="D382" t="inlineStr">
        <is>
          <t>ÖSTERGÖTLANDS LÄN</t>
        </is>
      </c>
      <c r="E382" t="inlineStr">
        <is>
          <t>LINKÖPING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30521-2024</t>
        </is>
      </c>
      <c r="B383" s="1" t="n">
        <v>45492</v>
      </c>
      <c r="C383" s="1" t="n">
        <v>46022</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51191-2022</t>
        </is>
      </c>
      <c r="B384" s="1" t="n">
        <v>44865</v>
      </c>
      <c r="C384" s="1" t="n">
        <v>46022</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12289-2025</t>
        </is>
      </c>
      <c r="B385" s="1" t="n">
        <v>45729</v>
      </c>
      <c r="C385" s="1" t="n">
        <v>46022</v>
      </c>
      <c r="D385" t="inlineStr">
        <is>
          <t>ÖSTERGÖTLANDS LÄN</t>
        </is>
      </c>
      <c r="E385" t="inlineStr">
        <is>
          <t>LINKÖPING</t>
        </is>
      </c>
      <c r="F385" t="inlineStr">
        <is>
          <t>Övriga statliga verk och myndigheter</t>
        </is>
      </c>
      <c r="G385" t="n">
        <v>6.5</v>
      </c>
      <c r="H385" t="n">
        <v>0</v>
      </c>
      <c r="I385" t="n">
        <v>0</v>
      </c>
      <c r="J385" t="n">
        <v>0</v>
      </c>
      <c r="K385" t="n">
        <v>0</v>
      </c>
      <c r="L385" t="n">
        <v>0</v>
      </c>
      <c r="M385" t="n">
        <v>0</v>
      </c>
      <c r="N385" t="n">
        <v>0</v>
      </c>
      <c r="O385" t="n">
        <v>0</v>
      </c>
      <c r="P385" t="n">
        <v>0</v>
      </c>
      <c r="Q385" t="n">
        <v>0</v>
      </c>
      <c r="R385" s="2" t="inlineStr"/>
    </row>
    <row r="386" ht="15" customHeight="1">
      <c r="A386" t="inlineStr">
        <is>
          <t>A 33947-2025</t>
        </is>
      </c>
      <c r="B386" s="1" t="n">
        <v>45842.65444444444</v>
      </c>
      <c r="C386" s="1" t="n">
        <v>46022</v>
      </c>
      <c r="D386" t="inlineStr">
        <is>
          <t>ÖSTERGÖTLANDS LÄN</t>
        </is>
      </c>
      <c r="E386" t="inlineStr">
        <is>
          <t>LINKÖPING</t>
        </is>
      </c>
      <c r="F386" t="inlineStr">
        <is>
          <t>Sveaskog</t>
        </is>
      </c>
      <c r="G386" t="n">
        <v>0.6</v>
      </c>
      <c r="H386" t="n">
        <v>0</v>
      </c>
      <c r="I386" t="n">
        <v>0</v>
      </c>
      <c r="J386" t="n">
        <v>0</v>
      </c>
      <c r="K386" t="n">
        <v>0</v>
      </c>
      <c r="L386" t="n">
        <v>0</v>
      </c>
      <c r="M386" t="n">
        <v>0</v>
      </c>
      <c r="N386" t="n">
        <v>0</v>
      </c>
      <c r="O386" t="n">
        <v>0</v>
      </c>
      <c r="P386" t="n">
        <v>0</v>
      </c>
      <c r="Q386" t="n">
        <v>0</v>
      </c>
      <c r="R386" s="2" t="inlineStr"/>
    </row>
    <row r="387" ht="15" customHeight="1">
      <c r="A387" t="inlineStr">
        <is>
          <t>A 53529-2024</t>
        </is>
      </c>
      <c r="B387" s="1" t="n">
        <v>45614</v>
      </c>
      <c r="C387" s="1" t="n">
        <v>46022</v>
      </c>
      <c r="D387" t="inlineStr">
        <is>
          <t>ÖSTERGÖTLANDS LÄN</t>
        </is>
      </c>
      <c r="E387" t="inlineStr">
        <is>
          <t>LINKÖPING</t>
        </is>
      </c>
      <c r="G387" t="n">
        <v>6.7</v>
      </c>
      <c r="H387" t="n">
        <v>0</v>
      </c>
      <c r="I387" t="n">
        <v>0</v>
      </c>
      <c r="J387" t="n">
        <v>0</v>
      </c>
      <c r="K387" t="n">
        <v>0</v>
      </c>
      <c r="L387" t="n">
        <v>0</v>
      </c>
      <c r="M387" t="n">
        <v>0</v>
      </c>
      <c r="N387" t="n">
        <v>0</v>
      </c>
      <c r="O387" t="n">
        <v>0</v>
      </c>
      <c r="P387" t="n">
        <v>0</v>
      </c>
      <c r="Q387" t="n">
        <v>0</v>
      </c>
      <c r="R387" s="2" t="inlineStr"/>
    </row>
    <row r="388" ht="15" customHeight="1">
      <c r="A388" t="inlineStr">
        <is>
          <t>A 62012-2024</t>
        </is>
      </c>
      <c r="B388" s="1" t="n">
        <v>45655.79679398148</v>
      </c>
      <c r="C388" s="1" t="n">
        <v>46022</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9434-2024</t>
        </is>
      </c>
      <c r="B389" s="1" t="n">
        <v>45359</v>
      </c>
      <c r="C389" s="1" t="n">
        <v>46022</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42054-2022</t>
        </is>
      </c>
      <c r="B390" s="1" t="n">
        <v>44830</v>
      </c>
      <c r="C390" s="1" t="n">
        <v>46022</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59472-2025</t>
        </is>
      </c>
      <c r="B391" s="1" t="n">
        <v>45989.58321759259</v>
      </c>
      <c r="C391" s="1" t="n">
        <v>46022</v>
      </c>
      <c r="D391" t="inlineStr">
        <is>
          <t>ÖSTERGÖTLANDS LÄN</t>
        </is>
      </c>
      <c r="E391" t="inlineStr">
        <is>
          <t>LINKÖPING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20469-2025</t>
        </is>
      </c>
      <c r="B392" s="1" t="n">
        <v>45775</v>
      </c>
      <c r="C392" s="1" t="n">
        <v>46022</v>
      </c>
      <c r="D392" t="inlineStr">
        <is>
          <t>ÖSTERGÖTLANDS LÄN</t>
        </is>
      </c>
      <c r="E392" t="inlineStr">
        <is>
          <t>LINKÖPING</t>
        </is>
      </c>
      <c r="F392" t="inlineStr">
        <is>
          <t>Kyrkan</t>
        </is>
      </c>
      <c r="G392" t="n">
        <v>6.1</v>
      </c>
      <c r="H392" t="n">
        <v>0</v>
      </c>
      <c r="I392" t="n">
        <v>0</v>
      </c>
      <c r="J392" t="n">
        <v>0</v>
      </c>
      <c r="K392" t="n">
        <v>0</v>
      </c>
      <c r="L392" t="n">
        <v>0</v>
      </c>
      <c r="M392" t="n">
        <v>0</v>
      </c>
      <c r="N392" t="n">
        <v>0</v>
      </c>
      <c r="O392" t="n">
        <v>0</v>
      </c>
      <c r="P392" t="n">
        <v>0</v>
      </c>
      <c r="Q392" t="n">
        <v>0</v>
      </c>
      <c r="R392" s="2" t="inlineStr"/>
    </row>
    <row r="393" ht="15" customHeight="1">
      <c r="A393" t="inlineStr">
        <is>
          <t>A 50182-2023</t>
        </is>
      </c>
      <c r="B393" s="1" t="n">
        <v>45208</v>
      </c>
      <c r="C393" s="1" t="n">
        <v>46022</v>
      </c>
      <c r="D393" t="inlineStr">
        <is>
          <t>ÖSTERGÖTLANDS LÄN</t>
        </is>
      </c>
      <c r="E393" t="inlineStr">
        <is>
          <t>LINKÖPING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35781-2023</t>
        </is>
      </c>
      <c r="B394" s="1" t="n">
        <v>45147</v>
      </c>
      <c r="C394" s="1" t="n">
        <v>46022</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33800-2023</t>
        </is>
      </c>
      <c r="B395" s="1" t="n">
        <v>45121</v>
      </c>
      <c r="C395" s="1" t="n">
        <v>46022</v>
      </c>
      <c r="D395" t="inlineStr">
        <is>
          <t>ÖSTERGÖTLANDS LÄN</t>
        </is>
      </c>
      <c r="E395" t="inlineStr">
        <is>
          <t>LINKÖPING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6387-2022</t>
        </is>
      </c>
      <c r="B396" s="1" t="n">
        <v>44600</v>
      </c>
      <c r="C396" s="1" t="n">
        <v>46022</v>
      </c>
      <c r="D396" t="inlineStr">
        <is>
          <t>ÖSTERGÖTLANDS LÄN</t>
        </is>
      </c>
      <c r="E396" t="inlineStr">
        <is>
          <t>LINKÖPING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48707-2023</t>
        </is>
      </c>
      <c r="B397" s="1" t="n">
        <v>45202</v>
      </c>
      <c r="C397" s="1" t="n">
        <v>46022</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26007-2025</t>
        </is>
      </c>
      <c r="B398" s="1" t="n">
        <v>45804.67081018518</v>
      </c>
      <c r="C398" s="1" t="n">
        <v>46022</v>
      </c>
      <c r="D398" t="inlineStr">
        <is>
          <t>ÖSTERGÖTLANDS LÄN</t>
        </is>
      </c>
      <c r="E398" t="inlineStr">
        <is>
          <t>LINKÖPING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35174-2025</t>
        </is>
      </c>
      <c r="B399" s="1" t="n">
        <v>45852.90648148148</v>
      </c>
      <c r="C399" s="1" t="n">
        <v>46022</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47991-2023</t>
        </is>
      </c>
      <c r="B400" s="1" t="n">
        <v>45204.62655092592</v>
      </c>
      <c r="C400" s="1" t="n">
        <v>46022</v>
      </c>
      <c r="D400" t="inlineStr">
        <is>
          <t>ÖSTERGÖTLANDS LÄN</t>
        </is>
      </c>
      <c r="E400" t="inlineStr">
        <is>
          <t>LINKÖPING</t>
        </is>
      </c>
      <c r="F400" t="inlineStr">
        <is>
          <t>Allmännings- och besparingsskogar</t>
        </is>
      </c>
      <c r="G400" t="n">
        <v>7.3</v>
      </c>
      <c r="H400" t="n">
        <v>0</v>
      </c>
      <c r="I400" t="n">
        <v>0</v>
      </c>
      <c r="J400" t="n">
        <v>0</v>
      </c>
      <c r="K400" t="n">
        <v>0</v>
      </c>
      <c r="L400" t="n">
        <v>0</v>
      </c>
      <c r="M400" t="n">
        <v>0</v>
      </c>
      <c r="N400" t="n">
        <v>0</v>
      </c>
      <c r="O400" t="n">
        <v>0</v>
      </c>
      <c r="P400" t="n">
        <v>0</v>
      </c>
      <c r="Q400" t="n">
        <v>0</v>
      </c>
      <c r="R400" s="2" t="inlineStr"/>
    </row>
    <row r="401" ht="15" customHeight="1">
      <c r="A401" t="inlineStr">
        <is>
          <t>A 35179-2025</t>
        </is>
      </c>
      <c r="B401" s="1" t="n">
        <v>45852.93737268518</v>
      </c>
      <c r="C401" s="1" t="n">
        <v>46022</v>
      </c>
      <c r="D401" t="inlineStr">
        <is>
          <t>ÖSTERGÖTLANDS LÄN</t>
        </is>
      </c>
      <c r="E401" t="inlineStr">
        <is>
          <t>LINKÖPING</t>
        </is>
      </c>
      <c r="G401" t="n">
        <v>2.2</v>
      </c>
      <c r="H401" t="n">
        <v>0</v>
      </c>
      <c r="I401" t="n">
        <v>0</v>
      </c>
      <c r="J401" t="n">
        <v>0</v>
      </c>
      <c r="K401" t="n">
        <v>0</v>
      </c>
      <c r="L401" t="n">
        <v>0</v>
      </c>
      <c r="M401" t="n">
        <v>0</v>
      </c>
      <c r="N401" t="n">
        <v>0</v>
      </c>
      <c r="O401" t="n">
        <v>0</v>
      </c>
      <c r="P401" t="n">
        <v>0</v>
      </c>
      <c r="Q401" t="n">
        <v>0</v>
      </c>
      <c r="R401" s="2" t="inlineStr"/>
    </row>
    <row r="402" ht="15" customHeight="1">
      <c r="A402" t="inlineStr">
        <is>
          <t>A 35180-2025</t>
        </is>
      </c>
      <c r="B402" s="1" t="n">
        <v>45852.9413425926</v>
      </c>
      <c r="C402" s="1" t="n">
        <v>46022</v>
      </c>
      <c r="D402" t="inlineStr">
        <is>
          <t>ÖSTERGÖTLANDS LÄN</t>
        </is>
      </c>
      <c r="E402" t="inlineStr">
        <is>
          <t>LINKÖPING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35178-2025</t>
        </is>
      </c>
      <c r="B403" s="1" t="n">
        <v>45852.91939814815</v>
      </c>
      <c r="C403" s="1" t="n">
        <v>46022</v>
      </c>
      <c r="D403" t="inlineStr">
        <is>
          <t>ÖSTERGÖTLANDS LÄN</t>
        </is>
      </c>
      <c r="E403" t="inlineStr">
        <is>
          <t>LINKÖPING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12089-2025</t>
        </is>
      </c>
      <c r="B404" s="1" t="n">
        <v>45729</v>
      </c>
      <c r="C404" s="1" t="n">
        <v>46022</v>
      </c>
      <c r="D404" t="inlineStr">
        <is>
          <t>ÖSTERGÖTLANDS LÄN</t>
        </is>
      </c>
      <c r="E404" t="inlineStr">
        <is>
          <t>LINKÖPING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35757-2025</t>
        </is>
      </c>
      <c r="B405" s="1" t="n">
        <v>45860.59876157407</v>
      </c>
      <c r="C405" s="1" t="n">
        <v>46022</v>
      </c>
      <c r="D405" t="inlineStr">
        <is>
          <t>ÖSTERGÖTLANDS LÄN</t>
        </is>
      </c>
      <c r="E405" t="inlineStr">
        <is>
          <t>LINKÖPING</t>
        </is>
      </c>
      <c r="G405" t="n">
        <v>5.7</v>
      </c>
      <c r="H405" t="n">
        <v>0</v>
      </c>
      <c r="I405" t="n">
        <v>0</v>
      </c>
      <c r="J405" t="n">
        <v>0</v>
      </c>
      <c r="K405" t="n">
        <v>0</v>
      </c>
      <c r="L405" t="n">
        <v>0</v>
      </c>
      <c r="M405" t="n">
        <v>0</v>
      </c>
      <c r="N405" t="n">
        <v>0</v>
      </c>
      <c r="O405" t="n">
        <v>0</v>
      </c>
      <c r="P405" t="n">
        <v>0</v>
      </c>
      <c r="Q405" t="n">
        <v>0</v>
      </c>
      <c r="R405" s="2" t="inlineStr"/>
    </row>
    <row r="406" ht="15" customHeight="1">
      <c r="A406" t="inlineStr">
        <is>
          <t>A 35745-2025</t>
        </is>
      </c>
      <c r="B406" s="1" t="n">
        <v>45860.54739583333</v>
      </c>
      <c r="C406" s="1" t="n">
        <v>46022</v>
      </c>
      <c r="D406" t="inlineStr">
        <is>
          <t>ÖSTERGÖTLANDS LÄN</t>
        </is>
      </c>
      <c r="E406" t="inlineStr">
        <is>
          <t>LINKÖPING</t>
        </is>
      </c>
      <c r="G406" t="n">
        <v>4.4</v>
      </c>
      <c r="H406" t="n">
        <v>0</v>
      </c>
      <c r="I406" t="n">
        <v>0</v>
      </c>
      <c r="J406" t="n">
        <v>0</v>
      </c>
      <c r="K406" t="n">
        <v>0</v>
      </c>
      <c r="L406" t="n">
        <v>0</v>
      </c>
      <c r="M406" t="n">
        <v>0</v>
      </c>
      <c r="N406" t="n">
        <v>0</v>
      </c>
      <c r="O406" t="n">
        <v>0</v>
      </c>
      <c r="P406" t="n">
        <v>0</v>
      </c>
      <c r="Q406" t="n">
        <v>0</v>
      </c>
      <c r="R406" s="2" t="inlineStr"/>
    </row>
    <row r="407" ht="15" customHeight="1">
      <c r="A407" t="inlineStr">
        <is>
          <t>A 15658-2023</t>
        </is>
      </c>
      <c r="B407" s="1" t="n">
        <v>45021.41194444444</v>
      </c>
      <c r="C407" s="1" t="n">
        <v>46022</v>
      </c>
      <c r="D407" t="inlineStr">
        <is>
          <t>ÖSTERGÖTLANDS LÄN</t>
        </is>
      </c>
      <c r="E407" t="inlineStr">
        <is>
          <t>LINKÖPING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35747-2025</t>
        </is>
      </c>
      <c r="B408" s="1" t="n">
        <v>45860.56385416666</v>
      </c>
      <c r="C408" s="1" t="n">
        <v>46022</v>
      </c>
      <c r="D408" t="inlineStr">
        <is>
          <t>ÖSTERGÖTLANDS LÄN</t>
        </is>
      </c>
      <c r="E408" t="inlineStr">
        <is>
          <t>LINKÖPING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35759-2025</t>
        </is>
      </c>
      <c r="B409" s="1" t="n">
        <v>45860</v>
      </c>
      <c r="C409" s="1" t="n">
        <v>46022</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38886-2024</t>
        </is>
      </c>
      <c r="B410" s="1" t="n">
        <v>45547.66443287037</v>
      </c>
      <c r="C410" s="1" t="n">
        <v>46022</v>
      </c>
      <c r="D410" t="inlineStr">
        <is>
          <t>ÖSTERGÖTLANDS LÄN</t>
        </is>
      </c>
      <c r="E410" t="inlineStr">
        <is>
          <t>LINKÖPING</t>
        </is>
      </c>
      <c r="G410" t="n">
        <v>5.3</v>
      </c>
      <c r="H410" t="n">
        <v>0</v>
      </c>
      <c r="I410" t="n">
        <v>0</v>
      </c>
      <c r="J410" t="n">
        <v>0</v>
      </c>
      <c r="K410" t="n">
        <v>0</v>
      </c>
      <c r="L410" t="n">
        <v>0</v>
      </c>
      <c r="M410" t="n">
        <v>0</v>
      </c>
      <c r="N410" t="n">
        <v>0</v>
      </c>
      <c r="O410" t="n">
        <v>0</v>
      </c>
      <c r="P410" t="n">
        <v>0</v>
      </c>
      <c r="Q410" t="n">
        <v>0</v>
      </c>
      <c r="R410" s="2" t="inlineStr"/>
    </row>
    <row r="411" ht="15" customHeight="1">
      <c r="A411" t="inlineStr">
        <is>
          <t>A 51583-2024</t>
        </is>
      </c>
      <c r="B411" s="1" t="n">
        <v>45604.6397337963</v>
      </c>
      <c r="C411" s="1" t="n">
        <v>46022</v>
      </c>
      <c r="D411" t="inlineStr">
        <is>
          <t>ÖSTERGÖTLANDS LÄN</t>
        </is>
      </c>
      <c r="E411" t="inlineStr">
        <is>
          <t>LINKÖPING</t>
        </is>
      </c>
      <c r="F411" t="inlineStr">
        <is>
          <t>Övriga Aktiebolag</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51802-2025</t>
        </is>
      </c>
      <c r="B412" s="1" t="n">
        <v>45950</v>
      </c>
      <c r="C412" s="1" t="n">
        <v>46022</v>
      </c>
      <c r="D412" t="inlineStr">
        <is>
          <t>ÖSTERGÖTLANDS LÄN</t>
        </is>
      </c>
      <c r="E412" t="inlineStr">
        <is>
          <t>LINKÖPING</t>
        </is>
      </c>
      <c r="F412" t="inlineStr">
        <is>
          <t>Övriga Aktiebolag</t>
        </is>
      </c>
      <c r="G412" t="n">
        <v>2</v>
      </c>
      <c r="H412" t="n">
        <v>0</v>
      </c>
      <c r="I412" t="n">
        <v>0</v>
      </c>
      <c r="J412" t="n">
        <v>0</v>
      </c>
      <c r="K412" t="n">
        <v>0</v>
      </c>
      <c r="L412" t="n">
        <v>0</v>
      </c>
      <c r="M412" t="n">
        <v>0</v>
      </c>
      <c r="N412" t="n">
        <v>0</v>
      </c>
      <c r="O412" t="n">
        <v>0</v>
      </c>
      <c r="P412" t="n">
        <v>0</v>
      </c>
      <c r="Q412" t="n">
        <v>0</v>
      </c>
      <c r="R412" s="2" t="inlineStr"/>
    </row>
    <row r="413" ht="15" customHeight="1">
      <c r="A413" t="inlineStr">
        <is>
          <t>A 64694-2023</t>
        </is>
      </c>
      <c r="B413" s="1" t="n">
        <v>45281</v>
      </c>
      <c r="C413" s="1" t="n">
        <v>46022</v>
      </c>
      <c r="D413" t="inlineStr">
        <is>
          <t>ÖSTERGÖTLANDS LÄN</t>
        </is>
      </c>
      <c r="E413" t="inlineStr">
        <is>
          <t>LINKÖPING</t>
        </is>
      </c>
      <c r="F413" t="inlineStr">
        <is>
          <t>Övriga statliga verk och myndigheter</t>
        </is>
      </c>
      <c r="G413" t="n">
        <v>4.9</v>
      </c>
      <c r="H413" t="n">
        <v>0</v>
      </c>
      <c r="I413" t="n">
        <v>0</v>
      </c>
      <c r="J413" t="n">
        <v>0</v>
      </c>
      <c r="K413" t="n">
        <v>0</v>
      </c>
      <c r="L413" t="n">
        <v>0</v>
      </c>
      <c r="M413" t="n">
        <v>0</v>
      </c>
      <c r="N413" t="n">
        <v>0</v>
      </c>
      <c r="O413" t="n">
        <v>0</v>
      </c>
      <c r="P413" t="n">
        <v>0</v>
      </c>
      <c r="Q413" t="n">
        <v>0</v>
      </c>
      <c r="R413" s="2" t="inlineStr"/>
    </row>
    <row r="414" ht="15" customHeight="1">
      <c r="A414" t="inlineStr">
        <is>
          <t>A 32602-2022</t>
        </is>
      </c>
      <c r="B414" s="1" t="n">
        <v>44783.43192129629</v>
      </c>
      <c r="C414" s="1" t="n">
        <v>46022</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62321-2022</t>
        </is>
      </c>
      <c r="B415" s="1" t="n">
        <v>44916</v>
      </c>
      <c r="C415" s="1" t="n">
        <v>46022</v>
      </c>
      <c r="D415" t="inlineStr">
        <is>
          <t>ÖSTERGÖTLANDS LÄN</t>
        </is>
      </c>
      <c r="E415" t="inlineStr">
        <is>
          <t>LINKÖPING</t>
        </is>
      </c>
      <c r="F415" t="inlineStr">
        <is>
          <t>Kommuner</t>
        </is>
      </c>
      <c r="G415" t="n">
        <v>5.3</v>
      </c>
      <c r="H415" t="n">
        <v>0</v>
      </c>
      <c r="I415" t="n">
        <v>0</v>
      </c>
      <c r="J415" t="n">
        <v>0</v>
      </c>
      <c r="K415" t="n">
        <v>0</v>
      </c>
      <c r="L415" t="n">
        <v>0</v>
      </c>
      <c r="M415" t="n">
        <v>0</v>
      </c>
      <c r="N415" t="n">
        <v>0</v>
      </c>
      <c r="O415" t="n">
        <v>0</v>
      </c>
      <c r="P415" t="n">
        <v>0</v>
      </c>
      <c r="Q415" t="n">
        <v>0</v>
      </c>
      <c r="R415" s="2" t="inlineStr"/>
    </row>
    <row r="416" ht="15" customHeight="1">
      <c r="A416" t="inlineStr">
        <is>
          <t>A 1084-2023</t>
        </is>
      </c>
      <c r="B416" s="1" t="n">
        <v>44929</v>
      </c>
      <c r="C416" s="1" t="n">
        <v>46022</v>
      </c>
      <c r="D416" t="inlineStr">
        <is>
          <t>ÖSTERGÖTLANDS LÄN</t>
        </is>
      </c>
      <c r="E416" t="inlineStr">
        <is>
          <t>LINKÖPING</t>
        </is>
      </c>
      <c r="G416" t="n">
        <v>10.4</v>
      </c>
      <c r="H416" t="n">
        <v>0</v>
      </c>
      <c r="I416" t="n">
        <v>0</v>
      </c>
      <c r="J416" t="n">
        <v>0</v>
      </c>
      <c r="K416" t="n">
        <v>0</v>
      </c>
      <c r="L416" t="n">
        <v>0</v>
      </c>
      <c r="M416" t="n">
        <v>0</v>
      </c>
      <c r="N416" t="n">
        <v>0</v>
      </c>
      <c r="O416" t="n">
        <v>0</v>
      </c>
      <c r="P416" t="n">
        <v>0</v>
      </c>
      <c r="Q416" t="n">
        <v>0</v>
      </c>
      <c r="R416" s="2" t="inlineStr"/>
    </row>
    <row r="417" ht="15" customHeight="1">
      <c r="A417" t="inlineStr">
        <is>
          <t>A 267-2023</t>
        </is>
      </c>
      <c r="B417" s="1" t="n">
        <v>44928.80907407407</v>
      </c>
      <c r="C417" s="1" t="n">
        <v>46022</v>
      </c>
      <c r="D417" t="inlineStr">
        <is>
          <t>ÖSTERGÖTLANDS LÄN</t>
        </is>
      </c>
      <c r="E417" t="inlineStr">
        <is>
          <t>LINKÖPING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940-2023</t>
        </is>
      </c>
      <c r="B418" s="1" t="n">
        <v>44933</v>
      </c>
      <c r="C418" s="1" t="n">
        <v>46022</v>
      </c>
      <c r="D418" t="inlineStr">
        <is>
          <t>ÖSTERGÖTLANDS LÄN</t>
        </is>
      </c>
      <c r="E418" t="inlineStr">
        <is>
          <t>LINKÖPING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6369-2023</t>
        </is>
      </c>
      <c r="B419" s="1" t="n">
        <v>44965.61106481482</v>
      </c>
      <c r="C419" s="1" t="n">
        <v>46022</v>
      </c>
      <c r="D419" t="inlineStr">
        <is>
          <t>ÖSTERGÖTLANDS LÄN</t>
        </is>
      </c>
      <c r="E419" t="inlineStr">
        <is>
          <t>LINKÖPING</t>
        </is>
      </c>
      <c r="G419" t="n">
        <v>4</v>
      </c>
      <c r="H419" t="n">
        <v>0</v>
      </c>
      <c r="I419" t="n">
        <v>0</v>
      </c>
      <c r="J419" t="n">
        <v>0</v>
      </c>
      <c r="K419" t="n">
        <v>0</v>
      </c>
      <c r="L419" t="n">
        <v>0</v>
      </c>
      <c r="M419" t="n">
        <v>0</v>
      </c>
      <c r="N419" t="n">
        <v>0</v>
      </c>
      <c r="O419" t="n">
        <v>0</v>
      </c>
      <c r="P419" t="n">
        <v>0</v>
      </c>
      <c r="Q419" t="n">
        <v>0</v>
      </c>
      <c r="R419" s="2" t="inlineStr"/>
    </row>
    <row r="420" ht="15" customHeight="1">
      <c r="A420" t="inlineStr">
        <is>
          <t>A 30980-2022</t>
        </is>
      </c>
      <c r="B420" s="1" t="n">
        <v>44768</v>
      </c>
      <c r="C420" s="1" t="n">
        <v>46022</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60007-2022</t>
        </is>
      </c>
      <c r="B421" s="1" t="n">
        <v>44909.47282407407</v>
      </c>
      <c r="C421" s="1" t="n">
        <v>46022</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50799-2022</t>
        </is>
      </c>
      <c r="B422" s="1" t="n">
        <v>44862</v>
      </c>
      <c r="C422" s="1" t="n">
        <v>46022</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10253-2022</t>
        </is>
      </c>
      <c r="B423" s="1" t="n">
        <v>44622</v>
      </c>
      <c r="C423" s="1" t="n">
        <v>46022</v>
      </c>
      <c r="D423" t="inlineStr">
        <is>
          <t>ÖSTERGÖTLANDS LÄN</t>
        </is>
      </c>
      <c r="E423" t="inlineStr">
        <is>
          <t>LINKÖPING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56064-2022</t>
        </is>
      </c>
      <c r="B424" s="1" t="n">
        <v>44889.59107638889</v>
      </c>
      <c r="C424" s="1" t="n">
        <v>46022</v>
      </c>
      <c r="D424" t="inlineStr">
        <is>
          <t>ÖSTERGÖTLANDS LÄN</t>
        </is>
      </c>
      <c r="E424" t="inlineStr">
        <is>
          <t>LINKÖPING</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47703-2023</t>
        </is>
      </c>
      <c r="B425" s="1" t="n">
        <v>45203</v>
      </c>
      <c r="C425" s="1" t="n">
        <v>46022</v>
      </c>
      <c r="D425" t="inlineStr">
        <is>
          <t>ÖSTERGÖTLANDS LÄN</t>
        </is>
      </c>
      <c r="E425" t="inlineStr">
        <is>
          <t>LINKÖPING</t>
        </is>
      </c>
      <c r="G425" t="n">
        <v>4.1</v>
      </c>
      <c r="H425" t="n">
        <v>0</v>
      </c>
      <c r="I425" t="n">
        <v>0</v>
      </c>
      <c r="J425" t="n">
        <v>0</v>
      </c>
      <c r="K425" t="n">
        <v>0</v>
      </c>
      <c r="L425" t="n">
        <v>0</v>
      </c>
      <c r="M425" t="n">
        <v>0</v>
      </c>
      <c r="N425" t="n">
        <v>0</v>
      </c>
      <c r="O425" t="n">
        <v>0</v>
      </c>
      <c r="P425" t="n">
        <v>0</v>
      </c>
      <c r="Q425" t="n">
        <v>0</v>
      </c>
      <c r="R425" s="2" t="inlineStr"/>
    </row>
    <row r="426" ht="15" customHeight="1">
      <c r="A426" t="inlineStr">
        <is>
          <t>A 16111-2022</t>
        </is>
      </c>
      <c r="B426" s="1" t="n">
        <v>44665</v>
      </c>
      <c r="C426" s="1" t="n">
        <v>46022</v>
      </c>
      <c r="D426" t="inlineStr">
        <is>
          <t>ÖSTERGÖTLANDS LÄN</t>
        </is>
      </c>
      <c r="E426" t="inlineStr">
        <is>
          <t>LINKÖPING</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37057-2025</t>
        </is>
      </c>
      <c r="B427" s="1" t="n">
        <v>45875.37489583333</v>
      </c>
      <c r="C427" s="1" t="n">
        <v>46022</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48962-2022</t>
        </is>
      </c>
      <c r="B428" s="1" t="n">
        <v>44860.31635416667</v>
      </c>
      <c r="C428" s="1" t="n">
        <v>46022</v>
      </c>
      <c r="D428" t="inlineStr">
        <is>
          <t>ÖSTERGÖTLANDS LÄN</t>
        </is>
      </c>
      <c r="E428" t="inlineStr">
        <is>
          <t>LINKÖPING</t>
        </is>
      </c>
      <c r="G428" t="n">
        <v>2.9</v>
      </c>
      <c r="H428" t="n">
        <v>0</v>
      </c>
      <c r="I428" t="n">
        <v>0</v>
      </c>
      <c r="J428" t="n">
        <v>0</v>
      </c>
      <c r="K428" t="n">
        <v>0</v>
      </c>
      <c r="L428" t="n">
        <v>0</v>
      </c>
      <c r="M428" t="n">
        <v>0</v>
      </c>
      <c r="N428" t="n">
        <v>0</v>
      </c>
      <c r="O428" t="n">
        <v>0</v>
      </c>
      <c r="P428" t="n">
        <v>0</v>
      </c>
      <c r="Q428" t="n">
        <v>0</v>
      </c>
      <c r="R428" s="2" t="inlineStr"/>
    </row>
    <row r="429" ht="15" customHeight="1">
      <c r="A429" t="inlineStr">
        <is>
          <t>A 27891-2021</t>
        </is>
      </c>
      <c r="B429" s="1" t="n">
        <v>44354.65108796296</v>
      </c>
      <c r="C429" s="1" t="n">
        <v>46022</v>
      </c>
      <c r="D429" t="inlineStr">
        <is>
          <t>ÖSTERGÖTLANDS LÄN</t>
        </is>
      </c>
      <c r="E429" t="inlineStr">
        <is>
          <t>LINKÖPING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1268-2023</t>
        </is>
      </c>
      <c r="B430" s="1" t="n">
        <v>44936</v>
      </c>
      <c r="C430" s="1" t="n">
        <v>46022</v>
      </c>
      <c r="D430" t="inlineStr">
        <is>
          <t>ÖSTERGÖTLANDS LÄN</t>
        </is>
      </c>
      <c r="E430" t="inlineStr">
        <is>
          <t>LINKÖPING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62687-2023</t>
        </is>
      </c>
      <c r="B431" s="1" t="n">
        <v>45271</v>
      </c>
      <c r="C431" s="1" t="n">
        <v>46022</v>
      </c>
      <c r="D431" t="inlineStr">
        <is>
          <t>ÖSTERGÖTLANDS LÄN</t>
        </is>
      </c>
      <c r="E431" t="inlineStr">
        <is>
          <t>LINKÖPING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34641-2022</t>
        </is>
      </c>
      <c r="B432" s="1" t="n">
        <v>44795</v>
      </c>
      <c r="C432" s="1" t="n">
        <v>46022</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60284-2025</t>
        </is>
      </c>
      <c r="B433" s="1" t="n">
        <v>45994.64373842593</v>
      </c>
      <c r="C433" s="1" t="n">
        <v>46022</v>
      </c>
      <c r="D433" t="inlineStr">
        <is>
          <t>ÖSTERGÖTLANDS LÄN</t>
        </is>
      </c>
      <c r="E433" t="inlineStr">
        <is>
          <t>LINKÖPING</t>
        </is>
      </c>
      <c r="G433" t="n">
        <v>3.5</v>
      </c>
      <c r="H433" t="n">
        <v>0</v>
      </c>
      <c r="I433" t="n">
        <v>0</v>
      </c>
      <c r="J433" t="n">
        <v>0</v>
      </c>
      <c r="K433" t="n">
        <v>0</v>
      </c>
      <c r="L433" t="n">
        <v>0</v>
      </c>
      <c r="M433" t="n">
        <v>0</v>
      </c>
      <c r="N433" t="n">
        <v>0</v>
      </c>
      <c r="O433" t="n">
        <v>0</v>
      </c>
      <c r="P433" t="n">
        <v>0</v>
      </c>
      <c r="Q433" t="n">
        <v>0</v>
      </c>
      <c r="R433" s="2" t="inlineStr"/>
    </row>
    <row r="434" ht="15" customHeight="1">
      <c r="A434" t="inlineStr">
        <is>
          <t>A 60306-2025</t>
        </is>
      </c>
      <c r="B434" s="1" t="n">
        <v>45994.68326388889</v>
      </c>
      <c r="C434" s="1" t="n">
        <v>46022</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60087-2025</t>
        </is>
      </c>
      <c r="B435" s="1" t="n">
        <v>45993.71726851852</v>
      </c>
      <c r="C435" s="1" t="n">
        <v>46022</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938-2023</t>
        </is>
      </c>
      <c r="B436" s="1" t="n">
        <v>44933</v>
      </c>
      <c r="C436" s="1" t="n">
        <v>46022</v>
      </c>
      <c r="D436" t="inlineStr">
        <is>
          <t>ÖSTERGÖTLANDS LÄN</t>
        </is>
      </c>
      <c r="E436" t="inlineStr">
        <is>
          <t>LINKÖPING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2389-2023</t>
        </is>
      </c>
      <c r="B437" s="1" t="n">
        <v>44942</v>
      </c>
      <c r="C437" s="1" t="n">
        <v>46022</v>
      </c>
      <c r="D437" t="inlineStr">
        <is>
          <t>ÖSTERGÖTLANDS LÄN</t>
        </is>
      </c>
      <c r="E437" t="inlineStr">
        <is>
          <t>LINKÖPING</t>
        </is>
      </c>
      <c r="G437" t="n">
        <v>3.3</v>
      </c>
      <c r="H437" t="n">
        <v>0</v>
      </c>
      <c r="I437" t="n">
        <v>0</v>
      </c>
      <c r="J437" t="n">
        <v>0</v>
      </c>
      <c r="K437" t="n">
        <v>0</v>
      </c>
      <c r="L437" t="n">
        <v>0</v>
      </c>
      <c r="M437" t="n">
        <v>0</v>
      </c>
      <c r="N437" t="n">
        <v>0</v>
      </c>
      <c r="O437" t="n">
        <v>0</v>
      </c>
      <c r="P437" t="n">
        <v>0</v>
      </c>
      <c r="Q437" t="n">
        <v>0</v>
      </c>
      <c r="R437" s="2" t="inlineStr"/>
    </row>
    <row r="438" ht="15" customHeight="1">
      <c r="A438" t="inlineStr">
        <is>
          <t>A 48-2024</t>
        </is>
      </c>
      <c r="B438" s="1" t="n">
        <v>45293</v>
      </c>
      <c r="C438" s="1" t="n">
        <v>46022</v>
      </c>
      <c r="D438" t="inlineStr">
        <is>
          <t>ÖSTERGÖTLANDS LÄN</t>
        </is>
      </c>
      <c r="E438" t="inlineStr">
        <is>
          <t>LINKÖPING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45771-2023</t>
        </is>
      </c>
      <c r="B439" s="1" t="n">
        <v>45195.4384375</v>
      </c>
      <c r="C439" s="1" t="n">
        <v>46022</v>
      </c>
      <c r="D439" t="inlineStr">
        <is>
          <t>ÖSTERGÖTLANDS LÄN</t>
        </is>
      </c>
      <c r="E439" t="inlineStr">
        <is>
          <t>LINKÖPING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52111-2025</t>
        </is>
      </c>
      <c r="B440" s="1" t="n">
        <v>45952.69527777778</v>
      </c>
      <c r="C440" s="1" t="n">
        <v>46022</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30547-2023</t>
        </is>
      </c>
      <c r="B441" s="1" t="n">
        <v>45111.75905092592</v>
      </c>
      <c r="C441" s="1" t="n">
        <v>46022</v>
      </c>
      <c r="D441" t="inlineStr">
        <is>
          <t>ÖSTERGÖTLANDS LÄN</t>
        </is>
      </c>
      <c r="E441" t="inlineStr">
        <is>
          <t>LINKÖPING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40502-2024</t>
        </is>
      </c>
      <c r="B442" s="1" t="n">
        <v>45555.57263888889</v>
      </c>
      <c r="C442" s="1" t="n">
        <v>46022</v>
      </c>
      <c r="D442" t="inlineStr">
        <is>
          <t>ÖSTERGÖTLANDS LÄN</t>
        </is>
      </c>
      <c r="E442" t="inlineStr">
        <is>
          <t>LINKÖPING</t>
        </is>
      </c>
      <c r="F442" t="inlineStr">
        <is>
          <t>Allmännings- och besparingsskogar</t>
        </is>
      </c>
      <c r="G442" t="n">
        <v>17.5</v>
      </c>
      <c r="H442" t="n">
        <v>0</v>
      </c>
      <c r="I442" t="n">
        <v>0</v>
      </c>
      <c r="J442" t="n">
        <v>0</v>
      </c>
      <c r="K442" t="n">
        <v>0</v>
      </c>
      <c r="L442" t="n">
        <v>0</v>
      </c>
      <c r="M442" t="n">
        <v>0</v>
      </c>
      <c r="N442" t="n">
        <v>0</v>
      </c>
      <c r="O442" t="n">
        <v>0</v>
      </c>
      <c r="P442" t="n">
        <v>0</v>
      </c>
      <c r="Q442" t="n">
        <v>0</v>
      </c>
      <c r="R442" s="2" t="inlineStr"/>
    </row>
    <row r="443" ht="15" customHeight="1">
      <c r="A443" t="inlineStr">
        <is>
          <t>A 25829-2025</t>
        </is>
      </c>
      <c r="B443" s="1" t="n">
        <v>45804.44505787037</v>
      </c>
      <c r="C443" s="1" t="n">
        <v>46022</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38046-2025</t>
        </is>
      </c>
      <c r="B444" s="1" t="n">
        <v>45882.39939814815</v>
      </c>
      <c r="C444" s="1" t="n">
        <v>46022</v>
      </c>
      <c r="D444" t="inlineStr">
        <is>
          <t>ÖSTERGÖTLANDS LÄN</t>
        </is>
      </c>
      <c r="E444" t="inlineStr">
        <is>
          <t>LINKÖPING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24464-2023</t>
        </is>
      </c>
      <c r="B445" s="1" t="n">
        <v>45082.58068287037</v>
      </c>
      <c r="C445" s="1" t="n">
        <v>46022</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24467-2023</t>
        </is>
      </c>
      <c r="B446" s="1" t="n">
        <v>45082</v>
      </c>
      <c r="C446" s="1" t="n">
        <v>46022</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48389-2024</t>
        </is>
      </c>
      <c r="B447" s="1" t="n">
        <v>45590.59991898148</v>
      </c>
      <c r="C447" s="1" t="n">
        <v>46022</v>
      </c>
      <c r="D447" t="inlineStr">
        <is>
          <t>ÖSTERGÖTLANDS LÄN</t>
        </is>
      </c>
      <c r="E447" t="inlineStr">
        <is>
          <t>LINKÖPING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56792-2023</t>
        </is>
      </c>
      <c r="B448" s="1" t="n">
        <v>45244</v>
      </c>
      <c r="C448" s="1" t="n">
        <v>46022</v>
      </c>
      <c r="D448" t="inlineStr">
        <is>
          <t>ÖSTERGÖTLANDS LÄN</t>
        </is>
      </c>
      <c r="E448" t="inlineStr">
        <is>
          <t>LINKÖPING</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39017-2021</t>
        </is>
      </c>
      <c r="B449" s="1" t="n">
        <v>44412</v>
      </c>
      <c r="C449" s="1" t="n">
        <v>46022</v>
      </c>
      <c r="D449" t="inlineStr">
        <is>
          <t>ÖSTERGÖTLANDS LÄN</t>
        </is>
      </c>
      <c r="E449" t="inlineStr">
        <is>
          <t>LINKÖPING</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52740-2025</t>
        </is>
      </c>
      <c r="B450" s="1" t="n">
        <v>45957.37747685185</v>
      </c>
      <c r="C450" s="1" t="n">
        <v>46022</v>
      </c>
      <c r="D450" t="inlineStr">
        <is>
          <t>ÖSTERGÖTLANDS LÄN</t>
        </is>
      </c>
      <c r="E450" t="inlineStr">
        <is>
          <t>LINKÖPING</t>
        </is>
      </c>
      <c r="G450" t="n">
        <v>3.7</v>
      </c>
      <c r="H450" t="n">
        <v>0</v>
      </c>
      <c r="I450" t="n">
        <v>0</v>
      </c>
      <c r="J450" t="n">
        <v>0</v>
      </c>
      <c r="K450" t="n">
        <v>0</v>
      </c>
      <c r="L450" t="n">
        <v>0</v>
      </c>
      <c r="M450" t="n">
        <v>0</v>
      </c>
      <c r="N450" t="n">
        <v>0</v>
      </c>
      <c r="O450" t="n">
        <v>0</v>
      </c>
      <c r="P450" t="n">
        <v>0</v>
      </c>
      <c r="Q450" t="n">
        <v>0</v>
      </c>
      <c r="R450" s="2" t="inlineStr"/>
    </row>
    <row r="451" ht="15" customHeight="1">
      <c r="A451" t="inlineStr">
        <is>
          <t>A 1260-2023</t>
        </is>
      </c>
      <c r="B451" s="1" t="n">
        <v>44936</v>
      </c>
      <c r="C451" s="1" t="n">
        <v>46022</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1355-2023</t>
        </is>
      </c>
      <c r="B452" s="1" t="n">
        <v>44931</v>
      </c>
      <c r="C452" s="1" t="n">
        <v>46022</v>
      </c>
      <c r="D452" t="inlineStr">
        <is>
          <t>ÖSTERGÖTLANDS LÄN</t>
        </is>
      </c>
      <c r="E452" t="inlineStr">
        <is>
          <t>LINKÖPING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61281-2021</t>
        </is>
      </c>
      <c r="B453" s="1" t="n">
        <v>44498.60736111111</v>
      </c>
      <c r="C453" s="1" t="n">
        <v>46022</v>
      </c>
      <c r="D453" t="inlineStr">
        <is>
          <t>ÖSTERGÖTLANDS LÄN</t>
        </is>
      </c>
      <c r="E453" t="inlineStr">
        <is>
          <t>LINKÖPING</t>
        </is>
      </c>
      <c r="G453" t="n">
        <v>4.5</v>
      </c>
      <c r="H453" t="n">
        <v>0</v>
      </c>
      <c r="I453" t="n">
        <v>0</v>
      </c>
      <c r="J453" t="n">
        <v>0</v>
      </c>
      <c r="K453" t="n">
        <v>0</v>
      </c>
      <c r="L453" t="n">
        <v>0</v>
      </c>
      <c r="M453" t="n">
        <v>0</v>
      </c>
      <c r="N453" t="n">
        <v>0</v>
      </c>
      <c r="O453" t="n">
        <v>0</v>
      </c>
      <c r="P453" t="n">
        <v>0</v>
      </c>
      <c r="Q453" t="n">
        <v>0</v>
      </c>
      <c r="R453" s="2" t="inlineStr"/>
    </row>
    <row r="454" ht="15" customHeight="1">
      <c r="A454" t="inlineStr">
        <is>
          <t>A 25292-2021</t>
        </is>
      </c>
      <c r="B454" s="1" t="n">
        <v>44342</v>
      </c>
      <c r="C454" s="1" t="n">
        <v>46022</v>
      </c>
      <c r="D454" t="inlineStr">
        <is>
          <t>ÖSTERGÖTLANDS LÄN</t>
        </is>
      </c>
      <c r="E454" t="inlineStr">
        <is>
          <t>LINKÖPING</t>
        </is>
      </c>
      <c r="F454" t="inlineStr">
        <is>
          <t>Övriga Aktiebolag</t>
        </is>
      </c>
      <c r="G454" t="n">
        <v>12.8</v>
      </c>
      <c r="H454" t="n">
        <v>0</v>
      </c>
      <c r="I454" t="n">
        <v>0</v>
      </c>
      <c r="J454" t="n">
        <v>0</v>
      </c>
      <c r="K454" t="n">
        <v>0</v>
      </c>
      <c r="L454" t="n">
        <v>0</v>
      </c>
      <c r="M454" t="n">
        <v>0</v>
      </c>
      <c r="N454" t="n">
        <v>0</v>
      </c>
      <c r="O454" t="n">
        <v>0</v>
      </c>
      <c r="P454" t="n">
        <v>0</v>
      </c>
      <c r="Q454" t="n">
        <v>0</v>
      </c>
      <c r="R454" s="2" t="inlineStr"/>
    </row>
    <row r="455" ht="15" customHeight="1">
      <c r="A455" t="inlineStr">
        <is>
          <t>A 63935-2021</t>
        </is>
      </c>
      <c r="B455" s="1" t="n">
        <v>44509</v>
      </c>
      <c r="C455" s="1" t="n">
        <v>46022</v>
      </c>
      <c r="D455" t="inlineStr">
        <is>
          <t>ÖSTERGÖTLANDS LÄN</t>
        </is>
      </c>
      <c r="E455" t="inlineStr">
        <is>
          <t>LINKÖPING</t>
        </is>
      </c>
      <c r="F455" t="inlineStr">
        <is>
          <t>Övriga statliga verk och myndigheter</t>
        </is>
      </c>
      <c r="G455" t="n">
        <v>2.8</v>
      </c>
      <c r="H455" t="n">
        <v>0</v>
      </c>
      <c r="I455" t="n">
        <v>0</v>
      </c>
      <c r="J455" t="n">
        <v>0</v>
      </c>
      <c r="K455" t="n">
        <v>0</v>
      </c>
      <c r="L455" t="n">
        <v>0</v>
      </c>
      <c r="M455" t="n">
        <v>0</v>
      </c>
      <c r="N455" t="n">
        <v>0</v>
      </c>
      <c r="O455" t="n">
        <v>0</v>
      </c>
      <c r="P455" t="n">
        <v>0</v>
      </c>
      <c r="Q455" t="n">
        <v>0</v>
      </c>
      <c r="R455" s="2" t="inlineStr"/>
    </row>
    <row r="456" ht="15" customHeight="1">
      <c r="A456" t="inlineStr">
        <is>
          <t>A 38971-2025</t>
        </is>
      </c>
      <c r="B456" s="1" t="n">
        <v>45887.71827546296</v>
      </c>
      <c r="C456" s="1" t="n">
        <v>46022</v>
      </c>
      <c r="D456" t="inlineStr">
        <is>
          <t>ÖSTERGÖTLANDS LÄN</t>
        </is>
      </c>
      <c r="E456" t="inlineStr">
        <is>
          <t>LINKÖPING</t>
        </is>
      </c>
      <c r="G456" t="n">
        <v>3.9</v>
      </c>
      <c r="H456" t="n">
        <v>0</v>
      </c>
      <c r="I456" t="n">
        <v>0</v>
      </c>
      <c r="J456" t="n">
        <v>0</v>
      </c>
      <c r="K456" t="n">
        <v>0</v>
      </c>
      <c r="L456" t="n">
        <v>0</v>
      </c>
      <c r="M456" t="n">
        <v>0</v>
      </c>
      <c r="N456" t="n">
        <v>0</v>
      </c>
      <c r="O456" t="n">
        <v>0</v>
      </c>
      <c r="P456" t="n">
        <v>0</v>
      </c>
      <c r="Q456" t="n">
        <v>0</v>
      </c>
      <c r="R456" s="2" t="inlineStr"/>
    </row>
    <row r="457" ht="15" customHeight="1">
      <c r="A457" t="inlineStr">
        <is>
          <t>A 3007-2025</t>
        </is>
      </c>
      <c r="B457" s="1" t="n">
        <v>45678.56328703704</v>
      </c>
      <c r="C457" s="1" t="n">
        <v>46022</v>
      </c>
      <c r="D457" t="inlineStr">
        <is>
          <t>ÖSTERGÖTLANDS LÄN</t>
        </is>
      </c>
      <c r="E457" t="inlineStr">
        <is>
          <t>LINKÖPING</t>
        </is>
      </c>
      <c r="G457" t="n">
        <v>3.1</v>
      </c>
      <c r="H457" t="n">
        <v>0</v>
      </c>
      <c r="I457" t="n">
        <v>0</v>
      </c>
      <c r="J457" t="n">
        <v>0</v>
      </c>
      <c r="K457" t="n">
        <v>0</v>
      </c>
      <c r="L457" t="n">
        <v>0</v>
      </c>
      <c r="M457" t="n">
        <v>0</v>
      </c>
      <c r="N457" t="n">
        <v>0</v>
      </c>
      <c r="O457" t="n">
        <v>0</v>
      </c>
      <c r="P457" t="n">
        <v>0</v>
      </c>
      <c r="Q457" t="n">
        <v>0</v>
      </c>
      <c r="R457" s="2" t="inlineStr"/>
    </row>
    <row r="458" ht="15" customHeight="1">
      <c r="A458" t="inlineStr">
        <is>
          <t>A 55345-2021</t>
        </is>
      </c>
      <c r="B458" s="1" t="n">
        <v>44475</v>
      </c>
      <c r="C458" s="1" t="n">
        <v>46022</v>
      </c>
      <c r="D458" t="inlineStr">
        <is>
          <t>ÖSTERGÖTLANDS LÄN</t>
        </is>
      </c>
      <c r="E458" t="inlineStr">
        <is>
          <t>LINKÖPING</t>
        </is>
      </c>
      <c r="G458" t="n">
        <v>5.7</v>
      </c>
      <c r="H458" t="n">
        <v>0</v>
      </c>
      <c r="I458" t="n">
        <v>0</v>
      </c>
      <c r="J458" t="n">
        <v>0</v>
      </c>
      <c r="K458" t="n">
        <v>0</v>
      </c>
      <c r="L458" t="n">
        <v>0</v>
      </c>
      <c r="M458" t="n">
        <v>0</v>
      </c>
      <c r="N458" t="n">
        <v>0</v>
      </c>
      <c r="O458" t="n">
        <v>0</v>
      </c>
      <c r="P458" t="n">
        <v>0</v>
      </c>
      <c r="Q458" t="n">
        <v>0</v>
      </c>
      <c r="R458" s="2" t="inlineStr"/>
    </row>
    <row r="459" ht="15" customHeight="1">
      <c r="A459" t="inlineStr">
        <is>
          <t>A 10492-2022</t>
        </is>
      </c>
      <c r="B459" s="1" t="n">
        <v>44623.6377199074</v>
      </c>
      <c r="C459" s="1" t="n">
        <v>46022</v>
      </c>
      <c r="D459" t="inlineStr">
        <is>
          <t>ÖSTERGÖTLANDS LÄN</t>
        </is>
      </c>
      <c r="E459" t="inlineStr">
        <is>
          <t>LINKÖPING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30465-2023</t>
        </is>
      </c>
      <c r="B460" s="1" t="n">
        <v>45111</v>
      </c>
      <c r="C460" s="1" t="n">
        <v>46022</v>
      </c>
      <c r="D460" t="inlineStr">
        <is>
          <t>ÖSTERGÖTLANDS LÄN</t>
        </is>
      </c>
      <c r="E460" t="inlineStr">
        <is>
          <t>LINKÖPING</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52800-2025</t>
        </is>
      </c>
      <c r="B461" s="1" t="n">
        <v>45957.44152777778</v>
      </c>
      <c r="C461" s="1" t="n">
        <v>46022</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52802-2025</t>
        </is>
      </c>
      <c r="B462" s="1" t="n">
        <v>45957.44295138889</v>
      </c>
      <c r="C462" s="1" t="n">
        <v>46022</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39021-2021</t>
        </is>
      </c>
      <c r="B463" s="1" t="n">
        <v>44412</v>
      </c>
      <c r="C463" s="1" t="n">
        <v>46022</v>
      </c>
      <c r="D463" t="inlineStr">
        <is>
          <t>ÖSTERGÖTLANDS LÄN</t>
        </is>
      </c>
      <c r="E463" t="inlineStr">
        <is>
          <t>LINKÖPING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62353-2022</t>
        </is>
      </c>
      <c r="B464" s="1" t="n">
        <v>44923</v>
      </c>
      <c r="C464" s="1" t="n">
        <v>46022</v>
      </c>
      <c r="D464" t="inlineStr">
        <is>
          <t>ÖSTERGÖTLANDS LÄN</t>
        </is>
      </c>
      <c r="E464" t="inlineStr">
        <is>
          <t>LINKÖPING</t>
        </is>
      </c>
      <c r="F464" t="inlineStr">
        <is>
          <t>Allmännings- och besparingsskogar</t>
        </is>
      </c>
      <c r="G464" t="n">
        <v>1.7</v>
      </c>
      <c r="H464" t="n">
        <v>0</v>
      </c>
      <c r="I464" t="n">
        <v>0</v>
      </c>
      <c r="J464" t="n">
        <v>0</v>
      </c>
      <c r="K464" t="n">
        <v>0</v>
      </c>
      <c r="L464" t="n">
        <v>0</v>
      </c>
      <c r="M464" t="n">
        <v>0</v>
      </c>
      <c r="N464" t="n">
        <v>0</v>
      </c>
      <c r="O464" t="n">
        <v>0</v>
      </c>
      <c r="P464" t="n">
        <v>0</v>
      </c>
      <c r="Q464" t="n">
        <v>0</v>
      </c>
      <c r="R464" s="2" t="inlineStr"/>
    </row>
    <row r="465" ht="15" customHeight="1">
      <c r="A465" t="inlineStr">
        <is>
          <t>A 30111-2024</t>
        </is>
      </c>
      <c r="B465" s="1" t="n">
        <v>45489.46947916667</v>
      </c>
      <c r="C465" s="1" t="n">
        <v>46022</v>
      </c>
      <c r="D465" t="inlineStr">
        <is>
          <t>ÖSTERGÖTLANDS LÄN</t>
        </is>
      </c>
      <c r="E465" t="inlineStr">
        <is>
          <t>LINKÖPING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30119-2024</t>
        </is>
      </c>
      <c r="B466" s="1" t="n">
        <v>45489</v>
      </c>
      <c r="C466" s="1" t="n">
        <v>46022</v>
      </c>
      <c r="D466" t="inlineStr">
        <is>
          <t>ÖSTERGÖTLANDS LÄN</t>
        </is>
      </c>
      <c r="E466" t="inlineStr">
        <is>
          <t>LINKÖPING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29411-2023</t>
        </is>
      </c>
      <c r="B467" s="1" t="n">
        <v>45106.46225694445</v>
      </c>
      <c r="C467" s="1" t="n">
        <v>46022</v>
      </c>
      <c r="D467" t="inlineStr">
        <is>
          <t>ÖSTERGÖTLANDS LÄN</t>
        </is>
      </c>
      <c r="E467" t="inlineStr">
        <is>
          <t>LINKÖPING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29412-2023</t>
        </is>
      </c>
      <c r="B468" s="1" t="n">
        <v>45106.46359953703</v>
      </c>
      <c r="C468" s="1" t="n">
        <v>46022</v>
      </c>
      <c r="D468" t="inlineStr">
        <is>
          <t>ÖSTERGÖTLANDS LÄN</t>
        </is>
      </c>
      <c r="E468" t="inlineStr">
        <is>
          <t>LINKÖPING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52743-2025</t>
        </is>
      </c>
      <c r="B469" s="1" t="n">
        <v>45957.38039351852</v>
      </c>
      <c r="C469" s="1" t="n">
        <v>46022</v>
      </c>
      <c r="D469" t="inlineStr">
        <is>
          <t>ÖSTERGÖTLANDS LÄN</t>
        </is>
      </c>
      <c r="E469" t="inlineStr">
        <is>
          <t>LINKÖPING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52807-2025</t>
        </is>
      </c>
      <c r="B470" s="1" t="n">
        <v>45957.44837962963</v>
      </c>
      <c r="C470" s="1" t="n">
        <v>46022</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60703-2025</t>
        </is>
      </c>
      <c r="B471" s="1" t="n">
        <v>45996.6052662037</v>
      </c>
      <c r="C471" s="1" t="n">
        <v>46022</v>
      </c>
      <c r="D471" t="inlineStr">
        <is>
          <t>ÖSTERGÖTLANDS LÄN</t>
        </is>
      </c>
      <c r="E471" t="inlineStr">
        <is>
          <t>LINKÖPING</t>
        </is>
      </c>
      <c r="F471" t="inlineStr">
        <is>
          <t>Övriga Aktiebolag</t>
        </is>
      </c>
      <c r="G471" t="n">
        <v>1.3</v>
      </c>
      <c r="H471" t="n">
        <v>0</v>
      </c>
      <c r="I471" t="n">
        <v>0</v>
      </c>
      <c r="J471" t="n">
        <v>0</v>
      </c>
      <c r="K471" t="n">
        <v>0</v>
      </c>
      <c r="L471" t="n">
        <v>0</v>
      </c>
      <c r="M471" t="n">
        <v>0</v>
      </c>
      <c r="N471" t="n">
        <v>0</v>
      </c>
      <c r="O471" t="n">
        <v>0</v>
      </c>
      <c r="P471" t="n">
        <v>0</v>
      </c>
      <c r="Q471" t="n">
        <v>0</v>
      </c>
      <c r="R471" s="2" t="inlineStr"/>
    </row>
    <row r="472" ht="15" customHeight="1">
      <c r="A472" t="inlineStr">
        <is>
          <t>A 31792-2021</t>
        </is>
      </c>
      <c r="B472" s="1" t="n">
        <v>44369</v>
      </c>
      <c r="C472" s="1" t="n">
        <v>46022</v>
      </c>
      <c r="D472" t="inlineStr">
        <is>
          <t>ÖSTERGÖTLANDS LÄN</t>
        </is>
      </c>
      <c r="E472" t="inlineStr">
        <is>
          <t>LINKÖPING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421-2024</t>
        </is>
      </c>
      <c r="B473" s="1" t="n">
        <v>45296.51877314815</v>
      </c>
      <c r="C473" s="1" t="n">
        <v>46022</v>
      </c>
      <c r="D473" t="inlineStr">
        <is>
          <t>ÖSTERGÖTLANDS LÄN</t>
        </is>
      </c>
      <c r="E473" t="inlineStr">
        <is>
          <t>LINKÖPING</t>
        </is>
      </c>
      <c r="G473" t="n">
        <v>3.7</v>
      </c>
      <c r="H473" t="n">
        <v>0</v>
      </c>
      <c r="I473" t="n">
        <v>0</v>
      </c>
      <c r="J473" t="n">
        <v>0</v>
      </c>
      <c r="K473" t="n">
        <v>0</v>
      </c>
      <c r="L473" t="n">
        <v>0</v>
      </c>
      <c r="M473" t="n">
        <v>0</v>
      </c>
      <c r="N473" t="n">
        <v>0</v>
      </c>
      <c r="O473" t="n">
        <v>0</v>
      </c>
      <c r="P473" t="n">
        <v>0</v>
      </c>
      <c r="Q473" t="n">
        <v>0</v>
      </c>
      <c r="R473" s="2" t="inlineStr"/>
    </row>
    <row r="474" ht="15" customHeight="1">
      <c r="A474" t="inlineStr">
        <is>
          <t>A 22043-2023</t>
        </is>
      </c>
      <c r="B474" s="1" t="n">
        <v>45069.39050925926</v>
      </c>
      <c r="C474" s="1" t="n">
        <v>46022</v>
      </c>
      <c r="D474" t="inlineStr">
        <is>
          <t>ÖSTERGÖTLANDS LÄN</t>
        </is>
      </c>
      <c r="E474" t="inlineStr">
        <is>
          <t>LINKÖPING</t>
        </is>
      </c>
      <c r="G474" t="n">
        <v>5.9</v>
      </c>
      <c r="H474" t="n">
        <v>0</v>
      </c>
      <c r="I474" t="n">
        <v>0</v>
      </c>
      <c r="J474" t="n">
        <v>0</v>
      </c>
      <c r="K474" t="n">
        <v>0</v>
      </c>
      <c r="L474" t="n">
        <v>0</v>
      </c>
      <c r="M474" t="n">
        <v>0</v>
      </c>
      <c r="N474" t="n">
        <v>0</v>
      </c>
      <c r="O474" t="n">
        <v>0</v>
      </c>
      <c r="P474" t="n">
        <v>0</v>
      </c>
      <c r="Q474" t="n">
        <v>0</v>
      </c>
      <c r="R474" s="2" t="inlineStr"/>
    </row>
    <row r="475" ht="15" customHeight="1">
      <c r="A475" t="inlineStr">
        <is>
          <t>A 61532-2021</t>
        </is>
      </c>
      <c r="B475" s="1" t="n">
        <v>44501</v>
      </c>
      <c r="C475" s="1" t="n">
        <v>46022</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14028-2024</t>
        </is>
      </c>
      <c r="B476" s="1" t="n">
        <v>45392</v>
      </c>
      <c r="C476" s="1" t="n">
        <v>46022</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40431-2024</t>
        </is>
      </c>
      <c r="B477" s="1" t="n">
        <v>45555.47070601852</v>
      </c>
      <c r="C477" s="1" t="n">
        <v>46022</v>
      </c>
      <c r="D477" t="inlineStr">
        <is>
          <t>ÖSTERGÖTLANDS LÄN</t>
        </is>
      </c>
      <c r="E477" t="inlineStr">
        <is>
          <t>LINKÖPING</t>
        </is>
      </c>
      <c r="F477" t="inlineStr">
        <is>
          <t>Allmännings- och besparingsskogar</t>
        </is>
      </c>
      <c r="G477" t="n">
        <v>2.9</v>
      </c>
      <c r="H477" t="n">
        <v>0</v>
      </c>
      <c r="I477" t="n">
        <v>0</v>
      </c>
      <c r="J477" t="n">
        <v>0</v>
      </c>
      <c r="K477" t="n">
        <v>0</v>
      </c>
      <c r="L477" t="n">
        <v>0</v>
      </c>
      <c r="M477" t="n">
        <v>0</v>
      </c>
      <c r="N477" t="n">
        <v>0</v>
      </c>
      <c r="O477" t="n">
        <v>0</v>
      </c>
      <c r="P477" t="n">
        <v>0</v>
      </c>
      <c r="Q477" t="n">
        <v>0</v>
      </c>
      <c r="R477" s="2" t="inlineStr"/>
    </row>
    <row r="478" ht="15" customHeight="1">
      <c r="A478" t="inlineStr">
        <is>
          <t>A 61447-2025</t>
        </is>
      </c>
      <c r="B478" s="1" t="n">
        <v>46001.57554398148</v>
      </c>
      <c r="C478" s="1" t="n">
        <v>46022</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60860-2024</t>
        </is>
      </c>
      <c r="B479" s="1" t="n">
        <v>45644.6893287037</v>
      </c>
      <c r="C479" s="1" t="n">
        <v>46022</v>
      </c>
      <c r="D479" t="inlineStr">
        <is>
          <t>ÖSTERGÖTLANDS LÄN</t>
        </is>
      </c>
      <c r="E479" t="inlineStr">
        <is>
          <t>LINKÖPING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2697-2023</t>
        </is>
      </c>
      <c r="B480" s="1" t="n">
        <v>44944</v>
      </c>
      <c r="C480" s="1" t="n">
        <v>46022</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45806-2024</t>
        </is>
      </c>
      <c r="B481" s="1" t="n">
        <v>45579.69619212963</v>
      </c>
      <c r="C481" s="1" t="n">
        <v>46022</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56756-2023</t>
        </is>
      </c>
      <c r="B482" s="1" t="n">
        <v>45244</v>
      </c>
      <c r="C482" s="1" t="n">
        <v>46022</v>
      </c>
      <c r="D482" t="inlineStr">
        <is>
          <t>ÖSTERGÖTLANDS LÄN</t>
        </is>
      </c>
      <c r="E482" t="inlineStr">
        <is>
          <t>LINKÖPING</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60985-2023</t>
        </is>
      </c>
      <c r="B483" s="1" t="n">
        <v>45261.48429398148</v>
      </c>
      <c r="C483" s="1" t="n">
        <v>46022</v>
      </c>
      <c r="D483" t="inlineStr">
        <is>
          <t>ÖSTERGÖTLANDS LÄN</t>
        </is>
      </c>
      <c r="E483" t="inlineStr">
        <is>
          <t>LINKÖPING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24904-2024</t>
        </is>
      </c>
      <c r="B484" s="1" t="n">
        <v>45461</v>
      </c>
      <c r="C484" s="1" t="n">
        <v>46022</v>
      </c>
      <c r="D484" t="inlineStr">
        <is>
          <t>ÖSTERGÖTLANDS LÄN</t>
        </is>
      </c>
      <c r="E484" t="inlineStr">
        <is>
          <t>LINKÖPING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55009-2023</t>
        </is>
      </c>
      <c r="B485" s="1" t="n">
        <v>45237</v>
      </c>
      <c r="C485" s="1" t="n">
        <v>46022</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34872-2023</t>
        </is>
      </c>
      <c r="B486" s="1" t="n">
        <v>45140</v>
      </c>
      <c r="C486" s="1" t="n">
        <v>46022</v>
      </c>
      <c r="D486" t="inlineStr">
        <is>
          <t>ÖSTERGÖTLANDS LÄN</t>
        </is>
      </c>
      <c r="E486" t="inlineStr">
        <is>
          <t>LINKÖPING</t>
        </is>
      </c>
      <c r="G486" t="n">
        <v>4.8</v>
      </c>
      <c r="H486" t="n">
        <v>0</v>
      </c>
      <c r="I486" t="n">
        <v>0</v>
      </c>
      <c r="J486" t="n">
        <v>0</v>
      </c>
      <c r="K486" t="n">
        <v>0</v>
      </c>
      <c r="L486" t="n">
        <v>0</v>
      </c>
      <c r="M486" t="n">
        <v>0</v>
      </c>
      <c r="N486" t="n">
        <v>0</v>
      </c>
      <c r="O486" t="n">
        <v>0</v>
      </c>
      <c r="P486" t="n">
        <v>0</v>
      </c>
      <c r="Q486" t="n">
        <v>0</v>
      </c>
      <c r="R486" s="2" t="inlineStr"/>
    </row>
    <row r="487" ht="15" customHeight="1">
      <c r="A487" t="inlineStr">
        <is>
          <t>A 61899-2025</t>
        </is>
      </c>
      <c r="B487" s="1" t="n">
        <v>46003.46635416667</v>
      </c>
      <c r="C487" s="1" t="n">
        <v>46022</v>
      </c>
      <c r="D487" t="inlineStr">
        <is>
          <t>ÖSTERGÖTLANDS LÄN</t>
        </is>
      </c>
      <c r="E487" t="inlineStr">
        <is>
          <t>LINKÖPING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61643-2025</t>
        </is>
      </c>
      <c r="B488" s="1" t="n">
        <v>46002.43575231481</v>
      </c>
      <c r="C488" s="1" t="n">
        <v>46022</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36336-2022</t>
        </is>
      </c>
      <c r="B489" s="1" t="n">
        <v>44803</v>
      </c>
      <c r="C489" s="1" t="n">
        <v>46022</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61645-2025</t>
        </is>
      </c>
      <c r="B490" s="1" t="n">
        <v>46002.43697916667</v>
      </c>
      <c r="C490" s="1" t="n">
        <v>46022</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54332-2025</t>
        </is>
      </c>
      <c r="B491" s="1" t="n">
        <v>45965.34915509259</v>
      </c>
      <c r="C491" s="1" t="n">
        <v>46022</v>
      </c>
      <c r="D491" t="inlineStr">
        <is>
          <t>ÖSTERGÖTLANDS LÄN</t>
        </is>
      </c>
      <c r="E491" t="inlineStr">
        <is>
          <t>LINKÖPING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25097-2023</t>
        </is>
      </c>
      <c r="B492" s="1" t="n">
        <v>45086</v>
      </c>
      <c r="C492" s="1" t="n">
        <v>46022</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54329-2025</t>
        </is>
      </c>
      <c r="B493" s="1" t="n">
        <v>45965.34706018519</v>
      </c>
      <c r="C493" s="1" t="n">
        <v>46022</v>
      </c>
      <c r="D493" t="inlineStr">
        <is>
          <t>ÖSTERGÖTLANDS LÄN</t>
        </is>
      </c>
      <c r="E493" t="inlineStr">
        <is>
          <t>LINKÖPING</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10461-2023</t>
        </is>
      </c>
      <c r="B494" s="1" t="n">
        <v>44987.5969212963</v>
      </c>
      <c r="C494" s="1" t="n">
        <v>46022</v>
      </c>
      <c r="D494" t="inlineStr">
        <is>
          <t>ÖSTERGÖTLANDS LÄN</t>
        </is>
      </c>
      <c r="E494" t="inlineStr">
        <is>
          <t>LINKÖPING</t>
        </is>
      </c>
      <c r="G494" t="n">
        <v>7.8</v>
      </c>
      <c r="H494" t="n">
        <v>0</v>
      </c>
      <c r="I494" t="n">
        <v>0</v>
      </c>
      <c r="J494" t="n">
        <v>0</v>
      </c>
      <c r="K494" t="n">
        <v>0</v>
      </c>
      <c r="L494" t="n">
        <v>0</v>
      </c>
      <c r="M494" t="n">
        <v>0</v>
      </c>
      <c r="N494" t="n">
        <v>0</v>
      </c>
      <c r="O494" t="n">
        <v>0</v>
      </c>
      <c r="P494" t="n">
        <v>0</v>
      </c>
      <c r="Q494" t="n">
        <v>0</v>
      </c>
      <c r="R494" s="2" t="inlineStr"/>
    </row>
    <row r="495" ht="15" customHeight="1">
      <c r="A495" t="inlineStr">
        <is>
          <t>A 50386-2021</t>
        </is>
      </c>
      <c r="B495" s="1" t="n">
        <v>44459</v>
      </c>
      <c r="C495" s="1" t="n">
        <v>46022</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61230-2025</t>
        </is>
      </c>
      <c r="B496" s="1" t="n">
        <v>46000.63111111111</v>
      </c>
      <c r="C496" s="1" t="n">
        <v>46022</v>
      </c>
      <c r="D496" t="inlineStr">
        <is>
          <t>ÖSTERGÖTLANDS LÄN</t>
        </is>
      </c>
      <c r="E496" t="inlineStr">
        <is>
          <t>LINKÖPING</t>
        </is>
      </c>
      <c r="F496" t="inlineStr">
        <is>
          <t>Kyrkan</t>
        </is>
      </c>
      <c r="G496" t="n">
        <v>2.1</v>
      </c>
      <c r="H496" t="n">
        <v>0</v>
      </c>
      <c r="I496" t="n">
        <v>0</v>
      </c>
      <c r="J496" t="n">
        <v>0</v>
      </c>
      <c r="K496" t="n">
        <v>0</v>
      </c>
      <c r="L496" t="n">
        <v>0</v>
      </c>
      <c r="M496" t="n">
        <v>0</v>
      </c>
      <c r="N496" t="n">
        <v>0</v>
      </c>
      <c r="O496" t="n">
        <v>0</v>
      </c>
      <c r="P496" t="n">
        <v>0</v>
      </c>
      <c r="Q496" t="n">
        <v>0</v>
      </c>
      <c r="R496" s="2" t="inlineStr"/>
    </row>
    <row r="497" ht="15" customHeight="1">
      <c r="A497" t="inlineStr">
        <is>
          <t>A 62515-2025</t>
        </is>
      </c>
      <c r="B497" s="1" t="n">
        <v>46007.60548611111</v>
      </c>
      <c r="C497" s="1" t="n">
        <v>46022</v>
      </c>
      <c r="D497" t="inlineStr">
        <is>
          <t>ÖSTERGÖTLANDS LÄN</t>
        </is>
      </c>
      <c r="E497" t="inlineStr">
        <is>
          <t>LINKÖPING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350-2022</t>
        </is>
      </c>
      <c r="B498" s="1" t="n">
        <v>44565</v>
      </c>
      <c r="C498" s="1" t="n">
        <v>46022</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18891-2022</t>
        </is>
      </c>
      <c r="B499" s="1" t="n">
        <v>44690</v>
      </c>
      <c r="C499" s="1" t="n">
        <v>46022</v>
      </c>
      <c r="D499" t="inlineStr">
        <is>
          <t>ÖSTERGÖTLANDS LÄN</t>
        </is>
      </c>
      <c r="E499" t="inlineStr">
        <is>
          <t>LINKÖPING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30976-2022</t>
        </is>
      </c>
      <c r="B500" s="1" t="n">
        <v>44768</v>
      </c>
      <c r="C500" s="1" t="n">
        <v>46022</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54333-2025</t>
        </is>
      </c>
      <c r="B501" s="1" t="n">
        <v>45965.35090277778</v>
      </c>
      <c r="C501" s="1" t="n">
        <v>46022</v>
      </c>
      <c r="D501" t="inlineStr">
        <is>
          <t>ÖSTERGÖTLANDS LÄN</t>
        </is>
      </c>
      <c r="E501" t="inlineStr">
        <is>
          <t>LINKÖPING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55736-2022</t>
        </is>
      </c>
      <c r="B502" s="1" t="n">
        <v>44888</v>
      </c>
      <c r="C502" s="1" t="n">
        <v>46022</v>
      </c>
      <c r="D502" t="inlineStr">
        <is>
          <t>ÖSTERGÖTLANDS LÄN</t>
        </is>
      </c>
      <c r="E502" t="inlineStr">
        <is>
          <t>LINKÖPING</t>
        </is>
      </c>
      <c r="G502" t="n">
        <v>5.5</v>
      </c>
      <c r="H502" t="n">
        <v>0</v>
      </c>
      <c r="I502" t="n">
        <v>0</v>
      </c>
      <c r="J502" t="n">
        <v>0</v>
      </c>
      <c r="K502" t="n">
        <v>0</v>
      </c>
      <c r="L502" t="n">
        <v>0</v>
      </c>
      <c r="M502" t="n">
        <v>0</v>
      </c>
      <c r="N502" t="n">
        <v>0</v>
      </c>
      <c r="O502" t="n">
        <v>0</v>
      </c>
      <c r="P502" t="n">
        <v>0</v>
      </c>
      <c r="Q502" t="n">
        <v>0</v>
      </c>
      <c r="R502" s="2" t="inlineStr"/>
    </row>
    <row r="503" ht="15" customHeight="1">
      <c r="A503" t="inlineStr">
        <is>
          <t>A 62686-2025</t>
        </is>
      </c>
      <c r="B503" s="1" t="n">
        <v>46008.46769675926</v>
      </c>
      <c r="C503" s="1" t="n">
        <v>46022</v>
      </c>
      <c r="D503" t="inlineStr">
        <is>
          <t>ÖSTERGÖTLANDS LÄN</t>
        </is>
      </c>
      <c r="E503" t="inlineStr">
        <is>
          <t>LINKÖPING</t>
        </is>
      </c>
      <c r="G503" t="n">
        <v>7.6</v>
      </c>
      <c r="H503" t="n">
        <v>0</v>
      </c>
      <c r="I503" t="n">
        <v>0</v>
      </c>
      <c r="J503" t="n">
        <v>0</v>
      </c>
      <c r="K503" t="n">
        <v>0</v>
      </c>
      <c r="L503" t="n">
        <v>0</v>
      </c>
      <c r="M503" t="n">
        <v>0</v>
      </c>
      <c r="N503" t="n">
        <v>0</v>
      </c>
      <c r="O503" t="n">
        <v>0</v>
      </c>
      <c r="P503" t="n">
        <v>0</v>
      </c>
      <c r="Q503" t="n">
        <v>0</v>
      </c>
      <c r="R503" s="2" t="inlineStr"/>
    </row>
    <row r="504" ht="15" customHeight="1">
      <c r="A504" t="inlineStr">
        <is>
          <t>A 10194-2023</t>
        </is>
      </c>
      <c r="B504" s="1" t="n">
        <v>44986.52277777778</v>
      </c>
      <c r="C504" s="1" t="n">
        <v>46022</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60866-2025</t>
        </is>
      </c>
      <c r="B505" s="1" t="n">
        <v>45999</v>
      </c>
      <c r="C505" s="1" t="n">
        <v>46022</v>
      </c>
      <c r="D505" t="inlineStr">
        <is>
          <t>ÖSTERGÖTLANDS LÄN</t>
        </is>
      </c>
      <c r="E505" t="inlineStr">
        <is>
          <t>LINKÖPING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62791-2025</t>
        </is>
      </c>
      <c r="B506" s="1" t="n">
        <v>46008.63266203704</v>
      </c>
      <c r="C506" s="1" t="n">
        <v>46022</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7702-2023</t>
        </is>
      </c>
      <c r="B507" s="1" t="n">
        <v>44967</v>
      </c>
      <c r="C507" s="1" t="n">
        <v>46022</v>
      </c>
      <c r="D507" t="inlineStr">
        <is>
          <t>ÖSTERGÖTLANDS LÄN</t>
        </is>
      </c>
      <c r="E507" t="inlineStr">
        <is>
          <t>LINKÖPING</t>
        </is>
      </c>
      <c r="F507" t="inlineStr">
        <is>
          <t>Övriga statliga verk och myndigheter</t>
        </is>
      </c>
      <c r="G507" t="n">
        <v>8</v>
      </c>
      <c r="H507" t="n">
        <v>0</v>
      </c>
      <c r="I507" t="n">
        <v>0</v>
      </c>
      <c r="J507" t="n">
        <v>0</v>
      </c>
      <c r="K507" t="n">
        <v>0</v>
      </c>
      <c r="L507" t="n">
        <v>0</v>
      </c>
      <c r="M507" t="n">
        <v>0</v>
      </c>
      <c r="N507" t="n">
        <v>0</v>
      </c>
      <c r="O507" t="n">
        <v>0</v>
      </c>
      <c r="P507" t="n">
        <v>0</v>
      </c>
      <c r="Q507" t="n">
        <v>0</v>
      </c>
      <c r="R507" s="2" t="inlineStr"/>
    </row>
    <row r="508" ht="15" customHeight="1">
      <c r="A508" t="inlineStr">
        <is>
          <t>A 42000-2023</t>
        </is>
      </c>
      <c r="B508" s="1" t="n">
        <v>45177</v>
      </c>
      <c r="C508" s="1" t="n">
        <v>46022</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31534-2023</t>
        </is>
      </c>
      <c r="B509" s="1" t="n">
        <v>45116</v>
      </c>
      <c r="C509" s="1" t="n">
        <v>46022</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35427-2023</t>
        </is>
      </c>
      <c r="B510" s="1" t="n">
        <v>45146</v>
      </c>
      <c r="C510" s="1" t="n">
        <v>46022</v>
      </c>
      <c r="D510" t="inlineStr">
        <is>
          <t>ÖSTERGÖTLANDS LÄN</t>
        </is>
      </c>
      <c r="E510" t="inlineStr">
        <is>
          <t>LINKÖPING</t>
        </is>
      </c>
      <c r="F510" t="inlineStr">
        <is>
          <t>Övriga Aktiebolag</t>
        </is>
      </c>
      <c r="G510" t="n">
        <v>2.5</v>
      </c>
      <c r="H510" t="n">
        <v>0</v>
      </c>
      <c r="I510" t="n">
        <v>0</v>
      </c>
      <c r="J510" t="n">
        <v>0</v>
      </c>
      <c r="K510" t="n">
        <v>0</v>
      </c>
      <c r="L510" t="n">
        <v>0</v>
      </c>
      <c r="M510" t="n">
        <v>0</v>
      </c>
      <c r="N510" t="n">
        <v>0</v>
      </c>
      <c r="O510" t="n">
        <v>0</v>
      </c>
      <c r="P510" t="n">
        <v>0</v>
      </c>
      <c r="Q510" t="n">
        <v>0</v>
      </c>
      <c r="R510" s="2" t="inlineStr"/>
    </row>
    <row r="511" ht="15" customHeight="1">
      <c r="A511" t="inlineStr">
        <is>
          <t>A 36725-2023</t>
        </is>
      </c>
      <c r="B511" s="1" t="n">
        <v>45153.68471064815</v>
      </c>
      <c r="C511" s="1" t="n">
        <v>46022</v>
      </c>
      <c r="D511" t="inlineStr">
        <is>
          <t>ÖSTERGÖTLANDS LÄN</t>
        </is>
      </c>
      <c r="E511" t="inlineStr">
        <is>
          <t>LINKÖPING</t>
        </is>
      </c>
      <c r="F511" t="inlineStr">
        <is>
          <t>Allmännings- och besparingsskogar</t>
        </is>
      </c>
      <c r="G511" t="n">
        <v>2.6</v>
      </c>
      <c r="H511" t="n">
        <v>0</v>
      </c>
      <c r="I511" t="n">
        <v>0</v>
      </c>
      <c r="J511" t="n">
        <v>0</v>
      </c>
      <c r="K511" t="n">
        <v>0</v>
      </c>
      <c r="L511" t="n">
        <v>0</v>
      </c>
      <c r="M511" t="n">
        <v>0</v>
      </c>
      <c r="N511" t="n">
        <v>0</v>
      </c>
      <c r="O511" t="n">
        <v>0</v>
      </c>
      <c r="P511" t="n">
        <v>0</v>
      </c>
      <c r="Q511" t="n">
        <v>0</v>
      </c>
      <c r="R511" s="2" t="inlineStr"/>
    </row>
    <row r="512" ht="15" customHeight="1">
      <c r="A512" t="inlineStr">
        <is>
          <t>A 55102-2025</t>
        </is>
      </c>
      <c r="B512" s="1" t="n">
        <v>45968.35410879629</v>
      </c>
      <c r="C512" s="1" t="n">
        <v>46022</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55132-2025</t>
        </is>
      </c>
      <c r="B513" s="1" t="n">
        <v>45968.41912037037</v>
      </c>
      <c r="C513" s="1" t="n">
        <v>46022</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63147-2025</t>
        </is>
      </c>
      <c r="B514" s="1" t="n">
        <v>46010.35003472222</v>
      </c>
      <c r="C514" s="1" t="n">
        <v>46022</v>
      </c>
      <c r="D514" t="inlineStr">
        <is>
          <t>ÖSTERGÖTLANDS LÄN</t>
        </is>
      </c>
      <c r="E514" t="inlineStr">
        <is>
          <t>LINKÖPING</t>
        </is>
      </c>
      <c r="G514" t="n">
        <v>4</v>
      </c>
      <c r="H514" t="n">
        <v>0</v>
      </c>
      <c r="I514" t="n">
        <v>0</v>
      </c>
      <c r="J514" t="n">
        <v>0</v>
      </c>
      <c r="K514" t="n">
        <v>0</v>
      </c>
      <c r="L514" t="n">
        <v>0</v>
      </c>
      <c r="M514" t="n">
        <v>0</v>
      </c>
      <c r="N514" t="n">
        <v>0</v>
      </c>
      <c r="O514" t="n">
        <v>0</v>
      </c>
      <c r="P514" t="n">
        <v>0</v>
      </c>
      <c r="Q514" t="n">
        <v>0</v>
      </c>
      <c r="R514" s="2" t="inlineStr"/>
    </row>
    <row r="515" ht="15" customHeight="1">
      <c r="A515" t="inlineStr">
        <is>
          <t>A 53639-2023</t>
        </is>
      </c>
      <c r="B515" s="1" t="n">
        <v>45230.59686342593</v>
      </c>
      <c r="C515" s="1" t="n">
        <v>46022</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1657-2024</t>
        </is>
      </c>
      <c r="B516" s="1" t="n">
        <v>45306.82501157407</v>
      </c>
      <c r="C516" s="1" t="n">
        <v>46022</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55109-2025</t>
        </is>
      </c>
      <c r="B517" s="1" t="n">
        <v>45968.37731481482</v>
      </c>
      <c r="C517" s="1" t="n">
        <v>46022</v>
      </c>
      <c r="D517" t="inlineStr">
        <is>
          <t>ÖSTERGÖTLANDS LÄN</t>
        </is>
      </c>
      <c r="E517" t="inlineStr">
        <is>
          <t>LINKÖPING</t>
        </is>
      </c>
      <c r="G517" t="n">
        <v>3.2</v>
      </c>
      <c r="H517" t="n">
        <v>0</v>
      </c>
      <c r="I517" t="n">
        <v>0</v>
      </c>
      <c r="J517" t="n">
        <v>0</v>
      </c>
      <c r="K517" t="n">
        <v>0</v>
      </c>
      <c r="L517" t="n">
        <v>0</v>
      </c>
      <c r="M517" t="n">
        <v>0</v>
      </c>
      <c r="N517" t="n">
        <v>0</v>
      </c>
      <c r="O517" t="n">
        <v>0</v>
      </c>
      <c r="P517" t="n">
        <v>0</v>
      </c>
      <c r="Q517" t="n">
        <v>0</v>
      </c>
      <c r="R517" s="2" t="inlineStr"/>
    </row>
    <row r="518" ht="15" customHeight="1">
      <c r="A518" t="inlineStr">
        <is>
          <t>A 50784-2022</t>
        </is>
      </c>
      <c r="B518" s="1" t="n">
        <v>44862</v>
      </c>
      <c r="C518" s="1" t="n">
        <v>46022</v>
      </c>
      <c r="D518" t="inlineStr">
        <is>
          <t>ÖSTERGÖTLANDS LÄN</t>
        </is>
      </c>
      <c r="E518" t="inlineStr">
        <is>
          <t>LINKÖPING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26803-2024</t>
        </is>
      </c>
      <c r="B519" s="1" t="n">
        <v>45470</v>
      </c>
      <c r="C519" s="1" t="n">
        <v>46022</v>
      </c>
      <c r="D519" t="inlineStr">
        <is>
          <t>ÖSTERGÖTLANDS LÄN</t>
        </is>
      </c>
      <c r="E519" t="inlineStr">
        <is>
          <t>LINKÖPING</t>
        </is>
      </c>
      <c r="F519" t="inlineStr">
        <is>
          <t>Allmännings- och besparingsskogar</t>
        </is>
      </c>
      <c r="G519" t="n">
        <v>4.5</v>
      </c>
      <c r="H519" t="n">
        <v>0</v>
      </c>
      <c r="I519" t="n">
        <v>0</v>
      </c>
      <c r="J519" t="n">
        <v>0</v>
      </c>
      <c r="K519" t="n">
        <v>0</v>
      </c>
      <c r="L519" t="n">
        <v>0</v>
      </c>
      <c r="M519" t="n">
        <v>0</v>
      </c>
      <c r="N519" t="n">
        <v>0</v>
      </c>
      <c r="O519" t="n">
        <v>0</v>
      </c>
      <c r="P519" t="n">
        <v>0</v>
      </c>
      <c r="Q519" t="n">
        <v>0</v>
      </c>
      <c r="R519" s="2" t="inlineStr"/>
    </row>
    <row r="520" ht="15" customHeight="1">
      <c r="A520" t="inlineStr">
        <is>
          <t>A 59205-2025</t>
        </is>
      </c>
      <c r="B520" s="1" t="n">
        <v>45988.60721064815</v>
      </c>
      <c r="C520" s="1" t="n">
        <v>46022</v>
      </c>
      <c r="D520" t="inlineStr">
        <is>
          <t>ÖSTERGÖTLANDS LÄN</t>
        </is>
      </c>
      <c r="E520" t="inlineStr">
        <is>
          <t>LINKÖPING</t>
        </is>
      </c>
      <c r="F520" t="inlineStr">
        <is>
          <t>Sveaskog</t>
        </is>
      </c>
      <c r="G520" t="n">
        <v>11.3</v>
      </c>
      <c r="H520" t="n">
        <v>0</v>
      </c>
      <c r="I520" t="n">
        <v>0</v>
      </c>
      <c r="J520" t="n">
        <v>0</v>
      </c>
      <c r="K520" t="n">
        <v>0</v>
      </c>
      <c r="L520" t="n">
        <v>0</v>
      </c>
      <c r="M520" t="n">
        <v>0</v>
      </c>
      <c r="N520" t="n">
        <v>0</v>
      </c>
      <c r="O520" t="n">
        <v>0</v>
      </c>
      <c r="P520" t="n">
        <v>0</v>
      </c>
      <c r="Q520" t="n">
        <v>0</v>
      </c>
      <c r="R520" s="2" t="inlineStr"/>
    </row>
    <row r="521" ht="15" customHeight="1">
      <c r="A521" t="inlineStr">
        <is>
          <t>A 63144-2025</t>
        </is>
      </c>
      <c r="B521" s="1" t="n">
        <v>46010.34716435185</v>
      </c>
      <c r="C521" s="1" t="n">
        <v>46022</v>
      </c>
      <c r="D521" t="inlineStr">
        <is>
          <t>ÖSTERGÖTLANDS LÄN</t>
        </is>
      </c>
      <c r="E521" t="inlineStr">
        <is>
          <t>LINKÖPING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19187-2021</t>
        </is>
      </c>
      <c r="B522" s="1" t="n">
        <v>44308</v>
      </c>
      <c r="C522" s="1" t="n">
        <v>46022</v>
      </c>
      <c r="D522" t="inlineStr">
        <is>
          <t>ÖSTERGÖTLANDS LÄN</t>
        </is>
      </c>
      <c r="E522" t="inlineStr">
        <is>
          <t>LINKÖPING</t>
        </is>
      </c>
      <c r="F522" t="inlineStr">
        <is>
          <t>Allmännings- och besparingsskogar</t>
        </is>
      </c>
      <c r="G522" t="n">
        <v>20</v>
      </c>
      <c r="H522" t="n">
        <v>0</v>
      </c>
      <c r="I522" t="n">
        <v>0</v>
      </c>
      <c r="J522" t="n">
        <v>0</v>
      </c>
      <c r="K522" t="n">
        <v>0</v>
      </c>
      <c r="L522" t="n">
        <v>0</v>
      </c>
      <c r="M522" t="n">
        <v>0</v>
      </c>
      <c r="N522" t="n">
        <v>0</v>
      </c>
      <c r="O522" t="n">
        <v>0</v>
      </c>
      <c r="P522" t="n">
        <v>0</v>
      </c>
      <c r="Q522" t="n">
        <v>0</v>
      </c>
      <c r="R522" s="2" t="inlineStr"/>
    </row>
    <row r="523" ht="15" customHeight="1">
      <c r="A523" t="inlineStr">
        <is>
          <t>A 55165-2025</t>
        </is>
      </c>
      <c r="B523" s="1" t="n">
        <v>45968.48194444444</v>
      </c>
      <c r="C523" s="1" t="n">
        <v>46022</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60472-2022</t>
        </is>
      </c>
      <c r="B524" s="1" t="n">
        <v>44911.41037037037</v>
      </c>
      <c r="C524" s="1" t="n">
        <v>46022</v>
      </c>
      <c r="D524" t="inlineStr">
        <is>
          <t>ÖSTERGÖTLANDS LÄN</t>
        </is>
      </c>
      <c r="E524" t="inlineStr">
        <is>
          <t>LINKÖPING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43934-2023</t>
        </is>
      </c>
      <c r="B525" s="1" t="n">
        <v>45187</v>
      </c>
      <c r="C525" s="1" t="n">
        <v>46022</v>
      </c>
      <c r="D525" t="inlineStr">
        <is>
          <t>ÖSTERGÖTLANDS LÄN</t>
        </is>
      </c>
      <c r="E525" t="inlineStr">
        <is>
          <t>LINKÖPING</t>
        </is>
      </c>
      <c r="F525" t="inlineStr">
        <is>
          <t>Övriga Aktiebolag</t>
        </is>
      </c>
      <c r="G525" t="n">
        <v>3.8</v>
      </c>
      <c r="H525" t="n">
        <v>0</v>
      </c>
      <c r="I525" t="n">
        <v>0</v>
      </c>
      <c r="J525" t="n">
        <v>0</v>
      </c>
      <c r="K525" t="n">
        <v>0</v>
      </c>
      <c r="L525" t="n">
        <v>0</v>
      </c>
      <c r="M525" t="n">
        <v>0</v>
      </c>
      <c r="N525" t="n">
        <v>0</v>
      </c>
      <c r="O525" t="n">
        <v>0</v>
      </c>
      <c r="P525" t="n">
        <v>0</v>
      </c>
      <c r="Q525" t="n">
        <v>0</v>
      </c>
      <c r="R525" s="2" t="inlineStr"/>
    </row>
    <row r="526" ht="15" customHeight="1">
      <c r="A526" t="inlineStr">
        <is>
          <t>A 22774-2024</t>
        </is>
      </c>
      <c r="B526" s="1" t="n">
        <v>45448.46924768519</v>
      </c>
      <c r="C526" s="1" t="n">
        <v>46022</v>
      </c>
      <c r="D526" t="inlineStr">
        <is>
          <t>ÖSTERGÖTLANDS LÄN</t>
        </is>
      </c>
      <c r="E526" t="inlineStr">
        <is>
          <t>LINKÖPING</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22778-2024</t>
        </is>
      </c>
      <c r="B527" s="1" t="n">
        <v>45448.47233796296</v>
      </c>
      <c r="C527" s="1" t="n">
        <v>46022</v>
      </c>
      <c r="D527" t="inlineStr">
        <is>
          <t>ÖSTERGÖTLANDS LÄN</t>
        </is>
      </c>
      <c r="E527" t="inlineStr">
        <is>
          <t>LINKÖPING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1209-2023</t>
        </is>
      </c>
      <c r="B528" s="1" t="n">
        <v>44930</v>
      </c>
      <c r="C528" s="1" t="n">
        <v>46022</v>
      </c>
      <c r="D528" t="inlineStr">
        <is>
          <t>ÖSTERGÖTLANDS LÄN</t>
        </is>
      </c>
      <c r="E528" t="inlineStr">
        <is>
          <t>LINKÖPING</t>
        </is>
      </c>
      <c r="F528" t="inlineStr">
        <is>
          <t>Övriga statliga verk och myndigheter</t>
        </is>
      </c>
      <c r="G528" t="n">
        <v>25.8</v>
      </c>
      <c r="H528" t="n">
        <v>0</v>
      </c>
      <c r="I528" t="n">
        <v>0</v>
      </c>
      <c r="J528" t="n">
        <v>0</v>
      </c>
      <c r="K528" t="n">
        <v>0</v>
      </c>
      <c r="L528" t="n">
        <v>0</v>
      </c>
      <c r="M528" t="n">
        <v>0</v>
      </c>
      <c r="N528" t="n">
        <v>0</v>
      </c>
      <c r="O528" t="n">
        <v>0</v>
      </c>
      <c r="P528" t="n">
        <v>0</v>
      </c>
      <c r="Q528" t="n">
        <v>0</v>
      </c>
      <c r="R528" s="2" t="inlineStr"/>
    </row>
    <row r="529" ht="15" customHeight="1">
      <c r="A529" t="inlineStr">
        <is>
          <t>A 10407-2025</t>
        </is>
      </c>
      <c r="B529" s="1" t="n">
        <v>45720.62863425926</v>
      </c>
      <c r="C529" s="1" t="n">
        <v>46022</v>
      </c>
      <c r="D529" t="inlineStr">
        <is>
          <t>ÖSTERGÖTLANDS LÄN</t>
        </is>
      </c>
      <c r="E529" t="inlineStr">
        <is>
          <t>LINKÖPING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11590-2023</t>
        </is>
      </c>
      <c r="B530" s="1" t="n">
        <v>44994.36689814815</v>
      </c>
      <c r="C530" s="1" t="n">
        <v>46022</v>
      </c>
      <c r="D530" t="inlineStr">
        <is>
          <t>ÖSTERGÖTLANDS LÄN</t>
        </is>
      </c>
      <c r="E530" t="inlineStr">
        <is>
          <t>LINKÖPING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19169-2023</t>
        </is>
      </c>
      <c r="B531" s="1" t="n">
        <v>45044</v>
      </c>
      <c r="C531" s="1" t="n">
        <v>46022</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672-2024</t>
        </is>
      </c>
      <c r="B532" s="1" t="n">
        <v>45300</v>
      </c>
      <c r="C532" s="1" t="n">
        <v>46022</v>
      </c>
      <c r="D532" t="inlineStr">
        <is>
          <t>ÖSTERGÖTLANDS LÄN</t>
        </is>
      </c>
      <c r="E532" t="inlineStr">
        <is>
          <t>LINKÖPING</t>
        </is>
      </c>
      <c r="F532" t="inlineStr">
        <is>
          <t>Sveaskog</t>
        </is>
      </c>
      <c r="G532" t="n">
        <v>4.5</v>
      </c>
      <c r="H532" t="n">
        <v>0</v>
      </c>
      <c r="I532" t="n">
        <v>0</v>
      </c>
      <c r="J532" t="n">
        <v>0</v>
      </c>
      <c r="K532" t="n">
        <v>0</v>
      </c>
      <c r="L532" t="n">
        <v>0</v>
      </c>
      <c r="M532" t="n">
        <v>0</v>
      </c>
      <c r="N532" t="n">
        <v>0</v>
      </c>
      <c r="O532" t="n">
        <v>0</v>
      </c>
      <c r="P532" t="n">
        <v>0</v>
      </c>
      <c r="Q532" t="n">
        <v>0</v>
      </c>
      <c r="R532" s="2" t="inlineStr"/>
    </row>
    <row r="533" ht="15" customHeight="1">
      <c r="A533" t="inlineStr">
        <is>
          <t>A 55493-2021</t>
        </is>
      </c>
      <c r="B533" s="1" t="n">
        <v>44475.61988425926</v>
      </c>
      <c r="C533" s="1" t="n">
        <v>46022</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56113-2025</t>
        </is>
      </c>
      <c r="B534" s="1" t="n">
        <v>45973.73924768518</v>
      </c>
      <c r="C534" s="1" t="n">
        <v>46022</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56105-2025</t>
        </is>
      </c>
      <c r="B535" s="1" t="n">
        <v>45973.72855324074</v>
      </c>
      <c r="C535" s="1" t="n">
        <v>46022</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14093-2024</t>
        </is>
      </c>
      <c r="B536" s="1" t="n">
        <v>45392.60278935185</v>
      </c>
      <c r="C536" s="1" t="n">
        <v>46022</v>
      </c>
      <c r="D536" t="inlineStr">
        <is>
          <t>ÖSTERGÖTLANDS LÄN</t>
        </is>
      </c>
      <c r="E536" t="inlineStr">
        <is>
          <t>LINKÖPING</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62019-2024</t>
        </is>
      </c>
      <c r="B537" s="1" t="n">
        <v>45655.82</v>
      </c>
      <c r="C537" s="1" t="n">
        <v>46022</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25119-2023</t>
        </is>
      </c>
      <c r="B538" s="1" t="n">
        <v>45086.42326388889</v>
      </c>
      <c r="C538" s="1" t="n">
        <v>46022</v>
      </c>
      <c r="D538" t="inlineStr">
        <is>
          <t>ÖSTERGÖTLANDS LÄN</t>
        </is>
      </c>
      <c r="E538" t="inlineStr">
        <is>
          <t>LINKÖPING</t>
        </is>
      </c>
      <c r="G538" t="n">
        <v>3.2</v>
      </c>
      <c r="H538" t="n">
        <v>0</v>
      </c>
      <c r="I538" t="n">
        <v>0</v>
      </c>
      <c r="J538" t="n">
        <v>0</v>
      </c>
      <c r="K538" t="n">
        <v>0</v>
      </c>
      <c r="L538" t="n">
        <v>0</v>
      </c>
      <c r="M538" t="n">
        <v>0</v>
      </c>
      <c r="N538" t="n">
        <v>0</v>
      </c>
      <c r="O538" t="n">
        <v>0</v>
      </c>
      <c r="P538" t="n">
        <v>0</v>
      </c>
      <c r="Q538" t="n">
        <v>0</v>
      </c>
      <c r="R538" s="2" t="inlineStr"/>
    </row>
    <row r="539" ht="15" customHeight="1">
      <c r="A539" t="inlineStr">
        <is>
          <t>A 56403-2025</t>
        </is>
      </c>
      <c r="B539" s="1" t="n">
        <v>45974</v>
      </c>
      <c r="C539" s="1" t="n">
        <v>46022</v>
      </c>
      <c r="D539" t="inlineStr">
        <is>
          <t>ÖSTERGÖTLANDS LÄN</t>
        </is>
      </c>
      <c r="E539" t="inlineStr">
        <is>
          <t>LINKÖPING</t>
        </is>
      </c>
      <c r="G539" t="n">
        <v>3.3</v>
      </c>
      <c r="H539" t="n">
        <v>0</v>
      </c>
      <c r="I539" t="n">
        <v>0</v>
      </c>
      <c r="J539" t="n">
        <v>0</v>
      </c>
      <c r="K539" t="n">
        <v>0</v>
      </c>
      <c r="L539" t="n">
        <v>0</v>
      </c>
      <c r="M539" t="n">
        <v>0</v>
      </c>
      <c r="N539" t="n">
        <v>0</v>
      </c>
      <c r="O539" t="n">
        <v>0</v>
      </c>
      <c r="P539" t="n">
        <v>0</v>
      </c>
      <c r="Q539" t="n">
        <v>0</v>
      </c>
      <c r="R539" s="2" t="inlineStr"/>
    </row>
    <row r="540" ht="15" customHeight="1">
      <c r="A540" t="inlineStr">
        <is>
          <t>A 57396-2021</t>
        </is>
      </c>
      <c r="B540" s="1" t="n">
        <v>44483.56151620371</v>
      </c>
      <c r="C540" s="1" t="n">
        <v>46022</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51571-2024</t>
        </is>
      </c>
      <c r="B541" s="1" t="n">
        <v>45604</v>
      </c>
      <c r="C541" s="1" t="n">
        <v>46022</v>
      </c>
      <c r="D541" t="inlineStr">
        <is>
          <t>ÖSTERGÖTLANDS LÄN</t>
        </is>
      </c>
      <c r="E541" t="inlineStr">
        <is>
          <t>LINKÖPING</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17143-2025</t>
        </is>
      </c>
      <c r="B542" s="1" t="n">
        <v>45755.92731481481</v>
      </c>
      <c r="C542" s="1" t="n">
        <v>46022</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56704-2025</t>
        </is>
      </c>
      <c r="B543" s="1" t="n">
        <v>45977.50608796296</v>
      </c>
      <c r="C543" s="1" t="n">
        <v>46022</v>
      </c>
      <c r="D543" t="inlineStr">
        <is>
          <t>ÖSTERGÖTLANDS LÄN</t>
        </is>
      </c>
      <c r="E543" t="inlineStr">
        <is>
          <t>LINKÖPING</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17124-2025</t>
        </is>
      </c>
      <c r="B544" s="1" t="n">
        <v>45755.69678240741</v>
      </c>
      <c r="C544" s="1" t="n">
        <v>46022</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17126-2025</t>
        </is>
      </c>
      <c r="B545" s="1" t="n">
        <v>45755.70814814815</v>
      </c>
      <c r="C545" s="1" t="n">
        <v>46022</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31640-2023</t>
        </is>
      </c>
      <c r="B546" s="1" t="n">
        <v>45117</v>
      </c>
      <c r="C546" s="1" t="n">
        <v>46022</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11790-2024</t>
        </is>
      </c>
      <c r="B547" s="1" t="n">
        <v>45374</v>
      </c>
      <c r="C547" s="1" t="n">
        <v>46022</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61281-2021</t>
        </is>
      </c>
      <c r="B548" s="1" t="n">
        <v>44498.60736111111</v>
      </c>
      <c r="C548" s="1" t="n">
        <v>46022</v>
      </c>
      <c r="D548" t="inlineStr">
        <is>
          <t>ÖSTERGÖTLANDS LÄN</t>
        </is>
      </c>
      <c r="E548" t="inlineStr">
        <is>
          <t>LINKÖPING</t>
        </is>
      </c>
      <c r="G548" t="n">
        <v>4.5</v>
      </c>
      <c r="H548" t="n">
        <v>0</v>
      </c>
      <c r="I548" t="n">
        <v>0</v>
      </c>
      <c r="J548" t="n">
        <v>0</v>
      </c>
      <c r="K548" t="n">
        <v>0</v>
      </c>
      <c r="L548" t="n">
        <v>0</v>
      </c>
      <c r="M548" t="n">
        <v>0</v>
      </c>
      <c r="N548" t="n">
        <v>0</v>
      </c>
      <c r="O548" t="n">
        <v>0</v>
      </c>
      <c r="P548" t="n">
        <v>0</v>
      </c>
      <c r="Q548" t="n">
        <v>0</v>
      </c>
      <c r="R548" s="2" t="inlineStr"/>
    </row>
    <row r="549" ht="15" customHeight="1">
      <c r="A549" t="inlineStr">
        <is>
          <t>A 6206-2024</t>
        </is>
      </c>
      <c r="B549" s="1" t="n">
        <v>45337.5977662037</v>
      </c>
      <c r="C549" s="1" t="n">
        <v>46022</v>
      </c>
      <c r="D549" t="inlineStr">
        <is>
          <t>ÖSTERGÖTLANDS LÄN</t>
        </is>
      </c>
      <c r="E549" t="inlineStr">
        <is>
          <t>LINKÖPING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168-2024</t>
        </is>
      </c>
      <c r="B550" s="1" t="n">
        <v>45294</v>
      </c>
      <c r="C550" s="1" t="n">
        <v>46022</v>
      </c>
      <c r="D550" t="inlineStr">
        <is>
          <t>ÖSTERGÖTLANDS LÄN</t>
        </is>
      </c>
      <c r="E550" t="inlineStr">
        <is>
          <t>LINKÖPING</t>
        </is>
      </c>
      <c r="F550" t="inlineStr">
        <is>
          <t>Allmännings- och besparingsskogar</t>
        </is>
      </c>
      <c r="G550" t="n">
        <v>8.9</v>
      </c>
      <c r="H550" t="n">
        <v>0</v>
      </c>
      <c r="I550" t="n">
        <v>0</v>
      </c>
      <c r="J550" t="n">
        <v>0</v>
      </c>
      <c r="K550" t="n">
        <v>0</v>
      </c>
      <c r="L550" t="n">
        <v>0</v>
      </c>
      <c r="M550" t="n">
        <v>0</v>
      </c>
      <c r="N550" t="n">
        <v>0</v>
      </c>
      <c r="O550" t="n">
        <v>0</v>
      </c>
      <c r="P550" t="n">
        <v>0</v>
      </c>
      <c r="Q550" t="n">
        <v>0</v>
      </c>
      <c r="R550" s="2" t="inlineStr"/>
    </row>
    <row r="551" ht="15" customHeight="1">
      <c r="A551" t="inlineStr">
        <is>
          <t>A 51919-2024</t>
        </is>
      </c>
      <c r="B551" s="1" t="n">
        <v>45607.60791666667</v>
      </c>
      <c r="C551" s="1" t="n">
        <v>46022</v>
      </c>
      <c r="D551" t="inlineStr">
        <is>
          <t>ÖSTERGÖTLANDS LÄN</t>
        </is>
      </c>
      <c r="E551" t="inlineStr">
        <is>
          <t>LINKÖPING</t>
        </is>
      </c>
      <c r="G551" t="n">
        <v>2.5</v>
      </c>
      <c r="H551" t="n">
        <v>0</v>
      </c>
      <c r="I551" t="n">
        <v>0</v>
      </c>
      <c r="J551" t="n">
        <v>0</v>
      </c>
      <c r="K551" t="n">
        <v>0</v>
      </c>
      <c r="L551" t="n">
        <v>0</v>
      </c>
      <c r="M551" t="n">
        <v>0</v>
      </c>
      <c r="N551" t="n">
        <v>0</v>
      </c>
      <c r="O551" t="n">
        <v>0</v>
      </c>
      <c r="P551" t="n">
        <v>0</v>
      </c>
      <c r="Q551" t="n">
        <v>0</v>
      </c>
      <c r="R551" s="2" t="inlineStr"/>
    </row>
    <row r="552" ht="15" customHeight="1">
      <c r="A552" t="inlineStr">
        <is>
          <t>A 56623-2024</t>
        </is>
      </c>
      <c r="B552" s="1" t="n">
        <v>45625</v>
      </c>
      <c r="C552" s="1" t="n">
        <v>46022</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11330-2023</t>
        </is>
      </c>
      <c r="B553" s="1" t="n">
        <v>44993.24648148148</v>
      </c>
      <c r="C553" s="1" t="n">
        <v>46022</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63304-2021</t>
        </is>
      </c>
      <c r="B554" s="1" t="n">
        <v>44508.4396412037</v>
      </c>
      <c r="C554" s="1" t="n">
        <v>46022</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14528-2025</t>
        </is>
      </c>
      <c r="B555" s="1" t="n">
        <v>45741</v>
      </c>
      <c r="C555" s="1" t="n">
        <v>46022</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3530-2024</t>
        </is>
      </c>
      <c r="B556" s="1" t="n">
        <v>45320.54717592592</v>
      </c>
      <c r="C556" s="1" t="n">
        <v>46022</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62073-2023</t>
        </is>
      </c>
      <c r="B557" s="1" t="n">
        <v>45266.73844907407</v>
      </c>
      <c r="C557" s="1" t="n">
        <v>46022</v>
      </c>
      <c r="D557" t="inlineStr">
        <is>
          <t>ÖSTERGÖTLANDS LÄN</t>
        </is>
      </c>
      <c r="E557" t="inlineStr">
        <is>
          <t>LINKÖPING</t>
        </is>
      </c>
      <c r="F557" t="inlineStr">
        <is>
          <t>Allmännings- och besparingsskogar</t>
        </is>
      </c>
      <c r="G557" t="n">
        <v>1.8</v>
      </c>
      <c r="H557" t="n">
        <v>0</v>
      </c>
      <c r="I557" t="n">
        <v>0</v>
      </c>
      <c r="J557" t="n">
        <v>0</v>
      </c>
      <c r="K557" t="n">
        <v>0</v>
      </c>
      <c r="L557" t="n">
        <v>0</v>
      </c>
      <c r="M557" t="n">
        <v>0</v>
      </c>
      <c r="N557" t="n">
        <v>0</v>
      </c>
      <c r="O557" t="n">
        <v>0</v>
      </c>
      <c r="P557" t="n">
        <v>0</v>
      </c>
      <c r="Q557" t="n">
        <v>0</v>
      </c>
      <c r="R557" s="2" t="inlineStr"/>
    </row>
    <row r="558" ht="15" customHeight="1">
      <c r="A558" t="inlineStr">
        <is>
          <t>A 5872-2025</t>
        </is>
      </c>
      <c r="B558" s="1" t="n">
        <v>45695.36659722222</v>
      </c>
      <c r="C558" s="1" t="n">
        <v>46022</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53814-2023</t>
        </is>
      </c>
      <c r="B559" s="1" t="n">
        <v>45231</v>
      </c>
      <c r="C559" s="1" t="n">
        <v>46022</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3432-2023</t>
        </is>
      </c>
      <c r="B560" s="1" t="n">
        <v>44949</v>
      </c>
      <c r="C560" s="1" t="n">
        <v>46022</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54425-2022</t>
        </is>
      </c>
      <c r="B561" s="1" t="n">
        <v>44882.57453703704</v>
      </c>
      <c r="C561" s="1" t="n">
        <v>46022</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54428-2022</t>
        </is>
      </c>
      <c r="B562" s="1" t="n">
        <v>44882.57643518518</v>
      </c>
      <c r="C562" s="1" t="n">
        <v>46022</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660-2023</t>
        </is>
      </c>
      <c r="B563" s="1" t="n">
        <v>44930</v>
      </c>
      <c r="C563" s="1" t="n">
        <v>46022</v>
      </c>
      <c r="D563" t="inlineStr">
        <is>
          <t>ÖSTERGÖTLANDS LÄN</t>
        </is>
      </c>
      <c r="E563" t="inlineStr">
        <is>
          <t>LINKÖPING</t>
        </is>
      </c>
      <c r="F563" t="inlineStr">
        <is>
          <t>Kyrkan</t>
        </is>
      </c>
      <c r="G563" t="n">
        <v>1.6</v>
      </c>
      <c r="H563" t="n">
        <v>0</v>
      </c>
      <c r="I563" t="n">
        <v>0</v>
      </c>
      <c r="J563" t="n">
        <v>0</v>
      </c>
      <c r="K563" t="n">
        <v>0</v>
      </c>
      <c r="L563" t="n">
        <v>0</v>
      </c>
      <c r="M563" t="n">
        <v>0</v>
      </c>
      <c r="N563" t="n">
        <v>0</v>
      </c>
      <c r="O563" t="n">
        <v>0</v>
      </c>
      <c r="P563" t="n">
        <v>0</v>
      </c>
      <c r="Q563" t="n">
        <v>0</v>
      </c>
      <c r="R563" s="2" t="inlineStr"/>
    </row>
    <row r="564" ht="15" customHeight="1">
      <c r="A564" t="inlineStr">
        <is>
          <t>A 62501-2023</t>
        </is>
      </c>
      <c r="B564" s="1" t="n">
        <v>45268</v>
      </c>
      <c r="C564" s="1" t="n">
        <v>46022</v>
      </c>
      <c r="D564" t="inlineStr">
        <is>
          <t>ÖSTERGÖTLANDS LÄN</t>
        </is>
      </c>
      <c r="E564" t="inlineStr">
        <is>
          <t>LINKÖPING</t>
        </is>
      </c>
      <c r="G564" t="n">
        <v>7.4</v>
      </c>
      <c r="H564" t="n">
        <v>0</v>
      </c>
      <c r="I564" t="n">
        <v>0</v>
      </c>
      <c r="J564" t="n">
        <v>0</v>
      </c>
      <c r="K564" t="n">
        <v>0</v>
      </c>
      <c r="L564" t="n">
        <v>0</v>
      </c>
      <c r="M564" t="n">
        <v>0</v>
      </c>
      <c r="N564" t="n">
        <v>0</v>
      </c>
      <c r="O564" t="n">
        <v>0</v>
      </c>
      <c r="P564" t="n">
        <v>0</v>
      </c>
      <c r="Q564" t="n">
        <v>0</v>
      </c>
      <c r="R564" s="2" t="inlineStr"/>
    </row>
    <row r="565" ht="15" customHeight="1">
      <c r="A565" t="inlineStr">
        <is>
          <t>A 13413-2023</t>
        </is>
      </c>
      <c r="B565" s="1" t="n">
        <v>45005.58341435185</v>
      </c>
      <c r="C565" s="1" t="n">
        <v>46022</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26620-2023</t>
        </is>
      </c>
      <c r="B566" s="1" t="n">
        <v>45092.70390046296</v>
      </c>
      <c r="C566" s="1" t="n">
        <v>46022</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16462-2021</t>
        </is>
      </c>
      <c r="B567" s="1" t="n">
        <v>44293</v>
      </c>
      <c r="C567" s="1" t="n">
        <v>46022</v>
      </c>
      <c r="D567" t="inlineStr">
        <is>
          <t>ÖSTERGÖTLANDS LÄN</t>
        </is>
      </c>
      <c r="E567" t="inlineStr">
        <is>
          <t>LINKÖPING</t>
        </is>
      </c>
      <c r="F567" t="inlineStr">
        <is>
          <t>Allmännings- och besparingsskogar</t>
        </is>
      </c>
      <c r="G567" t="n">
        <v>24.7</v>
      </c>
      <c r="H567" t="n">
        <v>0</v>
      </c>
      <c r="I567" t="n">
        <v>0</v>
      </c>
      <c r="J567" t="n">
        <v>0</v>
      </c>
      <c r="K567" t="n">
        <v>0</v>
      </c>
      <c r="L567" t="n">
        <v>0</v>
      </c>
      <c r="M567" t="n">
        <v>0</v>
      </c>
      <c r="N567" t="n">
        <v>0</v>
      </c>
      <c r="O567" t="n">
        <v>0</v>
      </c>
      <c r="P567" t="n">
        <v>0</v>
      </c>
      <c r="Q567" t="n">
        <v>0</v>
      </c>
      <c r="R567" s="2" t="inlineStr"/>
    </row>
    <row r="568" ht="15" customHeight="1">
      <c r="A568" t="inlineStr">
        <is>
          <t>A 63554-2023</t>
        </is>
      </c>
      <c r="B568" s="1" t="n">
        <v>45275</v>
      </c>
      <c r="C568" s="1" t="n">
        <v>46022</v>
      </c>
      <c r="D568" t="inlineStr">
        <is>
          <t>ÖSTERGÖTLANDS LÄN</t>
        </is>
      </c>
      <c r="E568" t="inlineStr">
        <is>
          <t>LINKÖPING</t>
        </is>
      </c>
      <c r="G568" t="n">
        <v>4.3</v>
      </c>
      <c r="H568" t="n">
        <v>0</v>
      </c>
      <c r="I568" t="n">
        <v>0</v>
      </c>
      <c r="J568" t="n">
        <v>0</v>
      </c>
      <c r="K568" t="n">
        <v>0</v>
      </c>
      <c r="L568" t="n">
        <v>0</v>
      </c>
      <c r="M568" t="n">
        <v>0</v>
      </c>
      <c r="N568" t="n">
        <v>0</v>
      </c>
      <c r="O568" t="n">
        <v>0</v>
      </c>
      <c r="P568" t="n">
        <v>0</v>
      </c>
      <c r="Q568" t="n">
        <v>0</v>
      </c>
      <c r="R568" s="2" t="inlineStr"/>
    </row>
    <row r="569" ht="15" customHeight="1">
      <c r="A569" t="inlineStr">
        <is>
          <t>A 63638-2023</t>
        </is>
      </c>
      <c r="B569" s="1" t="n">
        <v>45275</v>
      </c>
      <c r="C569" s="1" t="n">
        <v>46022</v>
      </c>
      <c r="D569" t="inlineStr">
        <is>
          <t>ÖSTERGÖTLANDS LÄN</t>
        </is>
      </c>
      <c r="E569" t="inlineStr">
        <is>
          <t>LINKÖPING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63658-2023</t>
        </is>
      </c>
      <c r="B570" s="1" t="n">
        <v>45275</v>
      </c>
      <c r="C570" s="1" t="n">
        <v>46022</v>
      </c>
      <c r="D570" t="inlineStr">
        <is>
          <t>ÖSTERGÖTLANDS LÄN</t>
        </is>
      </c>
      <c r="E570" t="inlineStr">
        <is>
          <t>LINKÖPING</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16820-2024</t>
        </is>
      </c>
      <c r="B571" s="1" t="n">
        <v>45411.46809027778</v>
      </c>
      <c r="C571" s="1" t="n">
        <v>46022</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4456-2024</t>
        </is>
      </c>
      <c r="B572" s="1" t="n">
        <v>45327.52847222222</v>
      </c>
      <c r="C572" s="1" t="n">
        <v>46022</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20298-2025</t>
        </is>
      </c>
      <c r="B573" s="1" t="n">
        <v>45774.75024305555</v>
      </c>
      <c r="C573" s="1" t="n">
        <v>46022</v>
      </c>
      <c r="D573" t="inlineStr">
        <is>
          <t>ÖSTERGÖTLANDS LÄN</t>
        </is>
      </c>
      <c r="E573" t="inlineStr">
        <is>
          <t>LINKÖPING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15121-2022</t>
        </is>
      </c>
      <c r="B574" s="1" t="n">
        <v>44658</v>
      </c>
      <c r="C574" s="1" t="n">
        <v>46022</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50743-2023</t>
        </is>
      </c>
      <c r="B575" s="1" t="n">
        <v>45217</v>
      </c>
      <c r="C575" s="1" t="n">
        <v>46022</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1440-2021</t>
        </is>
      </c>
      <c r="B576" s="1" t="n">
        <v>44208</v>
      </c>
      <c r="C576" s="1" t="n">
        <v>46022</v>
      </c>
      <c r="D576" t="inlineStr">
        <is>
          <t>ÖSTERGÖTLANDS LÄN</t>
        </is>
      </c>
      <c r="E576" t="inlineStr">
        <is>
          <t>LINKÖPING</t>
        </is>
      </c>
      <c r="G576" t="n">
        <v>8.4</v>
      </c>
      <c r="H576" t="n">
        <v>0</v>
      </c>
      <c r="I576" t="n">
        <v>0</v>
      </c>
      <c r="J576" t="n">
        <v>0</v>
      </c>
      <c r="K576" t="n">
        <v>0</v>
      </c>
      <c r="L576" t="n">
        <v>0</v>
      </c>
      <c r="M576" t="n">
        <v>0</v>
      </c>
      <c r="N576" t="n">
        <v>0</v>
      </c>
      <c r="O576" t="n">
        <v>0</v>
      </c>
      <c r="P576" t="n">
        <v>0</v>
      </c>
      <c r="Q576" t="n">
        <v>0</v>
      </c>
      <c r="R576" s="2" t="inlineStr"/>
    </row>
    <row r="577" ht="15" customHeight="1">
      <c r="A577" t="inlineStr">
        <is>
          <t>A 13687-2025</t>
        </is>
      </c>
      <c r="B577" s="1" t="n">
        <v>45737.31425925926</v>
      </c>
      <c r="C577" s="1" t="n">
        <v>46022</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13695-2025</t>
        </is>
      </c>
      <c r="B578" s="1" t="n">
        <v>45737.32219907407</v>
      </c>
      <c r="C578" s="1" t="n">
        <v>46022</v>
      </c>
      <c r="D578" t="inlineStr">
        <is>
          <t>ÖSTERGÖTLANDS LÄN</t>
        </is>
      </c>
      <c r="E578" t="inlineStr">
        <is>
          <t>LINKÖPING</t>
        </is>
      </c>
      <c r="G578" t="n">
        <v>5.3</v>
      </c>
      <c r="H578" t="n">
        <v>0</v>
      </c>
      <c r="I578" t="n">
        <v>0</v>
      </c>
      <c r="J578" t="n">
        <v>0</v>
      </c>
      <c r="K578" t="n">
        <v>0</v>
      </c>
      <c r="L578" t="n">
        <v>0</v>
      </c>
      <c r="M578" t="n">
        <v>0</v>
      </c>
      <c r="N578" t="n">
        <v>0</v>
      </c>
      <c r="O578" t="n">
        <v>0</v>
      </c>
      <c r="P578" t="n">
        <v>0</v>
      </c>
      <c r="Q578" t="n">
        <v>0</v>
      </c>
      <c r="R578" s="2" t="inlineStr"/>
    </row>
    <row r="579" ht="15" customHeight="1">
      <c r="A579" t="inlineStr">
        <is>
          <t>A 20294-2025</t>
        </is>
      </c>
      <c r="B579" s="1" t="n">
        <v>45774.74667824074</v>
      </c>
      <c r="C579" s="1" t="n">
        <v>46022</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17128-2025</t>
        </is>
      </c>
      <c r="B580" s="1" t="n">
        <v>45755.72622685185</v>
      </c>
      <c r="C580" s="1" t="n">
        <v>46022</v>
      </c>
      <c r="D580" t="inlineStr">
        <is>
          <t>ÖSTERGÖTLANDS LÄN</t>
        </is>
      </c>
      <c r="E580" t="inlineStr">
        <is>
          <t>LINKÖPING</t>
        </is>
      </c>
      <c r="G580" t="n">
        <v>2.9</v>
      </c>
      <c r="H580" t="n">
        <v>0</v>
      </c>
      <c r="I580" t="n">
        <v>0</v>
      </c>
      <c r="J580" t="n">
        <v>0</v>
      </c>
      <c r="K580" t="n">
        <v>0</v>
      </c>
      <c r="L580" t="n">
        <v>0</v>
      </c>
      <c r="M580" t="n">
        <v>0</v>
      </c>
      <c r="N580" t="n">
        <v>0</v>
      </c>
      <c r="O580" t="n">
        <v>0</v>
      </c>
      <c r="P580" t="n">
        <v>0</v>
      </c>
      <c r="Q580" t="n">
        <v>0</v>
      </c>
      <c r="R580" s="2" t="inlineStr"/>
    </row>
    <row r="581" ht="15" customHeight="1">
      <c r="A581" t="inlineStr">
        <is>
          <t>A 52125-2022</t>
        </is>
      </c>
      <c r="B581" s="1" t="n">
        <v>44873</v>
      </c>
      <c r="C581" s="1" t="n">
        <v>46022</v>
      </c>
      <c r="D581" t="inlineStr">
        <is>
          <t>ÖSTERGÖTLANDS LÄN</t>
        </is>
      </c>
      <c r="E581" t="inlineStr">
        <is>
          <t>LINKÖPING</t>
        </is>
      </c>
      <c r="F581" t="inlineStr">
        <is>
          <t>Övriga Aktiebolag</t>
        </is>
      </c>
      <c r="G581" t="n">
        <v>0.7</v>
      </c>
      <c r="H581" t="n">
        <v>0</v>
      </c>
      <c r="I581" t="n">
        <v>0</v>
      </c>
      <c r="J581" t="n">
        <v>0</v>
      </c>
      <c r="K581" t="n">
        <v>0</v>
      </c>
      <c r="L581" t="n">
        <v>0</v>
      </c>
      <c r="M581" t="n">
        <v>0</v>
      </c>
      <c r="N581" t="n">
        <v>0</v>
      </c>
      <c r="O581" t="n">
        <v>0</v>
      </c>
      <c r="P581" t="n">
        <v>0</v>
      </c>
      <c r="Q581" t="n">
        <v>0</v>
      </c>
      <c r="R581" s="2" t="inlineStr"/>
    </row>
    <row r="582" ht="15" customHeight="1">
      <c r="A582" t="inlineStr">
        <is>
          <t>A 27343-2023</t>
        </is>
      </c>
      <c r="B582" s="1" t="n">
        <v>45096</v>
      </c>
      <c r="C582" s="1" t="n">
        <v>46022</v>
      </c>
      <c r="D582" t="inlineStr">
        <is>
          <t>ÖSTERGÖTLANDS LÄN</t>
        </is>
      </c>
      <c r="E582" t="inlineStr">
        <is>
          <t>LINKÖPING</t>
        </is>
      </c>
      <c r="F582" t="inlineStr">
        <is>
          <t>Allmännings- och besparingsskogar</t>
        </is>
      </c>
      <c r="G582" t="n">
        <v>6.9</v>
      </c>
      <c r="H582" t="n">
        <v>0</v>
      </c>
      <c r="I582" t="n">
        <v>0</v>
      </c>
      <c r="J582" t="n">
        <v>0</v>
      </c>
      <c r="K582" t="n">
        <v>0</v>
      </c>
      <c r="L582" t="n">
        <v>0</v>
      </c>
      <c r="M582" t="n">
        <v>0</v>
      </c>
      <c r="N582" t="n">
        <v>0</v>
      </c>
      <c r="O582" t="n">
        <v>0</v>
      </c>
      <c r="P582" t="n">
        <v>0</v>
      </c>
      <c r="Q582" t="n">
        <v>0</v>
      </c>
      <c r="R582" s="2" t="inlineStr"/>
    </row>
    <row r="583" ht="15" customHeight="1">
      <c r="A583" t="inlineStr">
        <is>
          <t>A 22842-2023</t>
        </is>
      </c>
      <c r="B583" s="1" t="n">
        <v>45071</v>
      </c>
      <c r="C583" s="1" t="n">
        <v>46022</v>
      </c>
      <c r="D583" t="inlineStr">
        <is>
          <t>ÖSTERGÖTLANDS LÄN</t>
        </is>
      </c>
      <c r="E583" t="inlineStr">
        <is>
          <t>LINKÖPING</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14520-2025</t>
        </is>
      </c>
      <c r="B584" s="1" t="n">
        <v>45741</v>
      </c>
      <c r="C584" s="1" t="n">
        <v>46022</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31548-2022</t>
        </is>
      </c>
      <c r="B585" s="1" t="n">
        <v>44775.39832175926</v>
      </c>
      <c r="C585" s="1" t="n">
        <v>46022</v>
      </c>
      <c r="D585" t="inlineStr">
        <is>
          <t>ÖSTERGÖTLANDS LÄN</t>
        </is>
      </c>
      <c r="E585" t="inlineStr">
        <is>
          <t>LINKÖPING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62017-2024</t>
        </is>
      </c>
      <c r="B586" s="1" t="n">
        <v>45655.81140046296</v>
      </c>
      <c r="C586" s="1" t="n">
        <v>46022</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17785-2023</t>
        </is>
      </c>
      <c r="B587" s="1" t="n">
        <v>45037.55094907407</v>
      </c>
      <c r="C587" s="1" t="n">
        <v>46022</v>
      </c>
      <c r="D587" t="inlineStr">
        <is>
          <t>ÖSTERGÖTLANDS LÄN</t>
        </is>
      </c>
      <c r="E587" t="inlineStr">
        <is>
          <t>LINKÖPING</t>
        </is>
      </c>
      <c r="F587" t="inlineStr">
        <is>
          <t>Allmännings- och besparingsskogar</t>
        </is>
      </c>
      <c r="G587" t="n">
        <v>3.1</v>
      </c>
      <c r="H587" t="n">
        <v>0</v>
      </c>
      <c r="I587" t="n">
        <v>0</v>
      </c>
      <c r="J587" t="n">
        <v>0</v>
      </c>
      <c r="K587" t="n">
        <v>0</v>
      </c>
      <c r="L587" t="n">
        <v>0</v>
      </c>
      <c r="M587" t="n">
        <v>0</v>
      </c>
      <c r="N587" t="n">
        <v>0</v>
      </c>
      <c r="O587" t="n">
        <v>0</v>
      </c>
      <c r="P587" t="n">
        <v>0</v>
      </c>
      <c r="Q587" t="n">
        <v>0</v>
      </c>
      <c r="R587" s="2" t="inlineStr"/>
    </row>
    <row r="588" ht="15" customHeight="1">
      <c r="A588" t="inlineStr">
        <is>
          <t>A 62686-2023</t>
        </is>
      </c>
      <c r="B588" s="1" t="n">
        <v>45271</v>
      </c>
      <c r="C588" s="1" t="n">
        <v>46022</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42044-2023</t>
        </is>
      </c>
      <c r="B589" s="1" t="n">
        <v>45177</v>
      </c>
      <c r="C589" s="1" t="n">
        <v>46022</v>
      </c>
      <c r="D589" t="inlineStr">
        <is>
          <t>ÖSTERGÖTLANDS LÄN</t>
        </is>
      </c>
      <c r="E589" t="inlineStr">
        <is>
          <t>LINKÖPING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5314-2021</t>
        </is>
      </c>
      <c r="B590" s="1" t="n">
        <v>44229</v>
      </c>
      <c r="C590" s="1" t="n">
        <v>46022</v>
      </c>
      <c r="D590" t="inlineStr">
        <is>
          <t>ÖSTERGÖTLANDS LÄN</t>
        </is>
      </c>
      <c r="E590" t="inlineStr">
        <is>
          <t>LINKÖPING</t>
        </is>
      </c>
      <c r="G590" t="n">
        <v>6.2</v>
      </c>
      <c r="H590" t="n">
        <v>0</v>
      </c>
      <c r="I590" t="n">
        <v>0</v>
      </c>
      <c r="J590" t="n">
        <v>0</v>
      </c>
      <c r="K590" t="n">
        <v>0</v>
      </c>
      <c r="L590" t="n">
        <v>0</v>
      </c>
      <c r="M590" t="n">
        <v>0</v>
      </c>
      <c r="N590" t="n">
        <v>0</v>
      </c>
      <c r="O590" t="n">
        <v>0</v>
      </c>
      <c r="P590" t="n">
        <v>0</v>
      </c>
      <c r="Q590" t="n">
        <v>0</v>
      </c>
      <c r="R590" s="2" t="inlineStr"/>
    </row>
    <row r="591" ht="15" customHeight="1">
      <c r="A591" t="inlineStr">
        <is>
          <t>A 49656-2021</t>
        </is>
      </c>
      <c r="B591" s="1" t="n">
        <v>44454</v>
      </c>
      <c r="C591" s="1" t="n">
        <v>46022</v>
      </c>
      <c r="D591" t="inlineStr">
        <is>
          <t>ÖSTERGÖTLANDS LÄN</t>
        </is>
      </c>
      <c r="E591" t="inlineStr">
        <is>
          <t>LINKÖPING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38230-2023</t>
        </is>
      </c>
      <c r="B592" s="1" t="n">
        <v>45161.55373842592</v>
      </c>
      <c r="C592" s="1" t="n">
        <v>46022</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45442-2024</t>
        </is>
      </c>
      <c r="B593" s="1" t="n">
        <v>45576.64189814815</v>
      </c>
      <c r="C593" s="1" t="n">
        <v>46022</v>
      </c>
      <c r="D593" t="inlineStr">
        <is>
          <t>ÖSTERGÖTLANDS LÄN</t>
        </is>
      </c>
      <c r="E593" t="inlineStr">
        <is>
          <t>LINKÖPING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4908-2023</t>
        </is>
      </c>
      <c r="B594" s="1" t="n">
        <v>44958</v>
      </c>
      <c r="C594" s="1" t="n">
        <v>46022</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1265-2023</t>
        </is>
      </c>
      <c r="B595" s="1" t="n">
        <v>44936</v>
      </c>
      <c r="C595" s="1" t="n">
        <v>46022</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12411-2022</t>
        </is>
      </c>
      <c r="B596" s="1" t="n">
        <v>44638.21601851852</v>
      </c>
      <c r="C596" s="1" t="n">
        <v>46022</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23491-2024</t>
        </is>
      </c>
      <c r="B597" s="1" t="n">
        <v>45453</v>
      </c>
      <c r="C597" s="1" t="n">
        <v>46022</v>
      </c>
      <c r="D597" t="inlineStr">
        <is>
          <t>ÖSTERGÖTLANDS LÄN</t>
        </is>
      </c>
      <c r="E597" t="inlineStr">
        <is>
          <t>LINKÖPING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70-2024</t>
        </is>
      </c>
      <c r="B598" s="1" t="n">
        <v>45293</v>
      </c>
      <c r="C598" s="1" t="n">
        <v>46022</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6054-2022</t>
        </is>
      </c>
      <c r="B599" s="1" t="n">
        <v>44599.53623842593</v>
      </c>
      <c r="C599" s="1" t="n">
        <v>46022</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31725-2022</t>
        </is>
      </c>
      <c r="B600" s="1" t="n">
        <v>44776.48541666667</v>
      </c>
      <c r="C600" s="1" t="n">
        <v>46022</v>
      </c>
      <c r="D600" t="inlineStr">
        <is>
          <t>ÖSTERGÖTLANDS LÄN</t>
        </is>
      </c>
      <c r="E600" t="inlineStr">
        <is>
          <t>LINKÖPING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57391-2023</t>
        </is>
      </c>
      <c r="B601" s="1" t="n">
        <v>45245</v>
      </c>
      <c r="C601" s="1" t="n">
        <v>46022</v>
      </c>
      <c r="D601" t="inlineStr">
        <is>
          <t>ÖSTERGÖTLANDS LÄN</t>
        </is>
      </c>
      <c r="E601" t="inlineStr">
        <is>
          <t>LINKÖPING</t>
        </is>
      </c>
      <c r="F601" t="inlineStr">
        <is>
          <t>Övriga Aktiebolag</t>
        </is>
      </c>
      <c r="G601" t="n">
        <v>1.7</v>
      </c>
      <c r="H601" t="n">
        <v>0</v>
      </c>
      <c r="I601" t="n">
        <v>0</v>
      </c>
      <c r="J601" t="n">
        <v>0</v>
      </c>
      <c r="K601" t="n">
        <v>0</v>
      </c>
      <c r="L601" t="n">
        <v>0</v>
      </c>
      <c r="M601" t="n">
        <v>0</v>
      </c>
      <c r="N601" t="n">
        <v>0</v>
      </c>
      <c r="O601" t="n">
        <v>0</v>
      </c>
      <c r="P601" t="n">
        <v>0</v>
      </c>
      <c r="Q601" t="n">
        <v>0</v>
      </c>
      <c r="R601" s="2" t="inlineStr"/>
    </row>
    <row r="602" ht="15" customHeight="1">
      <c r="A602" t="inlineStr">
        <is>
          <t>A 7992-2023</t>
        </is>
      </c>
      <c r="B602" s="1" t="n">
        <v>44970</v>
      </c>
      <c r="C602" s="1" t="n">
        <v>46022</v>
      </c>
      <c r="D602" t="inlineStr">
        <is>
          <t>ÖSTERGÖTLANDS LÄN</t>
        </is>
      </c>
      <c r="E602" t="inlineStr">
        <is>
          <t>LINKÖPING</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13689-2025</t>
        </is>
      </c>
      <c r="B603" s="1" t="n">
        <v>45737.31590277778</v>
      </c>
      <c r="C603" s="1" t="n">
        <v>46022</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13696-2025</t>
        </is>
      </c>
      <c r="B604" s="1" t="n">
        <v>45737.32273148148</v>
      </c>
      <c r="C604" s="1" t="n">
        <v>46022</v>
      </c>
      <c r="D604" t="inlineStr">
        <is>
          <t>ÖSTERGÖTLANDS LÄN</t>
        </is>
      </c>
      <c r="E604" t="inlineStr">
        <is>
          <t>LINKÖPING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1924-2024</t>
        </is>
      </c>
      <c r="B605" s="1" t="n">
        <v>45308</v>
      </c>
      <c r="C605" s="1" t="n">
        <v>46022</v>
      </c>
      <c r="D605" t="inlineStr">
        <is>
          <t>ÖSTERGÖTLANDS LÄN</t>
        </is>
      </c>
      <c r="E605" t="inlineStr">
        <is>
          <t>LINKÖPING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32346-2023</t>
        </is>
      </c>
      <c r="B606" s="1" t="n">
        <v>45120</v>
      </c>
      <c r="C606" s="1" t="n">
        <v>46022</v>
      </c>
      <c r="D606" t="inlineStr">
        <is>
          <t>ÖSTERGÖTLANDS LÄN</t>
        </is>
      </c>
      <c r="E606" t="inlineStr">
        <is>
          <t>LINKÖPING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50508-2024</t>
        </is>
      </c>
      <c r="B607" s="1" t="n">
        <v>45601.53907407408</v>
      </c>
      <c r="C607" s="1" t="n">
        <v>46022</v>
      </c>
      <c r="D607" t="inlineStr">
        <is>
          <t>ÖSTERGÖTLANDS LÄN</t>
        </is>
      </c>
      <c r="E607" t="inlineStr">
        <is>
          <t>LINKÖPING</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7808-2022</t>
        </is>
      </c>
      <c r="B608" s="1" t="n">
        <v>44608</v>
      </c>
      <c r="C608" s="1" t="n">
        <v>46022</v>
      </c>
      <c r="D608" t="inlineStr">
        <is>
          <t>ÖSTERGÖTLANDS LÄN</t>
        </is>
      </c>
      <c r="E608" t="inlineStr">
        <is>
          <t>LINKÖPING</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27844-2024</t>
        </is>
      </c>
      <c r="B609" s="1" t="n">
        <v>45475.63047453704</v>
      </c>
      <c r="C609" s="1" t="n">
        <v>46022</v>
      </c>
      <c r="D609" t="inlineStr">
        <is>
          <t>ÖSTERGÖTLANDS LÄN</t>
        </is>
      </c>
      <c r="E609" t="inlineStr">
        <is>
          <t>LINKÖPING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40810-2022</t>
        </is>
      </c>
      <c r="B610" s="1" t="n">
        <v>44824</v>
      </c>
      <c r="C610" s="1" t="n">
        <v>46022</v>
      </c>
      <c r="D610" t="inlineStr">
        <is>
          <t>ÖSTERGÖTLANDS LÄN</t>
        </is>
      </c>
      <c r="E610" t="inlineStr">
        <is>
          <t>LINKÖPING</t>
        </is>
      </c>
      <c r="G610" t="n">
        <v>2.8</v>
      </c>
      <c r="H610" t="n">
        <v>0</v>
      </c>
      <c r="I610" t="n">
        <v>0</v>
      </c>
      <c r="J610" t="n">
        <v>0</v>
      </c>
      <c r="K610" t="n">
        <v>0</v>
      </c>
      <c r="L610" t="n">
        <v>0</v>
      </c>
      <c r="M610" t="n">
        <v>0</v>
      </c>
      <c r="N610" t="n">
        <v>0</v>
      </c>
      <c r="O610" t="n">
        <v>0</v>
      </c>
      <c r="P610" t="n">
        <v>0</v>
      </c>
      <c r="Q610" t="n">
        <v>0</v>
      </c>
      <c r="R610" s="2" t="inlineStr"/>
    </row>
    <row r="611" ht="15" customHeight="1">
      <c r="A611" t="inlineStr">
        <is>
          <t>A 51559-2024</t>
        </is>
      </c>
      <c r="B611" s="1" t="n">
        <v>45604.61431712963</v>
      </c>
      <c r="C611" s="1" t="n">
        <v>46022</v>
      </c>
      <c r="D611" t="inlineStr">
        <is>
          <t>ÖSTERGÖTLANDS LÄN</t>
        </is>
      </c>
      <c r="E611" t="inlineStr">
        <is>
          <t>LINKÖPING</t>
        </is>
      </c>
      <c r="F611" t="inlineStr">
        <is>
          <t>Övriga Aktiebolag</t>
        </is>
      </c>
      <c r="G611" t="n">
        <v>2.4</v>
      </c>
      <c r="H611" t="n">
        <v>0</v>
      </c>
      <c r="I611" t="n">
        <v>0</v>
      </c>
      <c r="J611" t="n">
        <v>0</v>
      </c>
      <c r="K611" t="n">
        <v>0</v>
      </c>
      <c r="L611" t="n">
        <v>0</v>
      </c>
      <c r="M611" t="n">
        <v>0</v>
      </c>
      <c r="N611" t="n">
        <v>0</v>
      </c>
      <c r="O611" t="n">
        <v>0</v>
      </c>
      <c r="P611" t="n">
        <v>0</v>
      </c>
      <c r="Q611" t="n">
        <v>0</v>
      </c>
      <c r="R611" s="2" t="inlineStr"/>
    </row>
    <row r="612" ht="15" customHeight="1">
      <c r="A612" t="inlineStr">
        <is>
          <t>A 49979-2022</t>
        </is>
      </c>
      <c r="B612" s="1" t="n">
        <v>44865</v>
      </c>
      <c r="C612" s="1" t="n">
        <v>46022</v>
      </c>
      <c r="D612" t="inlineStr">
        <is>
          <t>ÖSTERGÖTLANDS LÄN</t>
        </is>
      </c>
      <c r="E612" t="inlineStr">
        <is>
          <t>LINKÖPING</t>
        </is>
      </c>
      <c r="F612" t="inlineStr">
        <is>
          <t>Övriga Aktiebolag</t>
        </is>
      </c>
      <c r="G612" t="n">
        <v>11.4</v>
      </c>
      <c r="H612" t="n">
        <v>0</v>
      </c>
      <c r="I612" t="n">
        <v>0</v>
      </c>
      <c r="J612" t="n">
        <v>0</v>
      </c>
      <c r="K612" t="n">
        <v>0</v>
      </c>
      <c r="L612" t="n">
        <v>0</v>
      </c>
      <c r="M612" t="n">
        <v>0</v>
      </c>
      <c r="N612" t="n">
        <v>0</v>
      </c>
      <c r="O612" t="n">
        <v>0</v>
      </c>
      <c r="P612" t="n">
        <v>0</v>
      </c>
      <c r="Q612" t="n">
        <v>0</v>
      </c>
      <c r="R612" s="2" t="inlineStr"/>
    </row>
    <row r="613" ht="15" customHeight="1">
      <c r="A613" t="inlineStr">
        <is>
          <t>A 39219-2021</t>
        </is>
      </c>
      <c r="B613" s="1" t="n">
        <v>44413</v>
      </c>
      <c r="C613" s="1" t="n">
        <v>46022</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39224-2021</t>
        </is>
      </c>
      <c r="B614" s="1" t="n">
        <v>44413</v>
      </c>
      <c r="C614" s="1" t="n">
        <v>46022</v>
      </c>
      <c r="D614" t="inlineStr">
        <is>
          <t>ÖSTERGÖTLANDS LÄN</t>
        </is>
      </c>
      <c r="E614" t="inlineStr">
        <is>
          <t>LINKÖPING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62495-2023</t>
        </is>
      </c>
      <c r="B615" s="1" t="n">
        <v>45268.59717592593</v>
      </c>
      <c r="C615" s="1" t="n">
        <v>46022</v>
      </c>
      <c r="D615" t="inlineStr">
        <is>
          <t>ÖSTERGÖTLANDS LÄN</t>
        </is>
      </c>
      <c r="E615" t="inlineStr">
        <is>
          <t>LINKÖPING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29413-2023</t>
        </is>
      </c>
      <c r="B616" s="1" t="n">
        <v>45106.46465277778</v>
      </c>
      <c r="C616" s="1" t="n">
        <v>46022</v>
      </c>
      <c r="D616" t="inlineStr">
        <is>
          <t>ÖSTERGÖTLANDS LÄN</t>
        </is>
      </c>
      <c r="E616" t="inlineStr">
        <is>
          <t>LINKÖPING</t>
        </is>
      </c>
      <c r="G616" t="n">
        <v>8</v>
      </c>
      <c r="H616" t="n">
        <v>0</v>
      </c>
      <c r="I616" t="n">
        <v>0</v>
      </c>
      <c r="J616" t="n">
        <v>0</v>
      </c>
      <c r="K616" t="n">
        <v>0</v>
      </c>
      <c r="L616" t="n">
        <v>0</v>
      </c>
      <c r="M616" t="n">
        <v>0</v>
      </c>
      <c r="N616" t="n">
        <v>0</v>
      </c>
      <c r="O616" t="n">
        <v>0</v>
      </c>
      <c r="P616" t="n">
        <v>0</v>
      </c>
      <c r="Q616" t="n">
        <v>0</v>
      </c>
      <c r="R616" s="2" t="inlineStr"/>
    </row>
    <row r="617" ht="15" customHeight="1">
      <c r="A617" t="inlineStr">
        <is>
          <t>A 25948-2023</t>
        </is>
      </c>
      <c r="B617" s="1" t="n">
        <v>45090</v>
      </c>
      <c r="C617" s="1" t="n">
        <v>46022</v>
      </c>
      <c r="D617" t="inlineStr">
        <is>
          <t>ÖSTERGÖTLANDS LÄN</t>
        </is>
      </c>
      <c r="E617" t="inlineStr">
        <is>
          <t>LINKÖPING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1627-2023</t>
        </is>
      </c>
      <c r="B618" s="1" t="n">
        <v>44937</v>
      </c>
      <c r="C618" s="1" t="n">
        <v>46022</v>
      </c>
      <c r="D618" t="inlineStr">
        <is>
          <t>ÖSTERGÖTLANDS LÄN</t>
        </is>
      </c>
      <c r="E618" t="inlineStr">
        <is>
          <t>LINKÖPING</t>
        </is>
      </c>
      <c r="G618" t="n">
        <v>10.8</v>
      </c>
      <c r="H618" t="n">
        <v>0</v>
      </c>
      <c r="I618" t="n">
        <v>0</v>
      </c>
      <c r="J618" t="n">
        <v>0</v>
      </c>
      <c r="K618" t="n">
        <v>0</v>
      </c>
      <c r="L618" t="n">
        <v>0</v>
      </c>
      <c r="M618" t="n">
        <v>0</v>
      </c>
      <c r="N618" t="n">
        <v>0</v>
      </c>
      <c r="O618" t="n">
        <v>0</v>
      </c>
      <c r="P618" t="n">
        <v>0</v>
      </c>
      <c r="Q618" t="n">
        <v>0</v>
      </c>
      <c r="R618" s="2" t="inlineStr"/>
    </row>
    <row r="619" ht="15" customHeight="1">
      <c r="A619" t="inlineStr">
        <is>
          <t>A 30481-2023</t>
        </is>
      </c>
      <c r="B619" s="1" t="n">
        <v>45111</v>
      </c>
      <c r="C619" s="1" t="n">
        <v>46022</v>
      </c>
      <c r="D619" t="inlineStr">
        <is>
          <t>ÖSTERGÖTLANDS LÄN</t>
        </is>
      </c>
      <c r="E619" t="inlineStr">
        <is>
          <t>LINKÖPING</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21782-2024</t>
        </is>
      </c>
      <c r="B620" s="1" t="n">
        <v>45442.63368055555</v>
      </c>
      <c r="C620" s="1" t="n">
        <v>46022</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11671-2023</t>
        </is>
      </c>
      <c r="B621" s="1" t="n">
        <v>44994.48125</v>
      </c>
      <c r="C621" s="1" t="n">
        <v>46022</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3013-2023</t>
        </is>
      </c>
      <c r="B622" s="1" t="n">
        <v>44945.8092824074</v>
      </c>
      <c r="C622" s="1" t="n">
        <v>46022</v>
      </c>
      <c r="D622" t="inlineStr">
        <is>
          <t>ÖSTERGÖTLANDS LÄN</t>
        </is>
      </c>
      <c r="E622" t="inlineStr">
        <is>
          <t>LINKÖPING</t>
        </is>
      </c>
      <c r="G622" t="n">
        <v>5.2</v>
      </c>
      <c r="H622" t="n">
        <v>0</v>
      </c>
      <c r="I622" t="n">
        <v>0</v>
      </c>
      <c r="J622" t="n">
        <v>0</v>
      </c>
      <c r="K622" t="n">
        <v>0</v>
      </c>
      <c r="L622" t="n">
        <v>0</v>
      </c>
      <c r="M622" t="n">
        <v>0</v>
      </c>
      <c r="N622" t="n">
        <v>0</v>
      </c>
      <c r="O622" t="n">
        <v>0</v>
      </c>
      <c r="P622" t="n">
        <v>0</v>
      </c>
      <c r="Q622" t="n">
        <v>0</v>
      </c>
      <c r="R622" s="2" t="inlineStr"/>
    </row>
    <row r="623" ht="15" customHeight="1">
      <c r="A623" t="inlineStr">
        <is>
          <t>A 49747-2024</t>
        </is>
      </c>
      <c r="B623" s="1" t="n">
        <v>45596</v>
      </c>
      <c r="C623" s="1" t="n">
        <v>46022</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42997-2021</t>
        </is>
      </c>
      <c r="B624" s="1" t="n">
        <v>44431.45556712963</v>
      </c>
      <c r="C624" s="1" t="n">
        <v>46022</v>
      </c>
      <c r="D624" t="inlineStr">
        <is>
          <t>ÖSTERGÖTLANDS LÄN</t>
        </is>
      </c>
      <c r="E624" t="inlineStr">
        <is>
          <t>LINKÖPING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3011-2023</t>
        </is>
      </c>
      <c r="B625" s="1" t="n">
        <v>44945</v>
      </c>
      <c r="C625" s="1" t="n">
        <v>46022</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23735-2023</t>
        </is>
      </c>
      <c r="B626" s="1" t="n">
        <v>45077</v>
      </c>
      <c r="C626" s="1" t="n">
        <v>46022</v>
      </c>
      <c r="D626" t="inlineStr">
        <is>
          <t>ÖSTERGÖTLANDS LÄN</t>
        </is>
      </c>
      <c r="E626" t="inlineStr">
        <is>
          <t>LINKÖPING</t>
        </is>
      </c>
      <c r="G626" t="n">
        <v>1.7</v>
      </c>
      <c r="H626" t="n">
        <v>0</v>
      </c>
      <c r="I626" t="n">
        <v>0</v>
      </c>
      <c r="J626" t="n">
        <v>0</v>
      </c>
      <c r="K626" t="n">
        <v>0</v>
      </c>
      <c r="L626" t="n">
        <v>0</v>
      </c>
      <c r="M626" t="n">
        <v>0</v>
      </c>
      <c r="N626" t="n">
        <v>0</v>
      </c>
      <c r="O626" t="n">
        <v>0</v>
      </c>
      <c r="P626" t="n">
        <v>0</v>
      </c>
      <c r="Q626" t="n">
        <v>0</v>
      </c>
      <c r="R626" s="2" t="inlineStr"/>
    </row>
    <row r="627" ht="15" customHeight="1">
      <c r="A627" t="inlineStr">
        <is>
          <t>A 45821-2024</t>
        </is>
      </c>
      <c r="B627" s="1" t="n">
        <v>45579.75803240741</v>
      </c>
      <c r="C627" s="1" t="n">
        <v>46022</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53647-2021</t>
        </is>
      </c>
      <c r="B628" s="1" t="n">
        <v>44469</v>
      </c>
      <c r="C628" s="1" t="n">
        <v>46022</v>
      </c>
      <c r="D628" t="inlineStr">
        <is>
          <t>ÖSTERGÖTLANDS LÄN</t>
        </is>
      </c>
      <c r="E628" t="inlineStr">
        <is>
          <t>LINKÖPING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6599-2023</t>
        </is>
      </c>
      <c r="B629" s="1" t="n">
        <v>44966.52603009259</v>
      </c>
      <c r="C629" s="1" t="n">
        <v>46022</v>
      </c>
      <c r="D629" t="inlineStr">
        <is>
          <t>ÖSTERGÖTLANDS LÄN</t>
        </is>
      </c>
      <c r="E629" t="inlineStr">
        <is>
          <t>LINKÖPING</t>
        </is>
      </c>
      <c r="G629" t="n">
        <v>1.9</v>
      </c>
      <c r="H629" t="n">
        <v>0</v>
      </c>
      <c r="I629" t="n">
        <v>0</v>
      </c>
      <c r="J629" t="n">
        <v>0</v>
      </c>
      <c r="K629" t="n">
        <v>0</v>
      </c>
      <c r="L629" t="n">
        <v>0</v>
      </c>
      <c r="M629" t="n">
        <v>0</v>
      </c>
      <c r="N629" t="n">
        <v>0</v>
      </c>
      <c r="O629" t="n">
        <v>0</v>
      </c>
      <c r="P629" t="n">
        <v>0</v>
      </c>
      <c r="Q629" t="n">
        <v>0</v>
      </c>
      <c r="R629" s="2" t="inlineStr"/>
    </row>
    <row r="630" ht="15" customHeight="1">
      <c r="A630" t="inlineStr">
        <is>
          <t>A 35735-2023</t>
        </is>
      </c>
      <c r="B630" s="1" t="n">
        <v>45147</v>
      </c>
      <c r="C630" s="1" t="n">
        <v>46022</v>
      </c>
      <c r="D630" t="inlineStr">
        <is>
          <t>ÖSTERGÖTLANDS LÄN</t>
        </is>
      </c>
      <c r="E630" t="inlineStr">
        <is>
          <t>LINKÖPING</t>
        </is>
      </c>
      <c r="G630" t="n">
        <v>2.8</v>
      </c>
      <c r="H630" t="n">
        <v>0</v>
      </c>
      <c r="I630" t="n">
        <v>0</v>
      </c>
      <c r="J630" t="n">
        <v>0</v>
      </c>
      <c r="K630" t="n">
        <v>0</v>
      </c>
      <c r="L630" t="n">
        <v>0</v>
      </c>
      <c r="M630" t="n">
        <v>0</v>
      </c>
      <c r="N630" t="n">
        <v>0</v>
      </c>
      <c r="O630" t="n">
        <v>0</v>
      </c>
      <c r="P630" t="n">
        <v>0</v>
      </c>
      <c r="Q630" t="n">
        <v>0</v>
      </c>
      <c r="R630" s="2" t="inlineStr"/>
    </row>
    <row r="631" ht="15" customHeight="1">
      <c r="A631" t="inlineStr">
        <is>
          <t>A 45831-2024</t>
        </is>
      </c>
      <c r="B631" s="1" t="n">
        <v>45579.90508101852</v>
      </c>
      <c r="C631" s="1" t="n">
        <v>46022</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17157-2024</t>
        </is>
      </c>
      <c r="B632" s="1" t="n">
        <v>45412.70567129629</v>
      </c>
      <c r="C632" s="1" t="n">
        <v>46022</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37154-2023</t>
        </is>
      </c>
      <c r="B633" s="1" t="n">
        <v>45155</v>
      </c>
      <c r="C633" s="1" t="n">
        <v>46022</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53812-2023</t>
        </is>
      </c>
      <c r="B634" s="1" t="n">
        <v>45231.39583333334</v>
      </c>
      <c r="C634" s="1" t="n">
        <v>46022</v>
      </c>
      <c r="D634" t="inlineStr">
        <is>
          <t>ÖSTERGÖTLANDS LÄN</t>
        </is>
      </c>
      <c r="E634" t="inlineStr">
        <is>
          <t>LINKÖPING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53830-2023</t>
        </is>
      </c>
      <c r="B635" s="1" t="n">
        <v>45230</v>
      </c>
      <c r="C635" s="1" t="n">
        <v>46022</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56841-2023</t>
        </is>
      </c>
      <c r="B636" s="1" t="n">
        <v>45244</v>
      </c>
      <c r="C636" s="1" t="n">
        <v>46022</v>
      </c>
      <c r="D636" t="inlineStr">
        <is>
          <t>ÖSTERGÖTLANDS LÄN</t>
        </is>
      </c>
      <c r="E636" t="inlineStr">
        <is>
          <t>LINKÖPING</t>
        </is>
      </c>
      <c r="F636" t="inlineStr">
        <is>
          <t>Övriga Aktiebolag</t>
        </is>
      </c>
      <c r="G636" t="n">
        <v>0.5</v>
      </c>
      <c r="H636" t="n">
        <v>0</v>
      </c>
      <c r="I636" t="n">
        <v>0</v>
      </c>
      <c r="J636" t="n">
        <v>0</v>
      </c>
      <c r="K636" t="n">
        <v>0</v>
      </c>
      <c r="L636" t="n">
        <v>0</v>
      </c>
      <c r="M636" t="n">
        <v>0</v>
      </c>
      <c r="N636" t="n">
        <v>0</v>
      </c>
      <c r="O636" t="n">
        <v>0</v>
      </c>
      <c r="P636" t="n">
        <v>0</v>
      </c>
      <c r="Q636" t="n">
        <v>0</v>
      </c>
      <c r="R636" s="2" t="inlineStr"/>
    </row>
    <row r="637" ht="15" customHeight="1">
      <c r="A637" t="inlineStr">
        <is>
          <t>A 56741-2023</t>
        </is>
      </c>
      <c r="B637" s="1" t="n">
        <v>45244</v>
      </c>
      <c r="C637" s="1" t="n">
        <v>46022</v>
      </c>
      <c r="D637" t="inlineStr">
        <is>
          <t>ÖSTERGÖTLANDS LÄN</t>
        </is>
      </c>
      <c r="E637" t="inlineStr">
        <is>
          <t>LINKÖPING</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53816-2023</t>
        </is>
      </c>
      <c r="B638" s="1" t="n">
        <v>45231.40012731482</v>
      </c>
      <c r="C638" s="1" t="n">
        <v>46022</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63935-2021</t>
        </is>
      </c>
      <c r="B639" s="1" t="n">
        <v>44509</v>
      </c>
      <c r="C639" s="1" t="n">
        <v>46022</v>
      </c>
      <c r="D639" t="inlineStr">
        <is>
          <t>ÖSTERGÖTLANDS LÄN</t>
        </is>
      </c>
      <c r="E639" t="inlineStr">
        <is>
          <t>LINKÖPING</t>
        </is>
      </c>
      <c r="F639" t="inlineStr">
        <is>
          <t>Övriga statliga verk och myndigheter</t>
        </is>
      </c>
      <c r="G639" t="n">
        <v>2.8</v>
      </c>
      <c r="H639" t="n">
        <v>0</v>
      </c>
      <c r="I639" t="n">
        <v>0</v>
      </c>
      <c r="J639" t="n">
        <v>0</v>
      </c>
      <c r="K639" t="n">
        <v>0</v>
      </c>
      <c r="L639" t="n">
        <v>0</v>
      </c>
      <c r="M639" t="n">
        <v>0</v>
      </c>
      <c r="N639" t="n">
        <v>0</v>
      </c>
      <c r="O639" t="n">
        <v>0</v>
      </c>
      <c r="P639" t="n">
        <v>0</v>
      </c>
      <c r="Q639" t="n">
        <v>0</v>
      </c>
      <c r="R639" s="2" t="inlineStr"/>
    </row>
    <row r="640" ht="15" customHeight="1">
      <c r="A640" t="inlineStr">
        <is>
          <t>A 6726-2024</t>
        </is>
      </c>
      <c r="B640" s="1" t="n">
        <v>45341</v>
      </c>
      <c r="C640" s="1" t="n">
        <v>46022</v>
      </c>
      <c r="D640" t="inlineStr">
        <is>
          <t>ÖSTERGÖTLANDS LÄN</t>
        </is>
      </c>
      <c r="E640" t="inlineStr">
        <is>
          <t>LINKÖPING</t>
        </is>
      </c>
      <c r="G640" t="n">
        <v>2.7</v>
      </c>
      <c r="H640" t="n">
        <v>0</v>
      </c>
      <c r="I640" t="n">
        <v>0</v>
      </c>
      <c r="J640" t="n">
        <v>0</v>
      </c>
      <c r="K640" t="n">
        <v>0</v>
      </c>
      <c r="L640" t="n">
        <v>0</v>
      </c>
      <c r="M640" t="n">
        <v>0</v>
      </c>
      <c r="N640" t="n">
        <v>0</v>
      </c>
      <c r="O640" t="n">
        <v>0</v>
      </c>
      <c r="P640" t="n">
        <v>0</v>
      </c>
      <c r="Q640" t="n">
        <v>0</v>
      </c>
      <c r="R640" s="2" t="inlineStr"/>
    </row>
    <row r="641" ht="15" customHeight="1">
      <c r="A641" t="inlineStr">
        <is>
          <t>A 3007-2023</t>
        </is>
      </c>
      <c r="B641" s="1" t="n">
        <v>44945</v>
      </c>
      <c r="C641" s="1" t="n">
        <v>46022</v>
      </c>
      <c r="D641" t="inlineStr">
        <is>
          <t>ÖSTERGÖTLANDS LÄN</t>
        </is>
      </c>
      <c r="E641" t="inlineStr">
        <is>
          <t>LINKÖPING</t>
        </is>
      </c>
      <c r="G641" t="n">
        <v>2.6</v>
      </c>
      <c r="H641" t="n">
        <v>0</v>
      </c>
      <c r="I641" t="n">
        <v>0</v>
      </c>
      <c r="J641" t="n">
        <v>0</v>
      </c>
      <c r="K641" t="n">
        <v>0</v>
      </c>
      <c r="L641" t="n">
        <v>0</v>
      </c>
      <c r="M641" t="n">
        <v>0</v>
      </c>
      <c r="N641" t="n">
        <v>0</v>
      </c>
      <c r="O641" t="n">
        <v>0</v>
      </c>
      <c r="P641" t="n">
        <v>0</v>
      </c>
      <c r="Q641" t="n">
        <v>0</v>
      </c>
      <c r="R641" s="2" t="inlineStr"/>
    </row>
    <row r="642" ht="15" customHeight="1">
      <c r="A642" t="inlineStr">
        <is>
          <t>A 18145-2021</t>
        </is>
      </c>
      <c r="B642" s="1" t="n">
        <v>44302</v>
      </c>
      <c r="C642" s="1" t="n">
        <v>46022</v>
      </c>
      <c r="D642" t="inlineStr">
        <is>
          <t>ÖSTERGÖTLANDS LÄN</t>
        </is>
      </c>
      <c r="E642" t="inlineStr">
        <is>
          <t>LINKÖPING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29309-2024</t>
        </is>
      </c>
      <c r="B643" s="1" t="n">
        <v>45483</v>
      </c>
      <c r="C643" s="1" t="n">
        <v>46022</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53411-2023</t>
        </is>
      </c>
      <c r="B644" s="1" t="n">
        <v>45229.81049768518</v>
      </c>
      <c r="C644" s="1" t="n">
        <v>46022</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26788-2022</t>
        </is>
      </c>
      <c r="B645" s="1" t="n">
        <v>44740</v>
      </c>
      <c r="C645" s="1" t="n">
        <v>46022</v>
      </c>
      <c r="D645" t="inlineStr">
        <is>
          <t>ÖSTERGÖTLANDS LÄN</t>
        </is>
      </c>
      <c r="E645" t="inlineStr">
        <is>
          <t>LINKÖPING</t>
        </is>
      </c>
      <c r="G645" t="n">
        <v>3.2</v>
      </c>
      <c r="H645" t="n">
        <v>0</v>
      </c>
      <c r="I645" t="n">
        <v>0</v>
      </c>
      <c r="J645" t="n">
        <v>0</v>
      </c>
      <c r="K645" t="n">
        <v>0</v>
      </c>
      <c r="L645" t="n">
        <v>0</v>
      </c>
      <c r="M645" t="n">
        <v>0</v>
      </c>
      <c r="N645" t="n">
        <v>0</v>
      </c>
      <c r="O645" t="n">
        <v>0</v>
      </c>
      <c r="P645" t="n">
        <v>0</v>
      </c>
      <c r="Q645" t="n">
        <v>0</v>
      </c>
      <c r="R645" s="2" t="inlineStr"/>
    </row>
    <row r="646" ht="15" customHeight="1">
      <c r="A646" t="inlineStr">
        <is>
          <t>A 24462-2023</t>
        </is>
      </c>
      <c r="B646" s="1" t="n">
        <v>45082</v>
      </c>
      <c r="C646" s="1" t="n">
        <v>46022</v>
      </c>
      <c r="D646" t="inlineStr">
        <is>
          <t>ÖSTERGÖTLANDS LÄN</t>
        </is>
      </c>
      <c r="E646" t="inlineStr">
        <is>
          <t>LINKÖPING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62015-2024</t>
        </is>
      </c>
      <c r="B647" s="1" t="n">
        <v>45655.80457175926</v>
      </c>
      <c r="C647" s="1" t="n">
        <v>46022</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10741-2023</t>
        </is>
      </c>
      <c r="B648" s="1" t="n">
        <v>44988.70084490741</v>
      </c>
      <c r="C648" s="1" t="n">
        <v>46022</v>
      </c>
      <c r="D648" t="inlineStr">
        <is>
          <t>ÖSTERGÖTLANDS LÄN</t>
        </is>
      </c>
      <c r="E648" t="inlineStr">
        <is>
          <t>LINKÖPING</t>
        </is>
      </c>
      <c r="F648" t="inlineStr">
        <is>
          <t>Allmännings- och besparingsskogar</t>
        </is>
      </c>
      <c r="G648" t="n">
        <v>11.2</v>
      </c>
      <c r="H648" t="n">
        <v>0</v>
      </c>
      <c r="I648" t="n">
        <v>0</v>
      </c>
      <c r="J648" t="n">
        <v>0</v>
      </c>
      <c r="K648" t="n">
        <v>0</v>
      </c>
      <c r="L648" t="n">
        <v>0</v>
      </c>
      <c r="M648" t="n">
        <v>0</v>
      </c>
      <c r="N648" t="n">
        <v>0</v>
      </c>
      <c r="O648" t="n">
        <v>0</v>
      </c>
      <c r="P648" t="n">
        <v>0</v>
      </c>
      <c r="Q648" t="n">
        <v>0</v>
      </c>
      <c r="R648" s="2" t="inlineStr"/>
    </row>
    <row r="649" ht="15" customHeight="1">
      <c r="A649" t="inlineStr">
        <is>
          <t>A 43473-2024</t>
        </is>
      </c>
      <c r="B649" s="1" t="n">
        <v>45568</v>
      </c>
      <c r="C649" s="1" t="n">
        <v>46022</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43475-2024</t>
        </is>
      </c>
      <c r="B650" s="1" t="n">
        <v>45568</v>
      </c>
      <c r="C650" s="1" t="n">
        <v>46022</v>
      </c>
      <c r="D650" t="inlineStr">
        <is>
          <t>ÖSTERGÖTLANDS LÄN</t>
        </is>
      </c>
      <c r="E650" t="inlineStr">
        <is>
          <t>LINKÖPING</t>
        </is>
      </c>
      <c r="G650" t="n">
        <v>3.2</v>
      </c>
      <c r="H650" t="n">
        <v>0</v>
      </c>
      <c r="I650" t="n">
        <v>0</v>
      </c>
      <c r="J650" t="n">
        <v>0</v>
      </c>
      <c r="K650" t="n">
        <v>0</v>
      </c>
      <c r="L650" t="n">
        <v>0</v>
      </c>
      <c r="M650" t="n">
        <v>0</v>
      </c>
      <c r="N650" t="n">
        <v>0</v>
      </c>
      <c r="O650" t="n">
        <v>0</v>
      </c>
      <c r="P650" t="n">
        <v>0</v>
      </c>
      <c r="Q650" t="n">
        <v>0</v>
      </c>
      <c r="R650" s="2" t="inlineStr"/>
    </row>
    <row r="651" ht="15" customHeight="1">
      <c r="A651" t="inlineStr">
        <is>
          <t>A 1207-2023</t>
        </is>
      </c>
      <c r="B651" s="1" t="n">
        <v>44930</v>
      </c>
      <c r="C651" s="1" t="n">
        <v>46022</v>
      </c>
      <c r="D651" t="inlineStr">
        <is>
          <t>ÖSTERGÖTLANDS LÄN</t>
        </is>
      </c>
      <c r="E651" t="inlineStr">
        <is>
          <t>LINKÖPING</t>
        </is>
      </c>
      <c r="F651" t="inlineStr">
        <is>
          <t>Övriga statliga verk och myndigheter</t>
        </is>
      </c>
      <c r="G651" t="n">
        <v>32.8</v>
      </c>
      <c r="H651" t="n">
        <v>0</v>
      </c>
      <c r="I651" t="n">
        <v>0</v>
      </c>
      <c r="J651" t="n">
        <v>0</v>
      </c>
      <c r="K651" t="n">
        <v>0</v>
      </c>
      <c r="L651" t="n">
        <v>0</v>
      </c>
      <c r="M651" t="n">
        <v>0</v>
      </c>
      <c r="N651" t="n">
        <v>0</v>
      </c>
      <c r="O651" t="n">
        <v>0</v>
      </c>
      <c r="P651" t="n">
        <v>0</v>
      </c>
      <c r="Q651" t="n">
        <v>0</v>
      </c>
      <c r="R651" s="2" t="inlineStr"/>
    </row>
    <row r="652" ht="15" customHeight="1">
      <c r="A652" t="inlineStr">
        <is>
          <t>A 29859-2024</t>
        </is>
      </c>
      <c r="B652" s="1" t="n">
        <v>45485.6846412037</v>
      </c>
      <c r="C652" s="1" t="n">
        <v>46022</v>
      </c>
      <c r="D652" t="inlineStr">
        <is>
          <t>ÖSTERGÖTLANDS LÄN</t>
        </is>
      </c>
      <c r="E652" t="inlineStr">
        <is>
          <t>LINKÖPING</t>
        </is>
      </c>
      <c r="G652" t="n">
        <v>0.4</v>
      </c>
      <c r="H652" t="n">
        <v>0</v>
      </c>
      <c r="I652" t="n">
        <v>0</v>
      </c>
      <c r="J652" t="n">
        <v>0</v>
      </c>
      <c r="K652" t="n">
        <v>0</v>
      </c>
      <c r="L652" t="n">
        <v>0</v>
      </c>
      <c r="M652" t="n">
        <v>0</v>
      </c>
      <c r="N652" t="n">
        <v>0</v>
      </c>
      <c r="O652" t="n">
        <v>0</v>
      </c>
      <c r="P652" t="n">
        <v>0</v>
      </c>
      <c r="Q652" t="n">
        <v>0</v>
      </c>
      <c r="R652" s="2" t="inlineStr"/>
    </row>
    <row r="653" ht="15" customHeight="1">
      <c r="A653" t="inlineStr">
        <is>
          <t>A 45819-2024</t>
        </is>
      </c>
      <c r="B653" s="1" t="n">
        <v>45579.7454050926</v>
      </c>
      <c r="C653" s="1" t="n">
        <v>46022</v>
      </c>
      <c r="D653" t="inlineStr">
        <is>
          <t>ÖSTERGÖTLANDS LÄN</t>
        </is>
      </c>
      <c r="E653" t="inlineStr">
        <is>
          <t>LINKÖPING</t>
        </is>
      </c>
      <c r="G653" t="n">
        <v>5</v>
      </c>
      <c r="H653" t="n">
        <v>0</v>
      </c>
      <c r="I653" t="n">
        <v>0</v>
      </c>
      <c r="J653" t="n">
        <v>0</v>
      </c>
      <c r="K653" t="n">
        <v>0</v>
      </c>
      <c r="L653" t="n">
        <v>0</v>
      </c>
      <c r="M653" t="n">
        <v>0</v>
      </c>
      <c r="N653" t="n">
        <v>0</v>
      </c>
      <c r="O653" t="n">
        <v>0</v>
      </c>
      <c r="P653" t="n">
        <v>0</v>
      </c>
      <c r="Q653" t="n">
        <v>0</v>
      </c>
      <c r="R653" s="2" t="inlineStr"/>
    </row>
    <row r="654" ht="15" customHeight="1">
      <c r="A654" t="inlineStr">
        <is>
          <t>A 15748-2025</t>
        </is>
      </c>
      <c r="B654" s="1" t="n">
        <v>45748.55282407408</v>
      </c>
      <c r="C654" s="1" t="n">
        <v>46022</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15754-2025</t>
        </is>
      </c>
      <c r="B655" s="1" t="n">
        <v>45748.56105324074</v>
      </c>
      <c r="C655" s="1" t="n">
        <v>46022</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30518-2024</t>
        </is>
      </c>
      <c r="B656" s="1" t="n">
        <v>45492</v>
      </c>
      <c r="C656" s="1" t="n">
        <v>46022</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53797-2023</t>
        </is>
      </c>
      <c r="B657" s="1" t="n">
        <v>45230</v>
      </c>
      <c r="C657" s="1" t="n">
        <v>46022</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55345-2021</t>
        </is>
      </c>
      <c r="B658" s="1" t="n">
        <v>44475</v>
      </c>
      <c r="C658" s="1" t="n">
        <v>46022</v>
      </c>
      <c r="D658" t="inlineStr">
        <is>
          <t>ÖSTERGÖTLANDS LÄN</t>
        </is>
      </c>
      <c r="E658" t="inlineStr">
        <is>
          <t>LINKÖPING</t>
        </is>
      </c>
      <c r="G658" t="n">
        <v>5.7</v>
      </c>
      <c r="H658" t="n">
        <v>0</v>
      </c>
      <c r="I658" t="n">
        <v>0</v>
      </c>
      <c r="J658" t="n">
        <v>0</v>
      </c>
      <c r="K658" t="n">
        <v>0</v>
      </c>
      <c r="L658" t="n">
        <v>0</v>
      </c>
      <c r="M658" t="n">
        <v>0</v>
      </c>
      <c r="N658" t="n">
        <v>0</v>
      </c>
      <c r="O658" t="n">
        <v>0</v>
      </c>
      <c r="P658" t="n">
        <v>0</v>
      </c>
      <c r="Q658" t="n">
        <v>0</v>
      </c>
      <c r="R658" s="2" t="inlineStr"/>
    </row>
    <row r="659" ht="15" customHeight="1">
      <c r="A659" t="inlineStr">
        <is>
          <t>A 10198-2023</t>
        </is>
      </c>
      <c r="B659" s="1" t="n">
        <v>44986.54665509259</v>
      </c>
      <c r="C659" s="1" t="n">
        <v>46022</v>
      </c>
      <c r="D659" t="inlineStr">
        <is>
          <t>ÖSTERGÖTLANDS LÄN</t>
        </is>
      </c>
      <c r="E659" t="inlineStr">
        <is>
          <t>LINKÖPING</t>
        </is>
      </c>
      <c r="G659" t="n">
        <v>4.6</v>
      </c>
      <c r="H659" t="n">
        <v>0</v>
      </c>
      <c r="I659" t="n">
        <v>0</v>
      </c>
      <c r="J659" t="n">
        <v>0</v>
      </c>
      <c r="K659" t="n">
        <v>0</v>
      </c>
      <c r="L659" t="n">
        <v>0</v>
      </c>
      <c r="M659" t="n">
        <v>0</v>
      </c>
      <c r="N659" t="n">
        <v>0</v>
      </c>
      <c r="O659" t="n">
        <v>0</v>
      </c>
      <c r="P659" t="n">
        <v>0</v>
      </c>
      <c r="Q659" t="n">
        <v>0</v>
      </c>
      <c r="R659" s="2" t="inlineStr"/>
    </row>
    <row r="660" ht="15" customHeight="1">
      <c r="A660" t="inlineStr">
        <is>
          <t>A 4298-2023</t>
        </is>
      </c>
      <c r="B660" s="1" t="n">
        <v>44953</v>
      </c>
      <c r="C660" s="1" t="n">
        <v>46022</v>
      </c>
      <c r="D660" t="inlineStr">
        <is>
          <t>ÖSTERGÖTLANDS LÄN</t>
        </is>
      </c>
      <c r="E660" t="inlineStr">
        <is>
          <t>LINKÖPING</t>
        </is>
      </c>
      <c r="G660" t="n">
        <v>2.8</v>
      </c>
      <c r="H660" t="n">
        <v>0</v>
      </c>
      <c r="I660" t="n">
        <v>0</v>
      </c>
      <c r="J660" t="n">
        <v>0</v>
      </c>
      <c r="K660" t="n">
        <v>0</v>
      </c>
      <c r="L660" t="n">
        <v>0</v>
      </c>
      <c r="M660" t="n">
        <v>0</v>
      </c>
      <c r="N660" t="n">
        <v>0</v>
      </c>
      <c r="O660" t="n">
        <v>0</v>
      </c>
      <c r="P660" t="n">
        <v>0</v>
      </c>
      <c r="Q660" t="n">
        <v>0</v>
      </c>
      <c r="R660" s="2" t="inlineStr"/>
    </row>
    <row r="661" ht="15" customHeight="1">
      <c r="A661" t="inlineStr">
        <is>
          <t>A 12428-2024</t>
        </is>
      </c>
      <c r="B661" s="1" t="n">
        <v>45379</v>
      </c>
      <c r="C661" s="1" t="n">
        <v>46022</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26618-2023</t>
        </is>
      </c>
      <c r="B662" s="1" t="n">
        <v>45092.70306712963</v>
      </c>
      <c r="C662" s="1" t="n">
        <v>46022</v>
      </c>
      <c r="D662" t="inlineStr">
        <is>
          <t>ÖSTERGÖTLANDS LÄN</t>
        </is>
      </c>
      <c r="E662" t="inlineStr">
        <is>
          <t>LINKÖPING</t>
        </is>
      </c>
      <c r="G662" t="n">
        <v>6.9</v>
      </c>
      <c r="H662" t="n">
        <v>0</v>
      </c>
      <c r="I662" t="n">
        <v>0</v>
      </c>
      <c r="J662" t="n">
        <v>0</v>
      </c>
      <c r="K662" t="n">
        <v>0</v>
      </c>
      <c r="L662" t="n">
        <v>0</v>
      </c>
      <c r="M662" t="n">
        <v>0</v>
      </c>
      <c r="N662" t="n">
        <v>0</v>
      </c>
      <c r="O662" t="n">
        <v>0</v>
      </c>
      <c r="P662" t="n">
        <v>0</v>
      </c>
      <c r="Q662" t="n">
        <v>0</v>
      </c>
      <c r="R662" s="2" t="inlineStr"/>
    </row>
    <row r="663" ht="15" customHeight="1">
      <c r="A663" t="inlineStr">
        <is>
          <t>A 34930-2023</t>
        </is>
      </c>
      <c r="B663" s="1" t="n">
        <v>45142</v>
      </c>
      <c r="C663" s="1" t="n">
        <v>46022</v>
      </c>
      <c r="D663" t="inlineStr">
        <is>
          <t>ÖSTERGÖTLANDS LÄN</t>
        </is>
      </c>
      <c r="E663" t="inlineStr">
        <is>
          <t>LINKÖPING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670-2024</t>
        </is>
      </c>
      <c r="B664" s="1" t="n">
        <v>45300.3408912037</v>
      </c>
      <c r="C664" s="1" t="n">
        <v>46022</v>
      </c>
      <c r="D664" t="inlineStr">
        <is>
          <t>ÖSTERGÖTLANDS LÄN</t>
        </is>
      </c>
      <c r="E664" t="inlineStr">
        <is>
          <t>LINKÖPING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63845-2021</t>
        </is>
      </c>
      <c r="B665" s="1" t="n">
        <v>44509</v>
      </c>
      <c r="C665" s="1" t="n">
        <v>46022</v>
      </c>
      <c r="D665" t="inlineStr">
        <is>
          <t>ÖSTERGÖTLANDS LÄN</t>
        </is>
      </c>
      <c r="E665" t="inlineStr">
        <is>
          <t>LINKÖPING</t>
        </is>
      </c>
      <c r="G665" t="n">
        <v>5</v>
      </c>
      <c r="H665" t="n">
        <v>0</v>
      </c>
      <c r="I665" t="n">
        <v>0</v>
      </c>
      <c r="J665" t="n">
        <v>0</v>
      </c>
      <c r="K665" t="n">
        <v>0</v>
      </c>
      <c r="L665" t="n">
        <v>0</v>
      </c>
      <c r="M665" t="n">
        <v>0</v>
      </c>
      <c r="N665" t="n">
        <v>0</v>
      </c>
      <c r="O665" t="n">
        <v>0</v>
      </c>
      <c r="P665" t="n">
        <v>0</v>
      </c>
      <c r="Q665" t="n">
        <v>0</v>
      </c>
      <c r="R665" s="2" t="inlineStr"/>
    </row>
    <row r="666" ht="15" customHeight="1">
      <c r="A666" t="inlineStr">
        <is>
          <t>A 54034-2022</t>
        </is>
      </c>
      <c r="B666" s="1" t="n">
        <v>44881</v>
      </c>
      <c r="C666" s="1" t="n">
        <v>46022</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36336-2023</t>
        </is>
      </c>
      <c r="B667" s="1" t="n">
        <v>45152.45078703704</v>
      </c>
      <c r="C667" s="1" t="n">
        <v>46022</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48829-2023</t>
        </is>
      </c>
      <c r="B668" s="1" t="n">
        <v>45209.38177083333</v>
      </c>
      <c r="C668" s="1" t="n">
        <v>46022</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48186-2022</t>
        </is>
      </c>
      <c r="B669" s="1" t="n">
        <v>44858</v>
      </c>
      <c r="C669" s="1" t="n">
        <v>46022</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63669-2023</t>
        </is>
      </c>
      <c r="B670" s="1" t="n">
        <v>45275</v>
      </c>
      <c r="C670" s="1" t="n">
        <v>46022</v>
      </c>
      <c r="D670" t="inlineStr">
        <is>
          <t>ÖSTERGÖTLANDS LÄN</t>
        </is>
      </c>
      <c r="E670" t="inlineStr">
        <is>
          <t>LINKÖPING</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24586-2024</t>
        </is>
      </c>
      <c r="B671" s="1" t="n">
        <v>45460.46664351852</v>
      </c>
      <c r="C671" s="1" t="n">
        <v>46022</v>
      </c>
      <c r="D671" t="inlineStr">
        <is>
          <t>ÖSTERGÖTLANDS LÄN</t>
        </is>
      </c>
      <c r="E671" t="inlineStr">
        <is>
          <t>LINKÖPING</t>
        </is>
      </c>
      <c r="G671" t="n">
        <v>4</v>
      </c>
      <c r="H671" t="n">
        <v>0</v>
      </c>
      <c r="I671" t="n">
        <v>0</v>
      </c>
      <c r="J671" t="n">
        <v>0</v>
      </c>
      <c r="K671" t="n">
        <v>0</v>
      </c>
      <c r="L671" t="n">
        <v>0</v>
      </c>
      <c r="M671" t="n">
        <v>0</v>
      </c>
      <c r="N671" t="n">
        <v>0</v>
      </c>
      <c r="O671" t="n">
        <v>0</v>
      </c>
      <c r="P671" t="n">
        <v>0</v>
      </c>
      <c r="Q671" t="n">
        <v>0</v>
      </c>
      <c r="R671" s="2" t="inlineStr"/>
    </row>
    <row r="672" ht="15" customHeight="1">
      <c r="A672" t="inlineStr">
        <is>
          <t>A 59576-2024</t>
        </is>
      </c>
      <c r="B672" s="1" t="n">
        <v>45638.66378472222</v>
      </c>
      <c r="C672" s="1" t="n">
        <v>46022</v>
      </c>
      <c r="D672" t="inlineStr">
        <is>
          <t>ÖSTERGÖTLANDS LÄN</t>
        </is>
      </c>
      <c r="E672" t="inlineStr">
        <is>
          <t>LINKÖPING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59642-2024</t>
        </is>
      </c>
      <c r="B673" s="1" t="n">
        <v>45639.31511574074</v>
      </c>
      <c r="C673" s="1" t="n">
        <v>46022</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59674-2024</t>
        </is>
      </c>
      <c r="B674" s="1" t="n">
        <v>45639</v>
      </c>
      <c r="C674" s="1" t="n">
        <v>46022</v>
      </c>
      <c r="D674" t="inlineStr">
        <is>
          <t>ÖSTERGÖTLANDS LÄN</t>
        </is>
      </c>
      <c r="E674" t="inlineStr">
        <is>
          <t>LINKÖPING</t>
        </is>
      </c>
      <c r="G674" t="n">
        <v>6.3</v>
      </c>
      <c r="H674" t="n">
        <v>0</v>
      </c>
      <c r="I674" t="n">
        <v>0</v>
      </c>
      <c r="J674" t="n">
        <v>0</v>
      </c>
      <c r="K674" t="n">
        <v>0</v>
      </c>
      <c r="L674" t="n">
        <v>0</v>
      </c>
      <c r="M674" t="n">
        <v>0</v>
      </c>
      <c r="N674" t="n">
        <v>0</v>
      </c>
      <c r="O674" t="n">
        <v>0</v>
      </c>
      <c r="P674" t="n">
        <v>0</v>
      </c>
      <c r="Q674" t="n">
        <v>0</v>
      </c>
      <c r="R674" s="2" t="inlineStr"/>
    </row>
    <row r="675" ht="15" customHeight="1">
      <c r="A675" t="inlineStr">
        <is>
          <t>A 3742-2021</t>
        </is>
      </c>
      <c r="B675" s="1" t="n">
        <v>44221</v>
      </c>
      <c r="C675" s="1" t="n">
        <v>46022</v>
      </c>
      <c r="D675" t="inlineStr">
        <is>
          <t>ÖSTERGÖTLANDS LÄN</t>
        </is>
      </c>
      <c r="E675" t="inlineStr">
        <is>
          <t>LINKÖPING</t>
        </is>
      </c>
      <c r="G675" t="n">
        <v>5.5</v>
      </c>
      <c r="H675" t="n">
        <v>0</v>
      </c>
      <c r="I675" t="n">
        <v>0</v>
      </c>
      <c r="J675" t="n">
        <v>0</v>
      </c>
      <c r="K675" t="n">
        <v>0</v>
      </c>
      <c r="L675" t="n">
        <v>0</v>
      </c>
      <c r="M675" t="n">
        <v>0</v>
      </c>
      <c r="N675" t="n">
        <v>0</v>
      </c>
      <c r="O675" t="n">
        <v>0</v>
      </c>
      <c r="P675" t="n">
        <v>0</v>
      </c>
      <c r="Q675" t="n">
        <v>0</v>
      </c>
      <c r="R675" s="2" t="inlineStr"/>
    </row>
    <row r="676" ht="15" customHeight="1">
      <c r="A676" t="inlineStr">
        <is>
          <t>A 18916-2024</t>
        </is>
      </c>
      <c r="B676" s="1" t="n">
        <v>45427.39541666667</v>
      </c>
      <c r="C676" s="1" t="n">
        <v>46022</v>
      </c>
      <c r="D676" t="inlineStr">
        <is>
          <t>ÖSTERGÖTLANDS LÄN</t>
        </is>
      </c>
      <c r="E676" t="inlineStr">
        <is>
          <t>LINKÖPING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11084-2022</t>
        </is>
      </c>
      <c r="B677" s="1" t="n">
        <v>44628</v>
      </c>
      <c r="C677" s="1" t="n">
        <v>46022</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10203-2023</t>
        </is>
      </c>
      <c r="B678" s="1" t="n">
        <v>44986.55711805556</v>
      </c>
      <c r="C678" s="1" t="n">
        <v>46022</v>
      </c>
      <c r="D678" t="inlineStr">
        <is>
          <t>ÖSTERGÖTLANDS LÄN</t>
        </is>
      </c>
      <c r="E678" t="inlineStr">
        <is>
          <t>LINKÖPING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2618-2023</t>
        </is>
      </c>
      <c r="B679" s="1" t="n">
        <v>44944.35847222222</v>
      </c>
      <c r="C679" s="1" t="n">
        <v>46022</v>
      </c>
      <c r="D679" t="inlineStr">
        <is>
          <t>ÖSTERGÖTLANDS LÄN</t>
        </is>
      </c>
      <c r="E679" t="inlineStr">
        <is>
          <t>LINKÖPING</t>
        </is>
      </c>
      <c r="G679" t="n">
        <v>4.3</v>
      </c>
      <c r="H679" t="n">
        <v>0</v>
      </c>
      <c r="I679" t="n">
        <v>0</v>
      </c>
      <c r="J679" t="n">
        <v>0</v>
      </c>
      <c r="K679" t="n">
        <v>0</v>
      </c>
      <c r="L679" t="n">
        <v>0</v>
      </c>
      <c r="M679" t="n">
        <v>0</v>
      </c>
      <c r="N679" t="n">
        <v>0</v>
      </c>
      <c r="O679" t="n">
        <v>0</v>
      </c>
      <c r="P679" t="n">
        <v>0</v>
      </c>
      <c r="Q679" t="n">
        <v>0</v>
      </c>
      <c r="R679" s="2" t="inlineStr"/>
    </row>
    <row r="680" ht="15" customHeight="1">
      <c r="A680" t="inlineStr">
        <is>
          <t>A 62020-2024</t>
        </is>
      </c>
      <c r="B680" s="1" t="n">
        <v>45655.83563657408</v>
      </c>
      <c r="C680" s="1" t="n">
        <v>46022</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62021-2024</t>
        </is>
      </c>
      <c r="B681" s="1" t="n">
        <v>45655.84232638889</v>
      </c>
      <c r="C681" s="1" t="n">
        <v>46022</v>
      </c>
      <c r="D681" t="inlineStr">
        <is>
          <t>ÖSTERGÖTLANDS LÄN</t>
        </is>
      </c>
      <c r="E681" t="inlineStr">
        <is>
          <t>LINKÖPING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1362-2023</t>
        </is>
      </c>
      <c r="B682" s="1" t="n">
        <v>44931</v>
      </c>
      <c r="C682" s="1" t="n">
        <v>46022</v>
      </c>
      <c r="D682" t="inlineStr">
        <is>
          <t>ÖSTERGÖTLANDS LÄN</t>
        </is>
      </c>
      <c r="E682" t="inlineStr">
        <is>
          <t>LINKÖPING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49928-2024</t>
        </is>
      </c>
      <c r="B683" s="1" t="n">
        <v>45597.57811342592</v>
      </c>
      <c r="C683" s="1" t="n">
        <v>46022</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3627-2023</t>
        </is>
      </c>
      <c r="B684" s="1" t="n">
        <v>44950.64782407408</v>
      </c>
      <c r="C684" s="1" t="n">
        <v>46022</v>
      </c>
      <c r="D684" t="inlineStr">
        <is>
          <t>ÖSTERGÖTLANDS LÄN</t>
        </is>
      </c>
      <c r="E684" t="inlineStr">
        <is>
          <t>LINKÖPING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51405-2023</t>
        </is>
      </c>
      <c r="B685" s="1" t="n">
        <v>45219</v>
      </c>
      <c r="C685" s="1" t="n">
        <v>46022</v>
      </c>
      <c r="D685" t="inlineStr">
        <is>
          <t>ÖSTERGÖTLANDS LÄN</t>
        </is>
      </c>
      <c r="E685" t="inlineStr">
        <is>
          <t>LINKÖPING</t>
        </is>
      </c>
      <c r="F685" t="inlineStr">
        <is>
          <t>Övriga Aktiebolag</t>
        </is>
      </c>
      <c r="G685" t="n">
        <v>3</v>
      </c>
      <c r="H685" t="n">
        <v>0</v>
      </c>
      <c r="I685" t="n">
        <v>0</v>
      </c>
      <c r="J685" t="n">
        <v>0</v>
      </c>
      <c r="K685" t="n">
        <v>0</v>
      </c>
      <c r="L685" t="n">
        <v>0</v>
      </c>
      <c r="M685" t="n">
        <v>0</v>
      </c>
      <c r="N685" t="n">
        <v>0</v>
      </c>
      <c r="O685" t="n">
        <v>0</v>
      </c>
      <c r="P685" t="n">
        <v>0</v>
      </c>
      <c r="Q685" t="n">
        <v>0</v>
      </c>
      <c r="R685" s="2" t="inlineStr"/>
    </row>
    <row r="686" ht="15" customHeight="1">
      <c r="A686" t="inlineStr">
        <is>
          <t>A 11601-2023</t>
        </is>
      </c>
      <c r="B686" s="1" t="n">
        <v>44994</v>
      </c>
      <c r="C686" s="1" t="n">
        <v>46022</v>
      </c>
      <c r="D686" t="inlineStr">
        <is>
          <t>ÖSTERGÖTLANDS LÄN</t>
        </is>
      </c>
      <c r="E686" t="inlineStr">
        <is>
          <t>LINKÖPING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40338-2024</t>
        </is>
      </c>
      <c r="B687" s="1" t="n">
        <v>45555.32940972222</v>
      </c>
      <c r="C687" s="1" t="n">
        <v>46022</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167-2024</t>
        </is>
      </c>
      <c r="B688" s="1" t="n">
        <v>45294</v>
      </c>
      <c r="C688" s="1" t="n">
        <v>46022</v>
      </c>
      <c r="D688" t="inlineStr">
        <is>
          <t>ÖSTERGÖTLANDS LÄN</t>
        </is>
      </c>
      <c r="E688" t="inlineStr">
        <is>
          <t>LINKÖPING</t>
        </is>
      </c>
      <c r="F688" t="inlineStr">
        <is>
          <t>Allmännings- och besparingsskogar</t>
        </is>
      </c>
      <c r="G688" t="n">
        <v>11.6</v>
      </c>
      <c r="H688" t="n">
        <v>0</v>
      </c>
      <c r="I688" t="n">
        <v>0</v>
      </c>
      <c r="J688" t="n">
        <v>0</v>
      </c>
      <c r="K688" t="n">
        <v>0</v>
      </c>
      <c r="L688" t="n">
        <v>0</v>
      </c>
      <c r="M688" t="n">
        <v>0</v>
      </c>
      <c r="N688" t="n">
        <v>0</v>
      </c>
      <c r="O688" t="n">
        <v>0</v>
      </c>
      <c r="P688" t="n">
        <v>0</v>
      </c>
      <c r="Q688" t="n">
        <v>0</v>
      </c>
      <c r="R688" s="2" t="inlineStr"/>
    </row>
    <row r="689" ht="15" customHeight="1">
      <c r="A689" t="inlineStr">
        <is>
          <t>A 27186-2021</t>
        </is>
      </c>
      <c r="B689" s="1" t="n">
        <v>44350.67715277777</v>
      </c>
      <c r="C689" s="1" t="n">
        <v>46022</v>
      </c>
      <c r="D689" t="inlineStr">
        <is>
          <t>ÖSTERGÖTLANDS LÄN</t>
        </is>
      </c>
      <c r="E689" t="inlineStr">
        <is>
          <t>LINKÖPING</t>
        </is>
      </c>
      <c r="F689" t="inlineStr">
        <is>
          <t>Allmännings- och besparingsskogar</t>
        </is>
      </c>
      <c r="G689" t="n">
        <v>1.4</v>
      </c>
      <c r="H689" t="n">
        <v>0</v>
      </c>
      <c r="I689" t="n">
        <v>0</v>
      </c>
      <c r="J689" t="n">
        <v>0</v>
      </c>
      <c r="K689" t="n">
        <v>0</v>
      </c>
      <c r="L689" t="n">
        <v>0</v>
      </c>
      <c r="M689" t="n">
        <v>0</v>
      </c>
      <c r="N689" t="n">
        <v>0</v>
      </c>
      <c r="O689" t="n">
        <v>0</v>
      </c>
      <c r="P689" t="n">
        <v>0</v>
      </c>
      <c r="Q689" t="n">
        <v>0</v>
      </c>
      <c r="R689" s="2" t="inlineStr"/>
    </row>
    <row r="690" ht="15" customHeight="1">
      <c r="A690" t="inlineStr">
        <is>
          <t>A 7343-2025</t>
        </is>
      </c>
      <c r="B690" s="1" t="n">
        <v>45703.67853009259</v>
      </c>
      <c r="C690" s="1" t="n">
        <v>46022</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48271-2023</t>
        </is>
      </c>
      <c r="B691" s="1" t="n">
        <v>45205</v>
      </c>
      <c r="C691" s="1" t="n">
        <v>46022</v>
      </c>
      <c r="D691" t="inlineStr">
        <is>
          <t>ÖSTERGÖTLANDS LÄN</t>
        </is>
      </c>
      <c r="E691" t="inlineStr">
        <is>
          <t>LINKÖPING</t>
        </is>
      </c>
      <c r="G691" t="n">
        <v>3</v>
      </c>
      <c r="H691" t="n">
        <v>0</v>
      </c>
      <c r="I691" t="n">
        <v>0</v>
      </c>
      <c r="J691" t="n">
        <v>0</v>
      </c>
      <c r="K691" t="n">
        <v>0</v>
      </c>
      <c r="L691" t="n">
        <v>0</v>
      </c>
      <c r="M691" t="n">
        <v>0</v>
      </c>
      <c r="N691" t="n">
        <v>0</v>
      </c>
      <c r="O691" t="n">
        <v>0</v>
      </c>
      <c r="P691" t="n">
        <v>0</v>
      </c>
      <c r="Q691" t="n">
        <v>0</v>
      </c>
      <c r="R691" s="2" t="inlineStr"/>
    </row>
    <row r="692" ht="15" customHeight="1">
      <c r="A692" t="inlineStr">
        <is>
          <t>A 12720-2022</t>
        </is>
      </c>
      <c r="B692" s="1" t="n">
        <v>44641</v>
      </c>
      <c r="C692" s="1" t="n">
        <v>46022</v>
      </c>
      <c r="D692" t="inlineStr">
        <is>
          <t>ÖSTERGÖTLANDS LÄN</t>
        </is>
      </c>
      <c r="E692" t="inlineStr">
        <is>
          <t>LINKÖPING</t>
        </is>
      </c>
      <c r="F692" t="inlineStr">
        <is>
          <t>Övriga Aktiebolag</t>
        </is>
      </c>
      <c r="G692" t="n">
        <v>2</v>
      </c>
      <c r="H692" t="n">
        <v>0</v>
      </c>
      <c r="I692" t="n">
        <v>0</v>
      </c>
      <c r="J692" t="n">
        <v>0</v>
      </c>
      <c r="K692" t="n">
        <v>0</v>
      </c>
      <c r="L692" t="n">
        <v>0</v>
      </c>
      <c r="M692" t="n">
        <v>0</v>
      </c>
      <c r="N692" t="n">
        <v>0</v>
      </c>
      <c r="O692" t="n">
        <v>0</v>
      </c>
      <c r="P692" t="n">
        <v>0</v>
      </c>
      <c r="Q692" t="n">
        <v>0</v>
      </c>
      <c r="R692" s="2" t="inlineStr"/>
    </row>
    <row r="693" ht="15" customHeight="1">
      <c r="A693" t="inlineStr">
        <is>
          <t>A 62018-2024</t>
        </is>
      </c>
      <c r="B693" s="1" t="n">
        <v>45655.81387731482</v>
      </c>
      <c r="C693" s="1" t="n">
        <v>46022</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30551-2023</t>
        </is>
      </c>
      <c r="B694" s="1" t="n">
        <v>45111</v>
      </c>
      <c r="C694" s="1" t="n">
        <v>46022</v>
      </c>
      <c r="D694" t="inlineStr">
        <is>
          <t>ÖSTERGÖTLANDS LÄN</t>
        </is>
      </c>
      <c r="E694" t="inlineStr">
        <is>
          <t>LINKÖPING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30860-2022</t>
        </is>
      </c>
      <c r="B695" s="1" t="n">
        <v>44767</v>
      </c>
      <c r="C695" s="1" t="n">
        <v>46022</v>
      </c>
      <c r="D695" t="inlineStr">
        <is>
          <t>ÖSTERGÖTLANDS LÄN</t>
        </is>
      </c>
      <c r="E695" t="inlineStr">
        <is>
          <t>LINKÖPING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60004-2022</t>
        </is>
      </c>
      <c r="B696" s="1" t="n">
        <v>44909.47206018519</v>
      </c>
      <c r="C696" s="1" t="n">
        <v>46022</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60010-2022</t>
        </is>
      </c>
      <c r="B697" s="1" t="n">
        <v>44909.4740625</v>
      </c>
      <c r="C697" s="1" t="n">
        <v>46022</v>
      </c>
      <c r="D697" t="inlineStr">
        <is>
          <t>ÖSTERGÖTLANDS LÄN</t>
        </is>
      </c>
      <c r="E697" t="inlineStr">
        <is>
          <t>LINKÖPING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53827-2023</t>
        </is>
      </c>
      <c r="B698" s="1" t="n">
        <v>45230</v>
      </c>
      <c r="C698" s="1" t="n">
        <v>46022</v>
      </c>
      <c r="D698" t="inlineStr">
        <is>
          <t>ÖSTERGÖTLANDS LÄN</t>
        </is>
      </c>
      <c r="E698" t="inlineStr">
        <is>
          <t>LINKÖPING</t>
        </is>
      </c>
      <c r="G698" t="n">
        <v>1.6</v>
      </c>
      <c r="H698" t="n">
        <v>0</v>
      </c>
      <c r="I698" t="n">
        <v>0</v>
      </c>
      <c r="J698" t="n">
        <v>0</v>
      </c>
      <c r="K698" t="n">
        <v>0</v>
      </c>
      <c r="L698" t="n">
        <v>0</v>
      </c>
      <c r="M698" t="n">
        <v>0</v>
      </c>
      <c r="N698" t="n">
        <v>0</v>
      </c>
      <c r="O698" t="n">
        <v>0</v>
      </c>
      <c r="P698" t="n">
        <v>0</v>
      </c>
      <c r="Q698" t="n">
        <v>0</v>
      </c>
      <c r="R698" s="2" t="inlineStr"/>
    </row>
    <row r="699" ht="15" customHeight="1">
      <c r="A699" t="inlineStr">
        <is>
          <t>A 4256-2022</t>
        </is>
      </c>
      <c r="B699" s="1" t="n">
        <v>44588</v>
      </c>
      <c r="C699" s="1" t="n">
        <v>46022</v>
      </c>
      <c r="D699" t="inlineStr">
        <is>
          <t>ÖSTERGÖTLANDS LÄN</t>
        </is>
      </c>
      <c r="E699" t="inlineStr">
        <is>
          <t>LINKÖPING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61649-2023</t>
        </is>
      </c>
      <c r="B700" s="1" t="n">
        <v>45265</v>
      </c>
      <c r="C700" s="1" t="n">
        <v>46022</v>
      </c>
      <c r="D700" t="inlineStr">
        <is>
          <t>ÖSTERGÖTLANDS LÄN</t>
        </is>
      </c>
      <c r="E700" t="inlineStr">
        <is>
          <t>LINKÖPING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223-2024</t>
        </is>
      </c>
      <c r="B701" s="1" t="n">
        <v>45294.72739583333</v>
      </c>
      <c r="C701" s="1" t="n">
        <v>46022</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19464-2024</t>
        </is>
      </c>
      <c r="B702" s="1" t="n">
        <v>45429</v>
      </c>
      <c r="C702" s="1" t="n">
        <v>46022</v>
      </c>
      <c r="D702" t="inlineStr">
        <is>
          <t>ÖSTERGÖTLANDS LÄN</t>
        </is>
      </c>
      <c r="E702" t="inlineStr">
        <is>
          <t>LINKÖPING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630-2024</t>
        </is>
      </c>
      <c r="B703" s="1" t="n">
        <v>45299.67736111111</v>
      </c>
      <c r="C703" s="1" t="n">
        <v>46022</v>
      </c>
      <c r="D703" t="inlineStr">
        <is>
          <t>ÖSTERGÖTLANDS LÄN</t>
        </is>
      </c>
      <c r="E703" t="inlineStr">
        <is>
          <t>LINKÖPING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30433-2024</t>
        </is>
      </c>
      <c r="B704" s="1" t="n">
        <v>45491.69741898148</v>
      </c>
      <c r="C704" s="1" t="n">
        <v>46022</v>
      </c>
      <c r="D704" t="inlineStr">
        <is>
          <t>ÖSTERGÖTLANDS LÄN</t>
        </is>
      </c>
      <c r="E704" t="inlineStr">
        <is>
          <t>LINKÖPING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63528-2023</t>
        </is>
      </c>
      <c r="B705" s="1" t="n">
        <v>45274.94810185185</v>
      </c>
      <c r="C705" s="1" t="n">
        <v>46022</v>
      </c>
      <c r="D705" t="inlineStr">
        <is>
          <t>ÖSTERGÖTLANDS LÄN</t>
        </is>
      </c>
      <c r="E705" t="inlineStr">
        <is>
          <t>LINKÖPING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61936-2023</t>
        </is>
      </c>
      <c r="B706" s="1" t="n">
        <v>45266.54534722222</v>
      </c>
      <c r="C706" s="1" t="n">
        <v>46022</v>
      </c>
      <c r="D706" t="inlineStr">
        <is>
          <t>ÖSTERGÖTLANDS LÄN</t>
        </is>
      </c>
      <c r="E706" t="inlineStr">
        <is>
          <t>LINKÖPING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62492-2023</t>
        </is>
      </c>
      <c r="B707" s="1" t="n">
        <v>45268.58987268519</v>
      </c>
      <c r="C707" s="1" t="n">
        <v>46022</v>
      </c>
      <c r="D707" t="inlineStr">
        <is>
          <t>ÖSTERGÖTLANDS LÄN</t>
        </is>
      </c>
      <c r="E707" t="inlineStr">
        <is>
          <t>LINKÖPING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674-2024</t>
        </is>
      </c>
      <c r="B708" s="1" t="n">
        <v>45300.34408564815</v>
      </c>
      <c r="C708" s="1" t="n">
        <v>46022</v>
      </c>
      <c r="D708" t="inlineStr">
        <is>
          <t>ÖSTERGÖTLANDS LÄN</t>
        </is>
      </c>
      <c r="E708" t="inlineStr">
        <is>
          <t>LINKÖPING</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6782-2024</t>
        </is>
      </c>
      <c r="B709" s="1" t="n">
        <v>45342</v>
      </c>
      <c r="C709" s="1" t="n">
        <v>46022</v>
      </c>
      <c r="D709" t="inlineStr">
        <is>
          <t>ÖSTERGÖTLANDS LÄN</t>
        </is>
      </c>
      <c r="E709" t="inlineStr">
        <is>
          <t>LINKÖPING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10094-2024</t>
        </is>
      </c>
      <c r="B710" s="1" t="n">
        <v>45364</v>
      </c>
      <c r="C710" s="1" t="n">
        <v>46022</v>
      </c>
      <c r="D710" t="inlineStr">
        <is>
          <t>ÖSTERGÖTLANDS LÄN</t>
        </is>
      </c>
      <c r="E710" t="inlineStr">
        <is>
          <t>LINKÖPING</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63684-2023</t>
        </is>
      </c>
      <c r="B711" s="1" t="n">
        <v>45275</v>
      </c>
      <c r="C711" s="1" t="n">
        <v>46022</v>
      </c>
      <c r="D711" t="inlineStr">
        <is>
          <t>ÖSTERGÖTLANDS LÄN</t>
        </is>
      </c>
      <c r="E711" t="inlineStr">
        <is>
          <t>LINKÖPING</t>
        </is>
      </c>
      <c r="G711" t="n">
        <v>0.4</v>
      </c>
      <c r="H711" t="n">
        <v>0</v>
      </c>
      <c r="I711" t="n">
        <v>0</v>
      </c>
      <c r="J711" t="n">
        <v>0</v>
      </c>
      <c r="K711" t="n">
        <v>0</v>
      </c>
      <c r="L711" t="n">
        <v>0</v>
      </c>
      <c r="M711" t="n">
        <v>0</v>
      </c>
      <c r="N711" t="n">
        <v>0</v>
      </c>
      <c r="O711" t="n">
        <v>0</v>
      </c>
      <c r="P711" t="n">
        <v>0</v>
      </c>
      <c r="Q711" t="n">
        <v>0</v>
      </c>
      <c r="R711" s="2" t="inlineStr"/>
    </row>
    <row r="712" ht="15" customHeight="1">
      <c r="A712" t="inlineStr">
        <is>
          <t>A 63688-2023</t>
        </is>
      </c>
      <c r="B712" s="1" t="n">
        <v>45275</v>
      </c>
      <c r="C712" s="1" t="n">
        <v>46022</v>
      </c>
      <c r="D712" t="inlineStr">
        <is>
          <t>ÖSTERGÖTLANDS LÄN</t>
        </is>
      </c>
      <c r="E712" t="inlineStr">
        <is>
          <t>LINKÖPING</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63691-2023</t>
        </is>
      </c>
      <c r="B713" s="1" t="n">
        <v>45275</v>
      </c>
      <c r="C713" s="1" t="n">
        <v>46022</v>
      </c>
      <c r="D713" t="inlineStr">
        <is>
          <t>ÖSTERGÖTLANDS LÄN</t>
        </is>
      </c>
      <c r="E713" t="inlineStr">
        <is>
          <t>LINKÖPING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36657-2023</t>
        </is>
      </c>
      <c r="B714" s="1" t="n">
        <v>45153.5702662037</v>
      </c>
      <c r="C714" s="1" t="n">
        <v>46022</v>
      </c>
      <c r="D714" t="inlineStr">
        <is>
          <t>ÖSTERGÖTLANDS LÄN</t>
        </is>
      </c>
      <c r="E714" t="inlineStr">
        <is>
          <t>LINKÖPING</t>
        </is>
      </c>
      <c r="F714" t="inlineStr">
        <is>
          <t>Allmännings- och besparingsskogar</t>
        </is>
      </c>
      <c r="G714" t="n">
        <v>2</v>
      </c>
      <c r="H714" t="n">
        <v>0</v>
      </c>
      <c r="I714" t="n">
        <v>0</v>
      </c>
      <c r="J714" t="n">
        <v>0</v>
      </c>
      <c r="K714" t="n">
        <v>0</v>
      </c>
      <c r="L714" t="n">
        <v>0</v>
      </c>
      <c r="M714" t="n">
        <v>0</v>
      </c>
      <c r="N714" t="n">
        <v>0</v>
      </c>
      <c r="O714" t="n">
        <v>0</v>
      </c>
      <c r="P714" t="n">
        <v>0</v>
      </c>
      <c r="Q714" t="n">
        <v>0</v>
      </c>
      <c r="R714" s="2" t="inlineStr"/>
    </row>
    <row r="715" ht="15" customHeight="1">
      <c r="A715" t="inlineStr">
        <is>
          <t>A 14667-2024</t>
        </is>
      </c>
      <c r="B715" s="1" t="n">
        <v>45397.42005787037</v>
      </c>
      <c r="C715" s="1" t="n">
        <v>46022</v>
      </c>
      <c r="D715" t="inlineStr">
        <is>
          <t>ÖSTERGÖTLANDS LÄN</t>
        </is>
      </c>
      <c r="E715" t="inlineStr">
        <is>
          <t>LINKÖPING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15714-2024</t>
        </is>
      </c>
      <c r="B716" s="1" t="n">
        <v>45404.48288194444</v>
      </c>
      <c r="C716" s="1" t="n">
        <v>46022</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37715-2022</t>
        </is>
      </c>
      <c r="B717" s="1" t="n">
        <v>44810</v>
      </c>
      <c r="C717" s="1" t="n">
        <v>46022</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30429-2024</t>
        </is>
      </c>
      <c r="B718" s="1" t="n">
        <v>45491.68972222223</v>
      </c>
      <c r="C718" s="1" t="n">
        <v>46022</v>
      </c>
      <c r="D718" t="inlineStr">
        <is>
          <t>ÖSTERGÖTLANDS LÄN</t>
        </is>
      </c>
      <c r="E718" t="inlineStr">
        <is>
          <t>LINKÖPING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30435-2024</t>
        </is>
      </c>
      <c r="B719" s="1" t="n">
        <v>45491.69962962963</v>
      </c>
      <c r="C719" s="1" t="n">
        <v>46022</v>
      </c>
      <c r="D719" t="inlineStr">
        <is>
          <t>ÖSTERGÖTLANDS LÄN</t>
        </is>
      </c>
      <c r="E719" t="inlineStr">
        <is>
          <t>LINKÖPING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4927-2021</t>
        </is>
      </c>
      <c r="B720" s="1" t="n">
        <v>44227.57215277778</v>
      </c>
      <c r="C720" s="1" t="n">
        <v>46022</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38231-2022</t>
        </is>
      </c>
      <c r="B721" s="1" t="n">
        <v>44812</v>
      </c>
      <c r="C721" s="1" t="n">
        <v>46022</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34557-2022</t>
        </is>
      </c>
      <c r="B722" s="1" t="n">
        <v>44794.57074074074</v>
      </c>
      <c r="C722" s="1" t="n">
        <v>46022</v>
      </c>
      <c r="D722" t="inlineStr">
        <is>
          <t>ÖSTERGÖTLANDS LÄN</t>
        </is>
      </c>
      <c r="E722" t="inlineStr">
        <is>
          <t>LINKÖPING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13011-2022</t>
        </is>
      </c>
      <c r="B723" s="1" t="n">
        <v>44643</v>
      </c>
      <c r="C723" s="1" t="n">
        <v>46022</v>
      </c>
      <c r="D723" t="inlineStr">
        <is>
          <t>ÖSTERGÖTLANDS LÄN</t>
        </is>
      </c>
      <c r="E723" t="inlineStr">
        <is>
          <t>LINKÖPING</t>
        </is>
      </c>
      <c r="G723" t="n">
        <v>3.7</v>
      </c>
      <c r="H723" t="n">
        <v>0</v>
      </c>
      <c r="I723" t="n">
        <v>0</v>
      </c>
      <c r="J723" t="n">
        <v>0</v>
      </c>
      <c r="K723" t="n">
        <v>0</v>
      </c>
      <c r="L723" t="n">
        <v>0</v>
      </c>
      <c r="M723" t="n">
        <v>0</v>
      </c>
      <c r="N723" t="n">
        <v>0</v>
      </c>
      <c r="O723" t="n">
        <v>0</v>
      </c>
      <c r="P723" t="n">
        <v>0</v>
      </c>
      <c r="Q723" t="n">
        <v>0</v>
      </c>
      <c r="R723" s="2" t="inlineStr"/>
    </row>
    <row r="724" ht="15" customHeight="1">
      <c r="A724" t="inlineStr">
        <is>
          <t>A 617-2024</t>
        </is>
      </c>
      <c r="B724" s="1" t="n">
        <v>45299.66028935185</v>
      </c>
      <c r="C724" s="1" t="n">
        <v>46022</v>
      </c>
      <c r="D724" t="inlineStr">
        <is>
          <t>ÖSTERGÖTLANDS LÄN</t>
        </is>
      </c>
      <c r="E724" t="inlineStr">
        <is>
          <t>LINKÖPING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19362-2023</t>
        </is>
      </c>
      <c r="B725" s="1" t="n">
        <v>45049</v>
      </c>
      <c r="C725" s="1" t="n">
        <v>46022</v>
      </c>
      <c r="D725" t="inlineStr">
        <is>
          <t>ÖSTERGÖTLANDS LÄN</t>
        </is>
      </c>
      <c r="E725" t="inlineStr">
        <is>
          <t>LINKÖPING</t>
        </is>
      </c>
      <c r="G725" t="n">
        <v>0.1</v>
      </c>
      <c r="H725" t="n">
        <v>0</v>
      </c>
      <c r="I725" t="n">
        <v>0</v>
      </c>
      <c r="J725" t="n">
        <v>0</v>
      </c>
      <c r="K725" t="n">
        <v>0</v>
      </c>
      <c r="L725" t="n">
        <v>0</v>
      </c>
      <c r="M725" t="n">
        <v>0</v>
      </c>
      <c r="N725" t="n">
        <v>0</v>
      </c>
      <c r="O725" t="n">
        <v>0</v>
      </c>
      <c r="P725" t="n">
        <v>0</v>
      </c>
      <c r="Q725" t="n">
        <v>0</v>
      </c>
      <c r="R725" s="2" t="inlineStr"/>
    </row>
    <row r="726" ht="15" customHeight="1">
      <c r="A726" t="inlineStr">
        <is>
          <t>A 19132-2023</t>
        </is>
      </c>
      <c r="B726" s="1" t="n">
        <v>45048.54754629629</v>
      </c>
      <c r="C726" s="1" t="n">
        <v>46022</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31635-2023</t>
        </is>
      </c>
      <c r="B727" s="1" t="n">
        <v>45105</v>
      </c>
      <c r="C727" s="1" t="n">
        <v>46022</v>
      </c>
      <c r="D727" t="inlineStr">
        <is>
          <t>ÖSTERGÖTLANDS LÄN</t>
        </is>
      </c>
      <c r="E727" t="inlineStr">
        <is>
          <t>LINKÖPING</t>
        </is>
      </c>
      <c r="F727" t="inlineStr">
        <is>
          <t>Övriga statliga verk och myndigheter</t>
        </is>
      </c>
      <c r="G727" t="n">
        <v>4.6</v>
      </c>
      <c r="H727" t="n">
        <v>0</v>
      </c>
      <c r="I727" t="n">
        <v>0</v>
      </c>
      <c r="J727" t="n">
        <v>0</v>
      </c>
      <c r="K727" t="n">
        <v>0</v>
      </c>
      <c r="L727" t="n">
        <v>0</v>
      </c>
      <c r="M727" t="n">
        <v>0</v>
      </c>
      <c r="N727" t="n">
        <v>0</v>
      </c>
      <c r="O727" t="n">
        <v>0</v>
      </c>
      <c r="P727" t="n">
        <v>0</v>
      </c>
      <c r="Q727" t="n">
        <v>0</v>
      </c>
      <c r="R727" s="2" t="inlineStr"/>
    </row>
    <row r="728" ht="15" customHeight="1">
      <c r="A728" t="inlineStr">
        <is>
          <t>A 20296-2025</t>
        </is>
      </c>
      <c r="B728" s="1" t="n">
        <v>45774.74922453704</v>
      </c>
      <c r="C728" s="1" t="n">
        <v>46022</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22770-2024</t>
        </is>
      </c>
      <c r="B729" s="1" t="n">
        <v>45448.4634375</v>
      </c>
      <c r="C729" s="1" t="n">
        <v>46022</v>
      </c>
      <c r="D729" t="inlineStr">
        <is>
          <t>ÖSTERGÖTLANDS LÄN</t>
        </is>
      </c>
      <c r="E729" t="inlineStr">
        <is>
          <t>LINKÖPING</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11595-2025</t>
        </is>
      </c>
      <c r="B730" s="1" t="n">
        <v>45727.41893518518</v>
      </c>
      <c r="C730" s="1" t="n">
        <v>46022</v>
      </c>
      <c r="D730" t="inlineStr">
        <is>
          <t>ÖSTERGÖTLANDS LÄN</t>
        </is>
      </c>
      <c r="E730" t="inlineStr">
        <is>
          <t>LINKÖPING</t>
        </is>
      </c>
      <c r="G730" t="n">
        <v>6.6</v>
      </c>
      <c r="H730" t="n">
        <v>0</v>
      </c>
      <c r="I730" t="n">
        <v>0</v>
      </c>
      <c r="J730" t="n">
        <v>0</v>
      </c>
      <c r="K730" t="n">
        <v>0</v>
      </c>
      <c r="L730" t="n">
        <v>0</v>
      </c>
      <c r="M730" t="n">
        <v>0</v>
      </c>
      <c r="N730" t="n">
        <v>0</v>
      </c>
      <c r="O730" t="n">
        <v>0</v>
      </c>
      <c r="P730" t="n">
        <v>0</v>
      </c>
      <c r="Q730" t="n">
        <v>0</v>
      </c>
      <c r="R730" s="2" t="inlineStr"/>
    </row>
    <row r="731" ht="15" customHeight="1">
      <c r="A731" t="inlineStr">
        <is>
          <t>A 48839-2022</t>
        </is>
      </c>
      <c r="B731" s="1" t="n">
        <v>44859</v>
      </c>
      <c r="C731" s="1" t="n">
        <v>46022</v>
      </c>
      <c r="D731" t="inlineStr">
        <is>
          <t>ÖSTERGÖTLANDS LÄN</t>
        </is>
      </c>
      <c r="E731" t="inlineStr">
        <is>
          <t>LINKÖPING</t>
        </is>
      </c>
      <c r="F731" t="inlineStr">
        <is>
          <t>Övriga Aktiebolag</t>
        </is>
      </c>
      <c r="G731" t="n">
        <v>0.6</v>
      </c>
      <c r="H731" t="n">
        <v>0</v>
      </c>
      <c r="I731" t="n">
        <v>0</v>
      </c>
      <c r="J731" t="n">
        <v>0</v>
      </c>
      <c r="K731" t="n">
        <v>0</v>
      </c>
      <c r="L731" t="n">
        <v>0</v>
      </c>
      <c r="M731" t="n">
        <v>0</v>
      </c>
      <c r="N731" t="n">
        <v>0</v>
      </c>
      <c r="O731" t="n">
        <v>0</v>
      </c>
      <c r="P731" t="n">
        <v>0</v>
      </c>
      <c r="Q731" t="n">
        <v>0</v>
      </c>
      <c r="R731" s="2" t="inlineStr"/>
    </row>
    <row r="732">
      <c r="A732" t="inlineStr">
        <is>
          <t>A 8967-2025</t>
        </is>
      </c>
      <c r="B732" s="1" t="n">
        <v>45712</v>
      </c>
      <c r="C732" s="1" t="n">
        <v>46022</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2025-12-31T09:53:07Z</dcterms:created>
  <dcterms:modified xmlns:dcterms="http://purl.org/dc/terms/" xmlns:xsi="http://www.w3.org/2001/XMLSchema-instance" xsi:type="dcterms:W3CDTF">2025-12-31T09:53:07Z</dcterms:modified>
</cp:coreProperties>
</file>