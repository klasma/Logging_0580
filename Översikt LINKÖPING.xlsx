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45933</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45933</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45933</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45933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45933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45933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45933</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55341-2024</t>
        </is>
      </c>
      <c r="B16" s="1" t="n">
        <v>45621.71255787037</v>
      </c>
      <c r="C16" s="1" t="n">
        <v>45933</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45933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45933</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38137-2021</t>
        </is>
      </c>
      <c r="B19" s="1" t="n">
        <v>44405.38357638889</v>
      </c>
      <c r="C19" s="1" t="n">
        <v>45933</v>
      </c>
      <c r="D19" t="inlineStr">
        <is>
          <t>ÖSTERGÖTLANDS LÄN</t>
        </is>
      </c>
      <c r="E19" t="inlineStr">
        <is>
          <t>LINKÖPING</t>
        </is>
      </c>
      <c r="G19" t="n">
        <v>2</v>
      </c>
      <c r="H19" t="n">
        <v>0</v>
      </c>
      <c r="I19" t="n">
        <v>2</v>
      </c>
      <c r="J19" t="n">
        <v>0</v>
      </c>
      <c r="K19" t="n">
        <v>0</v>
      </c>
      <c r="L19" t="n">
        <v>0</v>
      </c>
      <c r="M19" t="n">
        <v>0</v>
      </c>
      <c r="N19" t="n">
        <v>0</v>
      </c>
      <c r="O19" t="n">
        <v>0</v>
      </c>
      <c r="P19" t="n">
        <v>0</v>
      </c>
      <c r="Q19" t="n">
        <v>2</v>
      </c>
      <c r="R19" s="2" t="inlineStr">
        <is>
          <t>Blomkålssvamp
Mandelriska</t>
        </is>
      </c>
      <c r="S19">
        <f>HYPERLINK("https://klasma.github.io/Logging_0580/artfynd/A 38137-2021 artfynd.xlsx", "A 38137-2021")</f>
        <v/>
      </c>
      <c r="T19">
        <f>HYPERLINK("https://klasma.github.io/Logging_0580/kartor/A 38137-2021 karta.png", "A 38137-2021")</f>
        <v/>
      </c>
      <c r="V19">
        <f>HYPERLINK("https://klasma.github.io/Logging_0580/klagomål/A 38137-2021 FSC-klagomål.docx", "A 38137-2021")</f>
        <v/>
      </c>
      <c r="W19">
        <f>HYPERLINK("https://klasma.github.io/Logging_0580/klagomålsmail/A 38137-2021 FSC-klagomål mail.docx", "A 38137-2021")</f>
        <v/>
      </c>
      <c r="X19">
        <f>HYPERLINK("https://klasma.github.io/Logging_0580/tillsyn/A 38137-2021 tillsynsbegäran.docx", "A 38137-2021")</f>
        <v/>
      </c>
      <c r="Y19">
        <f>HYPERLINK("https://klasma.github.io/Logging_0580/tillsynsmail/A 38137-2021 tillsynsbegäran mail.docx", "A 38137-2021")</f>
        <v/>
      </c>
    </row>
    <row r="20" ht="15" customHeight="1">
      <c r="A20" t="inlineStr">
        <is>
          <t>A 17520-2022</t>
        </is>
      </c>
      <c r="B20" s="1" t="n">
        <v>44679</v>
      </c>
      <c r="C20" s="1" t="n">
        <v>45933</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38913-2023</t>
        </is>
      </c>
      <c r="B21" s="1" t="n">
        <v>45163</v>
      </c>
      <c r="C21" s="1" t="n">
        <v>45933</v>
      </c>
      <c r="D21" t="inlineStr">
        <is>
          <t>ÖSTERGÖTLANDS LÄN</t>
        </is>
      </c>
      <c r="E21" t="inlineStr">
        <is>
          <t>LINKÖPING</t>
        </is>
      </c>
      <c r="G21" t="n">
        <v>2.7</v>
      </c>
      <c r="H21" t="n">
        <v>1</v>
      </c>
      <c r="I21" t="n">
        <v>1</v>
      </c>
      <c r="J21" t="n">
        <v>0</v>
      </c>
      <c r="K21" t="n">
        <v>0</v>
      </c>
      <c r="L21" t="n">
        <v>0</v>
      </c>
      <c r="M21" t="n">
        <v>0</v>
      </c>
      <c r="N21" t="n">
        <v>0</v>
      </c>
      <c r="O21" t="n">
        <v>0</v>
      </c>
      <c r="P21" t="n">
        <v>0</v>
      </c>
      <c r="Q21" t="n">
        <v>2</v>
      </c>
      <c r="R21" s="2" t="inlineStr">
        <is>
          <t>Skogsbräsma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27795-2025</t>
        </is>
      </c>
      <c r="B22" s="1" t="n">
        <v>45816.7908912037</v>
      </c>
      <c r="C22" s="1" t="n">
        <v>45933</v>
      </c>
      <c r="D22" t="inlineStr">
        <is>
          <t>ÖSTERGÖTLANDS LÄN</t>
        </is>
      </c>
      <c r="E22" t="inlineStr">
        <is>
          <t>LINKÖPING</t>
        </is>
      </c>
      <c r="G22" t="n">
        <v>5</v>
      </c>
      <c r="H22" t="n">
        <v>0</v>
      </c>
      <c r="I22" t="n">
        <v>0</v>
      </c>
      <c r="J22" t="n">
        <v>2</v>
      </c>
      <c r="K22" t="n">
        <v>0</v>
      </c>
      <c r="L22" t="n">
        <v>0</v>
      </c>
      <c r="M22" t="n">
        <v>0</v>
      </c>
      <c r="N22" t="n">
        <v>0</v>
      </c>
      <c r="O22" t="n">
        <v>2</v>
      </c>
      <c r="P22" t="n">
        <v>0</v>
      </c>
      <c r="Q22" t="n">
        <v>2</v>
      </c>
      <c r="R22" s="2" t="inlineStr">
        <is>
          <t>Svinrot
Ängsskära</t>
        </is>
      </c>
      <c r="S22">
        <f>HYPERLINK("https://klasma.github.io/Logging_0580/artfynd/A 27795-2025 artfynd.xlsx", "A 27795-2025")</f>
        <v/>
      </c>
      <c r="T22">
        <f>HYPERLINK("https://klasma.github.io/Logging_0580/kartor/A 27795-2025 karta.png", "A 27795-2025")</f>
        <v/>
      </c>
      <c r="V22">
        <f>HYPERLINK("https://klasma.github.io/Logging_0580/klagomål/A 27795-2025 FSC-klagomål.docx", "A 27795-2025")</f>
        <v/>
      </c>
      <c r="W22">
        <f>HYPERLINK("https://klasma.github.io/Logging_0580/klagomålsmail/A 27795-2025 FSC-klagomål mail.docx", "A 27795-2025")</f>
        <v/>
      </c>
      <c r="X22">
        <f>HYPERLINK("https://klasma.github.io/Logging_0580/tillsyn/A 27795-2025 tillsynsbegäran.docx", "A 27795-2025")</f>
        <v/>
      </c>
      <c r="Y22">
        <f>HYPERLINK("https://klasma.github.io/Logging_0580/tillsynsmail/A 27795-2025 tillsynsbegäran mail.docx", "A 27795-2025")</f>
        <v/>
      </c>
    </row>
    <row r="23" ht="15" customHeight="1">
      <c r="A23" t="inlineStr">
        <is>
          <t>A 58068-2021</t>
        </is>
      </c>
      <c r="B23" s="1" t="n">
        <v>44487</v>
      </c>
      <c r="C23" s="1" t="n">
        <v>45933</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20297-2025</t>
        </is>
      </c>
      <c r="B24" s="1" t="n">
        <v>45774.74971064815</v>
      </c>
      <c r="C24" s="1" t="n">
        <v>45933</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45933</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27981-2022</t>
        </is>
      </c>
      <c r="B26" s="1" t="n">
        <v>44745</v>
      </c>
      <c r="C26" s="1" t="n">
        <v>45933</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58068-2021</t>
        </is>
      </c>
      <c r="B27" s="1" t="n">
        <v>44487</v>
      </c>
      <c r="C27" s="1" t="n">
        <v>45933</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25985-2025</t>
        </is>
      </c>
      <c r="B28" s="1" t="n">
        <v>45804.64479166667</v>
      </c>
      <c r="C28" s="1" t="n">
        <v>45933</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42858-2023</t>
        </is>
      </c>
      <c r="B29" s="1" t="n">
        <v>45177</v>
      </c>
      <c r="C29" s="1" t="n">
        <v>45933</v>
      </c>
      <c r="D29" t="inlineStr">
        <is>
          <t>ÖSTERGÖTLANDS LÄN</t>
        </is>
      </c>
      <c r="E29" t="inlineStr">
        <is>
          <t>LINKÖPING</t>
        </is>
      </c>
      <c r="G29" t="n">
        <v>5.3</v>
      </c>
      <c r="H29" t="n">
        <v>1</v>
      </c>
      <c r="I29" t="n">
        <v>0</v>
      </c>
      <c r="J29" t="n">
        <v>1</v>
      </c>
      <c r="K29" t="n">
        <v>0</v>
      </c>
      <c r="L29" t="n">
        <v>0</v>
      </c>
      <c r="M29" t="n">
        <v>0</v>
      </c>
      <c r="N29" t="n">
        <v>0</v>
      </c>
      <c r="O29" t="n">
        <v>1</v>
      </c>
      <c r="P29" t="n">
        <v>0</v>
      </c>
      <c r="Q29" t="n">
        <v>2</v>
      </c>
      <c r="R29" s="2" t="inlineStr">
        <is>
          <t>Svinrot
Skogsödla</t>
        </is>
      </c>
      <c r="S29">
        <f>HYPERLINK("https://klasma.github.io/Logging_0580/artfynd/A 42858-2023 artfynd.xlsx", "A 42858-2023")</f>
        <v/>
      </c>
      <c r="T29">
        <f>HYPERLINK("https://klasma.github.io/Logging_0580/kartor/A 42858-2023 karta.png", "A 42858-2023")</f>
        <v/>
      </c>
      <c r="V29">
        <f>HYPERLINK("https://klasma.github.io/Logging_0580/klagomål/A 42858-2023 FSC-klagomål.docx", "A 42858-2023")</f>
        <v/>
      </c>
      <c r="W29">
        <f>HYPERLINK("https://klasma.github.io/Logging_0580/klagomålsmail/A 42858-2023 FSC-klagomål mail.docx", "A 42858-2023")</f>
        <v/>
      </c>
      <c r="X29">
        <f>HYPERLINK("https://klasma.github.io/Logging_0580/tillsyn/A 42858-2023 tillsynsbegäran.docx", "A 42858-2023")</f>
        <v/>
      </c>
      <c r="Y29">
        <f>HYPERLINK("https://klasma.github.io/Logging_0580/tillsynsmail/A 42858-2023 tillsynsbegäran mail.docx", "A 42858-2023")</f>
        <v/>
      </c>
    </row>
    <row r="30" ht="15" customHeight="1">
      <c r="A30" t="inlineStr">
        <is>
          <t>A 11613-2025</t>
        </is>
      </c>
      <c r="B30" s="1" t="n">
        <v>45727.44623842592</v>
      </c>
      <c r="C30" s="1" t="n">
        <v>45933</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41751-2023</t>
        </is>
      </c>
      <c r="B31" s="1" t="n">
        <v>45176</v>
      </c>
      <c r="C31" s="1" t="n">
        <v>45933</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8818-2025</t>
        </is>
      </c>
      <c r="B32" s="1" t="n">
        <v>45712</v>
      </c>
      <c r="C32" s="1" t="n">
        <v>45933</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14879-2024</t>
        </is>
      </c>
      <c r="B33" s="1" t="n">
        <v>45398</v>
      </c>
      <c r="C33" s="1" t="n">
        <v>45933</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55344-2024</t>
        </is>
      </c>
      <c r="B34" s="1" t="n">
        <v>45621.7202662037</v>
      </c>
      <c r="C34" s="1" t="n">
        <v>45933</v>
      </c>
      <c r="D34" t="inlineStr">
        <is>
          <t>ÖSTERGÖTLANDS LÄN</t>
        </is>
      </c>
      <c r="E34" t="inlineStr">
        <is>
          <t>LINKÖPING</t>
        </is>
      </c>
      <c r="G34" t="n">
        <v>6.6</v>
      </c>
      <c r="H34" t="n">
        <v>0</v>
      </c>
      <c r="I34" t="n">
        <v>0</v>
      </c>
      <c r="J34" t="n">
        <v>2</v>
      </c>
      <c r="K34" t="n">
        <v>0</v>
      </c>
      <c r="L34" t="n">
        <v>0</v>
      </c>
      <c r="M34" t="n">
        <v>0</v>
      </c>
      <c r="N34" t="n">
        <v>0</v>
      </c>
      <c r="O34" t="n">
        <v>2</v>
      </c>
      <c r="P34" t="n">
        <v>0</v>
      </c>
      <c r="Q34" t="n">
        <v>2</v>
      </c>
      <c r="R34" s="2" t="inlineStr">
        <is>
          <t>Kandelabersvamp
Stjärnnästing</t>
        </is>
      </c>
      <c r="S34">
        <f>HYPERLINK("https://klasma.github.io/Logging_0580/artfynd/A 55344-2024 artfynd.xlsx", "A 55344-2024")</f>
        <v/>
      </c>
      <c r="T34">
        <f>HYPERLINK("https://klasma.github.io/Logging_0580/kartor/A 55344-2024 karta.png", "A 55344-2024")</f>
        <v/>
      </c>
      <c r="V34">
        <f>HYPERLINK("https://klasma.github.io/Logging_0580/klagomål/A 55344-2024 FSC-klagomål.docx", "A 55344-2024")</f>
        <v/>
      </c>
      <c r="W34">
        <f>HYPERLINK("https://klasma.github.io/Logging_0580/klagomålsmail/A 55344-2024 FSC-klagomål mail.docx", "A 55344-2024")</f>
        <v/>
      </c>
      <c r="X34">
        <f>HYPERLINK("https://klasma.github.io/Logging_0580/tillsyn/A 55344-2024 tillsynsbegäran.docx", "A 55344-2024")</f>
        <v/>
      </c>
      <c r="Y34">
        <f>HYPERLINK("https://klasma.github.io/Logging_0580/tillsynsmail/A 55344-2024 tillsynsbegäran mail.docx", "A 55344-2024")</f>
        <v/>
      </c>
    </row>
    <row r="35" ht="15" customHeight="1">
      <c r="A35" t="inlineStr">
        <is>
          <t>A 20292-2025</t>
        </is>
      </c>
      <c r="B35" s="1" t="n">
        <v>45774.7449537037</v>
      </c>
      <c r="C35" s="1" t="n">
        <v>45933</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22040-2023</t>
        </is>
      </c>
      <c r="B36" s="1" t="n">
        <v>45068</v>
      </c>
      <c r="C36" s="1" t="n">
        <v>45933</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50404-2023</t>
        </is>
      </c>
      <c r="B37" s="1" t="n">
        <v>45216</v>
      </c>
      <c r="C37" s="1" t="n">
        <v>45933</v>
      </c>
      <c r="D37" t="inlineStr">
        <is>
          <t>ÖSTERGÖTLANDS LÄN</t>
        </is>
      </c>
      <c r="E37" t="inlineStr">
        <is>
          <t>LINKÖPING</t>
        </is>
      </c>
      <c r="G37" t="n">
        <v>1.2</v>
      </c>
      <c r="H37" t="n">
        <v>1</v>
      </c>
      <c r="I37" t="n">
        <v>1</v>
      </c>
      <c r="J37" t="n">
        <v>0</v>
      </c>
      <c r="K37" t="n">
        <v>0</v>
      </c>
      <c r="L37" t="n">
        <v>0</v>
      </c>
      <c r="M37" t="n">
        <v>0</v>
      </c>
      <c r="N37" t="n">
        <v>0</v>
      </c>
      <c r="O37" t="n">
        <v>0</v>
      </c>
      <c r="P37" t="n">
        <v>0</v>
      </c>
      <c r="Q37" t="n">
        <v>2</v>
      </c>
      <c r="R37" s="2" t="inlineStr">
        <is>
          <t>Hasselticka
Gullviva</t>
        </is>
      </c>
      <c r="S37">
        <f>HYPERLINK("https://klasma.github.io/Logging_0580/artfynd/A 50404-2023 artfynd.xlsx", "A 50404-2023")</f>
        <v/>
      </c>
      <c r="T37">
        <f>HYPERLINK("https://klasma.github.io/Logging_0580/kartor/A 50404-2023 karta.png", "A 50404-2023")</f>
        <v/>
      </c>
      <c r="V37">
        <f>HYPERLINK("https://klasma.github.io/Logging_0580/klagomål/A 50404-2023 FSC-klagomål.docx", "A 50404-2023")</f>
        <v/>
      </c>
      <c r="W37">
        <f>HYPERLINK("https://klasma.github.io/Logging_0580/klagomålsmail/A 50404-2023 FSC-klagomål mail.docx", "A 50404-2023")</f>
        <v/>
      </c>
      <c r="X37">
        <f>HYPERLINK("https://klasma.github.io/Logging_0580/tillsyn/A 50404-2023 tillsynsbegäran.docx", "A 50404-2023")</f>
        <v/>
      </c>
      <c r="Y37">
        <f>HYPERLINK("https://klasma.github.io/Logging_0580/tillsynsmail/A 50404-2023 tillsynsbegäran mail.docx", "A 50404-2023")</f>
        <v/>
      </c>
    </row>
    <row r="38" ht="15" customHeight="1">
      <c r="A38" t="inlineStr">
        <is>
          <t>A 21326-2025</t>
        </is>
      </c>
      <c r="B38" s="1" t="n">
        <v>45782.35407407407</v>
      </c>
      <c r="C38" s="1" t="n">
        <v>45933</v>
      </c>
      <c r="D38" t="inlineStr">
        <is>
          <t>ÖSTERGÖTLANDS LÄN</t>
        </is>
      </c>
      <c r="E38" t="inlineStr">
        <is>
          <t>LINKÖPING</t>
        </is>
      </c>
      <c r="G38" t="n">
        <v>4.9</v>
      </c>
      <c r="H38" t="n">
        <v>2</v>
      </c>
      <c r="I38" t="n">
        <v>0</v>
      </c>
      <c r="J38" t="n">
        <v>0</v>
      </c>
      <c r="K38" t="n">
        <v>0</v>
      </c>
      <c r="L38" t="n">
        <v>0</v>
      </c>
      <c r="M38" t="n">
        <v>0</v>
      </c>
      <c r="N38" t="n">
        <v>0</v>
      </c>
      <c r="O38" t="n">
        <v>0</v>
      </c>
      <c r="P38" t="n">
        <v>0</v>
      </c>
      <c r="Q38" t="n">
        <v>2</v>
      </c>
      <c r="R38" s="2" t="inlineStr">
        <is>
          <t>Blåsippa
Revlummer</t>
        </is>
      </c>
      <c r="S38">
        <f>HYPERLINK("https://klasma.github.io/Logging_0580/artfynd/A 21326-2025 artfynd.xlsx", "A 21326-2025")</f>
        <v/>
      </c>
      <c r="T38">
        <f>HYPERLINK("https://klasma.github.io/Logging_0580/kartor/A 21326-2025 karta.png", "A 21326-2025")</f>
        <v/>
      </c>
      <c r="V38">
        <f>HYPERLINK("https://klasma.github.io/Logging_0580/klagomål/A 21326-2025 FSC-klagomål.docx", "A 21326-2025")</f>
        <v/>
      </c>
      <c r="W38">
        <f>HYPERLINK("https://klasma.github.io/Logging_0580/klagomålsmail/A 21326-2025 FSC-klagomål mail.docx", "A 21326-2025")</f>
        <v/>
      </c>
      <c r="X38">
        <f>HYPERLINK("https://klasma.github.io/Logging_0580/tillsyn/A 21326-2025 tillsynsbegäran.docx", "A 21326-2025")</f>
        <v/>
      </c>
      <c r="Y38">
        <f>HYPERLINK("https://klasma.github.io/Logging_0580/tillsynsmail/A 21326-2025 tillsynsbegäran mail.docx", "A 21326-2025")</f>
        <v/>
      </c>
    </row>
    <row r="39" ht="15" customHeight="1">
      <c r="A39" t="inlineStr">
        <is>
          <t>A 38129-2021</t>
        </is>
      </c>
      <c r="B39" s="1" t="n">
        <v>44405.37199074074</v>
      </c>
      <c r="C39" s="1" t="n">
        <v>45933</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46496-2022</t>
        </is>
      </c>
      <c r="B40" s="1" t="n">
        <v>44848</v>
      </c>
      <c r="C40" s="1" t="n">
        <v>45933</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14096-2021</t>
        </is>
      </c>
      <c r="B41" s="1" t="n">
        <v>44278</v>
      </c>
      <c r="C41" s="1" t="n">
        <v>45933</v>
      </c>
      <c r="D41" t="inlineStr">
        <is>
          <t>ÖSTERGÖTLANDS LÄN</t>
        </is>
      </c>
      <c r="E41" t="inlineStr">
        <is>
          <t>LINKÖPING</t>
        </is>
      </c>
      <c r="G41" t="n">
        <v>1.7</v>
      </c>
      <c r="H41" t="n">
        <v>0</v>
      </c>
      <c r="I41" t="n">
        <v>0</v>
      </c>
      <c r="J41" t="n">
        <v>1</v>
      </c>
      <c r="K41" t="n">
        <v>0</v>
      </c>
      <c r="L41" t="n">
        <v>0</v>
      </c>
      <c r="M41" t="n">
        <v>0</v>
      </c>
      <c r="N41" t="n">
        <v>0</v>
      </c>
      <c r="O41" t="n">
        <v>1</v>
      </c>
      <c r="P41" t="n">
        <v>0</v>
      </c>
      <c r="Q41" t="n">
        <v>1</v>
      </c>
      <c r="R41" s="2" t="inlineStr">
        <is>
          <t>Vedtrappmossa</t>
        </is>
      </c>
      <c r="S41">
        <f>HYPERLINK("https://klasma.github.io/Logging_0580/artfynd/A 14096-2021 artfynd.xlsx", "A 14096-2021")</f>
        <v/>
      </c>
      <c r="T41">
        <f>HYPERLINK("https://klasma.github.io/Logging_0580/kartor/A 14096-2021 karta.png", "A 14096-2021")</f>
        <v/>
      </c>
      <c r="V41">
        <f>HYPERLINK("https://klasma.github.io/Logging_0580/klagomål/A 14096-2021 FSC-klagomål.docx", "A 14096-2021")</f>
        <v/>
      </c>
      <c r="W41">
        <f>HYPERLINK("https://klasma.github.io/Logging_0580/klagomålsmail/A 14096-2021 FSC-klagomål mail.docx", "A 14096-2021")</f>
        <v/>
      </c>
      <c r="X41">
        <f>HYPERLINK("https://klasma.github.io/Logging_0580/tillsyn/A 14096-2021 tillsynsbegäran.docx", "A 14096-2021")</f>
        <v/>
      </c>
      <c r="Y41">
        <f>HYPERLINK("https://klasma.github.io/Logging_0580/tillsynsmail/A 14096-2021 tillsynsbegäran mail.docx", "A 14096-2021")</f>
        <v/>
      </c>
    </row>
    <row r="42" ht="15" customHeight="1">
      <c r="A42" t="inlineStr">
        <is>
          <t>A 17513-2022</t>
        </is>
      </c>
      <c r="B42" s="1" t="n">
        <v>44679</v>
      </c>
      <c r="C42" s="1" t="n">
        <v>45933</v>
      </c>
      <c r="D42" t="inlineStr">
        <is>
          <t>ÖSTERGÖTLANDS LÄN</t>
        </is>
      </c>
      <c r="E42" t="inlineStr">
        <is>
          <t>LINKÖPING</t>
        </is>
      </c>
      <c r="F42" t="inlineStr">
        <is>
          <t>Kommuner</t>
        </is>
      </c>
      <c r="G42" t="n">
        <v>1.6</v>
      </c>
      <c r="H42" t="n">
        <v>0</v>
      </c>
      <c r="I42" t="n">
        <v>0</v>
      </c>
      <c r="J42" t="n">
        <v>1</v>
      </c>
      <c r="K42" t="n">
        <v>0</v>
      </c>
      <c r="L42" t="n">
        <v>0</v>
      </c>
      <c r="M42" t="n">
        <v>0</v>
      </c>
      <c r="N42" t="n">
        <v>0</v>
      </c>
      <c r="O42" t="n">
        <v>1</v>
      </c>
      <c r="P42" t="n">
        <v>0</v>
      </c>
      <c r="Q42" t="n">
        <v>1</v>
      </c>
      <c r="R42" s="2" t="inlineStr">
        <is>
          <t>Sexfläckig bastardsvärmare</t>
        </is>
      </c>
      <c r="S42">
        <f>HYPERLINK("https://klasma.github.io/Logging_0580/artfynd/A 17513-2022 artfynd.xlsx", "A 17513-2022")</f>
        <v/>
      </c>
      <c r="T42">
        <f>HYPERLINK("https://klasma.github.io/Logging_0580/kartor/A 17513-2022 karta.png", "A 17513-2022")</f>
        <v/>
      </c>
      <c r="V42">
        <f>HYPERLINK("https://klasma.github.io/Logging_0580/klagomål/A 17513-2022 FSC-klagomål.docx", "A 17513-2022")</f>
        <v/>
      </c>
      <c r="W42">
        <f>HYPERLINK("https://klasma.github.io/Logging_0580/klagomålsmail/A 17513-2022 FSC-klagomål mail.docx", "A 17513-2022")</f>
        <v/>
      </c>
      <c r="X42">
        <f>HYPERLINK("https://klasma.github.io/Logging_0580/tillsyn/A 17513-2022 tillsynsbegäran.docx", "A 17513-2022")</f>
        <v/>
      </c>
      <c r="Y42">
        <f>HYPERLINK("https://klasma.github.io/Logging_0580/tillsynsmail/A 17513-2022 tillsynsbegäran mail.docx", "A 17513-2022")</f>
        <v/>
      </c>
    </row>
    <row r="43" ht="15" customHeight="1">
      <c r="A43" t="inlineStr">
        <is>
          <t>A 56250-2021</t>
        </is>
      </c>
      <c r="B43" s="1" t="n">
        <v>44479</v>
      </c>
      <c r="C43" s="1" t="n">
        <v>45933</v>
      </c>
      <c r="D43" t="inlineStr">
        <is>
          <t>ÖSTERGÖTLANDS LÄN</t>
        </is>
      </c>
      <c r="E43" t="inlineStr">
        <is>
          <t>LINKÖPING</t>
        </is>
      </c>
      <c r="F43" t="inlineStr">
        <is>
          <t>Övriga Aktiebolag</t>
        </is>
      </c>
      <c r="G43" t="n">
        <v>3.2</v>
      </c>
      <c r="H43" t="n">
        <v>0</v>
      </c>
      <c r="I43" t="n">
        <v>1</v>
      </c>
      <c r="J43" t="n">
        <v>0</v>
      </c>
      <c r="K43" t="n">
        <v>0</v>
      </c>
      <c r="L43" t="n">
        <v>0</v>
      </c>
      <c r="M43" t="n">
        <v>0</v>
      </c>
      <c r="N43" t="n">
        <v>0</v>
      </c>
      <c r="O43" t="n">
        <v>0</v>
      </c>
      <c r="P43" t="n">
        <v>0</v>
      </c>
      <c r="Q43" t="n">
        <v>1</v>
      </c>
      <c r="R43" s="2" t="inlineStr">
        <is>
          <t>Strutbräken</t>
        </is>
      </c>
      <c r="S43">
        <f>HYPERLINK("https://klasma.github.io/Logging_0580/artfynd/A 56250-2021 artfynd.xlsx", "A 56250-2021")</f>
        <v/>
      </c>
      <c r="T43">
        <f>HYPERLINK("https://klasma.github.io/Logging_0580/kartor/A 56250-2021 karta.png", "A 56250-2021")</f>
        <v/>
      </c>
      <c r="V43">
        <f>HYPERLINK("https://klasma.github.io/Logging_0580/klagomål/A 56250-2021 FSC-klagomål.docx", "A 56250-2021")</f>
        <v/>
      </c>
      <c r="W43">
        <f>HYPERLINK("https://klasma.github.io/Logging_0580/klagomålsmail/A 56250-2021 FSC-klagomål mail.docx", "A 56250-2021")</f>
        <v/>
      </c>
      <c r="X43">
        <f>HYPERLINK("https://klasma.github.io/Logging_0580/tillsyn/A 56250-2021 tillsynsbegäran.docx", "A 56250-2021")</f>
        <v/>
      </c>
      <c r="Y43">
        <f>HYPERLINK("https://klasma.github.io/Logging_0580/tillsynsmail/A 56250-2021 tillsynsbegäran mail.docx", "A 56250-2021")</f>
        <v/>
      </c>
    </row>
    <row r="44" ht="15" customHeight="1">
      <c r="A44" t="inlineStr">
        <is>
          <t>A 43017-2021</t>
        </is>
      </c>
      <c r="B44" s="1" t="n">
        <v>44431</v>
      </c>
      <c r="C44" s="1" t="n">
        <v>45933</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71127-2021</t>
        </is>
      </c>
      <c r="B45" s="1" t="n">
        <v>44537</v>
      </c>
      <c r="C45" s="1" t="n">
        <v>45933</v>
      </c>
      <c r="D45" t="inlineStr">
        <is>
          <t>ÖSTERGÖTLANDS LÄN</t>
        </is>
      </c>
      <c r="E45" t="inlineStr">
        <is>
          <t>LINKÖPING</t>
        </is>
      </c>
      <c r="F45" t="inlineStr">
        <is>
          <t>Kommuner</t>
        </is>
      </c>
      <c r="G45" t="n">
        <v>7.2</v>
      </c>
      <c r="H45" t="n">
        <v>0</v>
      </c>
      <c r="I45" t="n">
        <v>0</v>
      </c>
      <c r="J45" t="n">
        <v>1</v>
      </c>
      <c r="K45" t="n">
        <v>0</v>
      </c>
      <c r="L45" t="n">
        <v>0</v>
      </c>
      <c r="M45" t="n">
        <v>0</v>
      </c>
      <c r="N45" t="n">
        <v>0</v>
      </c>
      <c r="O45" t="n">
        <v>1</v>
      </c>
      <c r="P45" t="n">
        <v>0</v>
      </c>
      <c r="Q45" t="n">
        <v>1</v>
      </c>
      <c r="R45" s="2" t="inlineStr">
        <is>
          <t>Svinrot</t>
        </is>
      </c>
      <c r="S45">
        <f>HYPERLINK("https://klasma.github.io/Logging_0580/artfynd/A 71127-2021 artfynd.xlsx", "A 71127-2021")</f>
        <v/>
      </c>
      <c r="T45">
        <f>HYPERLINK("https://klasma.github.io/Logging_0580/kartor/A 71127-2021 karta.png", "A 71127-2021")</f>
        <v/>
      </c>
      <c r="V45">
        <f>HYPERLINK("https://klasma.github.io/Logging_0580/klagomål/A 71127-2021 FSC-klagomål.docx", "A 71127-2021")</f>
        <v/>
      </c>
      <c r="W45">
        <f>HYPERLINK("https://klasma.github.io/Logging_0580/klagomålsmail/A 71127-2021 FSC-klagomål mail.docx", "A 71127-2021")</f>
        <v/>
      </c>
      <c r="X45">
        <f>HYPERLINK("https://klasma.github.io/Logging_0580/tillsyn/A 71127-2021 tillsynsbegäran.docx", "A 71127-2021")</f>
        <v/>
      </c>
      <c r="Y45">
        <f>HYPERLINK("https://klasma.github.io/Logging_0580/tillsynsmail/A 71127-2021 tillsynsbegäran mail.docx", "A 71127-2021")</f>
        <v/>
      </c>
    </row>
    <row r="46" ht="15" customHeight="1">
      <c r="A46" t="inlineStr">
        <is>
          <t>A 54835-2023</t>
        </is>
      </c>
      <c r="B46" s="1" t="n">
        <v>45236</v>
      </c>
      <c r="C46" s="1" t="n">
        <v>45933</v>
      </c>
      <c r="D46" t="inlineStr">
        <is>
          <t>ÖSTERGÖTLANDS LÄN</t>
        </is>
      </c>
      <c r="E46" t="inlineStr">
        <is>
          <t>LINKÖPING</t>
        </is>
      </c>
      <c r="G46" t="n">
        <v>2</v>
      </c>
      <c r="H46" t="n">
        <v>1</v>
      </c>
      <c r="I46" t="n">
        <v>0</v>
      </c>
      <c r="J46" t="n">
        <v>0</v>
      </c>
      <c r="K46" t="n">
        <v>0</v>
      </c>
      <c r="L46" t="n">
        <v>0</v>
      </c>
      <c r="M46" t="n">
        <v>0</v>
      </c>
      <c r="N46" t="n">
        <v>0</v>
      </c>
      <c r="O46" t="n">
        <v>0</v>
      </c>
      <c r="P46" t="n">
        <v>0</v>
      </c>
      <c r="Q46" t="n">
        <v>1</v>
      </c>
      <c r="R46" s="2" t="inlineStr">
        <is>
          <t>Sparvuggla</t>
        </is>
      </c>
      <c r="S46">
        <f>HYPERLINK("https://klasma.github.io/Logging_0580/artfynd/A 54835-2023 artfynd.xlsx", "A 54835-2023")</f>
        <v/>
      </c>
      <c r="T46">
        <f>HYPERLINK("https://klasma.github.io/Logging_0580/kartor/A 54835-2023 karta.png", "A 54835-2023")</f>
        <v/>
      </c>
      <c r="V46">
        <f>HYPERLINK("https://klasma.github.io/Logging_0580/klagomål/A 54835-2023 FSC-klagomål.docx", "A 54835-2023")</f>
        <v/>
      </c>
      <c r="W46">
        <f>HYPERLINK("https://klasma.github.io/Logging_0580/klagomålsmail/A 54835-2023 FSC-klagomål mail.docx", "A 54835-2023")</f>
        <v/>
      </c>
      <c r="X46">
        <f>HYPERLINK("https://klasma.github.io/Logging_0580/tillsyn/A 54835-2023 tillsynsbegäran.docx", "A 54835-2023")</f>
        <v/>
      </c>
      <c r="Y46">
        <f>HYPERLINK("https://klasma.github.io/Logging_0580/tillsynsmail/A 54835-2023 tillsynsbegäran mail.docx", "A 54835-2023")</f>
        <v/>
      </c>
      <c r="Z46">
        <f>HYPERLINK("https://klasma.github.io/Logging_0580/fåglar/A 54835-2023 prioriterade fågelarter.docx", "A 54835-2023")</f>
        <v/>
      </c>
    </row>
    <row r="47" ht="15" customHeight="1">
      <c r="A47" t="inlineStr">
        <is>
          <t>A 34881-2023</t>
        </is>
      </c>
      <c r="B47" s="1" t="n">
        <v>45140</v>
      </c>
      <c r="C47" s="1" t="n">
        <v>45933</v>
      </c>
      <c r="D47" t="inlineStr">
        <is>
          <t>ÖSTERGÖTLANDS LÄN</t>
        </is>
      </c>
      <c r="E47" t="inlineStr">
        <is>
          <t>LINKÖPING</t>
        </is>
      </c>
      <c r="G47" t="n">
        <v>1.9</v>
      </c>
      <c r="H47" t="n">
        <v>0</v>
      </c>
      <c r="I47" t="n">
        <v>0</v>
      </c>
      <c r="J47" t="n">
        <v>1</v>
      </c>
      <c r="K47" t="n">
        <v>0</v>
      </c>
      <c r="L47" t="n">
        <v>0</v>
      </c>
      <c r="M47" t="n">
        <v>0</v>
      </c>
      <c r="N47" t="n">
        <v>0</v>
      </c>
      <c r="O47" t="n">
        <v>1</v>
      </c>
      <c r="P47" t="n">
        <v>0</v>
      </c>
      <c r="Q47" t="n">
        <v>1</v>
      </c>
      <c r="R47" s="2" t="inlineStr">
        <is>
          <t>Tallticka</t>
        </is>
      </c>
      <c r="S47">
        <f>HYPERLINK("https://klasma.github.io/Logging_0580/artfynd/A 34881-2023 artfynd.xlsx", "A 34881-2023")</f>
        <v/>
      </c>
      <c r="T47">
        <f>HYPERLINK("https://klasma.github.io/Logging_0580/kartor/A 34881-2023 karta.png", "A 34881-2023")</f>
        <v/>
      </c>
      <c r="U47">
        <f>HYPERLINK("https://klasma.github.io/Logging_0580/knärot/A 34881-2023 karta knärot.png", "A 34881-2023")</f>
        <v/>
      </c>
      <c r="V47">
        <f>HYPERLINK("https://klasma.github.io/Logging_0580/klagomål/A 34881-2023 FSC-klagomål.docx", "A 34881-2023")</f>
        <v/>
      </c>
      <c r="W47">
        <f>HYPERLINK("https://klasma.github.io/Logging_0580/klagomålsmail/A 34881-2023 FSC-klagomål mail.docx", "A 34881-2023")</f>
        <v/>
      </c>
      <c r="X47">
        <f>HYPERLINK("https://klasma.github.io/Logging_0580/tillsyn/A 34881-2023 tillsynsbegäran.docx", "A 34881-2023")</f>
        <v/>
      </c>
      <c r="Y47">
        <f>HYPERLINK("https://klasma.github.io/Logging_0580/tillsynsmail/A 34881-2023 tillsynsbegäran mail.docx", "A 34881-2023")</f>
        <v/>
      </c>
    </row>
    <row r="48" ht="15" customHeight="1">
      <c r="A48" t="inlineStr">
        <is>
          <t>A 27403-2025</t>
        </is>
      </c>
      <c r="B48" s="1" t="n">
        <v>45812.72518518518</v>
      </c>
      <c r="C48" s="1" t="n">
        <v>45933</v>
      </c>
      <c r="D48" t="inlineStr">
        <is>
          <t>ÖSTERGÖTLANDS LÄN</t>
        </is>
      </c>
      <c r="E48" t="inlineStr">
        <is>
          <t>LINKÖPING</t>
        </is>
      </c>
      <c r="G48" t="n">
        <v>1.4</v>
      </c>
      <c r="H48" t="n">
        <v>0</v>
      </c>
      <c r="I48" t="n">
        <v>0</v>
      </c>
      <c r="J48" t="n">
        <v>1</v>
      </c>
      <c r="K48" t="n">
        <v>0</v>
      </c>
      <c r="L48" t="n">
        <v>0</v>
      </c>
      <c r="M48" t="n">
        <v>0</v>
      </c>
      <c r="N48" t="n">
        <v>0</v>
      </c>
      <c r="O48" t="n">
        <v>1</v>
      </c>
      <c r="P48" t="n">
        <v>0</v>
      </c>
      <c r="Q48" t="n">
        <v>1</v>
      </c>
      <c r="R48" s="2" t="inlineStr">
        <is>
          <t>Tallticka</t>
        </is>
      </c>
      <c r="S48">
        <f>HYPERLINK("https://klasma.github.io/Logging_0580/artfynd/A 27403-2025 artfynd.xlsx", "A 27403-2025")</f>
        <v/>
      </c>
      <c r="T48">
        <f>HYPERLINK("https://klasma.github.io/Logging_0580/kartor/A 27403-2025 karta.png", "A 27403-2025")</f>
        <v/>
      </c>
      <c r="V48">
        <f>HYPERLINK("https://klasma.github.io/Logging_0580/klagomål/A 27403-2025 FSC-klagomål.docx", "A 27403-2025")</f>
        <v/>
      </c>
      <c r="W48">
        <f>HYPERLINK("https://klasma.github.io/Logging_0580/klagomålsmail/A 27403-2025 FSC-klagomål mail.docx", "A 27403-2025")</f>
        <v/>
      </c>
      <c r="X48">
        <f>HYPERLINK("https://klasma.github.io/Logging_0580/tillsyn/A 27403-2025 tillsynsbegäran.docx", "A 27403-2025")</f>
        <v/>
      </c>
      <c r="Y48">
        <f>HYPERLINK("https://klasma.github.io/Logging_0580/tillsynsmail/A 27403-2025 tillsynsbegäran mail.docx", "A 27403-2025")</f>
        <v/>
      </c>
    </row>
    <row r="49" ht="15" customHeight="1">
      <c r="A49" t="inlineStr">
        <is>
          <t>A 19103-2021</t>
        </is>
      </c>
      <c r="B49" s="1" t="n">
        <v>44308</v>
      </c>
      <c r="C49" s="1" t="n">
        <v>45933</v>
      </c>
      <c r="D49" t="inlineStr">
        <is>
          <t>ÖSTERGÖTLANDS LÄN</t>
        </is>
      </c>
      <c r="E49" t="inlineStr">
        <is>
          <t>LINKÖPING</t>
        </is>
      </c>
      <c r="G49" t="n">
        <v>4.7</v>
      </c>
      <c r="H49" t="n">
        <v>0</v>
      </c>
      <c r="I49" t="n">
        <v>0</v>
      </c>
      <c r="J49" t="n">
        <v>1</v>
      </c>
      <c r="K49" t="n">
        <v>0</v>
      </c>
      <c r="L49" t="n">
        <v>0</v>
      </c>
      <c r="M49" t="n">
        <v>0</v>
      </c>
      <c r="N49" t="n">
        <v>0</v>
      </c>
      <c r="O49" t="n">
        <v>1</v>
      </c>
      <c r="P49" t="n">
        <v>0</v>
      </c>
      <c r="Q49" t="n">
        <v>1</v>
      </c>
      <c r="R49" s="2" t="inlineStr">
        <is>
          <t>Tallticka</t>
        </is>
      </c>
      <c r="S49">
        <f>HYPERLINK("https://klasma.github.io/Logging_0580/artfynd/A 19103-2021 artfynd.xlsx", "A 19103-2021")</f>
        <v/>
      </c>
      <c r="T49">
        <f>HYPERLINK("https://klasma.github.io/Logging_0580/kartor/A 19103-2021 karta.png", "A 19103-2021")</f>
        <v/>
      </c>
      <c r="V49">
        <f>HYPERLINK("https://klasma.github.io/Logging_0580/klagomål/A 19103-2021 FSC-klagomål.docx", "A 19103-2021")</f>
        <v/>
      </c>
      <c r="W49">
        <f>HYPERLINK("https://klasma.github.io/Logging_0580/klagomålsmail/A 19103-2021 FSC-klagomål mail.docx", "A 19103-2021")</f>
        <v/>
      </c>
      <c r="X49">
        <f>HYPERLINK("https://klasma.github.io/Logging_0580/tillsyn/A 19103-2021 tillsynsbegäran.docx", "A 19103-2021")</f>
        <v/>
      </c>
      <c r="Y49">
        <f>HYPERLINK("https://klasma.github.io/Logging_0580/tillsynsmail/A 19103-2021 tillsynsbegäran mail.docx", "A 19103-2021")</f>
        <v/>
      </c>
    </row>
    <row r="50" ht="15" customHeight="1">
      <c r="A50" t="inlineStr">
        <is>
          <t>A 45317-2023</t>
        </is>
      </c>
      <c r="B50" s="1" t="n">
        <v>45191.74868055555</v>
      </c>
      <c r="C50" s="1" t="n">
        <v>45933</v>
      </c>
      <c r="D50" t="inlineStr">
        <is>
          <t>ÖSTERGÖTLANDS LÄN</t>
        </is>
      </c>
      <c r="E50" t="inlineStr">
        <is>
          <t>LINKÖPING</t>
        </is>
      </c>
      <c r="F50" t="inlineStr">
        <is>
          <t>Allmännings- och besparingsskogar</t>
        </is>
      </c>
      <c r="G50" t="n">
        <v>29.3</v>
      </c>
      <c r="H50" t="n">
        <v>0</v>
      </c>
      <c r="I50" t="n">
        <v>0</v>
      </c>
      <c r="J50" t="n">
        <v>1</v>
      </c>
      <c r="K50" t="n">
        <v>0</v>
      </c>
      <c r="L50" t="n">
        <v>0</v>
      </c>
      <c r="M50" t="n">
        <v>0</v>
      </c>
      <c r="N50" t="n">
        <v>0</v>
      </c>
      <c r="O50" t="n">
        <v>1</v>
      </c>
      <c r="P50" t="n">
        <v>0</v>
      </c>
      <c r="Q50" t="n">
        <v>1</v>
      </c>
      <c r="R50" s="2" t="inlineStr">
        <is>
          <t>Svinrot</t>
        </is>
      </c>
      <c r="S50">
        <f>HYPERLINK("https://klasma.github.io/Logging_0580/artfynd/A 45317-2023 artfynd.xlsx", "A 45317-2023")</f>
        <v/>
      </c>
      <c r="T50">
        <f>HYPERLINK("https://klasma.github.io/Logging_0580/kartor/A 45317-2023 karta.png", "A 45317-2023")</f>
        <v/>
      </c>
      <c r="V50">
        <f>HYPERLINK("https://klasma.github.io/Logging_0580/klagomål/A 45317-2023 FSC-klagomål.docx", "A 45317-2023")</f>
        <v/>
      </c>
      <c r="W50">
        <f>HYPERLINK("https://klasma.github.io/Logging_0580/klagomålsmail/A 45317-2023 FSC-klagomål mail.docx", "A 45317-2023")</f>
        <v/>
      </c>
      <c r="X50">
        <f>HYPERLINK("https://klasma.github.io/Logging_0580/tillsyn/A 45317-2023 tillsynsbegäran.docx", "A 45317-2023")</f>
        <v/>
      </c>
      <c r="Y50">
        <f>HYPERLINK("https://klasma.github.io/Logging_0580/tillsynsmail/A 45317-2023 tillsynsbegäran mail.docx", "A 45317-2023")</f>
        <v/>
      </c>
    </row>
    <row r="51" ht="15" customHeight="1">
      <c r="A51" t="inlineStr">
        <is>
          <t>A 20295-2025</t>
        </is>
      </c>
      <c r="B51" s="1" t="n">
        <v>45774.74846064814</v>
      </c>
      <c r="C51" s="1" t="n">
        <v>45933</v>
      </c>
      <c r="D51" t="inlineStr">
        <is>
          <t>ÖSTERGÖTLANDS LÄN</t>
        </is>
      </c>
      <c r="E51" t="inlineStr">
        <is>
          <t>LINKÖPING</t>
        </is>
      </c>
      <c r="G51" t="n">
        <v>3</v>
      </c>
      <c r="H51" t="n">
        <v>0</v>
      </c>
      <c r="I51" t="n">
        <v>0</v>
      </c>
      <c r="J51" t="n">
        <v>1</v>
      </c>
      <c r="K51" t="n">
        <v>0</v>
      </c>
      <c r="L51" t="n">
        <v>0</v>
      </c>
      <c r="M51" t="n">
        <v>0</v>
      </c>
      <c r="N51" t="n">
        <v>0</v>
      </c>
      <c r="O51" t="n">
        <v>1</v>
      </c>
      <c r="P51" t="n">
        <v>0</v>
      </c>
      <c r="Q51" t="n">
        <v>1</v>
      </c>
      <c r="R51" s="2" t="inlineStr">
        <is>
          <t>Tallticka</t>
        </is>
      </c>
      <c r="S51">
        <f>HYPERLINK("https://klasma.github.io/Logging_0580/artfynd/A 20295-2025 artfynd.xlsx", "A 20295-2025")</f>
        <v/>
      </c>
      <c r="T51">
        <f>HYPERLINK("https://klasma.github.io/Logging_0580/kartor/A 20295-2025 karta.png", "A 20295-2025")</f>
        <v/>
      </c>
      <c r="V51">
        <f>HYPERLINK("https://klasma.github.io/Logging_0580/klagomål/A 20295-2025 FSC-klagomål.docx", "A 20295-2025")</f>
        <v/>
      </c>
      <c r="W51">
        <f>HYPERLINK("https://klasma.github.io/Logging_0580/klagomålsmail/A 20295-2025 FSC-klagomål mail.docx", "A 20295-2025")</f>
        <v/>
      </c>
      <c r="X51">
        <f>HYPERLINK("https://klasma.github.io/Logging_0580/tillsyn/A 20295-2025 tillsynsbegäran.docx", "A 20295-2025")</f>
        <v/>
      </c>
      <c r="Y51">
        <f>HYPERLINK("https://klasma.github.io/Logging_0580/tillsynsmail/A 20295-2025 tillsynsbegäran mail.docx", "A 20295-2025")</f>
        <v/>
      </c>
    </row>
    <row r="52" ht="15" customHeight="1">
      <c r="A52" t="inlineStr">
        <is>
          <t>A 35948-2023</t>
        </is>
      </c>
      <c r="B52" s="1" t="n">
        <v>45148</v>
      </c>
      <c r="C52" s="1" t="n">
        <v>45933</v>
      </c>
      <c r="D52" t="inlineStr">
        <is>
          <t>ÖSTERGÖTLANDS LÄN</t>
        </is>
      </c>
      <c r="E52" t="inlineStr">
        <is>
          <t>LINKÖPING</t>
        </is>
      </c>
      <c r="G52" t="n">
        <v>1.9</v>
      </c>
      <c r="H52" t="n">
        <v>0</v>
      </c>
      <c r="I52" t="n">
        <v>1</v>
      </c>
      <c r="J52" t="n">
        <v>0</v>
      </c>
      <c r="K52" t="n">
        <v>0</v>
      </c>
      <c r="L52" t="n">
        <v>0</v>
      </c>
      <c r="M52" t="n">
        <v>0</v>
      </c>
      <c r="N52" t="n">
        <v>0</v>
      </c>
      <c r="O52" t="n">
        <v>0</v>
      </c>
      <c r="P52" t="n">
        <v>0</v>
      </c>
      <c r="Q52" t="n">
        <v>1</v>
      </c>
      <c r="R52" s="2" t="inlineStr">
        <is>
          <t>Brun nållav</t>
        </is>
      </c>
      <c r="S52">
        <f>HYPERLINK("https://klasma.github.io/Logging_0580/artfynd/A 35948-2023 artfynd.xlsx", "A 35948-2023")</f>
        <v/>
      </c>
      <c r="T52">
        <f>HYPERLINK("https://klasma.github.io/Logging_0580/kartor/A 35948-2023 karta.png", "A 35948-2023")</f>
        <v/>
      </c>
      <c r="V52">
        <f>HYPERLINK("https://klasma.github.io/Logging_0580/klagomål/A 35948-2023 FSC-klagomål.docx", "A 35948-2023")</f>
        <v/>
      </c>
      <c r="W52">
        <f>HYPERLINK("https://klasma.github.io/Logging_0580/klagomålsmail/A 35948-2023 FSC-klagomål mail.docx", "A 35948-2023")</f>
        <v/>
      </c>
      <c r="X52">
        <f>HYPERLINK("https://klasma.github.io/Logging_0580/tillsyn/A 35948-2023 tillsynsbegäran.docx", "A 35948-2023")</f>
        <v/>
      </c>
      <c r="Y52">
        <f>HYPERLINK("https://klasma.github.io/Logging_0580/tillsynsmail/A 35948-2023 tillsynsbegäran mail.docx", "A 35948-2023")</f>
        <v/>
      </c>
    </row>
    <row r="53" ht="15" customHeight="1">
      <c r="A53" t="inlineStr">
        <is>
          <t>A 1213-2023</t>
        </is>
      </c>
      <c r="B53" s="1" t="n">
        <v>44930</v>
      </c>
      <c r="C53" s="1" t="n">
        <v>45933</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17389-2021</t>
        </is>
      </c>
      <c r="B54" s="1" t="n">
        <v>44298.96792824074</v>
      </c>
      <c r="C54" s="1" t="n">
        <v>45933</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40315-2024</t>
        </is>
      </c>
      <c r="B55" s="1" t="n">
        <v>45554.7571875</v>
      </c>
      <c r="C55" s="1" t="n">
        <v>45933</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50806-2023</t>
        </is>
      </c>
      <c r="B56" s="1" t="n">
        <v>45217</v>
      </c>
      <c r="C56" s="1" t="n">
        <v>45933</v>
      </c>
      <c r="D56" t="inlineStr">
        <is>
          <t>ÖSTERGÖTLANDS LÄN</t>
        </is>
      </c>
      <c r="E56" t="inlineStr">
        <is>
          <t>LINKÖPING</t>
        </is>
      </c>
      <c r="F56" t="inlineStr">
        <is>
          <t>Övriga Aktiebolag</t>
        </is>
      </c>
      <c r="G56" t="n">
        <v>0.7</v>
      </c>
      <c r="H56" t="n">
        <v>1</v>
      </c>
      <c r="I56" t="n">
        <v>0</v>
      </c>
      <c r="J56" t="n">
        <v>0</v>
      </c>
      <c r="K56" t="n">
        <v>0</v>
      </c>
      <c r="L56" t="n">
        <v>0</v>
      </c>
      <c r="M56" t="n">
        <v>0</v>
      </c>
      <c r="N56" t="n">
        <v>0</v>
      </c>
      <c r="O56" t="n">
        <v>0</v>
      </c>
      <c r="P56" t="n">
        <v>0</v>
      </c>
      <c r="Q56" t="n">
        <v>1</v>
      </c>
      <c r="R56" s="2" t="inlineStr">
        <is>
          <t>Gullviva</t>
        </is>
      </c>
      <c r="S56">
        <f>HYPERLINK("https://klasma.github.io/Logging_0580/artfynd/A 50806-2023 artfynd.xlsx", "A 50806-2023")</f>
        <v/>
      </c>
      <c r="T56">
        <f>HYPERLINK("https://klasma.github.io/Logging_0580/kartor/A 50806-2023 karta.png", "A 50806-2023")</f>
        <v/>
      </c>
      <c r="V56">
        <f>HYPERLINK("https://klasma.github.io/Logging_0580/klagomål/A 50806-2023 FSC-klagomål.docx", "A 50806-2023")</f>
        <v/>
      </c>
      <c r="W56">
        <f>HYPERLINK("https://klasma.github.io/Logging_0580/klagomålsmail/A 50806-2023 FSC-klagomål mail.docx", "A 50806-2023")</f>
        <v/>
      </c>
      <c r="X56">
        <f>HYPERLINK("https://klasma.github.io/Logging_0580/tillsyn/A 50806-2023 tillsynsbegäran.docx", "A 50806-2023")</f>
        <v/>
      </c>
      <c r="Y56">
        <f>HYPERLINK("https://klasma.github.io/Logging_0580/tillsynsmail/A 50806-2023 tillsynsbegäran mail.docx", "A 50806-2023")</f>
        <v/>
      </c>
    </row>
    <row r="57" ht="15" customHeight="1">
      <c r="A57" t="inlineStr">
        <is>
          <t>A 36723-2023</t>
        </is>
      </c>
      <c r="B57" s="1" t="n">
        <v>45153</v>
      </c>
      <c r="C57" s="1" t="n">
        <v>45933</v>
      </c>
      <c r="D57" t="inlineStr">
        <is>
          <t>ÖSTERGÖTLANDS LÄN</t>
        </is>
      </c>
      <c r="E57" t="inlineStr">
        <is>
          <t>LINKÖPING</t>
        </is>
      </c>
      <c r="F57" t="inlineStr">
        <is>
          <t>Allmännings- och besparingsskogar</t>
        </is>
      </c>
      <c r="G57" t="n">
        <v>9.9</v>
      </c>
      <c r="H57" t="n">
        <v>0</v>
      </c>
      <c r="I57" t="n">
        <v>0</v>
      </c>
      <c r="J57" t="n">
        <v>0</v>
      </c>
      <c r="K57" t="n">
        <v>1</v>
      </c>
      <c r="L57" t="n">
        <v>0</v>
      </c>
      <c r="M57" t="n">
        <v>0</v>
      </c>
      <c r="N57" t="n">
        <v>0</v>
      </c>
      <c r="O57" t="n">
        <v>1</v>
      </c>
      <c r="P57" t="n">
        <v>1</v>
      </c>
      <c r="Q57" t="n">
        <v>1</v>
      </c>
      <c r="R57" s="2" t="inlineStr">
        <is>
          <t>Bitter taggsvamp</t>
        </is>
      </c>
      <c r="S57">
        <f>HYPERLINK("https://klasma.github.io/Logging_0580/artfynd/A 36723-2023 artfynd.xlsx", "A 36723-2023")</f>
        <v/>
      </c>
      <c r="T57">
        <f>HYPERLINK("https://klasma.github.io/Logging_0580/kartor/A 36723-2023 karta.png", "A 36723-2023")</f>
        <v/>
      </c>
      <c r="V57">
        <f>HYPERLINK("https://klasma.github.io/Logging_0580/klagomål/A 36723-2023 FSC-klagomål.docx", "A 36723-2023")</f>
        <v/>
      </c>
      <c r="W57">
        <f>HYPERLINK("https://klasma.github.io/Logging_0580/klagomålsmail/A 36723-2023 FSC-klagomål mail.docx", "A 36723-2023")</f>
        <v/>
      </c>
      <c r="X57">
        <f>HYPERLINK("https://klasma.github.io/Logging_0580/tillsyn/A 36723-2023 tillsynsbegäran.docx", "A 36723-2023")</f>
        <v/>
      </c>
      <c r="Y57">
        <f>HYPERLINK("https://klasma.github.io/Logging_0580/tillsynsmail/A 36723-2023 tillsynsbegäran mail.docx", "A 36723-2023")</f>
        <v/>
      </c>
    </row>
    <row r="58" ht="15" customHeight="1">
      <c r="A58" t="inlineStr">
        <is>
          <t>A 56651-2023</t>
        </is>
      </c>
      <c r="B58" s="1" t="n">
        <v>45243</v>
      </c>
      <c r="C58" s="1" t="n">
        <v>45933</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60573-2021</t>
        </is>
      </c>
      <c r="B59" s="1" t="n">
        <v>44496</v>
      </c>
      <c r="C59" s="1" t="n">
        <v>45933</v>
      </c>
      <c r="D59" t="inlineStr">
        <is>
          <t>ÖSTERGÖTLANDS LÄN</t>
        </is>
      </c>
      <c r="E59" t="inlineStr">
        <is>
          <t>LINKÖPING</t>
        </is>
      </c>
      <c r="F59" t="inlineStr">
        <is>
          <t>Övriga Aktiebolag</t>
        </is>
      </c>
      <c r="G59" t="n">
        <v>5.6</v>
      </c>
      <c r="H59" t="n">
        <v>0</v>
      </c>
      <c r="I59" t="n">
        <v>0</v>
      </c>
      <c r="J59" t="n">
        <v>1</v>
      </c>
      <c r="K59" t="n">
        <v>0</v>
      </c>
      <c r="L59" t="n">
        <v>0</v>
      </c>
      <c r="M59" t="n">
        <v>0</v>
      </c>
      <c r="N59" t="n">
        <v>0</v>
      </c>
      <c r="O59" t="n">
        <v>1</v>
      </c>
      <c r="P59" t="n">
        <v>0</v>
      </c>
      <c r="Q59" t="n">
        <v>1</v>
      </c>
      <c r="R59" s="2" t="inlineStr">
        <is>
          <t>Sommarfibbla</t>
        </is>
      </c>
      <c r="S59">
        <f>HYPERLINK("https://klasma.github.io/Logging_0580/artfynd/A 60573-2021 artfynd.xlsx", "A 60573-2021")</f>
        <v/>
      </c>
      <c r="T59">
        <f>HYPERLINK("https://klasma.github.io/Logging_0580/kartor/A 60573-2021 karta.png", "A 60573-2021")</f>
        <v/>
      </c>
      <c r="V59">
        <f>HYPERLINK("https://klasma.github.io/Logging_0580/klagomål/A 60573-2021 FSC-klagomål.docx", "A 60573-2021")</f>
        <v/>
      </c>
      <c r="W59">
        <f>HYPERLINK("https://klasma.github.io/Logging_0580/klagomålsmail/A 60573-2021 FSC-klagomål mail.docx", "A 60573-2021")</f>
        <v/>
      </c>
      <c r="X59">
        <f>HYPERLINK("https://klasma.github.io/Logging_0580/tillsyn/A 60573-2021 tillsynsbegäran.docx", "A 60573-2021")</f>
        <v/>
      </c>
      <c r="Y59">
        <f>HYPERLINK("https://klasma.github.io/Logging_0580/tillsynsmail/A 60573-2021 tillsynsbegäran mail.docx", "A 60573-2021")</f>
        <v/>
      </c>
    </row>
    <row r="60" ht="15" customHeight="1">
      <c r="A60" t="inlineStr">
        <is>
          <t>A 43989-2025</t>
        </is>
      </c>
      <c r="B60" s="1" t="n">
        <v>45915.44128472222</v>
      </c>
      <c r="C60" s="1" t="n">
        <v>45933</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62071-2023</t>
        </is>
      </c>
      <c r="B61" s="1" t="n">
        <v>45266.73542824074</v>
      </c>
      <c r="C61" s="1" t="n">
        <v>45933</v>
      </c>
      <c r="D61" t="inlineStr">
        <is>
          <t>ÖSTERGÖTLANDS LÄN</t>
        </is>
      </c>
      <c r="E61" t="inlineStr">
        <is>
          <t>LINKÖPING</t>
        </is>
      </c>
      <c r="G61" t="n">
        <v>6.5</v>
      </c>
      <c r="H61" t="n">
        <v>0</v>
      </c>
      <c r="I61" t="n">
        <v>0</v>
      </c>
      <c r="J61" t="n">
        <v>1</v>
      </c>
      <c r="K61" t="n">
        <v>0</v>
      </c>
      <c r="L61" t="n">
        <v>0</v>
      </c>
      <c r="M61" t="n">
        <v>0</v>
      </c>
      <c r="N61" t="n">
        <v>0</v>
      </c>
      <c r="O61" t="n">
        <v>1</v>
      </c>
      <c r="P61" t="n">
        <v>0</v>
      </c>
      <c r="Q61" t="n">
        <v>1</v>
      </c>
      <c r="R61" s="2" t="inlineStr">
        <is>
          <t>Svinrot</t>
        </is>
      </c>
      <c r="S61">
        <f>HYPERLINK("https://klasma.github.io/Logging_0580/artfynd/A 62071-2023 artfynd.xlsx", "A 62071-2023")</f>
        <v/>
      </c>
      <c r="T61">
        <f>HYPERLINK("https://klasma.github.io/Logging_0580/kartor/A 62071-2023 karta.png", "A 62071-2023")</f>
        <v/>
      </c>
      <c r="V61">
        <f>HYPERLINK("https://klasma.github.io/Logging_0580/klagomål/A 62071-2023 FSC-klagomål.docx", "A 62071-2023")</f>
        <v/>
      </c>
      <c r="W61">
        <f>HYPERLINK("https://klasma.github.io/Logging_0580/klagomålsmail/A 62071-2023 FSC-klagomål mail.docx", "A 62071-2023")</f>
        <v/>
      </c>
      <c r="X61">
        <f>HYPERLINK("https://klasma.github.io/Logging_0580/tillsyn/A 62071-2023 tillsynsbegäran.docx", "A 62071-2023")</f>
        <v/>
      </c>
      <c r="Y61">
        <f>HYPERLINK("https://klasma.github.io/Logging_0580/tillsynsmail/A 62071-2023 tillsynsbegäran mail.docx", "A 62071-2023")</f>
        <v/>
      </c>
    </row>
    <row r="62" ht="15" customHeight="1">
      <c r="A62" t="inlineStr">
        <is>
          <t>A 22526-2025</t>
        </is>
      </c>
      <c r="B62" s="1" t="n">
        <v>45786.78096064815</v>
      </c>
      <c r="C62" s="1" t="n">
        <v>45933</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90-2024</t>
        </is>
      </c>
      <c r="B63" s="1" t="n">
        <v>45293</v>
      </c>
      <c r="C63" s="1" t="n">
        <v>45933</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44760-2025</t>
        </is>
      </c>
      <c r="B64" s="1" t="n">
        <v>45917.71873842592</v>
      </c>
      <c r="C64" s="1" t="n">
        <v>45933</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17444-2025</t>
        </is>
      </c>
      <c r="B65" s="1" t="n">
        <v>45757.43452546297</v>
      </c>
      <c r="C65" s="1" t="n">
        <v>45933</v>
      </c>
      <c r="D65" t="inlineStr">
        <is>
          <t>ÖSTERGÖTLANDS LÄN</t>
        </is>
      </c>
      <c r="E65" t="inlineStr">
        <is>
          <t>LINKÖPING</t>
        </is>
      </c>
      <c r="G65" t="n">
        <v>1.3</v>
      </c>
      <c r="H65" t="n">
        <v>1</v>
      </c>
      <c r="I65" t="n">
        <v>0</v>
      </c>
      <c r="J65" t="n">
        <v>1</v>
      </c>
      <c r="K65" t="n">
        <v>0</v>
      </c>
      <c r="L65" t="n">
        <v>0</v>
      </c>
      <c r="M65" t="n">
        <v>0</v>
      </c>
      <c r="N65" t="n">
        <v>0</v>
      </c>
      <c r="O65" t="n">
        <v>1</v>
      </c>
      <c r="P65" t="n">
        <v>0</v>
      </c>
      <c r="Q65" t="n">
        <v>1</v>
      </c>
      <c r="R65" s="2" t="inlineStr">
        <is>
          <t>Dårgräsfjäril</t>
        </is>
      </c>
      <c r="S65">
        <f>HYPERLINK("https://klasma.github.io/Logging_0580/artfynd/A 17444-2025 artfynd.xlsx", "A 17444-2025")</f>
        <v/>
      </c>
      <c r="T65">
        <f>HYPERLINK("https://klasma.github.io/Logging_0580/kartor/A 17444-2025 karta.png", "A 17444-2025")</f>
        <v/>
      </c>
      <c r="V65">
        <f>HYPERLINK("https://klasma.github.io/Logging_0580/klagomål/A 17444-2025 FSC-klagomål.docx", "A 17444-2025")</f>
        <v/>
      </c>
      <c r="W65">
        <f>HYPERLINK("https://klasma.github.io/Logging_0580/klagomålsmail/A 17444-2025 FSC-klagomål mail.docx", "A 17444-2025")</f>
        <v/>
      </c>
      <c r="X65">
        <f>HYPERLINK("https://klasma.github.io/Logging_0580/tillsyn/A 17444-2025 tillsynsbegäran.docx", "A 17444-2025")</f>
        <v/>
      </c>
      <c r="Y65">
        <f>HYPERLINK("https://klasma.github.io/Logging_0580/tillsynsmail/A 17444-2025 tillsynsbegäran mail.docx", "A 17444-2025")</f>
        <v/>
      </c>
    </row>
    <row r="66" ht="15" customHeight="1">
      <c r="A66" t="inlineStr">
        <is>
          <t>A 5911-2022</t>
        </is>
      </c>
      <c r="B66" s="1" t="n">
        <v>44597</v>
      </c>
      <c r="C66" s="1" t="n">
        <v>45933</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56128-2022</t>
        </is>
      </c>
      <c r="B67" s="1" t="n">
        <v>44889</v>
      </c>
      <c r="C67" s="1" t="n">
        <v>45933</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40309-2024</t>
        </is>
      </c>
      <c r="B68" s="1" t="n">
        <v>45554.724375</v>
      </c>
      <c r="C68" s="1" t="n">
        <v>45933</v>
      </c>
      <c r="D68" t="inlineStr">
        <is>
          <t>ÖSTERGÖTLANDS LÄN</t>
        </is>
      </c>
      <c r="E68" t="inlineStr">
        <is>
          <t>LINKÖPING</t>
        </is>
      </c>
      <c r="F68" t="inlineStr">
        <is>
          <t>Allmännings- och besparingsskogar</t>
        </is>
      </c>
      <c r="G68" t="n">
        <v>6</v>
      </c>
      <c r="H68" t="n">
        <v>0</v>
      </c>
      <c r="I68" t="n">
        <v>0</v>
      </c>
      <c r="J68" t="n">
        <v>1</v>
      </c>
      <c r="K68" t="n">
        <v>0</v>
      </c>
      <c r="L68" t="n">
        <v>0</v>
      </c>
      <c r="M68" t="n">
        <v>0</v>
      </c>
      <c r="N68" t="n">
        <v>0</v>
      </c>
      <c r="O68" t="n">
        <v>1</v>
      </c>
      <c r="P68" t="n">
        <v>0</v>
      </c>
      <c r="Q68" t="n">
        <v>1</v>
      </c>
      <c r="R68" s="2" t="inlineStr">
        <is>
          <t>Garnlav</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row>
    <row r="69" ht="15" customHeight="1">
      <c r="A69" t="inlineStr">
        <is>
          <t>A 15290-2025</t>
        </is>
      </c>
      <c r="B69" s="1" t="n">
        <v>45745.45288194445</v>
      </c>
      <c r="C69" s="1" t="n">
        <v>45933</v>
      </c>
      <c r="D69" t="inlineStr">
        <is>
          <t>ÖSTERGÖTLANDS LÄN</t>
        </is>
      </c>
      <c r="E69" t="inlineStr">
        <is>
          <t>LINKÖPING</t>
        </is>
      </c>
      <c r="G69" t="n">
        <v>18.4</v>
      </c>
      <c r="H69" t="n">
        <v>1</v>
      </c>
      <c r="I69" t="n">
        <v>0</v>
      </c>
      <c r="J69" t="n">
        <v>1</v>
      </c>
      <c r="K69" t="n">
        <v>0</v>
      </c>
      <c r="L69" t="n">
        <v>0</v>
      </c>
      <c r="M69" t="n">
        <v>0</v>
      </c>
      <c r="N69" t="n">
        <v>0</v>
      </c>
      <c r="O69" t="n">
        <v>1</v>
      </c>
      <c r="P69" t="n">
        <v>0</v>
      </c>
      <c r="Q69" t="n">
        <v>1</v>
      </c>
      <c r="R69" s="2" t="inlineStr">
        <is>
          <t>Havsörn</t>
        </is>
      </c>
      <c r="S69">
        <f>HYPERLINK("https://klasma.github.io/Logging_0580/artfynd/A 15290-2025 artfynd.xlsx", "A 15290-2025")</f>
        <v/>
      </c>
      <c r="T69">
        <f>HYPERLINK("https://klasma.github.io/Logging_0580/kartor/A 15290-2025 karta.png", "A 15290-2025")</f>
        <v/>
      </c>
      <c r="V69">
        <f>HYPERLINK("https://klasma.github.io/Logging_0580/klagomål/A 15290-2025 FSC-klagomål.docx", "A 15290-2025")</f>
        <v/>
      </c>
      <c r="W69">
        <f>HYPERLINK("https://klasma.github.io/Logging_0580/klagomålsmail/A 15290-2025 FSC-klagomål mail.docx", "A 15290-2025")</f>
        <v/>
      </c>
      <c r="X69">
        <f>HYPERLINK("https://klasma.github.io/Logging_0580/tillsyn/A 15290-2025 tillsynsbegäran.docx", "A 15290-2025")</f>
        <v/>
      </c>
      <c r="Y69">
        <f>HYPERLINK("https://klasma.github.io/Logging_0580/tillsynsmail/A 15290-2025 tillsynsbegäran mail.docx", "A 15290-2025")</f>
        <v/>
      </c>
      <c r="Z69">
        <f>HYPERLINK("https://klasma.github.io/Logging_0580/fåglar/A 15290-2025 prioriterade fågelarter.docx", "A 15290-2025")</f>
        <v/>
      </c>
    </row>
    <row r="70" ht="15" customHeight="1">
      <c r="A70" t="inlineStr">
        <is>
          <t>A 1716-2023</t>
        </is>
      </c>
      <c r="B70" s="1" t="n">
        <v>44938</v>
      </c>
      <c r="C70" s="1" t="n">
        <v>45933</v>
      </c>
      <c r="D70" t="inlineStr">
        <is>
          <t>ÖSTERGÖTLANDS LÄN</t>
        </is>
      </c>
      <c r="E70" t="inlineStr">
        <is>
          <t>LINKÖPING</t>
        </is>
      </c>
      <c r="G70" t="n">
        <v>3.6</v>
      </c>
      <c r="H70" t="n">
        <v>0</v>
      </c>
      <c r="I70" t="n">
        <v>0</v>
      </c>
      <c r="J70" t="n">
        <v>1</v>
      </c>
      <c r="K70" t="n">
        <v>0</v>
      </c>
      <c r="L70" t="n">
        <v>0</v>
      </c>
      <c r="M70" t="n">
        <v>0</v>
      </c>
      <c r="N70" t="n">
        <v>0</v>
      </c>
      <c r="O70" t="n">
        <v>1</v>
      </c>
      <c r="P70" t="n">
        <v>0</v>
      </c>
      <c r="Q70" t="n">
        <v>1</v>
      </c>
      <c r="R70" s="2" t="inlineStr">
        <is>
          <t>Svinrot</t>
        </is>
      </c>
      <c r="S70">
        <f>HYPERLINK("https://klasma.github.io/Logging_0580/artfynd/A 1716-2023 artfynd.xlsx", "A 1716-2023")</f>
        <v/>
      </c>
      <c r="T70">
        <f>HYPERLINK("https://klasma.github.io/Logging_0580/kartor/A 1716-2023 karta.png", "A 1716-2023")</f>
        <v/>
      </c>
      <c r="V70">
        <f>HYPERLINK("https://klasma.github.io/Logging_0580/klagomål/A 1716-2023 FSC-klagomål.docx", "A 1716-2023")</f>
        <v/>
      </c>
      <c r="W70">
        <f>HYPERLINK("https://klasma.github.io/Logging_0580/klagomålsmail/A 1716-2023 FSC-klagomål mail.docx", "A 1716-2023")</f>
        <v/>
      </c>
      <c r="X70">
        <f>HYPERLINK("https://klasma.github.io/Logging_0580/tillsyn/A 1716-2023 tillsynsbegäran.docx", "A 1716-2023")</f>
        <v/>
      </c>
      <c r="Y70">
        <f>HYPERLINK("https://klasma.github.io/Logging_0580/tillsynsmail/A 1716-2023 tillsynsbegäran mail.docx", "A 1716-2023")</f>
        <v/>
      </c>
    </row>
    <row r="71" ht="15" customHeight="1">
      <c r="A71" t="inlineStr">
        <is>
          <t>A 931-2025</t>
        </is>
      </c>
      <c r="B71" s="1" t="n">
        <v>45665.88498842593</v>
      </c>
      <c r="C71" s="1" t="n">
        <v>45933</v>
      </c>
      <c r="D71" t="inlineStr">
        <is>
          <t>ÖSTERGÖTLANDS LÄN</t>
        </is>
      </c>
      <c r="E71" t="inlineStr">
        <is>
          <t>LINKÖPING</t>
        </is>
      </c>
      <c r="F71" t="inlineStr">
        <is>
          <t>Övriga Aktiebolag</t>
        </is>
      </c>
      <c r="G71" t="n">
        <v>0.8</v>
      </c>
      <c r="H71" t="n">
        <v>0</v>
      </c>
      <c r="I71" t="n">
        <v>0</v>
      </c>
      <c r="J71" t="n">
        <v>1</v>
      </c>
      <c r="K71" t="n">
        <v>0</v>
      </c>
      <c r="L71" t="n">
        <v>0</v>
      </c>
      <c r="M71" t="n">
        <v>0</v>
      </c>
      <c r="N71" t="n">
        <v>0</v>
      </c>
      <c r="O71" t="n">
        <v>1</v>
      </c>
      <c r="P71" t="n">
        <v>0</v>
      </c>
      <c r="Q71" t="n">
        <v>1</v>
      </c>
      <c r="R71" s="2" t="inlineStr">
        <is>
          <t>Tallticka</t>
        </is>
      </c>
      <c r="S71">
        <f>HYPERLINK("https://klasma.github.io/Logging_0580/artfynd/A 931-2025 artfynd.xlsx", "A 931-2025")</f>
        <v/>
      </c>
      <c r="T71">
        <f>HYPERLINK("https://klasma.github.io/Logging_0580/kartor/A 931-2025 karta.png", "A 931-2025")</f>
        <v/>
      </c>
      <c r="V71">
        <f>HYPERLINK("https://klasma.github.io/Logging_0580/klagomål/A 931-2025 FSC-klagomål.docx", "A 931-2025")</f>
        <v/>
      </c>
      <c r="W71">
        <f>HYPERLINK("https://klasma.github.io/Logging_0580/klagomålsmail/A 931-2025 FSC-klagomål mail.docx", "A 931-2025")</f>
        <v/>
      </c>
      <c r="X71">
        <f>HYPERLINK("https://klasma.github.io/Logging_0580/tillsyn/A 931-2025 tillsynsbegäran.docx", "A 931-2025")</f>
        <v/>
      </c>
      <c r="Y71">
        <f>HYPERLINK("https://klasma.github.io/Logging_0580/tillsynsmail/A 931-2025 tillsynsbegäran mail.docx", "A 931-2025")</f>
        <v/>
      </c>
    </row>
    <row r="72" ht="15" customHeight="1">
      <c r="A72" t="inlineStr">
        <is>
          <t>A 126-2024</t>
        </is>
      </c>
      <c r="B72" s="1" t="n">
        <v>45294</v>
      </c>
      <c r="C72" s="1" t="n">
        <v>45933</v>
      </c>
      <c r="D72" t="inlineStr">
        <is>
          <t>ÖSTERGÖTLANDS LÄN</t>
        </is>
      </c>
      <c r="E72" t="inlineStr">
        <is>
          <t>LINKÖPING</t>
        </is>
      </c>
      <c r="G72" t="n">
        <v>1</v>
      </c>
      <c r="H72" t="n">
        <v>0</v>
      </c>
      <c r="I72" t="n">
        <v>1</v>
      </c>
      <c r="J72" t="n">
        <v>0</v>
      </c>
      <c r="K72" t="n">
        <v>0</v>
      </c>
      <c r="L72" t="n">
        <v>0</v>
      </c>
      <c r="M72" t="n">
        <v>0</v>
      </c>
      <c r="N72" t="n">
        <v>0</v>
      </c>
      <c r="O72" t="n">
        <v>0</v>
      </c>
      <c r="P72" t="n">
        <v>0</v>
      </c>
      <c r="Q72" t="n">
        <v>1</v>
      </c>
      <c r="R72" s="2" t="inlineStr">
        <is>
          <t>Blåmossa</t>
        </is>
      </c>
      <c r="S72">
        <f>HYPERLINK("https://klasma.github.io/Logging_0580/artfynd/A 126-2024 artfynd.xlsx", "A 126-2024")</f>
        <v/>
      </c>
      <c r="T72">
        <f>HYPERLINK("https://klasma.github.io/Logging_0580/kartor/A 126-2024 karta.png", "A 126-2024")</f>
        <v/>
      </c>
      <c r="V72">
        <f>HYPERLINK("https://klasma.github.io/Logging_0580/klagomål/A 126-2024 FSC-klagomål.docx", "A 126-2024")</f>
        <v/>
      </c>
      <c r="W72">
        <f>HYPERLINK("https://klasma.github.io/Logging_0580/klagomålsmail/A 126-2024 FSC-klagomål mail.docx", "A 126-2024")</f>
        <v/>
      </c>
      <c r="X72">
        <f>HYPERLINK("https://klasma.github.io/Logging_0580/tillsyn/A 126-2024 tillsynsbegäran.docx", "A 126-2024")</f>
        <v/>
      </c>
      <c r="Y72">
        <f>HYPERLINK("https://klasma.github.io/Logging_0580/tillsynsmail/A 126-2024 tillsynsbegäran mail.docx", "A 126-2024")</f>
        <v/>
      </c>
    </row>
    <row r="73" ht="15" customHeight="1">
      <c r="A73" t="inlineStr">
        <is>
          <t>A 3395-2023</t>
        </is>
      </c>
      <c r="B73" s="1" t="n">
        <v>44949</v>
      </c>
      <c r="C73" s="1" t="n">
        <v>45933</v>
      </c>
      <c r="D73" t="inlineStr">
        <is>
          <t>ÖSTERGÖTLANDS LÄN</t>
        </is>
      </c>
      <c r="E73" t="inlineStr">
        <is>
          <t>LINKÖPING</t>
        </is>
      </c>
      <c r="G73" t="n">
        <v>2</v>
      </c>
      <c r="H73" t="n">
        <v>0</v>
      </c>
      <c r="I73" t="n">
        <v>0</v>
      </c>
      <c r="J73" t="n">
        <v>1</v>
      </c>
      <c r="K73" t="n">
        <v>0</v>
      </c>
      <c r="L73" t="n">
        <v>0</v>
      </c>
      <c r="M73" t="n">
        <v>0</v>
      </c>
      <c r="N73" t="n">
        <v>0</v>
      </c>
      <c r="O73" t="n">
        <v>1</v>
      </c>
      <c r="P73" t="n">
        <v>0</v>
      </c>
      <c r="Q73" t="n">
        <v>1</v>
      </c>
      <c r="R73" s="2" t="inlineStr">
        <is>
          <t>Sommarfibbla</t>
        </is>
      </c>
      <c r="S73">
        <f>HYPERLINK("https://klasma.github.io/Logging_0580/artfynd/A 3395-2023 artfynd.xlsx", "A 3395-2023")</f>
        <v/>
      </c>
      <c r="T73">
        <f>HYPERLINK("https://klasma.github.io/Logging_0580/kartor/A 3395-2023 karta.png", "A 3395-2023")</f>
        <v/>
      </c>
      <c r="V73">
        <f>HYPERLINK("https://klasma.github.io/Logging_0580/klagomål/A 3395-2023 FSC-klagomål.docx", "A 3395-2023")</f>
        <v/>
      </c>
      <c r="W73">
        <f>HYPERLINK("https://klasma.github.io/Logging_0580/klagomålsmail/A 3395-2023 FSC-klagomål mail.docx", "A 3395-2023")</f>
        <v/>
      </c>
      <c r="X73">
        <f>HYPERLINK("https://klasma.github.io/Logging_0580/tillsyn/A 3395-2023 tillsynsbegäran.docx", "A 3395-2023")</f>
        <v/>
      </c>
      <c r="Y73">
        <f>HYPERLINK("https://klasma.github.io/Logging_0580/tillsynsmail/A 3395-2023 tillsynsbegäran mail.docx", "A 3395-2023")</f>
        <v/>
      </c>
    </row>
    <row r="74" ht="15" customHeight="1">
      <c r="A74" t="inlineStr">
        <is>
          <t>A 3397-2023</t>
        </is>
      </c>
      <c r="B74" s="1" t="n">
        <v>44949</v>
      </c>
      <c r="C74" s="1" t="n">
        <v>45933</v>
      </c>
      <c r="D74" t="inlineStr">
        <is>
          <t>ÖSTERGÖTLANDS LÄN</t>
        </is>
      </c>
      <c r="E74" t="inlineStr">
        <is>
          <t>LINKÖPING</t>
        </is>
      </c>
      <c r="G74" t="n">
        <v>4.1</v>
      </c>
      <c r="H74" t="n">
        <v>0</v>
      </c>
      <c r="I74" t="n">
        <v>0</v>
      </c>
      <c r="J74" t="n">
        <v>1</v>
      </c>
      <c r="K74" t="n">
        <v>0</v>
      </c>
      <c r="L74" t="n">
        <v>0</v>
      </c>
      <c r="M74" t="n">
        <v>0</v>
      </c>
      <c r="N74" t="n">
        <v>0</v>
      </c>
      <c r="O74" t="n">
        <v>1</v>
      </c>
      <c r="P74" t="n">
        <v>0</v>
      </c>
      <c r="Q74" t="n">
        <v>1</v>
      </c>
      <c r="R74" s="2" t="inlineStr">
        <is>
          <t>Svinrot</t>
        </is>
      </c>
      <c r="S74">
        <f>HYPERLINK("https://klasma.github.io/Logging_0580/artfynd/A 3397-2023 artfynd.xlsx", "A 3397-2023")</f>
        <v/>
      </c>
      <c r="T74">
        <f>HYPERLINK("https://klasma.github.io/Logging_0580/kartor/A 3397-2023 karta.png", "A 3397-2023")</f>
        <v/>
      </c>
      <c r="V74">
        <f>HYPERLINK("https://klasma.github.io/Logging_0580/klagomål/A 3397-2023 FSC-klagomål.docx", "A 3397-2023")</f>
        <v/>
      </c>
      <c r="W74">
        <f>HYPERLINK("https://klasma.github.io/Logging_0580/klagomålsmail/A 3397-2023 FSC-klagomål mail.docx", "A 3397-2023")</f>
        <v/>
      </c>
      <c r="X74">
        <f>HYPERLINK("https://klasma.github.io/Logging_0580/tillsyn/A 3397-2023 tillsynsbegäran.docx", "A 3397-2023")</f>
        <v/>
      </c>
      <c r="Y74">
        <f>HYPERLINK("https://klasma.github.io/Logging_0580/tillsynsmail/A 3397-2023 tillsynsbegäran mail.docx", "A 3397-2023")</f>
        <v/>
      </c>
    </row>
    <row r="75" ht="15" customHeight="1">
      <c r="A75" t="inlineStr">
        <is>
          <t>A 41749-2023</t>
        </is>
      </c>
      <c r="B75" s="1" t="n">
        <v>45176</v>
      </c>
      <c r="C75" s="1" t="n">
        <v>45933</v>
      </c>
      <c r="D75" t="inlineStr">
        <is>
          <t>ÖSTERGÖTLANDS LÄN</t>
        </is>
      </c>
      <c r="E75" t="inlineStr">
        <is>
          <t>LINKÖPING</t>
        </is>
      </c>
      <c r="G75" t="n">
        <v>3.6</v>
      </c>
      <c r="H75" t="n">
        <v>0</v>
      </c>
      <c r="I75" t="n">
        <v>0</v>
      </c>
      <c r="J75" t="n">
        <v>1</v>
      </c>
      <c r="K75" t="n">
        <v>0</v>
      </c>
      <c r="L75" t="n">
        <v>0</v>
      </c>
      <c r="M75" t="n">
        <v>0</v>
      </c>
      <c r="N75" t="n">
        <v>0</v>
      </c>
      <c r="O75" t="n">
        <v>1</v>
      </c>
      <c r="P75" t="n">
        <v>0</v>
      </c>
      <c r="Q75" t="n">
        <v>1</v>
      </c>
      <c r="R75" s="2" t="inlineStr">
        <is>
          <t>Svinrot</t>
        </is>
      </c>
      <c r="S75">
        <f>HYPERLINK("https://klasma.github.io/Logging_0580/artfynd/A 41749-2023 artfynd.xlsx", "A 41749-2023")</f>
        <v/>
      </c>
      <c r="T75">
        <f>HYPERLINK("https://klasma.github.io/Logging_0580/kartor/A 41749-2023 karta.png", "A 41749-2023")</f>
        <v/>
      </c>
      <c r="V75">
        <f>HYPERLINK("https://klasma.github.io/Logging_0580/klagomål/A 41749-2023 FSC-klagomål.docx", "A 41749-2023")</f>
        <v/>
      </c>
      <c r="W75">
        <f>HYPERLINK("https://klasma.github.io/Logging_0580/klagomålsmail/A 41749-2023 FSC-klagomål mail.docx", "A 41749-2023")</f>
        <v/>
      </c>
      <c r="X75">
        <f>HYPERLINK("https://klasma.github.io/Logging_0580/tillsyn/A 41749-2023 tillsynsbegäran.docx", "A 41749-2023")</f>
        <v/>
      </c>
      <c r="Y75">
        <f>HYPERLINK("https://klasma.github.io/Logging_0580/tillsynsmail/A 41749-2023 tillsynsbegäran mail.docx", "A 41749-2023")</f>
        <v/>
      </c>
    </row>
    <row r="76" ht="15" customHeight="1">
      <c r="A76" t="inlineStr">
        <is>
          <t>A 38881-2021</t>
        </is>
      </c>
      <c r="B76" s="1" t="n">
        <v>44411.46893518518</v>
      </c>
      <c r="C76" s="1" t="n">
        <v>45933</v>
      </c>
      <c r="D76" t="inlineStr">
        <is>
          <t>ÖSTERGÖTLANDS LÄN</t>
        </is>
      </c>
      <c r="E76" t="inlineStr">
        <is>
          <t>LINKÖPING</t>
        </is>
      </c>
      <c r="G76" t="n">
        <v>2.2</v>
      </c>
      <c r="H76" t="n">
        <v>0</v>
      </c>
      <c r="I76" t="n">
        <v>0</v>
      </c>
      <c r="J76" t="n">
        <v>0</v>
      </c>
      <c r="K76" t="n">
        <v>0</v>
      </c>
      <c r="L76" t="n">
        <v>0</v>
      </c>
      <c r="M76" t="n">
        <v>0</v>
      </c>
      <c r="N76" t="n">
        <v>0</v>
      </c>
      <c r="O76" t="n">
        <v>0</v>
      </c>
      <c r="P76" t="n">
        <v>0</v>
      </c>
      <c r="Q76" t="n">
        <v>0</v>
      </c>
      <c r="R76" s="2" t="inlineStr"/>
    </row>
    <row r="77" ht="15" customHeight="1">
      <c r="A77" t="inlineStr">
        <is>
          <t>A 38887-2021</t>
        </is>
      </c>
      <c r="B77" s="1" t="n">
        <v>44411</v>
      </c>
      <c r="C77" s="1" t="n">
        <v>45933</v>
      </c>
      <c r="D77" t="inlineStr">
        <is>
          <t>ÖSTERGÖTLANDS LÄN</t>
        </is>
      </c>
      <c r="E77" t="inlineStr">
        <is>
          <t>LINKÖPING</t>
        </is>
      </c>
      <c r="G77" t="n">
        <v>1.6</v>
      </c>
      <c r="H77" t="n">
        <v>0</v>
      </c>
      <c r="I77" t="n">
        <v>0</v>
      </c>
      <c r="J77" t="n">
        <v>0</v>
      </c>
      <c r="K77" t="n">
        <v>0</v>
      </c>
      <c r="L77" t="n">
        <v>0</v>
      </c>
      <c r="M77" t="n">
        <v>0</v>
      </c>
      <c r="N77" t="n">
        <v>0</v>
      </c>
      <c r="O77" t="n">
        <v>0</v>
      </c>
      <c r="P77" t="n">
        <v>0</v>
      </c>
      <c r="Q77" t="n">
        <v>0</v>
      </c>
      <c r="R77" s="2" t="inlineStr"/>
    </row>
    <row r="78" ht="15" customHeight="1">
      <c r="A78" t="inlineStr">
        <is>
          <t>A 5008-2021</t>
        </is>
      </c>
      <c r="B78" s="1" t="n">
        <v>44228</v>
      </c>
      <c r="C78" s="1" t="n">
        <v>45933</v>
      </c>
      <c r="D78" t="inlineStr">
        <is>
          <t>ÖSTERGÖTLANDS LÄN</t>
        </is>
      </c>
      <c r="E78" t="inlineStr">
        <is>
          <t>LINKÖPING</t>
        </is>
      </c>
      <c r="F78" t="inlineStr">
        <is>
          <t>Övriga Aktiebolag</t>
        </is>
      </c>
      <c r="G78" t="n">
        <v>0.3</v>
      </c>
      <c r="H78" t="n">
        <v>0</v>
      </c>
      <c r="I78" t="n">
        <v>0</v>
      </c>
      <c r="J78" t="n">
        <v>0</v>
      </c>
      <c r="K78" t="n">
        <v>0</v>
      </c>
      <c r="L78" t="n">
        <v>0</v>
      </c>
      <c r="M78" t="n">
        <v>0</v>
      </c>
      <c r="N78" t="n">
        <v>0</v>
      </c>
      <c r="O78" t="n">
        <v>0</v>
      </c>
      <c r="P78" t="n">
        <v>0</v>
      </c>
      <c r="Q78" t="n">
        <v>0</v>
      </c>
      <c r="R78" s="2" t="inlineStr"/>
    </row>
    <row r="79" ht="15" customHeight="1">
      <c r="A79" t="inlineStr">
        <is>
          <t>A 56239-2021</t>
        </is>
      </c>
      <c r="B79" s="1" t="n">
        <v>44478</v>
      </c>
      <c r="C79" s="1" t="n">
        <v>45933</v>
      </c>
      <c r="D79" t="inlineStr">
        <is>
          <t>ÖSTERGÖTLANDS LÄN</t>
        </is>
      </c>
      <c r="E79" t="inlineStr">
        <is>
          <t>LINKÖPING</t>
        </is>
      </c>
      <c r="F79" t="inlineStr">
        <is>
          <t>Övriga Aktiebolag</t>
        </is>
      </c>
      <c r="G79" t="n">
        <v>3</v>
      </c>
      <c r="H79" t="n">
        <v>0</v>
      </c>
      <c r="I79" t="n">
        <v>0</v>
      </c>
      <c r="J79" t="n">
        <v>0</v>
      </c>
      <c r="K79" t="n">
        <v>0</v>
      </c>
      <c r="L79" t="n">
        <v>0</v>
      </c>
      <c r="M79" t="n">
        <v>0</v>
      </c>
      <c r="N79" t="n">
        <v>0</v>
      </c>
      <c r="O79" t="n">
        <v>0</v>
      </c>
      <c r="P79" t="n">
        <v>0</v>
      </c>
      <c r="Q79" t="n">
        <v>0</v>
      </c>
      <c r="R79" s="2" t="inlineStr"/>
    </row>
    <row r="80" ht="15" customHeight="1">
      <c r="A80" t="inlineStr">
        <is>
          <t>A 7289-2021</t>
        </is>
      </c>
      <c r="B80" s="1" t="n">
        <v>44238</v>
      </c>
      <c r="C80" s="1" t="n">
        <v>45933</v>
      </c>
      <c r="D80" t="inlineStr">
        <is>
          <t>ÖSTERGÖTLANDS LÄN</t>
        </is>
      </c>
      <c r="E80" t="inlineStr">
        <is>
          <t>LINKÖPING</t>
        </is>
      </c>
      <c r="G80" t="n">
        <v>0.7</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45933</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398-2021</t>
        </is>
      </c>
      <c r="B82" s="1" t="n">
        <v>44201</v>
      </c>
      <c r="C82" s="1" t="n">
        <v>45933</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67322-2021</t>
        </is>
      </c>
      <c r="B83" s="1" t="n">
        <v>44523</v>
      </c>
      <c r="C83" s="1" t="n">
        <v>45933</v>
      </c>
      <c r="D83" t="inlineStr">
        <is>
          <t>ÖSTERGÖTLANDS LÄN</t>
        </is>
      </c>
      <c r="E83" t="inlineStr">
        <is>
          <t>LINKÖPING</t>
        </is>
      </c>
      <c r="G83" t="n">
        <v>0.8</v>
      </c>
      <c r="H83" t="n">
        <v>0</v>
      </c>
      <c r="I83" t="n">
        <v>0</v>
      </c>
      <c r="J83" t="n">
        <v>0</v>
      </c>
      <c r="K83" t="n">
        <v>0</v>
      </c>
      <c r="L83" t="n">
        <v>0</v>
      </c>
      <c r="M83" t="n">
        <v>0</v>
      </c>
      <c r="N83" t="n">
        <v>0</v>
      </c>
      <c r="O83" t="n">
        <v>0</v>
      </c>
      <c r="P83" t="n">
        <v>0</v>
      </c>
      <c r="Q83" t="n">
        <v>0</v>
      </c>
      <c r="R83" s="2" t="inlineStr"/>
    </row>
    <row r="84" ht="15" customHeight="1">
      <c r="A84" t="inlineStr">
        <is>
          <t>A 7840-2022</t>
        </is>
      </c>
      <c r="B84" s="1" t="n">
        <v>44608</v>
      </c>
      <c r="C84" s="1" t="n">
        <v>45933</v>
      </c>
      <c r="D84" t="inlineStr">
        <is>
          <t>ÖSTERGÖTLANDS LÄN</t>
        </is>
      </c>
      <c r="E84" t="inlineStr">
        <is>
          <t>LINKÖPING</t>
        </is>
      </c>
      <c r="G84" t="n">
        <v>1</v>
      </c>
      <c r="H84" t="n">
        <v>0</v>
      </c>
      <c r="I84" t="n">
        <v>0</v>
      </c>
      <c r="J84" t="n">
        <v>0</v>
      </c>
      <c r="K84" t="n">
        <v>0</v>
      </c>
      <c r="L84" t="n">
        <v>0</v>
      </c>
      <c r="M84" t="n">
        <v>0</v>
      </c>
      <c r="N84" t="n">
        <v>0</v>
      </c>
      <c r="O84" t="n">
        <v>0</v>
      </c>
      <c r="P84" t="n">
        <v>0</v>
      </c>
      <c r="Q84" t="n">
        <v>0</v>
      </c>
      <c r="R84" s="2" t="inlineStr"/>
    </row>
    <row r="85" ht="15" customHeight="1">
      <c r="A85" t="inlineStr">
        <is>
          <t>A 40506-2021</t>
        </is>
      </c>
      <c r="B85" s="1" t="n">
        <v>44420</v>
      </c>
      <c r="C85" s="1" t="n">
        <v>45933</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64269-2021</t>
        </is>
      </c>
      <c r="B86" s="1" t="n">
        <v>44510</v>
      </c>
      <c r="C86" s="1" t="n">
        <v>45933</v>
      </c>
      <c r="D86" t="inlineStr">
        <is>
          <t>ÖSTERGÖTLANDS LÄN</t>
        </is>
      </c>
      <c r="E86" t="inlineStr">
        <is>
          <t>LINKÖPING</t>
        </is>
      </c>
      <c r="G86" t="n">
        <v>1.9</v>
      </c>
      <c r="H86" t="n">
        <v>0</v>
      </c>
      <c r="I86" t="n">
        <v>0</v>
      </c>
      <c r="J86" t="n">
        <v>0</v>
      </c>
      <c r="K86" t="n">
        <v>0</v>
      </c>
      <c r="L86" t="n">
        <v>0</v>
      </c>
      <c r="M86" t="n">
        <v>0</v>
      </c>
      <c r="N86" t="n">
        <v>0</v>
      </c>
      <c r="O86" t="n">
        <v>0</v>
      </c>
      <c r="P86" t="n">
        <v>0</v>
      </c>
      <c r="Q86" t="n">
        <v>0</v>
      </c>
      <c r="R86" s="2" t="inlineStr"/>
    </row>
    <row r="87" ht="15" customHeight="1">
      <c r="A87" t="inlineStr">
        <is>
          <t>A 58407-2021</t>
        </is>
      </c>
      <c r="B87" s="1" t="n">
        <v>44488</v>
      </c>
      <c r="C87" s="1" t="n">
        <v>45933</v>
      </c>
      <c r="D87" t="inlineStr">
        <is>
          <t>ÖSTERGÖTLANDS LÄN</t>
        </is>
      </c>
      <c r="E87" t="inlineStr">
        <is>
          <t>LINKÖPING</t>
        </is>
      </c>
      <c r="G87" t="n">
        <v>1.1</v>
      </c>
      <c r="H87" t="n">
        <v>0</v>
      </c>
      <c r="I87" t="n">
        <v>0</v>
      </c>
      <c r="J87" t="n">
        <v>0</v>
      </c>
      <c r="K87" t="n">
        <v>0</v>
      </c>
      <c r="L87" t="n">
        <v>0</v>
      </c>
      <c r="M87" t="n">
        <v>0</v>
      </c>
      <c r="N87" t="n">
        <v>0</v>
      </c>
      <c r="O87" t="n">
        <v>0</v>
      </c>
      <c r="P87" t="n">
        <v>0</v>
      </c>
      <c r="Q87" t="n">
        <v>0</v>
      </c>
      <c r="R87" s="2" t="inlineStr"/>
    </row>
    <row r="88" ht="15" customHeight="1">
      <c r="A88" t="inlineStr">
        <is>
          <t>A 30800-2022</t>
        </is>
      </c>
      <c r="B88" s="1" t="n">
        <v>44764.75119212963</v>
      </c>
      <c r="C88" s="1" t="n">
        <v>45933</v>
      </c>
      <c r="D88" t="inlineStr">
        <is>
          <t>ÖSTERGÖTLANDS LÄN</t>
        </is>
      </c>
      <c r="E88" t="inlineStr">
        <is>
          <t>LINKÖPING</t>
        </is>
      </c>
      <c r="G88" t="n">
        <v>0.9</v>
      </c>
      <c r="H88" t="n">
        <v>0</v>
      </c>
      <c r="I88" t="n">
        <v>0</v>
      </c>
      <c r="J88" t="n">
        <v>0</v>
      </c>
      <c r="K88" t="n">
        <v>0</v>
      </c>
      <c r="L88" t="n">
        <v>0</v>
      </c>
      <c r="M88" t="n">
        <v>0</v>
      </c>
      <c r="N88" t="n">
        <v>0</v>
      </c>
      <c r="O88" t="n">
        <v>0</v>
      </c>
      <c r="P88" t="n">
        <v>0</v>
      </c>
      <c r="Q88" t="n">
        <v>0</v>
      </c>
      <c r="R88" s="2" t="inlineStr"/>
    </row>
    <row r="89" ht="15" customHeight="1">
      <c r="A89" t="inlineStr">
        <is>
          <t>A 40635-2021</t>
        </is>
      </c>
      <c r="B89" s="1" t="n">
        <v>44420</v>
      </c>
      <c r="C89" s="1" t="n">
        <v>45933</v>
      </c>
      <c r="D89" t="inlineStr">
        <is>
          <t>ÖSTERGÖTLANDS LÄN</t>
        </is>
      </c>
      <c r="E89" t="inlineStr">
        <is>
          <t>LINKÖPING</t>
        </is>
      </c>
      <c r="G89" t="n">
        <v>2.7</v>
      </c>
      <c r="H89" t="n">
        <v>0</v>
      </c>
      <c r="I89" t="n">
        <v>0</v>
      </c>
      <c r="J89" t="n">
        <v>0</v>
      </c>
      <c r="K89" t="n">
        <v>0</v>
      </c>
      <c r="L89" t="n">
        <v>0</v>
      </c>
      <c r="M89" t="n">
        <v>0</v>
      </c>
      <c r="N89" t="n">
        <v>0</v>
      </c>
      <c r="O89" t="n">
        <v>0</v>
      </c>
      <c r="P89" t="n">
        <v>0</v>
      </c>
      <c r="Q89" t="n">
        <v>0</v>
      </c>
      <c r="R89" s="2" t="inlineStr"/>
    </row>
    <row r="90" ht="15" customHeight="1">
      <c r="A90" t="inlineStr">
        <is>
          <t>A 49018-2022</t>
        </is>
      </c>
      <c r="B90" s="1" t="n">
        <v>44855</v>
      </c>
      <c r="C90" s="1" t="n">
        <v>45933</v>
      </c>
      <c r="D90" t="inlineStr">
        <is>
          <t>ÖSTERGÖTLANDS LÄN</t>
        </is>
      </c>
      <c r="E90" t="inlineStr">
        <is>
          <t>LINKÖPING</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1581-2022</t>
        </is>
      </c>
      <c r="B91" s="1" t="n">
        <v>44573</v>
      </c>
      <c r="C91" s="1" t="n">
        <v>45933</v>
      </c>
      <c r="D91" t="inlineStr">
        <is>
          <t>ÖSTERGÖTLANDS LÄN</t>
        </is>
      </c>
      <c r="E91" t="inlineStr">
        <is>
          <t>LINKÖPING</t>
        </is>
      </c>
      <c r="G91" t="n">
        <v>1.3</v>
      </c>
      <c r="H91" t="n">
        <v>0</v>
      </c>
      <c r="I91" t="n">
        <v>0</v>
      </c>
      <c r="J91" t="n">
        <v>0</v>
      </c>
      <c r="K91" t="n">
        <v>0</v>
      </c>
      <c r="L91" t="n">
        <v>0</v>
      </c>
      <c r="M91" t="n">
        <v>0</v>
      </c>
      <c r="N91" t="n">
        <v>0</v>
      </c>
      <c r="O91" t="n">
        <v>0</v>
      </c>
      <c r="P91" t="n">
        <v>0</v>
      </c>
      <c r="Q91" t="n">
        <v>0</v>
      </c>
      <c r="R91" s="2" t="inlineStr"/>
    </row>
    <row r="92" ht="15" customHeight="1">
      <c r="A92" t="inlineStr">
        <is>
          <t>A 46234-2022</t>
        </is>
      </c>
      <c r="B92" s="1" t="n">
        <v>44846</v>
      </c>
      <c r="C92" s="1" t="n">
        <v>45933</v>
      </c>
      <c r="D92" t="inlineStr">
        <is>
          <t>ÖSTERGÖTLANDS LÄN</t>
        </is>
      </c>
      <c r="E92" t="inlineStr">
        <is>
          <t>LINKÖPING</t>
        </is>
      </c>
      <c r="G92" t="n">
        <v>3.3</v>
      </c>
      <c r="H92" t="n">
        <v>0</v>
      </c>
      <c r="I92" t="n">
        <v>0</v>
      </c>
      <c r="J92" t="n">
        <v>0</v>
      </c>
      <c r="K92" t="n">
        <v>0</v>
      </c>
      <c r="L92" t="n">
        <v>0</v>
      </c>
      <c r="M92" t="n">
        <v>0</v>
      </c>
      <c r="N92" t="n">
        <v>0</v>
      </c>
      <c r="O92" t="n">
        <v>0</v>
      </c>
      <c r="P92" t="n">
        <v>0</v>
      </c>
      <c r="Q92" t="n">
        <v>0</v>
      </c>
      <c r="R92" s="2" t="inlineStr"/>
    </row>
    <row r="93" ht="15" customHeight="1">
      <c r="A93" t="inlineStr">
        <is>
          <t>A 38961-2021</t>
        </is>
      </c>
      <c r="B93" s="1" t="n">
        <v>44411</v>
      </c>
      <c r="C93" s="1" t="n">
        <v>45933</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60639-2021</t>
        </is>
      </c>
      <c r="B94" s="1" t="n">
        <v>44496</v>
      </c>
      <c r="C94" s="1" t="n">
        <v>45933</v>
      </c>
      <c r="D94" t="inlineStr">
        <is>
          <t>ÖSTERGÖTLANDS LÄN</t>
        </is>
      </c>
      <c r="E94" t="inlineStr">
        <is>
          <t>LINKÖPING</t>
        </is>
      </c>
      <c r="G94" t="n">
        <v>1</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45933</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16715-2021</t>
        </is>
      </c>
      <c r="B96" s="1" t="n">
        <v>44294</v>
      </c>
      <c r="C96" s="1" t="n">
        <v>45933</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47462-2022</t>
        </is>
      </c>
      <c r="B97" s="1" t="n">
        <v>44853.62758101852</v>
      </c>
      <c r="C97" s="1" t="n">
        <v>45933</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45933</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38143-2021</t>
        </is>
      </c>
      <c r="B99" s="1" t="n">
        <v>44405</v>
      </c>
      <c r="C99" s="1" t="n">
        <v>45933</v>
      </c>
      <c r="D99" t="inlineStr">
        <is>
          <t>ÖSTERGÖTLANDS LÄN</t>
        </is>
      </c>
      <c r="E99" t="inlineStr">
        <is>
          <t>LINKÖPING</t>
        </is>
      </c>
      <c r="G99" t="n">
        <v>4.1</v>
      </c>
      <c r="H99" t="n">
        <v>0</v>
      </c>
      <c r="I99" t="n">
        <v>0</v>
      </c>
      <c r="J99" t="n">
        <v>0</v>
      </c>
      <c r="K99" t="n">
        <v>0</v>
      </c>
      <c r="L99" t="n">
        <v>0</v>
      </c>
      <c r="M99" t="n">
        <v>0</v>
      </c>
      <c r="N99" t="n">
        <v>0</v>
      </c>
      <c r="O99" t="n">
        <v>0</v>
      </c>
      <c r="P99" t="n">
        <v>0</v>
      </c>
      <c r="Q99" t="n">
        <v>0</v>
      </c>
      <c r="R99" s="2" t="inlineStr"/>
    </row>
    <row r="100" ht="15" customHeight="1">
      <c r="A100" t="inlineStr">
        <is>
          <t>A 38254-2021</t>
        </is>
      </c>
      <c r="B100" s="1" t="n">
        <v>44405</v>
      </c>
      <c r="C100" s="1" t="n">
        <v>45933</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261-2021</t>
        </is>
      </c>
      <c r="B101" s="1" t="n">
        <v>44200</v>
      </c>
      <c r="C101" s="1" t="n">
        <v>45933</v>
      </c>
      <c r="D101" t="inlineStr">
        <is>
          <t>ÖSTERGÖTLANDS LÄN</t>
        </is>
      </c>
      <c r="E101" t="inlineStr">
        <is>
          <t>LINKÖPING</t>
        </is>
      </c>
      <c r="G101" t="n">
        <v>3.1</v>
      </c>
      <c r="H101" t="n">
        <v>0</v>
      </c>
      <c r="I101" t="n">
        <v>0</v>
      </c>
      <c r="J101" t="n">
        <v>0</v>
      </c>
      <c r="K101" t="n">
        <v>0</v>
      </c>
      <c r="L101" t="n">
        <v>0</v>
      </c>
      <c r="M101" t="n">
        <v>0</v>
      </c>
      <c r="N101" t="n">
        <v>0</v>
      </c>
      <c r="O101" t="n">
        <v>0</v>
      </c>
      <c r="P101" t="n">
        <v>0</v>
      </c>
      <c r="Q101" t="n">
        <v>0</v>
      </c>
      <c r="R101" s="2" t="inlineStr"/>
    </row>
    <row r="102" ht="15" customHeight="1">
      <c r="A102" t="inlineStr">
        <is>
          <t>A 31703-2022</t>
        </is>
      </c>
      <c r="B102" s="1" t="n">
        <v>44776</v>
      </c>
      <c r="C102" s="1" t="n">
        <v>45933</v>
      </c>
      <c r="D102" t="inlineStr">
        <is>
          <t>ÖSTERGÖTLANDS LÄN</t>
        </is>
      </c>
      <c r="E102" t="inlineStr">
        <is>
          <t>LINKÖPING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67120-2020</t>
        </is>
      </c>
      <c r="B103" s="1" t="n">
        <v>44180</v>
      </c>
      <c r="C103" s="1" t="n">
        <v>45933</v>
      </c>
      <c r="D103" t="inlineStr">
        <is>
          <t>ÖSTERGÖTLANDS LÄN</t>
        </is>
      </c>
      <c r="E103" t="inlineStr">
        <is>
          <t>LINKÖPING</t>
        </is>
      </c>
      <c r="F103" t="inlineStr">
        <is>
          <t>Övriga statliga verk och myndigheter</t>
        </is>
      </c>
      <c r="G103" t="n">
        <v>1.4</v>
      </c>
      <c r="H103" t="n">
        <v>0</v>
      </c>
      <c r="I103" t="n">
        <v>0</v>
      </c>
      <c r="J103" t="n">
        <v>0</v>
      </c>
      <c r="K103" t="n">
        <v>0</v>
      </c>
      <c r="L103" t="n">
        <v>0</v>
      </c>
      <c r="M103" t="n">
        <v>0</v>
      </c>
      <c r="N103" t="n">
        <v>0</v>
      </c>
      <c r="O103" t="n">
        <v>0</v>
      </c>
      <c r="P103" t="n">
        <v>0</v>
      </c>
      <c r="Q103" t="n">
        <v>0</v>
      </c>
      <c r="R103" s="2" t="inlineStr"/>
    </row>
    <row r="104" ht="15" customHeight="1">
      <c r="A104" t="inlineStr">
        <is>
          <t>A 44054-2021</t>
        </is>
      </c>
      <c r="B104" s="1" t="n">
        <v>44434</v>
      </c>
      <c r="C104" s="1" t="n">
        <v>45933</v>
      </c>
      <c r="D104" t="inlineStr">
        <is>
          <t>ÖSTERGÖTLANDS LÄN</t>
        </is>
      </c>
      <c r="E104" t="inlineStr">
        <is>
          <t>LINKÖPING</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53146-2021</t>
        </is>
      </c>
      <c r="B105" s="1" t="n">
        <v>44466</v>
      </c>
      <c r="C105" s="1" t="n">
        <v>45933</v>
      </c>
      <c r="D105" t="inlineStr">
        <is>
          <t>ÖSTERGÖTLANDS LÄN</t>
        </is>
      </c>
      <c r="E105" t="inlineStr">
        <is>
          <t>LINKÖPING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3679-2021</t>
        </is>
      </c>
      <c r="B106" s="1" t="n">
        <v>44221</v>
      </c>
      <c r="C106" s="1" t="n">
        <v>45933</v>
      </c>
      <c r="D106" t="inlineStr">
        <is>
          <t>ÖSTERGÖTLANDS LÄN</t>
        </is>
      </c>
      <c r="E106" t="inlineStr">
        <is>
          <t>LINKÖPING</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40437-2021</t>
        </is>
      </c>
      <c r="B107" s="1" t="n">
        <v>44419</v>
      </c>
      <c r="C107" s="1" t="n">
        <v>45933</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17497-2022</t>
        </is>
      </c>
      <c r="B108" s="1" t="n">
        <v>44679</v>
      </c>
      <c r="C108" s="1" t="n">
        <v>45933</v>
      </c>
      <c r="D108" t="inlineStr">
        <is>
          <t>ÖSTERGÖTLANDS LÄN</t>
        </is>
      </c>
      <c r="E108" t="inlineStr">
        <is>
          <t>LINKÖPING</t>
        </is>
      </c>
      <c r="F108" t="inlineStr">
        <is>
          <t>Kommuner</t>
        </is>
      </c>
      <c r="G108" t="n">
        <v>1.4</v>
      </c>
      <c r="H108" t="n">
        <v>0</v>
      </c>
      <c r="I108" t="n">
        <v>0</v>
      </c>
      <c r="J108" t="n">
        <v>0</v>
      </c>
      <c r="K108" t="n">
        <v>0</v>
      </c>
      <c r="L108" t="n">
        <v>0</v>
      </c>
      <c r="M108" t="n">
        <v>0</v>
      </c>
      <c r="N108" t="n">
        <v>0</v>
      </c>
      <c r="O108" t="n">
        <v>0</v>
      </c>
      <c r="P108" t="n">
        <v>0</v>
      </c>
      <c r="Q108" t="n">
        <v>0</v>
      </c>
      <c r="R108" s="2" t="inlineStr"/>
    </row>
    <row r="109" ht="15" customHeight="1">
      <c r="A109" t="inlineStr">
        <is>
          <t>A 17500-2022</t>
        </is>
      </c>
      <c r="B109" s="1" t="n">
        <v>44679</v>
      </c>
      <c r="C109" s="1" t="n">
        <v>45933</v>
      </c>
      <c r="D109" t="inlineStr">
        <is>
          <t>ÖSTERGÖTLANDS LÄN</t>
        </is>
      </c>
      <c r="E109" t="inlineStr">
        <is>
          <t>LINKÖPING</t>
        </is>
      </c>
      <c r="F109" t="inlineStr">
        <is>
          <t>Kommuner</t>
        </is>
      </c>
      <c r="G109" t="n">
        <v>1.8</v>
      </c>
      <c r="H109" t="n">
        <v>0</v>
      </c>
      <c r="I109" t="n">
        <v>0</v>
      </c>
      <c r="J109" t="n">
        <v>0</v>
      </c>
      <c r="K109" t="n">
        <v>0</v>
      </c>
      <c r="L109" t="n">
        <v>0</v>
      </c>
      <c r="M109" t="n">
        <v>0</v>
      </c>
      <c r="N109" t="n">
        <v>0</v>
      </c>
      <c r="O109" t="n">
        <v>0</v>
      </c>
      <c r="P109" t="n">
        <v>0</v>
      </c>
      <c r="Q109" t="n">
        <v>0</v>
      </c>
      <c r="R109" s="2" t="inlineStr"/>
    </row>
    <row r="110" ht="15" customHeight="1">
      <c r="A110" t="inlineStr">
        <is>
          <t>A 32000-2022</t>
        </is>
      </c>
      <c r="B110" s="1" t="n">
        <v>44777</v>
      </c>
      <c r="C110" s="1" t="n">
        <v>45933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50971-2020</t>
        </is>
      </c>
      <c r="B111" s="1" t="n">
        <v>44111</v>
      </c>
      <c r="C111" s="1" t="n">
        <v>45933</v>
      </c>
      <c r="D111" t="inlineStr">
        <is>
          <t>ÖSTERGÖTLANDS LÄN</t>
        </is>
      </c>
      <c r="E111" t="inlineStr">
        <is>
          <t>LINKÖPING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33876-2021</t>
        </is>
      </c>
      <c r="B112" s="1" t="n">
        <v>44378</v>
      </c>
      <c r="C112" s="1" t="n">
        <v>45933</v>
      </c>
      <c r="D112" t="inlineStr">
        <is>
          <t>ÖSTERGÖTLANDS LÄN</t>
        </is>
      </c>
      <c r="E112" t="inlineStr">
        <is>
          <t>LINKÖPING</t>
        </is>
      </c>
      <c r="G112" t="n">
        <v>6.3</v>
      </c>
      <c r="H112" t="n">
        <v>0</v>
      </c>
      <c r="I112" t="n">
        <v>0</v>
      </c>
      <c r="J112" t="n">
        <v>0</v>
      </c>
      <c r="K112" t="n">
        <v>0</v>
      </c>
      <c r="L112" t="n">
        <v>0</v>
      </c>
      <c r="M112" t="n">
        <v>0</v>
      </c>
      <c r="N112" t="n">
        <v>0</v>
      </c>
      <c r="O112" t="n">
        <v>0</v>
      </c>
      <c r="P112" t="n">
        <v>0</v>
      </c>
      <c r="Q112" t="n">
        <v>0</v>
      </c>
      <c r="R112" s="2" t="inlineStr"/>
    </row>
    <row r="113" ht="15" customHeight="1">
      <c r="A113" t="inlineStr">
        <is>
          <t>A 10123-2021</t>
        </is>
      </c>
      <c r="B113" s="1" t="n">
        <v>44256</v>
      </c>
      <c r="C113" s="1" t="n">
        <v>45933</v>
      </c>
      <c r="D113" t="inlineStr">
        <is>
          <t>ÖSTERGÖTLANDS LÄN</t>
        </is>
      </c>
      <c r="E113" t="inlineStr">
        <is>
          <t>LINKÖPING</t>
        </is>
      </c>
      <c r="F113" t="inlineStr">
        <is>
          <t>Allmännings- och besparingsskogar</t>
        </is>
      </c>
      <c r="G113" t="n">
        <v>1.7</v>
      </c>
      <c r="H113" t="n">
        <v>0</v>
      </c>
      <c r="I113" t="n">
        <v>0</v>
      </c>
      <c r="J113" t="n">
        <v>0</v>
      </c>
      <c r="K113" t="n">
        <v>0</v>
      </c>
      <c r="L113" t="n">
        <v>0</v>
      </c>
      <c r="M113" t="n">
        <v>0</v>
      </c>
      <c r="N113" t="n">
        <v>0</v>
      </c>
      <c r="O113" t="n">
        <v>0</v>
      </c>
      <c r="P113" t="n">
        <v>0</v>
      </c>
      <c r="Q113" t="n">
        <v>0</v>
      </c>
      <c r="R113" s="2" t="inlineStr"/>
    </row>
    <row r="114" ht="15" customHeight="1">
      <c r="A114" t="inlineStr">
        <is>
          <t>A 3862-2021</t>
        </is>
      </c>
      <c r="B114" s="1" t="n">
        <v>44221</v>
      </c>
      <c r="C114" s="1" t="n">
        <v>45933</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3961-2021</t>
        </is>
      </c>
      <c r="B115" s="1" t="n">
        <v>44222</v>
      </c>
      <c r="C115" s="1" t="n">
        <v>45933</v>
      </c>
      <c r="D115" t="inlineStr">
        <is>
          <t>ÖSTERGÖTLANDS LÄN</t>
        </is>
      </c>
      <c r="E115" t="inlineStr">
        <is>
          <t>LINKÖPING</t>
        </is>
      </c>
      <c r="G115" t="n">
        <v>3.9</v>
      </c>
      <c r="H115" t="n">
        <v>0</v>
      </c>
      <c r="I115" t="n">
        <v>0</v>
      </c>
      <c r="J115" t="n">
        <v>0</v>
      </c>
      <c r="K115" t="n">
        <v>0</v>
      </c>
      <c r="L115" t="n">
        <v>0</v>
      </c>
      <c r="M115" t="n">
        <v>0</v>
      </c>
      <c r="N115" t="n">
        <v>0</v>
      </c>
      <c r="O115" t="n">
        <v>0</v>
      </c>
      <c r="P115" t="n">
        <v>0</v>
      </c>
      <c r="Q115" t="n">
        <v>0</v>
      </c>
      <c r="R115" s="2" t="inlineStr"/>
    </row>
    <row r="116" ht="15" customHeight="1">
      <c r="A116" t="inlineStr">
        <is>
          <t>A 37012-2021</t>
        </is>
      </c>
      <c r="B116" s="1" t="n">
        <v>44393</v>
      </c>
      <c r="C116" s="1" t="n">
        <v>45933</v>
      </c>
      <c r="D116" t="inlineStr">
        <is>
          <t>ÖSTERGÖTLANDS LÄN</t>
        </is>
      </c>
      <c r="E116" t="inlineStr">
        <is>
          <t>LINKÖPING</t>
        </is>
      </c>
      <c r="F116" t="inlineStr">
        <is>
          <t>Allmännings- och besparingsskogar</t>
        </is>
      </c>
      <c r="G116" t="n">
        <v>1.1</v>
      </c>
      <c r="H116" t="n">
        <v>0</v>
      </c>
      <c r="I116" t="n">
        <v>0</v>
      </c>
      <c r="J116" t="n">
        <v>0</v>
      </c>
      <c r="K116" t="n">
        <v>0</v>
      </c>
      <c r="L116" t="n">
        <v>0</v>
      </c>
      <c r="M116" t="n">
        <v>0</v>
      </c>
      <c r="N116" t="n">
        <v>0</v>
      </c>
      <c r="O116" t="n">
        <v>0</v>
      </c>
      <c r="P116" t="n">
        <v>0</v>
      </c>
      <c r="Q116" t="n">
        <v>0</v>
      </c>
      <c r="R116" s="2" t="inlineStr"/>
    </row>
    <row r="117" ht="15" customHeight="1">
      <c r="A117" t="inlineStr">
        <is>
          <t>A 49791-2021</t>
        </is>
      </c>
      <c r="B117" s="1" t="n">
        <v>44455.59368055555</v>
      </c>
      <c r="C117" s="1" t="n">
        <v>45933</v>
      </c>
      <c r="D117" t="inlineStr">
        <is>
          <t>ÖSTERGÖTLANDS LÄN</t>
        </is>
      </c>
      <c r="E117" t="inlineStr">
        <is>
          <t>LINKÖPING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27185-2021</t>
        </is>
      </c>
      <c r="B118" s="1" t="n">
        <v>44350</v>
      </c>
      <c r="C118" s="1" t="n">
        <v>45933</v>
      </c>
      <c r="D118" t="inlineStr">
        <is>
          <t>ÖSTERGÖTLANDS LÄN</t>
        </is>
      </c>
      <c r="E118" t="inlineStr">
        <is>
          <t>LINKÖPING</t>
        </is>
      </c>
      <c r="F118" t="inlineStr">
        <is>
          <t>Allmännings- och besparingsskogar</t>
        </is>
      </c>
      <c r="G118" t="n">
        <v>1.6</v>
      </c>
      <c r="H118" t="n">
        <v>0</v>
      </c>
      <c r="I118" t="n">
        <v>0</v>
      </c>
      <c r="J118" t="n">
        <v>0</v>
      </c>
      <c r="K118" t="n">
        <v>0</v>
      </c>
      <c r="L118" t="n">
        <v>0</v>
      </c>
      <c r="M118" t="n">
        <v>0</v>
      </c>
      <c r="N118" t="n">
        <v>0</v>
      </c>
      <c r="O118" t="n">
        <v>0</v>
      </c>
      <c r="P118" t="n">
        <v>0</v>
      </c>
      <c r="Q118" t="n">
        <v>0</v>
      </c>
      <c r="R118" s="2" t="inlineStr"/>
    </row>
    <row r="119" ht="15" customHeight="1">
      <c r="A119" t="inlineStr">
        <is>
          <t>A 29470-2022</t>
        </is>
      </c>
      <c r="B119" s="1" t="n">
        <v>44753</v>
      </c>
      <c r="C119" s="1" t="n">
        <v>45933</v>
      </c>
      <c r="D119" t="inlineStr">
        <is>
          <t>ÖSTERGÖTLANDS LÄN</t>
        </is>
      </c>
      <c r="E119" t="inlineStr">
        <is>
          <t>LINKÖPING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46730-2021</t>
        </is>
      </c>
      <c r="B120" s="1" t="n">
        <v>44445</v>
      </c>
      <c r="C120" s="1" t="n">
        <v>45933</v>
      </c>
      <c r="D120" t="inlineStr">
        <is>
          <t>ÖSTERGÖTLANDS LÄN</t>
        </is>
      </c>
      <c r="E120" t="inlineStr">
        <is>
          <t>LINKÖPING</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26197-2021</t>
        </is>
      </c>
      <c r="B121" s="1" t="n">
        <v>44347.39319444444</v>
      </c>
      <c r="C121" s="1" t="n">
        <v>45933</v>
      </c>
      <c r="D121" t="inlineStr">
        <is>
          <t>ÖSTERGÖTLANDS LÄN</t>
        </is>
      </c>
      <c r="E121" t="inlineStr">
        <is>
          <t>LINKÖPING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34487-2021</t>
        </is>
      </c>
      <c r="B122" s="1" t="n">
        <v>44382.29873842592</v>
      </c>
      <c r="C122" s="1" t="n">
        <v>45933</v>
      </c>
      <c r="D122" t="inlineStr">
        <is>
          <t>ÖSTERGÖTLANDS LÄN</t>
        </is>
      </c>
      <c r="E122" t="inlineStr">
        <is>
          <t>LINKÖPING</t>
        </is>
      </c>
      <c r="G122" t="n">
        <v>7.5</v>
      </c>
      <c r="H122" t="n">
        <v>0</v>
      </c>
      <c r="I122" t="n">
        <v>0</v>
      </c>
      <c r="J122" t="n">
        <v>0</v>
      </c>
      <c r="K122" t="n">
        <v>0</v>
      </c>
      <c r="L122" t="n">
        <v>0</v>
      </c>
      <c r="M122" t="n">
        <v>0</v>
      </c>
      <c r="N122" t="n">
        <v>0</v>
      </c>
      <c r="O122" t="n">
        <v>0</v>
      </c>
      <c r="P122" t="n">
        <v>0</v>
      </c>
      <c r="Q122" t="n">
        <v>0</v>
      </c>
      <c r="R122" s="2" t="inlineStr"/>
    </row>
    <row r="123" ht="15" customHeight="1">
      <c r="A123" t="inlineStr">
        <is>
          <t>A 16469-2021</t>
        </is>
      </c>
      <c r="B123" s="1" t="n">
        <v>44293.54331018519</v>
      </c>
      <c r="C123" s="1" t="n">
        <v>45933</v>
      </c>
      <c r="D123" t="inlineStr">
        <is>
          <t>ÖSTERGÖTLANDS LÄN</t>
        </is>
      </c>
      <c r="E123" t="inlineStr">
        <is>
          <t>LINKÖPING</t>
        </is>
      </c>
      <c r="F123" t="inlineStr">
        <is>
          <t>Allmännings- och besparingsskogar</t>
        </is>
      </c>
      <c r="G123" t="n">
        <v>33.5</v>
      </c>
      <c r="H123" t="n">
        <v>0</v>
      </c>
      <c r="I123" t="n">
        <v>0</v>
      </c>
      <c r="J123" t="n">
        <v>0</v>
      </c>
      <c r="K123" t="n">
        <v>0</v>
      </c>
      <c r="L123" t="n">
        <v>0</v>
      </c>
      <c r="M123" t="n">
        <v>0</v>
      </c>
      <c r="N123" t="n">
        <v>0</v>
      </c>
      <c r="O123" t="n">
        <v>0</v>
      </c>
      <c r="P123" t="n">
        <v>0</v>
      </c>
      <c r="Q123" t="n">
        <v>0</v>
      </c>
      <c r="R123" s="2" t="inlineStr"/>
    </row>
    <row r="124" ht="15" customHeight="1">
      <c r="A124" t="inlineStr">
        <is>
          <t>A 27313-2021</t>
        </is>
      </c>
      <c r="B124" s="1" t="n">
        <v>44350</v>
      </c>
      <c r="C124" s="1" t="n">
        <v>45933</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64195-2021</t>
        </is>
      </c>
      <c r="B125" s="1" t="n">
        <v>44510</v>
      </c>
      <c r="C125" s="1" t="n">
        <v>45933</v>
      </c>
      <c r="D125" t="inlineStr">
        <is>
          <t>ÖSTERGÖTLANDS LÄN</t>
        </is>
      </c>
      <c r="E125" t="inlineStr">
        <is>
          <t>LINKÖPING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4382-2021</t>
        </is>
      </c>
      <c r="B126" s="1" t="n">
        <v>44223</v>
      </c>
      <c r="C126" s="1" t="n">
        <v>45933</v>
      </c>
      <c r="D126" t="inlineStr">
        <is>
          <t>ÖSTERGÖTLANDS LÄN</t>
        </is>
      </c>
      <c r="E126" t="inlineStr">
        <is>
          <t>LINKÖPING</t>
        </is>
      </c>
      <c r="G126" t="n">
        <v>4.2</v>
      </c>
      <c r="H126" t="n">
        <v>0</v>
      </c>
      <c r="I126" t="n">
        <v>0</v>
      </c>
      <c r="J126" t="n">
        <v>0</v>
      </c>
      <c r="K126" t="n">
        <v>0</v>
      </c>
      <c r="L126" t="n">
        <v>0</v>
      </c>
      <c r="M126" t="n">
        <v>0</v>
      </c>
      <c r="N126" t="n">
        <v>0</v>
      </c>
      <c r="O126" t="n">
        <v>0</v>
      </c>
      <c r="P126" t="n">
        <v>0</v>
      </c>
      <c r="Q126" t="n">
        <v>0</v>
      </c>
      <c r="R126" s="2" t="inlineStr"/>
    </row>
    <row r="127" ht="15" customHeight="1">
      <c r="A127" t="inlineStr">
        <is>
          <t>A 46416-2021</t>
        </is>
      </c>
      <c r="B127" s="1" t="n">
        <v>44442</v>
      </c>
      <c r="C127" s="1" t="n">
        <v>45933</v>
      </c>
      <c r="D127" t="inlineStr">
        <is>
          <t>ÖSTERGÖTLANDS LÄN</t>
        </is>
      </c>
      <c r="E127" t="inlineStr">
        <is>
          <t>LINKÖPING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58258-2021</t>
        </is>
      </c>
      <c r="B128" s="1" t="n">
        <v>44487</v>
      </c>
      <c r="C128" s="1" t="n">
        <v>45933</v>
      </c>
      <c r="D128" t="inlineStr">
        <is>
          <t>ÖSTERGÖTLANDS LÄN</t>
        </is>
      </c>
      <c r="E128" t="inlineStr">
        <is>
          <t>LINKÖPING</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58287-2021</t>
        </is>
      </c>
      <c r="B129" s="1" t="n">
        <v>44487</v>
      </c>
      <c r="C129" s="1" t="n">
        <v>45933</v>
      </c>
      <c r="D129" t="inlineStr">
        <is>
          <t>ÖSTERGÖTLANDS LÄN</t>
        </is>
      </c>
      <c r="E129" t="inlineStr">
        <is>
          <t>LINKÖPING</t>
        </is>
      </c>
      <c r="F129" t="inlineStr">
        <is>
          <t>Övriga Aktiebolag</t>
        </is>
      </c>
      <c r="G129" t="n">
        <v>1.5</v>
      </c>
      <c r="H129" t="n">
        <v>0</v>
      </c>
      <c r="I129" t="n">
        <v>0</v>
      </c>
      <c r="J129" t="n">
        <v>0</v>
      </c>
      <c r="K129" t="n">
        <v>0</v>
      </c>
      <c r="L129" t="n">
        <v>0</v>
      </c>
      <c r="M129" t="n">
        <v>0</v>
      </c>
      <c r="N129" t="n">
        <v>0</v>
      </c>
      <c r="O129" t="n">
        <v>0</v>
      </c>
      <c r="P129" t="n">
        <v>0</v>
      </c>
      <c r="Q129" t="n">
        <v>0</v>
      </c>
      <c r="R129" s="2" t="inlineStr"/>
    </row>
    <row r="130" ht="15" customHeight="1">
      <c r="A130" t="inlineStr">
        <is>
          <t>A 53660-2021</t>
        </is>
      </c>
      <c r="B130" s="1" t="n">
        <v>44469</v>
      </c>
      <c r="C130" s="1" t="n">
        <v>45933</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52966-2021</t>
        </is>
      </c>
      <c r="B131" s="1" t="n">
        <v>44467</v>
      </c>
      <c r="C131" s="1" t="n">
        <v>45933</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25305-2021</t>
        </is>
      </c>
      <c r="B132" s="1" t="n">
        <v>44342</v>
      </c>
      <c r="C132" s="1" t="n">
        <v>45933</v>
      </c>
      <c r="D132" t="inlineStr">
        <is>
          <t>ÖSTERGÖTLANDS LÄN</t>
        </is>
      </c>
      <c r="E132" t="inlineStr">
        <is>
          <t>LINKÖPING</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384-2021</t>
        </is>
      </c>
      <c r="B133" s="1" t="n">
        <v>44201.57689814815</v>
      </c>
      <c r="C133" s="1" t="n">
        <v>45933</v>
      </c>
      <c r="D133" t="inlineStr">
        <is>
          <t>ÖSTERGÖTLANDS LÄN</t>
        </is>
      </c>
      <c r="E133" t="inlineStr">
        <is>
          <t>LINKÖPING</t>
        </is>
      </c>
      <c r="G133" t="n">
        <v>0.2</v>
      </c>
      <c r="H133" t="n">
        <v>0</v>
      </c>
      <c r="I133" t="n">
        <v>0</v>
      </c>
      <c r="J133" t="n">
        <v>0</v>
      </c>
      <c r="K133" t="n">
        <v>0</v>
      </c>
      <c r="L133" t="n">
        <v>0</v>
      </c>
      <c r="M133" t="n">
        <v>0</v>
      </c>
      <c r="N133" t="n">
        <v>0</v>
      </c>
      <c r="O133" t="n">
        <v>0</v>
      </c>
      <c r="P133" t="n">
        <v>0</v>
      </c>
      <c r="Q133" t="n">
        <v>0</v>
      </c>
      <c r="R133" s="2" t="inlineStr"/>
    </row>
    <row r="134" ht="15" customHeight="1">
      <c r="A134" t="inlineStr">
        <is>
          <t>A 13922-2021</t>
        </is>
      </c>
      <c r="B134" s="1" t="n">
        <v>44277.45946759259</v>
      </c>
      <c r="C134" s="1" t="n">
        <v>45933</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45933</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1787-2022</t>
        </is>
      </c>
      <c r="B136" s="1" t="n">
        <v>44574</v>
      </c>
      <c r="C136" s="1" t="n">
        <v>45933</v>
      </c>
      <c r="D136" t="inlineStr">
        <is>
          <t>ÖSTERGÖTLANDS LÄN</t>
        </is>
      </c>
      <c r="E136" t="inlineStr">
        <is>
          <t>LINKÖPING</t>
        </is>
      </c>
      <c r="G136" t="n">
        <v>1.9</v>
      </c>
      <c r="H136" t="n">
        <v>0</v>
      </c>
      <c r="I136" t="n">
        <v>0</v>
      </c>
      <c r="J136" t="n">
        <v>0</v>
      </c>
      <c r="K136" t="n">
        <v>0</v>
      </c>
      <c r="L136" t="n">
        <v>0</v>
      </c>
      <c r="M136" t="n">
        <v>0</v>
      </c>
      <c r="N136" t="n">
        <v>0</v>
      </c>
      <c r="O136" t="n">
        <v>0</v>
      </c>
      <c r="P136" t="n">
        <v>0</v>
      </c>
      <c r="Q136" t="n">
        <v>0</v>
      </c>
      <c r="R136" s="2" t="inlineStr"/>
    </row>
    <row r="137" ht="15" customHeight="1">
      <c r="A137" t="inlineStr">
        <is>
          <t>A 23416-2022</t>
        </is>
      </c>
      <c r="B137" s="1" t="n">
        <v>44720.78243055556</v>
      </c>
      <c r="C137" s="1" t="n">
        <v>45933</v>
      </c>
      <c r="D137" t="inlineStr">
        <is>
          <t>ÖSTERGÖTLANDS LÄN</t>
        </is>
      </c>
      <c r="E137" t="inlineStr">
        <is>
          <t>LINKÖPING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40527-2022</t>
        </is>
      </c>
      <c r="B138" s="1" t="n">
        <v>44823</v>
      </c>
      <c r="C138" s="1" t="n">
        <v>45933</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948-2022</t>
        </is>
      </c>
      <c r="B139" s="1" t="n">
        <v>44571</v>
      </c>
      <c r="C139" s="1" t="n">
        <v>45933</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5605-2022</t>
        </is>
      </c>
      <c r="B140" s="1" t="n">
        <v>44595</v>
      </c>
      <c r="C140" s="1" t="n">
        <v>45933</v>
      </c>
      <c r="D140" t="inlineStr">
        <is>
          <t>ÖSTERGÖTLANDS LÄN</t>
        </is>
      </c>
      <c r="E140" t="inlineStr">
        <is>
          <t>LINKÖPING</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56688-2021</t>
        </is>
      </c>
      <c r="B141" s="1" t="n">
        <v>44481</v>
      </c>
      <c r="C141" s="1" t="n">
        <v>45933</v>
      </c>
      <c r="D141" t="inlineStr">
        <is>
          <t>ÖSTERGÖTLANDS LÄN</t>
        </is>
      </c>
      <c r="E141" t="inlineStr">
        <is>
          <t>LINKÖPING</t>
        </is>
      </c>
      <c r="G141" t="n">
        <v>1.1</v>
      </c>
      <c r="H141" t="n">
        <v>0</v>
      </c>
      <c r="I141" t="n">
        <v>0</v>
      </c>
      <c r="J141" t="n">
        <v>0</v>
      </c>
      <c r="K141" t="n">
        <v>0</v>
      </c>
      <c r="L141" t="n">
        <v>0</v>
      </c>
      <c r="M141" t="n">
        <v>0</v>
      </c>
      <c r="N141" t="n">
        <v>0</v>
      </c>
      <c r="O141" t="n">
        <v>0</v>
      </c>
      <c r="P141" t="n">
        <v>0</v>
      </c>
      <c r="Q141" t="n">
        <v>0</v>
      </c>
      <c r="R141" s="2" t="inlineStr"/>
    </row>
    <row r="142" ht="15" customHeight="1">
      <c r="A142" t="inlineStr">
        <is>
          <t>A 51912-2020</t>
        </is>
      </c>
      <c r="B142" s="1" t="n">
        <v>44116</v>
      </c>
      <c r="C142" s="1" t="n">
        <v>45933</v>
      </c>
      <c r="D142" t="inlineStr">
        <is>
          <t>ÖSTERGÖTLANDS LÄN</t>
        </is>
      </c>
      <c r="E142" t="inlineStr">
        <is>
          <t>LINKÖPING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45933</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37014-2021</t>
        </is>
      </c>
      <c r="B144" s="1" t="n">
        <v>44393</v>
      </c>
      <c r="C144" s="1" t="n">
        <v>45933</v>
      </c>
      <c r="D144" t="inlineStr">
        <is>
          <t>ÖSTERGÖTLANDS LÄN</t>
        </is>
      </c>
      <c r="E144" t="inlineStr">
        <is>
          <t>LINKÖPING</t>
        </is>
      </c>
      <c r="F144" t="inlineStr">
        <is>
          <t>Allmännings- och besparingsskogar</t>
        </is>
      </c>
      <c r="G144" t="n">
        <v>7.7</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45933</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27769-2022</t>
        </is>
      </c>
      <c r="B146" s="1" t="n">
        <v>44743.53200231482</v>
      </c>
      <c r="C146" s="1" t="n">
        <v>45933</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38134-2021</t>
        </is>
      </c>
      <c r="B147" s="1" t="n">
        <v>44405.3794212963</v>
      </c>
      <c r="C147" s="1" t="n">
        <v>45933</v>
      </c>
      <c r="D147" t="inlineStr">
        <is>
          <t>ÖSTERGÖTLANDS LÄN</t>
        </is>
      </c>
      <c r="E147" t="inlineStr">
        <is>
          <t>LINKÖPING</t>
        </is>
      </c>
      <c r="G147" t="n">
        <v>5.1</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45933</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45933</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34486-2021</t>
        </is>
      </c>
      <c r="B150" s="1" t="n">
        <v>44382.29295138889</v>
      </c>
      <c r="C150" s="1" t="n">
        <v>45933</v>
      </c>
      <c r="D150" t="inlineStr">
        <is>
          <t>ÖSTERGÖTLANDS LÄN</t>
        </is>
      </c>
      <c r="E150" t="inlineStr">
        <is>
          <t>LINKÖPING</t>
        </is>
      </c>
      <c r="G150" t="n">
        <v>4.4</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45933</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45933</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37934-2022</t>
        </is>
      </c>
      <c r="B153" s="1" t="n">
        <v>44809</v>
      </c>
      <c r="C153" s="1" t="n">
        <v>45933</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23175-2022</t>
        </is>
      </c>
      <c r="B154" s="1" t="n">
        <v>44719</v>
      </c>
      <c r="C154" s="1" t="n">
        <v>45933</v>
      </c>
      <c r="D154" t="inlineStr">
        <is>
          <t>ÖSTERGÖTLANDS LÄN</t>
        </is>
      </c>
      <c r="E154" t="inlineStr">
        <is>
          <t>LINKÖPING</t>
        </is>
      </c>
      <c r="F154" t="inlineStr">
        <is>
          <t>Allmännings- och besparingsskogar</t>
        </is>
      </c>
      <c r="G154" t="n">
        <v>1.4</v>
      </c>
      <c r="H154" t="n">
        <v>0</v>
      </c>
      <c r="I154" t="n">
        <v>0</v>
      </c>
      <c r="J154" t="n">
        <v>0</v>
      </c>
      <c r="K154" t="n">
        <v>0</v>
      </c>
      <c r="L154" t="n">
        <v>0</v>
      </c>
      <c r="M154" t="n">
        <v>0</v>
      </c>
      <c r="N154" t="n">
        <v>0</v>
      </c>
      <c r="O154" t="n">
        <v>0</v>
      </c>
      <c r="P154" t="n">
        <v>0</v>
      </c>
      <c r="Q154" t="n">
        <v>0</v>
      </c>
      <c r="R154" s="2" t="inlineStr"/>
    </row>
    <row r="155" ht="15" customHeight="1">
      <c r="A155" t="inlineStr">
        <is>
          <t>A 54854-2022</t>
        </is>
      </c>
      <c r="B155" s="1" t="n">
        <v>44884</v>
      </c>
      <c r="C155" s="1" t="n">
        <v>45933</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54855-2022</t>
        </is>
      </c>
      <c r="B156" s="1" t="n">
        <v>44884.59502314815</v>
      </c>
      <c r="C156" s="1" t="n">
        <v>45933</v>
      </c>
      <c r="D156" t="inlineStr">
        <is>
          <t>ÖSTERGÖTLANDS LÄN</t>
        </is>
      </c>
      <c r="E156" t="inlineStr">
        <is>
          <t>LINKÖPING</t>
        </is>
      </c>
      <c r="G156" t="n">
        <v>2.9</v>
      </c>
      <c r="H156" t="n">
        <v>0</v>
      </c>
      <c r="I156" t="n">
        <v>0</v>
      </c>
      <c r="J156" t="n">
        <v>0</v>
      </c>
      <c r="K156" t="n">
        <v>0</v>
      </c>
      <c r="L156" t="n">
        <v>0</v>
      </c>
      <c r="M156" t="n">
        <v>0</v>
      </c>
      <c r="N156" t="n">
        <v>0</v>
      </c>
      <c r="O156" t="n">
        <v>0</v>
      </c>
      <c r="P156" t="n">
        <v>0</v>
      </c>
      <c r="Q156" t="n">
        <v>0</v>
      </c>
      <c r="R156" s="2" t="inlineStr"/>
    </row>
    <row r="157" ht="15" customHeight="1">
      <c r="A157" t="inlineStr">
        <is>
          <t>A 4929-2021</t>
        </is>
      </c>
      <c r="B157" s="1" t="n">
        <v>44227.57533564815</v>
      </c>
      <c r="C157" s="1" t="n">
        <v>45933</v>
      </c>
      <c r="D157" t="inlineStr">
        <is>
          <t>ÖSTERGÖTLANDS LÄN</t>
        </is>
      </c>
      <c r="E157" t="inlineStr">
        <is>
          <t>LINKÖPING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58266-2021</t>
        </is>
      </c>
      <c r="B158" s="1" t="n">
        <v>44487</v>
      </c>
      <c r="C158" s="1" t="n">
        <v>45933</v>
      </c>
      <c r="D158" t="inlineStr">
        <is>
          <t>ÖSTERGÖTLANDS LÄN</t>
        </is>
      </c>
      <c r="E158" t="inlineStr">
        <is>
          <t>LINKÖPING</t>
        </is>
      </c>
      <c r="F158" t="inlineStr">
        <is>
          <t>Övriga Aktiebolag</t>
        </is>
      </c>
      <c r="G158" t="n">
        <v>3.2</v>
      </c>
      <c r="H158" t="n">
        <v>0</v>
      </c>
      <c r="I158" t="n">
        <v>0</v>
      </c>
      <c r="J158" t="n">
        <v>0</v>
      </c>
      <c r="K158" t="n">
        <v>0</v>
      </c>
      <c r="L158" t="n">
        <v>0</v>
      </c>
      <c r="M158" t="n">
        <v>0</v>
      </c>
      <c r="N158" t="n">
        <v>0</v>
      </c>
      <c r="O158" t="n">
        <v>0</v>
      </c>
      <c r="P158" t="n">
        <v>0</v>
      </c>
      <c r="Q158" t="n">
        <v>0</v>
      </c>
      <c r="R158" s="2" t="inlineStr"/>
    </row>
    <row r="159" ht="15" customHeight="1">
      <c r="A159" t="inlineStr">
        <is>
          <t>A 11079-2022</t>
        </is>
      </c>
      <c r="B159" s="1" t="n">
        <v>44628</v>
      </c>
      <c r="C159" s="1" t="n">
        <v>45933</v>
      </c>
      <c r="D159" t="inlineStr">
        <is>
          <t>ÖSTERGÖTLANDS LÄN</t>
        </is>
      </c>
      <c r="E159" t="inlineStr">
        <is>
          <t>LINKÖPING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20901-2021</t>
        </is>
      </c>
      <c r="B160" s="1" t="n">
        <v>44319</v>
      </c>
      <c r="C160" s="1" t="n">
        <v>45933</v>
      </c>
      <c r="D160" t="inlineStr">
        <is>
          <t>ÖSTERGÖTLANDS LÄN</t>
        </is>
      </c>
      <c r="E160" t="inlineStr">
        <is>
          <t>LINKÖPING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33891-2021</t>
        </is>
      </c>
      <c r="B161" s="1" t="n">
        <v>44378</v>
      </c>
      <c r="C161" s="1" t="n">
        <v>45933</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31732-2022</t>
        </is>
      </c>
      <c r="B162" s="1" t="n">
        <v>44776.49267361111</v>
      </c>
      <c r="C162" s="1" t="n">
        <v>45933</v>
      </c>
      <c r="D162" t="inlineStr">
        <is>
          <t>ÖSTERGÖTLANDS LÄN</t>
        </is>
      </c>
      <c r="E162" t="inlineStr">
        <is>
          <t>LINKÖPING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28447-2021</t>
        </is>
      </c>
      <c r="B163" s="1" t="n">
        <v>44356</v>
      </c>
      <c r="C163" s="1" t="n">
        <v>45933</v>
      </c>
      <c r="D163" t="inlineStr">
        <is>
          <t>ÖSTERGÖTLANDS LÄN</t>
        </is>
      </c>
      <c r="E163" t="inlineStr">
        <is>
          <t>LINKÖPING</t>
        </is>
      </c>
      <c r="G163" t="n">
        <v>2</v>
      </c>
      <c r="H163" t="n">
        <v>0</v>
      </c>
      <c r="I163" t="n">
        <v>0</v>
      </c>
      <c r="J163" t="n">
        <v>0</v>
      </c>
      <c r="K163" t="n">
        <v>0</v>
      </c>
      <c r="L163" t="n">
        <v>0</v>
      </c>
      <c r="M163" t="n">
        <v>0</v>
      </c>
      <c r="N163" t="n">
        <v>0</v>
      </c>
      <c r="O163" t="n">
        <v>0</v>
      </c>
      <c r="P163" t="n">
        <v>0</v>
      </c>
      <c r="Q163" t="n">
        <v>0</v>
      </c>
      <c r="R163" s="2" t="inlineStr"/>
    </row>
    <row r="164" ht="15" customHeight="1">
      <c r="A164" t="inlineStr">
        <is>
          <t>A 19254-2021</t>
        </is>
      </c>
      <c r="B164" s="1" t="n">
        <v>44309.38962962963</v>
      </c>
      <c r="C164" s="1" t="n">
        <v>45933</v>
      </c>
      <c r="D164" t="inlineStr">
        <is>
          <t>ÖSTERGÖTLANDS LÄN</t>
        </is>
      </c>
      <c r="E164" t="inlineStr">
        <is>
          <t>LINKÖPING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9935-2021</t>
        </is>
      </c>
      <c r="B165" s="1" t="n">
        <v>44253</v>
      </c>
      <c r="C165" s="1" t="n">
        <v>45933</v>
      </c>
      <c r="D165" t="inlineStr">
        <is>
          <t>ÖSTERGÖTLANDS LÄN</t>
        </is>
      </c>
      <c r="E165" t="inlineStr">
        <is>
          <t>LINKÖPING</t>
        </is>
      </c>
      <c r="G165" t="n">
        <v>4.5</v>
      </c>
      <c r="H165" t="n">
        <v>0</v>
      </c>
      <c r="I165" t="n">
        <v>0</v>
      </c>
      <c r="J165" t="n">
        <v>0</v>
      </c>
      <c r="K165" t="n">
        <v>0</v>
      </c>
      <c r="L165" t="n">
        <v>0</v>
      </c>
      <c r="M165" t="n">
        <v>0</v>
      </c>
      <c r="N165" t="n">
        <v>0</v>
      </c>
      <c r="O165" t="n">
        <v>0</v>
      </c>
      <c r="P165" t="n">
        <v>0</v>
      </c>
      <c r="Q165" t="n">
        <v>0</v>
      </c>
      <c r="R165" s="2" t="inlineStr"/>
    </row>
    <row r="166" ht="15" customHeight="1">
      <c r="A166" t="inlineStr">
        <is>
          <t>A 60129-2020</t>
        </is>
      </c>
      <c r="B166" s="1" t="n">
        <v>44152</v>
      </c>
      <c r="C166" s="1" t="n">
        <v>45933</v>
      </c>
      <c r="D166" t="inlineStr">
        <is>
          <t>ÖSTERGÖTLANDS LÄN</t>
        </is>
      </c>
      <c r="E166" t="inlineStr">
        <is>
          <t>LINKÖPING</t>
        </is>
      </c>
      <c r="F166" t="inlineStr">
        <is>
          <t>Övriga statliga verk och myndigheter</t>
        </is>
      </c>
      <c r="G166" t="n">
        <v>2.5</v>
      </c>
      <c r="H166" t="n">
        <v>0</v>
      </c>
      <c r="I166" t="n">
        <v>0</v>
      </c>
      <c r="J166" t="n">
        <v>0</v>
      </c>
      <c r="K166" t="n">
        <v>0</v>
      </c>
      <c r="L166" t="n">
        <v>0</v>
      </c>
      <c r="M166" t="n">
        <v>0</v>
      </c>
      <c r="N166" t="n">
        <v>0</v>
      </c>
      <c r="O166" t="n">
        <v>0</v>
      </c>
      <c r="P166" t="n">
        <v>0</v>
      </c>
      <c r="Q166" t="n">
        <v>0</v>
      </c>
      <c r="R166" s="2" t="inlineStr"/>
    </row>
    <row r="167" ht="15" customHeight="1">
      <c r="A167" t="inlineStr">
        <is>
          <t>A 31705-2022</t>
        </is>
      </c>
      <c r="B167" s="1" t="n">
        <v>44776.43607638889</v>
      </c>
      <c r="C167" s="1" t="n">
        <v>45933</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4377-2021</t>
        </is>
      </c>
      <c r="B168" s="1" t="n">
        <v>44223</v>
      </c>
      <c r="C168" s="1" t="n">
        <v>45933</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19318-2022</t>
        </is>
      </c>
      <c r="B169" s="1" t="n">
        <v>44692.5827662037</v>
      </c>
      <c r="C169" s="1" t="n">
        <v>45933</v>
      </c>
      <c r="D169" t="inlineStr">
        <is>
          <t>ÖSTERGÖTLANDS LÄN</t>
        </is>
      </c>
      <c r="E169" t="inlineStr">
        <is>
          <t>LINKÖPING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61302-2021</t>
        </is>
      </c>
      <c r="B170" s="1" t="n">
        <v>44498.63189814815</v>
      </c>
      <c r="C170" s="1" t="n">
        <v>45933</v>
      </c>
      <c r="D170" t="inlineStr">
        <is>
          <t>ÖSTERGÖTLANDS LÄN</t>
        </is>
      </c>
      <c r="E170" t="inlineStr">
        <is>
          <t>LINKÖPING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45933</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61153-2021</t>
        </is>
      </c>
      <c r="B172" s="1" t="n">
        <v>44497</v>
      </c>
      <c r="C172" s="1" t="n">
        <v>45933</v>
      </c>
      <c r="D172" t="inlineStr">
        <is>
          <t>ÖSTERGÖTLANDS LÄN</t>
        </is>
      </c>
      <c r="E172" t="inlineStr">
        <is>
          <t>LINKÖPING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33885-2021</t>
        </is>
      </c>
      <c r="B173" s="1" t="n">
        <v>44378</v>
      </c>
      <c r="C173" s="1" t="n">
        <v>45933</v>
      </c>
      <c r="D173" t="inlineStr">
        <is>
          <t>ÖSTERGÖTLANDS LÄN</t>
        </is>
      </c>
      <c r="E173" t="inlineStr">
        <is>
          <t>LINKÖPING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67912-2021</t>
        </is>
      </c>
      <c r="B174" s="1" t="n">
        <v>44525</v>
      </c>
      <c r="C174" s="1" t="n">
        <v>45933</v>
      </c>
      <c r="D174" t="inlineStr">
        <is>
          <t>ÖSTERGÖTLANDS LÄN</t>
        </is>
      </c>
      <c r="E174" t="inlineStr">
        <is>
          <t>LINKÖPING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67940-2021</t>
        </is>
      </c>
      <c r="B175" s="1" t="n">
        <v>44525.62849537037</v>
      </c>
      <c r="C175" s="1" t="n">
        <v>45933</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54467-2022</t>
        </is>
      </c>
      <c r="B176" s="1" t="n">
        <v>44882</v>
      </c>
      <c r="C176" s="1" t="n">
        <v>45933</v>
      </c>
      <c r="D176" t="inlineStr">
        <is>
          <t>ÖSTERGÖTLANDS LÄN</t>
        </is>
      </c>
      <c r="E176" t="inlineStr">
        <is>
          <t>LINKÖPING</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45933</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36341-2022</t>
        </is>
      </c>
      <c r="B178" s="1" t="n">
        <v>44803</v>
      </c>
      <c r="C178" s="1" t="n">
        <v>45933</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41426-2022</t>
        </is>
      </c>
      <c r="B179" s="1" t="n">
        <v>44826</v>
      </c>
      <c r="C179" s="1" t="n">
        <v>45933</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46490-2022</t>
        </is>
      </c>
      <c r="B180" s="1" t="n">
        <v>44848</v>
      </c>
      <c r="C180" s="1" t="n">
        <v>45933</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45933</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34162-2022</t>
        </is>
      </c>
      <c r="B182" s="1" t="n">
        <v>44791</v>
      </c>
      <c r="C182" s="1" t="n">
        <v>45933</v>
      </c>
      <c r="D182" t="inlineStr">
        <is>
          <t>ÖSTERGÖTLANDS LÄN</t>
        </is>
      </c>
      <c r="E182" t="inlineStr">
        <is>
          <t>LINKÖPING</t>
        </is>
      </c>
      <c r="G182" t="n">
        <v>3</v>
      </c>
      <c r="H182" t="n">
        <v>0</v>
      </c>
      <c r="I182" t="n">
        <v>0</v>
      </c>
      <c r="J182" t="n">
        <v>0</v>
      </c>
      <c r="K182" t="n">
        <v>0</v>
      </c>
      <c r="L182" t="n">
        <v>0</v>
      </c>
      <c r="M182" t="n">
        <v>0</v>
      </c>
      <c r="N182" t="n">
        <v>0</v>
      </c>
      <c r="O182" t="n">
        <v>0</v>
      </c>
      <c r="P182" t="n">
        <v>0</v>
      </c>
      <c r="Q182" t="n">
        <v>0</v>
      </c>
      <c r="R182" s="2" t="inlineStr"/>
    </row>
    <row r="183" ht="15" customHeight="1">
      <c r="A183" t="inlineStr">
        <is>
          <t>A 4240-2022</t>
        </is>
      </c>
      <c r="B183" s="1" t="n">
        <v>44588</v>
      </c>
      <c r="C183" s="1" t="n">
        <v>45933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61298-2021</t>
        </is>
      </c>
      <c r="B184" s="1" t="n">
        <v>44498.62533564815</v>
      </c>
      <c r="C184" s="1" t="n">
        <v>45933</v>
      </c>
      <c r="D184" t="inlineStr">
        <is>
          <t>ÖSTERGÖTLANDS LÄN</t>
        </is>
      </c>
      <c r="E184" t="inlineStr">
        <is>
          <t>LINKÖPING</t>
        </is>
      </c>
      <c r="G184" t="n">
        <v>4.3</v>
      </c>
      <c r="H184" t="n">
        <v>0</v>
      </c>
      <c r="I184" t="n">
        <v>0</v>
      </c>
      <c r="J184" t="n">
        <v>0</v>
      </c>
      <c r="K184" t="n">
        <v>0</v>
      </c>
      <c r="L184" t="n">
        <v>0</v>
      </c>
      <c r="M184" t="n">
        <v>0</v>
      </c>
      <c r="N184" t="n">
        <v>0</v>
      </c>
      <c r="O184" t="n">
        <v>0</v>
      </c>
      <c r="P184" t="n">
        <v>0</v>
      </c>
      <c r="Q184" t="n">
        <v>0</v>
      </c>
      <c r="R184" s="2" t="inlineStr"/>
    </row>
    <row r="185" ht="15" customHeight="1">
      <c r="A185" t="inlineStr">
        <is>
          <t>A 61333-2021</t>
        </is>
      </c>
      <c r="B185" s="1" t="n">
        <v>44498.6764699074</v>
      </c>
      <c r="C185" s="1" t="n">
        <v>45933</v>
      </c>
      <c r="D185" t="inlineStr">
        <is>
          <t>ÖSTERGÖTLANDS LÄN</t>
        </is>
      </c>
      <c r="E185" t="inlineStr">
        <is>
          <t>LINKÖPING</t>
        </is>
      </c>
      <c r="G185" t="n">
        <v>7.5</v>
      </c>
      <c r="H185" t="n">
        <v>0</v>
      </c>
      <c r="I185" t="n">
        <v>0</v>
      </c>
      <c r="J185" t="n">
        <v>0</v>
      </c>
      <c r="K185" t="n">
        <v>0</v>
      </c>
      <c r="L185" t="n">
        <v>0</v>
      </c>
      <c r="M185" t="n">
        <v>0</v>
      </c>
      <c r="N185" t="n">
        <v>0</v>
      </c>
      <c r="O185" t="n">
        <v>0</v>
      </c>
      <c r="P185" t="n">
        <v>0</v>
      </c>
      <c r="Q185" t="n">
        <v>0</v>
      </c>
      <c r="R185" s="2" t="inlineStr"/>
    </row>
    <row r="186" ht="15" customHeight="1">
      <c r="A186" t="inlineStr">
        <is>
          <t>A 33134-2022</t>
        </is>
      </c>
      <c r="B186" s="1" t="n">
        <v>44785</v>
      </c>
      <c r="C186" s="1" t="n">
        <v>45933</v>
      </c>
      <c r="D186" t="inlineStr">
        <is>
          <t>ÖSTERGÖTLANDS LÄN</t>
        </is>
      </c>
      <c r="E186" t="inlineStr">
        <is>
          <t>LINKÖPING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12412-2022</t>
        </is>
      </c>
      <c r="B187" s="1" t="n">
        <v>44638</v>
      </c>
      <c r="C187" s="1" t="n">
        <v>45933</v>
      </c>
      <c r="D187" t="inlineStr">
        <is>
          <t>ÖSTERGÖTLANDS LÄN</t>
        </is>
      </c>
      <c r="E187" t="inlineStr">
        <is>
          <t>LINKÖPING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46891-2021</t>
        </is>
      </c>
      <c r="B188" s="1" t="n">
        <v>44446.44587962963</v>
      </c>
      <c r="C188" s="1" t="n">
        <v>45933</v>
      </c>
      <c r="D188" t="inlineStr">
        <is>
          <t>ÖSTERGÖTLANDS LÄN</t>
        </is>
      </c>
      <c r="E188" t="inlineStr">
        <is>
          <t>LINKÖPING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13075-2022</t>
        </is>
      </c>
      <c r="B189" s="1" t="n">
        <v>44643</v>
      </c>
      <c r="C189" s="1" t="n">
        <v>45933</v>
      </c>
      <c r="D189" t="inlineStr">
        <is>
          <t>ÖSTERGÖTLANDS LÄN</t>
        </is>
      </c>
      <c r="E189" t="inlineStr">
        <is>
          <t>LINKÖPING</t>
        </is>
      </c>
      <c r="G189" t="n">
        <v>2.2</v>
      </c>
      <c r="H189" t="n">
        <v>0</v>
      </c>
      <c r="I189" t="n">
        <v>0</v>
      </c>
      <c r="J189" t="n">
        <v>0</v>
      </c>
      <c r="K189" t="n">
        <v>0</v>
      </c>
      <c r="L189" t="n">
        <v>0</v>
      </c>
      <c r="M189" t="n">
        <v>0</v>
      </c>
      <c r="N189" t="n">
        <v>0</v>
      </c>
      <c r="O189" t="n">
        <v>0</v>
      </c>
      <c r="P189" t="n">
        <v>0</v>
      </c>
      <c r="Q189" t="n">
        <v>0</v>
      </c>
      <c r="R189" s="2" t="inlineStr"/>
    </row>
    <row r="190" ht="15" customHeight="1">
      <c r="A190" t="inlineStr">
        <is>
          <t>A 45819-2024</t>
        </is>
      </c>
      <c r="B190" s="1" t="n">
        <v>45579.7454050926</v>
      </c>
      <c r="C190" s="1" t="n">
        <v>45933</v>
      </c>
      <c r="D190" t="inlineStr">
        <is>
          <t>ÖSTERGÖTLANDS LÄN</t>
        </is>
      </c>
      <c r="E190" t="inlineStr">
        <is>
          <t>LINKÖPING</t>
        </is>
      </c>
      <c r="G190" t="n">
        <v>5</v>
      </c>
      <c r="H190" t="n">
        <v>0</v>
      </c>
      <c r="I190" t="n">
        <v>0</v>
      </c>
      <c r="J190" t="n">
        <v>0</v>
      </c>
      <c r="K190" t="n">
        <v>0</v>
      </c>
      <c r="L190" t="n">
        <v>0</v>
      </c>
      <c r="M190" t="n">
        <v>0</v>
      </c>
      <c r="N190" t="n">
        <v>0</v>
      </c>
      <c r="O190" t="n">
        <v>0</v>
      </c>
      <c r="P190" t="n">
        <v>0</v>
      </c>
      <c r="Q190" t="n">
        <v>0</v>
      </c>
      <c r="R190" s="2" t="inlineStr"/>
    </row>
    <row r="191" ht="15" customHeight="1">
      <c r="A191" t="inlineStr">
        <is>
          <t>A 3041-2024</t>
        </is>
      </c>
      <c r="B191" s="1" t="n">
        <v>45316.34875</v>
      </c>
      <c r="C191" s="1" t="n">
        <v>45933</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3043-2024</t>
        </is>
      </c>
      <c r="B192" s="1" t="n">
        <v>45316</v>
      </c>
      <c r="C192" s="1" t="n">
        <v>45933</v>
      </c>
      <c r="D192" t="inlineStr">
        <is>
          <t>ÖSTERGÖTLANDS LÄN</t>
        </is>
      </c>
      <c r="E192" t="inlineStr">
        <is>
          <t>LINKÖPING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29309-2024</t>
        </is>
      </c>
      <c r="B193" s="1" t="n">
        <v>45483</v>
      </c>
      <c r="C193" s="1" t="n">
        <v>45933</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29411-2023</t>
        </is>
      </c>
      <c r="B194" s="1" t="n">
        <v>45106.46225694445</v>
      </c>
      <c r="C194" s="1" t="n">
        <v>45933</v>
      </c>
      <c r="D194" t="inlineStr">
        <is>
          <t>ÖSTERGÖTLANDS LÄN</t>
        </is>
      </c>
      <c r="E194" t="inlineStr">
        <is>
          <t>LINKÖPING</t>
        </is>
      </c>
      <c r="G194" t="n">
        <v>2.5</v>
      </c>
      <c r="H194" t="n">
        <v>0</v>
      </c>
      <c r="I194" t="n">
        <v>0</v>
      </c>
      <c r="J194" t="n">
        <v>0</v>
      </c>
      <c r="K194" t="n">
        <v>0</v>
      </c>
      <c r="L194" t="n">
        <v>0</v>
      </c>
      <c r="M194" t="n">
        <v>0</v>
      </c>
      <c r="N194" t="n">
        <v>0</v>
      </c>
      <c r="O194" t="n">
        <v>0</v>
      </c>
      <c r="P194" t="n">
        <v>0</v>
      </c>
      <c r="Q194" t="n">
        <v>0</v>
      </c>
      <c r="R194" s="2" t="inlineStr"/>
    </row>
    <row r="195" ht="15" customHeight="1">
      <c r="A195" t="inlineStr">
        <is>
          <t>A 29412-2023</t>
        </is>
      </c>
      <c r="B195" s="1" t="n">
        <v>45106.46359953703</v>
      </c>
      <c r="C195" s="1" t="n">
        <v>45933</v>
      </c>
      <c r="D195" t="inlineStr">
        <is>
          <t>ÖSTERGÖTLANDS LÄN</t>
        </is>
      </c>
      <c r="E195" t="inlineStr">
        <is>
          <t>LINKÖPING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29413-2023</t>
        </is>
      </c>
      <c r="B196" s="1" t="n">
        <v>45106.46465277778</v>
      </c>
      <c r="C196" s="1" t="n">
        <v>45933</v>
      </c>
      <c r="D196" t="inlineStr">
        <is>
          <t>ÖSTERGÖTLANDS LÄN</t>
        </is>
      </c>
      <c r="E196" t="inlineStr">
        <is>
          <t>LINKÖPING</t>
        </is>
      </c>
      <c r="G196" t="n">
        <v>8</v>
      </c>
      <c r="H196" t="n">
        <v>0</v>
      </c>
      <c r="I196" t="n">
        <v>0</v>
      </c>
      <c r="J196" t="n">
        <v>0</v>
      </c>
      <c r="K196" t="n">
        <v>0</v>
      </c>
      <c r="L196" t="n">
        <v>0</v>
      </c>
      <c r="M196" t="n">
        <v>0</v>
      </c>
      <c r="N196" t="n">
        <v>0</v>
      </c>
      <c r="O196" t="n">
        <v>0</v>
      </c>
      <c r="P196" t="n">
        <v>0</v>
      </c>
      <c r="Q196" t="n">
        <v>0</v>
      </c>
      <c r="R196" s="2" t="inlineStr"/>
    </row>
    <row r="197" ht="15" customHeight="1">
      <c r="A197" t="inlineStr">
        <is>
          <t>A 27666-2022</t>
        </is>
      </c>
      <c r="B197" s="1" t="n">
        <v>44743.39017361111</v>
      </c>
      <c r="C197" s="1" t="n">
        <v>45933</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3530-2024</t>
        </is>
      </c>
      <c r="B198" s="1" t="n">
        <v>45320.54717592592</v>
      </c>
      <c r="C198" s="1" t="n">
        <v>45933</v>
      </c>
      <c r="D198" t="inlineStr">
        <is>
          <t>ÖSTERGÖTLANDS LÄN</t>
        </is>
      </c>
      <c r="E198" t="inlineStr">
        <is>
          <t>LINKÖPING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19183-2021</t>
        </is>
      </c>
      <c r="B199" s="1" t="n">
        <v>44308.73248842593</v>
      </c>
      <c r="C199" s="1" t="n">
        <v>45933</v>
      </c>
      <c r="D199" t="inlineStr">
        <is>
          <t>ÖSTERGÖTLANDS LÄN</t>
        </is>
      </c>
      <c r="E199" t="inlineStr">
        <is>
          <t>LINKÖPING</t>
        </is>
      </c>
      <c r="F199" t="inlineStr">
        <is>
          <t>Allmännings- och besparingsskogar</t>
        </is>
      </c>
      <c r="G199" t="n">
        <v>4.6</v>
      </c>
      <c r="H199" t="n">
        <v>0</v>
      </c>
      <c r="I199" t="n">
        <v>0</v>
      </c>
      <c r="J199" t="n">
        <v>0</v>
      </c>
      <c r="K199" t="n">
        <v>0</v>
      </c>
      <c r="L199" t="n">
        <v>0</v>
      </c>
      <c r="M199" t="n">
        <v>0</v>
      </c>
      <c r="N199" t="n">
        <v>0</v>
      </c>
      <c r="O199" t="n">
        <v>0</v>
      </c>
      <c r="P199" t="n">
        <v>0</v>
      </c>
      <c r="Q199" t="n">
        <v>0</v>
      </c>
      <c r="R199" s="2" t="inlineStr"/>
    </row>
    <row r="200" ht="15" customHeight="1">
      <c r="A200" t="inlineStr">
        <is>
          <t>A 24151-2024</t>
        </is>
      </c>
      <c r="B200" s="1" t="n">
        <v>45456.67717592593</v>
      </c>
      <c r="C200" s="1" t="n">
        <v>45933</v>
      </c>
      <c r="D200" t="inlineStr">
        <is>
          <t>ÖSTERGÖTLANDS LÄN</t>
        </is>
      </c>
      <c r="E200" t="inlineStr">
        <is>
          <t>LINKÖPING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62686-2023</t>
        </is>
      </c>
      <c r="B201" s="1" t="n">
        <v>45271</v>
      </c>
      <c r="C201" s="1" t="n">
        <v>45933</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59288-2020</t>
        </is>
      </c>
      <c r="B202" s="1" t="n">
        <v>44147</v>
      </c>
      <c r="C202" s="1" t="n">
        <v>45933</v>
      </c>
      <c r="D202" t="inlineStr">
        <is>
          <t>ÖSTERGÖTLANDS LÄN</t>
        </is>
      </c>
      <c r="E202" t="inlineStr">
        <is>
          <t>LINKÖPING</t>
        </is>
      </c>
      <c r="G202" t="n">
        <v>2.8</v>
      </c>
      <c r="H202" t="n">
        <v>0</v>
      </c>
      <c r="I202" t="n">
        <v>0</v>
      </c>
      <c r="J202" t="n">
        <v>0</v>
      </c>
      <c r="K202" t="n">
        <v>0</v>
      </c>
      <c r="L202" t="n">
        <v>0</v>
      </c>
      <c r="M202" t="n">
        <v>0</v>
      </c>
      <c r="N202" t="n">
        <v>0</v>
      </c>
      <c r="O202" t="n">
        <v>0</v>
      </c>
      <c r="P202" t="n">
        <v>0</v>
      </c>
      <c r="Q202" t="n">
        <v>0</v>
      </c>
      <c r="R202" s="2" t="inlineStr"/>
    </row>
    <row r="203" ht="15" customHeight="1">
      <c r="A203" t="inlineStr">
        <is>
          <t>A 55345-2021</t>
        </is>
      </c>
      <c r="B203" s="1" t="n">
        <v>44475</v>
      </c>
      <c r="C203" s="1" t="n">
        <v>45933</v>
      </c>
      <c r="D203" t="inlineStr">
        <is>
          <t>ÖSTERGÖTLANDS LÄN</t>
        </is>
      </c>
      <c r="E203" t="inlineStr">
        <is>
          <t>LINKÖPING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63489-2023</t>
        </is>
      </c>
      <c r="B204" s="1" t="n">
        <v>45274.66761574074</v>
      </c>
      <c r="C204" s="1" t="n">
        <v>45933</v>
      </c>
      <c r="D204" t="inlineStr">
        <is>
          <t>ÖSTERGÖTLANDS LÄN</t>
        </is>
      </c>
      <c r="E204" t="inlineStr">
        <is>
          <t>LINKÖPING</t>
        </is>
      </c>
      <c r="G204" t="n">
        <v>2.3</v>
      </c>
      <c r="H204" t="n">
        <v>0</v>
      </c>
      <c r="I204" t="n">
        <v>0</v>
      </c>
      <c r="J204" t="n">
        <v>0</v>
      </c>
      <c r="K204" t="n">
        <v>0</v>
      </c>
      <c r="L204" t="n">
        <v>0</v>
      </c>
      <c r="M204" t="n">
        <v>0</v>
      </c>
      <c r="N204" t="n">
        <v>0</v>
      </c>
      <c r="O204" t="n">
        <v>0</v>
      </c>
      <c r="P204" t="n">
        <v>0</v>
      </c>
      <c r="Q204" t="n">
        <v>0</v>
      </c>
      <c r="R204" s="2" t="inlineStr"/>
    </row>
    <row r="205" ht="15" customHeight="1">
      <c r="A205" t="inlineStr">
        <is>
          <t>A 63845-2021</t>
        </is>
      </c>
      <c r="B205" s="1" t="n">
        <v>44509</v>
      </c>
      <c r="C205" s="1" t="n">
        <v>45933</v>
      </c>
      <c r="D205" t="inlineStr">
        <is>
          <t>ÖSTERGÖTLANDS LÄN</t>
        </is>
      </c>
      <c r="E205" t="inlineStr">
        <is>
          <t>LINKÖPING</t>
        </is>
      </c>
      <c r="G205" t="n">
        <v>5</v>
      </c>
      <c r="H205" t="n">
        <v>0</v>
      </c>
      <c r="I205" t="n">
        <v>0</v>
      </c>
      <c r="J205" t="n">
        <v>0</v>
      </c>
      <c r="K205" t="n">
        <v>0</v>
      </c>
      <c r="L205" t="n">
        <v>0</v>
      </c>
      <c r="M205" t="n">
        <v>0</v>
      </c>
      <c r="N205" t="n">
        <v>0</v>
      </c>
      <c r="O205" t="n">
        <v>0</v>
      </c>
      <c r="P205" t="n">
        <v>0</v>
      </c>
      <c r="Q205" t="n">
        <v>0</v>
      </c>
      <c r="R205" s="2" t="inlineStr"/>
    </row>
    <row r="206" ht="15" customHeight="1">
      <c r="A206" t="inlineStr">
        <is>
          <t>A 70-2024</t>
        </is>
      </c>
      <c r="B206" s="1" t="n">
        <v>45293</v>
      </c>
      <c r="C206" s="1" t="n">
        <v>45933</v>
      </c>
      <c r="D206" t="inlineStr">
        <is>
          <t>ÖSTERGÖTLANDS LÄN</t>
        </is>
      </c>
      <c r="E206" t="inlineStr">
        <is>
          <t>LINKÖPING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50035-2020</t>
        </is>
      </c>
      <c r="B207" s="1" t="n">
        <v>44109</v>
      </c>
      <c r="C207" s="1" t="n">
        <v>45933</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26002-2025</t>
        </is>
      </c>
      <c r="B208" s="1" t="n">
        <v>45804.66534722222</v>
      </c>
      <c r="C208" s="1" t="n">
        <v>45933</v>
      </c>
      <c r="D208" t="inlineStr">
        <is>
          <t>ÖSTERGÖTLANDS LÄN</t>
        </is>
      </c>
      <c r="E208" t="inlineStr">
        <is>
          <t>LINKÖPING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17785-2023</t>
        </is>
      </c>
      <c r="B209" s="1" t="n">
        <v>45037.55094907407</v>
      </c>
      <c r="C209" s="1" t="n">
        <v>45933</v>
      </c>
      <c r="D209" t="inlineStr">
        <is>
          <t>ÖSTERGÖTLANDS LÄN</t>
        </is>
      </c>
      <c r="E209" t="inlineStr">
        <is>
          <t>LINKÖPING</t>
        </is>
      </c>
      <c r="F209" t="inlineStr">
        <is>
          <t>Allmännings- och besparingsskogar</t>
        </is>
      </c>
      <c r="G209" t="n">
        <v>3.1</v>
      </c>
      <c r="H209" t="n">
        <v>0</v>
      </c>
      <c r="I209" t="n">
        <v>0</v>
      </c>
      <c r="J209" t="n">
        <v>0</v>
      </c>
      <c r="K209" t="n">
        <v>0</v>
      </c>
      <c r="L209" t="n">
        <v>0</v>
      </c>
      <c r="M209" t="n">
        <v>0</v>
      </c>
      <c r="N209" t="n">
        <v>0</v>
      </c>
      <c r="O209" t="n">
        <v>0</v>
      </c>
      <c r="P209" t="n">
        <v>0</v>
      </c>
      <c r="Q209" t="n">
        <v>0</v>
      </c>
      <c r="R209" s="2" t="inlineStr"/>
    </row>
    <row r="210" ht="15" customHeight="1">
      <c r="A210" t="inlineStr">
        <is>
          <t>A 32346-2023</t>
        </is>
      </c>
      <c r="B210" s="1" t="n">
        <v>45120</v>
      </c>
      <c r="C210" s="1" t="n">
        <v>45933</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6782-2024</t>
        </is>
      </c>
      <c r="B211" s="1" t="n">
        <v>45342</v>
      </c>
      <c r="C211" s="1" t="n">
        <v>45933</v>
      </c>
      <c r="D211" t="inlineStr">
        <is>
          <t>ÖSTERGÖTLANDS LÄN</t>
        </is>
      </c>
      <c r="E211" t="inlineStr">
        <is>
          <t>LINKÖPING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617-2024</t>
        </is>
      </c>
      <c r="B212" s="1" t="n">
        <v>45299.66028935185</v>
      </c>
      <c r="C212" s="1" t="n">
        <v>45933</v>
      </c>
      <c r="D212" t="inlineStr">
        <is>
          <t>ÖSTERGÖTLANDS LÄN</t>
        </is>
      </c>
      <c r="E212" t="inlineStr">
        <is>
          <t>LINKÖPING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670-2024</t>
        </is>
      </c>
      <c r="B213" s="1" t="n">
        <v>45300.3408912037</v>
      </c>
      <c r="C213" s="1" t="n">
        <v>45933</v>
      </c>
      <c r="D213" t="inlineStr">
        <is>
          <t>ÖSTERGÖTLANDS LÄN</t>
        </is>
      </c>
      <c r="E213" t="inlineStr">
        <is>
          <t>LINKÖPING</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52125-2022</t>
        </is>
      </c>
      <c r="B214" s="1" t="n">
        <v>44873</v>
      </c>
      <c r="C214" s="1" t="n">
        <v>45933</v>
      </c>
      <c r="D214" t="inlineStr">
        <is>
          <t>ÖSTERGÖTLANDS LÄN</t>
        </is>
      </c>
      <c r="E214" t="inlineStr">
        <is>
          <t>LINKÖPING</t>
        </is>
      </c>
      <c r="F214" t="inlineStr">
        <is>
          <t>Övriga Aktiebolag</t>
        </is>
      </c>
      <c r="G214" t="n">
        <v>0.7</v>
      </c>
      <c r="H214" t="n">
        <v>0</v>
      </c>
      <c r="I214" t="n">
        <v>0</v>
      </c>
      <c r="J214" t="n">
        <v>0</v>
      </c>
      <c r="K214" t="n">
        <v>0</v>
      </c>
      <c r="L214" t="n">
        <v>0</v>
      </c>
      <c r="M214" t="n">
        <v>0</v>
      </c>
      <c r="N214" t="n">
        <v>0</v>
      </c>
      <c r="O214" t="n">
        <v>0</v>
      </c>
      <c r="P214" t="n">
        <v>0</v>
      </c>
      <c r="Q214" t="n">
        <v>0</v>
      </c>
      <c r="R214" s="2" t="inlineStr"/>
    </row>
    <row r="215" ht="15" customHeight="1">
      <c r="A215" t="inlineStr">
        <is>
          <t>A 1627-2023</t>
        </is>
      </c>
      <c r="B215" s="1" t="n">
        <v>44937</v>
      </c>
      <c r="C215" s="1" t="n">
        <v>45933</v>
      </c>
      <c r="D215" t="inlineStr">
        <is>
          <t>ÖSTERGÖTLANDS LÄN</t>
        </is>
      </c>
      <c r="E215" t="inlineStr">
        <is>
          <t>LINKÖPING</t>
        </is>
      </c>
      <c r="G215" t="n">
        <v>10.8</v>
      </c>
      <c r="H215" t="n">
        <v>0</v>
      </c>
      <c r="I215" t="n">
        <v>0</v>
      </c>
      <c r="J215" t="n">
        <v>0</v>
      </c>
      <c r="K215" t="n">
        <v>0</v>
      </c>
      <c r="L215" t="n">
        <v>0</v>
      </c>
      <c r="M215" t="n">
        <v>0</v>
      </c>
      <c r="N215" t="n">
        <v>0</v>
      </c>
      <c r="O215" t="n">
        <v>0</v>
      </c>
      <c r="P215" t="n">
        <v>0</v>
      </c>
      <c r="Q215" t="n">
        <v>0</v>
      </c>
      <c r="R215" s="2" t="inlineStr"/>
    </row>
    <row r="216" ht="15" customHeight="1">
      <c r="A216" t="inlineStr">
        <is>
          <t>A 32255-2021</t>
        </is>
      </c>
      <c r="B216" s="1" t="n">
        <v>44371.45949074074</v>
      </c>
      <c r="C216" s="1" t="n">
        <v>45933</v>
      </c>
      <c r="D216" t="inlineStr">
        <is>
          <t>ÖSTERGÖTLANDS LÄN</t>
        </is>
      </c>
      <c r="E216" t="inlineStr">
        <is>
          <t>LINKÖPING</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1084-2023</t>
        </is>
      </c>
      <c r="B217" s="1" t="n">
        <v>44929</v>
      </c>
      <c r="C217" s="1" t="n">
        <v>45933</v>
      </c>
      <c r="D217" t="inlineStr">
        <is>
          <t>ÖSTERGÖTLANDS LÄN</t>
        </is>
      </c>
      <c r="E217" t="inlineStr">
        <is>
          <t>LINKÖPING</t>
        </is>
      </c>
      <c r="G217" t="n">
        <v>10.4</v>
      </c>
      <c r="H217" t="n">
        <v>0</v>
      </c>
      <c r="I217" t="n">
        <v>0</v>
      </c>
      <c r="J217" t="n">
        <v>0</v>
      </c>
      <c r="K217" t="n">
        <v>0</v>
      </c>
      <c r="L217" t="n">
        <v>0</v>
      </c>
      <c r="M217" t="n">
        <v>0</v>
      </c>
      <c r="N217" t="n">
        <v>0</v>
      </c>
      <c r="O217" t="n">
        <v>0</v>
      </c>
      <c r="P217" t="n">
        <v>0</v>
      </c>
      <c r="Q217" t="n">
        <v>0</v>
      </c>
      <c r="R217" s="2" t="inlineStr"/>
    </row>
    <row r="218" ht="15" customHeight="1">
      <c r="A218" t="inlineStr">
        <is>
          <t>A 16665-2023</t>
        </is>
      </c>
      <c r="B218" s="1" t="n">
        <v>45030.5583912037</v>
      </c>
      <c r="C218" s="1" t="n">
        <v>45933</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60860-2024</t>
        </is>
      </c>
      <c r="B219" s="1" t="n">
        <v>45644.6893287037</v>
      </c>
      <c r="C219" s="1" t="n">
        <v>45933</v>
      </c>
      <c r="D219" t="inlineStr">
        <is>
          <t>ÖSTERGÖTLANDS LÄN</t>
        </is>
      </c>
      <c r="E219" t="inlineStr">
        <is>
          <t>LINKÖPING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31640-2023</t>
        </is>
      </c>
      <c r="B220" s="1" t="n">
        <v>45117</v>
      </c>
      <c r="C220" s="1" t="n">
        <v>45933</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16213-2025</t>
        </is>
      </c>
      <c r="B221" s="1" t="n">
        <v>45750.62740740741</v>
      </c>
      <c r="C221" s="1" t="n">
        <v>45933</v>
      </c>
      <c r="D221" t="inlineStr">
        <is>
          <t>ÖSTERGÖTLANDS LÄN</t>
        </is>
      </c>
      <c r="E221" t="inlineStr">
        <is>
          <t>LINKÖPING</t>
        </is>
      </c>
      <c r="G221" t="n">
        <v>3.4</v>
      </c>
      <c r="H221" t="n">
        <v>0</v>
      </c>
      <c r="I221" t="n">
        <v>0</v>
      </c>
      <c r="J221" t="n">
        <v>0</v>
      </c>
      <c r="K221" t="n">
        <v>0</v>
      </c>
      <c r="L221" t="n">
        <v>0</v>
      </c>
      <c r="M221" t="n">
        <v>0</v>
      </c>
      <c r="N221" t="n">
        <v>0</v>
      </c>
      <c r="O221" t="n">
        <v>0</v>
      </c>
      <c r="P221" t="n">
        <v>0</v>
      </c>
      <c r="Q221" t="n">
        <v>0</v>
      </c>
      <c r="R221" s="2" t="inlineStr"/>
    </row>
    <row r="222" ht="15" customHeight="1">
      <c r="A222" t="inlineStr">
        <is>
          <t>A 34872-2023</t>
        </is>
      </c>
      <c r="B222" s="1" t="n">
        <v>45140</v>
      </c>
      <c r="C222" s="1" t="n">
        <v>45933</v>
      </c>
      <c r="D222" t="inlineStr">
        <is>
          <t>ÖSTERGÖTLANDS LÄN</t>
        </is>
      </c>
      <c r="E222" t="inlineStr">
        <is>
          <t>LINKÖPING</t>
        </is>
      </c>
      <c r="G222" t="n">
        <v>4.8</v>
      </c>
      <c r="H222" t="n">
        <v>0</v>
      </c>
      <c r="I222" t="n">
        <v>0</v>
      </c>
      <c r="J222" t="n">
        <v>0</v>
      </c>
      <c r="K222" t="n">
        <v>0</v>
      </c>
      <c r="L222" t="n">
        <v>0</v>
      </c>
      <c r="M222" t="n">
        <v>0</v>
      </c>
      <c r="N222" t="n">
        <v>0</v>
      </c>
      <c r="O222" t="n">
        <v>0</v>
      </c>
      <c r="P222" t="n">
        <v>0</v>
      </c>
      <c r="Q222" t="n">
        <v>0</v>
      </c>
      <c r="R222" s="2" t="inlineStr"/>
    </row>
    <row r="223" ht="15" customHeight="1">
      <c r="A223" t="inlineStr">
        <is>
          <t>A 33000-2023</t>
        </is>
      </c>
      <c r="B223" s="1" t="n">
        <v>45125</v>
      </c>
      <c r="C223" s="1" t="n">
        <v>45933</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3042-2024</t>
        </is>
      </c>
      <c r="B224" s="1" t="n">
        <v>45316.35028935185</v>
      </c>
      <c r="C224" s="1" t="n">
        <v>45933</v>
      </c>
      <c r="D224" t="inlineStr">
        <is>
          <t>ÖSTERGÖTLANDS LÄN</t>
        </is>
      </c>
      <c r="E224" t="inlineStr">
        <is>
          <t>LINKÖPING</t>
        </is>
      </c>
      <c r="G224" t="n">
        <v>3.1</v>
      </c>
      <c r="H224" t="n">
        <v>0</v>
      </c>
      <c r="I224" t="n">
        <v>0</v>
      </c>
      <c r="J224" t="n">
        <v>0</v>
      </c>
      <c r="K224" t="n">
        <v>0</v>
      </c>
      <c r="L224" t="n">
        <v>0</v>
      </c>
      <c r="M224" t="n">
        <v>0</v>
      </c>
      <c r="N224" t="n">
        <v>0</v>
      </c>
      <c r="O224" t="n">
        <v>0</v>
      </c>
      <c r="P224" t="n">
        <v>0</v>
      </c>
      <c r="Q224" t="n">
        <v>0</v>
      </c>
      <c r="R224" s="2" t="inlineStr"/>
    </row>
    <row r="225" ht="15" customHeight="1">
      <c r="A225" t="inlineStr">
        <is>
          <t>A 29859-2024</t>
        </is>
      </c>
      <c r="B225" s="1" t="n">
        <v>45485.6846412037</v>
      </c>
      <c r="C225" s="1" t="n">
        <v>45933</v>
      </c>
      <c r="D225" t="inlineStr">
        <is>
          <t>ÖSTERGÖTLANDS LÄN</t>
        </is>
      </c>
      <c r="E225" t="inlineStr">
        <is>
          <t>LINKÖPING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51571-2024</t>
        </is>
      </c>
      <c r="B226" s="1" t="n">
        <v>45604</v>
      </c>
      <c r="C226" s="1" t="n">
        <v>45933</v>
      </c>
      <c r="D226" t="inlineStr">
        <is>
          <t>ÖSTERGÖTLANDS LÄN</t>
        </is>
      </c>
      <c r="E226" t="inlineStr">
        <is>
          <t>LINKÖPING</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223-2024</t>
        </is>
      </c>
      <c r="B227" s="1" t="n">
        <v>45294.72739583333</v>
      </c>
      <c r="C227" s="1" t="n">
        <v>45933</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227-2024</t>
        </is>
      </c>
      <c r="B228" s="1" t="n">
        <v>45294.73603009259</v>
      </c>
      <c r="C228" s="1" t="n">
        <v>45933</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2997-2025</t>
        </is>
      </c>
      <c r="B229" s="1" t="n">
        <v>45678.54631944445</v>
      </c>
      <c r="C229" s="1" t="n">
        <v>45933</v>
      </c>
      <c r="D229" t="inlineStr">
        <is>
          <t>ÖSTERGÖTLANDS LÄN</t>
        </is>
      </c>
      <c r="E229" t="inlineStr">
        <is>
          <t>LINKÖPING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31534-2023</t>
        </is>
      </c>
      <c r="B230" s="1" t="n">
        <v>45116</v>
      </c>
      <c r="C230" s="1" t="n">
        <v>45933</v>
      </c>
      <c r="D230" t="inlineStr">
        <is>
          <t>ÖSTERGÖTLANDS LÄN</t>
        </is>
      </c>
      <c r="E230" t="inlineStr">
        <is>
          <t>LINKÖPING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38235-2022</t>
        </is>
      </c>
      <c r="B231" s="1" t="n">
        <v>44812</v>
      </c>
      <c r="C231" s="1" t="n">
        <v>45933</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26803-2024</t>
        </is>
      </c>
      <c r="B232" s="1" t="n">
        <v>45470</v>
      </c>
      <c r="C232" s="1" t="n">
        <v>45933</v>
      </c>
      <c r="D232" t="inlineStr">
        <is>
          <t>ÖSTERGÖTLANDS LÄN</t>
        </is>
      </c>
      <c r="E232" t="inlineStr">
        <is>
          <t>LINKÖPING</t>
        </is>
      </c>
      <c r="F232" t="inlineStr">
        <is>
          <t>Allmännings- och besparingsskogar</t>
        </is>
      </c>
      <c r="G232" t="n">
        <v>4.5</v>
      </c>
      <c r="H232" t="n">
        <v>0</v>
      </c>
      <c r="I232" t="n">
        <v>0</v>
      </c>
      <c r="J232" t="n">
        <v>0</v>
      </c>
      <c r="K232" t="n">
        <v>0</v>
      </c>
      <c r="L232" t="n">
        <v>0</v>
      </c>
      <c r="M232" t="n">
        <v>0</v>
      </c>
      <c r="N232" t="n">
        <v>0</v>
      </c>
      <c r="O232" t="n">
        <v>0</v>
      </c>
      <c r="P232" t="n">
        <v>0</v>
      </c>
      <c r="Q232" t="n">
        <v>0</v>
      </c>
      <c r="R232" s="2" t="inlineStr"/>
    </row>
    <row r="233" ht="15" customHeight="1">
      <c r="A233" t="inlineStr">
        <is>
          <t>A 45806-2024</t>
        </is>
      </c>
      <c r="B233" s="1" t="n">
        <v>45579.69619212963</v>
      </c>
      <c r="C233" s="1" t="n">
        <v>45933</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10253-2022</t>
        </is>
      </c>
      <c r="B234" s="1" t="n">
        <v>44622</v>
      </c>
      <c r="C234" s="1" t="n">
        <v>45933</v>
      </c>
      <c r="D234" t="inlineStr">
        <is>
          <t>ÖSTERGÖTLANDS LÄN</t>
        </is>
      </c>
      <c r="E234" t="inlineStr">
        <is>
          <t>LINKÖPING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56917-2022</t>
        </is>
      </c>
      <c r="B235" s="1" t="n">
        <v>44894</v>
      </c>
      <c r="C235" s="1" t="n">
        <v>45933</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37154-2023</t>
        </is>
      </c>
      <c r="B236" s="1" t="n">
        <v>45155</v>
      </c>
      <c r="C236" s="1" t="n">
        <v>45933</v>
      </c>
      <c r="D236" t="inlineStr">
        <is>
          <t>ÖSTERGÖTLANDS LÄN</t>
        </is>
      </c>
      <c r="E236" t="inlineStr">
        <is>
          <t>LINKÖPING</t>
        </is>
      </c>
      <c r="G236" t="n">
        <v>1.7</v>
      </c>
      <c r="H236" t="n">
        <v>0</v>
      </c>
      <c r="I236" t="n">
        <v>0</v>
      </c>
      <c r="J236" t="n">
        <v>0</v>
      </c>
      <c r="K236" t="n">
        <v>0</v>
      </c>
      <c r="L236" t="n">
        <v>0</v>
      </c>
      <c r="M236" t="n">
        <v>0</v>
      </c>
      <c r="N236" t="n">
        <v>0</v>
      </c>
      <c r="O236" t="n">
        <v>0</v>
      </c>
      <c r="P236" t="n">
        <v>0</v>
      </c>
      <c r="Q236" t="n">
        <v>0</v>
      </c>
      <c r="R236" s="2" t="inlineStr"/>
    </row>
    <row r="237" ht="15" customHeight="1">
      <c r="A237" t="inlineStr">
        <is>
          <t>A 34880-2022</t>
        </is>
      </c>
      <c r="B237" s="1" t="n">
        <v>44796</v>
      </c>
      <c r="C237" s="1" t="n">
        <v>45933</v>
      </c>
      <c r="D237" t="inlineStr">
        <is>
          <t>ÖSTERGÖTLANDS LÄN</t>
        </is>
      </c>
      <c r="E237" t="inlineStr">
        <is>
          <t>LINKÖPING</t>
        </is>
      </c>
      <c r="F237" t="inlineStr">
        <is>
          <t>Övriga statliga verk och myndigheter</t>
        </is>
      </c>
      <c r="G237" t="n">
        <v>4</v>
      </c>
      <c r="H237" t="n">
        <v>0</v>
      </c>
      <c r="I237" t="n">
        <v>0</v>
      </c>
      <c r="J237" t="n">
        <v>0</v>
      </c>
      <c r="K237" t="n">
        <v>0</v>
      </c>
      <c r="L237" t="n">
        <v>0</v>
      </c>
      <c r="M237" t="n">
        <v>0</v>
      </c>
      <c r="N237" t="n">
        <v>0</v>
      </c>
      <c r="O237" t="n">
        <v>0</v>
      </c>
      <c r="P237" t="n">
        <v>0</v>
      </c>
      <c r="Q237" t="n">
        <v>0</v>
      </c>
      <c r="R237" s="2" t="inlineStr"/>
    </row>
    <row r="238" ht="15" customHeight="1">
      <c r="A238" t="inlineStr">
        <is>
          <t>A 48042-2022</t>
        </is>
      </c>
      <c r="B238" s="1" t="n">
        <v>44855</v>
      </c>
      <c r="C238" s="1" t="n">
        <v>45933</v>
      </c>
      <c r="D238" t="inlineStr">
        <is>
          <t>ÖSTERGÖTLANDS LÄN</t>
        </is>
      </c>
      <c r="E238" t="inlineStr">
        <is>
          <t>LINKÖPING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11330-2023</t>
        </is>
      </c>
      <c r="B239" s="1" t="n">
        <v>44993.24648148148</v>
      </c>
      <c r="C239" s="1" t="n">
        <v>45933</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1265-2023</t>
        </is>
      </c>
      <c r="B240" s="1" t="n">
        <v>44936</v>
      </c>
      <c r="C240" s="1" t="n">
        <v>45933</v>
      </c>
      <c r="D240" t="inlineStr">
        <is>
          <t>ÖSTERGÖTLANDS LÄN</t>
        </is>
      </c>
      <c r="E240" t="inlineStr">
        <is>
          <t>LINKÖPING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1362-2023</t>
        </is>
      </c>
      <c r="B241" s="1" t="n">
        <v>44931</v>
      </c>
      <c r="C241" s="1" t="n">
        <v>45933</v>
      </c>
      <c r="D241" t="inlineStr">
        <is>
          <t>ÖSTERGÖTLANDS LÄN</t>
        </is>
      </c>
      <c r="E241" t="inlineStr">
        <is>
          <t>LINKÖPING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42000-2023</t>
        </is>
      </c>
      <c r="B242" s="1" t="n">
        <v>45177</v>
      </c>
      <c r="C242" s="1" t="n">
        <v>45933</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54034-2022</t>
        </is>
      </c>
      <c r="B243" s="1" t="n">
        <v>44881</v>
      </c>
      <c r="C243" s="1" t="n">
        <v>45933</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55493-2021</t>
        </is>
      </c>
      <c r="B244" s="1" t="n">
        <v>44475.61988425926</v>
      </c>
      <c r="C244" s="1" t="n">
        <v>45933</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50401-2020</t>
        </is>
      </c>
      <c r="B245" s="1" t="n">
        <v>44110</v>
      </c>
      <c r="C245" s="1" t="n">
        <v>45933</v>
      </c>
      <c r="D245" t="inlineStr">
        <is>
          <t>ÖSTERGÖTLANDS LÄN</t>
        </is>
      </c>
      <c r="E245" t="inlineStr">
        <is>
          <t>LINKÖPING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6054-2022</t>
        </is>
      </c>
      <c r="B246" s="1" t="n">
        <v>44599.53623842593</v>
      </c>
      <c r="C246" s="1" t="n">
        <v>45933</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25119-2023</t>
        </is>
      </c>
      <c r="B247" s="1" t="n">
        <v>45086.42326388889</v>
      </c>
      <c r="C247" s="1" t="n">
        <v>45933</v>
      </c>
      <c r="D247" t="inlineStr">
        <is>
          <t>ÖSTERGÖTLANDS LÄN</t>
        </is>
      </c>
      <c r="E247" t="inlineStr">
        <is>
          <t>LINKÖPING</t>
        </is>
      </c>
      <c r="G247" t="n">
        <v>3.2</v>
      </c>
      <c r="H247" t="n">
        <v>0</v>
      </c>
      <c r="I247" t="n">
        <v>0</v>
      </c>
      <c r="J247" t="n">
        <v>0</v>
      </c>
      <c r="K247" t="n">
        <v>0</v>
      </c>
      <c r="L247" t="n">
        <v>0</v>
      </c>
      <c r="M247" t="n">
        <v>0</v>
      </c>
      <c r="N247" t="n">
        <v>0</v>
      </c>
      <c r="O247" t="n">
        <v>0</v>
      </c>
      <c r="P247" t="n">
        <v>0</v>
      </c>
      <c r="Q247" t="n">
        <v>0</v>
      </c>
      <c r="R247" s="2" t="inlineStr"/>
    </row>
    <row r="248" ht="15" customHeight="1">
      <c r="A248" t="inlineStr">
        <is>
          <t>A 10407-2025</t>
        </is>
      </c>
      <c r="B248" s="1" t="n">
        <v>45720.62863425926</v>
      </c>
      <c r="C248" s="1" t="n">
        <v>45933</v>
      </c>
      <c r="D248" t="inlineStr">
        <is>
          <t>ÖSTERGÖTLANDS LÄN</t>
        </is>
      </c>
      <c r="E248" t="inlineStr">
        <is>
          <t>LINKÖPING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28200-2025</t>
        </is>
      </c>
      <c r="B249" s="1" t="n">
        <v>45818.4428125</v>
      </c>
      <c r="C249" s="1" t="n">
        <v>45933</v>
      </c>
      <c r="D249" t="inlineStr">
        <is>
          <t>ÖSTERGÖTLANDS LÄN</t>
        </is>
      </c>
      <c r="E249" t="inlineStr">
        <is>
          <t>LINKÖPING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39021-2021</t>
        </is>
      </c>
      <c r="B250" s="1" t="n">
        <v>44412</v>
      </c>
      <c r="C250" s="1" t="n">
        <v>45933</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32602-2022</t>
        </is>
      </c>
      <c r="B251" s="1" t="n">
        <v>44783.43192129629</v>
      </c>
      <c r="C251" s="1" t="n">
        <v>45933</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55265-2020</t>
        </is>
      </c>
      <c r="B252" s="1" t="n">
        <v>44130</v>
      </c>
      <c r="C252" s="1" t="n">
        <v>45933</v>
      </c>
      <c r="D252" t="inlineStr">
        <is>
          <t>ÖSTERGÖTLANDS LÄN</t>
        </is>
      </c>
      <c r="E252" t="inlineStr">
        <is>
          <t>LINKÖPING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4456-2024</t>
        </is>
      </c>
      <c r="B253" s="1" t="n">
        <v>45327.52847222222</v>
      </c>
      <c r="C253" s="1" t="n">
        <v>45933</v>
      </c>
      <c r="D253" t="inlineStr">
        <is>
          <t>ÖSTERGÖTLANDS LÄN</t>
        </is>
      </c>
      <c r="E253" t="inlineStr">
        <is>
          <t>LINKÖPING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27950-2025</t>
        </is>
      </c>
      <c r="B254" s="1" t="n">
        <v>45817.52960648148</v>
      </c>
      <c r="C254" s="1" t="n">
        <v>45933</v>
      </c>
      <c r="D254" t="inlineStr">
        <is>
          <t>ÖSTERGÖTLANDS LÄN</t>
        </is>
      </c>
      <c r="E254" t="inlineStr">
        <is>
          <t>LINKÖPING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12035-2025</t>
        </is>
      </c>
      <c r="B255" s="1" t="n">
        <v>45728.64946759259</v>
      </c>
      <c r="C255" s="1" t="n">
        <v>45933</v>
      </c>
      <c r="D255" t="inlineStr">
        <is>
          <t>ÖSTERGÖTLANDS LÄN</t>
        </is>
      </c>
      <c r="E255" t="inlineStr">
        <is>
          <t>LINKÖPING</t>
        </is>
      </c>
      <c r="G255" t="n">
        <v>3.7</v>
      </c>
      <c r="H255" t="n">
        <v>0</v>
      </c>
      <c r="I255" t="n">
        <v>0</v>
      </c>
      <c r="J255" t="n">
        <v>0</v>
      </c>
      <c r="K255" t="n">
        <v>0</v>
      </c>
      <c r="L255" t="n">
        <v>0</v>
      </c>
      <c r="M255" t="n">
        <v>0</v>
      </c>
      <c r="N255" t="n">
        <v>0</v>
      </c>
      <c r="O255" t="n">
        <v>0</v>
      </c>
      <c r="P255" t="n">
        <v>0</v>
      </c>
      <c r="Q255" t="n">
        <v>0</v>
      </c>
      <c r="R255" s="2" t="inlineStr"/>
    </row>
    <row r="256" ht="15" customHeight="1">
      <c r="A256" t="inlineStr">
        <is>
          <t>A 58114-2021</t>
        </is>
      </c>
      <c r="B256" s="1" t="n">
        <v>44487</v>
      </c>
      <c r="C256" s="1" t="n">
        <v>45933</v>
      </c>
      <c r="D256" t="inlineStr">
        <is>
          <t>ÖSTERGÖTLANDS LÄN</t>
        </is>
      </c>
      <c r="E256" t="inlineStr">
        <is>
          <t>LINKÖPING</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27797-2025</t>
        </is>
      </c>
      <c r="B257" s="1" t="n">
        <v>45816.80521990741</v>
      </c>
      <c r="C257" s="1" t="n">
        <v>45933</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27798-2025</t>
        </is>
      </c>
      <c r="B258" s="1" t="n">
        <v>45816.81532407407</v>
      </c>
      <c r="C258" s="1" t="n">
        <v>45933</v>
      </c>
      <c r="D258" t="inlineStr">
        <is>
          <t>ÖSTERGÖTLANDS LÄN</t>
        </is>
      </c>
      <c r="E258" t="inlineStr">
        <is>
          <t>LINKÖPING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28209-2025</t>
        </is>
      </c>
      <c r="B259" s="1" t="n">
        <v>45818.45112268518</v>
      </c>
      <c r="C259" s="1" t="n">
        <v>45933</v>
      </c>
      <c r="D259" t="inlineStr">
        <is>
          <t>ÖSTERGÖTLANDS LÄN</t>
        </is>
      </c>
      <c r="E259" t="inlineStr">
        <is>
          <t>LINKÖPING</t>
        </is>
      </c>
      <c r="G259" t="n">
        <v>4.2</v>
      </c>
      <c r="H259" t="n">
        <v>0</v>
      </c>
      <c r="I259" t="n">
        <v>0</v>
      </c>
      <c r="J259" t="n">
        <v>0</v>
      </c>
      <c r="K259" t="n">
        <v>0</v>
      </c>
      <c r="L259" t="n">
        <v>0</v>
      </c>
      <c r="M259" t="n">
        <v>0</v>
      </c>
      <c r="N259" t="n">
        <v>0</v>
      </c>
      <c r="O259" t="n">
        <v>0</v>
      </c>
      <c r="P259" t="n">
        <v>0</v>
      </c>
      <c r="Q259" t="n">
        <v>0</v>
      </c>
      <c r="R259" s="2" t="inlineStr"/>
    </row>
    <row r="260" ht="15" customHeight="1">
      <c r="A260" t="inlineStr">
        <is>
          <t>A 28204-2025</t>
        </is>
      </c>
      <c r="B260" s="1" t="n">
        <v>45818.4477662037</v>
      </c>
      <c r="C260" s="1" t="n">
        <v>45933</v>
      </c>
      <c r="D260" t="inlineStr">
        <is>
          <t>ÖSTERGÖTLANDS LÄN</t>
        </is>
      </c>
      <c r="E260" t="inlineStr">
        <is>
          <t>LINKÖPING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51484-2023</t>
        </is>
      </c>
      <c r="B261" s="1" t="n">
        <v>45222</v>
      </c>
      <c r="C261" s="1" t="n">
        <v>45933</v>
      </c>
      <c r="D261" t="inlineStr">
        <is>
          <t>ÖSTERGÖTLANDS LÄN</t>
        </is>
      </c>
      <c r="E261" t="inlineStr">
        <is>
          <t>LINKÖPING</t>
        </is>
      </c>
      <c r="F261" t="inlineStr">
        <is>
          <t>Övriga Aktiebolag</t>
        </is>
      </c>
      <c r="G261" t="n">
        <v>7.7</v>
      </c>
      <c r="H261" t="n">
        <v>0</v>
      </c>
      <c r="I261" t="n">
        <v>0</v>
      </c>
      <c r="J261" t="n">
        <v>0</v>
      </c>
      <c r="K261" t="n">
        <v>0</v>
      </c>
      <c r="L261" t="n">
        <v>0</v>
      </c>
      <c r="M261" t="n">
        <v>0</v>
      </c>
      <c r="N261" t="n">
        <v>0</v>
      </c>
      <c r="O261" t="n">
        <v>0</v>
      </c>
      <c r="P261" t="n">
        <v>0</v>
      </c>
      <c r="Q261" t="n">
        <v>0</v>
      </c>
      <c r="R261" s="2" t="inlineStr"/>
    </row>
    <row r="262" ht="15" customHeight="1">
      <c r="A262" t="inlineStr">
        <is>
          <t>A 52892-2024</t>
        </is>
      </c>
      <c r="B262" s="1" t="n">
        <v>45610</v>
      </c>
      <c r="C262" s="1" t="n">
        <v>45933</v>
      </c>
      <c r="D262" t="inlineStr">
        <is>
          <t>ÖSTERGÖTLANDS LÄN</t>
        </is>
      </c>
      <c r="E262" t="inlineStr">
        <is>
          <t>LINKÖPING</t>
        </is>
      </c>
      <c r="G262" t="n">
        <v>4.2</v>
      </c>
      <c r="H262" t="n">
        <v>0</v>
      </c>
      <c r="I262" t="n">
        <v>0</v>
      </c>
      <c r="J262" t="n">
        <v>0</v>
      </c>
      <c r="K262" t="n">
        <v>0</v>
      </c>
      <c r="L262" t="n">
        <v>0</v>
      </c>
      <c r="M262" t="n">
        <v>0</v>
      </c>
      <c r="N262" t="n">
        <v>0</v>
      </c>
      <c r="O262" t="n">
        <v>0</v>
      </c>
      <c r="P262" t="n">
        <v>0</v>
      </c>
      <c r="Q262" t="n">
        <v>0</v>
      </c>
      <c r="R262" s="2" t="inlineStr"/>
    </row>
    <row r="263" ht="15" customHeight="1">
      <c r="A263" t="inlineStr">
        <is>
          <t>A 28398-2025</t>
        </is>
      </c>
      <c r="B263" s="1" t="n">
        <v>45819.34208333334</v>
      </c>
      <c r="C263" s="1" t="n">
        <v>45933</v>
      </c>
      <c r="D263" t="inlineStr">
        <is>
          <t>ÖSTERGÖTLANDS LÄN</t>
        </is>
      </c>
      <c r="E263" t="inlineStr">
        <is>
          <t>LINKÖPING</t>
        </is>
      </c>
      <c r="F263" t="inlineStr">
        <is>
          <t>Sveaskog</t>
        </is>
      </c>
      <c r="G263" t="n">
        <v>7.9</v>
      </c>
      <c r="H263" t="n">
        <v>0</v>
      </c>
      <c r="I263" t="n">
        <v>0</v>
      </c>
      <c r="J263" t="n">
        <v>0</v>
      </c>
      <c r="K263" t="n">
        <v>0</v>
      </c>
      <c r="L263" t="n">
        <v>0</v>
      </c>
      <c r="M263" t="n">
        <v>0</v>
      </c>
      <c r="N263" t="n">
        <v>0</v>
      </c>
      <c r="O263" t="n">
        <v>0</v>
      </c>
      <c r="P263" t="n">
        <v>0</v>
      </c>
      <c r="Q263" t="n">
        <v>0</v>
      </c>
      <c r="R263" s="2" t="inlineStr"/>
    </row>
    <row r="264" ht="15" customHeight="1">
      <c r="A264" t="inlineStr">
        <is>
          <t>A 3008-2023</t>
        </is>
      </c>
      <c r="B264" s="1" t="n">
        <v>44945.79784722222</v>
      </c>
      <c r="C264" s="1" t="n">
        <v>45933</v>
      </c>
      <c r="D264" t="inlineStr">
        <is>
          <t>ÖSTERGÖTLANDS LÄN</t>
        </is>
      </c>
      <c r="E264" t="inlineStr">
        <is>
          <t>LINKÖPING</t>
        </is>
      </c>
      <c r="G264" t="n">
        <v>19.3</v>
      </c>
      <c r="H264" t="n">
        <v>0</v>
      </c>
      <c r="I264" t="n">
        <v>0</v>
      </c>
      <c r="J264" t="n">
        <v>0</v>
      </c>
      <c r="K264" t="n">
        <v>0</v>
      </c>
      <c r="L264" t="n">
        <v>0</v>
      </c>
      <c r="M264" t="n">
        <v>0</v>
      </c>
      <c r="N264" t="n">
        <v>0</v>
      </c>
      <c r="O264" t="n">
        <v>0</v>
      </c>
      <c r="P264" t="n">
        <v>0</v>
      </c>
      <c r="Q264" t="n">
        <v>0</v>
      </c>
      <c r="R264" s="2" t="inlineStr"/>
    </row>
    <row r="265" ht="15" customHeight="1">
      <c r="A265" t="inlineStr">
        <is>
          <t>A 28416-2025</t>
        </is>
      </c>
      <c r="B265" s="1" t="n">
        <v>45819.35346064815</v>
      </c>
      <c r="C265" s="1" t="n">
        <v>45933</v>
      </c>
      <c r="D265" t="inlineStr">
        <is>
          <t>ÖSTERGÖTLANDS LÄN</t>
        </is>
      </c>
      <c r="E265" t="inlineStr">
        <is>
          <t>LINKÖPING</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9434-2024</t>
        </is>
      </c>
      <c r="B266" s="1" t="n">
        <v>45359</v>
      </c>
      <c r="C266" s="1" t="n">
        <v>45933</v>
      </c>
      <c r="D266" t="inlineStr">
        <is>
          <t>ÖSTERGÖTLANDS LÄN</t>
        </is>
      </c>
      <c r="E266" t="inlineStr">
        <is>
          <t>LINKÖPING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54491-2020</t>
        </is>
      </c>
      <c r="B267" s="1" t="n">
        <v>44126.64</v>
      </c>
      <c r="C267" s="1" t="n">
        <v>45933</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55736-2022</t>
        </is>
      </c>
      <c r="B268" s="1" t="n">
        <v>44888</v>
      </c>
      <c r="C268" s="1" t="n">
        <v>45933</v>
      </c>
      <c r="D268" t="inlineStr">
        <is>
          <t>ÖSTERGÖTLANDS LÄN</t>
        </is>
      </c>
      <c r="E268" t="inlineStr">
        <is>
          <t>LINKÖPING</t>
        </is>
      </c>
      <c r="G268" t="n">
        <v>5.5</v>
      </c>
      <c r="H268" t="n">
        <v>0</v>
      </c>
      <c r="I268" t="n">
        <v>0</v>
      </c>
      <c r="J268" t="n">
        <v>0</v>
      </c>
      <c r="K268" t="n">
        <v>0</v>
      </c>
      <c r="L268" t="n">
        <v>0</v>
      </c>
      <c r="M268" t="n">
        <v>0</v>
      </c>
      <c r="N268" t="n">
        <v>0</v>
      </c>
      <c r="O268" t="n">
        <v>0</v>
      </c>
      <c r="P268" t="n">
        <v>0</v>
      </c>
      <c r="Q268" t="n">
        <v>0</v>
      </c>
      <c r="R268" s="2" t="inlineStr"/>
    </row>
    <row r="269" ht="15" customHeight="1">
      <c r="A269" t="inlineStr">
        <is>
          <t>A 63678-2023</t>
        </is>
      </c>
      <c r="B269" s="1" t="n">
        <v>45275.64769675926</v>
      </c>
      <c r="C269" s="1" t="n">
        <v>45933</v>
      </c>
      <c r="D269" t="inlineStr">
        <is>
          <t>ÖSTERGÖTLANDS LÄN</t>
        </is>
      </c>
      <c r="E269" t="inlineStr">
        <is>
          <t>LINKÖPING</t>
        </is>
      </c>
      <c r="F269" t="inlineStr">
        <is>
          <t>Övriga Aktiebolag</t>
        </is>
      </c>
      <c r="G269" t="n">
        <v>0.4</v>
      </c>
      <c r="H269" t="n">
        <v>0</v>
      </c>
      <c r="I269" t="n">
        <v>0</v>
      </c>
      <c r="J269" t="n">
        <v>0</v>
      </c>
      <c r="K269" t="n">
        <v>0</v>
      </c>
      <c r="L269" t="n">
        <v>0</v>
      </c>
      <c r="M269" t="n">
        <v>0</v>
      </c>
      <c r="N269" t="n">
        <v>0</v>
      </c>
      <c r="O269" t="n">
        <v>0</v>
      </c>
      <c r="P269" t="n">
        <v>0</v>
      </c>
      <c r="Q269" t="n">
        <v>0</v>
      </c>
      <c r="R269" s="2" t="inlineStr"/>
    </row>
    <row r="270" ht="15" customHeight="1">
      <c r="A270" t="inlineStr">
        <is>
          <t>A 63688-2023</t>
        </is>
      </c>
      <c r="B270" s="1" t="n">
        <v>45275</v>
      </c>
      <c r="C270" s="1" t="n">
        <v>45933</v>
      </c>
      <c r="D270" t="inlineStr">
        <is>
          <t>ÖSTERGÖTLANDS LÄN</t>
        </is>
      </c>
      <c r="E270" t="inlineStr">
        <is>
          <t>LINKÖPING</t>
        </is>
      </c>
      <c r="F270" t="inlineStr">
        <is>
          <t>Övriga Aktiebolag</t>
        </is>
      </c>
      <c r="G270" t="n">
        <v>2.4</v>
      </c>
      <c r="H270" t="n">
        <v>0</v>
      </c>
      <c r="I270" t="n">
        <v>0</v>
      </c>
      <c r="J270" t="n">
        <v>0</v>
      </c>
      <c r="K270" t="n">
        <v>0</v>
      </c>
      <c r="L270" t="n">
        <v>0</v>
      </c>
      <c r="M270" t="n">
        <v>0</v>
      </c>
      <c r="N270" t="n">
        <v>0</v>
      </c>
      <c r="O270" t="n">
        <v>0</v>
      </c>
      <c r="P270" t="n">
        <v>0</v>
      </c>
      <c r="Q270" t="n">
        <v>0</v>
      </c>
      <c r="R270" s="2" t="inlineStr"/>
    </row>
    <row r="271" ht="15" customHeight="1">
      <c r="A271" t="inlineStr">
        <is>
          <t>A 63691-2023</t>
        </is>
      </c>
      <c r="B271" s="1" t="n">
        <v>45275</v>
      </c>
      <c r="C271" s="1" t="n">
        <v>45933</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34557-2022</t>
        </is>
      </c>
      <c r="B272" s="1" t="n">
        <v>44794.57074074074</v>
      </c>
      <c r="C272" s="1" t="n">
        <v>45933</v>
      </c>
      <c r="D272" t="inlineStr">
        <is>
          <t>ÖSTERGÖTLANDS LÄN</t>
        </is>
      </c>
      <c r="E272" t="inlineStr">
        <is>
          <t>LINKÖPING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29027-2025</t>
        </is>
      </c>
      <c r="B273" s="1" t="n">
        <v>45821.4375462963</v>
      </c>
      <c r="C273" s="1" t="n">
        <v>45933</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29393-2025</t>
        </is>
      </c>
      <c r="B274" s="1" t="n">
        <v>45824.6057175926</v>
      </c>
      <c r="C274" s="1" t="n">
        <v>45933</v>
      </c>
      <c r="D274" t="inlineStr">
        <is>
          <t>ÖSTERGÖTLANDS LÄN</t>
        </is>
      </c>
      <c r="E274" t="inlineStr">
        <is>
          <t>LINKÖPING</t>
        </is>
      </c>
      <c r="F274" t="inlineStr">
        <is>
          <t>Sveaskog</t>
        </is>
      </c>
      <c r="G274" t="n">
        <v>24.6</v>
      </c>
      <c r="H274" t="n">
        <v>0</v>
      </c>
      <c r="I274" t="n">
        <v>0</v>
      </c>
      <c r="J274" t="n">
        <v>0</v>
      </c>
      <c r="K274" t="n">
        <v>0</v>
      </c>
      <c r="L274" t="n">
        <v>0</v>
      </c>
      <c r="M274" t="n">
        <v>0</v>
      </c>
      <c r="N274" t="n">
        <v>0</v>
      </c>
      <c r="O274" t="n">
        <v>0</v>
      </c>
      <c r="P274" t="n">
        <v>0</v>
      </c>
      <c r="Q274" t="n">
        <v>0</v>
      </c>
      <c r="R274" s="2" t="inlineStr"/>
    </row>
    <row r="275" ht="15" customHeight="1">
      <c r="A275" t="inlineStr">
        <is>
          <t>A 13413-2023</t>
        </is>
      </c>
      <c r="B275" s="1" t="n">
        <v>45005.58341435185</v>
      </c>
      <c r="C275" s="1" t="n">
        <v>45933</v>
      </c>
      <c r="D275" t="inlineStr">
        <is>
          <t>ÖSTERGÖTLANDS LÄN</t>
        </is>
      </c>
      <c r="E275" t="inlineStr">
        <is>
          <t>LINKÖPING</t>
        </is>
      </c>
      <c r="G275" t="n">
        <v>2.4</v>
      </c>
      <c r="H275" t="n">
        <v>0</v>
      </c>
      <c r="I275" t="n">
        <v>0</v>
      </c>
      <c r="J275" t="n">
        <v>0</v>
      </c>
      <c r="K275" t="n">
        <v>0</v>
      </c>
      <c r="L275" t="n">
        <v>0</v>
      </c>
      <c r="M275" t="n">
        <v>0</v>
      </c>
      <c r="N275" t="n">
        <v>0</v>
      </c>
      <c r="O275" t="n">
        <v>0</v>
      </c>
      <c r="P275" t="n">
        <v>0</v>
      </c>
      <c r="Q275" t="n">
        <v>0</v>
      </c>
      <c r="R275" s="2" t="inlineStr"/>
    </row>
    <row r="276" ht="15" customHeight="1">
      <c r="A276" t="inlineStr">
        <is>
          <t>A 29411-2025</t>
        </is>
      </c>
      <c r="B276" s="1" t="n">
        <v>45824.6219212963</v>
      </c>
      <c r="C276" s="1" t="n">
        <v>45933</v>
      </c>
      <c r="D276" t="inlineStr">
        <is>
          <t>ÖSTERGÖTLANDS LÄN</t>
        </is>
      </c>
      <c r="E276" t="inlineStr">
        <is>
          <t>LINKÖPING</t>
        </is>
      </c>
      <c r="F276" t="inlineStr">
        <is>
          <t>Sveaskog</t>
        </is>
      </c>
      <c r="G276" t="n">
        <v>0.6</v>
      </c>
      <c r="H276" t="n">
        <v>0</v>
      </c>
      <c r="I276" t="n">
        <v>0</v>
      </c>
      <c r="J276" t="n">
        <v>0</v>
      </c>
      <c r="K276" t="n">
        <v>0</v>
      </c>
      <c r="L276" t="n">
        <v>0</v>
      </c>
      <c r="M276" t="n">
        <v>0</v>
      </c>
      <c r="N276" t="n">
        <v>0</v>
      </c>
      <c r="O276" t="n">
        <v>0</v>
      </c>
      <c r="P276" t="n">
        <v>0</v>
      </c>
      <c r="Q276" t="n">
        <v>0</v>
      </c>
      <c r="R276" s="2" t="inlineStr"/>
    </row>
    <row r="277" ht="15" customHeight="1">
      <c r="A277" t="inlineStr">
        <is>
          <t>A 17157-2024</t>
        </is>
      </c>
      <c r="B277" s="1" t="n">
        <v>45412.70567129629</v>
      </c>
      <c r="C277" s="1" t="n">
        <v>45933</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63528-2023</t>
        </is>
      </c>
      <c r="B278" s="1" t="n">
        <v>45274.94810185185</v>
      </c>
      <c r="C278" s="1" t="n">
        <v>45933</v>
      </c>
      <c r="D278" t="inlineStr">
        <is>
          <t>ÖSTERGÖTLANDS LÄN</t>
        </is>
      </c>
      <c r="E278" t="inlineStr">
        <is>
          <t>LINKÖPING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63638-2023</t>
        </is>
      </c>
      <c r="B279" s="1" t="n">
        <v>45275</v>
      </c>
      <c r="C279" s="1" t="n">
        <v>45933</v>
      </c>
      <c r="D279" t="inlineStr">
        <is>
          <t>ÖSTERGÖTLANDS LÄN</t>
        </is>
      </c>
      <c r="E279" t="inlineStr">
        <is>
          <t>LINKÖPING</t>
        </is>
      </c>
      <c r="F279" t="inlineStr">
        <is>
          <t>Övriga Aktiebolag</t>
        </is>
      </c>
      <c r="G279" t="n">
        <v>2.4</v>
      </c>
      <c r="H279" t="n">
        <v>0</v>
      </c>
      <c r="I279" t="n">
        <v>0</v>
      </c>
      <c r="J279" t="n">
        <v>0</v>
      </c>
      <c r="K279" t="n">
        <v>0</v>
      </c>
      <c r="L279" t="n">
        <v>0</v>
      </c>
      <c r="M279" t="n">
        <v>0</v>
      </c>
      <c r="N279" t="n">
        <v>0</v>
      </c>
      <c r="O279" t="n">
        <v>0</v>
      </c>
      <c r="P279" t="n">
        <v>0</v>
      </c>
      <c r="Q279" t="n">
        <v>0</v>
      </c>
      <c r="R279" s="2" t="inlineStr"/>
    </row>
    <row r="280" ht="15" customHeight="1">
      <c r="A280" t="inlineStr">
        <is>
          <t>A 63658-2023</t>
        </is>
      </c>
      <c r="B280" s="1" t="n">
        <v>45275</v>
      </c>
      <c r="C280" s="1" t="n">
        <v>45933</v>
      </c>
      <c r="D280" t="inlineStr">
        <is>
          <t>ÖSTERGÖTLANDS LÄN</t>
        </is>
      </c>
      <c r="E280" t="inlineStr">
        <is>
          <t>LINKÖPING</t>
        </is>
      </c>
      <c r="F280" t="inlineStr">
        <is>
          <t>Övriga Aktiebolag</t>
        </is>
      </c>
      <c r="G280" t="n">
        <v>1.5</v>
      </c>
      <c r="H280" t="n">
        <v>0</v>
      </c>
      <c r="I280" t="n">
        <v>0</v>
      </c>
      <c r="J280" t="n">
        <v>0</v>
      </c>
      <c r="K280" t="n">
        <v>0</v>
      </c>
      <c r="L280" t="n">
        <v>0</v>
      </c>
      <c r="M280" t="n">
        <v>0</v>
      </c>
      <c r="N280" t="n">
        <v>0</v>
      </c>
      <c r="O280" t="n">
        <v>0</v>
      </c>
      <c r="P280" t="n">
        <v>0</v>
      </c>
      <c r="Q280" t="n">
        <v>0</v>
      </c>
      <c r="R280" s="2" t="inlineStr"/>
    </row>
    <row r="281" ht="15" customHeight="1">
      <c r="A281" t="inlineStr">
        <is>
          <t>A 37683-2024</t>
        </is>
      </c>
      <c r="B281" s="1" t="n">
        <v>45541.59120370371</v>
      </c>
      <c r="C281" s="1" t="n">
        <v>45933</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7808-2022</t>
        </is>
      </c>
      <c r="B282" s="1" t="n">
        <v>44608</v>
      </c>
      <c r="C282" s="1" t="n">
        <v>45933</v>
      </c>
      <c r="D282" t="inlineStr">
        <is>
          <t>ÖSTERGÖTLANDS LÄN</t>
        </is>
      </c>
      <c r="E282" t="inlineStr">
        <is>
          <t>LINKÖPING</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30434-2024</t>
        </is>
      </c>
      <c r="B283" s="1" t="n">
        <v>45491.69811342593</v>
      </c>
      <c r="C283" s="1" t="n">
        <v>45933</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36336-2023</t>
        </is>
      </c>
      <c r="B284" s="1" t="n">
        <v>45152.45078703704</v>
      </c>
      <c r="C284" s="1" t="n">
        <v>45933</v>
      </c>
      <c r="D284" t="inlineStr">
        <is>
          <t>ÖSTERGÖTLANDS LÄN</t>
        </is>
      </c>
      <c r="E284" t="inlineStr">
        <is>
          <t>LINKÖPING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56623-2024</t>
        </is>
      </c>
      <c r="B285" s="1" t="n">
        <v>45625</v>
      </c>
      <c r="C285" s="1" t="n">
        <v>45933</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13689-2025</t>
        </is>
      </c>
      <c r="B286" s="1" t="n">
        <v>45737.31590277778</v>
      </c>
      <c r="C286" s="1" t="n">
        <v>45933</v>
      </c>
      <c r="D286" t="inlineStr">
        <is>
          <t>ÖSTERGÖTLANDS LÄN</t>
        </is>
      </c>
      <c r="E286" t="inlineStr">
        <is>
          <t>LINKÖPING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13696-2025</t>
        </is>
      </c>
      <c r="B287" s="1" t="n">
        <v>45737.32273148148</v>
      </c>
      <c r="C287" s="1" t="n">
        <v>45933</v>
      </c>
      <c r="D287" t="inlineStr">
        <is>
          <t>ÖSTERGÖTLANDS LÄN</t>
        </is>
      </c>
      <c r="E287" t="inlineStr">
        <is>
          <t>LINKÖPING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29599-2025</t>
        </is>
      </c>
      <c r="B288" s="1" t="n">
        <v>45825.41101851852</v>
      </c>
      <c r="C288" s="1" t="n">
        <v>45933</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12428-2024</t>
        </is>
      </c>
      <c r="B289" s="1" t="n">
        <v>45379</v>
      </c>
      <c r="C289" s="1" t="n">
        <v>45933</v>
      </c>
      <c r="D289" t="inlineStr">
        <is>
          <t>ÖSTERGÖTLANDS LÄN</t>
        </is>
      </c>
      <c r="E289" t="inlineStr">
        <is>
          <t>LINKÖPING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11084-2022</t>
        </is>
      </c>
      <c r="B290" s="1" t="n">
        <v>44628</v>
      </c>
      <c r="C290" s="1" t="n">
        <v>45933</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13011-2022</t>
        </is>
      </c>
      <c r="B291" s="1" t="n">
        <v>44643</v>
      </c>
      <c r="C291" s="1" t="n">
        <v>45933</v>
      </c>
      <c r="D291" t="inlineStr">
        <is>
          <t>ÖSTERGÖTLANDS LÄN</t>
        </is>
      </c>
      <c r="E291" t="inlineStr">
        <is>
          <t>LINKÖPING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57745-2022</t>
        </is>
      </c>
      <c r="B292" s="1" t="n">
        <v>44897.58119212963</v>
      </c>
      <c r="C292" s="1" t="n">
        <v>45933</v>
      </c>
      <c r="D292" t="inlineStr">
        <is>
          <t>ÖSTERGÖTLANDS LÄN</t>
        </is>
      </c>
      <c r="E292" t="inlineStr">
        <is>
          <t>LINKÖPING</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14520-2025</t>
        </is>
      </c>
      <c r="B293" s="1" t="n">
        <v>45741</v>
      </c>
      <c r="C293" s="1" t="n">
        <v>45933</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58714-2020</t>
        </is>
      </c>
      <c r="B294" s="1" t="n">
        <v>44146</v>
      </c>
      <c r="C294" s="1" t="n">
        <v>45933</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11595-2025</t>
        </is>
      </c>
      <c r="B295" s="1" t="n">
        <v>45727.41893518518</v>
      </c>
      <c r="C295" s="1" t="n">
        <v>45933</v>
      </c>
      <c r="D295" t="inlineStr">
        <is>
          <t>ÖSTERGÖTLANDS LÄN</t>
        </is>
      </c>
      <c r="E295" t="inlineStr">
        <is>
          <t>LINKÖPING</t>
        </is>
      </c>
      <c r="G295" t="n">
        <v>6.6</v>
      </c>
      <c r="H295" t="n">
        <v>0</v>
      </c>
      <c r="I295" t="n">
        <v>0</v>
      </c>
      <c r="J295" t="n">
        <v>0</v>
      </c>
      <c r="K295" t="n">
        <v>0</v>
      </c>
      <c r="L295" t="n">
        <v>0</v>
      </c>
      <c r="M295" t="n">
        <v>0</v>
      </c>
      <c r="N295" t="n">
        <v>0</v>
      </c>
      <c r="O295" t="n">
        <v>0</v>
      </c>
      <c r="P295" t="n">
        <v>0</v>
      </c>
      <c r="Q295" t="n">
        <v>0</v>
      </c>
      <c r="R295" s="2" t="inlineStr"/>
    </row>
    <row r="296" ht="15" customHeight="1">
      <c r="A296" t="inlineStr">
        <is>
          <t>A 50508-2024</t>
        </is>
      </c>
      <c r="B296" s="1" t="n">
        <v>45601.53907407408</v>
      </c>
      <c r="C296" s="1" t="n">
        <v>45933</v>
      </c>
      <c r="D296" t="inlineStr">
        <is>
          <t>ÖSTERGÖTLANDS LÄN</t>
        </is>
      </c>
      <c r="E296" t="inlineStr">
        <is>
          <t>LINKÖPING</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30355-2025</t>
        </is>
      </c>
      <c r="B297" s="1" t="n">
        <v>45827</v>
      </c>
      <c r="C297" s="1" t="n">
        <v>45933</v>
      </c>
      <c r="D297" t="inlineStr">
        <is>
          <t>ÖSTERGÖTLANDS LÄN</t>
        </is>
      </c>
      <c r="E297" t="inlineStr">
        <is>
          <t>LINKÖPING</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46225-2021</t>
        </is>
      </c>
      <c r="B298" s="1" t="n">
        <v>44442</v>
      </c>
      <c r="C298" s="1" t="n">
        <v>45933</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54428-2022</t>
        </is>
      </c>
      <c r="B299" s="1" t="n">
        <v>44882.57643518518</v>
      </c>
      <c r="C299" s="1" t="n">
        <v>45933</v>
      </c>
      <c r="D299" t="inlineStr">
        <is>
          <t>ÖSTERGÖTLANDS LÄN</t>
        </is>
      </c>
      <c r="E299" t="inlineStr">
        <is>
          <t>LINKÖPING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30353-2025</t>
        </is>
      </c>
      <c r="B300" s="1" t="n">
        <v>45827</v>
      </c>
      <c r="C300" s="1" t="n">
        <v>45933</v>
      </c>
      <c r="D300" t="inlineStr">
        <is>
          <t>ÖSTERGÖTLANDS LÄN</t>
        </is>
      </c>
      <c r="E300" t="inlineStr">
        <is>
          <t>LINKÖPING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56064-2022</t>
        </is>
      </c>
      <c r="B301" s="1" t="n">
        <v>44889.59107638889</v>
      </c>
      <c r="C301" s="1" t="n">
        <v>45933</v>
      </c>
      <c r="D301" t="inlineStr">
        <is>
          <t>ÖSTERGÖTLANDS LÄN</t>
        </is>
      </c>
      <c r="E301" t="inlineStr">
        <is>
          <t>LINKÖPING</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36336-2022</t>
        </is>
      </c>
      <c r="B302" s="1" t="n">
        <v>44803</v>
      </c>
      <c r="C302" s="1" t="n">
        <v>45933</v>
      </c>
      <c r="D302" t="inlineStr">
        <is>
          <t>ÖSTERGÖTLANDS LÄN</t>
        </is>
      </c>
      <c r="E302" t="inlineStr">
        <is>
          <t>LINKÖPING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11790-2024</t>
        </is>
      </c>
      <c r="B303" s="1" t="n">
        <v>45374</v>
      </c>
      <c r="C303" s="1" t="n">
        <v>45933</v>
      </c>
      <c r="D303" t="inlineStr">
        <is>
          <t>ÖSTERGÖTLANDS LÄN</t>
        </is>
      </c>
      <c r="E303" t="inlineStr">
        <is>
          <t>LINKÖPING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40502-2024</t>
        </is>
      </c>
      <c r="B304" s="1" t="n">
        <v>45555.57263888889</v>
      </c>
      <c r="C304" s="1" t="n">
        <v>45933</v>
      </c>
      <c r="D304" t="inlineStr">
        <is>
          <t>ÖSTERGÖTLANDS LÄN</t>
        </is>
      </c>
      <c r="E304" t="inlineStr">
        <is>
          <t>LINKÖPING</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48962-2022</t>
        </is>
      </c>
      <c r="B305" s="1" t="n">
        <v>44860.31635416667</v>
      </c>
      <c r="C305" s="1" t="n">
        <v>45933</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48839-2022</t>
        </is>
      </c>
      <c r="B306" s="1" t="n">
        <v>44859</v>
      </c>
      <c r="C306" s="1" t="n">
        <v>45933</v>
      </c>
      <c r="D306" t="inlineStr">
        <is>
          <t>ÖSTERGÖTLANDS LÄN</t>
        </is>
      </c>
      <c r="E306" t="inlineStr">
        <is>
          <t>LINKÖPING</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53647-2021</t>
        </is>
      </c>
      <c r="B307" s="1" t="n">
        <v>44469</v>
      </c>
      <c r="C307" s="1" t="n">
        <v>45933</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22772-2024</t>
        </is>
      </c>
      <c r="B308" s="1" t="n">
        <v>45448.46712962963</v>
      </c>
      <c r="C308" s="1" t="n">
        <v>45933</v>
      </c>
      <c r="D308" t="inlineStr">
        <is>
          <t>ÖSTERGÖTLANDS LÄN</t>
        </is>
      </c>
      <c r="E308" t="inlineStr">
        <is>
          <t>LINKÖPING</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18916-2024</t>
        </is>
      </c>
      <c r="B309" s="1" t="n">
        <v>45427.39541666667</v>
      </c>
      <c r="C309" s="1" t="n">
        <v>45933</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16200-2025</t>
        </is>
      </c>
      <c r="B310" s="1" t="n">
        <v>45750.61050925926</v>
      </c>
      <c r="C310" s="1" t="n">
        <v>45933</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44155-2024</t>
        </is>
      </c>
      <c r="B311" s="1" t="n">
        <v>45572.68226851852</v>
      </c>
      <c r="C311" s="1" t="n">
        <v>45933</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24586-2024</t>
        </is>
      </c>
      <c r="B312" s="1" t="n">
        <v>45460.46664351852</v>
      </c>
      <c r="C312" s="1" t="n">
        <v>45933</v>
      </c>
      <c r="D312" t="inlineStr">
        <is>
          <t>ÖSTERGÖTLANDS LÄN</t>
        </is>
      </c>
      <c r="E312" t="inlineStr">
        <is>
          <t>LINKÖPING</t>
        </is>
      </c>
      <c r="G312" t="n">
        <v>4</v>
      </c>
      <c r="H312" t="n">
        <v>0</v>
      </c>
      <c r="I312" t="n">
        <v>0</v>
      </c>
      <c r="J312" t="n">
        <v>0</v>
      </c>
      <c r="K312" t="n">
        <v>0</v>
      </c>
      <c r="L312" t="n">
        <v>0</v>
      </c>
      <c r="M312" t="n">
        <v>0</v>
      </c>
      <c r="N312" t="n">
        <v>0</v>
      </c>
      <c r="O312" t="n">
        <v>0</v>
      </c>
      <c r="P312" t="n">
        <v>0</v>
      </c>
      <c r="Q312" t="n">
        <v>0</v>
      </c>
      <c r="R312" s="2" t="inlineStr"/>
    </row>
    <row r="313" ht="15" customHeight="1">
      <c r="A313" t="inlineStr">
        <is>
          <t>A 17124-2025</t>
        </is>
      </c>
      <c r="B313" s="1" t="n">
        <v>45755.69678240741</v>
      </c>
      <c r="C313" s="1" t="n">
        <v>45933</v>
      </c>
      <c r="D313" t="inlineStr">
        <is>
          <t>ÖSTERGÖTLANDS LÄN</t>
        </is>
      </c>
      <c r="E313" t="inlineStr">
        <is>
          <t>LINKÖPING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17126-2025</t>
        </is>
      </c>
      <c r="B314" s="1" t="n">
        <v>45755.70814814815</v>
      </c>
      <c r="C314" s="1" t="n">
        <v>45933</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17143-2025</t>
        </is>
      </c>
      <c r="B315" s="1" t="n">
        <v>45755.92731481481</v>
      </c>
      <c r="C315" s="1" t="n">
        <v>45933</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6387-2022</t>
        </is>
      </c>
      <c r="B316" s="1" t="n">
        <v>44600</v>
      </c>
      <c r="C316" s="1" t="n">
        <v>45933</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34641-2022</t>
        </is>
      </c>
      <c r="B317" s="1" t="n">
        <v>44795</v>
      </c>
      <c r="C317" s="1" t="n">
        <v>45933</v>
      </c>
      <c r="D317" t="inlineStr">
        <is>
          <t>ÖSTERGÖTLANDS LÄN</t>
        </is>
      </c>
      <c r="E317" t="inlineStr">
        <is>
          <t>LINKÖPING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31581-2025</t>
        </is>
      </c>
      <c r="B318" s="1" t="n">
        <v>45833.6840162037</v>
      </c>
      <c r="C318" s="1" t="n">
        <v>45933</v>
      </c>
      <c r="D318" t="inlineStr">
        <is>
          <t>ÖSTERGÖTLANDS LÄN</t>
        </is>
      </c>
      <c r="E318" t="inlineStr">
        <is>
          <t>LINKÖPING</t>
        </is>
      </c>
      <c r="G318" t="n">
        <v>2.6</v>
      </c>
      <c r="H318" t="n">
        <v>0</v>
      </c>
      <c r="I318" t="n">
        <v>0</v>
      </c>
      <c r="J318" t="n">
        <v>0</v>
      </c>
      <c r="K318" t="n">
        <v>0</v>
      </c>
      <c r="L318" t="n">
        <v>0</v>
      </c>
      <c r="M318" t="n">
        <v>0</v>
      </c>
      <c r="N318" t="n">
        <v>0</v>
      </c>
      <c r="O318" t="n">
        <v>0</v>
      </c>
      <c r="P318" t="n">
        <v>0</v>
      </c>
      <c r="Q318" t="n">
        <v>0</v>
      </c>
      <c r="R318" s="2" t="inlineStr"/>
    </row>
    <row r="319" ht="15" customHeight="1">
      <c r="A319" t="inlineStr">
        <is>
          <t>A 31585-2025</t>
        </is>
      </c>
      <c r="B319" s="1" t="n">
        <v>45833.68815972222</v>
      </c>
      <c r="C319" s="1" t="n">
        <v>45933</v>
      </c>
      <c r="D319" t="inlineStr">
        <is>
          <t>ÖSTERGÖTLANDS LÄN</t>
        </is>
      </c>
      <c r="E319" t="inlineStr">
        <is>
          <t>LINKÖPING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13687-2025</t>
        </is>
      </c>
      <c r="B320" s="1" t="n">
        <v>45737.31425925926</v>
      </c>
      <c r="C320" s="1" t="n">
        <v>45933</v>
      </c>
      <c r="D320" t="inlineStr">
        <is>
          <t>ÖSTERGÖTLANDS LÄN</t>
        </is>
      </c>
      <c r="E320" t="inlineStr">
        <is>
          <t>LINKÖPING</t>
        </is>
      </c>
      <c r="G320" t="n">
        <v>2.7</v>
      </c>
      <c r="H320" t="n">
        <v>0</v>
      </c>
      <c r="I320" t="n">
        <v>0</v>
      </c>
      <c r="J320" t="n">
        <v>0</v>
      </c>
      <c r="K320" t="n">
        <v>0</v>
      </c>
      <c r="L320" t="n">
        <v>0</v>
      </c>
      <c r="M320" t="n">
        <v>0</v>
      </c>
      <c r="N320" t="n">
        <v>0</v>
      </c>
      <c r="O320" t="n">
        <v>0</v>
      </c>
      <c r="P320" t="n">
        <v>0</v>
      </c>
      <c r="Q320" t="n">
        <v>0</v>
      </c>
      <c r="R320" s="2" t="inlineStr"/>
    </row>
    <row r="321" ht="15" customHeight="1">
      <c r="A321" t="inlineStr">
        <is>
          <t>A 13695-2025</t>
        </is>
      </c>
      <c r="B321" s="1" t="n">
        <v>45737.32219907407</v>
      </c>
      <c r="C321" s="1" t="n">
        <v>45933</v>
      </c>
      <c r="D321" t="inlineStr">
        <is>
          <t>ÖSTERGÖTLANDS LÄN</t>
        </is>
      </c>
      <c r="E321" t="inlineStr">
        <is>
          <t>LINKÖPING</t>
        </is>
      </c>
      <c r="G321" t="n">
        <v>5.3</v>
      </c>
      <c r="H321" t="n">
        <v>0</v>
      </c>
      <c r="I321" t="n">
        <v>0</v>
      </c>
      <c r="J321" t="n">
        <v>0</v>
      </c>
      <c r="K321" t="n">
        <v>0</v>
      </c>
      <c r="L321" t="n">
        <v>0</v>
      </c>
      <c r="M321" t="n">
        <v>0</v>
      </c>
      <c r="N321" t="n">
        <v>0</v>
      </c>
      <c r="O321" t="n">
        <v>0</v>
      </c>
      <c r="P321" t="n">
        <v>0</v>
      </c>
      <c r="Q321" t="n">
        <v>0</v>
      </c>
      <c r="R321" s="2" t="inlineStr"/>
    </row>
    <row r="322" ht="15" customHeight="1">
      <c r="A322" t="inlineStr">
        <is>
          <t>A 42997-2021</t>
        </is>
      </c>
      <c r="B322" s="1" t="n">
        <v>44431.45556712963</v>
      </c>
      <c r="C322" s="1" t="n">
        <v>45933</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39017-2021</t>
        </is>
      </c>
      <c r="B323" s="1" t="n">
        <v>44412</v>
      </c>
      <c r="C323" s="1" t="n">
        <v>45933</v>
      </c>
      <c r="D323" t="inlineStr">
        <is>
          <t>ÖSTERGÖTLANDS LÄN</t>
        </is>
      </c>
      <c r="E323" t="inlineStr">
        <is>
          <t>LINKÖPING</t>
        </is>
      </c>
      <c r="F323" t="inlineStr">
        <is>
          <t>Övriga statliga verk och myndigheter</t>
        </is>
      </c>
      <c r="G323" t="n">
        <v>0.8</v>
      </c>
      <c r="H323" t="n">
        <v>0</v>
      </c>
      <c r="I323" t="n">
        <v>0</v>
      </c>
      <c r="J323" t="n">
        <v>0</v>
      </c>
      <c r="K323" t="n">
        <v>0</v>
      </c>
      <c r="L323" t="n">
        <v>0</v>
      </c>
      <c r="M323" t="n">
        <v>0</v>
      </c>
      <c r="N323" t="n">
        <v>0</v>
      </c>
      <c r="O323" t="n">
        <v>0</v>
      </c>
      <c r="P323" t="n">
        <v>0</v>
      </c>
      <c r="Q323" t="n">
        <v>0</v>
      </c>
      <c r="R323" s="2" t="inlineStr"/>
    </row>
    <row r="324" ht="15" customHeight="1">
      <c r="A324" t="inlineStr">
        <is>
          <t>A 16820-2024</t>
        </is>
      </c>
      <c r="B324" s="1" t="n">
        <v>45411.46809027778</v>
      </c>
      <c r="C324" s="1" t="n">
        <v>45933</v>
      </c>
      <c r="D324" t="inlineStr">
        <is>
          <t>ÖSTERGÖTLANDS LÄN</t>
        </is>
      </c>
      <c r="E324" t="inlineStr">
        <is>
          <t>LINKÖPING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32723-2025</t>
        </is>
      </c>
      <c r="B325" s="1" t="n">
        <v>45838</v>
      </c>
      <c r="C325" s="1" t="n">
        <v>45933</v>
      </c>
      <c r="D325" t="inlineStr">
        <is>
          <t>ÖSTERGÖTLANDS LÄN</t>
        </is>
      </c>
      <c r="E325" t="inlineStr">
        <is>
          <t>LINKÖPING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52413-2023</t>
        </is>
      </c>
      <c r="B326" s="1" t="n">
        <v>45225.27950231481</v>
      </c>
      <c r="C326" s="1" t="n">
        <v>45933</v>
      </c>
      <c r="D326" t="inlineStr">
        <is>
          <t>ÖSTERGÖTLANDS LÄN</t>
        </is>
      </c>
      <c r="E326" t="inlineStr">
        <is>
          <t>LINKÖPING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30980-2022</t>
        </is>
      </c>
      <c r="B327" s="1" t="n">
        <v>44768</v>
      </c>
      <c r="C327" s="1" t="n">
        <v>45933</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42054-2022</t>
        </is>
      </c>
      <c r="B328" s="1" t="n">
        <v>44830</v>
      </c>
      <c r="C328" s="1" t="n">
        <v>45933</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53797-2023</t>
        </is>
      </c>
      <c r="B329" s="1" t="n">
        <v>45230</v>
      </c>
      <c r="C329" s="1" t="n">
        <v>45933</v>
      </c>
      <c r="D329" t="inlineStr">
        <is>
          <t>ÖSTERGÖTLANDS LÄN</t>
        </is>
      </c>
      <c r="E329" t="inlineStr">
        <is>
          <t>LINKÖPING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24351-2024</t>
        </is>
      </c>
      <c r="B330" s="1" t="n">
        <v>45457.59011574074</v>
      </c>
      <c r="C330" s="1" t="n">
        <v>45933</v>
      </c>
      <c r="D330" t="inlineStr">
        <is>
          <t>ÖSTERGÖTLANDS LÄN</t>
        </is>
      </c>
      <c r="E330" t="inlineStr">
        <is>
          <t>LINKÖPING</t>
        </is>
      </c>
      <c r="G330" t="n">
        <v>11.9</v>
      </c>
      <c r="H330" t="n">
        <v>0</v>
      </c>
      <c r="I330" t="n">
        <v>0</v>
      </c>
      <c r="J330" t="n">
        <v>0</v>
      </c>
      <c r="K330" t="n">
        <v>0</v>
      </c>
      <c r="L330" t="n">
        <v>0</v>
      </c>
      <c r="M330" t="n">
        <v>0</v>
      </c>
      <c r="N330" t="n">
        <v>0</v>
      </c>
      <c r="O330" t="n">
        <v>0</v>
      </c>
      <c r="P330" t="n">
        <v>0</v>
      </c>
      <c r="Q330" t="n">
        <v>0</v>
      </c>
      <c r="R330" s="2" t="inlineStr"/>
    </row>
    <row r="331" ht="15" customHeight="1">
      <c r="A331" t="inlineStr">
        <is>
          <t>A 62501-2023</t>
        </is>
      </c>
      <c r="B331" s="1" t="n">
        <v>45268</v>
      </c>
      <c r="C331" s="1" t="n">
        <v>45933</v>
      </c>
      <c r="D331" t="inlineStr">
        <is>
          <t>ÖSTERGÖTLANDS LÄN</t>
        </is>
      </c>
      <c r="E331" t="inlineStr">
        <is>
          <t>LINKÖPING</t>
        </is>
      </c>
      <c r="G331" t="n">
        <v>7.4</v>
      </c>
      <c r="H331" t="n">
        <v>0</v>
      </c>
      <c r="I331" t="n">
        <v>0</v>
      </c>
      <c r="J331" t="n">
        <v>0</v>
      </c>
      <c r="K331" t="n">
        <v>0</v>
      </c>
      <c r="L331" t="n">
        <v>0</v>
      </c>
      <c r="M331" t="n">
        <v>0</v>
      </c>
      <c r="N331" t="n">
        <v>0</v>
      </c>
      <c r="O331" t="n">
        <v>0</v>
      </c>
      <c r="P331" t="n">
        <v>0</v>
      </c>
      <c r="Q331" t="n">
        <v>0</v>
      </c>
      <c r="R331" s="2" t="inlineStr"/>
    </row>
    <row r="332" ht="15" customHeight="1">
      <c r="A332" t="inlineStr">
        <is>
          <t>A 58947-2022</t>
        </is>
      </c>
      <c r="B332" s="1" t="n">
        <v>44903.64769675926</v>
      </c>
      <c r="C332" s="1" t="n">
        <v>45933</v>
      </c>
      <c r="D332" t="inlineStr">
        <is>
          <t>ÖSTERGÖTLANDS LÄN</t>
        </is>
      </c>
      <c r="E332" t="inlineStr">
        <is>
          <t>LINKÖPING</t>
        </is>
      </c>
      <c r="G332" t="n">
        <v>4</v>
      </c>
      <c r="H332" t="n">
        <v>0</v>
      </c>
      <c r="I332" t="n">
        <v>0</v>
      </c>
      <c r="J332" t="n">
        <v>0</v>
      </c>
      <c r="K332" t="n">
        <v>0</v>
      </c>
      <c r="L332" t="n">
        <v>0</v>
      </c>
      <c r="M332" t="n">
        <v>0</v>
      </c>
      <c r="N332" t="n">
        <v>0</v>
      </c>
      <c r="O332" t="n">
        <v>0</v>
      </c>
      <c r="P332" t="n">
        <v>0</v>
      </c>
      <c r="Q332" t="n">
        <v>0</v>
      </c>
      <c r="R332" s="2" t="inlineStr"/>
    </row>
    <row r="333" ht="15" customHeight="1">
      <c r="A333" t="inlineStr">
        <is>
          <t>A 49979-2022</t>
        </is>
      </c>
      <c r="B333" s="1" t="n">
        <v>44865</v>
      </c>
      <c r="C333" s="1" t="n">
        <v>45933</v>
      </c>
      <c r="D333" t="inlineStr">
        <is>
          <t>ÖSTERGÖTLANDS LÄN</t>
        </is>
      </c>
      <c r="E333" t="inlineStr">
        <is>
          <t>LINKÖPING</t>
        </is>
      </c>
      <c r="F333" t="inlineStr">
        <is>
          <t>Övriga Aktiebolag</t>
        </is>
      </c>
      <c r="G333" t="n">
        <v>11.4</v>
      </c>
      <c r="H333" t="n">
        <v>0</v>
      </c>
      <c r="I333" t="n">
        <v>0</v>
      </c>
      <c r="J333" t="n">
        <v>0</v>
      </c>
      <c r="K333" t="n">
        <v>0</v>
      </c>
      <c r="L333" t="n">
        <v>0</v>
      </c>
      <c r="M333" t="n">
        <v>0</v>
      </c>
      <c r="N333" t="n">
        <v>0</v>
      </c>
      <c r="O333" t="n">
        <v>0</v>
      </c>
      <c r="P333" t="n">
        <v>0</v>
      </c>
      <c r="Q333" t="n">
        <v>0</v>
      </c>
      <c r="R333" s="2" t="inlineStr"/>
    </row>
    <row r="334" ht="15" customHeight="1">
      <c r="A334" t="inlineStr">
        <is>
          <t>A 14028-2024</t>
        </is>
      </c>
      <c r="B334" s="1" t="n">
        <v>45392</v>
      </c>
      <c r="C334" s="1" t="n">
        <v>45933</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53827-2023</t>
        </is>
      </c>
      <c r="B335" s="1" t="n">
        <v>45230</v>
      </c>
      <c r="C335" s="1" t="n">
        <v>45933</v>
      </c>
      <c r="D335" t="inlineStr">
        <is>
          <t>ÖSTERGÖTLANDS LÄN</t>
        </is>
      </c>
      <c r="E335" t="inlineStr">
        <is>
          <t>LINKÖPING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33947-2025</t>
        </is>
      </c>
      <c r="B336" s="1" t="n">
        <v>45842.65444444444</v>
      </c>
      <c r="C336" s="1" t="n">
        <v>45933</v>
      </c>
      <c r="D336" t="inlineStr">
        <is>
          <t>ÖSTERGÖTLANDS LÄN</t>
        </is>
      </c>
      <c r="E336" t="inlineStr">
        <is>
          <t>LINKÖPING</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940-2023</t>
        </is>
      </c>
      <c r="B337" s="1" t="n">
        <v>44933</v>
      </c>
      <c r="C337" s="1" t="n">
        <v>45933</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14667-2024</t>
        </is>
      </c>
      <c r="B338" s="1" t="n">
        <v>45397.42005787037</v>
      </c>
      <c r="C338" s="1" t="n">
        <v>45933</v>
      </c>
      <c r="D338" t="inlineStr">
        <is>
          <t>ÖSTERGÖTLANDS LÄN</t>
        </is>
      </c>
      <c r="E338" t="inlineStr">
        <is>
          <t>LINKÖPING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22833-2023</t>
        </is>
      </c>
      <c r="B339" s="1" t="n">
        <v>45071</v>
      </c>
      <c r="C339" s="1" t="n">
        <v>45933</v>
      </c>
      <c r="D339" t="inlineStr">
        <is>
          <t>ÖSTERGÖTLANDS LÄN</t>
        </is>
      </c>
      <c r="E339" t="inlineStr">
        <is>
          <t>LINKÖPING</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2697-2023</t>
        </is>
      </c>
      <c r="B340" s="1" t="n">
        <v>44944</v>
      </c>
      <c r="C340" s="1" t="n">
        <v>45933</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7992-2023</t>
        </is>
      </c>
      <c r="B341" s="1" t="n">
        <v>44970</v>
      </c>
      <c r="C341" s="1" t="n">
        <v>45933</v>
      </c>
      <c r="D341" t="inlineStr">
        <is>
          <t>ÖSTERGÖTLANDS LÄN</t>
        </is>
      </c>
      <c r="E341" t="inlineStr">
        <is>
          <t>LINKÖPING</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53641-2023</t>
        </is>
      </c>
      <c r="B342" s="1" t="n">
        <v>45230</v>
      </c>
      <c r="C342" s="1" t="n">
        <v>45933</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48707-2023</t>
        </is>
      </c>
      <c r="B343" s="1" t="n">
        <v>45202</v>
      </c>
      <c r="C343" s="1" t="n">
        <v>45933</v>
      </c>
      <c r="D343" t="inlineStr">
        <is>
          <t>ÖSTERGÖTLANDS LÄN</t>
        </is>
      </c>
      <c r="E343" t="inlineStr">
        <is>
          <t>LINKÖPING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17898-2022</t>
        </is>
      </c>
      <c r="B344" s="1" t="n">
        <v>44683</v>
      </c>
      <c r="C344" s="1" t="n">
        <v>45933</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53411-2023</t>
        </is>
      </c>
      <c r="B345" s="1" t="n">
        <v>45229.81049768518</v>
      </c>
      <c r="C345" s="1" t="n">
        <v>45933</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62017-2024</t>
        </is>
      </c>
      <c r="B346" s="1" t="n">
        <v>45655.81140046296</v>
      </c>
      <c r="C346" s="1" t="n">
        <v>45933</v>
      </c>
      <c r="D346" t="inlineStr">
        <is>
          <t>ÖSTERGÖTLANDS LÄN</t>
        </is>
      </c>
      <c r="E346" t="inlineStr">
        <is>
          <t>LINKÖPING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45933</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56741-2023</t>
        </is>
      </c>
      <c r="B348" s="1" t="n">
        <v>45244</v>
      </c>
      <c r="C348" s="1" t="n">
        <v>45933</v>
      </c>
      <c r="D348" t="inlineStr">
        <is>
          <t>ÖSTERGÖTLANDS LÄN</t>
        </is>
      </c>
      <c r="E348" t="inlineStr">
        <is>
          <t>LINKÖPING</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56792-2023</t>
        </is>
      </c>
      <c r="B349" s="1" t="n">
        <v>45244</v>
      </c>
      <c r="C349" s="1" t="n">
        <v>45933</v>
      </c>
      <c r="D349" t="inlineStr">
        <is>
          <t>ÖSTERGÖTLANDS LÄN</t>
        </is>
      </c>
      <c r="E349" t="inlineStr">
        <is>
          <t>LINKÖPING</t>
        </is>
      </c>
      <c r="F349" t="inlineStr">
        <is>
          <t>Övriga Aktiebolag</t>
        </is>
      </c>
      <c r="G349" t="n">
        <v>0.9</v>
      </c>
      <c r="H349" t="n">
        <v>0</v>
      </c>
      <c r="I349" t="n">
        <v>0</v>
      </c>
      <c r="J349" t="n">
        <v>0</v>
      </c>
      <c r="K349" t="n">
        <v>0</v>
      </c>
      <c r="L349" t="n">
        <v>0</v>
      </c>
      <c r="M349" t="n">
        <v>0</v>
      </c>
      <c r="N349" t="n">
        <v>0</v>
      </c>
      <c r="O349" t="n">
        <v>0</v>
      </c>
      <c r="P349" t="n">
        <v>0</v>
      </c>
      <c r="Q349" t="n">
        <v>0</v>
      </c>
      <c r="R349" s="2" t="inlineStr"/>
    </row>
    <row r="350" ht="15" customHeight="1">
      <c r="A350" t="inlineStr">
        <is>
          <t>A 50471-2024</t>
        </is>
      </c>
      <c r="B350" s="1" t="n">
        <v>45601.47166666666</v>
      </c>
      <c r="C350" s="1" t="n">
        <v>45933</v>
      </c>
      <c r="D350" t="inlineStr">
        <is>
          <t>ÖSTERGÖTLANDS LÄN</t>
        </is>
      </c>
      <c r="E350" t="inlineStr">
        <is>
          <t>LINKÖPING</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3007-2023</t>
        </is>
      </c>
      <c r="B351" s="1" t="n">
        <v>44945</v>
      </c>
      <c r="C351" s="1" t="n">
        <v>45933</v>
      </c>
      <c r="D351" t="inlineStr">
        <is>
          <t>ÖSTERGÖTLANDS LÄN</t>
        </is>
      </c>
      <c r="E351" t="inlineStr">
        <is>
          <t>LINKÖPING</t>
        </is>
      </c>
      <c r="G351" t="n">
        <v>2.6</v>
      </c>
      <c r="H351" t="n">
        <v>0</v>
      </c>
      <c r="I351" t="n">
        <v>0</v>
      </c>
      <c r="J351" t="n">
        <v>0</v>
      </c>
      <c r="K351" t="n">
        <v>0</v>
      </c>
      <c r="L351" t="n">
        <v>0</v>
      </c>
      <c r="M351" t="n">
        <v>0</v>
      </c>
      <c r="N351" t="n">
        <v>0</v>
      </c>
      <c r="O351" t="n">
        <v>0</v>
      </c>
      <c r="P351" t="n">
        <v>0</v>
      </c>
      <c r="Q351" t="n">
        <v>0</v>
      </c>
      <c r="R351" s="2" t="inlineStr"/>
    </row>
    <row r="352" ht="15" customHeight="1">
      <c r="A352" t="inlineStr">
        <is>
          <t>A 40338-2024</t>
        </is>
      </c>
      <c r="B352" s="1" t="n">
        <v>45555.32940972222</v>
      </c>
      <c r="C352" s="1" t="n">
        <v>45933</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3013-2023</t>
        </is>
      </c>
      <c r="B353" s="1" t="n">
        <v>44945.8092824074</v>
      </c>
      <c r="C353" s="1" t="n">
        <v>45933</v>
      </c>
      <c r="D353" t="inlineStr">
        <is>
          <t>ÖSTERGÖTLANDS LÄN</t>
        </is>
      </c>
      <c r="E353" t="inlineStr">
        <is>
          <t>LINKÖPING</t>
        </is>
      </c>
      <c r="G353" t="n">
        <v>5.2</v>
      </c>
      <c r="H353" t="n">
        <v>0</v>
      </c>
      <c r="I353" t="n">
        <v>0</v>
      </c>
      <c r="J353" t="n">
        <v>0</v>
      </c>
      <c r="K353" t="n">
        <v>0</v>
      </c>
      <c r="L353" t="n">
        <v>0</v>
      </c>
      <c r="M353" t="n">
        <v>0</v>
      </c>
      <c r="N353" t="n">
        <v>0</v>
      </c>
      <c r="O353" t="n">
        <v>0</v>
      </c>
      <c r="P353" t="n">
        <v>0</v>
      </c>
      <c r="Q353" t="n">
        <v>0</v>
      </c>
      <c r="R353" s="2" t="inlineStr"/>
    </row>
    <row r="354" ht="15" customHeight="1">
      <c r="A354" t="inlineStr">
        <is>
          <t>A 55945-2024</t>
        </is>
      </c>
      <c r="B354" s="1" t="n">
        <v>45623.61754629629</v>
      </c>
      <c r="C354" s="1" t="n">
        <v>45933</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38046-2025</t>
        </is>
      </c>
      <c r="B355" s="1" t="n">
        <v>45882.39939814815</v>
      </c>
      <c r="C355" s="1" t="n">
        <v>45933</v>
      </c>
      <c r="D355" t="inlineStr">
        <is>
          <t>ÖSTERGÖTLANDS LÄN</t>
        </is>
      </c>
      <c r="E355" t="inlineStr">
        <is>
          <t>LINKÖPING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53529-2024</t>
        </is>
      </c>
      <c r="B356" s="1" t="n">
        <v>45614</v>
      </c>
      <c r="C356" s="1" t="n">
        <v>45933</v>
      </c>
      <c r="D356" t="inlineStr">
        <is>
          <t>ÖSTERGÖTLANDS LÄN</t>
        </is>
      </c>
      <c r="E356" t="inlineStr">
        <is>
          <t>LINKÖPING</t>
        </is>
      </c>
      <c r="G356" t="n">
        <v>6.7</v>
      </c>
      <c r="H356" t="n">
        <v>0</v>
      </c>
      <c r="I356" t="n">
        <v>0</v>
      </c>
      <c r="J356" t="n">
        <v>0</v>
      </c>
      <c r="K356" t="n">
        <v>0</v>
      </c>
      <c r="L356" t="n">
        <v>0</v>
      </c>
      <c r="M356" t="n">
        <v>0</v>
      </c>
      <c r="N356" t="n">
        <v>0</v>
      </c>
      <c r="O356" t="n">
        <v>0</v>
      </c>
      <c r="P356" t="n">
        <v>0</v>
      </c>
      <c r="Q356" t="n">
        <v>0</v>
      </c>
      <c r="R356" s="2" t="inlineStr"/>
    </row>
    <row r="357" ht="15" customHeight="1">
      <c r="A357" t="inlineStr">
        <is>
          <t>A 1993-2023</t>
        </is>
      </c>
      <c r="B357" s="1" t="n">
        <v>44939</v>
      </c>
      <c r="C357" s="1" t="n">
        <v>45933</v>
      </c>
      <c r="D357" t="inlineStr">
        <is>
          <t>ÖSTERGÖTLANDS LÄN</t>
        </is>
      </c>
      <c r="E357" t="inlineStr">
        <is>
          <t>LINKÖPING</t>
        </is>
      </c>
      <c r="G357" t="n">
        <v>3.7</v>
      </c>
      <c r="H357" t="n">
        <v>0</v>
      </c>
      <c r="I357" t="n">
        <v>0</v>
      </c>
      <c r="J357" t="n">
        <v>0</v>
      </c>
      <c r="K357" t="n">
        <v>0</v>
      </c>
      <c r="L357" t="n">
        <v>0</v>
      </c>
      <c r="M357" t="n">
        <v>0</v>
      </c>
      <c r="N357" t="n">
        <v>0</v>
      </c>
      <c r="O357" t="n">
        <v>0</v>
      </c>
      <c r="P357" t="n">
        <v>0</v>
      </c>
      <c r="Q357" t="n">
        <v>0</v>
      </c>
      <c r="R357" s="2" t="inlineStr"/>
    </row>
    <row r="358" ht="15" customHeight="1">
      <c r="A358" t="inlineStr">
        <is>
          <t>A 2618-2023</t>
        </is>
      </c>
      <c r="B358" s="1" t="n">
        <v>44944.35847222222</v>
      </c>
      <c r="C358" s="1" t="n">
        <v>45933</v>
      </c>
      <c r="D358" t="inlineStr">
        <is>
          <t>ÖSTERGÖTLANDS LÄN</t>
        </is>
      </c>
      <c r="E358" t="inlineStr">
        <is>
          <t>LINKÖPING</t>
        </is>
      </c>
      <c r="G358" t="n">
        <v>4.3</v>
      </c>
      <c r="H358" t="n">
        <v>0</v>
      </c>
      <c r="I358" t="n">
        <v>0</v>
      </c>
      <c r="J358" t="n">
        <v>0</v>
      </c>
      <c r="K358" t="n">
        <v>0</v>
      </c>
      <c r="L358" t="n">
        <v>0</v>
      </c>
      <c r="M358" t="n">
        <v>0</v>
      </c>
      <c r="N358" t="n">
        <v>0</v>
      </c>
      <c r="O358" t="n">
        <v>0</v>
      </c>
      <c r="P358" t="n">
        <v>0</v>
      </c>
      <c r="Q358" t="n">
        <v>0</v>
      </c>
      <c r="R358" s="2" t="inlineStr"/>
    </row>
    <row r="359" ht="15" customHeight="1">
      <c r="A359" t="inlineStr">
        <is>
          <t>A 10203-2023</t>
        </is>
      </c>
      <c r="B359" s="1" t="n">
        <v>44986.55711805556</v>
      </c>
      <c r="C359" s="1" t="n">
        <v>45933</v>
      </c>
      <c r="D359" t="inlineStr">
        <is>
          <t>ÖSTERGÖTLANDS LÄN</t>
        </is>
      </c>
      <c r="E359" t="inlineStr">
        <is>
          <t>LINKÖPING</t>
        </is>
      </c>
      <c r="G359" t="n">
        <v>3.3</v>
      </c>
      <c r="H359" t="n">
        <v>0</v>
      </c>
      <c r="I359" t="n">
        <v>0</v>
      </c>
      <c r="J359" t="n">
        <v>0</v>
      </c>
      <c r="K359" t="n">
        <v>0</v>
      </c>
      <c r="L359" t="n">
        <v>0</v>
      </c>
      <c r="M359" t="n">
        <v>0</v>
      </c>
      <c r="N359" t="n">
        <v>0</v>
      </c>
      <c r="O359" t="n">
        <v>0</v>
      </c>
      <c r="P359" t="n">
        <v>0</v>
      </c>
      <c r="Q359" t="n">
        <v>0</v>
      </c>
      <c r="R359" s="2" t="inlineStr"/>
    </row>
    <row r="360" ht="15" customHeight="1">
      <c r="A360" t="inlineStr">
        <is>
          <t>A 12411-2022</t>
        </is>
      </c>
      <c r="B360" s="1" t="n">
        <v>44638.21601851852</v>
      </c>
      <c r="C360" s="1" t="n">
        <v>45933</v>
      </c>
      <c r="D360" t="inlineStr">
        <is>
          <t>ÖSTERGÖTLANDS LÄN</t>
        </is>
      </c>
      <c r="E360" t="inlineStr">
        <is>
          <t>LINKÖPING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46426-2025</t>
        </is>
      </c>
      <c r="B361" s="1" t="n">
        <v>45925.6012962963</v>
      </c>
      <c r="C361" s="1" t="n">
        <v>45933</v>
      </c>
      <c r="D361" t="inlineStr">
        <is>
          <t>ÖSTERGÖTLANDS LÄN</t>
        </is>
      </c>
      <c r="E361" t="inlineStr">
        <is>
          <t>LINKÖPING</t>
        </is>
      </c>
      <c r="G361" t="n">
        <v>4.4</v>
      </c>
      <c r="H361" t="n">
        <v>0</v>
      </c>
      <c r="I361" t="n">
        <v>0</v>
      </c>
      <c r="J361" t="n">
        <v>0</v>
      </c>
      <c r="K361" t="n">
        <v>0</v>
      </c>
      <c r="L361" t="n">
        <v>0</v>
      </c>
      <c r="M361" t="n">
        <v>0</v>
      </c>
      <c r="N361" t="n">
        <v>0</v>
      </c>
      <c r="O361" t="n">
        <v>0</v>
      </c>
      <c r="P361" t="n">
        <v>0</v>
      </c>
      <c r="Q361" t="n">
        <v>0</v>
      </c>
      <c r="R361" s="2" t="inlineStr"/>
    </row>
    <row r="362" ht="15" customHeight="1">
      <c r="A362" t="inlineStr">
        <is>
          <t>A 10492-2022</t>
        </is>
      </c>
      <c r="B362" s="1" t="n">
        <v>44623.6377199074</v>
      </c>
      <c r="C362" s="1" t="n">
        <v>45933</v>
      </c>
      <c r="D362" t="inlineStr">
        <is>
          <t>ÖSTERGÖTLANDS LÄN</t>
        </is>
      </c>
      <c r="E362" t="inlineStr">
        <is>
          <t>LINKÖPING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34889-2023</t>
        </is>
      </c>
      <c r="B363" s="1" t="n">
        <v>45140</v>
      </c>
      <c r="C363" s="1" t="n">
        <v>45933</v>
      </c>
      <c r="D363" t="inlineStr">
        <is>
          <t>ÖSTERGÖTLANDS LÄN</t>
        </is>
      </c>
      <c r="E363" t="inlineStr">
        <is>
          <t>LINKÖPING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34928-2023</t>
        </is>
      </c>
      <c r="B364" s="1" t="n">
        <v>45142</v>
      </c>
      <c r="C364" s="1" t="n">
        <v>45933</v>
      </c>
      <c r="D364" t="inlineStr">
        <is>
          <t>ÖSTERGÖTLANDS LÄN</t>
        </is>
      </c>
      <c r="E364" t="inlineStr">
        <is>
          <t>LINKÖPING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20469-2025</t>
        </is>
      </c>
      <c r="B365" s="1" t="n">
        <v>45775</v>
      </c>
      <c r="C365" s="1" t="n">
        <v>45933</v>
      </c>
      <c r="D365" t="inlineStr">
        <is>
          <t>ÖSTERGÖTLANDS LÄN</t>
        </is>
      </c>
      <c r="E365" t="inlineStr">
        <is>
          <t>LINKÖPING</t>
        </is>
      </c>
      <c r="F365" t="inlineStr">
        <is>
          <t>Kyrkan</t>
        </is>
      </c>
      <c r="G365" t="n">
        <v>6.1</v>
      </c>
      <c r="H365" t="n">
        <v>0</v>
      </c>
      <c r="I365" t="n">
        <v>0</v>
      </c>
      <c r="J365" t="n">
        <v>0</v>
      </c>
      <c r="K365" t="n">
        <v>0</v>
      </c>
      <c r="L365" t="n">
        <v>0</v>
      </c>
      <c r="M365" t="n">
        <v>0</v>
      </c>
      <c r="N365" t="n">
        <v>0</v>
      </c>
      <c r="O365" t="n">
        <v>0</v>
      </c>
      <c r="P365" t="n">
        <v>0</v>
      </c>
      <c r="Q365" t="n">
        <v>0</v>
      </c>
      <c r="R365" s="2" t="inlineStr"/>
    </row>
    <row r="366" ht="15" customHeight="1">
      <c r="A366" t="inlineStr">
        <is>
          <t>A 1268-2023</t>
        </is>
      </c>
      <c r="B366" s="1" t="n">
        <v>44936</v>
      </c>
      <c r="C366" s="1" t="n">
        <v>45933</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5314-2021</t>
        </is>
      </c>
      <c r="B367" s="1" t="n">
        <v>44229</v>
      </c>
      <c r="C367" s="1" t="n">
        <v>45933</v>
      </c>
      <c r="D367" t="inlineStr">
        <is>
          <t>ÖSTERGÖTLANDS LÄN</t>
        </is>
      </c>
      <c r="E367" t="inlineStr">
        <is>
          <t>LINKÖPING</t>
        </is>
      </c>
      <c r="G367" t="n">
        <v>6.2</v>
      </c>
      <c r="H367" t="n">
        <v>0</v>
      </c>
      <c r="I367" t="n">
        <v>0</v>
      </c>
      <c r="J367" t="n">
        <v>0</v>
      </c>
      <c r="K367" t="n">
        <v>0</v>
      </c>
      <c r="L367" t="n">
        <v>0</v>
      </c>
      <c r="M367" t="n">
        <v>0</v>
      </c>
      <c r="N367" t="n">
        <v>0</v>
      </c>
      <c r="O367" t="n">
        <v>0</v>
      </c>
      <c r="P367" t="n">
        <v>0</v>
      </c>
      <c r="Q367" t="n">
        <v>0</v>
      </c>
      <c r="R367" s="2" t="inlineStr"/>
    </row>
    <row r="368" ht="15" customHeight="1">
      <c r="A368" t="inlineStr">
        <is>
          <t>A 7343-2025</t>
        </is>
      </c>
      <c r="B368" s="1" t="n">
        <v>45703.67853009259</v>
      </c>
      <c r="C368" s="1" t="n">
        <v>45933</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8967-2025</t>
        </is>
      </c>
      <c r="B369" s="1" t="n">
        <v>45712</v>
      </c>
      <c r="C369" s="1" t="n">
        <v>45933</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35427-2023</t>
        </is>
      </c>
      <c r="B370" s="1" t="n">
        <v>45146</v>
      </c>
      <c r="C370" s="1" t="n">
        <v>45933</v>
      </c>
      <c r="D370" t="inlineStr">
        <is>
          <t>ÖSTERGÖTLANDS LÄN</t>
        </is>
      </c>
      <c r="E370" t="inlineStr">
        <is>
          <t>LINKÖPING</t>
        </is>
      </c>
      <c r="F370" t="inlineStr">
        <is>
          <t>Övriga Aktiebolag</t>
        </is>
      </c>
      <c r="G370" t="n">
        <v>2.5</v>
      </c>
      <c r="H370" t="n">
        <v>0</v>
      </c>
      <c r="I370" t="n">
        <v>0</v>
      </c>
      <c r="J370" t="n">
        <v>0</v>
      </c>
      <c r="K370" t="n">
        <v>0</v>
      </c>
      <c r="L370" t="n">
        <v>0</v>
      </c>
      <c r="M370" t="n">
        <v>0</v>
      </c>
      <c r="N370" t="n">
        <v>0</v>
      </c>
      <c r="O370" t="n">
        <v>0</v>
      </c>
      <c r="P370" t="n">
        <v>0</v>
      </c>
      <c r="Q370" t="n">
        <v>0</v>
      </c>
      <c r="R370" s="2" t="inlineStr"/>
    </row>
    <row r="371" ht="15" customHeight="1">
      <c r="A371" t="inlineStr">
        <is>
          <t>A 30468-2023</t>
        </is>
      </c>
      <c r="B371" s="1" t="n">
        <v>45111.58732638889</v>
      </c>
      <c r="C371" s="1" t="n">
        <v>45933</v>
      </c>
      <c r="D371" t="inlineStr">
        <is>
          <t>ÖSTERGÖTLANDS LÄN</t>
        </is>
      </c>
      <c r="E371" t="inlineStr">
        <is>
          <t>LINKÖPING</t>
        </is>
      </c>
      <c r="G371" t="n">
        <v>10.1</v>
      </c>
      <c r="H371" t="n">
        <v>0</v>
      </c>
      <c r="I371" t="n">
        <v>0</v>
      </c>
      <c r="J371" t="n">
        <v>0</v>
      </c>
      <c r="K371" t="n">
        <v>0</v>
      </c>
      <c r="L371" t="n">
        <v>0</v>
      </c>
      <c r="M371" t="n">
        <v>0</v>
      </c>
      <c r="N371" t="n">
        <v>0</v>
      </c>
      <c r="O371" t="n">
        <v>0</v>
      </c>
      <c r="P371" t="n">
        <v>0</v>
      </c>
      <c r="Q371" t="n">
        <v>0</v>
      </c>
      <c r="R371" s="2" t="inlineStr"/>
    </row>
    <row r="372" ht="15" customHeight="1">
      <c r="A372" t="inlineStr">
        <is>
          <t>A 49747-2024</t>
        </is>
      </c>
      <c r="B372" s="1" t="n">
        <v>45596</v>
      </c>
      <c r="C372" s="1" t="n">
        <v>45933</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33800-2023</t>
        </is>
      </c>
      <c r="B373" s="1" t="n">
        <v>45121</v>
      </c>
      <c r="C373" s="1" t="n">
        <v>45933</v>
      </c>
      <c r="D373" t="inlineStr">
        <is>
          <t>ÖSTERGÖTLANDS LÄN</t>
        </is>
      </c>
      <c r="E373" t="inlineStr">
        <is>
          <t>LINKÖPING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47991-2023</t>
        </is>
      </c>
      <c r="B374" s="1" t="n">
        <v>45204.62655092592</v>
      </c>
      <c r="C374" s="1" t="n">
        <v>45933</v>
      </c>
      <c r="D374" t="inlineStr">
        <is>
          <t>ÖSTERGÖTLANDS LÄN</t>
        </is>
      </c>
      <c r="E374" t="inlineStr">
        <is>
          <t>LINKÖPING</t>
        </is>
      </c>
      <c r="F374" t="inlineStr">
        <is>
          <t>Allmännings- och besparingsskogar</t>
        </is>
      </c>
      <c r="G374" t="n">
        <v>7.3</v>
      </c>
      <c r="H374" t="n">
        <v>0</v>
      </c>
      <c r="I374" t="n">
        <v>0</v>
      </c>
      <c r="J374" t="n">
        <v>0</v>
      </c>
      <c r="K374" t="n">
        <v>0</v>
      </c>
      <c r="L374" t="n">
        <v>0</v>
      </c>
      <c r="M374" t="n">
        <v>0</v>
      </c>
      <c r="N374" t="n">
        <v>0</v>
      </c>
      <c r="O374" t="n">
        <v>0</v>
      </c>
      <c r="P374" t="n">
        <v>0</v>
      </c>
      <c r="Q374" t="n">
        <v>0</v>
      </c>
      <c r="R374" s="2" t="inlineStr"/>
    </row>
    <row r="375" ht="15" customHeight="1">
      <c r="A375" t="inlineStr">
        <is>
          <t>A 40169-2025</t>
        </is>
      </c>
      <c r="B375" s="1" t="n">
        <v>45894.62824074074</v>
      </c>
      <c r="C375" s="1" t="n">
        <v>45933</v>
      </c>
      <c r="D375" t="inlineStr">
        <is>
          <t>ÖSTERGÖTLANDS LÄN</t>
        </is>
      </c>
      <c r="E375" t="inlineStr">
        <is>
          <t>LINKÖPING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31725-2022</t>
        </is>
      </c>
      <c r="B376" s="1" t="n">
        <v>44776.48541666667</v>
      </c>
      <c r="C376" s="1" t="n">
        <v>45933</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46428-2025</t>
        </is>
      </c>
      <c r="B377" s="1" t="n">
        <v>45925.60758101852</v>
      </c>
      <c r="C377" s="1" t="n">
        <v>45933</v>
      </c>
      <c r="D377" t="inlineStr">
        <is>
          <t>ÖSTERGÖTLANDS LÄN</t>
        </is>
      </c>
      <c r="E377" t="inlineStr">
        <is>
          <t>LINKÖPING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20296-2025</t>
        </is>
      </c>
      <c r="B378" s="1" t="n">
        <v>45774.74922453704</v>
      </c>
      <c r="C378" s="1" t="n">
        <v>45933</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56841-2023</t>
        </is>
      </c>
      <c r="B379" s="1" t="n">
        <v>45244</v>
      </c>
      <c r="C379" s="1" t="n">
        <v>45933</v>
      </c>
      <c r="D379" t="inlineStr">
        <is>
          <t>ÖSTERGÖTLANDS LÄN</t>
        </is>
      </c>
      <c r="E379" t="inlineStr">
        <is>
          <t>LINKÖPING</t>
        </is>
      </c>
      <c r="F379" t="inlineStr">
        <is>
          <t>Övriga Aktiebolag</t>
        </is>
      </c>
      <c r="G379" t="n">
        <v>0.5</v>
      </c>
      <c r="H379" t="n">
        <v>0</v>
      </c>
      <c r="I379" t="n">
        <v>0</v>
      </c>
      <c r="J379" t="n">
        <v>0</v>
      </c>
      <c r="K379" t="n">
        <v>0</v>
      </c>
      <c r="L379" t="n">
        <v>0</v>
      </c>
      <c r="M379" t="n">
        <v>0</v>
      </c>
      <c r="N379" t="n">
        <v>0</v>
      </c>
      <c r="O379" t="n">
        <v>0</v>
      </c>
      <c r="P379" t="n">
        <v>0</v>
      </c>
      <c r="Q379" t="n">
        <v>0</v>
      </c>
      <c r="R379" s="2" t="inlineStr"/>
    </row>
    <row r="380" ht="15" customHeight="1">
      <c r="A380" t="inlineStr">
        <is>
          <t>A 35178-2025</t>
        </is>
      </c>
      <c r="B380" s="1" t="n">
        <v>45852.91939814815</v>
      </c>
      <c r="C380" s="1" t="n">
        <v>45933</v>
      </c>
      <c r="D380" t="inlineStr">
        <is>
          <t>ÖSTERGÖTLANDS LÄN</t>
        </is>
      </c>
      <c r="E380" t="inlineStr">
        <is>
          <t>LINKÖPING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35174-2025</t>
        </is>
      </c>
      <c r="B381" s="1" t="n">
        <v>45852.90648148148</v>
      </c>
      <c r="C381" s="1" t="n">
        <v>45933</v>
      </c>
      <c r="D381" t="inlineStr">
        <is>
          <t>ÖSTERGÖTLANDS LÄN</t>
        </is>
      </c>
      <c r="E381" t="inlineStr">
        <is>
          <t>LINKÖPING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3008-2023</t>
        </is>
      </c>
      <c r="B382" s="1" t="n">
        <v>44945.79784722222</v>
      </c>
      <c r="C382" s="1" t="n">
        <v>45933</v>
      </c>
      <c r="D382" t="inlineStr">
        <is>
          <t>ÖSTERGÖTLANDS LÄN</t>
        </is>
      </c>
      <c r="E382" t="inlineStr">
        <is>
          <t>LINKÖPING</t>
        </is>
      </c>
      <c r="G382" t="n">
        <v>19.3</v>
      </c>
      <c r="H382" t="n">
        <v>0</v>
      </c>
      <c r="I382" t="n">
        <v>0</v>
      </c>
      <c r="J382" t="n">
        <v>0</v>
      </c>
      <c r="K382" t="n">
        <v>0</v>
      </c>
      <c r="L382" t="n">
        <v>0</v>
      </c>
      <c r="M382" t="n">
        <v>0</v>
      </c>
      <c r="N382" t="n">
        <v>0</v>
      </c>
      <c r="O382" t="n">
        <v>0</v>
      </c>
      <c r="P382" t="n">
        <v>0</v>
      </c>
      <c r="Q382" t="n">
        <v>0</v>
      </c>
      <c r="R382" s="2" t="inlineStr"/>
    </row>
    <row r="383" ht="15" customHeight="1">
      <c r="A383" t="inlineStr">
        <is>
          <t>A 26007-2025</t>
        </is>
      </c>
      <c r="B383" s="1" t="n">
        <v>45804.67081018518</v>
      </c>
      <c r="C383" s="1" t="n">
        <v>45933</v>
      </c>
      <c r="D383" t="inlineStr">
        <is>
          <t>ÖSTERGÖTLANDS LÄN</t>
        </is>
      </c>
      <c r="E383" t="inlineStr">
        <is>
          <t>LINKÖPING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2389-2023</t>
        </is>
      </c>
      <c r="B384" s="1" t="n">
        <v>44942</v>
      </c>
      <c r="C384" s="1" t="n">
        <v>45933</v>
      </c>
      <c r="D384" t="inlineStr">
        <is>
          <t>ÖSTERGÖTLANDS LÄN</t>
        </is>
      </c>
      <c r="E384" t="inlineStr">
        <is>
          <t>LINKÖPING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35179-2025</t>
        </is>
      </c>
      <c r="B385" s="1" t="n">
        <v>45852.93737268518</v>
      </c>
      <c r="C385" s="1" t="n">
        <v>45933</v>
      </c>
      <c r="D385" t="inlineStr">
        <is>
          <t>ÖSTERGÖTLANDS LÄN</t>
        </is>
      </c>
      <c r="E385" t="inlineStr">
        <is>
          <t>LINKÖPING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35180-2025</t>
        </is>
      </c>
      <c r="B386" s="1" t="n">
        <v>45852.9413425926</v>
      </c>
      <c r="C386" s="1" t="n">
        <v>45933</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3627-2023</t>
        </is>
      </c>
      <c r="B387" s="1" t="n">
        <v>44950.64782407408</v>
      </c>
      <c r="C387" s="1" t="n">
        <v>45933</v>
      </c>
      <c r="D387" t="inlineStr">
        <is>
          <t>ÖSTERGÖTLANDS LÄN</t>
        </is>
      </c>
      <c r="E387" t="inlineStr">
        <is>
          <t>LINKÖPING</t>
        </is>
      </c>
      <c r="G387" t="n">
        <v>3.1</v>
      </c>
      <c r="H387" t="n">
        <v>0</v>
      </c>
      <c r="I387" t="n">
        <v>0</v>
      </c>
      <c r="J387" t="n">
        <v>0</v>
      </c>
      <c r="K387" t="n">
        <v>0</v>
      </c>
      <c r="L387" t="n">
        <v>0</v>
      </c>
      <c r="M387" t="n">
        <v>0</v>
      </c>
      <c r="N387" t="n">
        <v>0</v>
      </c>
      <c r="O387" t="n">
        <v>0</v>
      </c>
      <c r="P387" t="n">
        <v>0</v>
      </c>
      <c r="Q387" t="n">
        <v>0</v>
      </c>
      <c r="R387" s="2" t="inlineStr"/>
    </row>
    <row r="388" ht="15" customHeight="1">
      <c r="A388" t="inlineStr">
        <is>
          <t>A 62687-2023</t>
        </is>
      </c>
      <c r="B388" s="1" t="n">
        <v>45271</v>
      </c>
      <c r="C388" s="1" t="n">
        <v>45933</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18891-2022</t>
        </is>
      </c>
      <c r="B389" s="1" t="n">
        <v>44690</v>
      </c>
      <c r="C389" s="1" t="n">
        <v>45933</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53812-2023</t>
        </is>
      </c>
      <c r="B390" s="1" t="n">
        <v>45231.39583333334</v>
      </c>
      <c r="C390" s="1" t="n">
        <v>45933</v>
      </c>
      <c r="D390" t="inlineStr">
        <is>
          <t>ÖSTERGÖTLANDS LÄN</t>
        </is>
      </c>
      <c r="E390" t="inlineStr">
        <is>
          <t>LINKÖPING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53830-2023</t>
        </is>
      </c>
      <c r="B391" s="1" t="n">
        <v>45230</v>
      </c>
      <c r="C391" s="1" t="n">
        <v>45933</v>
      </c>
      <c r="D391" t="inlineStr">
        <is>
          <t>ÖSTERGÖTLANDS LÄN</t>
        </is>
      </c>
      <c r="E391" t="inlineStr">
        <is>
          <t>LINKÖPING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55345-2021</t>
        </is>
      </c>
      <c r="B392" s="1" t="n">
        <v>44475</v>
      </c>
      <c r="C392" s="1" t="n">
        <v>45933</v>
      </c>
      <c r="D392" t="inlineStr">
        <is>
          <t>ÖSTERGÖTLANDS LÄN</t>
        </is>
      </c>
      <c r="E392" t="inlineStr">
        <is>
          <t>LINKÖPING</t>
        </is>
      </c>
      <c r="G392" t="n">
        <v>5.7</v>
      </c>
      <c r="H392" t="n">
        <v>0</v>
      </c>
      <c r="I392" t="n">
        <v>0</v>
      </c>
      <c r="J392" t="n">
        <v>0</v>
      </c>
      <c r="K392" t="n">
        <v>0</v>
      </c>
      <c r="L392" t="n">
        <v>0</v>
      </c>
      <c r="M392" t="n">
        <v>0</v>
      </c>
      <c r="N392" t="n">
        <v>0</v>
      </c>
      <c r="O392" t="n">
        <v>0</v>
      </c>
      <c r="P392" t="n">
        <v>0</v>
      </c>
      <c r="Q392" t="n">
        <v>0</v>
      </c>
      <c r="R392" s="2" t="inlineStr"/>
    </row>
    <row r="393" ht="15" customHeight="1">
      <c r="A393" t="inlineStr">
        <is>
          <t>A 26620-2023</t>
        </is>
      </c>
      <c r="B393" s="1" t="n">
        <v>45092.70390046296</v>
      </c>
      <c r="C393" s="1" t="n">
        <v>45933</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38715-2023</t>
        </is>
      </c>
      <c r="B394" s="1" t="n">
        <v>45160</v>
      </c>
      <c r="C394" s="1" t="n">
        <v>45933</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35747-2025</t>
        </is>
      </c>
      <c r="B395" s="1" t="n">
        <v>45860.56385416666</v>
      </c>
      <c r="C395" s="1" t="n">
        <v>45933</v>
      </c>
      <c r="D395" t="inlineStr">
        <is>
          <t>ÖSTERGÖTLANDS LÄN</t>
        </is>
      </c>
      <c r="E395" t="inlineStr">
        <is>
          <t>LINKÖPING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56180-2024</t>
        </is>
      </c>
      <c r="B396" s="1" t="n">
        <v>45624.56611111111</v>
      </c>
      <c r="C396" s="1" t="n">
        <v>45933</v>
      </c>
      <c r="D396" t="inlineStr">
        <is>
          <t>ÖSTERGÖTLANDS LÄN</t>
        </is>
      </c>
      <c r="E396" t="inlineStr">
        <is>
          <t>LINKÖPING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938-2023</t>
        </is>
      </c>
      <c r="B397" s="1" t="n">
        <v>44933</v>
      </c>
      <c r="C397" s="1" t="n">
        <v>45933</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41511-2025</t>
        </is>
      </c>
      <c r="B398" s="1" t="n">
        <v>45901.53839120371</v>
      </c>
      <c r="C398" s="1" t="n">
        <v>45933</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25418-2023</t>
        </is>
      </c>
      <c r="B399" s="1" t="n">
        <v>45089</v>
      </c>
      <c r="C399" s="1" t="n">
        <v>45933</v>
      </c>
      <c r="D399" t="inlineStr">
        <is>
          <t>ÖSTERGÖTLANDS LÄN</t>
        </is>
      </c>
      <c r="E399" t="inlineStr">
        <is>
          <t>LINKÖPING</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35745-2025</t>
        </is>
      </c>
      <c r="B400" s="1" t="n">
        <v>45860.54739583333</v>
      </c>
      <c r="C400" s="1" t="n">
        <v>45933</v>
      </c>
      <c r="D400" t="inlineStr">
        <is>
          <t>ÖSTERGÖTLANDS LÄN</t>
        </is>
      </c>
      <c r="E400" t="inlineStr">
        <is>
          <t>LINKÖPING</t>
        </is>
      </c>
      <c r="G400" t="n">
        <v>4.4</v>
      </c>
      <c r="H400" t="n">
        <v>0</v>
      </c>
      <c r="I400" t="n">
        <v>0</v>
      </c>
      <c r="J400" t="n">
        <v>0</v>
      </c>
      <c r="K400" t="n">
        <v>0</v>
      </c>
      <c r="L400" t="n">
        <v>0</v>
      </c>
      <c r="M400" t="n">
        <v>0</v>
      </c>
      <c r="N400" t="n">
        <v>0</v>
      </c>
      <c r="O400" t="n">
        <v>0</v>
      </c>
      <c r="P400" t="n">
        <v>0</v>
      </c>
      <c r="Q400" t="n">
        <v>0</v>
      </c>
      <c r="R400" s="2" t="inlineStr"/>
    </row>
    <row r="401" ht="15" customHeight="1">
      <c r="A401" t="inlineStr">
        <is>
          <t>A 35757-2025</t>
        </is>
      </c>
      <c r="B401" s="1" t="n">
        <v>45860.59876157407</v>
      </c>
      <c r="C401" s="1" t="n">
        <v>45933</v>
      </c>
      <c r="D401" t="inlineStr">
        <is>
          <t>ÖSTERGÖTLANDS LÄN</t>
        </is>
      </c>
      <c r="E401" t="inlineStr">
        <is>
          <t>LINKÖPING</t>
        </is>
      </c>
      <c r="G401" t="n">
        <v>5.7</v>
      </c>
      <c r="H401" t="n">
        <v>0</v>
      </c>
      <c r="I401" t="n">
        <v>0</v>
      </c>
      <c r="J401" t="n">
        <v>0</v>
      </c>
      <c r="K401" t="n">
        <v>0</v>
      </c>
      <c r="L401" t="n">
        <v>0</v>
      </c>
      <c r="M401" t="n">
        <v>0</v>
      </c>
      <c r="N401" t="n">
        <v>0</v>
      </c>
      <c r="O401" t="n">
        <v>0</v>
      </c>
      <c r="P401" t="n">
        <v>0</v>
      </c>
      <c r="Q401" t="n">
        <v>0</v>
      </c>
      <c r="R401" s="2" t="inlineStr"/>
    </row>
    <row r="402" ht="15" customHeight="1">
      <c r="A402" t="inlineStr">
        <is>
          <t>A 41706-2025</t>
        </is>
      </c>
      <c r="B402" s="1" t="n">
        <v>45902.42209490741</v>
      </c>
      <c r="C402" s="1" t="n">
        <v>45933</v>
      </c>
      <c r="D402" t="inlineStr">
        <is>
          <t>ÖSTERGÖTLANDS LÄN</t>
        </is>
      </c>
      <c r="E402" t="inlineStr">
        <is>
          <t>LINKÖPING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60007-2022</t>
        </is>
      </c>
      <c r="B403" s="1" t="n">
        <v>44909.47282407407</v>
      </c>
      <c r="C403" s="1" t="n">
        <v>45933</v>
      </c>
      <c r="D403" t="inlineStr">
        <is>
          <t>ÖSTERGÖTLANDS LÄN</t>
        </is>
      </c>
      <c r="E403" t="inlineStr">
        <is>
          <t>LINKÖPING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35759-2025</t>
        </is>
      </c>
      <c r="B404" s="1" t="n">
        <v>45860</v>
      </c>
      <c r="C404" s="1" t="n">
        <v>45933</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59948-2022</t>
        </is>
      </c>
      <c r="B405" s="1" t="n">
        <v>44909</v>
      </c>
      <c r="C405" s="1" t="n">
        <v>45933</v>
      </c>
      <c r="D405" t="inlineStr">
        <is>
          <t>ÖSTERGÖTLANDS LÄN</t>
        </is>
      </c>
      <c r="E405" t="inlineStr">
        <is>
          <t>LINKÖPING</t>
        </is>
      </c>
      <c r="G405" t="n">
        <v>6.7</v>
      </c>
      <c r="H405" t="n">
        <v>0</v>
      </c>
      <c r="I405" t="n">
        <v>0</v>
      </c>
      <c r="J405" t="n">
        <v>0</v>
      </c>
      <c r="K405" t="n">
        <v>0</v>
      </c>
      <c r="L405" t="n">
        <v>0</v>
      </c>
      <c r="M405" t="n">
        <v>0</v>
      </c>
      <c r="N405" t="n">
        <v>0</v>
      </c>
      <c r="O405" t="n">
        <v>0</v>
      </c>
      <c r="P405" t="n">
        <v>0</v>
      </c>
      <c r="Q405" t="n">
        <v>0</v>
      </c>
      <c r="R405" s="2" t="inlineStr"/>
    </row>
    <row r="406" ht="15" customHeight="1">
      <c r="A406" t="inlineStr">
        <is>
          <t>A 11601-2023</t>
        </is>
      </c>
      <c r="B406" s="1" t="n">
        <v>44994</v>
      </c>
      <c r="C406" s="1" t="n">
        <v>45933</v>
      </c>
      <c r="D406" t="inlineStr">
        <is>
          <t>ÖSTERGÖTLANDS LÄN</t>
        </is>
      </c>
      <c r="E406" t="inlineStr">
        <is>
          <t>LINKÖPING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27766-2022</t>
        </is>
      </c>
      <c r="B407" s="1" t="n">
        <v>44743.53112268518</v>
      </c>
      <c r="C407" s="1" t="n">
        <v>45933</v>
      </c>
      <c r="D407" t="inlineStr">
        <is>
          <t>ÖSTERGÖTLANDS LÄN</t>
        </is>
      </c>
      <c r="E407" t="inlineStr">
        <is>
          <t>LINKÖPING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61281-2021</t>
        </is>
      </c>
      <c r="B408" s="1" t="n">
        <v>44498.60736111111</v>
      </c>
      <c r="C408" s="1" t="n">
        <v>45933</v>
      </c>
      <c r="D408" t="inlineStr">
        <is>
          <t>ÖSTERGÖTLANDS LÄN</t>
        </is>
      </c>
      <c r="E408" t="inlineStr">
        <is>
          <t>LINKÖPING</t>
        </is>
      </c>
      <c r="G408" t="n">
        <v>4.5</v>
      </c>
      <c r="H408" t="n">
        <v>0</v>
      </c>
      <c r="I408" t="n">
        <v>0</v>
      </c>
      <c r="J408" t="n">
        <v>0</v>
      </c>
      <c r="K408" t="n">
        <v>0</v>
      </c>
      <c r="L408" t="n">
        <v>0</v>
      </c>
      <c r="M408" t="n">
        <v>0</v>
      </c>
      <c r="N408" t="n">
        <v>0</v>
      </c>
      <c r="O408" t="n">
        <v>0</v>
      </c>
      <c r="P408" t="n">
        <v>0</v>
      </c>
      <c r="Q408" t="n">
        <v>0</v>
      </c>
      <c r="R408" s="2" t="inlineStr"/>
    </row>
    <row r="409" ht="15" customHeight="1">
      <c r="A409" t="inlineStr">
        <is>
          <t>A 63935-2021</t>
        </is>
      </c>
      <c r="B409" s="1" t="n">
        <v>44509</v>
      </c>
      <c r="C409" s="1" t="n">
        <v>45933</v>
      </c>
      <c r="D409" t="inlineStr">
        <is>
          <t>ÖSTERGÖTLANDS LÄN</t>
        </is>
      </c>
      <c r="E409" t="inlineStr">
        <is>
          <t>LINKÖPING</t>
        </is>
      </c>
      <c r="F409" t="inlineStr">
        <is>
          <t>Övriga statliga verk och myndigheter</t>
        </is>
      </c>
      <c r="G409" t="n">
        <v>2.8</v>
      </c>
      <c r="H409" t="n">
        <v>0</v>
      </c>
      <c r="I409" t="n">
        <v>0</v>
      </c>
      <c r="J409" t="n">
        <v>0</v>
      </c>
      <c r="K409" t="n">
        <v>0</v>
      </c>
      <c r="L409" t="n">
        <v>0</v>
      </c>
      <c r="M409" t="n">
        <v>0</v>
      </c>
      <c r="N409" t="n">
        <v>0</v>
      </c>
      <c r="O409" t="n">
        <v>0</v>
      </c>
      <c r="P409" t="n">
        <v>0</v>
      </c>
      <c r="Q409" t="n">
        <v>0</v>
      </c>
      <c r="R409" s="2" t="inlineStr"/>
    </row>
    <row r="410" ht="15" customHeight="1">
      <c r="A410" t="inlineStr">
        <is>
          <t>A 42623-2025</t>
        </is>
      </c>
      <c r="B410" s="1" t="n">
        <v>45905</v>
      </c>
      <c r="C410" s="1" t="n">
        <v>45933</v>
      </c>
      <c r="D410" t="inlineStr">
        <is>
          <t>ÖSTERGÖTLANDS LÄN</t>
        </is>
      </c>
      <c r="E410" t="inlineStr">
        <is>
          <t>LINKÖPING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42626-2025</t>
        </is>
      </c>
      <c r="B411" s="1" t="n">
        <v>45905</v>
      </c>
      <c r="C411" s="1" t="n">
        <v>45933</v>
      </c>
      <c r="D411" t="inlineStr">
        <is>
          <t>ÖSTERGÖTLANDS LÄN</t>
        </is>
      </c>
      <c r="E411" t="inlineStr">
        <is>
          <t>LINKÖPING</t>
        </is>
      </c>
      <c r="G411" t="n">
        <v>3.6</v>
      </c>
      <c r="H411" t="n">
        <v>0</v>
      </c>
      <c r="I411" t="n">
        <v>0</v>
      </c>
      <c r="J411" t="n">
        <v>0</v>
      </c>
      <c r="K411" t="n">
        <v>0</v>
      </c>
      <c r="L411" t="n">
        <v>0</v>
      </c>
      <c r="M411" t="n">
        <v>0</v>
      </c>
      <c r="N411" t="n">
        <v>0</v>
      </c>
      <c r="O411" t="n">
        <v>0</v>
      </c>
      <c r="P411" t="n">
        <v>0</v>
      </c>
      <c r="Q411" t="n">
        <v>0</v>
      </c>
      <c r="R411" s="2" t="inlineStr"/>
    </row>
    <row r="412" ht="15" customHeight="1">
      <c r="A412" t="inlineStr">
        <is>
          <t>A 61227-2024</t>
        </is>
      </c>
      <c r="B412" s="1" t="n">
        <v>45645.66853009259</v>
      </c>
      <c r="C412" s="1" t="n">
        <v>45933</v>
      </c>
      <c r="D412" t="inlineStr">
        <is>
          <t>ÖSTERGÖTLANDS LÄN</t>
        </is>
      </c>
      <c r="E412" t="inlineStr">
        <is>
          <t>LINKÖPING</t>
        </is>
      </c>
      <c r="G412" t="n">
        <v>6</v>
      </c>
      <c r="H412" t="n">
        <v>0</v>
      </c>
      <c r="I412" t="n">
        <v>0</v>
      </c>
      <c r="J412" t="n">
        <v>0</v>
      </c>
      <c r="K412" t="n">
        <v>0</v>
      </c>
      <c r="L412" t="n">
        <v>0</v>
      </c>
      <c r="M412" t="n">
        <v>0</v>
      </c>
      <c r="N412" t="n">
        <v>0</v>
      </c>
      <c r="O412" t="n">
        <v>0</v>
      </c>
      <c r="P412" t="n">
        <v>0</v>
      </c>
      <c r="Q412" t="n">
        <v>0</v>
      </c>
      <c r="R412" s="2" t="inlineStr"/>
    </row>
    <row r="413" ht="15" customHeight="1">
      <c r="A413" t="inlineStr">
        <is>
          <t>A 25292-2021</t>
        </is>
      </c>
      <c r="B413" s="1" t="n">
        <v>44342</v>
      </c>
      <c r="C413" s="1" t="n">
        <v>45933</v>
      </c>
      <c r="D413" t="inlineStr">
        <is>
          <t>ÖSTERGÖTLANDS LÄN</t>
        </is>
      </c>
      <c r="E413" t="inlineStr">
        <is>
          <t>LINKÖPING</t>
        </is>
      </c>
      <c r="F413" t="inlineStr">
        <is>
          <t>Övriga Aktiebolag</t>
        </is>
      </c>
      <c r="G413" t="n">
        <v>12.8</v>
      </c>
      <c r="H413" t="n">
        <v>0</v>
      </c>
      <c r="I413" t="n">
        <v>0</v>
      </c>
      <c r="J413" t="n">
        <v>0</v>
      </c>
      <c r="K413" t="n">
        <v>0</v>
      </c>
      <c r="L413" t="n">
        <v>0</v>
      </c>
      <c r="M413" t="n">
        <v>0</v>
      </c>
      <c r="N413" t="n">
        <v>0</v>
      </c>
      <c r="O413" t="n">
        <v>0</v>
      </c>
      <c r="P413" t="n">
        <v>0</v>
      </c>
      <c r="Q413" t="n">
        <v>0</v>
      </c>
      <c r="R413" s="2" t="inlineStr"/>
    </row>
    <row r="414" ht="15" customHeight="1">
      <c r="A414" t="inlineStr">
        <is>
          <t>A 1260-2023</t>
        </is>
      </c>
      <c r="B414" s="1" t="n">
        <v>44936</v>
      </c>
      <c r="C414" s="1" t="n">
        <v>45933</v>
      </c>
      <c r="D414" t="inlineStr">
        <is>
          <t>ÖSTERGÖTLANDS LÄN</t>
        </is>
      </c>
      <c r="E414" t="inlineStr">
        <is>
          <t>LINKÖPING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7702-2023</t>
        </is>
      </c>
      <c r="B415" s="1" t="n">
        <v>44967</v>
      </c>
      <c r="C415" s="1" t="n">
        <v>45933</v>
      </c>
      <c r="D415" t="inlineStr">
        <is>
          <t>ÖSTERGÖTLANDS LÄN</t>
        </is>
      </c>
      <c r="E415" t="inlineStr">
        <is>
          <t>LINKÖPING</t>
        </is>
      </c>
      <c r="F415" t="inlineStr">
        <is>
          <t>Övriga statliga verk och myndigheter</t>
        </is>
      </c>
      <c r="G415" t="n">
        <v>8</v>
      </c>
      <c r="H415" t="n">
        <v>0</v>
      </c>
      <c r="I415" t="n">
        <v>0</v>
      </c>
      <c r="J415" t="n">
        <v>0</v>
      </c>
      <c r="K415" t="n">
        <v>0</v>
      </c>
      <c r="L415" t="n">
        <v>0</v>
      </c>
      <c r="M415" t="n">
        <v>0</v>
      </c>
      <c r="N415" t="n">
        <v>0</v>
      </c>
      <c r="O415" t="n">
        <v>0</v>
      </c>
      <c r="P415" t="n">
        <v>0</v>
      </c>
      <c r="Q415" t="n">
        <v>0</v>
      </c>
      <c r="R415" s="2" t="inlineStr"/>
    </row>
    <row r="416" ht="15" customHeight="1">
      <c r="A416" t="inlineStr">
        <is>
          <t>A 48271-2023</t>
        </is>
      </c>
      <c r="B416" s="1" t="n">
        <v>45205</v>
      </c>
      <c r="C416" s="1" t="n">
        <v>45933</v>
      </c>
      <c r="D416" t="inlineStr">
        <is>
          <t>ÖSTERGÖTLANDS LÄN</t>
        </is>
      </c>
      <c r="E416" t="inlineStr">
        <is>
          <t>LINKÖPING</t>
        </is>
      </c>
      <c r="G416" t="n">
        <v>3</v>
      </c>
      <c r="H416" t="n">
        <v>0</v>
      </c>
      <c r="I416" t="n">
        <v>0</v>
      </c>
      <c r="J416" t="n">
        <v>0</v>
      </c>
      <c r="K416" t="n">
        <v>0</v>
      </c>
      <c r="L416" t="n">
        <v>0</v>
      </c>
      <c r="M416" t="n">
        <v>0</v>
      </c>
      <c r="N416" t="n">
        <v>0</v>
      </c>
      <c r="O416" t="n">
        <v>0</v>
      </c>
      <c r="P416" t="n">
        <v>0</v>
      </c>
      <c r="Q416" t="n">
        <v>0</v>
      </c>
      <c r="R416" s="2" t="inlineStr"/>
    </row>
    <row r="417" ht="15" customHeight="1">
      <c r="A417" t="inlineStr">
        <is>
          <t>A 42624-2025</t>
        </is>
      </c>
      <c r="B417" s="1" t="n">
        <v>45905</v>
      </c>
      <c r="C417" s="1" t="n">
        <v>45933</v>
      </c>
      <c r="D417" t="inlineStr">
        <is>
          <t>ÖSTERGÖTLANDS LÄN</t>
        </is>
      </c>
      <c r="E417" t="inlineStr">
        <is>
          <t>LINKÖPING</t>
        </is>
      </c>
      <c r="G417" t="n">
        <v>1.5</v>
      </c>
      <c r="H417" t="n">
        <v>0</v>
      </c>
      <c r="I417" t="n">
        <v>0</v>
      </c>
      <c r="J417" t="n">
        <v>0</v>
      </c>
      <c r="K417" t="n">
        <v>0</v>
      </c>
      <c r="L417" t="n">
        <v>0</v>
      </c>
      <c r="M417" t="n">
        <v>0</v>
      </c>
      <c r="N417" t="n">
        <v>0</v>
      </c>
      <c r="O417" t="n">
        <v>0</v>
      </c>
      <c r="P417" t="n">
        <v>0</v>
      </c>
      <c r="Q417" t="n">
        <v>0</v>
      </c>
      <c r="R417" s="2" t="inlineStr"/>
    </row>
    <row r="418" ht="15" customHeight="1">
      <c r="A418" t="inlineStr">
        <is>
          <t>A 674-2024</t>
        </is>
      </c>
      <c r="B418" s="1" t="n">
        <v>45300.34408564815</v>
      </c>
      <c r="C418" s="1" t="n">
        <v>45933</v>
      </c>
      <c r="D418" t="inlineStr">
        <is>
          <t>ÖSTERGÖTLANDS LÄN</t>
        </is>
      </c>
      <c r="E418" t="inlineStr">
        <is>
          <t>LINKÖPING</t>
        </is>
      </c>
      <c r="F418" t="inlineStr">
        <is>
          <t>Sveaskog</t>
        </is>
      </c>
      <c r="G418" t="n">
        <v>2.9</v>
      </c>
      <c r="H418" t="n">
        <v>0</v>
      </c>
      <c r="I418" t="n">
        <v>0</v>
      </c>
      <c r="J418" t="n">
        <v>0</v>
      </c>
      <c r="K418" t="n">
        <v>0</v>
      </c>
      <c r="L418" t="n">
        <v>0</v>
      </c>
      <c r="M418" t="n">
        <v>0</v>
      </c>
      <c r="N418" t="n">
        <v>0</v>
      </c>
      <c r="O418" t="n">
        <v>0</v>
      </c>
      <c r="P418" t="n">
        <v>0</v>
      </c>
      <c r="Q418" t="n">
        <v>0</v>
      </c>
      <c r="R418" s="2" t="inlineStr"/>
    </row>
    <row r="419" ht="15" customHeight="1">
      <c r="A419" t="inlineStr">
        <is>
          <t>A 63684-2023</t>
        </is>
      </c>
      <c r="B419" s="1" t="n">
        <v>45275</v>
      </c>
      <c r="C419" s="1" t="n">
        <v>45933</v>
      </c>
      <c r="D419" t="inlineStr">
        <is>
          <t>ÖSTERGÖTLANDS LÄN</t>
        </is>
      </c>
      <c r="E419" t="inlineStr">
        <is>
          <t>LINKÖPING</t>
        </is>
      </c>
      <c r="G419" t="n">
        <v>0.4</v>
      </c>
      <c r="H419" t="n">
        <v>0</v>
      </c>
      <c r="I419" t="n">
        <v>0</v>
      </c>
      <c r="J419" t="n">
        <v>0</v>
      </c>
      <c r="K419" t="n">
        <v>0</v>
      </c>
      <c r="L419" t="n">
        <v>0</v>
      </c>
      <c r="M419" t="n">
        <v>0</v>
      </c>
      <c r="N419" t="n">
        <v>0</v>
      </c>
      <c r="O419" t="n">
        <v>0</v>
      </c>
      <c r="P419" t="n">
        <v>0</v>
      </c>
      <c r="Q419" t="n">
        <v>0</v>
      </c>
      <c r="R419" s="2" t="inlineStr"/>
    </row>
    <row r="420" ht="15" customHeight="1">
      <c r="A420" t="inlineStr">
        <is>
          <t>A 167-2024</t>
        </is>
      </c>
      <c r="B420" s="1" t="n">
        <v>45294</v>
      </c>
      <c r="C420" s="1" t="n">
        <v>45933</v>
      </c>
      <c r="D420" t="inlineStr">
        <is>
          <t>ÖSTERGÖTLANDS LÄN</t>
        </is>
      </c>
      <c r="E420" t="inlineStr">
        <is>
          <t>LINKÖPING</t>
        </is>
      </c>
      <c r="F420" t="inlineStr">
        <is>
          <t>Allmännings- och besparingsskogar</t>
        </is>
      </c>
      <c r="G420" t="n">
        <v>11.6</v>
      </c>
      <c r="H420" t="n">
        <v>0</v>
      </c>
      <c r="I420" t="n">
        <v>0</v>
      </c>
      <c r="J420" t="n">
        <v>0</v>
      </c>
      <c r="K420" t="n">
        <v>0</v>
      </c>
      <c r="L420" t="n">
        <v>0</v>
      </c>
      <c r="M420" t="n">
        <v>0</v>
      </c>
      <c r="N420" t="n">
        <v>0</v>
      </c>
      <c r="O420" t="n">
        <v>0</v>
      </c>
      <c r="P420" t="n">
        <v>0</v>
      </c>
      <c r="Q420" t="n">
        <v>0</v>
      </c>
      <c r="R420" s="2" t="inlineStr"/>
    </row>
    <row r="421" ht="15" customHeight="1">
      <c r="A421" t="inlineStr">
        <is>
          <t>A 36725-2023</t>
        </is>
      </c>
      <c r="B421" s="1" t="n">
        <v>45153.68471064815</v>
      </c>
      <c r="C421" s="1" t="n">
        <v>45933</v>
      </c>
      <c r="D421" t="inlineStr">
        <is>
          <t>ÖSTERGÖTLANDS LÄN</t>
        </is>
      </c>
      <c r="E421" t="inlineStr">
        <is>
          <t>LINKÖPING</t>
        </is>
      </c>
      <c r="F421" t="inlineStr">
        <is>
          <t>Allmännings- och besparingsskogar</t>
        </is>
      </c>
      <c r="G421" t="n">
        <v>2.6</v>
      </c>
      <c r="H421" t="n">
        <v>0</v>
      </c>
      <c r="I421" t="n">
        <v>0</v>
      </c>
      <c r="J421" t="n">
        <v>0</v>
      </c>
      <c r="K421" t="n">
        <v>0</v>
      </c>
      <c r="L421" t="n">
        <v>0</v>
      </c>
      <c r="M421" t="n">
        <v>0</v>
      </c>
      <c r="N421" t="n">
        <v>0</v>
      </c>
      <c r="O421" t="n">
        <v>0</v>
      </c>
      <c r="P421" t="n">
        <v>0</v>
      </c>
      <c r="Q421" t="n">
        <v>0</v>
      </c>
      <c r="R421" s="2" t="inlineStr"/>
    </row>
    <row r="422" ht="15" customHeight="1">
      <c r="A422" t="inlineStr">
        <is>
          <t>A 27343-2023</t>
        </is>
      </c>
      <c r="B422" s="1" t="n">
        <v>45096</v>
      </c>
      <c r="C422" s="1" t="n">
        <v>45933</v>
      </c>
      <c r="D422" t="inlineStr">
        <is>
          <t>ÖSTERGÖTLANDS LÄN</t>
        </is>
      </c>
      <c r="E422" t="inlineStr">
        <is>
          <t>LINKÖPING</t>
        </is>
      </c>
      <c r="F422" t="inlineStr">
        <is>
          <t>Allmännings- och besparingsskogar</t>
        </is>
      </c>
      <c r="G422" t="n">
        <v>6.9</v>
      </c>
      <c r="H422" t="n">
        <v>0</v>
      </c>
      <c r="I422" t="n">
        <v>0</v>
      </c>
      <c r="J422" t="n">
        <v>0</v>
      </c>
      <c r="K422" t="n">
        <v>0</v>
      </c>
      <c r="L422" t="n">
        <v>0</v>
      </c>
      <c r="M422" t="n">
        <v>0</v>
      </c>
      <c r="N422" t="n">
        <v>0</v>
      </c>
      <c r="O422" t="n">
        <v>0</v>
      </c>
      <c r="P422" t="n">
        <v>0</v>
      </c>
      <c r="Q422" t="n">
        <v>0</v>
      </c>
      <c r="R422" s="2" t="inlineStr"/>
    </row>
    <row r="423" ht="15" customHeight="1">
      <c r="A423" t="inlineStr">
        <is>
          <t>A 13266-2025</t>
        </is>
      </c>
      <c r="B423" s="1" t="n">
        <v>45735.53318287037</v>
      </c>
      <c r="C423" s="1" t="n">
        <v>45933</v>
      </c>
      <c r="D423" t="inlineStr">
        <is>
          <t>ÖSTERGÖTLANDS LÄN</t>
        </is>
      </c>
      <c r="E423" t="inlineStr">
        <is>
          <t>LINKÖPING</t>
        </is>
      </c>
      <c r="G423" t="n">
        <v>3.1</v>
      </c>
      <c r="H423" t="n">
        <v>0</v>
      </c>
      <c r="I423" t="n">
        <v>0</v>
      </c>
      <c r="J423" t="n">
        <v>0</v>
      </c>
      <c r="K423" t="n">
        <v>0</v>
      </c>
      <c r="L423" t="n">
        <v>0</v>
      </c>
      <c r="M423" t="n">
        <v>0</v>
      </c>
      <c r="N423" t="n">
        <v>0</v>
      </c>
      <c r="O423" t="n">
        <v>0</v>
      </c>
      <c r="P423" t="n">
        <v>0</v>
      </c>
      <c r="Q423" t="n">
        <v>0</v>
      </c>
      <c r="R423" s="2" t="inlineStr"/>
    </row>
    <row r="424" ht="15" customHeight="1">
      <c r="A424" t="inlineStr">
        <is>
          <t>A 46377-2025</t>
        </is>
      </c>
      <c r="B424" s="1" t="n">
        <v>45925.51773148148</v>
      </c>
      <c r="C424" s="1" t="n">
        <v>45933</v>
      </c>
      <c r="D424" t="inlineStr">
        <is>
          <t>ÖSTERGÖTLANDS LÄN</t>
        </is>
      </c>
      <c r="E424" t="inlineStr">
        <is>
          <t>LINKÖPING</t>
        </is>
      </c>
      <c r="G424" t="n">
        <v>3.1</v>
      </c>
      <c r="H424" t="n">
        <v>0</v>
      </c>
      <c r="I424" t="n">
        <v>0</v>
      </c>
      <c r="J424" t="n">
        <v>0</v>
      </c>
      <c r="K424" t="n">
        <v>0</v>
      </c>
      <c r="L424" t="n">
        <v>0</v>
      </c>
      <c r="M424" t="n">
        <v>0</v>
      </c>
      <c r="N424" t="n">
        <v>0</v>
      </c>
      <c r="O424" t="n">
        <v>0</v>
      </c>
      <c r="P424" t="n">
        <v>0</v>
      </c>
      <c r="Q424" t="n">
        <v>0</v>
      </c>
      <c r="R424" s="2" t="inlineStr"/>
    </row>
    <row r="425" ht="15" customHeight="1">
      <c r="A425" t="inlineStr">
        <is>
          <t>A 22774-2024</t>
        </is>
      </c>
      <c r="B425" s="1" t="n">
        <v>45448.46924768519</v>
      </c>
      <c r="C425" s="1" t="n">
        <v>45933</v>
      </c>
      <c r="D425" t="inlineStr">
        <is>
          <t>ÖSTERGÖTLANDS LÄN</t>
        </is>
      </c>
      <c r="E425" t="inlineStr">
        <is>
          <t>LINKÖPING</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22778-2024</t>
        </is>
      </c>
      <c r="B426" s="1" t="n">
        <v>45448.47233796296</v>
      </c>
      <c r="C426" s="1" t="n">
        <v>45933</v>
      </c>
      <c r="D426" t="inlineStr">
        <is>
          <t>ÖSTERGÖTLANDS LÄN</t>
        </is>
      </c>
      <c r="E426" t="inlineStr">
        <is>
          <t>LINKÖPING</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34864-2023</t>
        </is>
      </c>
      <c r="B427" s="1" t="n">
        <v>45141</v>
      </c>
      <c r="C427" s="1" t="n">
        <v>45933</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52531-2023</t>
        </is>
      </c>
      <c r="B428" s="1" t="n">
        <v>45225</v>
      </c>
      <c r="C428" s="1" t="n">
        <v>45933</v>
      </c>
      <c r="D428" t="inlineStr">
        <is>
          <t>ÖSTERGÖTLANDS LÄN</t>
        </is>
      </c>
      <c r="E428" t="inlineStr">
        <is>
          <t>LINKÖPING</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34930-2023</t>
        </is>
      </c>
      <c r="B429" s="1" t="n">
        <v>45142</v>
      </c>
      <c r="C429" s="1" t="n">
        <v>45933</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43755-2025</t>
        </is>
      </c>
      <c r="B430" s="1" t="n">
        <v>45912.47329861111</v>
      </c>
      <c r="C430" s="1" t="n">
        <v>45933</v>
      </c>
      <c r="D430" t="inlineStr">
        <is>
          <t>ÖSTERGÖTLANDS LÄN</t>
        </is>
      </c>
      <c r="E430" t="inlineStr">
        <is>
          <t>LINKÖPING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30985-2022</t>
        </is>
      </c>
      <c r="B431" s="1" t="n">
        <v>44768</v>
      </c>
      <c r="C431" s="1" t="n">
        <v>45933</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60001-2022</t>
        </is>
      </c>
      <c r="B432" s="1" t="n">
        <v>44909.47087962963</v>
      </c>
      <c r="C432" s="1" t="n">
        <v>45933</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39457-2023</t>
        </is>
      </c>
      <c r="B433" s="1" t="n">
        <v>45166</v>
      </c>
      <c r="C433" s="1" t="n">
        <v>45933</v>
      </c>
      <c r="D433" t="inlineStr">
        <is>
          <t>ÖSTERGÖTLANDS LÄN</t>
        </is>
      </c>
      <c r="E433" t="inlineStr">
        <is>
          <t>LINKÖPING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1657-2024</t>
        </is>
      </c>
      <c r="B434" s="1" t="n">
        <v>45306.82501157407</v>
      </c>
      <c r="C434" s="1" t="n">
        <v>45933</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43758-2025</t>
        </is>
      </c>
      <c r="B435" s="1" t="n">
        <v>45912.47711805555</v>
      </c>
      <c r="C435" s="1" t="n">
        <v>45933</v>
      </c>
      <c r="D435" t="inlineStr">
        <is>
          <t>ÖSTERGÖTLANDS LÄN</t>
        </is>
      </c>
      <c r="E435" t="inlineStr">
        <is>
          <t>LINKÖPING</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43753-2025</t>
        </is>
      </c>
      <c r="B436" s="1" t="n">
        <v>45912.4715625</v>
      </c>
      <c r="C436" s="1" t="n">
        <v>45933</v>
      </c>
      <c r="D436" t="inlineStr">
        <is>
          <t>ÖSTERGÖTLANDS LÄN</t>
        </is>
      </c>
      <c r="E436" t="inlineStr">
        <is>
          <t>LINKÖPING</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29293-2025</t>
        </is>
      </c>
      <c r="B437" s="1" t="n">
        <v>45824</v>
      </c>
      <c r="C437" s="1" t="n">
        <v>45933</v>
      </c>
      <c r="D437" t="inlineStr">
        <is>
          <t>ÖSTERGÖTLANDS LÄN</t>
        </is>
      </c>
      <c r="E437" t="inlineStr">
        <is>
          <t>LINKÖPING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39074-2025</t>
        </is>
      </c>
      <c r="B438" s="1" t="n">
        <v>45888</v>
      </c>
      <c r="C438" s="1" t="n">
        <v>45933</v>
      </c>
      <c r="D438" t="inlineStr">
        <is>
          <t>ÖSTERGÖTLANDS LÄN</t>
        </is>
      </c>
      <c r="E438" t="inlineStr">
        <is>
          <t>LINKÖPING</t>
        </is>
      </c>
      <c r="G438" t="n">
        <v>2.9</v>
      </c>
      <c r="H438" t="n">
        <v>0</v>
      </c>
      <c r="I438" t="n">
        <v>0</v>
      </c>
      <c r="J438" t="n">
        <v>0</v>
      </c>
      <c r="K438" t="n">
        <v>0</v>
      </c>
      <c r="L438" t="n">
        <v>0</v>
      </c>
      <c r="M438" t="n">
        <v>0</v>
      </c>
      <c r="N438" t="n">
        <v>0</v>
      </c>
      <c r="O438" t="n">
        <v>0</v>
      </c>
      <c r="P438" t="n">
        <v>0</v>
      </c>
      <c r="Q438" t="n">
        <v>0</v>
      </c>
      <c r="R438" s="2" t="inlineStr"/>
    </row>
    <row r="439" ht="15" customHeight="1">
      <c r="A439" t="inlineStr">
        <is>
          <t>A 59642-2024</t>
        </is>
      </c>
      <c r="B439" s="1" t="n">
        <v>45639.31511574074</v>
      </c>
      <c r="C439" s="1" t="n">
        <v>45933</v>
      </c>
      <c r="D439" t="inlineStr">
        <is>
          <t>ÖSTERGÖTLANDS LÄN</t>
        </is>
      </c>
      <c r="E439" t="inlineStr">
        <is>
          <t>LINKÖPING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15748-2025</t>
        </is>
      </c>
      <c r="B440" s="1" t="n">
        <v>45748.55282407408</v>
      </c>
      <c r="C440" s="1" t="n">
        <v>45933</v>
      </c>
      <c r="D440" t="inlineStr">
        <is>
          <t>ÖSTERGÖTLANDS LÄN</t>
        </is>
      </c>
      <c r="E440" t="inlineStr">
        <is>
          <t>LINKÖPING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31792-2021</t>
        </is>
      </c>
      <c r="B441" s="1" t="n">
        <v>44369</v>
      </c>
      <c r="C441" s="1" t="n">
        <v>45933</v>
      </c>
      <c r="D441" t="inlineStr">
        <is>
          <t>ÖSTERGÖTLANDS LÄN</t>
        </is>
      </c>
      <c r="E441" t="inlineStr">
        <is>
          <t>LINKÖPING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25097-2023</t>
        </is>
      </c>
      <c r="B442" s="1" t="n">
        <v>45086</v>
      </c>
      <c r="C442" s="1" t="n">
        <v>45933</v>
      </c>
      <c r="D442" t="inlineStr">
        <is>
          <t>ÖSTERGÖTLANDS LÄN</t>
        </is>
      </c>
      <c r="E442" t="inlineStr">
        <is>
          <t>LINKÖPING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35735-2023</t>
        </is>
      </c>
      <c r="B443" s="1" t="n">
        <v>45147</v>
      </c>
      <c r="C443" s="1" t="n">
        <v>45933</v>
      </c>
      <c r="D443" t="inlineStr">
        <is>
          <t>ÖSTERGÖTLANDS LÄN</t>
        </is>
      </c>
      <c r="E443" t="inlineStr">
        <is>
          <t>LINKÖPING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16462-2021</t>
        </is>
      </c>
      <c r="B444" s="1" t="n">
        <v>44293</v>
      </c>
      <c r="C444" s="1" t="n">
        <v>45933</v>
      </c>
      <c r="D444" t="inlineStr">
        <is>
          <t>ÖSTERGÖTLANDS LÄN</t>
        </is>
      </c>
      <c r="E444" t="inlineStr">
        <is>
          <t>LINKÖPING</t>
        </is>
      </c>
      <c r="F444" t="inlineStr">
        <is>
          <t>Allmännings- och besparingsskogar</t>
        </is>
      </c>
      <c r="G444" t="n">
        <v>24.7</v>
      </c>
      <c r="H444" t="n">
        <v>0</v>
      </c>
      <c r="I444" t="n">
        <v>0</v>
      </c>
      <c r="J444" t="n">
        <v>0</v>
      </c>
      <c r="K444" t="n">
        <v>0</v>
      </c>
      <c r="L444" t="n">
        <v>0</v>
      </c>
      <c r="M444" t="n">
        <v>0</v>
      </c>
      <c r="N444" t="n">
        <v>0</v>
      </c>
      <c r="O444" t="n">
        <v>0</v>
      </c>
      <c r="P444" t="n">
        <v>0</v>
      </c>
      <c r="Q444" t="n">
        <v>0</v>
      </c>
      <c r="R444" s="2" t="inlineStr"/>
    </row>
    <row r="445" ht="15" customHeight="1">
      <c r="A445" t="inlineStr">
        <is>
          <t>A 30976-2022</t>
        </is>
      </c>
      <c r="B445" s="1" t="n">
        <v>44768</v>
      </c>
      <c r="C445" s="1" t="n">
        <v>45933</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25776-2021</t>
        </is>
      </c>
      <c r="B446" s="1" t="n">
        <v>44343</v>
      </c>
      <c r="C446" s="1" t="n">
        <v>45933</v>
      </c>
      <c r="D446" t="inlineStr">
        <is>
          <t>ÖSTERGÖTLANDS LÄN</t>
        </is>
      </c>
      <c r="E446" t="inlineStr">
        <is>
          <t>LINKÖPING</t>
        </is>
      </c>
      <c r="G446" t="n">
        <v>2.6</v>
      </c>
      <c r="H446" t="n">
        <v>0</v>
      </c>
      <c r="I446" t="n">
        <v>0</v>
      </c>
      <c r="J446" t="n">
        <v>0</v>
      </c>
      <c r="K446" t="n">
        <v>0</v>
      </c>
      <c r="L446" t="n">
        <v>0</v>
      </c>
      <c r="M446" t="n">
        <v>0</v>
      </c>
      <c r="N446" t="n">
        <v>0</v>
      </c>
      <c r="O446" t="n">
        <v>0</v>
      </c>
      <c r="P446" t="n">
        <v>0</v>
      </c>
      <c r="Q446" t="n">
        <v>0</v>
      </c>
      <c r="R446" s="2" t="inlineStr"/>
    </row>
    <row r="447" ht="15" customHeight="1">
      <c r="A447" t="inlineStr">
        <is>
          <t>A 30856-2022</t>
        </is>
      </c>
      <c r="B447" s="1" t="n">
        <v>44767</v>
      </c>
      <c r="C447" s="1" t="n">
        <v>45933</v>
      </c>
      <c r="D447" t="inlineStr">
        <is>
          <t>ÖSTERGÖTLANDS LÄN</t>
        </is>
      </c>
      <c r="E447" t="inlineStr">
        <is>
          <t>LINKÖPING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47233-2025</t>
        </is>
      </c>
      <c r="B448" s="1" t="n">
        <v>45930.40612268518</v>
      </c>
      <c r="C448" s="1" t="n">
        <v>45933</v>
      </c>
      <c r="D448" t="inlineStr">
        <is>
          <t>ÖSTERGÖTLANDS LÄN</t>
        </is>
      </c>
      <c r="E448" t="inlineStr">
        <is>
          <t>LINKÖPING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30860-2022</t>
        </is>
      </c>
      <c r="B449" s="1" t="n">
        <v>44767</v>
      </c>
      <c r="C449" s="1" t="n">
        <v>45933</v>
      </c>
      <c r="D449" t="inlineStr">
        <is>
          <t>ÖSTERGÖTLANDS LÄN</t>
        </is>
      </c>
      <c r="E449" t="inlineStr">
        <is>
          <t>LINKÖPING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19187-2021</t>
        </is>
      </c>
      <c r="B450" s="1" t="n">
        <v>44308</v>
      </c>
      <c r="C450" s="1" t="n">
        <v>45933</v>
      </c>
      <c r="D450" t="inlineStr">
        <is>
          <t>ÖSTERGÖTLANDS LÄN</t>
        </is>
      </c>
      <c r="E450" t="inlineStr">
        <is>
          <t>LINKÖPING</t>
        </is>
      </c>
      <c r="F450" t="inlineStr">
        <is>
          <t>Allmännings- och besparingsskogar</t>
        </is>
      </c>
      <c r="G450" t="n">
        <v>20</v>
      </c>
      <c r="H450" t="n">
        <v>0</v>
      </c>
      <c r="I450" t="n">
        <v>0</v>
      </c>
      <c r="J450" t="n">
        <v>0</v>
      </c>
      <c r="K450" t="n">
        <v>0</v>
      </c>
      <c r="L450" t="n">
        <v>0</v>
      </c>
      <c r="M450" t="n">
        <v>0</v>
      </c>
      <c r="N450" t="n">
        <v>0</v>
      </c>
      <c r="O450" t="n">
        <v>0</v>
      </c>
      <c r="P450" t="n">
        <v>0</v>
      </c>
      <c r="Q450" t="n">
        <v>0</v>
      </c>
      <c r="R450" s="2" t="inlineStr"/>
    </row>
    <row r="451" ht="15" customHeight="1">
      <c r="A451" t="inlineStr">
        <is>
          <t>A 48186-2022</t>
        </is>
      </c>
      <c r="B451" s="1" t="n">
        <v>44858</v>
      </c>
      <c r="C451" s="1" t="n">
        <v>45933</v>
      </c>
      <c r="D451" t="inlineStr">
        <is>
          <t>ÖSTERGÖTLANDS LÄN</t>
        </is>
      </c>
      <c r="E451" t="inlineStr">
        <is>
          <t>LINKÖPING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28266-2024</t>
        </is>
      </c>
      <c r="B452" s="1" t="n">
        <v>45477.43600694444</v>
      </c>
      <c r="C452" s="1" t="n">
        <v>45933</v>
      </c>
      <c r="D452" t="inlineStr">
        <is>
          <t>ÖSTERGÖTLANDS LÄN</t>
        </is>
      </c>
      <c r="E452" t="inlineStr">
        <is>
          <t>LINKÖPING</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31548-2022</t>
        </is>
      </c>
      <c r="B453" s="1" t="n">
        <v>44775.39832175926</v>
      </c>
      <c r="C453" s="1" t="n">
        <v>45933</v>
      </c>
      <c r="D453" t="inlineStr">
        <is>
          <t>ÖSTERGÖTLANDS LÄN</t>
        </is>
      </c>
      <c r="E453" t="inlineStr">
        <is>
          <t>LINKÖPING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44170-2025</t>
        </is>
      </c>
      <c r="B454" s="1" t="n">
        <v>45915.59864583334</v>
      </c>
      <c r="C454" s="1" t="n">
        <v>45933</v>
      </c>
      <c r="D454" t="inlineStr">
        <is>
          <t>ÖSTERGÖTLANDS LÄN</t>
        </is>
      </c>
      <c r="E454" t="inlineStr">
        <is>
          <t>LINKÖPING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39219-2021</t>
        </is>
      </c>
      <c r="B455" s="1" t="n">
        <v>44413</v>
      </c>
      <c r="C455" s="1" t="n">
        <v>45933</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39224-2021</t>
        </is>
      </c>
      <c r="B456" s="1" t="n">
        <v>44413</v>
      </c>
      <c r="C456" s="1" t="n">
        <v>45933</v>
      </c>
      <c r="D456" t="inlineStr">
        <is>
          <t>ÖSTERGÖTLANDS LÄN</t>
        </is>
      </c>
      <c r="E456" t="inlineStr">
        <is>
          <t>LINKÖPING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38971-2025</t>
        </is>
      </c>
      <c r="B457" s="1" t="n">
        <v>45887.71827546296</v>
      </c>
      <c r="C457" s="1" t="n">
        <v>45933</v>
      </c>
      <c r="D457" t="inlineStr">
        <is>
          <t>ÖSTERGÖTLANDS LÄN</t>
        </is>
      </c>
      <c r="E457" t="inlineStr">
        <is>
          <t>LINKÖPING</t>
        </is>
      </c>
      <c r="G457" t="n">
        <v>3.9</v>
      </c>
      <c r="H457" t="n">
        <v>0</v>
      </c>
      <c r="I457" t="n">
        <v>0</v>
      </c>
      <c r="J457" t="n">
        <v>0</v>
      </c>
      <c r="K457" t="n">
        <v>0</v>
      </c>
      <c r="L457" t="n">
        <v>0</v>
      </c>
      <c r="M457" t="n">
        <v>0</v>
      </c>
      <c r="N457" t="n">
        <v>0</v>
      </c>
      <c r="O457" t="n">
        <v>0</v>
      </c>
      <c r="P457" t="n">
        <v>0</v>
      </c>
      <c r="Q457" t="n">
        <v>0</v>
      </c>
      <c r="R457" s="2" t="inlineStr"/>
    </row>
    <row r="458" ht="15" customHeight="1">
      <c r="A458" t="inlineStr">
        <is>
          <t>A 72567-2021</t>
        </is>
      </c>
      <c r="B458" s="1" t="n">
        <v>44546.45023148148</v>
      </c>
      <c r="C458" s="1" t="n">
        <v>45933</v>
      </c>
      <c r="D458" t="inlineStr">
        <is>
          <t>ÖSTERGÖTLANDS LÄN</t>
        </is>
      </c>
      <c r="E458" t="inlineStr">
        <is>
          <t>LINKÖPING</t>
        </is>
      </c>
      <c r="G458" t="n">
        <v>1.6</v>
      </c>
      <c r="H458" t="n">
        <v>0</v>
      </c>
      <c r="I458" t="n">
        <v>0</v>
      </c>
      <c r="J458" t="n">
        <v>0</v>
      </c>
      <c r="K458" t="n">
        <v>0</v>
      </c>
      <c r="L458" t="n">
        <v>0</v>
      </c>
      <c r="M458" t="n">
        <v>0</v>
      </c>
      <c r="N458" t="n">
        <v>0</v>
      </c>
      <c r="O458" t="n">
        <v>0</v>
      </c>
      <c r="P458" t="n">
        <v>0</v>
      </c>
      <c r="Q458" t="n">
        <v>0</v>
      </c>
      <c r="R458" s="2" t="inlineStr"/>
    </row>
    <row r="459" ht="15" customHeight="1">
      <c r="A459" t="inlineStr">
        <is>
          <t>A 37057-2025</t>
        </is>
      </c>
      <c r="B459" s="1" t="n">
        <v>45875.37489583333</v>
      </c>
      <c r="C459" s="1" t="n">
        <v>45933</v>
      </c>
      <c r="D459" t="inlineStr">
        <is>
          <t>ÖSTERGÖTLANDS LÄN</t>
        </is>
      </c>
      <c r="E459" t="inlineStr">
        <is>
          <t>LINKÖPING</t>
        </is>
      </c>
      <c r="G459" t="n">
        <v>3.3</v>
      </c>
      <c r="H459" t="n">
        <v>0</v>
      </c>
      <c r="I459" t="n">
        <v>0</v>
      </c>
      <c r="J459" t="n">
        <v>0</v>
      </c>
      <c r="K459" t="n">
        <v>0</v>
      </c>
      <c r="L459" t="n">
        <v>0</v>
      </c>
      <c r="M459" t="n">
        <v>0</v>
      </c>
      <c r="N459" t="n">
        <v>0</v>
      </c>
      <c r="O459" t="n">
        <v>0</v>
      </c>
      <c r="P459" t="n">
        <v>0</v>
      </c>
      <c r="Q459" t="n">
        <v>0</v>
      </c>
      <c r="R459" s="2" t="inlineStr"/>
    </row>
    <row r="460" ht="15" customHeight="1">
      <c r="A460" t="inlineStr">
        <is>
          <t>A 1211-2023</t>
        </is>
      </c>
      <c r="B460" s="1" t="n">
        <v>44930</v>
      </c>
      <c r="C460" s="1" t="n">
        <v>45933</v>
      </c>
      <c r="D460" t="inlineStr">
        <is>
          <t>ÖSTERGÖTLANDS LÄN</t>
        </is>
      </c>
      <c r="E460" t="inlineStr">
        <is>
          <t>LINKÖPING</t>
        </is>
      </c>
      <c r="F460" t="inlineStr">
        <is>
          <t>Övriga statliga verk och myndigheter</t>
        </is>
      </c>
      <c r="G460" t="n">
        <v>7.9</v>
      </c>
      <c r="H460" t="n">
        <v>0</v>
      </c>
      <c r="I460" t="n">
        <v>0</v>
      </c>
      <c r="J460" t="n">
        <v>0</v>
      </c>
      <c r="K460" t="n">
        <v>0</v>
      </c>
      <c r="L460" t="n">
        <v>0</v>
      </c>
      <c r="M460" t="n">
        <v>0</v>
      </c>
      <c r="N460" t="n">
        <v>0</v>
      </c>
      <c r="O460" t="n">
        <v>0</v>
      </c>
      <c r="P460" t="n">
        <v>0</v>
      </c>
      <c r="Q460" t="n">
        <v>0</v>
      </c>
      <c r="R460" s="2" t="inlineStr"/>
    </row>
    <row r="461" ht="15" customHeight="1">
      <c r="A461" t="inlineStr">
        <is>
          <t>A 46847-2025</t>
        </is>
      </c>
      <c r="B461" s="1" t="n">
        <v>45928.69971064815</v>
      </c>
      <c r="C461" s="1" t="n">
        <v>45933</v>
      </c>
      <c r="D461" t="inlineStr">
        <is>
          <t>ÖSTERGÖTLANDS LÄN</t>
        </is>
      </c>
      <c r="E461" t="inlineStr">
        <is>
          <t>LINKÖPING</t>
        </is>
      </c>
      <c r="G461" t="n">
        <v>4.6</v>
      </c>
      <c r="H461" t="n">
        <v>0</v>
      </c>
      <c r="I461" t="n">
        <v>0</v>
      </c>
      <c r="J461" t="n">
        <v>0</v>
      </c>
      <c r="K461" t="n">
        <v>0</v>
      </c>
      <c r="L461" t="n">
        <v>0</v>
      </c>
      <c r="M461" t="n">
        <v>0</v>
      </c>
      <c r="N461" t="n">
        <v>0</v>
      </c>
      <c r="O461" t="n">
        <v>0</v>
      </c>
      <c r="P461" t="n">
        <v>0</v>
      </c>
      <c r="Q461" t="n">
        <v>0</v>
      </c>
      <c r="R461" s="2" t="inlineStr"/>
    </row>
    <row r="462" ht="15" customHeight="1">
      <c r="A462" t="inlineStr">
        <is>
          <t>A 51191-2022</t>
        </is>
      </c>
      <c r="B462" s="1" t="n">
        <v>44865</v>
      </c>
      <c r="C462" s="1" t="n">
        <v>45933</v>
      </c>
      <c r="D462" t="inlineStr">
        <is>
          <t>ÖSTERGÖTLANDS LÄN</t>
        </is>
      </c>
      <c r="E462" t="inlineStr">
        <is>
          <t>LINKÖPING</t>
        </is>
      </c>
      <c r="G462" t="n">
        <v>2.2</v>
      </c>
      <c r="H462" t="n">
        <v>0</v>
      </c>
      <c r="I462" t="n">
        <v>0</v>
      </c>
      <c r="J462" t="n">
        <v>0</v>
      </c>
      <c r="K462" t="n">
        <v>0</v>
      </c>
      <c r="L462" t="n">
        <v>0</v>
      </c>
      <c r="M462" t="n">
        <v>0</v>
      </c>
      <c r="N462" t="n">
        <v>0</v>
      </c>
      <c r="O462" t="n">
        <v>0</v>
      </c>
      <c r="P462" t="n">
        <v>0</v>
      </c>
      <c r="Q462" t="n">
        <v>0</v>
      </c>
      <c r="R462" s="2" t="inlineStr"/>
    </row>
    <row r="463" ht="15" customHeight="1">
      <c r="A463" t="inlineStr">
        <is>
          <t>A 44759-2025</t>
        </is>
      </c>
      <c r="B463" s="1" t="n">
        <v>45917.7152662037</v>
      </c>
      <c r="C463" s="1" t="n">
        <v>45933</v>
      </c>
      <c r="D463" t="inlineStr">
        <is>
          <t>ÖSTERGÖTLANDS LÄN</t>
        </is>
      </c>
      <c r="E463" t="inlineStr">
        <is>
          <t>LINKÖPING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43934-2023</t>
        </is>
      </c>
      <c r="B464" s="1" t="n">
        <v>45187</v>
      </c>
      <c r="C464" s="1" t="n">
        <v>45933</v>
      </c>
      <c r="D464" t="inlineStr">
        <is>
          <t>ÖSTERGÖTLANDS LÄN</t>
        </is>
      </c>
      <c r="E464" t="inlineStr">
        <is>
          <t>LINKÖPING</t>
        </is>
      </c>
      <c r="F464" t="inlineStr">
        <is>
          <t>Övriga Aktiebolag</t>
        </is>
      </c>
      <c r="G464" t="n">
        <v>3.8</v>
      </c>
      <c r="H464" t="n">
        <v>0</v>
      </c>
      <c r="I464" t="n">
        <v>0</v>
      </c>
      <c r="J464" t="n">
        <v>0</v>
      </c>
      <c r="K464" t="n">
        <v>0</v>
      </c>
      <c r="L464" t="n">
        <v>0</v>
      </c>
      <c r="M464" t="n">
        <v>0</v>
      </c>
      <c r="N464" t="n">
        <v>0</v>
      </c>
      <c r="O464" t="n">
        <v>0</v>
      </c>
      <c r="P464" t="n">
        <v>0</v>
      </c>
      <c r="Q464" t="n">
        <v>0</v>
      </c>
      <c r="R464" s="2" t="inlineStr"/>
    </row>
    <row r="465" ht="15" customHeight="1">
      <c r="A465" t="inlineStr">
        <is>
          <t>A 47304-2025</t>
        </is>
      </c>
      <c r="B465" s="1" t="n">
        <v>45930.52037037037</v>
      </c>
      <c r="C465" s="1" t="n">
        <v>45933</v>
      </c>
      <c r="D465" t="inlineStr">
        <is>
          <t>ÖSTERGÖTLANDS LÄN</t>
        </is>
      </c>
      <c r="E465" t="inlineStr">
        <is>
          <t>LINKÖPING</t>
        </is>
      </c>
      <c r="G465" t="n">
        <v>2.7</v>
      </c>
      <c r="H465" t="n">
        <v>0</v>
      </c>
      <c r="I465" t="n">
        <v>0</v>
      </c>
      <c r="J465" t="n">
        <v>0</v>
      </c>
      <c r="K465" t="n">
        <v>0</v>
      </c>
      <c r="L465" t="n">
        <v>0</v>
      </c>
      <c r="M465" t="n">
        <v>0</v>
      </c>
      <c r="N465" t="n">
        <v>0</v>
      </c>
      <c r="O465" t="n">
        <v>0</v>
      </c>
      <c r="P465" t="n">
        <v>0</v>
      </c>
      <c r="Q465" t="n">
        <v>0</v>
      </c>
      <c r="R465" s="2" t="inlineStr"/>
    </row>
    <row r="466" ht="15" customHeight="1">
      <c r="A466" t="inlineStr">
        <is>
          <t>A 55632-2022</t>
        </is>
      </c>
      <c r="B466" s="1" t="n">
        <v>44888</v>
      </c>
      <c r="C466" s="1" t="n">
        <v>45933</v>
      </c>
      <c r="D466" t="inlineStr">
        <is>
          <t>ÖSTERGÖTLANDS LÄN</t>
        </is>
      </c>
      <c r="E466" t="inlineStr">
        <is>
          <t>LINKÖPING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44764-2025</t>
        </is>
      </c>
      <c r="B467" s="1" t="n">
        <v>45917.72821759259</v>
      </c>
      <c r="C467" s="1" t="n">
        <v>45933</v>
      </c>
      <c r="D467" t="inlineStr">
        <is>
          <t>ÖSTERGÖTLANDS LÄN</t>
        </is>
      </c>
      <c r="E467" t="inlineStr">
        <is>
          <t>LINKÖPING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27264-2025</t>
        </is>
      </c>
      <c r="B468" s="1" t="n">
        <v>45812.4794212963</v>
      </c>
      <c r="C468" s="1" t="n">
        <v>45933</v>
      </c>
      <c r="D468" t="inlineStr">
        <is>
          <t>ÖSTERGÖTLANDS LÄN</t>
        </is>
      </c>
      <c r="E468" t="inlineStr">
        <is>
          <t>LINKÖPING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45634-2025</t>
        </is>
      </c>
      <c r="B469" s="1" t="n">
        <v>45922.85089120371</v>
      </c>
      <c r="C469" s="1" t="n">
        <v>45933</v>
      </c>
      <c r="D469" t="inlineStr">
        <is>
          <t>ÖSTERGÖTLANDS LÄN</t>
        </is>
      </c>
      <c r="E469" t="inlineStr">
        <is>
          <t>LINKÖPING</t>
        </is>
      </c>
      <c r="F469" t="inlineStr">
        <is>
          <t>Övriga Aktiebolag</t>
        </is>
      </c>
      <c r="G469" t="n">
        <v>0.3</v>
      </c>
      <c r="H469" t="n">
        <v>0</v>
      </c>
      <c r="I469" t="n">
        <v>0</v>
      </c>
      <c r="J469" t="n">
        <v>0</v>
      </c>
      <c r="K469" t="n">
        <v>0</v>
      </c>
      <c r="L469" t="n">
        <v>0</v>
      </c>
      <c r="M469" t="n">
        <v>0</v>
      </c>
      <c r="N469" t="n">
        <v>0</v>
      </c>
      <c r="O469" t="n">
        <v>0</v>
      </c>
      <c r="P469" t="n">
        <v>0</v>
      </c>
      <c r="Q469" t="n">
        <v>0</v>
      </c>
      <c r="R469" s="2" t="inlineStr"/>
    </row>
    <row r="470" ht="15" customHeight="1">
      <c r="A470" t="inlineStr">
        <is>
          <t>A 39438-2025</t>
        </is>
      </c>
      <c r="B470" s="1" t="n">
        <v>45889.68641203704</v>
      </c>
      <c r="C470" s="1" t="n">
        <v>45933</v>
      </c>
      <c r="D470" t="inlineStr">
        <is>
          <t>ÖSTERGÖTLANDS LÄN</t>
        </is>
      </c>
      <c r="E470" t="inlineStr">
        <is>
          <t>LINKÖPING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63669-2023</t>
        </is>
      </c>
      <c r="B471" s="1" t="n">
        <v>45275</v>
      </c>
      <c r="C471" s="1" t="n">
        <v>45933</v>
      </c>
      <c r="D471" t="inlineStr">
        <is>
          <t>ÖSTERGÖTLANDS LÄN</t>
        </is>
      </c>
      <c r="E471" t="inlineStr">
        <is>
          <t>LINKÖPING</t>
        </is>
      </c>
      <c r="F471" t="inlineStr">
        <is>
          <t>Övriga Aktiebolag</t>
        </is>
      </c>
      <c r="G471" t="n">
        <v>3</v>
      </c>
      <c r="H471" t="n">
        <v>0</v>
      </c>
      <c r="I471" t="n">
        <v>0</v>
      </c>
      <c r="J471" t="n">
        <v>0</v>
      </c>
      <c r="K471" t="n">
        <v>0</v>
      </c>
      <c r="L471" t="n">
        <v>0</v>
      </c>
      <c r="M471" t="n">
        <v>0</v>
      </c>
      <c r="N471" t="n">
        <v>0</v>
      </c>
      <c r="O471" t="n">
        <v>0</v>
      </c>
      <c r="P471" t="n">
        <v>0</v>
      </c>
      <c r="Q471" t="n">
        <v>0</v>
      </c>
      <c r="R471" s="2" t="inlineStr"/>
    </row>
    <row r="472" ht="15" customHeight="1">
      <c r="A472" t="inlineStr">
        <is>
          <t>A 12289-2025</t>
        </is>
      </c>
      <c r="B472" s="1" t="n">
        <v>45729</v>
      </c>
      <c r="C472" s="1" t="n">
        <v>45933</v>
      </c>
      <c r="D472" t="inlineStr">
        <is>
          <t>ÖSTERGÖTLANDS LÄN</t>
        </is>
      </c>
      <c r="E472" t="inlineStr">
        <is>
          <t>LINKÖPING</t>
        </is>
      </c>
      <c r="F472" t="inlineStr">
        <is>
          <t>Övriga statliga verk och myndigheter</t>
        </is>
      </c>
      <c r="G472" t="n">
        <v>6.5</v>
      </c>
      <c r="H472" t="n">
        <v>0</v>
      </c>
      <c r="I472" t="n">
        <v>0</v>
      </c>
      <c r="J472" t="n">
        <v>0</v>
      </c>
      <c r="K472" t="n">
        <v>0</v>
      </c>
      <c r="L472" t="n">
        <v>0</v>
      </c>
      <c r="M472" t="n">
        <v>0</v>
      </c>
      <c r="N472" t="n">
        <v>0</v>
      </c>
      <c r="O472" t="n">
        <v>0</v>
      </c>
      <c r="P472" t="n">
        <v>0</v>
      </c>
      <c r="Q472" t="n">
        <v>0</v>
      </c>
      <c r="R472" s="2" t="inlineStr"/>
    </row>
    <row r="473" ht="15" customHeight="1">
      <c r="A473" t="inlineStr">
        <is>
          <t>A 36657-2023</t>
        </is>
      </c>
      <c r="B473" s="1" t="n">
        <v>45153.5702662037</v>
      </c>
      <c r="C473" s="1" t="n">
        <v>45933</v>
      </c>
      <c r="D473" t="inlineStr">
        <is>
          <t>ÖSTERGÖTLANDS LÄN</t>
        </is>
      </c>
      <c r="E473" t="inlineStr">
        <is>
          <t>LINKÖPING</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7354-2025</t>
        </is>
      </c>
      <c r="B474" s="1" t="n">
        <v>45704.41174768518</v>
      </c>
      <c r="C474" s="1" t="n">
        <v>45933</v>
      </c>
      <c r="D474" t="inlineStr">
        <is>
          <t>ÖSTERGÖTLANDS LÄN</t>
        </is>
      </c>
      <c r="E474" t="inlineStr">
        <is>
          <t>LINKÖPING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19169-2023</t>
        </is>
      </c>
      <c r="B475" s="1" t="n">
        <v>45044</v>
      </c>
      <c r="C475" s="1" t="n">
        <v>45933</v>
      </c>
      <c r="D475" t="inlineStr">
        <is>
          <t>ÖSTERGÖTLANDS LÄN</t>
        </is>
      </c>
      <c r="E475" t="inlineStr">
        <is>
          <t>LINKÖPING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1209-2023</t>
        </is>
      </c>
      <c r="B476" s="1" t="n">
        <v>44930</v>
      </c>
      <c r="C476" s="1" t="n">
        <v>45933</v>
      </c>
      <c r="D476" t="inlineStr">
        <is>
          <t>ÖSTERGÖTLANDS LÄN</t>
        </is>
      </c>
      <c r="E476" t="inlineStr">
        <is>
          <t>LINKÖPING</t>
        </is>
      </c>
      <c r="F476" t="inlineStr">
        <is>
          <t>Övriga statliga verk och myndigheter</t>
        </is>
      </c>
      <c r="G476" t="n">
        <v>25.8</v>
      </c>
      <c r="H476" t="n">
        <v>0</v>
      </c>
      <c r="I476" t="n">
        <v>0</v>
      </c>
      <c r="J476" t="n">
        <v>0</v>
      </c>
      <c r="K476" t="n">
        <v>0</v>
      </c>
      <c r="L476" t="n">
        <v>0</v>
      </c>
      <c r="M476" t="n">
        <v>0</v>
      </c>
      <c r="N476" t="n">
        <v>0</v>
      </c>
      <c r="O476" t="n">
        <v>0</v>
      </c>
      <c r="P476" t="n">
        <v>0</v>
      </c>
      <c r="Q476" t="n">
        <v>0</v>
      </c>
      <c r="R476" s="2" t="inlineStr"/>
    </row>
    <row r="477" ht="15" customHeight="1">
      <c r="A477" t="inlineStr">
        <is>
          <t>A 63935-2021</t>
        </is>
      </c>
      <c r="B477" s="1" t="n">
        <v>44509</v>
      </c>
      <c r="C477" s="1" t="n">
        <v>45933</v>
      </c>
      <c r="D477" t="inlineStr">
        <is>
          <t>ÖSTERGÖTLANDS LÄN</t>
        </is>
      </c>
      <c r="E477" t="inlineStr">
        <is>
          <t>LINKÖPING</t>
        </is>
      </c>
      <c r="F477" t="inlineStr">
        <is>
          <t>Övriga statliga verk och myndigheter</t>
        </is>
      </c>
      <c r="G477" t="n">
        <v>2.8</v>
      </c>
      <c r="H477" t="n">
        <v>0</v>
      </c>
      <c r="I477" t="n">
        <v>0</v>
      </c>
      <c r="J477" t="n">
        <v>0</v>
      </c>
      <c r="K477" t="n">
        <v>0</v>
      </c>
      <c r="L477" t="n">
        <v>0</v>
      </c>
      <c r="M477" t="n">
        <v>0</v>
      </c>
      <c r="N477" t="n">
        <v>0</v>
      </c>
      <c r="O477" t="n">
        <v>0</v>
      </c>
      <c r="P477" t="n">
        <v>0</v>
      </c>
      <c r="Q477" t="n">
        <v>0</v>
      </c>
      <c r="R477" s="2" t="inlineStr"/>
    </row>
    <row r="478" ht="15" customHeight="1">
      <c r="A478" t="inlineStr">
        <is>
          <t>A 45112-2025</t>
        </is>
      </c>
      <c r="B478" s="1" t="n">
        <v>45919</v>
      </c>
      <c r="C478" s="1" t="n">
        <v>45933</v>
      </c>
      <c r="D478" t="inlineStr">
        <is>
          <t>ÖSTERGÖTLANDS LÄN</t>
        </is>
      </c>
      <c r="E478" t="inlineStr">
        <is>
          <t>LINKÖPING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25829-2025</t>
        </is>
      </c>
      <c r="B479" s="1" t="n">
        <v>45804.44505787037</v>
      </c>
      <c r="C479" s="1" t="n">
        <v>45933</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2085-2024</t>
        </is>
      </c>
      <c r="B480" s="1" t="n">
        <v>45309</v>
      </c>
      <c r="C480" s="1" t="n">
        <v>45933</v>
      </c>
      <c r="D480" t="inlineStr">
        <is>
          <t>ÖSTERGÖTLANDS LÄN</t>
        </is>
      </c>
      <c r="E480" t="inlineStr">
        <is>
          <t>LINKÖPING</t>
        </is>
      </c>
      <c r="G480" t="n">
        <v>4.5</v>
      </c>
      <c r="H480" t="n">
        <v>0</v>
      </c>
      <c r="I480" t="n">
        <v>0</v>
      </c>
      <c r="J480" t="n">
        <v>0</v>
      </c>
      <c r="K480" t="n">
        <v>0</v>
      </c>
      <c r="L480" t="n">
        <v>0</v>
      </c>
      <c r="M480" t="n">
        <v>0</v>
      </c>
      <c r="N480" t="n">
        <v>0</v>
      </c>
      <c r="O480" t="n">
        <v>0</v>
      </c>
      <c r="P480" t="n">
        <v>0</v>
      </c>
      <c r="Q480" t="n">
        <v>0</v>
      </c>
      <c r="R480" s="2" t="inlineStr"/>
    </row>
    <row r="481" ht="15" customHeight="1">
      <c r="A481" t="inlineStr">
        <is>
          <t>A 40810-2022</t>
        </is>
      </c>
      <c r="B481" s="1" t="n">
        <v>44824</v>
      </c>
      <c r="C481" s="1" t="n">
        <v>45933</v>
      </c>
      <c r="D481" t="inlineStr">
        <is>
          <t>ÖSTERGÖTLANDS LÄN</t>
        </is>
      </c>
      <c r="E481" t="inlineStr">
        <is>
          <t>LINKÖPING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47606-2025</t>
        </is>
      </c>
      <c r="B482" s="1" t="n">
        <v>45931.46402777778</v>
      </c>
      <c r="C482" s="1" t="n">
        <v>45933</v>
      </c>
      <c r="D482" t="inlineStr">
        <is>
          <t>ÖSTERGÖTLANDS LÄN</t>
        </is>
      </c>
      <c r="E482" t="inlineStr">
        <is>
          <t>LINKÖPING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45804-2025</t>
        </is>
      </c>
      <c r="B483" s="1" t="n">
        <v>45923.5819675926</v>
      </c>
      <c r="C483" s="1" t="n">
        <v>45933</v>
      </c>
      <c r="D483" t="inlineStr">
        <is>
          <t>ÖSTERGÖTLANDS LÄN</t>
        </is>
      </c>
      <c r="E483" t="inlineStr">
        <is>
          <t>LINKÖPING</t>
        </is>
      </c>
      <c r="G483" t="n">
        <v>3.3</v>
      </c>
      <c r="H483" t="n">
        <v>0</v>
      </c>
      <c r="I483" t="n">
        <v>0</v>
      </c>
      <c r="J483" t="n">
        <v>0</v>
      </c>
      <c r="K483" t="n">
        <v>0</v>
      </c>
      <c r="L483" t="n">
        <v>0</v>
      </c>
      <c r="M483" t="n">
        <v>0</v>
      </c>
      <c r="N483" t="n">
        <v>0</v>
      </c>
      <c r="O483" t="n">
        <v>0</v>
      </c>
      <c r="P483" t="n">
        <v>0</v>
      </c>
      <c r="Q483" t="n">
        <v>0</v>
      </c>
      <c r="R483" s="2" t="inlineStr"/>
    </row>
    <row r="484" ht="15" customHeight="1">
      <c r="A484" t="inlineStr">
        <is>
          <t>A 46194-2025</t>
        </is>
      </c>
      <c r="B484" s="1" t="n">
        <v>45924.68075231482</v>
      </c>
      <c r="C484" s="1" t="n">
        <v>45933</v>
      </c>
      <c r="D484" t="inlineStr">
        <is>
          <t>ÖSTERGÖTLANDS LÄN</t>
        </is>
      </c>
      <c r="E484" t="inlineStr">
        <is>
          <t>LINKÖPING</t>
        </is>
      </c>
      <c r="G484" t="n">
        <v>2.5</v>
      </c>
      <c r="H484" t="n">
        <v>0</v>
      </c>
      <c r="I484" t="n">
        <v>0</v>
      </c>
      <c r="J484" t="n">
        <v>0</v>
      </c>
      <c r="K484" t="n">
        <v>0</v>
      </c>
      <c r="L484" t="n">
        <v>0</v>
      </c>
      <c r="M484" t="n">
        <v>0</v>
      </c>
      <c r="N484" t="n">
        <v>0</v>
      </c>
      <c r="O484" t="n">
        <v>0</v>
      </c>
      <c r="P484" t="n">
        <v>0</v>
      </c>
      <c r="Q484" t="n">
        <v>0</v>
      </c>
      <c r="R484" s="2" t="inlineStr"/>
    </row>
    <row r="485" ht="15" customHeight="1">
      <c r="A485" t="inlineStr">
        <is>
          <t>A 20298-2025</t>
        </is>
      </c>
      <c r="B485" s="1" t="n">
        <v>45774.75024305555</v>
      </c>
      <c r="C485" s="1" t="n">
        <v>45933</v>
      </c>
      <c r="D485" t="inlineStr">
        <is>
          <t>ÖSTERGÖTLANDS LÄN</t>
        </is>
      </c>
      <c r="E485" t="inlineStr">
        <is>
          <t>LINKÖPING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48-2024</t>
        </is>
      </c>
      <c r="B486" s="1" t="n">
        <v>45293</v>
      </c>
      <c r="C486" s="1" t="n">
        <v>45933</v>
      </c>
      <c r="D486" t="inlineStr">
        <is>
          <t>ÖSTERGÖTLANDS LÄN</t>
        </is>
      </c>
      <c r="E486" t="inlineStr">
        <is>
          <t>LINKÖPING</t>
        </is>
      </c>
      <c r="G486" t="n">
        <v>4.6</v>
      </c>
      <c r="H486" t="n">
        <v>0</v>
      </c>
      <c r="I486" t="n">
        <v>0</v>
      </c>
      <c r="J486" t="n">
        <v>0</v>
      </c>
      <c r="K486" t="n">
        <v>0</v>
      </c>
      <c r="L486" t="n">
        <v>0</v>
      </c>
      <c r="M486" t="n">
        <v>0</v>
      </c>
      <c r="N486" t="n">
        <v>0</v>
      </c>
      <c r="O486" t="n">
        <v>0</v>
      </c>
      <c r="P486" t="n">
        <v>0</v>
      </c>
      <c r="Q486" t="n">
        <v>0</v>
      </c>
      <c r="R486" s="2" t="inlineStr"/>
    </row>
    <row r="487" ht="15" customHeight="1">
      <c r="A487" t="inlineStr">
        <is>
          <t>A 14576-2023</t>
        </is>
      </c>
      <c r="B487" s="1" t="n">
        <v>45013</v>
      </c>
      <c r="C487" s="1" t="n">
        <v>45933</v>
      </c>
      <c r="D487" t="inlineStr">
        <is>
          <t>ÖSTERGÖTLANDS LÄN</t>
        </is>
      </c>
      <c r="E487" t="inlineStr">
        <is>
          <t>LINKÖPING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45792-2025</t>
        </is>
      </c>
      <c r="B488" s="1" t="n">
        <v>45923.56998842592</v>
      </c>
      <c r="C488" s="1" t="n">
        <v>45933</v>
      </c>
      <c r="D488" t="inlineStr">
        <is>
          <t>ÖSTERGÖTLANDS LÄN</t>
        </is>
      </c>
      <c r="E488" t="inlineStr">
        <is>
          <t>LINKÖPING</t>
        </is>
      </c>
      <c r="G488" t="n">
        <v>2.6</v>
      </c>
      <c r="H488" t="n">
        <v>0</v>
      </c>
      <c r="I488" t="n">
        <v>0</v>
      </c>
      <c r="J488" t="n">
        <v>0</v>
      </c>
      <c r="K488" t="n">
        <v>0</v>
      </c>
      <c r="L488" t="n">
        <v>0</v>
      </c>
      <c r="M488" t="n">
        <v>0</v>
      </c>
      <c r="N488" t="n">
        <v>0</v>
      </c>
      <c r="O488" t="n">
        <v>0</v>
      </c>
      <c r="P488" t="n">
        <v>0</v>
      </c>
      <c r="Q488" t="n">
        <v>0</v>
      </c>
      <c r="R488" s="2" t="inlineStr"/>
    </row>
    <row r="489" ht="15" customHeight="1">
      <c r="A489" t="inlineStr">
        <is>
          <t>A 12089-2025</t>
        </is>
      </c>
      <c r="B489" s="1" t="n">
        <v>45729</v>
      </c>
      <c r="C489" s="1" t="n">
        <v>45933</v>
      </c>
      <c r="D489" t="inlineStr">
        <is>
          <t>ÖSTERGÖTLANDS LÄN</t>
        </is>
      </c>
      <c r="E489" t="inlineStr">
        <is>
          <t>LINKÖPING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56560-2023</t>
        </is>
      </c>
      <c r="B490" s="1" t="n">
        <v>45238</v>
      </c>
      <c r="C490" s="1" t="n">
        <v>45933</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19132-2023</t>
        </is>
      </c>
      <c r="B491" s="1" t="n">
        <v>45048.54754629629</v>
      </c>
      <c r="C491" s="1" t="n">
        <v>45933</v>
      </c>
      <c r="D491" t="inlineStr">
        <is>
          <t>ÖSTERGÖTLANDS LÄN</t>
        </is>
      </c>
      <c r="E491" t="inlineStr">
        <is>
          <t>LINKÖPING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59954-2020</t>
        </is>
      </c>
      <c r="B492" s="1" t="n">
        <v>44151</v>
      </c>
      <c r="C492" s="1" t="n">
        <v>45933</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59969-2020</t>
        </is>
      </c>
      <c r="B493" s="1" t="n">
        <v>44151</v>
      </c>
      <c r="C493" s="1" t="n">
        <v>45933</v>
      </c>
      <c r="D493" t="inlineStr">
        <is>
          <t>ÖSTERGÖTLANDS LÄN</t>
        </is>
      </c>
      <c r="E493" t="inlineStr">
        <is>
          <t>LINKÖPING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52412-2023</t>
        </is>
      </c>
      <c r="B494" s="1" t="n">
        <v>45225.27888888889</v>
      </c>
      <c r="C494" s="1" t="n">
        <v>45933</v>
      </c>
      <c r="D494" t="inlineStr">
        <is>
          <t>ÖSTERGÖTLANDS LÄN</t>
        </is>
      </c>
      <c r="E494" t="inlineStr">
        <is>
          <t>LINKÖPING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62492-2023</t>
        </is>
      </c>
      <c r="B495" s="1" t="n">
        <v>45268.58987268519</v>
      </c>
      <c r="C495" s="1" t="n">
        <v>45933</v>
      </c>
      <c r="D495" t="inlineStr">
        <is>
          <t>ÖSTERGÖTLANDS LÄN</t>
        </is>
      </c>
      <c r="E495" t="inlineStr">
        <is>
          <t>LINKÖPING</t>
        </is>
      </c>
      <c r="G495" t="n">
        <v>1.8</v>
      </c>
      <c r="H495" t="n">
        <v>0</v>
      </c>
      <c r="I495" t="n">
        <v>0</v>
      </c>
      <c r="J495" t="n">
        <v>0</v>
      </c>
      <c r="K495" t="n">
        <v>0</v>
      </c>
      <c r="L495" t="n">
        <v>0</v>
      </c>
      <c r="M495" t="n">
        <v>0</v>
      </c>
      <c r="N495" t="n">
        <v>0</v>
      </c>
      <c r="O495" t="n">
        <v>0</v>
      </c>
      <c r="P495" t="n">
        <v>0</v>
      </c>
      <c r="Q495" t="n">
        <v>0</v>
      </c>
      <c r="R495" s="2" t="inlineStr"/>
    </row>
    <row r="496" ht="15" customHeight="1">
      <c r="A496" t="inlineStr">
        <is>
          <t>A 62321-2022</t>
        </is>
      </c>
      <c r="B496" s="1" t="n">
        <v>44916</v>
      </c>
      <c r="C496" s="1" t="n">
        <v>45933</v>
      </c>
      <c r="D496" t="inlineStr">
        <is>
          <t>ÖSTERGÖTLANDS LÄN</t>
        </is>
      </c>
      <c r="E496" t="inlineStr">
        <is>
          <t>LINKÖPING</t>
        </is>
      </c>
      <c r="F496" t="inlineStr">
        <is>
          <t>Kommuner</t>
        </is>
      </c>
      <c r="G496" t="n">
        <v>5.3</v>
      </c>
      <c r="H496" t="n">
        <v>0</v>
      </c>
      <c r="I496" t="n">
        <v>0</v>
      </c>
      <c r="J496" t="n">
        <v>0</v>
      </c>
      <c r="K496" t="n">
        <v>0</v>
      </c>
      <c r="L496" t="n">
        <v>0</v>
      </c>
      <c r="M496" t="n">
        <v>0</v>
      </c>
      <c r="N496" t="n">
        <v>0</v>
      </c>
      <c r="O496" t="n">
        <v>0</v>
      </c>
      <c r="P496" t="n">
        <v>0</v>
      </c>
      <c r="Q496" t="n">
        <v>0</v>
      </c>
      <c r="R496" s="2" t="inlineStr"/>
    </row>
    <row r="497" ht="15" customHeight="1">
      <c r="A497" t="inlineStr">
        <is>
          <t>A 43475-2024</t>
        </is>
      </c>
      <c r="B497" s="1" t="n">
        <v>45568</v>
      </c>
      <c r="C497" s="1" t="n">
        <v>45933</v>
      </c>
      <c r="D497" t="inlineStr">
        <is>
          <t>ÖSTERGÖTLANDS LÄN</t>
        </is>
      </c>
      <c r="E497" t="inlineStr">
        <is>
          <t>LINKÖPING</t>
        </is>
      </c>
      <c r="G497" t="n">
        <v>3.2</v>
      </c>
      <c r="H497" t="n">
        <v>0</v>
      </c>
      <c r="I497" t="n">
        <v>0</v>
      </c>
      <c r="J497" t="n">
        <v>0</v>
      </c>
      <c r="K497" t="n">
        <v>0</v>
      </c>
      <c r="L497" t="n">
        <v>0</v>
      </c>
      <c r="M497" t="n">
        <v>0</v>
      </c>
      <c r="N497" t="n">
        <v>0</v>
      </c>
      <c r="O497" t="n">
        <v>0</v>
      </c>
      <c r="P497" t="n">
        <v>0</v>
      </c>
      <c r="Q497" t="n">
        <v>0</v>
      </c>
      <c r="R497" s="2" t="inlineStr"/>
    </row>
    <row r="498" ht="15" customHeight="1">
      <c r="A498" t="inlineStr">
        <is>
          <t>A 38230-2023</t>
        </is>
      </c>
      <c r="B498" s="1" t="n">
        <v>45161.55373842592</v>
      </c>
      <c r="C498" s="1" t="n">
        <v>45933</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56756-2023</t>
        </is>
      </c>
      <c r="B499" s="1" t="n">
        <v>45244</v>
      </c>
      <c r="C499" s="1" t="n">
        <v>45933</v>
      </c>
      <c r="D499" t="inlineStr">
        <is>
          <t>ÖSTERGÖTLANDS LÄN</t>
        </is>
      </c>
      <c r="E499" t="inlineStr">
        <is>
          <t>LINKÖPING</t>
        </is>
      </c>
      <c r="F499" t="inlineStr">
        <is>
          <t>Övriga Aktiebolag</t>
        </is>
      </c>
      <c r="G499" t="n">
        <v>0.8</v>
      </c>
      <c r="H499" t="n">
        <v>0</v>
      </c>
      <c r="I499" t="n">
        <v>0</v>
      </c>
      <c r="J499" t="n">
        <v>0</v>
      </c>
      <c r="K499" t="n">
        <v>0</v>
      </c>
      <c r="L499" t="n">
        <v>0</v>
      </c>
      <c r="M499" t="n">
        <v>0</v>
      </c>
      <c r="N499" t="n">
        <v>0</v>
      </c>
      <c r="O499" t="n">
        <v>0</v>
      </c>
      <c r="P499" t="n">
        <v>0</v>
      </c>
      <c r="Q499" t="n">
        <v>0</v>
      </c>
      <c r="R499" s="2" t="inlineStr"/>
    </row>
    <row r="500" ht="15" customHeight="1">
      <c r="A500" t="inlineStr">
        <is>
          <t>A 17103-2025</t>
        </is>
      </c>
      <c r="B500" s="1" t="n">
        <v>45755.66143518518</v>
      </c>
      <c r="C500" s="1" t="n">
        <v>45933</v>
      </c>
      <c r="D500" t="inlineStr">
        <is>
          <t>ÖSTERGÖTLANDS LÄN</t>
        </is>
      </c>
      <c r="E500" t="inlineStr">
        <is>
          <t>LINKÖPING</t>
        </is>
      </c>
      <c r="G500" t="n">
        <v>1.9</v>
      </c>
      <c r="H500" t="n">
        <v>0</v>
      </c>
      <c r="I500" t="n">
        <v>0</v>
      </c>
      <c r="J500" t="n">
        <v>0</v>
      </c>
      <c r="K500" t="n">
        <v>0</v>
      </c>
      <c r="L500" t="n">
        <v>0</v>
      </c>
      <c r="M500" t="n">
        <v>0</v>
      </c>
      <c r="N500" t="n">
        <v>0</v>
      </c>
      <c r="O500" t="n">
        <v>0</v>
      </c>
      <c r="P500" t="n">
        <v>0</v>
      </c>
      <c r="Q500" t="n">
        <v>0</v>
      </c>
      <c r="R500" s="2" t="inlineStr"/>
    </row>
    <row r="501" ht="15" customHeight="1">
      <c r="A501" t="inlineStr">
        <is>
          <t>A 30551-2023</t>
        </is>
      </c>
      <c r="B501" s="1" t="n">
        <v>45111</v>
      </c>
      <c r="C501" s="1" t="n">
        <v>45933</v>
      </c>
      <c r="D501" t="inlineStr">
        <is>
          <t>ÖSTERGÖTLANDS LÄN</t>
        </is>
      </c>
      <c r="E501" t="inlineStr">
        <is>
          <t>LINKÖPING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50784-2022</t>
        </is>
      </c>
      <c r="B502" s="1" t="n">
        <v>44862</v>
      </c>
      <c r="C502" s="1" t="n">
        <v>45933</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22043-2023</t>
        </is>
      </c>
      <c r="B503" s="1" t="n">
        <v>45069.39050925926</v>
      </c>
      <c r="C503" s="1" t="n">
        <v>45933</v>
      </c>
      <c r="D503" t="inlineStr">
        <is>
          <t>ÖSTERGÖTLANDS LÄN</t>
        </is>
      </c>
      <c r="E503" t="inlineStr">
        <is>
          <t>LINKÖPING</t>
        </is>
      </c>
      <c r="G503" t="n">
        <v>5.9</v>
      </c>
      <c r="H503" t="n">
        <v>0</v>
      </c>
      <c r="I503" t="n">
        <v>0</v>
      </c>
      <c r="J503" t="n">
        <v>0</v>
      </c>
      <c r="K503" t="n">
        <v>0</v>
      </c>
      <c r="L503" t="n">
        <v>0</v>
      </c>
      <c r="M503" t="n">
        <v>0</v>
      </c>
      <c r="N503" t="n">
        <v>0</v>
      </c>
      <c r="O503" t="n">
        <v>0</v>
      </c>
      <c r="P503" t="n">
        <v>0</v>
      </c>
      <c r="Q503" t="n">
        <v>0</v>
      </c>
      <c r="R503" s="2" t="inlineStr"/>
    </row>
    <row r="504" ht="15" customHeight="1">
      <c r="A504" t="inlineStr">
        <is>
          <t>A 49656-2021</t>
        </is>
      </c>
      <c r="B504" s="1" t="n">
        <v>44454</v>
      </c>
      <c r="C504" s="1" t="n">
        <v>45933</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38886-2024</t>
        </is>
      </c>
      <c r="B505" s="1" t="n">
        <v>45547.66443287037</v>
      </c>
      <c r="C505" s="1" t="n">
        <v>45933</v>
      </c>
      <c r="D505" t="inlineStr">
        <is>
          <t>ÖSTERGÖTLANDS LÄN</t>
        </is>
      </c>
      <c r="E505" t="inlineStr">
        <is>
          <t>LINKÖPING</t>
        </is>
      </c>
      <c r="G505" t="n">
        <v>5.3</v>
      </c>
      <c r="H505" t="n">
        <v>0</v>
      </c>
      <c r="I505" t="n">
        <v>0</v>
      </c>
      <c r="J505" t="n">
        <v>0</v>
      </c>
      <c r="K505" t="n">
        <v>0</v>
      </c>
      <c r="L505" t="n">
        <v>0</v>
      </c>
      <c r="M505" t="n">
        <v>0</v>
      </c>
      <c r="N505" t="n">
        <v>0</v>
      </c>
      <c r="O505" t="n">
        <v>0</v>
      </c>
      <c r="P505" t="n">
        <v>0</v>
      </c>
      <c r="Q505" t="n">
        <v>0</v>
      </c>
      <c r="R505" s="2" t="inlineStr"/>
    </row>
    <row r="506" ht="15" customHeight="1">
      <c r="A506" t="inlineStr">
        <is>
          <t>A 11590-2023</t>
        </is>
      </c>
      <c r="B506" s="1" t="n">
        <v>44994.36689814815</v>
      </c>
      <c r="C506" s="1" t="n">
        <v>45933</v>
      </c>
      <c r="D506" t="inlineStr">
        <is>
          <t>ÖSTERGÖTLANDS LÄN</t>
        </is>
      </c>
      <c r="E506" t="inlineStr">
        <is>
          <t>LINKÖPING</t>
        </is>
      </c>
      <c r="G506" t="n">
        <v>3.1</v>
      </c>
      <c r="H506" t="n">
        <v>0</v>
      </c>
      <c r="I506" t="n">
        <v>0</v>
      </c>
      <c r="J506" t="n">
        <v>0</v>
      </c>
      <c r="K506" t="n">
        <v>0</v>
      </c>
      <c r="L506" t="n">
        <v>0</v>
      </c>
      <c r="M506" t="n">
        <v>0</v>
      </c>
      <c r="N506" t="n">
        <v>0</v>
      </c>
      <c r="O506" t="n">
        <v>0</v>
      </c>
      <c r="P506" t="n">
        <v>0</v>
      </c>
      <c r="Q506" t="n">
        <v>0</v>
      </c>
      <c r="R506" s="2" t="inlineStr"/>
    </row>
    <row r="507" ht="15" customHeight="1">
      <c r="A507" t="inlineStr">
        <is>
          <t>A 30465-2023</t>
        </is>
      </c>
      <c r="B507" s="1" t="n">
        <v>45111</v>
      </c>
      <c r="C507" s="1" t="n">
        <v>45933</v>
      </c>
      <c r="D507" t="inlineStr">
        <is>
          <t>ÖSTERGÖTLANDS LÄN</t>
        </is>
      </c>
      <c r="E507" t="inlineStr">
        <is>
          <t>LINKÖPING</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10461-2023</t>
        </is>
      </c>
      <c r="B508" s="1" t="n">
        <v>44987.5969212963</v>
      </c>
      <c r="C508" s="1" t="n">
        <v>45933</v>
      </c>
      <c r="D508" t="inlineStr">
        <is>
          <t>ÖSTERGÖTLANDS LÄN</t>
        </is>
      </c>
      <c r="E508" t="inlineStr">
        <is>
          <t>LINKÖPING</t>
        </is>
      </c>
      <c r="G508" t="n">
        <v>7.8</v>
      </c>
      <c r="H508" t="n">
        <v>0</v>
      </c>
      <c r="I508" t="n">
        <v>0</v>
      </c>
      <c r="J508" t="n">
        <v>0</v>
      </c>
      <c r="K508" t="n">
        <v>0</v>
      </c>
      <c r="L508" t="n">
        <v>0</v>
      </c>
      <c r="M508" t="n">
        <v>0</v>
      </c>
      <c r="N508" t="n">
        <v>0</v>
      </c>
      <c r="O508" t="n">
        <v>0</v>
      </c>
      <c r="P508" t="n">
        <v>0</v>
      </c>
      <c r="Q508" t="n">
        <v>0</v>
      </c>
      <c r="R508" s="2" t="inlineStr"/>
    </row>
    <row r="509" ht="15" customHeight="1">
      <c r="A509" t="inlineStr">
        <is>
          <t>A 41345-2021</t>
        </is>
      </c>
      <c r="B509" s="1" t="n">
        <v>44424.61851851852</v>
      </c>
      <c r="C509" s="1" t="n">
        <v>45933</v>
      </c>
      <c r="D509" t="inlineStr">
        <is>
          <t>ÖSTERGÖTLANDS LÄN</t>
        </is>
      </c>
      <c r="E509" t="inlineStr">
        <is>
          <t>LINKÖPING</t>
        </is>
      </c>
      <c r="F509" t="inlineStr">
        <is>
          <t>Sveaskog</t>
        </is>
      </c>
      <c r="G509" t="n">
        <v>6.3</v>
      </c>
      <c r="H509" t="n">
        <v>0</v>
      </c>
      <c r="I509" t="n">
        <v>0</v>
      </c>
      <c r="J509" t="n">
        <v>0</v>
      </c>
      <c r="K509" t="n">
        <v>0</v>
      </c>
      <c r="L509" t="n">
        <v>0</v>
      </c>
      <c r="M509" t="n">
        <v>0</v>
      </c>
      <c r="N509" t="n">
        <v>0</v>
      </c>
      <c r="O509" t="n">
        <v>0</v>
      </c>
      <c r="P509" t="n">
        <v>0</v>
      </c>
      <c r="Q509" t="n">
        <v>0</v>
      </c>
      <c r="R509" s="2" t="inlineStr"/>
    </row>
    <row r="510" ht="15" customHeight="1">
      <c r="A510" t="inlineStr">
        <is>
          <t>A 30521-2024</t>
        </is>
      </c>
      <c r="B510" s="1" t="n">
        <v>45492</v>
      </c>
      <c r="C510" s="1" t="n">
        <v>45933</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40618-2021</t>
        </is>
      </c>
      <c r="B511" s="1" t="n">
        <v>44420.49575231481</v>
      </c>
      <c r="C511" s="1" t="n">
        <v>45933</v>
      </c>
      <c r="D511" t="inlineStr">
        <is>
          <t>ÖSTERGÖTLANDS LÄN</t>
        </is>
      </c>
      <c r="E511" t="inlineStr">
        <is>
          <t>LINKÖPING</t>
        </is>
      </c>
      <c r="G511" t="n">
        <v>2.3</v>
      </c>
      <c r="H511" t="n">
        <v>0</v>
      </c>
      <c r="I511" t="n">
        <v>0</v>
      </c>
      <c r="J511" t="n">
        <v>0</v>
      </c>
      <c r="K511" t="n">
        <v>0</v>
      </c>
      <c r="L511" t="n">
        <v>0</v>
      </c>
      <c r="M511" t="n">
        <v>0</v>
      </c>
      <c r="N511" t="n">
        <v>0</v>
      </c>
      <c r="O511" t="n">
        <v>0</v>
      </c>
      <c r="P511" t="n">
        <v>0</v>
      </c>
      <c r="Q511" t="n">
        <v>0</v>
      </c>
      <c r="R511" s="2" t="inlineStr"/>
    </row>
    <row r="512" ht="15" customHeight="1">
      <c r="A512" t="inlineStr">
        <is>
          <t>A 62374-2020</t>
        </is>
      </c>
      <c r="B512" s="1" t="n">
        <v>44159</v>
      </c>
      <c r="C512" s="1" t="n">
        <v>45933</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23735-2023</t>
        </is>
      </c>
      <c r="B513" s="1" t="n">
        <v>45077</v>
      </c>
      <c r="C513" s="1" t="n">
        <v>45933</v>
      </c>
      <c r="D513" t="inlineStr">
        <is>
          <t>ÖSTERGÖTLANDS LÄN</t>
        </is>
      </c>
      <c r="E513" t="inlineStr">
        <is>
          <t>LINKÖPING</t>
        </is>
      </c>
      <c r="G513" t="n">
        <v>1.7</v>
      </c>
      <c r="H513" t="n">
        <v>0</v>
      </c>
      <c r="I513" t="n">
        <v>0</v>
      </c>
      <c r="J513" t="n">
        <v>0</v>
      </c>
      <c r="K513" t="n">
        <v>0</v>
      </c>
      <c r="L513" t="n">
        <v>0</v>
      </c>
      <c r="M513" t="n">
        <v>0</v>
      </c>
      <c r="N513" t="n">
        <v>0</v>
      </c>
      <c r="O513" t="n">
        <v>0</v>
      </c>
      <c r="P513" t="n">
        <v>0</v>
      </c>
      <c r="Q513" t="n">
        <v>0</v>
      </c>
      <c r="R513" s="2" t="inlineStr"/>
    </row>
    <row r="514" ht="15" customHeight="1">
      <c r="A514" t="inlineStr">
        <is>
          <t>A 350-2022</t>
        </is>
      </c>
      <c r="B514" s="1" t="n">
        <v>44565</v>
      </c>
      <c r="C514" s="1" t="n">
        <v>45933</v>
      </c>
      <c r="D514" t="inlineStr">
        <is>
          <t>ÖSTERGÖTLANDS LÄN</t>
        </is>
      </c>
      <c r="E514" t="inlineStr">
        <is>
          <t>LINKÖPING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67129-2020</t>
        </is>
      </c>
      <c r="B515" s="1" t="n">
        <v>44180</v>
      </c>
      <c r="C515" s="1" t="n">
        <v>45933</v>
      </c>
      <c r="D515" t="inlineStr">
        <is>
          <t>ÖSTERGÖTLANDS LÄN</t>
        </is>
      </c>
      <c r="E515" t="inlineStr">
        <is>
          <t>LINKÖPING</t>
        </is>
      </c>
      <c r="F515" t="inlineStr">
        <is>
          <t>Övriga statliga verk och myndigheter</t>
        </is>
      </c>
      <c r="G515" t="n">
        <v>2.7</v>
      </c>
      <c r="H515" t="n">
        <v>0</v>
      </c>
      <c r="I515" t="n">
        <v>0</v>
      </c>
      <c r="J515" t="n">
        <v>0</v>
      </c>
      <c r="K515" t="n">
        <v>0</v>
      </c>
      <c r="L515" t="n">
        <v>0</v>
      </c>
      <c r="M515" t="n">
        <v>0</v>
      </c>
      <c r="N515" t="n">
        <v>0</v>
      </c>
      <c r="O515" t="n">
        <v>0</v>
      </c>
      <c r="P515" t="n">
        <v>0</v>
      </c>
      <c r="Q515" t="n">
        <v>0</v>
      </c>
      <c r="R515" s="2" t="inlineStr"/>
    </row>
    <row r="516" ht="15" customHeight="1">
      <c r="A516" t="inlineStr">
        <is>
          <t>A 4256-2022</t>
        </is>
      </c>
      <c r="B516" s="1" t="n">
        <v>44588</v>
      </c>
      <c r="C516" s="1" t="n">
        <v>45933</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25948-2023</t>
        </is>
      </c>
      <c r="B517" s="1" t="n">
        <v>45090</v>
      </c>
      <c r="C517" s="1" t="n">
        <v>45933</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61307-2021</t>
        </is>
      </c>
      <c r="B518" s="1" t="n">
        <v>44498.63928240741</v>
      </c>
      <c r="C518" s="1" t="n">
        <v>45933</v>
      </c>
      <c r="D518" t="inlineStr">
        <is>
          <t>ÖSTERGÖTLANDS LÄN</t>
        </is>
      </c>
      <c r="E518" t="inlineStr">
        <is>
          <t>LINKÖPING</t>
        </is>
      </c>
      <c r="G518" t="n">
        <v>1.8</v>
      </c>
      <c r="H518" t="n">
        <v>0</v>
      </c>
      <c r="I518" t="n">
        <v>0</v>
      </c>
      <c r="J518" t="n">
        <v>0</v>
      </c>
      <c r="K518" t="n">
        <v>0</v>
      </c>
      <c r="L518" t="n">
        <v>0</v>
      </c>
      <c r="M518" t="n">
        <v>0</v>
      </c>
      <c r="N518" t="n">
        <v>0</v>
      </c>
      <c r="O518" t="n">
        <v>0</v>
      </c>
      <c r="P518" t="n">
        <v>0</v>
      </c>
      <c r="Q518" t="n">
        <v>0</v>
      </c>
      <c r="R518" s="2" t="inlineStr"/>
    </row>
    <row r="519" ht="15" customHeight="1">
      <c r="A519" t="inlineStr">
        <is>
          <t>A 61325-2021</t>
        </is>
      </c>
      <c r="B519" s="1" t="n">
        <v>44498.66814814815</v>
      </c>
      <c r="C519" s="1" t="n">
        <v>45933</v>
      </c>
      <c r="D519" t="inlineStr">
        <is>
          <t>ÖSTERGÖTLANDS LÄN</t>
        </is>
      </c>
      <c r="E519" t="inlineStr">
        <is>
          <t>LINKÖPING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60010-2022</t>
        </is>
      </c>
      <c r="B520" s="1" t="n">
        <v>44909.4740625</v>
      </c>
      <c r="C520" s="1" t="n">
        <v>45933</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33867-2023</t>
        </is>
      </c>
      <c r="B521" s="1" t="n">
        <v>45133.94640046296</v>
      </c>
      <c r="C521" s="1" t="n">
        <v>45933</v>
      </c>
      <c r="D521" t="inlineStr">
        <is>
          <t>ÖSTERGÖTLANDS LÄN</t>
        </is>
      </c>
      <c r="E521" t="inlineStr">
        <is>
          <t>LINKÖPING</t>
        </is>
      </c>
      <c r="G521" t="n">
        <v>2.3</v>
      </c>
      <c r="H521" t="n">
        <v>0</v>
      </c>
      <c r="I521" t="n">
        <v>0</v>
      </c>
      <c r="J521" t="n">
        <v>0</v>
      </c>
      <c r="K521" t="n">
        <v>0</v>
      </c>
      <c r="L521" t="n">
        <v>0</v>
      </c>
      <c r="M521" t="n">
        <v>0</v>
      </c>
      <c r="N521" t="n">
        <v>0</v>
      </c>
      <c r="O521" t="n">
        <v>0</v>
      </c>
      <c r="P521" t="n">
        <v>0</v>
      </c>
      <c r="Q521" t="n">
        <v>0</v>
      </c>
      <c r="R521" s="2" t="inlineStr"/>
    </row>
    <row r="522" ht="15" customHeight="1">
      <c r="A522" t="inlineStr">
        <is>
          <t>A 55305-2020</t>
        </is>
      </c>
      <c r="B522" s="1" t="n">
        <v>44130</v>
      </c>
      <c r="C522" s="1" t="n">
        <v>45933</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30518-2024</t>
        </is>
      </c>
      <c r="B523" s="1" t="n">
        <v>45492</v>
      </c>
      <c r="C523" s="1" t="n">
        <v>45933</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4908-2023</t>
        </is>
      </c>
      <c r="B524" s="1" t="n">
        <v>44958</v>
      </c>
      <c r="C524" s="1" t="n">
        <v>45933</v>
      </c>
      <c r="D524" t="inlineStr">
        <is>
          <t>ÖSTERGÖTLANDS LÄN</t>
        </is>
      </c>
      <c r="E524" t="inlineStr">
        <is>
          <t>LINKÖPING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37715-2022</t>
        </is>
      </c>
      <c r="B525" s="1" t="n">
        <v>44810</v>
      </c>
      <c r="C525" s="1" t="n">
        <v>45933</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53616-2020</t>
        </is>
      </c>
      <c r="B526" s="1" t="n">
        <v>44123</v>
      </c>
      <c r="C526" s="1" t="n">
        <v>45933</v>
      </c>
      <c r="D526" t="inlineStr">
        <is>
          <t>ÖSTERGÖTLANDS LÄN</t>
        </is>
      </c>
      <c r="E526" t="inlineStr">
        <is>
          <t>LINKÖPING</t>
        </is>
      </c>
      <c r="G526" t="n">
        <v>2.7</v>
      </c>
      <c r="H526" t="n">
        <v>0</v>
      </c>
      <c r="I526" t="n">
        <v>0</v>
      </c>
      <c r="J526" t="n">
        <v>0</v>
      </c>
      <c r="K526" t="n">
        <v>0</v>
      </c>
      <c r="L526" t="n">
        <v>0</v>
      </c>
      <c r="M526" t="n">
        <v>0</v>
      </c>
      <c r="N526" t="n">
        <v>0</v>
      </c>
      <c r="O526" t="n">
        <v>0</v>
      </c>
      <c r="P526" t="n">
        <v>0</v>
      </c>
      <c r="Q526" t="n">
        <v>0</v>
      </c>
      <c r="R526" s="2" t="inlineStr"/>
    </row>
    <row r="527" ht="15" customHeight="1">
      <c r="A527" t="inlineStr">
        <is>
          <t>A 24462-2023</t>
        </is>
      </c>
      <c r="B527" s="1" t="n">
        <v>45082</v>
      </c>
      <c r="C527" s="1" t="n">
        <v>45933</v>
      </c>
      <c r="D527" t="inlineStr">
        <is>
          <t>ÖSTERGÖTLANDS LÄN</t>
        </is>
      </c>
      <c r="E527" t="inlineStr">
        <is>
          <t>LINKÖPING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48829-2023</t>
        </is>
      </c>
      <c r="B528" s="1" t="n">
        <v>45209.38177083333</v>
      </c>
      <c r="C528" s="1" t="n">
        <v>45933</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38231-2022</t>
        </is>
      </c>
      <c r="B529" s="1" t="n">
        <v>44812</v>
      </c>
      <c r="C529" s="1" t="n">
        <v>45933</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3742-2021</t>
        </is>
      </c>
      <c r="B530" s="1" t="n">
        <v>44221</v>
      </c>
      <c r="C530" s="1" t="n">
        <v>45933</v>
      </c>
      <c r="D530" t="inlineStr">
        <is>
          <t>ÖSTERGÖTLANDS LÄN</t>
        </is>
      </c>
      <c r="E530" t="inlineStr">
        <is>
          <t>LINKÖPING</t>
        </is>
      </c>
      <c r="G530" t="n">
        <v>5.5</v>
      </c>
      <c r="H530" t="n">
        <v>0</v>
      </c>
      <c r="I530" t="n">
        <v>0</v>
      </c>
      <c r="J530" t="n">
        <v>0</v>
      </c>
      <c r="K530" t="n">
        <v>0</v>
      </c>
      <c r="L530" t="n">
        <v>0</v>
      </c>
      <c r="M530" t="n">
        <v>0</v>
      </c>
      <c r="N530" t="n">
        <v>0</v>
      </c>
      <c r="O530" t="n">
        <v>0</v>
      </c>
      <c r="P530" t="n">
        <v>0</v>
      </c>
      <c r="Q530" t="n">
        <v>0</v>
      </c>
      <c r="R530" s="2" t="inlineStr"/>
    </row>
    <row r="531" ht="15" customHeight="1">
      <c r="A531" t="inlineStr">
        <is>
          <t>A 50799-2022</t>
        </is>
      </c>
      <c r="B531" s="1" t="n">
        <v>44862</v>
      </c>
      <c r="C531" s="1" t="n">
        <v>45933</v>
      </c>
      <c r="D531" t="inlineStr">
        <is>
          <t>ÖSTERGÖTLANDS LÄN</t>
        </is>
      </c>
      <c r="E531" t="inlineStr">
        <is>
          <t>LINKÖPING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40431-2024</t>
        </is>
      </c>
      <c r="B532" s="1" t="n">
        <v>45555.47070601852</v>
      </c>
      <c r="C532" s="1" t="n">
        <v>45933</v>
      </c>
      <c r="D532" t="inlineStr">
        <is>
          <t>ÖSTERGÖTLANDS LÄN</t>
        </is>
      </c>
      <c r="E532" t="inlineStr">
        <is>
          <t>LINKÖPING</t>
        </is>
      </c>
      <c r="F532" t="inlineStr">
        <is>
          <t>Allmännings- och besparingsskogar</t>
        </is>
      </c>
      <c r="G532" t="n">
        <v>2.9</v>
      </c>
      <c r="H532" t="n">
        <v>0</v>
      </c>
      <c r="I532" t="n">
        <v>0</v>
      </c>
      <c r="J532" t="n">
        <v>0</v>
      </c>
      <c r="K532" t="n">
        <v>0</v>
      </c>
      <c r="L532" t="n">
        <v>0</v>
      </c>
      <c r="M532" t="n">
        <v>0</v>
      </c>
      <c r="N532" t="n">
        <v>0</v>
      </c>
      <c r="O532" t="n">
        <v>0</v>
      </c>
      <c r="P532" t="n">
        <v>0</v>
      </c>
      <c r="Q532" t="n">
        <v>0</v>
      </c>
      <c r="R532" s="2" t="inlineStr"/>
    </row>
    <row r="533" ht="15" customHeight="1">
      <c r="A533" t="inlineStr">
        <is>
          <t>A 3011-2023</t>
        </is>
      </c>
      <c r="B533" s="1" t="n">
        <v>44945</v>
      </c>
      <c r="C533" s="1" t="n">
        <v>45933</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267-2023</t>
        </is>
      </c>
      <c r="B534" s="1" t="n">
        <v>44928.80907407407</v>
      </c>
      <c r="C534" s="1" t="n">
        <v>45933</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26618-2023</t>
        </is>
      </c>
      <c r="B535" s="1" t="n">
        <v>45092.70306712963</v>
      </c>
      <c r="C535" s="1" t="n">
        <v>45933</v>
      </c>
      <c r="D535" t="inlineStr">
        <is>
          <t>ÖSTERGÖTLANDS LÄN</t>
        </is>
      </c>
      <c r="E535" t="inlineStr">
        <is>
          <t>LINKÖPING</t>
        </is>
      </c>
      <c r="G535" t="n">
        <v>6.9</v>
      </c>
      <c r="H535" t="n">
        <v>0</v>
      </c>
      <c r="I535" t="n">
        <v>0</v>
      </c>
      <c r="J535" t="n">
        <v>0</v>
      </c>
      <c r="K535" t="n">
        <v>0</v>
      </c>
      <c r="L535" t="n">
        <v>0</v>
      </c>
      <c r="M535" t="n">
        <v>0</v>
      </c>
      <c r="N535" t="n">
        <v>0</v>
      </c>
      <c r="O535" t="n">
        <v>0</v>
      </c>
      <c r="P535" t="n">
        <v>0</v>
      </c>
      <c r="Q535" t="n">
        <v>0</v>
      </c>
      <c r="R535" s="2" t="inlineStr"/>
    </row>
    <row r="536" ht="15" customHeight="1">
      <c r="A536" t="inlineStr">
        <is>
          <t>A 45442-2024</t>
        </is>
      </c>
      <c r="B536" s="1" t="n">
        <v>45576.64189814815</v>
      </c>
      <c r="C536" s="1" t="n">
        <v>45933</v>
      </c>
      <c r="D536" t="inlineStr">
        <is>
          <t>ÖSTERGÖTLANDS LÄN</t>
        </is>
      </c>
      <c r="E536" t="inlineStr">
        <is>
          <t>LINKÖPING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63665-2023</t>
        </is>
      </c>
      <c r="B537" s="1" t="n">
        <v>45275</v>
      </c>
      <c r="C537" s="1" t="n">
        <v>45933</v>
      </c>
      <c r="D537" t="inlineStr">
        <is>
          <t>ÖSTERGÖTLANDS LÄN</t>
        </is>
      </c>
      <c r="E537" t="inlineStr">
        <is>
          <t>LINKÖPING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3432-2023</t>
        </is>
      </c>
      <c r="B538" s="1" t="n">
        <v>44949</v>
      </c>
      <c r="C538" s="1" t="n">
        <v>45933</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1440-2021</t>
        </is>
      </c>
      <c r="B539" s="1" t="n">
        <v>44208</v>
      </c>
      <c r="C539" s="1" t="n">
        <v>45933</v>
      </c>
      <c r="D539" t="inlineStr">
        <is>
          <t>ÖSTERGÖTLANDS LÄN</t>
        </is>
      </c>
      <c r="E539" t="inlineStr">
        <is>
          <t>LINKÖPING</t>
        </is>
      </c>
      <c r="G539" t="n">
        <v>8.4</v>
      </c>
      <c r="H539" t="n">
        <v>0</v>
      </c>
      <c r="I539" t="n">
        <v>0</v>
      </c>
      <c r="J539" t="n">
        <v>0</v>
      </c>
      <c r="K539" t="n">
        <v>0</v>
      </c>
      <c r="L539" t="n">
        <v>0</v>
      </c>
      <c r="M539" t="n">
        <v>0</v>
      </c>
      <c r="N539" t="n">
        <v>0</v>
      </c>
      <c r="O539" t="n">
        <v>0</v>
      </c>
      <c r="P539" t="n">
        <v>0</v>
      </c>
      <c r="Q539" t="n">
        <v>0</v>
      </c>
      <c r="R539" s="2" t="inlineStr"/>
    </row>
    <row r="540" ht="15" customHeight="1">
      <c r="A540" t="inlineStr">
        <is>
          <t>A 60472-2022</t>
        </is>
      </c>
      <c r="B540" s="1" t="n">
        <v>44911.41037037037</v>
      </c>
      <c r="C540" s="1" t="n">
        <v>45933</v>
      </c>
      <c r="D540" t="inlineStr">
        <is>
          <t>ÖSTERGÖTLANDS LÄN</t>
        </is>
      </c>
      <c r="E540" t="inlineStr">
        <is>
          <t>LINKÖPING</t>
        </is>
      </c>
      <c r="G540" t="n">
        <v>1.4</v>
      </c>
      <c r="H540" t="n">
        <v>0</v>
      </c>
      <c r="I540" t="n">
        <v>0</v>
      </c>
      <c r="J540" t="n">
        <v>0</v>
      </c>
      <c r="K540" t="n">
        <v>0</v>
      </c>
      <c r="L540" t="n">
        <v>0</v>
      </c>
      <c r="M540" t="n">
        <v>0</v>
      </c>
      <c r="N540" t="n">
        <v>0</v>
      </c>
      <c r="O540" t="n">
        <v>0</v>
      </c>
      <c r="P540" t="n">
        <v>0</v>
      </c>
      <c r="Q540" t="n">
        <v>0</v>
      </c>
      <c r="R540" s="2" t="inlineStr"/>
    </row>
    <row r="541" ht="15" customHeight="1">
      <c r="A541" t="inlineStr">
        <is>
          <t>A 12720-2022</t>
        </is>
      </c>
      <c r="B541" s="1" t="n">
        <v>44641</v>
      </c>
      <c r="C541" s="1" t="n">
        <v>45933</v>
      </c>
      <c r="D541" t="inlineStr">
        <is>
          <t>ÖSTERGÖTLANDS LÄN</t>
        </is>
      </c>
      <c r="E541" t="inlineStr">
        <is>
          <t>LINKÖPING</t>
        </is>
      </c>
      <c r="F541" t="inlineStr">
        <is>
          <t>Övriga Aktiebolag</t>
        </is>
      </c>
      <c r="G541" t="n">
        <v>2</v>
      </c>
      <c r="H541" t="n">
        <v>0</v>
      </c>
      <c r="I541" t="n">
        <v>0</v>
      </c>
      <c r="J541" t="n">
        <v>0</v>
      </c>
      <c r="K541" t="n">
        <v>0</v>
      </c>
      <c r="L541" t="n">
        <v>0</v>
      </c>
      <c r="M541" t="n">
        <v>0</v>
      </c>
      <c r="N541" t="n">
        <v>0</v>
      </c>
      <c r="O541" t="n">
        <v>0</v>
      </c>
      <c r="P541" t="n">
        <v>0</v>
      </c>
      <c r="Q541" t="n">
        <v>0</v>
      </c>
      <c r="R541" s="2" t="inlineStr"/>
    </row>
    <row r="542" ht="15" customHeight="1">
      <c r="A542" t="inlineStr">
        <is>
          <t>A 67123-2020</t>
        </is>
      </c>
      <c r="B542" s="1" t="n">
        <v>44180</v>
      </c>
      <c r="C542" s="1" t="n">
        <v>45933</v>
      </c>
      <c r="D542" t="inlineStr">
        <is>
          <t>ÖSTERGÖTLANDS LÄN</t>
        </is>
      </c>
      <c r="E542" t="inlineStr">
        <is>
          <t>LINKÖPING</t>
        </is>
      </c>
      <c r="F542" t="inlineStr">
        <is>
          <t>Övriga statliga verk och myndigheter</t>
        </is>
      </c>
      <c r="G542" t="n">
        <v>1.3</v>
      </c>
      <c r="H542" t="n">
        <v>0</v>
      </c>
      <c r="I542" t="n">
        <v>0</v>
      </c>
      <c r="J542" t="n">
        <v>0</v>
      </c>
      <c r="K542" t="n">
        <v>0</v>
      </c>
      <c r="L542" t="n">
        <v>0</v>
      </c>
      <c r="M542" t="n">
        <v>0</v>
      </c>
      <c r="N542" t="n">
        <v>0</v>
      </c>
      <c r="O542" t="n">
        <v>0</v>
      </c>
      <c r="P542" t="n">
        <v>0</v>
      </c>
      <c r="Q542" t="n">
        <v>0</v>
      </c>
      <c r="R542" s="2" t="inlineStr"/>
    </row>
    <row r="543" ht="15" customHeight="1">
      <c r="A543" t="inlineStr">
        <is>
          <t>A 30429-2024</t>
        </is>
      </c>
      <c r="B543" s="1" t="n">
        <v>45491.68972222223</v>
      </c>
      <c r="C543" s="1" t="n">
        <v>45933</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30435-2024</t>
        </is>
      </c>
      <c r="B544" s="1" t="n">
        <v>45491.69962962963</v>
      </c>
      <c r="C544" s="1" t="n">
        <v>45933</v>
      </c>
      <c r="D544" t="inlineStr">
        <is>
          <t>ÖSTERGÖTLANDS LÄN</t>
        </is>
      </c>
      <c r="E544" t="inlineStr">
        <is>
          <t>LINKÖPING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53816-2023</t>
        </is>
      </c>
      <c r="B545" s="1" t="n">
        <v>45231.40012731482</v>
      </c>
      <c r="C545" s="1" t="n">
        <v>45933</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36557-2023</t>
        </is>
      </c>
      <c r="B546" s="1" t="n">
        <v>45153</v>
      </c>
      <c r="C546" s="1" t="n">
        <v>45933</v>
      </c>
      <c r="D546" t="inlineStr">
        <is>
          <t>ÖSTERGÖTLANDS LÄN</t>
        </is>
      </c>
      <c r="E546" t="inlineStr">
        <is>
          <t>LINKÖPING</t>
        </is>
      </c>
      <c r="F546" t="inlineStr">
        <is>
          <t>Övriga Aktiebolag</t>
        </is>
      </c>
      <c r="G546" t="n">
        <v>3.1</v>
      </c>
      <c r="H546" t="n">
        <v>0</v>
      </c>
      <c r="I546" t="n">
        <v>0</v>
      </c>
      <c r="J546" t="n">
        <v>0</v>
      </c>
      <c r="K546" t="n">
        <v>0</v>
      </c>
      <c r="L546" t="n">
        <v>0</v>
      </c>
      <c r="M546" t="n">
        <v>0</v>
      </c>
      <c r="N546" t="n">
        <v>0</v>
      </c>
      <c r="O546" t="n">
        <v>0</v>
      </c>
      <c r="P546" t="n">
        <v>0</v>
      </c>
      <c r="Q546" t="n">
        <v>0</v>
      </c>
      <c r="R546" s="2" t="inlineStr"/>
    </row>
    <row r="547" ht="15" customHeight="1">
      <c r="A547" t="inlineStr">
        <is>
          <t>A 6599-2023</t>
        </is>
      </c>
      <c r="B547" s="1" t="n">
        <v>44966.52603009259</v>
      </c>
      <c r="C547" s="1" t="n">
        <v>45933</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43473-2024</t>
        </is>
      </c>
      <c r="B548" s="1" t="n">
        <v>45568</v>
      </c>
      <c r="C548" s="1" t="n">
        <v>45933</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45831-2024</t>
        </is>
      </c>
      <c r="B549" s="1" t="n">
        <v>45579.90508101852</v>
      </c>
      <c r="C549" s="1" t="n">
        <v>45933</v>
      </c>
      <c r="D549" t="inlineStr">
        <is>
          <t>ÖSTERGÖTLANDS LÄN</t>
        </is>
      </c>
      <c r="E549" t="inlineStr">
        <is>
          <t>LINKÖPING</t>
        </is>
      </c>
      <c r="G549" t="n">
        <v>1.9</v>
      </c>
      <c r="H549" t="n">
        <v>0</v>
      </c>
      <c r="I549" t="n">
        <v>0</v>
      </c>
      <c r="J549" t="n">
        <v>0</v>
      </c>
      <c r="K549" t="n">
        <v>0</v>
      </c>
      <c r="L549" t="n">
        <v>0</v>
      </c>
      <c r="M549" t="n">
        <v>0</v>
      </c>
      <c r="N549" t="n">
        <v>0</v>
      </c>
      <c r="O549" t="n">
        <v>0</v>
      </c>
      <c r="P549" t="n">
        <v>0</v>
      </c>
      <c r="Q549" t="n">
        <v>0</v>
      </c>
      <c r="R549" s="2" t="inlineStr"/>
    </row>
    <row r="550" ht="15" customHeight="1">
      <c r="A550" t="inlineStr">
        <is>
          <t>A 57396-2021</t>
        </is>
      </c>
      <c r="B550" s="1" t="n">
        <v>44483.56151620371</v>
      </c>
      <c r="C550" s="1" t="n">
        <v>45933</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22842-2023</t>
        </is>
      </c>
      <c r="B551" s="1" t="n">
        <v>45071</v>
      </c>
      <c r="C551" s="1" t="n">
        <v>45933</v>
      </c>
      <c r="D551" t="inlineStr">
        <is>
          <t>ÖSTERGÖTLANDS LÄN</t>
        </is>
      </c>
      <c r="E551" t="inlineStr">
        <is>
          <t>LINKÖPING</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50386-2021</t>
        </is>
      </c>
      <c r="B552" s="1" t="n">
        <v>44459</v>
      </c>
      <c r="C552" s="1" t="n">
        <v>45933</v>
      </c>
      <c r="D552" t="inlineStr">
        <is>
          <t>ÖSTERGÖTLANDS LÄN</t>
        </is>
      </c>
      <c r="E552" t="inlineStr">
        <is>
          <t>LINKÖPING</t>
        </is>
      </c>
      <c r="G552" t="n">
        <v>2.3</v>
      </c>
      <c r="H552" t="n">
        <v>0</v>
      </c>
      <c r="I552" t="n">
        <v>0</v>
      </c>
      <c r="J552" t="n">
        <v>0</v>
      </c>
      <c r="K552" t="n">
        <v>0</v>
      </c>
      <c r="L552" t="n">
        <v>0</v>
      </c>
      <c r="M552" t="n">
        <v>0</v>
      </c>
      <c r="N552" t="n">
        <v>0</v>
      </c>
      <c r="O552" t="n">
        <v>0</v>
      </c>
      <c r="P552" t="n">
        <v>0</v>
      </c>
      <c r="Q552" t="n">
        <v>0</v>
      </c>
      <c r="R552" s="2" t="inlineStr"/>
    </row>
    <row r="553" ht="15" customHeight="1">
      <c r="A553" t="inlineStr">
        <is>
          <t>A 35781-2023</t>
        </is>
      </c>
      <c r="B553" s="1" t="n">
        <v>45147</v>
      </c>
      <c r="C553" s="1" t="n">
        <v>45933</v>
      </c>
      <c r="D553" t="inlineStr">
        <is>
          <t>ÖSTERGÖTLANDS LÄN</t>
        </is>
      </c>
      <c r="E553" t="inlineStr">
        <is>
          <t>LINKÖPING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22770-2024</t>
        </is>
      </c>
      <c r="B554" s="1" t="n">
        <v>45448.4634375</v>
      </c>
      <c r="C554" s="1" t="n">
        <v>45933</v>
      </c>
      <c r="D554" t="inlineStr">
        <is>
          <t>ÖSTERGÖTLANDS LÄN</t>
        </is>
      </c>
      <c r="E554" t="inlineStr">
        <is>
          <t>LINKÖPING</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11671-2023</t>
        </is>
      </c>
      <c r="B555" s="1" t="n">
        <v>44994.48125</v>
      </c>
      <c r="C555" s="1" t="n">
        <v>45933</v>
      </c>
      <c r="D555" t="inlineStr">
        <is>
          <t>ÖSTERGÖTLANDS LÄN</t>
        </is>
      </c>
      <c r="E555" t="inlineStr">
        <is>
          <t>LINKÖPING</t>
        </is>
      </c>
      <c r="G555" t="n">
        <v>2.6</v>
      </c>
      <c r="H555" t="n">
        <v>0</v>
      </c>
      <c r="I555" t="n">
        <v>0</v>
      </c>
      <c r="J555" t="n">
        <v>0</v>
      </c>
      <c r="K555" t="n">
        <v>0</v>
      </c>
      <c r="L555" t="n">
        <v>0</v>
      </c>
      <c r="M555" t="n">
        <v>0</v>
      </c>
      <c r="N555" t="n">
        <v>0</v>
      </c>
      <c r="O555" t="n">
        <v>0</v>
      </c>
      <c r="P555" t="n">
        <v>0</v>
      </c>
      <c r="Q555" t="n">
        <v>0</v>
      </c>
      <c r="R555" s="2" t="inlineStr"/>
    </row>
    <row r="556" ht="15" customHeight="1">
      <c r="A556" t="inlineStr">
        <is>
          <t>A 54425-2022</t>
        </is>
      </c>
      <c r="B556" s="1" t="n">
        <v>44882.57453703704</v>
      </c>
      <c r="C556" s="1" t="n">
        <v>45933</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61532-2021</t>
        </is>
      </c>
      <c r="B557" s="1" t="n">
        <v>44501</v>
      </c>
      <c r="C557" s="1" t="n">
        <v>45933</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3374-2023</t>
        </is>
      </c>
      <c r="B558" s="1" t="n">
        <v>44949</v>
      </c>
      <c r="C558" s="1" t="n">
        <v>45933</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224-2024</t>
        </is>
      </c>
      <c r="B559" s="1" t="n">
        <v>45294</v>
      </c>
      <c r="C559" s="1" t="n">
        <v>45933</v>
      </c>
      <c r="D559" t="inlineStr">
        <is>
          <t>ÖSTERGÖTLANDS LÄN</t>
        </is>
      </c>
      <c r="E559" t="inlineStr">
        <is>
          <t>LINKÖPING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6726-2024</t>
        </is>
      </c>
      <c r="B560" s="1" t="n">
        <v>45341</v>
      </c>
      <c r="C560" s="1" t="n">
        <v>45933</v>
      </c>
      <c r="D560" t="inlineStr">
        <is>
          <t>ÖSTERGÖTLANDS LÄN</t>
        </is>
      </c>
      <c r="E560" t="inlineStr">
        <is>
          <t>LINKÖPING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4927-2021</t>
        </is>
      </c>
      <c r="B561" s="1" t="n">
        <v>44227.57215277778</v>
      </c>
      <c r="C561" s="1" t="n">
        <v>45933</v>
      </c>
      <c r="D561" t="inlineStr">
        <is>
          <t>ÖSTERGÖTLANDS LÄN</t>
        </is>
      </c>
      <c r="E561" t="inlineStr">
        <is>
          <t>LINKÖPING</t>
        </is>
      </c>
      <c r="G561" t="n">
        <v>0.3</v>
      </c>
      <c r="H561" t="n">
        <v>0</v>
      </c>
      <c r="I561" t="n">
        <v>0</v>
      </c>
      <c r="J561" t="n">
        <v>0</v>
      </c>
      <c r="K561" t="n">
        <v>0</v>
      </c>
      <c r="L561" t="n">
        <v>0</v>
      </c>
      <c r="M561" t="n">
        <v>0</v>
      </c>
      <c r="N561" t="n">
        <v>0</v>
      </c>
      <c r="O561" t="n">
        <v>0</v>
      </c>
      <c r="P561" t="n">
        <v>0</v>
      </c>
      <c r="Q561" t="n">
        <v>0</v>
      </c>
      <c r="R561" s="2" t="inlineStr"/>
    </row>
    <row r="562" ht="15" customHeight="1">
      <c r="A562" t="inlineStr">
        <is>
          <t>A 30547-2023</t>
        </is>
      </c>
      <c r="B562" s="1" t="n">
        <v>45111.75905092592</v>
      </c>
      <c r="C562" s="1" t="n">
        <v>45933</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24904-2024</t>
        </is>
      </c>
      <c r="B563" s="1" t="n">
        <v>45461</v>
      </c>
      <c r="C563" s="1" t="n">
        <v>45933</v>
      </c>
      <c r="D563" t="inlineStr">
        <is>
          <t>ÖSTERGÖTLANDS LÄN</t>
        </is>
      </c>
      <c r="E563" t="inlineStr">
        <is>
          <t>LINKÖPING</t>
        </is>
      </c>
      <c r="G563" t="n">
        <v>3.8</v>
      </c>
      <c r="H563" t="n">
        <v>0</v>
      </c>
      <c r="I563" t="n">
        <v>0</v>
      </c>
      <c r="J563" t="n">
        <v>0</v>
      </c>
      <c r="K563" t="n">
        <v>0</v>
      </c>
      <c r="L563" t="n">
        <v>0</v>
      </c>
      <c r="M563" t="n">
        <v>0</v>
      </c>
      <c r="N563" t="n">
        <v>0</v>
      </c>
      <c r="O563" t="n">
        <v>0</v>
      </c>
      <c r="P563" t="n">
        <v>0</v>
      </c>
      <c r="Q563" t="n">
        <v>0</v>
      </c>
      <c r="R563" s="2" t="inlineStr"/>
    </row>
    <row r="564" ht="15" customHeight="1">
      <c r="A564" t="inlineStr">
        <is>
          <t>A 53814-2023</t>
        </is>
      </c>
      <c r="B564" s="1" t="n">
        <v>45231</v>
      </c>
      <c r="C564" s="1" t="n">
        <v>45933</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26788-2022</t>
        </is>
      </c>
      <c r="B565" s="1" t="n">
        <v>44740</v>
      </c>
      <c r="C565" s="1" t="n">
        <v>45933</v>
      </c>
      <c r="D565" t="inlineStr">
        <is>
          <t>ÖSTERGÖTLANDS LÄN</t>
        </is>
      </c>
      <c r="E565" t="inlineStr">
        <is>
          <t>LINKÖPING</t>
        </is>
      </c>
      <c r="G565" t="n">
        <v>3.2</v>
      </c>
      <c r="H565" t="n">
        <v>0</v>
      </c>
      <c r="I565" t="n">
        <v>0</v>
      </c>
      <c r="J565" t="n">
        <v>0</v>
      </c>
      <c r="K565" t="n">
        <v>0</v>
      </c>
      <c r="L565" t="n">
        <v>0</v>
      </c>
      <c r="M565" t="n">
        <v>0</v>
      </c>
      <c r="N565" t="n">
        <v>0</v>
      </c>
      <c r="O565" t="n">
        <v>0</v>
      </c>
      <c r="P565" t="n">
        <v>0</v>
      </c>
      <c r="Q565" t="n">
        <v>0</v>
      </c>
      <c r="R565" s="2" t="inlineStr"/>
    </row>
    <row r="566" ht="15" customHeight="1">
      <c r="A566" t="inlineStr">
        <is>
          <t>A 15121-2022</t>
        </is>
      </c>
      <c r="B566" s="1" t="n">
        <v>44658</v>
      </c>
      <c r="C566" s="1" t="n">
        <v>45933</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51919-2024</t>
        </is>
      </c>
      <c r="B567" s="1" t="n">
        <v>45607.60791666667</v>
      </c>
      <c r="C567" s="1" t="n">
        <v>45933</v>
      </c>
      <c r="D567" t="inlineStr">
        <is>
          <t>ÖSTERGÖTLANDS LÄN</t>
        </is>
      </c>
      <c r="E567" t="inlineStr">
        <is>
          <t>LINKÖPING</t>
        </is>
      </c>
      <c r="G567" t="n">
        <v>2.5</v>
      </c>
      <c r="H567" t="n">
        <v>0</v>
      </c>
      <c r="I567" t="n">
        <v>0</v>
      </c>
      <c r="J567" t="n">
        <v>0</v>
      </c>
      <c r="K567" t="n">
        <v>0</v>
      </c>
      <c r="L567" t="n">
        <v>0</v>
      </c>
      <c r="M567" t="n">
        <v>0</v>
      </c>
      <c r="N567" t="n">
        <v>0</v>
      </c>
      <c r="O567" t="n">
        <v>0</v>
      </c>
      <c r="P567" t="n">
        <v>0</v>
      </c>
      <c r="Q567" t="n">
        <v>0</v>
      </c>
      <c r="R567" s="2" t="inlineStr"/>
    </row>
    <row r="568" ht="15" customHeight="1">
      <c r="A568" t="inlineStr">
        <is>
          <t>A 60004-2022</t>
        </is>
      </c>
      <c r="B568" s="1" t="n">
        <v>44909.47206018519</v>
      </c>
      <c r="C568" s="1" t="n">
        <v>45933</v>
      </c>
      <c r="D568" t="inlineStr">
        <is>
          <t>ÖSTERGÖTLANDS LÄN</t>
        </is>
      </c>
      <c r="E568" t="inlineStr">
        <is>
          <t>LINKÖPING</t>
        </is>
      </c>
      <c r="G568" t="n">
        <v>2.2</v>
      </c>
      <c r="H568" t="n">
        <v>0</v>
      </c>
      <c r="I568" t="n">
        <v>0</v>
      </c>
      <c r="J568" t="n">
        <v>0</v>
      </c>
      <c r="K568" t="n">
        <v>0</v>
      </c>
      <c r="L568" t="n">
        <v>0</v>
      </c>
      <c r="M568" t="n">
        <v>0</v>
      </c>
      <c r="N568" t="n">
        <v>0</v>
      </c>
      <c r="O568" t="n">
        <v>0</v>
      </c>
      <c r="P568" t="n">
        <v>0</v>
      </c>
      <c r="Q568" t="n">
        <v>0</v>
      </c>
      <c r="R568" s="2" t="inlineStr"/>
    </row>
    <row r="569" ht="15" customHeight="1">
      <c r="A569" t="inlineStr">
        <is>
          <t>A 55009-2023</t>
        </is>
      </c>
      <c r="B569" s="1" t="n">
        <v>45237</v>
      </c>
      <c r="C569" s="1" t="n">
        <v>45933</v>
      </c>
      <c r="D569" t="inlineStr">
        <is>
          <t>ÖSTERGÖTLANDS LÄN</t>
        </is>
      </c>
      <c r="E569" t="inlineStr">
        <is>
          <t>LINKÖPING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20291-2025</t>
        </is>
      </c>
      <c r="B570" s="1" t="n">
        <v>45774.74288194445</v>
      </c>
      <c r="C570" s="1" t="n">
        <v>45933</v>
      </c>
      <c r="D570" t="inlineStr">
        <is>
          <t>ÖSTERGÖTLANDS LÄN</t>
        </is>
      </c>
      <c r="E570" t="inlineStr">
        <is>
          <t>LINKÖPING</t>
        </is>
      </c>
      <c r="G570" t="n">
        <v>2.3</v>
      </c>
      <c r="H570" t="n">
        <v>0</v>
      </c>
      <c r="I570" t="n">
        <v>0</v>
      </c>
      <c r="J570" t="n">
        <v>0</v>
      </c>
      <c r="K570" t="n">
        <v>0</v>
      </c>
      <c r="L570" t="n">
        <v>0</v>
      </c>
      <c r="M570" t="n">
        <v>0</v>
      </c>
      <c r="N570" t="n">
        <v>0</v>
      </c>
      <c r="O570" t="n">
        <v>0</v>
      </c>
      <c r="P570" t="n">
        <v>0</v>
      </c>
      <c r="Q570" t="n">
        <v>0</v>
      </c>
      <c r="R570" s="2" t="inlineStr"/>
    </row>
    <row r="571" ht="15" customHeight="1">
      <c r="A571" t="inlineStr">
        <is>
          <t>A 20293-2025</t>
        </is>
      </c>
      <c r="B571" s="1" t="n">
        <v>45774.74611111111</v>
      </c>
      <c r="C571" s="1" t="n">
        <v>45933</v>
      </c>
      <c r="D571" t="inlineStr">
        <is>
          <t>ÖSTERGÖTLANDS LÄN</t>
        </is>
      </c>
      <c r="E571" t="inlineStr">
        <is>
          <t>LINKÖPING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660-2023</t>
        </is>
      </c>
      <c r="B572" s="1" t="n">
        <v>44930</v>
      </c>
      <c r="C572" s="1" t="n">
        <v>45933</v>
      </c>
      <c r="D572" t="inlineStr">
        <is>
          <t>ÖSTERGÖTLANDS LÄN</t>
        </is>
      </c>
      <c r="E572" t="inlineStr">
        <is>
          <t>LINKÖPING</t>
        </is>
      </c>
      <c r="F572" t="inlineStr">
        <is>
          <t>Kyrkan</t>
        </is>
      </c>
      <c r="G572" t="n">
        <v>1.6</v>
      </c>
      <c r="H572" t="n">
        <v>0</v>
      </c>
      <c r="I572" t="n">
        <v>0</v>
      </c>
      <c r="J572" t="n">
        <v>0</v>
      </c>
      <c r="K572" t="n">
        <v>0</v>
      </c>
      <c r="L572" t="n">
        <v>0</v>
      </c>
      <c r="M572" t="n">
        <v>0</v>
      </c>
      <c r="N572" t="n">
        <v>0</v>
      </c>
      <c r="O572" t="n">
        <v>0</v>
      </c>
      <c r="P572" t="n">
        <v>0</v>
      </c>
      <c r="Q572" t="n">
        <v>0</v>
      </c>
      <c r="R572" s="2" t="inlineStr"/>
    </row>
    <row r="573" ht="15" customHeight="1">
      <c r="A573" t="inlineStr">
        <is>
          <t>A 64694-2023</t>
        </is>
      </c>
      <c r="B573" s="1" t="n">
        <v>45281</v>
      </c>
      <c r="C573" s="1" t="n">
        <v>45933</v>
      </c>
      <c r="D573" t="inlineStr">
        <is>
          <t>ÖSTERGÖTLANDS LÄN</t>
        </is>
      </c>
      <c r="E573" t="inlineStr">
        <is>
          <t>LINKÖPING</t>
        </is>
      </c>
      <c r="F573" t="inlineStr">
        <is>
          <t>Övriga statliga verk och myndigheter</t>
        </is>
      </c>
      <c r="G573" t="n">
        <v>4.9</v>
      </c>
      <c r="H573" t="n">
        <v>0</v>
      </c>
      <c r="I573" t="n">
        <v>0</v>
      </c>
      <c r="J573" t="n">
        <v>0</v>
      </c>
      <c r="K573" t="n">
        <v>0</v>
      </c>
      <c r="L573" t="n">
        <v>0</v>
      </c>
      <c r="M573" t="n">
        <v>0</v>
      </c>
      <c r="N573" t="n">
        <v>0</v>
      </c>
      <c r="O573" t="n">
        <v>0</v>
      </c>
      <c r="P573" t="n">
        <v>0</v>
      </c>
      <c r="Q573" t="n">
        <v>0</v>
      </c>
      <c r="R573" s="2" t="inlineStr"/>
    </row>
    <row r="574" ht="15" customHeight="1">
      <c r="A574" t="inlineStr">
        <is>
          <t>A 52796-2023</t>
        </is>
      </c>
      <c r="B574" s="1" t="n">
        <v>45219</v>
      </c>
      <c r="C574" s="1" t="n">
        <v>45933</v>
      </c>
      <c r="D574" t="inlineStr">
        <is>
          <t>ÖSTERGÖTLANDS LÄN</t>
        </is>
      </c>
      <c r="E574" t="inlineStr">
        <is>
          <t>LINKÖPING</t>
        </is>
      </c>
      <c r="F574" t="inlineStr">
        <is>
          <t>Övriga statliga verk och myndigheter</t>
        </is>
      </c>
      <c r="G574" t="n">
        <v>3.9</v>
      </c>
      <c r="H574" t="n">
        <v>0</v>
      </c>
      <c r="I574" t="n">
        <v>0</v>
      </c>
      <c r="J574" t="n">
        <v>0</v>
      </c>
      <c r="K574" t="n">
        <v>0</v>
      </c>
      <c r="L574" t="n">
        <v>0</v>
      </c>
      <c r="M574" t="n">
        <v>0</v>
      </c>
      <c r="N574" t="n">
        <v>0</v>
      </c>
      <c r="O574" t="n">
        <v>0</v>
      </c>
      <c r="P574" t="n">
        <v>0</v>
      </c>
      <c r="Q574" t="n">
        <v>0</v>
      </c>
      <c r="R574" s="2" t="inlineStr"/>
    </row>
    <row r="575" ht="15" customHeight="1">
      <c r="A575" t="inlineStr">
        <is>
          <t>A 50743-2023</t>
        </is>
      </c>
      <c r="B575" s="1" t="n">
        <v>45217</v>
      </c>
      <c r="C575" s="1" t="n">
        <v>45933</v>
      </c>
      <c r="D575" t="inlineStr">
        <is>
          <t>ÖSTERGÖTLANDS LÄN</t>
        </is>
      </c>
      <c r="E575" t="inlineStr">
        <is>
          <t>LINKÖPING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45771-2023</t>
        </is>
      </c>
      <c r="B576" s="1" t="n">
        <v>45195.4384375</v>
      </c>
      <c r="C576" s="1" t="n">
        <v>45933</v>
      </c>
      <c r="D576" t="inlineStr">
        <is>
          <t>ÖSTERGÖTLANDS LÄN</t>
        </is>
      </c>
      <c r="E576" t="inlineStr">
        <is>
          <t>LINKÖPING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63554-2023</t>
        </is>
      </c>
      <c r="B577" s="1" t="n">
        <v>45275</v>
      </c>
      <c r="C577" s="1" t="n">
        <v>45933</v>
      </c>
      <c r="D577" t="inlineStr">
        <is>
          <t>ÖSTERGÖTLANDS LÄN</t>
        </is>
      </c>
      <c r="E577" t="inlineStr">
        <is>
          <t>LINKÖPING</t>
        </is>
      </c>
      <c r="G577" t="n">
        <v>4.3</v>
      </c>
      <c r="H577" t="n">
        <v>0</v>
      </c>
      <c r="I577" t="n">
        <v>0</v>
      </c>
      <c r="J577" t="n">
        <v>0</v>
      </c>
      <c r="K577" t="n">
        <v>0</v>
      </c>
      <c r="L577" t="n">
        <v>0</v>
      </c>
      <c r="M577" t="n">
        <v>0</v>
      </c>
      <c r="N577" t="n">
        <v>0</v>
      </c>
      <c r="O577" t="n">
        <v>0</v>
      </c>
      <c r="P577" t="n">
        <v>0</v>
      </c>
      <c r="Q577" t="n">
        <v>0</v>
      </c>
      <c r="R577" s="2" t="inlineStr"/>
    </row>
    <row r="578" ht="15" customHeight="1">
      <c r="A578" t="inlineStr">
        <is>
          <t>A 63487-2023</t>
        </is>
      </c>
      <c r="B578" s="1" t="n">
        <v>45274.66712962963</v>
      </c>
      <c r="C578" s="1" t="n">
        <v>45933</v>
      </c>
      <c r="D578" t="inlineStr">
        <is>
          <t>ÖSTERGÖTLANDS LÄN</t>
        </is>
      </c>
      <c r="E578" t="inlineStr">
        <is>
          <t>LINKÖPING</t>
        </is>
      </c>
      <c r="G578" t="n">
        <v>1.4</v>
      </c>
      <c r="H578" t="n">
        <v>0</v>
      </c>
      <c r="I578" t="n">
        <v>0</v>
      </c>
      <c r="J578" t="n">
        <v>0</v>
      </c>
      <c r="K578" t="n">
        <v>0</v>
      </c>
      <c r="L578" t="n">
        <v>0</v>
      </c>
      <c r="M578" t="n">
        <v>0</v>
      </c>
      <c r="N578" t="n">
        <v>0</v>
      </c>
      <c r="O578" t="n">
        <v>0</v>
      </c>
      <c r="P578" t="n">
        <v>0</v>
      </c>
      <c r="Q578" t="n">
        <v>0</v>
      </c>
      <c r="R578" s="2" t="inlineStr"/>
    </row>
    <row r="579" ht="15" customHeight="1">
      <c r="A579" t="inlineStr">
        <is>
          <t>A 30111-2024</t>
        </is>
      </c>
      <c r="B579" s="1" t="n">
        <v>45489.46947916667</v>
      </c>
      <c r="C579" s="1" t="n">
        <v>45933</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30119-2024</t>
        </is>
      </c>
      <c r="B580" s="1" t="n">
        <v>45489</v>
      </c>
      <c r="C580" s="1" t="n">
        <v>45933</v>
      </c>
      <c r="D580" t="inlineStr">
        <is>
          <t>ÖSTERGÖTLANDS LÄN</t>
        </is>
      </c>
      <c r="E580" t="inlineStr">
        <is>
          <t>LINKÖPING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6206-2024</t>
        </is>
      </c>
      <c r="B581" s="1" t="n">
        <v>45337.5977662037</v>
      </c>
      <c r="C581" s="1" t="n">
        <v>45933</v>
      </c>
      <c r="D581" t="inlineStr">
        <is>
          <t>ÖSTERGÖTLANDS LÄN</t>
        </is>
      </c>
      <c r="E581" t="inlineStr">
        <is>
          <t>LINKÖPING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15714-2024</t>
        </is>
      </c>
      <c r="B582" s="1" t="n">
        <v>45404.48288194444</v>
      </c>
      <c r="C582" s="1" t="n">
        <v>45933</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20455-2024</t>
        </is>
      </c>
      <c r="B583" s="1" t="n">
        <v>45435.65314814815</v>
      </c>
      <c r="C583" s="1" t="n">
        <v>45933</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30481-2023</t>
        </is>
      </c>
      <c r="B584" s="1" t="n">
        <v>45111</v>
      </c>
      <c r="C584" s="1" t="n">
        <v>45933</v>
      </c>
      <c r="D584" t="inlineStr">
        <is>
          <t>ÖSTERGÖTLANDS LÄN</t>
        </is>
      </c>
      <c r="E584" t="inlineStr">
        <is>
          <t>LINKÖPING</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30471-2023</t>
        </is>
      </c>
      <c r="B585" s="1" t="n">
        <v>45111.58931712963</v>
      </c>
      <c r="C585" s="1" t="n">
        <v>45933</v>
      </c>
      <c r="D585" t="inlineStr">
        <is>
          <t>ÖSTERGÖTLANDS LÄN</t>
        </is>
      </c>
      <c r="E585" t="inlineStr">
        <is>
          <t>LINKÖPING</t>
        </is>
      </c>
      <c r="G585" t="n">
        <v>2.9</v>
      </c>
      <c r="H585" t="n">
        <v>0</v>
      </c>
      <c r="I585" t="n">
        <v>0</v>
      </c>
      <c r="J585" t="n">
        <v>0</v>
      </c>
      <c r="K585" t="n">
        <v>0</v>
      </c>
      <c r="L585" t="n">
        <v>0</v>
      </c>
      <c r="M585" t="n">
        <v>0</v>
      </c>
      <c r="N585" t="n">
        <v>0</v>
      </c>
      <c r="O585" t="n">
        <v>0</v>
      </c>
      <c r="P585" t="n">
        <v>0</v>
      </c>
      <c r="Q585" t="n">
        <v>0</v>
      </c>
      <c r="R585" s="2" t="inlineStr"/>
    </row>
    <row r="586" ht="15" customHeight="1">
      <c r="A586" t="inlineStr">
        <is>
          <t>A 74160-2021</t>
        </is>
      </c>
      <c r="B586" s="1" t="n">
        <v>44558</v>
      </c>
      <c r="C586" s="1" t="n">
        <v>45933</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63559-2023</t>
        </is>
      </c>
      <c r="B587" s="1" t="n">
        <v>45275.35924768518</v>
      </c>
      <c r="C587" s="1" t="n">
        <v>45933</v>
      </c>
      <c r="D587" t="inlineStr">
        <is>
          <t>ÖSTERGÖTLANDS LÄN</t>
        </is>
      </c>
      <c r="E587" t="inlineStr">
        <is>
          <t>LINKÖPING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14093-2024</t>
        </is>
      </c>
      <c r="B588" s="1" t="n">
        <v>45392.60278935185</v>
      </c>
      <c r="C588" s="1" t="n">
        <v>45933</v>
      </c>
      <c r="D588" t="inlineStr">
        <is>
          <t>ÖSTERGÖTLANDS LÄN</t>
        </is>
      </c>
      <c r="E588" t="inlineStr">
        <is>
          <t>LINKÖPING</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23491-2024</t>
        </is>
      </c>
      <c r="B589" s="1" t="n">
        <v>45453</v>
      </c>
      <c r="C589" s="1" t="n">
        <v>45933</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63304-2021</t>
        </is>
      </c>
      <c r="B590" s="1" t="n">
        <v>44508.4396412037</v>
      </c>
      <c r="C590" s="1" t="n">
        <v>45933</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19362-2023</t>
        </is>
      </c>
      <c r="B591" s="1" t="n">
        <v>45049</v>
      </c>
      <c r="C591" s="1" t="n">
        <v>45933</v>
      </c>
      <c r="D591" t="inlineStr">
        <is>
          <t>ÖSTERGÖTLANDS LÄN</t>
        </is>
      </c>
      <c r="E591" t="inlineStr">
        <is>
          <t>LINKÖPING</t>
        </is>
      </c>
      <c r="G591" t="n">
        <v>0.1</v>
      </c>
      <c r="H591" t="n">
        <v>0</v>
      </c>
      <c r="I591" t="n">
        <v>0</v>
      </c>
      <c r="J591" t="n">
        <v>0</v>
      </c>
      <c r="K591" t="n">
        <v>0</v>
      </c>
      <c r="L591" t="n">
        <v>0</v>
      </c>
      <c r="M591" t="n">
        <v>0</v>
      </c>
      <c r="N591" t="n">
        <v>0</v>
      </c>
      <c r="O591" t="n">
        <v>0</v>
      </c>
      <c r="P591" t="n">
        <v>0</v>
      </c>
      <c r="Q591" t="n">
        <v>0</v>
      </c>
      <c r="R591" s="2" t="inlineStr"/>
    </row>
    <row r="592" ht="15" customHeight="1">
      <c r="A592" t="inlineStr">
        <is>
          <t>A 35463-2023</t>
        </is>
      </c>
      <c r="B592" s="1" t="n">
        <v>45146</v>
      </c>
      <c r="C592" s="1" t="n">
        <v>45933</v>
      </c>
      <c r="D592" t="inlineStr">
        <is>
          <t>ÖSTERGÖTLANDS LÄN</t>
        </is>
      </c>
      <c r="E592" t="inlineStr">
        <is>
          <t>LINKÖPING</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16111-2022</t>
        </is>
      </c>
      <c r="B593" s="1" t="n">
        <v>44665</v>
      </c>
      <c r="C593" s="1" t="n">
        <v>45933</v>
      </c>
      <c r="D593" t="inlineStr">
        <is>
          <t>ÖSTERGÖTLANDS LÄN</t>
        </is>
      </c>
      <c r="E593" t="inlineStr">
        <is>
          <t>LINKÖPING</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31635-2023</t>
        </is>
      </c>
      <c r="B594" s="1" t="n">
        <v>45105</v>
      </c>
      <c r="C594" s="1" t="n">
        <v>45933</v>
      </c>
      <c r="D594" t="inlineStr">
        <is>
          <t>ÖSTERGÖTLANDS LÄN</t>
        </is>
      </c>
      <c r="E594" t="inlineStr">
        <is>
          <t>LINKÖPING</t>
        </is>
      </c>
      <c r="F594" t="inlineStr">
        <is>
          <t>Övriga statliga verk och myndigheter</t>
        </is>
      </c>
      <c r="G594" t="n">
        <v>4.6</v>
      </c>
      <c r="H594" t="n">
        <v>0</v>
      </c>
      <c r="I594" t="n">
        <v>0</v>
      </c>
      <c r="J594" t="n">
        <v>0</v>
      </c>
      <c r="K594" t="n">
        <v>0</v>
      </c>
      <c r="L594" t="n">
        <v>0</v>
      </c>
      <c r="M594" t="n">
        <v>0</v>
      </c>
      <c r="N594" t="n">
        <v>0</v>
      </c>
      <c r="O594" t="n">
        <v>0</v>
      </c>
      <c r="P594" t="n">
        <v>0</v>
      </c>
      <c r="Q594" t="n">
        <v>0</v>
      </c>
      <c r="R594" s="2" t="inlineStr"/>
    </row>
    <row r="595" ht="15" customHeight="1">
      <c r="A595" t="inlineStr">
        <is>
          <t>A 49928-2024</t>
        </is>
      </c>
      <c r="B595" s="1" t="n">
        <v>45597.57811342592</v>
      </c>
      <c r="C595" s="1" t="n">
        <v>45933</v>
      </c>
      <c r="D595" t="inlineStr">
        <is>
          <t>ÖSTERGÖTLANDS LÄN</t>
        </is>
      </c>
      <c r="E595" t="inlineStr">
        <is>
          <t>LINKÖPING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54845-2023</t>
        </is>
      </c>
      <c r="B596" s="1" t="n">
        <v>45236</v>
      </c>
      <c r="C596" s="1" t="n">
        <v>45933</v>
      </c>
      <c r="D596" t="inlineStr">
        <is>
          <t>ÖSTERGÖTLANDS LÄN</t>
        </is>
      </c>
      <c r="E596" t="inlineStr">
        <is>
          <t>LINKÖPING</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46687-2021</t>
        </is>
      </c>
      <c r="B597" s="1" t="n">
        <v>44445</v>
      </c>
      <c r="C597" s="1" t="n">
        <v>45933</v>
      </c>
      <c r="D597" t="inlineStr">
        <is>
          <t>ÖSTERGÖTLANDS LÄN</t>
        </is>
      </c>
      <c r="E597" t="inlineStr">
        <is>
          <t>LINKÖPING</t>
        </is>
      </c>
      <c r="F597" t="inlineStr">
        <is>
          <t>Övriga statliga verk och myndigheter</t>
        </is>
      </c>
      <c r="G597" t="n">
        <v>2.3</v>
      </c>
      <c r="H597" t="n">
        <v>0</v>
      </c>
      <c r="I597" t="n">
        <v>0</v>
      </c>
      <c r="J597" t="n">
        <v>0</v>
      </c>
      <c r="K597" t="n">
        <v>0</v>
      </c>
      <c r="L597" t="n">
        <v>0</v>
      </c>
      <c r="M597" t="n">
        <v>0</v>
      </c>
      <c r="N597" t="n">
        <v>0</v>
      </c>
      <c r="O597" t="n">
        <v>0</v>
      </c>
      <c r="P597" t="n">
        <v>0</v>
      </c>
      <c r="Q597" t="n">
        <v>0</v>
      </c>
      <c r="R597" s="2" t="inlineStr"/>
    </row>
    <row r="598" ht="15" customHeight="1">
      <c r="A598" t="inlineStr">
        <is>
          <t>A 30855-2022</t>
        </is>
      </c>
      <c r="B598" s="1" t="n">
        <v>44767</v>
      </c>
      <c r="C598" s="1" t="n">
        <v>45933</v>
      </c>
      <c r="D598" t="inlineStr">
        <is>
          <t>ÖSTERGÖTLANDS LÄN</t>
        </is>
      </c>
      <c r="E598" t="inlineStr">
        <is>
          <t>LINKÖPING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1355-2023</t>
        </is>
      </c>
      <c r="B599" s="1" t="n">
        <v>44931</v>
      </c>
      <c r="C599" s="1" t="n">
        <v>45933</v>
      </c>
      <c r="D599" t="inlineStr">
        <is>
          <t>ÖSTERGÖTLANDS LÄN</t>
        </is>
      </c>
      <c r="E599" t="inlineStr">
        <is>
          <t>LINKÖPING</t>
        </is>
      </c>
      <c r="G599" t="n">
        <v>4</v>
      </c>
      <c r="H599" t="n">
        <v>0</v>
      </c>
      <c r="I599" t="n">
        <v>0</v>
      </c>
      <c r="J599" t="n">
        <v>0</v>
      </c>
      <c r="K599" t="n">
        <v>0</v>
      </c>
      <c r="L599" t="n">
        <v>0</v>
      </c>
      <c r="M599" t="n">
        <v>0</v>
      </c>
      <c r="N599" t="n">
        <v>0</v>
      </c>
      <c r="O599" t="n">
        <v>0</v>
      </c>
      <c r="P599" t="n">
        <v>0</v>
      </c>
      <c r="Q599" t="n">
        <v>0</v>
      </c>
      <c r="R599" s="2" t="inlineStr"/>
    </row>
    <row r="600" ht="15" customHeight="1">
      <c r="A600" t="inlineStr">
        <is>
          <t>A 27844-2024</t>
        </is>
      </c>
      <c r="B600" s="1" t="n">
        <v>45475.63047453704</v>
      </c>
      <c r="C600" s="1" t="n">
        <v>45933</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10741-2023</t>
        </is>
      </c>
      <c r="B601" s="1" t="n">
        <v>44988.70084490741</v>
      </c>
      <c r="C601" s="1" t="n">
        <v>45933</v>
      </c>
      <c r="D601" t="inlineStr">
        <is>
          <t>ÖSTERGÖTLANDS LÄN</t>
        </is>
      </c>
      <c r="E601" t="inlineStr">
        <is>
          <t>LINKÖPING</t>
        </is>
      </c>
      <c r="F601" t="inlineStr">
        <is>
          <t>Allmännings- och besparingsskogar</t>
        </is>
      </c>
      <c r="G601" t="n">
        <v>11.2</v>
      </c>
      <c r="H601" t="n">
        <v>0</v>
      </c>
      <c r="I601" t="n">
        <v>0</v>
      </c>
      <c r="J601" t="n">
        <v>0</v>
      </c>
      <c r="K601" t="n">
        <v>0</v>
      </c>
      <c r="L601" t="n">
        <v>0</v>
      </c>
      <c r="M601" t="n">
        <v>0</v>
      </c>
      <c r="N601" t="n">
        <v>0</v>
      </c>
      <c r="O601" t="n">
        <v>0</v>
      </c>
      <c r="P601" t="n">
        <v>0</v>
      </c>
      <c r="Q601" t="n">
        <v>0</v>
      </c>
      <c r="R601" s="2" t="inlineStr"/>
    </row>
    <row r="602" ht="15" customHeight="1">
      <c r="A602" t="inlineStr">
        <is>
          <t>A 50963-2021</t>
        </is>
      </c>
      <c r="B602" s="1" t="n">
        <v>44460</v>
      </c>
      <c r="C602" s="1" t="n">
        <v>45933</v>
      </c>
      <c r="D602" t="inlineStr">
        <is>
          <t>ÖSTERGÖTLANDS LÄN</t>
        </is>
      </c>
      <c r="E602" t="inlineStr">
        <is>
          <t>LINKÖPING</t>
        </is>
      </c>
      <c r="G602" t="n">
        <v>4.4</v>
      </c>
      <c r="H602" t="n">
        <v>0</v>
      </c>
      <c r="I602" t="n">
        <v>0</v>
      </c>
      <c r="J602" t="n">
        <v>0</v>
      </c>
      <c r="K602" t="n">
        <v>0</v>
      </c>
      <c r="L602" t="n">
        <v>0</v>
      </c>
      <c r="M602" t="n">
        <v>0</v>
      </c>
      <c r="N602" t="n">
        <v>0</v>
      </c>
      <c r="O602" t="n">
        <v>0</v>
      </c>
      <c r="P602" t="n">
        <v>0</v>
      </c>
      <c r="Q602" t="n">
        <v>0</v>
      </c>
      <c r="R602" s="2" t="inlineStr"/>
    </row>
    <row r="603" ht="15" customHeight="1">
      <c r="A603" t="inlineStr">
        <is>
          <t>A 45821-2024</t>
        </is>
      </c>
      <c r="B603" s="1" t="n">
        <v>45579.75803240741</v>
      </c>
      <c r="C603" s="1" t="n">
        <v>45933</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61936-2023</t>
        </is>
      </c>
      <c r="B604" s="1" t="n">
        <v>45266.54534722222</v>
      </c>
      <c r="C604" s="1" t="n">
        <v>45933</v>
      </c>
      <c r="D604" t="inlineStr">
        <is>
          <t>ÖSTERGÖTLANDS LÄN</t>
        </is>
      </c>
      <c r="E604" t="inlineStr">
        <is>
          <t>LINKÖPING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1263-2024</t>
        </is>
      </c>
      <c r="B605" s="1" t="n">
        <v>45302</v>
      </c>
      <c r="C605" s="1" t="n">
        <v>45933</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24464-2023</t>
        </is>
      </c>
      <c r="B606" s="1" t="n">
        <v>45082.58068287037</v>
      </c>
      <c r="C606" s="1" t="n">
        <v>45933</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48389-2024</t>
        </is>
      </c>
      <c r="B607" s="1" t="n">
        <v>45590.59991898148</v>
      </c>
      <c r="C607" s="1" t="n">
        <v>45933</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61281-2021</t>
        </is>
      </c>
      <c r="B608" s="1" t="n">
        <v>44498.60736111111</v>
      </c>
      <c r="C608" s="1" t="n">
        <v>45933</v>
      </c>
      <c r="D608" t="inlineStr">
        <is>
          <t>ÖSTERGÖTLANDS LÄN</t>
        </is>
      </c>
      <c r="E608" t="inlineStr">
        <is>
          <t>LINKÖPING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6369-2023</t>
        </is>
      </c>
      <c r="B609" s="1" t="n">
        <v>44965.61106481482</v>
      </c>
      <c r="C609" s="1" t="n">
        <v>45933</v>
      </c>
      <c r="D609" t="inlineStr">
        <is>
          <t>ÖSTERGÖTLANDS LÄN</t>
        </is>
      </c>
      <c r="E609" t="inlineStr">
        <is>
          <t>LINKÖPING</t>
        </is>
      </c>
      <c r="G609" t="n">
        <v>4</v>
      </c>
      <c r="H609" t="n">
        <v>0</v>
      </c>
      <c r="I609" t="n">
        <v>0</v>
      </c>
      <c r="J609" t="n">
        <v>0</v>
      </c>
      <c r="K609" t="n">
        <v>0</v>
      </c>
      <c r="L609" t="n">
        <v>0</v>
      </c>
      <c r="M609" t="n">
        <v>0</v>
      </c>
      <c r="N609" t="n">
        <v>0</v>
      </c>
      <c r="O609" t="n">
        <v>0</v>
      </c>
      <c r="P609" t="n">
        <v>0</v>
      </c>
      <c r="Q609" t="n">
        <v>0</v>
      </c>
      <c r="R609" s="2" t="inlineStr"/>
    </row>
    <row r="610" ht="15" customHeight="1">
      <c r="A610" t="inlineStr">
        <is>
          <t>A 10094-2024</t>
        </is>
      </c>
      <c r="B610" s="1" t="n">
        <v>45364</v>
      </c>
      <c r="C610" s="1" t="n">
        <v>45933</v>
      </c>
      <c r="D610" t="inlineStr">
        <is>
          <t>ÖSTERGÖTLANDS LÄN</t>
        </is>
      </c>
      <c r="E610" t="inlineStr">
        <is>
          <t>LINKÖPING</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1207-2023</t>
        </is>
      </c>
      <c r="B611" s="1" t="n">
        <v>44930</v>
      </c>
      <c r="C611" s="1" t="n">
        <v>45933</v>
      </c>
      <c r="D611" t="inlineStr">
        <is>
          <t>ÖSTERGÖTLANDS LÄN</t>
        </is>
      </c>
      <c r="E611" t="inlineStr">
        <is>
          <t>LINKÖPING</t>
        </is>
      </c>
      <c r="F611" t="inlineStr">
        <is>
          <t>Övriga statliga verk och myndigheter</t>
        </is>
      </c>
      <c r="G611" t="n">
        <v>32.8</v>
      </c>
      <c r="H611" t="n">
        <v>0</v>
      </c>
      <c r="I611" t="n">
        <v>0</v>
      </c>
      <c r="J611" t="n">
        <v>0</v>
      </c>
      <c r="K611" t="n">
        <v>0</v>
      </c>
      <c r="L611" t="n">
        <v>0</v>
      </c>
      <c r="M611" t="n">
        <v>0</v>
      </c>
      <c r="N611" t="n">
        <v>0</v>
      </c>
      <c r="O611" t="n">
        <v>0</v>
      </c>
      <c r="P611" t="n">
        <v>0</v>
      </c>
      <c r="Q611" t="n">
        <v>0</v>
      </c>
      <c r="R611" s="2" t="inlineStr"/>
    </row>
    <row r="612" ht="15" customHeight="1">
      <c r="A612" t="inlineStr">
        <is>
          <t>A 62015-2024</t>
        </is>
      </c>
      <c r="B612" s="1" t="n">
        <v>45655.80457175926</v>
      </c>
      <c r="C612" s="1" t="n">
        <v>45933</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62020-2024</t>
        </is>
      </c>
      <c r="B613" s="1" t="n">
        <v>45655.83563657408</v>
      </c>
      <c r="C613" s="1" t="n">
        <v>45933</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62021-2024</t>
        </is>
      </c>
      <c r="B614" s="1" t="n">
        <v>45655.84232638889</v>
      </c>
      <c r="C614" s="1" t="n">
        <v>45933</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27891-2021</t>
        </is>
      </c>
      <c r="B615" s="1" t="n">
        <v>44354.65108796296</v>
      </c>
      <c r="C615" s="1" t="n">
        <v>45933</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57391-2023</t>
        </is>
      </c>
      <c r="B616" s="1" t="n">
        <v>45245</v>
      </c>
      <c r="C616" s="1" t="n">
        <v>45933</v>
      </c>
      <c r="D616" t="inlineStr">
        <is>
          <t>ÖSTERGÖTLANDS LÄN</t>
        </is>
      </c>
      <c r="E616" t="inlineStr">
        <is>
          <t>LINKÖPING</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20294-2025</t>
        </is>
      </c>
      <c r="B617" s="1" t="n">
        <v>45774.74667824074</v>
      </c>
      <c r="C617" s="1" t="n">
        <v>45933</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60013-2022</t>
        </is>
      </c>
      <c r="B618" s="1" t="n">
        <v>44909.47482638889</v>
      </c>
      <c r="C618" s="1" t="n">
        <v>45933</v>
      </c>
      <c r="D618" t="inlineStr">
        <is>
          <t>ÖSTERGÖTLANDS LÄN</t>
        </is>
      </c>
      <c r="E618" t="inlineStr">
        <is>
          <t>LINKÖPING</t>
        </is>
      </c>
      <c r="G618" t="n">
        <v>0.9</v>
      </c>
      <c r="H618" t="n">
        <v>0</v>
      </c>
      <c r="I618" t="n">
        <v>0</v>
      </c>
      <c r="J618" t="n">
        <v>0</v>
      </c>
      <c r="K618" t="n">
        <v>0</v>
      </c>
      <c r="L618" t="n">
        <v>0</v>
      </c>
      <c r="M618" t="n">
        <v>0</v>
      </c>
      <c r="N618" t="n">
        <v>0</v>
      </c>
      <c r="O618" t="n">
        <v>0</v>
      </c>
      <c r="P618" t="n">
        <v>0</v>
      </c>
      <c r="Q618" t="n">
        <v>0</v>
      </c>
      <c r="R618" s="2" t="inlineStr"/>
    </row>
    <row r="619" ht="15" customHeight="1">
      <c r="A619" t="inlineStr">
        <is>
          <t>A 3007-2025</t>
        </is>
      </c>
      <c r="B619" s="1" t="n">
        <v>45678.56328703704</v>
      </c>
      <c r="C619" s="1" t="n">
        <v>45933</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34877-2023</t>
        </is>
      </c>
      <c r="B620" s="1" t="n">
        <v>45140</v>
      </c>
      <c r="C620" s="1" t="n">
        <v>45933</v>
      </c>
      <c r="D620" t="inlineStr">
        <is>
          <t>ÖSTERGÖTLANDS LÄN</t>
        </is>
      </c>
      <c r="E620" t="inlineStr">
        <is>
          <t>LINKÖPING</t>
        </is>
      </c>
      <c r="G620" t="n">
        <v>1.9</v>
      </c>
      <c r="H620" t="n">
        <v>0</v>
      </c>
      <c r="I620" t="n">
        <v>0</v>
      </c>
      <c r="J620" t="n">
        <v>0</v>
      </c>
      <c r="K620" t="n">
        <v>0</v>
      </c>
      <c r="L620" t="n">
        <v>0</v>
      </c>
      <c r="M620" t="n">
        <v>0</v>
      </c>
      <c r="N620" t="n">
        <v>0</v>
      </c>
      <c r="O620" t="n">
        <v>0</v>
      </c>
      <c r="P620" t="n">
        <v>0</v>
      </c>
      <c r="Q620" t="n">
        <v>0</v>
      </c>
      <c r="R620" s="2" t="inlineStr"/>
    </row>
    <row r="621" ht="15" customHeight="1">
      <c r="A621" t="inlineStr">
        <is>
          <t>A 1924-2024</t>
        </is>
      </c>
      <c r="B621" s="1" t="n">
        <v>45308</v>
      </c>
      <c r="C621" s="1" t="n">
        <v>45933</v>
      </c>
      <c r="D621" t="inlineStr">
        <is>
          <t>ÖSTERGÖTLANDS LÄN</t>
        </is>
      </c>
      <c r="E621" t="inlineStr">
        <is>
          <t>LINKÖPING</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34558-2022</t>
        </is>
      </c>
      <c r="B622" s="1" t="n">
        <v>44794.57594907407</v>
      </c>
      <c r="C622" s="1" t="n">
        <v>45933</v>
      </c>
      <c r="D622" t="inlineStr">
        <is>
          <t>ÖSTERGÖTLANDS LÄN</t>
        </is>
      </c>
      <c r="E622" t="inlineStr">
        <is>
          <t>LINKÖPING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168-2024</t>
        </is>
      </c>
      <c r="B623" s="1" t="n">
        <v>45294</v>
      </c>
      <c r="C623" s="1" t="n">
        <v>45933</v>
      </c>
      <c r="D623" t="inlineStr">
        <is>
          <t>ÖSTERGÖTLANDS LÄN</t>
        </is>
      </c>
      <c r="E623" t="inlineStr">
        <is>
          <t>LINKÖPING</t>
        </is>
      </c>
      <c r="F623" t="inlineStr">
        <is>
          <t>Allmännings- och besparingsskogar</t>
        </is>
      </c>
      <c r="G623" t="n">
        <v>8.9</v>
      </c>
      <c r="H623" t="n">
        <v>0</v>
      </c>
      <c r="I623" t="n">
        <v>0</v>
      </c>
      <c r="J623" t="n">
        <v>0</v>
      </c>
      <c r="K623" t="n">
        <v>0</v>
      </c>
      <c r="L623" t="n">
        <v>0</v>
      </c>
      <c r="M623" t="n">
        <v>0</v>
      </c>
      <c r="N623" t="n">
        <v>0</v>
      </c>
      <c r="O623" t="n">
        <v>0</v>
      </c>
      <c r="P623" t="n">
        <v>0</v>
      </c>
      <c r="Q623" t="n">
        <v>0</v>
      </c>
      <c r="R623" s="2" t="inlineStr"/>
    </row>
    <row r="624" ht="15" customHeight="1">
      <c r="A624" t="inlineStr">
        <is>
          <t>A 15658-2023</t>
        </is>
      </c>
      <c r="B624" s="1" t="n">
        <v>45021.41194444444</v>
      </c>
      <c r="C624" s="1" t="n">
        <v>45933</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30433-2024</t>
        </is>
      </c>
      <c r="B625" s="1" t="n">
        <v>45491.69741898148</v>
      </c>
      <c r="C625" s="1" t="n">
        <v>45933</v>
      </c>
      <c r="D625" t="inlineStr">
        <is>
          <t>ÖSTERGÖTLANDS LÄN</t>
        </is>
      </c>
      <c r="E625" t="inlineStr">
        <is>
          <t>LINKÖPING</t>
        </is>
      </c>
      <c r="G625" t="n">
        <v>1.7</v>
      </c>
      <c r="H625" t="n">
        <v>0</v>
      </c>
      <c r="I625" t="n">
        <v>0</v>
      </c>
      <c r="J625" t="n">
        <v>0</v>
      </c>
      <c r="K625" t="n">
        <v>0</v>
      </c>
      <c r="L625" t="n">
        <v>0</v>
      </c>
      <c r="M625" t="n">
        <v>0</v>
      </c>
      <c r="N625" t="n">
        <v>0</v>
      </c>
      <c r="O625" t="n">
        <v>0</v>
      </c>
      <c r="P625" t="n">
        <v>0</v>
      </c>
      <c r="Q625" t="n">
        <v>0</v>
      </c>
      <c r="R625" s="2" t="inlineStr"/>
    </row>
    <row r="626" ht="15" customHeight="1">
      <c r="A626" t="inlineStr">
        <is>
          <t>A 52220-2023</t>
        </is>
      </c>
      <c r="B626" s="1" t="n">
        <v>45217</v>
      </c>
      <c r="C626" s="1" t="n">
        <v>45933</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52225-2023</t>
        </is>
      </c>
      <c r="B627" s="1" t="n">
        <v>45217</v>
      </c>
      <c r="C627" s="1" t="n">
        <v>45933</v>
      </c>
      <c r="D627" t="inlineStr">
        <is>
          <t>ÖSTERGÖTLANDS LÄN</t>
        </is>
      </c>
      <c r="E627" t="inlineStr">
        <is>
          <t>LINKÖPING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19464-2024</t>
        </is>
      </c>
      <c r="B628" s="1" t="n">
        <v>45429</v>
      </c>
      <c r="C628" s="1" t="n">
        <v>45933</v>
      </c>
      <c r="D628" t="inlineStr">
        <is>
          <t>ÖSTERGÖTLANDS LÄN</t>
        </is>
      </c>
      <c r="E628" t="inlineStr">
        <is>
          <t>LINKÖPING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42044-2023</t>
        </is>
      </c>
      <c r="B629" s="1" t="n">
        <v>45177</v>
      </c>
      <c r="C629" s="1" t="n">
        <v>45933</v>
      </c>
      <c r="D629" t="inlineStr">
        <is>
          <t>ÖSTERGÖTLANDS LÄN</t>
        </is>
      </c>
      <c r="E629" t="inlineStr">
        <is>
          <t>LINKÖPING</t>
        </is>
      </c>
      <c r="G629" t="n">
        <v>3.9</v>
      </c>
      <c r="H629" t="n">
        <v>0</v>
      </c>
      <c r="I629" t="n">
        <v>0</v>
      </c>
      <c r="J629" t="n">
        <v>0</v>
      </c>
      <c r="K629" t="n">
        <v>0</v>
      </c>
      <c r="L629" t="n">
        <v>0</v>
      </c>
      <c r="M629" t="n">
        <v>0</v>
      </c>
      <c r="N629" t="n">
        <v>0</v>
      </c>
      <c r="O629" t="n">
        <v>0</v>
      </c>
      <c r="P629" t="n">
        <v>0</v>
      </c>
      <c r="Q629" t="n">
        <v>0</v>
      </c>
      <c r="R629" s="2" t="inlineStr"/>
    </row>
    <row r="630" ht="15" customHeight="1">
      <c r="A630" t="inlineStr">
        <is>
          <t>A 630-2024</t>
        </is>
      </c>
      <c r="B630" s="1" t="n">
        <v>45299.67736111111</v>
      </c>
      <c r="C630" s="1" t="n">
        <v>45933</v>
      </c>
      <c r="D630" t="inlineStr">
        <is>
          <t>ÖSTERGÖTLANDS LÄN</t>
        </is>
      </c>
      <c r="E630" t="inlineStr">
        <is>
          <t>LINKÖPING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21782-2024</t>
        </is>
      </c>
      <c r="B631" s="1" t="n">
        <v>45442.63368055555</v>
      </c>
      <c r="C631" s="1" t="n">
        <v>45933</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57766-2023</t>
        </is>
      </c>
      <c r="B632" s="1" t="n">
        <v>45246</v>
      </c>
      <c r="C632" s="1" t="n">
        <v>45933</v>
      </c>
      <c r="D632" t="inlineStr">
        <is>
          <t>ÖSTERGÖTLANDS LÄN</t>
        </is>
      </c>
      <c r="E632" t="inlineStr">
        <is>
          <t>LINKÖPING</t>
        </is>
      </c>
      <c r="F632" t="inlineStr">
        <is>
          <t>Allmännings- och besparingsskogar</t>
        </is>
      </c>
      <c r="G632" t="n">
        <v>12.8</v>
      </c>
      <c r="H632" t="n">
        <v>0</v>
      </c>
      <c r="I632" t="n">
        <v>0</v>
      </c>
      <c r="J632" t="n">
        <v>0</v>
      </c>
      <c r="K632" t="n">
        <v>0</v>
      </c>
      <c r="L632" t="n">
        <v>0</v>
      </c>
      <c r="M632" t="n">
        <v>0</v>
      </c>
      <c r="N632" t="n">
        <v>0</v>
      </c>
      <c r="O632" t="n">
        <v>0</v>
      </c>
      <c r="P632" t="n">
        <v>0</v>
      </c>
      <c r="Q632" t="n">
        <v>0</v>
      </c>
      <c r="R632" s="2" t="inlineStr"/>
    </row>
    <row r="633" ht="15" customHeight="1">
      <c r="A633" t="inlineStr">
        <is>
          <t>A 27186-2021</t>
        </is>
      </c>
      <c r="B633" s="1" t="n">
        <v>44350.67715277777</v>
      </c>
      <c r="C633" s="1" t="n">
        <v>45933</v>
      </c>
      <c r="D633" t="inlineStr">
        <is>
          <t>ÖSTERGÖTLANDS LÄN</t>
        </is>
      </c>
      <c r="E633" t="inlineStr">
        <is>
          <t>LINKÖPING</t>
        </is>
      </c>
      <c r="F633" t="inlineStr">
        <is>
          <t>Allmännings- och besparingsskogar</t>
        </is>
      </c>
      <c r="G633" t="n">
        <v>1.4</v>
      </c>
      <c r="H633" t="n">
        <v>0</v>
      </c>
      <c r="I633" t="n">
        <v>0</v>
      </c>
      <c r="J633" t="n">
        <v>0</v>
      </c>
      <c r="K633" t="n">
        <v>0</v>
      </c>
      <c r="L633" t="n">
        <v>0</v>
      </c>
      <c r="M633" t="n">
        <v>0</v>
      </c>
      <c r="N633" t="n">
        <v>0</v>
      </c>
      <c r="O633" t="n">
        <v>0</v>
      </c>
      <c r="P633" t="n">
        <v>0</v>
      </c>
      <c r="Q633" t="n">
        <v>0</v>
      </c>
      <c r="R633" s="2" t="inlineStr"/>
    </row>
    <row r="634" ht="15" customHeight="1">
      <c r="A634" t="inlineStr">
        <is>
          <t>A 10194-2023</t>
        </is>
      </c>
      <c r="B634" s="1" t="n">
        <v>44986.52277777778</v>
      </c>
      <c r="C634" s="1" t="n">
        <v>45933</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55944-2024</t>
        </is>
      </c>
      <c r="B635" s="1" t="n">
        <v>45623.61640046296</v>
      </c>
      <c r="C635" s="1" t="n">
        <v>45933</v>
      </c>
      <c r="D635" t="inlineStr">
        <is>
          <t>ÖSTERGÖTLANDS LÄN</t>
        </is>
      </c>
      <c r="E635" t="inlineStr">
        <is>
          <t>LINKÖPING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55947-2024</t>
        </is>
      </c>
      <c r="B636" s="1" t="n">
        <v>45623</v>
      </c>
      <c r="C636" s="1" t="n">
        <v>45933</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47703-2023</t>
        </is>
      </c>
      <c r="B637" s="1" t="n">
        <v>45203</v>
      </c>
      <c r="C637" s="1" t="n">
        <v>45933</v>
      </c>
      <c r="D637" t="inlineStr">
        <is>
          <t>ÖSTERGÖTLANDS LÄN</t>
        </is>
      </c>
      <c r="E637" t="inlineStr">
        <is>
          <t>LINKÖPING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51559-2024</t>
        </is>
      </c>
      <c r="B638" s="1" t="n">
        <v>45604.61431712963</v>
      </c>
      <c r="C638" s="1" t="n">
        <v>45933</v>
      </c>
      <c r="D638" t="inlineStr">
        <is>
          <t>ÖSTERGÖTLANDS LÄN</t>
        </is>
      </c>
      <c r="E638" t="inlineStr">
        <is>
          <t>LINKÖPING</t>
        </is>
      </c>
      <c r="F638" t="inlineStr">
        <is>
          <t>Övriga Aktiebolag</t>
        </is>
      </c>
      <c r="G638" t="n">
        <v>2.4</v>
      </c>
      <c r="H638" t="n">
        <v>0</v>
      </c>
      <c r="I638" t="n">
        <v>0</v>
      </c>
      <c r="J638" t="n">
        <v>0</v>
      </c>
      <c r="K638" t="n">
        <v>0</v>
      </c>
      <c r="L638" t="n">
        <v>0</v>
      </c>
      <c r="M638" t="n">
        <v>0</v>
      </c>
      <c r="N638" t="n">
        <v>0</v>
      </c>
      <c r="O638" t="n">
        <v>0</v>
      </c>
      <c r="P638" t="n">
        <v>0</v>
      </c>
      <c r="Q638" t="n">
        <v>0</v>
      </c>
      <c r="R638" s="2" t="inlineStr"/>
    </row>
    <row r="639" ht="15" customHeight="1">
      <c r="A639" t="inlineStr">
        <is>
          <t>A 62353-2022</t>
        </is>
      </c>
      <c r="B639" s="1" t="n">
        <v>44923</v>
      </c>
      <c r="C639" s="1" t="n">
        <v>45933</v>
      </c>
      <c r="D639" t="inlineStr">
        <is>
          <t>ÖSTERGÖTLANDS LÄN</t>
        </is>
      </c>
      <c r="E639" t="inlineStr">
        <is>
          <t>LINKÖPING</t>
        </is>
      </c>
      <c r="F639" t="inlineStr">
        <is>
          <t>Allmännings- och besparingsskogar</t>
        </is>
      </c>
      <c r="G639" t="n">
        <v>1.7</v>
      </c>
      <c r="H639" t="n">
        <v>0</v>
      </c>
      <c r="I639" t="n">
        <v>0</v>
      </c>
      <c r="J639" t="n">
        <v>0</v>
      </c>
      <c r="K639" t="n">
        <v>0</v>
      </c>
      <c r="L639" t="n">
        <v>0</v>
      </c>
      <c r="M639" t="n">
        <v>0</v>
      </c>
      <c r="N639" t="n">
        <v>0</v>
      </c>
      <c r="O639" t="n">
        <v>0</v>
      </c>
      <c r="P639" t="n">
        <v>0</v>
      </c>
      <c r="Q639" t="n">
        <v>0</v>
      </c>
      <c r="R639" s="2" t="inlineStr"/>
    </row>
    <row r="640" ht="15" customHeight="1">
      <c r="A640" t="inlineStr">
        <is>
          <t>A 15754-2025</t>
        </is>
      </c>
      <c r="B640" s="1" t="n">
        <v>45748.56105324074</v>
      </c>
      <c r="C640" s="1" t="n">
        <v>45933</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4298-2023</t>
        </is>
      </c>
      <c r="B641" s="1" t="n">
        <v>44953</v>
      </c>
      <c r="C641" s="1" t="n">
        <v>45933</v>
      </c>
      <c r="D641" t="inlineStr">
        <is>
          <t>ÖSTERGÖTLANDS LÄN</t>
        </is>
      </c>
      <c r="E641" t="inlineStr">
        <is>
          <t>LINKÖPING</t>
        </is>
      </c>
      <c r="G641" t="n">
        <v>2.8</v>
      </c>
      <c r="H641" t="n">
        <v>0</v>
      </c>
      <c r="I641" t="n">
        <v>0</v>
      </c>
      <c r="J641" t="n">
        <v>0</v>
      </c>
      <c r="K641" t="n">
        <v>0</v>
      </c>
      <c r="L641" t="n">
        <v>0</v>
      </c>
      <c r="M641" t="n">
        <v>0</v>
      </c>
      <c r="N641" t="n">
        <v>0</v>
      </c>
      <c r="O641" t="n">
        <v>0</v>
      </c>
      <c r="P641" t="n">
        <v>0</v>
      </c>
      <c r="Q641" t="n">
        <v>0</v>
      </c>
      <c r="R641" s="2" t="inlineStr"/>
    </row>
    <row r="642" ht="15" customHeight="1">
      <c r="A642" t="inlineStr">
        <is>
          <t>A 18145-2021</t>
        </is>
      </c>
      <c r="B642" s="1" t="n">
        <v>44302</v>
      </c>
      <c r="C642" s="1" t="n">
        <v>45933</v>
      </c>
      <c r="D642" t="inlineStr">
        <is>
          <t>ÖSTERGÖTLANDS LÄN</t>
        </is>
      </c>
      <c r="E642" t="inlineStr">
        <is>
          <t>LINKÖPING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25568-2024</t>
        </is>
      </c>
      <c r="B643" s="1" t="n">
        <v>45463.58699074074</v>
      </c>
      <c r="C643" s="1" t="n">
        <v>45933</v>
      </c>
      <c r="D643" t="inlineStr">
        <is>
          <t>ÖSTERGÖTLANDS LÄN</t>
        </is>
      </c>
      <c r="E643" t="inlineStr">
        <is>
          <t>LINKÖPING</t>
        </is>
      </c>
      <c r="G643" t="n">
        <v>1.8</v>
      </c>
      <c r="H643" t="n">
        <v>0</v>
      </c>
      <c r="I643" t="n">
        <v>0</v>
      </c>
      <c r="J643" t="n">
        <v>0</v>
      </c>
      <c r="K643" t="n">
        <v>0</v>
      </c>
      <c r="L643" t="n">
        <v>0</v>
      </c>
      <c r="M643" t="n">
        <v>0</v>
      </c>
      <c r="N643" t="n">
        <v>0</v>
      </c>
      <c r="O643" t="n">
        <v>0</v>
      </c>
      <c r="P643" t="n">
        <v>0</v>
      </c>
      <c r="Q643" t="n">
        <v>0</v>
      </c>
      <c r="R643" s="2" t="inlineStr"/>
    </row>
    <row r="644" ht="15" customHeight="1">
      <c r="A644" t="inlineStr">
        <is>
          <t>A 38136-2023</t>
        </is>
      </c>
      <c r="B644" s="1" t="n">
        <v>45161.37310185185</v>
      </c>
      <c r="C644" s="1" t="n">
        <v>45933</v>
      </c>
      <c r="D644" t="inlineStr">
        <is>
          <t>ÖSTERGÖTLANDS LÄN</t>
        </is>
      </c>
      <c r="E644" t="inlineStr">
        <is>
          <t>LINKÖPING</t>
        </is>
      </c>
      <c r="G644" t="n">
        <v>5.6</v>
      </c>
      <c r="H644" t="n">
        <v>0</v>
      </c>
      <c r="I644" t="n">
        <v>0</v>
      </c>
      <c r="J644" t="n">
        <v>0</v>
      </c>
      <c r="K644" t="n">
        <v>0</v>
      </c>
      <c r="L644" t="n">
        <v>0</v>
      </c>
      <c r="M644" t="n">
        <v>0</v>
      </c>
      <c r="N644" t="n">
        <v>0</v>
      </c>
      <c r="O644" t="n">
        <v>0</v>
      </c>
      <c r="P644" t="n">
        <v>0</v>
      </c>
      <c r="Q644" t="n">
        <v>0</v>
      </c>
      <c r="R644" s="2" t="inlineStr"/>
    </row>
    <row r="645" ht="15" customHeight="1">
      <c r="A645" t="inlineStr">
        <is>
          <t>A 12317-2025</t>
        </is>
      </c>
      <c r="B645" s="1" t="n">
        <v>45729.8487037037</v>
      </c>
      <c r="C645" s="1" t="n">
        <v>45933</v>
      </c>
      <c r="D645" t="inlineStr">
        <is>
          <t>ÖSTERGÖTLANDS LÄN</t>
        </is>
      </c>
      <c r="E645" t="inlineStr">
        <is>
          <t>LINKÖPING</t>
        </is>
      </c>
      <c r="G645" t="n">
        <v>8</v>
      </c>
      <c r="H645" t="n">
        <v>0</v>
      </c>
      <c r="I645" t="n">
        <v>0</v>
      </c>
      <c r="J645" t="n">
        <v>0</v>
      </c>
      <c r="K645" t="n">
        <v>0</v>
      </c>
      <c r="L645" t="n">
        <v>0</v>
      </c>
      <c r="M645" t="n">
        <v>0</v>
      </c>
      <c r="N645" t="n">
        <v>0</v>
      </c>
      <c r="O645" t="n">
        <v>0</v>
      </c>
      <c r="P645" t="n">
        <v>0</v>
      </c>
      <c r="Q645" t="n">
        <v>0</v>
      </c>
      <c r="R645" s="2" t="inlineStr"/>
    </row>
    <row r="646" ht="15" customHeight="1">
      <c r="A646" t="inlineStr">
        <is>
          <t>A 14528-2025</t>
        </is>
      </c>
      <c r="B646" s="1" t="n">
        <v>45741</v>
      </c>
      <c r="C646" s="1" t="n">
        <v>45933</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61649-2023</t>
        </is>
      </c>
      <c r="B647" s="1" t="n">
        <v>45265</v>
      </c>
      <c r="C647" s="1" t="n">
        <v>45933</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60985-2023</t>
        </is>
      </c>
      <c r="B648" s="1" t="n">
        <v>45261.48429398148</v>
      </c>
      <c r="C648" s="1" t="n">
        <v>45933</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421-2024</t>
        </is>
      </c>
      <c r="B649" s="1" t="n">
        <v>45296.51877314815</v>
      </c>
      <c r="C649" s="1" t="n">
        <v>45933</v>
      </c>
      <c r="D649" t="inlineStr">
        <is>
          <t>ÖSTERGÖTLANDS LÄN</t>
        </is>
      </c>
      <c r="E649" t="inlineStr">
        <is>
          <t>LINKÖPING</t>
        </is>
      </c>
      <c r="G649" t="n">
        <v>3.7</v>
      </c>
      <c r="H649" t="n">
        <v>0</v>
      </c>
      <c r="I649" t="n">
        <v>0</v>
      </c>
      <c r="J649" t="n">
        <v>0</v>
      </c>
      <c r="K649" t="n">
        <v>0</v>
      </c>
      <c r="L649" t="n">
        <v>0</v>
      </c>
      <c r="M649" t="n">
        <v>0</v>
      </c>
      <c r="N649" t="n">
        <v>0</v>
      </c>
      <c r="O649" t="n">
        <v>0</v>
      </c>
      <c r="P649" t="n">
        <v>0</v>
      </c>
      <c r="Q649" t="n">
        <v>0</v>
      </c>
      <c r="R649" s="2" t="inlineStr"/>
    </row>
    <row r="650" ht="15" customHeight="1">
      <c r="A650" t="inlineStr">
        <is>
          <t>A 51405-2023</t>
        </is>
      </c>
      <c r="B650" s="1" t="n">
        <v>45219</v>
      </c>
      <c r="C650" s="1" t="n">
        <v>45933</v>
      </c>
      <c r="D650" t="inlineStr">
        <is>
          <t>ÖSTERGÖTLANDS LÄN</t>
        </is>
      </c>
      <c r="E650" t="inlineStr">
        <is>
          <t>LINKÖPING</t>
        </is>
      </c>
      <c r="F650" t="inlineStr">
        <is>
          <t>Övriga Aktiebolag</t>
        </is>
      </c>
      <c r="G650" t="n">
        <v>3</v>
      </c>
      <c r="H650" t="n">
        <v>0</v>
      </c>
      <c r="I650" t="n">
        <v>0</v>
      </c>
      <c r="J650" t="n">
        <v>0</v>
      </c>
      <c r="K650" t="n">
        <v>0</v>
      </c>
      <c r="L650" t="n">
        <v>0</v>
      </c>
      <c r="M650" t="n">
        <v>0</v>
      </c>
      <c r="N650" t="n">
        <v>0</v>
      </c>
      <c r="O650" t="n">
        <v>0</v>
      </c>
      <c r="P650" t="n">
        <v>0</v>
      </c>
      <c r="Q650" t="n">
        <v>0</v>
      </c>
      <c r="R650" s="2" t="inlineStr"/>
    </row>
    <row r="651" ht="15" customHeight="1">
      <c r="A651" t="inlineStr">
        <is>
          <t>A 53639-2023</t>
        </is>
      </c>
      <c r="B651" s="1" t="n">
        <v>45230.59686342593</v>
      </c>
      <c r="C651" s="1" t="n">
        <v>45933</v>
      </c>
      <c r="D651" t="inlineStr">
        <is>
          <t>ÖSTERGÖTLANDS LÄN</t>
        </is>
      </c>
      <c r="E651" t="inlineStr">
        <is>
          <t>LINKÖPING</t>
        </is>
      </c>
      <c r="G651" t="n">
        <v>2.3</v>
      </c>
      <c r="H651" t="n">
        <v>0</v>
      </c>
      <c r="I651" t="n">
        <v>0</v>
      </c>
      <c r="J651" t="n">
        <v>0</v>
      </c>
      <c r="K651" t="n">
        <v>0</v>
      </c>
      <c r="L651" t="n">
        <v>0</v>
      </c>
      <c r="M651" t="n">
        <v>0</v>
      </c>
      <c r="N651" t="n">
        <v>0</v>
      </c>
      <c r="O651" t="n">
        <v>0</v>
      </c>
      <c r="P651" t="n">
        <v>0</v>
      </c>
      <c r="Q651" t="n">
        <v>0</v>
      </c>
      <c r="R651" s="2" t="inlineStr"/>
    </row>
    <row r="652" ht="15" customHeight="1">
      <c r="A652" t="inlineStr">
        <is>
          <t>A 24467-2023</t>
        </is>
      </c>
      <c r="B652" s="1" t="n">
        <v>45082</v>
      </c>
      <c r="C652" s="1" t="n">
        <v>45933</v>
      </c>
      <c r="D652" t="inlineStr">
        <is>
          <t>ÖSTERGÖTLANDS LÄN</t>
        </is>
      </c>
      <c r="E652" t="inlineStr">
        <is>
          <t>LINKÖPING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62488-2023</t>
        </is>
      </c>
      <c r="B653" s="1" t="n">
        <v>45268.5847337963</v>
      </c>
      <c r="C653" s="1" t="n">
        <v>45933</v>
      </c>
      <c r="D653" t="inlineStr">
        <is>
          <t>ÖSTERGÖTLANDS LÄN</t>
        </is>
      </c>
      <c r="E653" t="inlineStr">
        <is>
          <t>LINKÖPING</t>
        </is>
      </c>
      <c r="G653" t="n">
        <v>4.1</v>
      </c>
      <c r="H653" t="n">
        <v>0</v>
      </c>
      <c r="I653" t="n">
        <v>0</v>
      </c>
      <c r="J653" t="n">
        <v>0</v>
      </c>
      <c r="K653" t="n">
        <v>0</v>
      </c>
      <c r="L653" t="n">
        <v>0</v>
      </c>
      <c r="M653" t="n">
        <v>0</v>
      </c>
      <c r="N653" t="n">
        <v>0</v>
      </c>
      <c r="O653" t="n">
        <v>0</v>
      </c>
      <c r="P653" t="n">
        <v>0</v>
      </c>
      <c r="Q653" t="n">
        <v>0</v>
      </c>
      <c r="R653" s="2" t="inlineStr"/>
    </row>
    <row r="654" ht="15" customHeight="1">
      <c r="A654" t="inlineStr">
        <is>
          <t>A 62495-2023</t>
        </is>
      </c>
      <c r="B654" s="1" t="n">
        <v>45268.59717592593</v>
      </c>
      <c r="C654" s="1" t="n">
        <v>45933</v>
      </c>
      <c r="D654" t="inlineStr">
        <is>
          <t>ÖSTERGÖTLANDS LÄN</t>
        </is>
      </c>
      <c r="E654" t="inlineStr">
        <is>
          <t>LINKÖPING</t>
        </is>
      </c>
      <c r="G654" t="n">
        <v>4.1</v>
      </c>
      <c r="H654" t="n">
        <v>0</v>
      </c>
      <c r="I654" t="n">
        <v>0</v>
      </c>
      <c r="J654" t="n">
        <v>0</v>
      </c>
      <c r="K654" t="n">
        <v>0</v>
      </c>
      <c r="L654" t="n">
        <v>0</v>
      </c>
      <c r="M654" t="n">
        <v>0</v>
      </c>
      <c r="N654" t="n">
        <v>0</v>
      </c>
      <c r="O654" t="n">
        <v>0</v>
      </c>
      <c r="P654" t="n">
        <v>0</v>
      </c>
      <c r="Q654" t="n">
        <v>0</v>
      </c>
      <c r="R654" s="2" t="inlineStr"/>
    </row>
    <row r="655" ht="15" customHeight="1">
      <c r="A655" t="inlineStr">
        <is>
          <t>A 10198-2023</t>
        </is>
      </c>
      <c r="B655" s="1" t="n">
        <v>44986.54665509259</v>
      </c>
      <c r="C655" s="1" t="n">
        <v>45933</v>
      </c>
      <c r="D655" t="inlineStr">
        <is>
          <t>ÖSTERGÖTLANDS LÄN</t>
        </is>
      </c>
      <c r="E655" t="inlineStr">
        <is>
          <t>LINKÖPING</t>
        </is>
      </c>
      <c r="G655" t="n">
        <v>4.6</v>
      </c>
      <c r="H655" t="n">
        <v>0</v>
      </c>
      <c r="I655" t="n">
        <v>0</v>
      </c>
      <c r="J655" t="n">
        <v>0</v>
      </c>
      <c r="K655" t="n">
        <v>0</v>
      </c>
      <c r="L655" t="n">
        <v>0</v>
      </c>
      <c r="M655" t="n">
        <v>0</v>
      </c>
      <c r="N655" t="n">
        <v>0</v>
      </c>
      <c r="O655" t="n">
        <v>0</v>
      </c>
      <c r="P655" t="n">
        <v>0</v>
      </c>
      <c r="Q655" t="n">
        <v>0</v>
      </c>
      <c r="R655" s="2" t="inlineStr"/>
    </row>
    <row r="656" ht="15" customHeight="1">
      <c r="A656" t="inlineStr">
        <is>
          <t>A 22771-2024</t>
        </is>
      </c>
      <c r="B656" s="1" t="n">
        <v>45448.46574074074</v>
      </c>
      <c r="C656" s="1" t="n">
        <v>45933</v>
      </c>
      <c r="D656" t="inlineStr">
        <is>
          <t>ÖSTERGÖTLANDS LÄN</t>
        </is>
      </c>
      <c r="E656" t="inlineStr">
        <is>
          <t>LINKÖPING</t>
        </is>
      </c>
      <c r="F656" t="inlineStr">
        <is>
          <t>Sveaskog</t>
        </is>
      </c>
      <c r="G656" t="n">
        <v>2.7</v>
      </c>
      <c r="H656" t="n">
        <v>0</v>
      </c>
      <c r="I656" t="n">
        <v>0</v>
      </c>
      <c r="J656" t="n">
        <v>0</v>
      </c>
      <c r="K656" t="n">
        <v>0</v>
      </c>
      <c r="L656" t="n">
        <v>0</v>
      </c>
      <c r="M656" t="n">
        <v>0</v>
      </c>
      <c r="N656" t="n">
        <v>0</v>
      </c>
      <c r="O656" t="n">
        <v>0</v>
      </c>
      <c r="P656" t="n">
        <v>0</v>
      </c>
      <c r="Q656" t="n">
        <v>0</v>
      </c>
      <c r="R656" s="2" t="inlineStr"/>
    </row>
    <row r="657" ht="15" customHeight="1">
      <c r="A657" t="inlineStr">
        <is>
          <t>A 17128-2025</t>
        </is>
      </c>
      <c r="B657" s="1" t="n">
        <v>45755.72622685185</v>
      </c>
      <c r="C657" s="1" t="n">
        <v>45933</v>
      </c>
      <c r="D657" t="inlineStr">
        <is>
          <t>ÖSTERGÖTLANDS LÄN</t>
        </is>
      </c>
      <c r="E657" t="inlineStr">
        <is>
          <t>LINKÖPING</t>
        </is>
      </c>
      <c r="G657" t="n">
        <v>2.9</v>
      </c>
      <c r="H657" t="n">
        <v>0</v>
      </c>
      <c r="I657" t="n">
        <v>0</v>
      </c>
      <c r="J657" t="n">
        <v>0</v>
      </c>
      <c r="K657" t="n">
        <v>0</v>
      </c>
      <c r="L657" t="n">
        <v>0</v>
      </c>
      <c r="M657" t="n">
        <v>0</v>
      </c>
      <c r="N657" t="n">
        <v>0</v>
      </c>
      <c r="O657" t="n">
        <v>0</v>
      </c>
      <c r="P657" t="n">
        <v>0</v>
      </c>
      <c r="Q657" t="n">
        <v>0</v>
      </c>
      <c r="R657" s="2" t="inlineStr"/>
    </row>
    <row r="658" ht="15" customHeight="1">
      <c r="A658" t="inlineStr">
        <is>
          <t>A 62018-2024</t>
        </is>
      </c>
      <c r="B658" s="1" t="n">
        <v>45655.81387731482</v>
      </c>
      <c r="C658" s="1" t="n">
        <v>45933</v>
      </c>
      <c r="D658" t="inlineStr">
        <is>
          <t>ÖSTERGÖTLANDS LÄN</t>
        </is>
      </c>
      <c r="E658" t="inlineStr">
        <is>
          <t>LINKÖPING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62073-2023</t>
        </is>
      </c>
      <c r="B659" s="1" t="n">
        <v>45266.73844907407</v>
      </c>
      <c r="C659" s="1" t="n">
        <v>45933</v>
      </c>
      <c r="D659" t="inlineStr">
        <is>
          <t>ÖSTERGÖTLANDS LÄN</t>
        </is>
      </c>
      <c r="E659" t="inlineStr">
        <is>
          <t>LINKÖPING</t>
        </is>
      </c>
      <c r="F659" t="inlineStr">
        <is>
          <t>Allmännings- och besparingsskogar</t>
        </is>
      </c>
      <c r="G659" t="n">
        <v>1.8</v>
      </c>
      <c r="H659" t="n">
        <v>0</v>
      </c>
      <c r="I659" t="n">
        <v>0</v>
      </c>
      <c r="J659" t="n">
        <v>0</v>
      </c>
      <c r="K659" t="n">
        <v>0</v>
      </c>
      <c r="L659" t="n">
        <v>0</v>
      </c>
      <c r="M659" t="n">
        <v>0</v>
      </c>
      <c r="N659" t="n">
        <v>0</v>
      </c>
      <c r="O659" t="n">
        <v>0</v>
      </c>
      <c r="P659" t="n">
        <v>0</v>
      </c>
      <c r="Q659" t="n">
        <v>0</v>
      </c>
      <c r="R659" s="2" t="inlineStr"/>
    </row>
    <row r="660" ht="15" customHeight="1">
      <c r="A660" t="inlineStr">
        <is>
          <t>A 672-2024</t>
        </is>
      </c>
      <c r="B660" s="1" t="n">
        <v>45300</v>
      </c>
      <c r="C660" s="1" t="n">
        <v>45933</v>
      </c>
      <c r="D660" t="inlineStr">
        <is>
          <t>ÖSTERGÖTLANDS LÄN</t>
        </is>
      </c>
      <c r="E660" t="inlineStr">
        <is>
          <t>LINKÖPING</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42832-2023</t>
        </is>
      </c>
      <c r="B661" s="1" t="n">
        <v>45182.38091435185</v>
      </c>
      <c r="C661" s="1" t="n">
        <v>45933</v>
      </c>
      <c r="D661" t="inlineStr">
        <is>
          <t>ÖSTERGÖTLANDS LÄN</t>
        </is>
      </c>
      <c r="E661" t="inlineStr">
        <is>
          <t>LINKÖPING</t>
        </is>
      </c>
      <c r="G661" t="n">
        <v>2.5</v>
      </c>
      <c r="H661" t="n">
        <v>0</v>
      </c>
      <c r="I661" t="n">
        <v>0</v>
      </c>
      <c r="J661" t="n">
        <v>0</v>
      </c>
      <c r="K661" t="n">
        <v>0</v>
      </c>
      <c r="L661" t="n">
        <v>0</v>
      </c>
      <c r="M661" t="n">
        <v>0</v>
      </c>
      <c r="N661" t="n">
        <v>0</v>
      </c>
      <c r="O661" t="n">
        <v>0</v>
      </c>
      <c r="P661" t="n">
        <v>0</v>
      </c>
      <c r="Q661" t="n">
        <v>0</v>
      </c>
      <c r="R661" s="2" t="inlineStr"/>
    </row>
    <row r="662" ht="15" customHeight="1">
      <c r="A662" t="inlineStr">
        <is>
          <t>A 5872-2025</t>
        </is>
      </c>
      <c r="B662" s="1" t="n">
        <v>45695.36659722222</v>
      </c>
      <c r="C662" s="1" t="n">
        <v>45933</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59674-2024</t>
        </is>
      </c>
      <c r="B663" s="1" t="n">
        <v>45639</v>
      </c>
      <c r="C663" s="1" t="n">
        <v>45933</v>
      </c>
      <c r="D663" t="inlineStr">
        <is>
          <t>ÖSTERGÖTLANDS LÄN</t>
        </is>
      </c>
      <c r="E663" t="inlineStr">
        <is>
          <t>LINKÖPING</t>
        </is>
      </c>
      <c r="G663" t="n">
        <v>6.3</v>
      </c>
      <c r="H663" t="n">
        <v>0</v>
      </c>
      <c r="I663" t="n">
        <v>0</v>
      </c>
      <c r="J663" t="n">
        <v>0</v>
      </c>
      <c r="K663" t="n">
        <v>0</v>
      </c>
      <c r="L663" t="n">
        <v>0</v>
      </c>
      <c r="M663" t="n">
        <v>0</v>
      </c>
      <c r="N663" t="n">
        <v>0</v>
      </c>
      <c r="O663" t="n">
        <v>0</v>
      </c>
      <c r="P663" t="n">
        <v>0</v>
      </c>
      <c r="Q663" t="n">
        <v>0</v>
      </c>
      <c r="R663" s="2" t="inlineStr"/>
    </row>
    <row r="664" ht="15" customHeight="1">
      <c r="A664" t="inlineStr">
        <is>
          <t>A 59576-2024</t>
        </is>
      </c>
      <c r="B664" s="1" t="n">
        <v>45638.66378472222</v>
      </c>
      <c r="C664" s="1" t="n">
        <v>45933</v>
      </c>
      <c r="D664" t="inlineStr">
        <is>
          <t>ÖSTERGÖTLANDS LÄN</t>
        </is>
      </c>
      <c r="E664" t="inlineStr">
        <is>
          <t>LINKÖPING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51583-2024</t>
        </is>
      </c>
      <c r="B665" s="1" t="n">
        <v>45604.6397337963</v>
      </c>
      <c r="C665" s="1" t="n">
        <v>45933</v>
      </c>
      <c r="D665" t="inlineStr">
        <is>
          <t>ÖSTERGÖTLANDS LÄN</t>
        </is>
      </c>
      <c r="E665" t="inlineStr">
        <is>
          <t>LINKÖPING</t>
        </is>
      </c>
      <c r="F665" t="inlineStr">
        <is>
          <t>Övriga Aktiebolag</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62019-2024</t>
        </is>
      </c>
      <c r="B666" s="1" t="n">
        <v>45655.82</v>
      </c>
      <c r="C666" s="1" t="n">
        <v>45933</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38317-2024</t>
        </is>
      </c>
      <c r="B667" s="1" t="n">
        <v>45545.65766203704</v>
      </c>
      <c r="C667" s="1" t="n">
        <v>45933</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50182-2023</t>
        </is>
      </c>
      <c r="B668" s="1" t="n">
        <v>45208</v>
      </c>
      <c r="C668" s="1" t="n">
        <v>45933</v>
      </c>
      <c r="D668" t="inlineStr">
        <is>
          <t>ÖSTERGÖTLANDS LÄN</t>
        </is>
      </c>
      <c r="E668" t="inlineStr">
        <is>
          <t>LINKÖPING</t>
        </is>
      </c>
      <c r="G668" t="n">
        <v>2.5</v>
      </c>
      <c r="H668" t="n">
        <v>0</v>
      </c>
      <c r="I668" t="n">
        <v>0</v>
      </c>
      <c r="J668" t="n">
        <v>0</v>
      </c>
      <c r="K668" t="n">
        <v>0</v>
      </c>
      <c r="L668" t="n">
        <v>0</v>
      </c>
      <c r="M668" t="n">
        <v>0</v>
      </c>
      <c r="N668" t="n">
        <v>0</v>
      </c>
      <c r="O668" t="n">
        <v>0</v>
      </c>
      <c r="P668" t="n">
        <v>0</v>
      </c>
      <c r="Q668" t="n">
        <v>0</v>
      </c>
      <c r="R668" s="2" t="inlineStr"/>
    </row>
    <row r="669" ht="15" customHeight="1">
      <c r="A669" t="inlineStr">
        <is>
          <t>A 1844-2025</t>
        </is>
      </c>
      <c r="B669" s="1" t="n">
        <v>45671.57730324074</v>
      </c>
      <c r="C669" s="1" t="n">
        <v>45933</v>
      </c>
      <c r="D669" t="inlineStr">
        <is>
          <t>ÖSTERGÖTLANDS LÄN</t>
        </is>
      </c>
      <c r="E669" t="inlineStr">
        <is>
          <t>LINKÖPING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21155-2025</t>
        </is>
      </c>
      <c r="B670" s="1" t="n">
        <v>45779.37586805555</v>
      </c>
      <c r="C670" s="1" t="n">
        <v>45933</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21165-2025</t>
        </is>
      </c>
      <c r="B671" s="1" t="n">
        <v>45779.39417824074</v>
      </c>
      <c r="C671" s="1" t="n">
        <v>45933</v>
      </c>
      <c r="D671" t="inlineStr">
        <is>
          <t>ÖSTERGÖTLANDS LÄN</t>
        </is>
      </c>
      <c r="E671" t="inlineStr">
        <is>
          <t>LINKÖPING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57752-2023</t>
        </is>
      </c>
      <c r="B672" s="1" t="n">
        <v>45246.78474537037</v>
      </c>
      <c r="C672" s="1" t="n">
        <v>45933</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9473-2024</t>
        </is>
      </c>
      <c r="B673" s="1" t="n">
        <v>45359.55474537037</v>
      </c>
      <c r="C673" s="1" t="n">
        <v>45933</v>
      </c>
      <c r="D673" t="inlineStr">
        <is>
          <t>ÖSTERGÖTLANDS LÄN</t>
        </is>
      </c>
      <c r="E673" t="inlineStr">
        <is>
          <t>LINKÖPING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10797-2024</t>
        </is>
      </c>
      <c r="B674" s="1" t="n">
        <v>45369.6190162037</v>
      </c>
      <c r="C674" s="1" t="n">
        <v>45933</v>
      </c>
      <c r="D674" t="inlineStr">
        <is>
          <t>ÖSTERGÖTLANDS LÄN</t>
        </is>
      </c>
      <c r="E674" t="inlineStr">
        <is>
          <t>LINKÖPING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22264-2025</t>
        </is>
      </c>
      <c r="B675" s="1" t="n">
        <v>45785</v>
      </c>
      <c r="C675" s="1" t="n">
        <v>45933</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6859-2024</t>
        </is>
      </c>
      <c r="B676" s="1" t="n">
        <v>45342</v>
      </c>
      <c r="C676" s="1" t="n">
        <v>45933</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38580-2024</t>
        </is>
      </c>
      <c r="B677" s="1" t="n">
        <v>45546.64825231482</v>
      </c>
      <c r="C677" s="1" t="n">
        <v>45933</v>
      </c>
      <c r="D677" t="inlineStr">
        <is>
          <t>ÖSTERGÖTLANDS LÄN</t>
        </is>
      </c>
      <c r="E677" t="inlineStr">
        <is>
          <t>LINKÖPING</t>
        </is>
      </c>
      <c r="G677" t="n">
        <v>4.8</v>
      </c>
      <c r="H677" t="n">
        <v>0</v>
      </c>
      <c r="I677" t="n">
        <v>0</v>
      </c>
      <c r="J677" t="n">
        <v>0</v>
      </c>
      <c r="K677" t="n">
        <v>0</v>
      </c>
      <c r="L677" t="n">
        <v>0</v>
      </c>
      <c r="M677" t="n">
        <v>0</v>
      </c>
      <c r="N677" t="n">
        <v>0</v>
      </c>
      <c r="O677" t="n">
        <v>0</v>
      </c>
      <c r="P677" t="n">
        <v>0</v>
      </c>
      <c r="Q677" t="n">
        <v>0</v>
      </c>
      <c r="R677" s="2" t="inlineStr"/>
    </row>
    <row r="678" ht="15" customHeight="1">
      <c r="A678" t="inlineStr">
        <is>
          <t>A 572-2025</t>
        </is>
      </c>
      <c r="B678" s="1" t="n">
        <v>45664.56349537037</v>
      </c>
      <c r="C678" s="1" t="n">
        <v>45933</v>
      </c>
      <c r="D678" t="inlineStr">
        <is>
          <t>ÖSTERGÖTLANDS LÄN</t>
        </is>
      </c>
      <c r="E678" t="inlineStr">
        <is>
          <t>LINKÖPING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22364-2025</t>
        </is>
      </c>
      <c r="B679" s="1" t="n">
        <v>45786.46930555555</v>
      </c>
      <c r="C679" s="1" t="n">
        <v>45933</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44287-2024</t>
        </is>
      </c>
      <c r="B680" s="1" t="n">
        <v>45573.50582175926</v>
      </c>
      <c r="C680" s="1" t="n">
        <v>45933</v>
      </c>
      <c r="D680" t="inlineStr">
        <is>
          <t>ÖSTERGÖTLANDS LÄN</t>
        </is>
      </c>
      <c r="E680" t="inlineStr">
        <is>
          <t>LINKÖPING</t>
        </is>
      </c>
      <c r="G680" t="n">
        <v>12.7</v>
      </c>
      <c r="H680" t="n">
        <v>0</v>
      </c>
      <c r="I680" t="n">
        <v>0</v>
      </c>
      <c r="J680" t="n">
        <v>0</v>
      </c>
      <c r="K680" t="n">
        <v>0</v>
      </c>
      <c r="L680" t="n">
        <v>0</v>
      </c>
      <c r="M680" t="n">
        <v>0</v>
      </c>
      <c r="N680" t="n">
        <v>0</v>
      </c>
      <c r="O680" t="n">
        <v>0</v>
      </c>
      <c r="P680" t="n">
        <v>0</v>
      </c>
      <c r="Q680" t="n">
        <v>0</v>
      </c>
      <c r="R680" s="2" t="inlineStr"/>
    </row>
    <row r="681" ht="15" customHeight="1">
      <c r="A681" t="inlineStr">
        <is>
          <t>A 29312-2024</t>
        </is>
      </c>
      <c r="B681" s="1" t="n">
        <v>45483</v>
      </c>
      <c r="C681" s="1" t="n">
        <v>45933</v>
      </c>
      <c r="D681" t="inlineStr">
        <is>
          <t>ÖSTERGÖTLANDS LÄN</t>
        </is>
      </c>
      <c r="E681" t="inlineStr">
        <is>
          <t>LINKÖPING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23120-2025</t>
        </is>
      </c>
      <c r="B682" s="1" t="n">
        <v>45791.37481481482</v>
      </c>
      <c r="C682" s="1" t="n">
        <v>45933</v>
      </c>
      <c r="D682" t="inlineStr">
        <is>
          <t>ÖSTERGÖTLANDS LÄN</t>
        </is>
      </c>
      <c r="E682" t="inlineStr">
        <is>
          <t>LINKÖPING</t>
        </is>
      </c>
      <c r="G682" t="n">
        <v>2.9</v>
      </c>
      <c r="H682" t="n">
        <v>0</v>
      </c>
      <c r="I682" t="n">
        <v>0</v>
      </c>
      <c r="J682" t="n">
        <v>0</v>
      </c>
      <c r="K682" t="n">
        <v>0</v>
      </c>
      <c r="L682" t="n">
        <v>0</v>
      </c>
      <c r="M682" t="n">
        <v>0</v>
      </c>
      <c r="N682" t="n">
        <v>0</v>
      </c>
      <c r="O682" t="n">
        <v>0</v>
      </c>
      <c r="P682" t="n">
        <v>0</v>
      </c>
      <c r="Q682" t="n">
        <v>0</v>
      </c>
      <c r="R682" s="2" t="inlineStr"/>
    </row>
    <row r="683" ht="15" customHeight="1">
      <c r="A683" t="inlineStr">
        <is>
          <t>A 48699-2024</t>
        </is>
      </c>
      <c r="B683" s="1" t="n">
        <v>45593.52091435185</v>
      </c>
      <c r="C683" s="1" t="n">
        <v>45933</v>
      </c>
      <c r="D683" t="inlineStr">
        <is>
          <t>ÖSTERGÖTLANDS LÄN</t>
        </is>
      </c>
      <c r="E683" t="inlineStr">
        <is>
          <t>LINKÖPING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13911-2025</t>
        </is>
      </c>
      <c r="B684" s="1" t="n">
        <v>45737.64784722222</v>
      </c>
      <c r="C684" s="1" t="n">
        <v>45933</v>
      </c>
      <c r="D684" t="inlineStr">
        <is>
          <t>ÖSTERGÖTLANDS LÄN</t>
        </is>
      </c>
      <c r="E684" t="inlineStr">
        <is>
          <t>LINKÖPING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23768-2025</t>
        </is>
      </c>
      <c r="B685" s="1" t="n">
        <v>45793.47493055555</v>
      </c>
      <c r="C685" s="1" t="n">
        <v>45933</v>
      </c>
      <c r="D685" t="inlineStr">
        <is>
          <t>ÖSTERGÖTLANDS LÄN</t>
        </is>
      </c>
      <c r="E685" t="inlineStr">
        <is>
          <t>LINKÖPING</t>
        </is>
      </c>
      <c r="G685" t="n">
        <v>3.4</v>
      </c>
      <c r="H685" t="n">
        <v>0</v>
      </c>
      <c r="I685" t="n">
        <v>0</v>
      </c>
      <c r="J685" t="n">
        <v>0</v>
      </c>
      <c r="K685" t="n">
        <v>0</v>
      </c>
      <c r="L685" t="n">
        <v>0</v>
      </c>
      <c r="M685" t="n">
        <v>0</v>
      </c>
      <c r="N685" t="n">
        <v>0</v>
      </c>
      <c r="O685" t="n">
        <v>0</v>
      </c>
      <c r="P685" t="n">
        <v>0</v>
      </c>
      <c r="Q685" t="n">
        <v>0</v>
      </c>
      <c r="R685" s="2" t="inlineStr"/>
    </row>
    <row r="686" ht="15" customHeight="1">
      <c r="A686" t="inlineStr">
        <is>
          <t>A 44280-2024</t>
        </is>
      </c>
      <c r="B686" s="1" t="n">
        <v>45573.49461805556</v>
      </c>
      <c r="C686" s="1" t="n">
        <v>45933</v>
      </c>
      <c r="D686" t="inlineStr">
        <is>
          <t>ÖSTERGÖTLANDS LÄN</t>
        </is>
      </c>
      <c r="E686" t="inlineStr">
        <is>
          <t>LINKÖPING</t>
        </is>
      </c>
      <c r="G686" t="n">
        <v>5.3</v>
      </c>
      <c r="H686" t="n">
        <v>0</v>
      </c>
      <c r="I686" t="n">
        <v>0</v>
      </c>
      <c r="J686" t="n">
        <v>0</v>
      </c>
      <c r="K686" t="n">
        <v>0</v>
      </c>
      <c r="L686" t="n">
        <v>0</v>
      </c>
      <c r="M686" t="n">
        <v>0</v>
      </c>
      <c r="N686" t="n">
        <v>0</v>
      </c>
      <c r="O686" t="n">
        <v>0</v>
      </c>
      <c r="P686" t="n">
        <v>0</v>
      </c>
      <c r="Q686" t="n">
        <v>0</v>
      </c>
      <c r="R686" s="2" t="inlineStr"/>
    </row>
    <row r="687">
      <c r="A687" t="inlineStr">
        <is>
          <t>A 25996-2025</t>
        </is>
      </c>
      <c r="B687" s="1" t="n">
        <v>45804.65851851852</v>
      </c>
      <c r="C687" s="1" t="n">
        <v>45933</v>
      </c>
      <c r="D687" t="inlineStr">
        <is>
          <t>ÖSTERGÖTLANDS LÄN</t>
        </is>
      </c>
      <c r="E687" t="inlineStr">
        <is>
          <t>LINKÖPING</t>
        </is>
      </c>
      <c r="G687" t="n">
        <v>3.2</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2025-10-03T12:32:48Z</dcterms:created>
  <dcterms:modified xmlns:dcterms="http://purl.org/dc/terms/" xmlns:xsi="http://www.w3.org/2001/XMLSchema-instance" xsi:type="dcterms:W3CDTF">2025-10-03T12:32:49Z</dcterms:modified>
</cp:coreProperties>
</file>