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46038</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46038</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15475-2021</t>
        </is>
      </c>
      <c r="B11" s="1" t="n">
        <v>44285</v>
      </c>
      <c r="C11" s="1" t="n">
        <v>46038</v>
      </c>
      <c r="D11" t="inlineStr">
        <is>
          <t>ÖSTERGÖTLANDS LÄN</t>
        </is>
      </c>
      <c r="E11" t="inlineStr">
        <is>
          <t>LINKÖPING</t>
        </is>
      </c>
      <c r="F11" t="inlineStr">
        <is>
          <t>Kommuner</t>
        </is>
      </c>
      <c r="G11" t="n">
        <v>10.2</v>
      </c>
      <c r="H11" t="n">
        <v>3</v>
      </c>
      <c r="I11" t="n">
        <v>0</v>
      </c>
      <c r="J11" t="n">
        <v>3</v>
      </c>
      <c r="K11" t="n">
        <v>0</v>
      </c>
      <c r="L11" t="n">
        <v>0</v>
      </c>
      <c r="M11" t="n">
        <v>1</v>
      </c>
      <c r="N11" t="n">
        <v>0</v>
      </c>
      <c r="O11" t="n">
        <v>4</v>
      </c>
      <c r="P11" t="n">
        <v>1</v>
      </c>
      <c r="Q11" t="n">
        <v>4</v>
      </c>
      <c r="R11" s="2" t="inlineStr">
        <is>
          <t>Skogsalm
Grönsångare
Gulsparv
Svartvit flugsnappare</t>
        </is>
      </c>
      <c r="S11">
        <f>HYPERLINK("https://klasma.github.io/Logging_0580/artfynd/A 15475-2021 artfynd.xlsx", "A 15475-2021")</f>
        <v/>
      </c>
      <c r="T11">
        <f>HYPERLINK("https://klasma.github.io/Logging_0580/kartor/A 15475-2021 karta.png", "A 15475-2021")</f>
        <v/>
      </c>
      <c r="V11">
        <f>HYPERLINK("https://klasma.github.io/Logging_0580/klagomål/A 15475-2021 FSC-klagomål.docx", "A 15475-2021")</f>
        <v/>
      </c>
      <c r="W11">
        <f>HYPERLINK("https://klasma.github.io/Logging_0580/klagomålsmail/A 15475-2021 FSC-klagomål mail.docx", "A 15475-2021")</f>
        <v/>
      </c>
      <c r="X11">
        <f>HYPERLINK("https://klasma.github.io/Logging_0580/tillsyn/A 15475-2021 tillsynsbegäran.docx", "A 15475-2021")</f>
        <v/>
      </c>
      <c r="Y11">
        <f>HYPERLINK("https://klasma.github.io/Logging_0580/tillsynsmail/A 15475-2021 tillsynsbegäran mail.docx", "A 15475-2021")</f>
        <v/>
      </c>
      <c r="Z11">
        <f>HYPERLINK("https://klasma.github.io/Logging_0580/fåglar/A 15475-2021 prioriterade fågelarter.docx", "A 15475-2021")</f>
        <v/>
      </c>
    </row>
    <row r="12" ht="15" customHeight="1">
      <c r="A12" t="inlineStr">
        <is>
          <t>A 9192-2025</t>
        </is>
      </c>
      <c r="B12" s="1" t="n">
        <v>45714.45943287037</v>
      </c>
      <c r="C12" s="1" t="n">
        <v>46038</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46038</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46038</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46038</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46038</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46038</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46038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46038</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46038</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46038</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46038</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46038</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14879-2024</t>
        </is>
      </c>
      <c r="B24" s="1" t="n">
        <v>45398</v>
      </c>
      <c r="C24" s="1" t="n">
        <v>46038</v>
      </c>
      <c r="D24" t="inlineStr">
        <is>
          <t>ÖSTERGÖTLANDS LÄN</t>
        </is>
      </c>
      <c r="E24" t="inlineStr">
        <is>
          <t>LINKÖPING</t>
        </is>
      </c>
      <c r="F24" t="inlineStr">
        <is>
          <t>Övriga Aktiebolag</t>
        </is>
      </c>
      <c r="G24" t="n">
        <v>1.7</v>
      </c>
      <c r="H24" t="n">
        <v>1</v>
      </c>
      <c r="I24" t="n">
        <v>1</v>
      </c>
      <c r="J24" t="n">
        <v>0</v>
      </c>
      <c r="K24" t="n">
        <v>0</v>
      </c>
      <c r="L24" t="n">
        <v>0</v>
      </c>
      <c r="M24" t="n">
        <v>0</v>
      </c>
      <c r="N24" t="n">
        <v>0</v>
      </c>
      <c r="O24" t="n">
        <v>0</v>
      </c>
      <c r="P24" t="n">
        <v>0</v>
      </c>
      <c r="Q24" t="n">
        <v>2</v>
      </c>
      <c r="R24" s="2" t="inlineStr">
        <is>
          <t>Svart trolldruva
Grönvit nattviol</t>
        </is>
      </c>
      <c r="S24">
        <f>HYPERLINK("https://klasma.github.io/Logging_0580/artfynd/A 14879-2024 artfynd.xlsx", "A 14879-2024")</f>
        <v/>
      </c>
      <c r="T24">
        <f>HYPERLINK("https://klasma.github.io/Logging_0580/kartor/A 14879-2024 karta.png", "A 14879-2024")</f>
        <v/>
      </c>
      <c r="V24">
        <f>HYPERLINK("https://klasma.github.io/Logging_0580/klagomål/A 14879-2024 FSC-klagomål.docx", "A 14879-2024")</f>
        <v/>
      </c>
      <c r="W24">
        <f>HYPERLINK("https://klasma.github.io/Logging_0580/klagomålsmail/A 14879-2024 FSC-klagomål mail.docx", "A 14879-2024")</f>
        <v/>
      </c>
      <c r="X24">
        <f>HYPERLINK("https://klasma.github.io/Logging_0580/tillsyn/A 14879-2024 tillsynsbegäran.docx", "A 14879-2024")</f>
        <v/>
      </c>
      <c r="Y24">
        <f>HYPERLINK("https://klasma.github.io/Logging_0580/tillsynsmail/A 14879-2024 tillsynsbegäran mail.docx", "A 14879-2024")</f>
        <v/>
      </c>
    </row>
    <row r="25" ht="15" customHeight="1">
      <c r="A25" t="inlineStr">
        <is>
          <t>A 8818-2025</t>
        </is>
      </c>
      <c r="B25" s="1" t="n">
        <v>45712</v>
      </c>
      <c r="C25" s="1" t="n">
        <v>46038</v>
      </c>
      <c r="D25" t="inlineStr">
        <is>
          <t>ÖSTERGÖTLANDS LÄN</t>
        </is>
      </c>
      <c r="E25" t="inlineStr">
        <is>
          <t>LINKÖPING</t>
        </is>
      </c>
      <c r="F25" t="inlineStr">
        <is>
          <t>Kommuner</t>
        </is>
      </c>
      <c r="G25" t="n">
        <v>0.6</v>
      </c>
      <c r="H25" t="n">
        <v>0</v>
      </c>
      <c r="I25" t="n">
        <v>0</v>
      </c>
      <c r="J25" t="n">
        <v>1</v>
      </c>
      <c r="K25" t="n">
        <v>1</v>
      </c>
      <c r="L25" t="n">
        <v>0</v>
      </c>
      <c r="M25" t="n">
        <v>0</v>
      </c>
      <c r="N25" t="n">
        <v>0</v>
      </c>
      <c r="O25" t="n">
        <v>2</v>
      </c>
      <c r="P25" t="n">
        <v>1</v>
      </c>
      <c r="Q25" t="n">
        <v>2</v>
      </c>
      <c r="R25" s="2" t="inlineStr">
        <is>
          <t>Luddvicker
Klubbsprötad bastardsvärmare</t>
        </is>
      </c>
      <c r="S25">
        <f>HYPERLINK("https://klasma.github.io/Logging_0580/artfynd/A 8818-2025 artfynd.xlsx", "A 8818-2025")</f>
        <v/>
      </c>
      <c r="T25">
        <f>HYPERLINK("https://klasma.github.io/Logging_0580/kartor/A 8818-2025 karta.png", "A 8818-2025")</f>
        <v/>
      </c>
      <c r="V25">
        <f>HYPERLINK("https://klasma.github.io/Logging_0580/klagomål/A 8818-2025 FSC-klagomål.docx", "A 8818-2025")</f>
        <v/>
      </c>
      <c r="W25">
        <f>HYPERLINK("https://klasma.github.io/Logging_0580/klagomålsmail/A 8818-2025 FSC-klagomål mail.docx", "A 8818-2025")</f>
        <v/>
      </c>
      <c r="X25">
        <f>HYPERLINK("https://klasma.github.io/Logging_0580/tillsyn/A 8818-2025 tillsynsbegäran.docx", "A 8818-2025")</f>
        <v/>
      </c>
      <c r="Y25">
        <f>HYPERLINK("https://klasma.github.io/Logging_0580/tillsynsmail/A 8818-2025 tillsynsbegäran mail.docx", "A 8818-2025")</f>
        <v/>
      </c>
    </row>
    <row r="26" ht="15" customHeight="1">
      <c r="A26" t="inlineStr">
        <is>
          <t>A 50404-2023</t>
        </is>
      </c>
      <c r="B26" s="1" t="n">
        <v>45216</v>
      </c>
      <c r="C26" s="1" t="n">
        <v>46038</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58068-2021</t>
        </is>
      </c>
      <c r="B27" s="1" t="n">
        <v>44487</v>
      </c>
      <c r="C27" s="1" t="n">
        <v>46038</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49188-2024</t>
        </is>
      </c>
      <c r="B28" s="1" t="n">
        <v>45595</v>
      </c>
      <c r="C28" s="1" t="n">
        <v>46038</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11613-2025</t>
        </is>
      </c>
      <c r="B29" s="1" t="n">
        <v>45727.44623842592</v>
      </c>
      <c r="C29" s="1" t="n">
        <v>46038</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58068-2021</t>
        </is>
      </c>
      <c r="B30" s="1" t="n">
        <v>44487</v>
      </c>
      <c r="C30" s="1" t="n">
        <v>46038</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46038</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20292-2025</t>
        </is>
      </c>
      <c r="B32" s="1" t="n">
        <v>45774.7449537037</v>
      </c>
      <c r="C32" s="1" t="n">
        <v>46038</v>
      </c>
      <c r="D32" t="inlineStr">
        <is>
          <t>ÖSTERGÖTLANDS LÄN</t>
        </is>
      </c>
      <c r="E32" t="inlineStr">
        <is>
          <t>LINKÖPING</t>
        </is>
      </c>
      <c r="G32" t="n">
        <v>8.4</v>
      </c>
      <c r="H32" t="n">
        <v>1</v>
      </c>
      <c r="I32" t="n">
        <v>1</v>
      </c>
      <c r="J32" t="n">
        <v>0</v>
      </c>
      <c r="K32" t="n">
        <v>0</v>
      </c>
      <c r="L32" t="n">
        <v>0</v>
      </c>
      <c r="M32" t="n">
        <v>0</v>
      </c>
      <c r="N32" t="n">
        <v>0</v>
      </c>
      <c r="O32" t="n">
        <v>0</v>
      </c>
      <c r="P32" t="n">
        <v>0</v>
      </c>
      <c r="Q32" t="n">
        <v>2</v>
      </c>
      <c r="R32" s="2" t="inlineStr">
        <is>
          <t>Blåmossa
Blåsippa</t>
        </is>
      </c>
      <c r="S32">
        <f>HYPERLINK("https://klasma.github.io/Logging_0580/artfynd/A 20292-2025 artfynd.xlsx", "A 20292-2025")</f>
        <v/>
      </c>
      <c r="T32">
        <f>HYPERLINK("https://klasma.github.io/Logging_0580/kartor/A 20292-2025 karta.png", "A 20292-2025")</f>
        <v/>
      </c>
      <c r="V32">
        <f>HYPERLINK("https://klasma.github.io/Logging_0580/klagomål/A 20292-2025 FSC-klagomål.docx", "A 20292-2025")</f>
        <v/>
      </c>
      <c r="W32">
        <f>HYPERLINK("https://klasma.github.io/Logging_0580/klagomålsmail/A 20292-2025 FSC-klagomål mail.docx", "A 20292-2025")</f>
        <v/>
      </c>
      <c r="X32">
        <f>HYPERLINK("https://klasma.github.io/Logging_0580/tillsyn/A 20292-2025 tillsynsbegäran.docx", "A 20292-2025")</f>
        <v/>
      </c>
      <c r="Y32">
        <f>HYPERLINK("https://klasma.github.io/Logging_0580/tillsynsmail/A 20292-2025 tillsynsbegäran mail.docx", "A 20292-2025")</f>
        <v/>
      </c>
    </row>
    <row r="33" ht="15" customHeight="1">
      <c r="A33" t="inlineStr">
        <is>
          <t>A 20297-2025</t>
        </is>
      </c>
      <c r="B33" s="1" t="n">
        <v>45774.74971064815</v>
      </c>
      <c r="C33" s="1" t="n">
        <v>46038</v>
      </c>
      <c r="D33" t="inlineStr">
        <is>
          <t>ÖSTERGÖTLANDS LÄN</t>
        </is>
      </c>
      <c r="E33" t="inlineStr">
        <is>
          <t>LINKÖPING</t>
        </is>
      </c>
      <c r="G33" t="n">
        <v>1.5</v>
      </c>
      <c r="H33" t="n">
        <v>1</v>
      </c>
      <c r="I33" t="n">
        <v>1</v>
      </c>
      <c r="J33" t="n">
        <v>0</v>
      </c>
      <c r="K33" t="n">
        <v>0</v>
      </c>
      <c r="L33" t="n">
        <v>0</v>
      </c>
      <c r="M33" t="n">
        <v>0</v>
      </c>
      <c r="N33" t="n">
        <v>0</v>
      </c>
      <c r="O33" t="n">
        <v>0</v>
      </c>
      <c r="P33" t="n">
        <v>0</v>
      </c>
      <c r="Q33" t="n">
        <v>2</v>
      </c>
      <c r="R33" s="2" t="inlineStr">
        <is>
          <t>Blanksvart trämyra
Blåsippa</t>
        </is>
      </c>
      <c r="S33">
        <f>HYPERLINK("https://klasma.github.io/Logging_0580/artfynd/A 20297-2025 artfynd.xlsx", "A 20297-2025")</f>
        <v/>
      </c>
      <c r="T33">
        <f>HYPERLINK("https://klasma.github.io/Logging_0580/kartor/A 20297-2025 karta.png", "A 20297-2025")</f>
        <v/>
      </c>
      <c r="V33">
        <f>HYPERLINK("https://klasma.github.io/Logging_0580/klagomål/A 20297-2025 FSC-klagomål.docx", "A 20297-2025")</f>
        <v/>
      </c>
      <c r="W33">
        <f>HYPERLINK("https://klasma.github.io/Logging_0580/klagomålsmail/A 20297-2025 FSC-klagomål mail.docx", "A 20297-2025")</f>
        <v/>
      </c>
      <c r="X33">
        <f>HYPERLINK("https://klasma.github.io/Logging_0580/tillsyn/A 20297-2025 tillsynsbegäran.docx", "A 20297-2025")</f>
        <v/>
      </c>
      <c r="Y33">
        <f>HYPERLINK("https://klasma.github.io/Logging_0580/tillsynsmail/A 20297-2025 tillsynsbegäran mail.docx", "A 20297-2025")</f>
        <v/>
      </c>
    </row>
    <row r="34" ht="15" customHeight="1">
      <c r="A34" t="inlineStr">
        <is>
          <t>A 50048-2025</t>
        </is>
      </c>
      <c r="B34" s="1" t="n">
        <v>45941</v>
      </c>
      <c r="C34" s="1" t="n">
        <v>46038</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38913-2023</t>
        </is>
      </c>
      <c r="B35" s="1" t="n">
        <v>45163</v>
      </c>
      <c r="C35" s="1" t="n">
        <v>46038</v>
      </c>
      <c r="D35" t="inlineStr">
        <is>
          <t>ÖSTERGÖTLANDS LÄN</t>
        </is>
      </c>
      <c r="E35" t="inlineStr">
        <is>
          <t>LINKÖPING</t>
        </is>
      </c>
      <c r="G35" t="n">
        <v>2.7</v>
      </c>
      <c r="H35" t="n">
        <v>1</v>
      </c>
      <c r="I35" t="n">
        <v>1</v>
      </c>
      <c r="J35" t="n">
        <v>0</v>
      </c>
      <c r="K35" t="n">
        <v>0</v>
      </c>
      <c r="L35" t="n">
        <v>0</v>
      </c>
      <c r="M35" t="n">
        <v>0</v>
      </c>
      <c r="N35" t="n">
        <v>0</v>
      </c>
      <c r="O35" t="n">
        <v>0</v>
      </c>
      <c r="P35" t="n">
        <v>0</v>
      </c>
      <c r="Q35" t="n">
        <v>2</v>
      </c>
      <c r="R35" s="2" t="inlineStr">
        <is>
          <t>Skogsbräsma
Revlummer</t>
        </is>
      </c>
      <c r="S35">
        <f>HYPERLINK("https://klasma.github.io/Logging_0580/artfynd/A 38913-2023 artfynd.xlsx", "A 38913-2023")</f>
        <v/>
      </c>
      <c r="T35">
        <f>HYPERLINK("https://klasma.github.io/Logging_0580/kartor/A 38913-2023 karta.png", "A 38913-2023")</f>
        <v/>
      </c>
      <c r="V35">
        <f>HYPERLINK("https://klasma.github.io/Logging_0580/klagomål/A 38913-2023 FSC-klagomål.docx", "A 38913-2023")</f>
        <v/>
      </c>
      <c r="W35">
        <f>HYPERLINK("https://klasma.github.io/Logging_0580/klagomålsmail/A 38913-2023 FSC-klagomål mail.docx", "A 38913-2023")</f>
        <v/>
      </c>
      <c r="X35">
        <f>HYPERLINK("https://klasma.github.io/Logging_0580/tillsyn/A 38913-2023 tillsynsbegäran.docx", "A 38913-2023")</f>
        <v/>
      </c>
      <c r="Y35">
        <f>HYPERLINK("https://klasma.github.io/Logging_0580/tillsynsmail/A 38913-2023 tillsynsbegäran mail.docx", "A 38913-2023")</f>
        <v/>
      </c>
    </row>
    <row r="36" ht="15" customHeight="1">
      <c r="A36" t="inlineStr">
        <is>
          <t>A 41751-2023</t>
        </is>
      </c>
      <c r="B36" s="1" t="n">
        <v>45176</v>
      </c>
      <c r="C36" s="1" t="n">
        <v>46038</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42858-2023</t>
        </is>
      </c>
      <c r="B37" s="1" t="n">
        <v>45177</v>
      </c>
      <c r="C37" s="1" t="n">
        <v>46038</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55344-2024</t>
        </is>
      </c>
      <c r="B38" s="1" t="n">
        <v>45621.7202662037</v>
      </c>
      <c r="C38" s="1" t="n">
        <v>46038</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21326-2025</t>
        </is>
      </c>
      <c r="B39" s="1" t="n">
        <v>45782.35407407407</v>
      </c>
      <c r="C39" s="1" t="n">
        <v>46038</v>
      </c>
      <c r="D39" t="inlineStr">
        <is>
          <t>ÖSTERGÖTLANDS LÄN</t>
        </is>
      </c>
      <c r="E39" t="inlineStr">
        <is>
          <t>LINKÖPING</t>
        </is>
      </c>
      <c r="G39" t="n">
        <v>4.9</v>
      </c>
      <c r="H39" t="n">
        <v>2</v>
      </c>
      <c r="I39" t="n">
        <v>0</v>
      </c>
      <c r="J39" t="n">
        <v>0</v>
      </c>
      <c r="K39" t="n">
        <v>0</v>
      </c>
      <c r="L39" t="n">
        <v>0</v>
      </c>
      <c r="M39" t="n">
        <v>0</v>
      </c>
      <c r="N39" t="n">
        <v>0</v>
      </c>
      <c r="O39" t="n">
        <v>0</v>
      </c>
      <c r="P39" t="n">
        <v>0</v>
      </c>
      <c r="Q39" t="n">
        <v>2</v>
      </c>
      <c r="R39" s="2" t="inlineStr">
        <is>
          <t>Blåsippa
Revlummer</t>
        </is>
      </c>
      <c r="S39">
        <f>HYPERLINK("https://klasma.github.io/Logging_0580/artfynd/A 21326-2025 artfynd.xlsx", "A 21326-2025")</f>
        <v/>
      </c>
      <c r="T39">
        <f>HYPERLINK("https://klasma.github.io/Logging_0580/kartor/A 21326-2025 karta.png", "A 21326-2025")</f>
        <v/>
      </c>
      <c r="V39">
        <f>HYPERLINK("https://klasma.github.io/Logging_0580/klagomål/A 21326-2025 FSC-klagomål.docx", "A 21326-2025")</f>
        <v/>
      </c>
      <c r="W39">
        <f>HYPERLINK("https://klasma.github.io/Logging_0580/klagomålsmail/A 21326-2025 FSC-klagomål mail.docx", "A 21326-2025")</f>
        <v/>
      </c>
      <c r="X39">
        <f>HYPERLINK("https://klasma.github.io/Logging_0580/tillsyn/A 21326-2025 tillsynsbegäran.docx", "A 21326-2025")</f>
        <v/>
      </c>
      <c r="Y39">
        <f>HYPERLINK("https://klasma.github.io/Logging_0580/tillsynsmail/A 21326-2025 tillsynsbegäran mail.docx", "A 21326-2025")</f>
        <v/>
      </c>
    </row>
    <row r="40" ht="15" customHeight="1">
      <c r="A40" t="inlineStr">
        <is>
          <t>A 27795-2025</t>
        </is>
      </c>
      <c r="B40" s="1" t="n">
        <v>45816.7908912037</v>
      </c>
      <c r="C40" s="1" t="n">
        <v>46038</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46038</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46038</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17513-2022</t>
        </is>
      </c>
      <c r="B43" s="1" t="n">
        <v>44679</v>
      </c>
      <c r="C43" s="1" t="n">
        <v>46038</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14096-2021</t>
        </is>
      </c>
      <c r="B44" s="1" t="n">
        <v>44278</v>
      </c>
      <c r="C44" s="1" t="n">
        <v>46038</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43017-2021</t>
        </is>
      </c>
      <c r="B45" s="1" t="n">
        <v>44431</v>
      </c>
      <c r="C45" s="1" t="n">
        <v>46038</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46038</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46038</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46038</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46038</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46038</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46038</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46038</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37683-2024</t>
        </is>
      </c>
      <c r="B53" s="1" t="n">
        <v>45541.59120370371</v>
      </c>
      <c r="C53" s="1" t="n">
        <v>46038</v>
      </c>
      <c r="D53" t="inlineStr">
        <is>
          <t>ÖSTERGÖTLANDS LÄN</t>
        </is>
      </c>
      <c r="E53" t="inlineStr">
        <is>
          <t>LINKÖPING</t>
        </is>
      </c>
      <c r="G53" t="n">
        <v>0.6</v>
      </c>
      <c r="H53" t="n">
        <v>0</v>
      </c>
      <c r="I53" t="n">
        <v>1</v>
      </c>
      <c r="J53" t="n">
        <v>0</v>
      </c>
      <c r="K53" t="n">
        <v>0</v>
      </c>
      <c r="L53" t="n">
        <v>0</v>
      </c>
      <c r="M53" t="n">
        <v>0</v>
      </c>
      <c r="N53" t="n">
        <v>0</v>
      </c>
      <c r="O53" t="n">
        <v>0</v>
      </c>
      <c r="P53" t="n">
        <v>0</v>
      </c>
      <c r="Q53" t="n">
        <v>1</v>
      </c>
      <c r="R53" s="2" t="inlineStr">
        <is>
          <t>Tibast</t>
        </is>
      </c>
      <c r="S53">
        <f>HYPERLINK("https://klasma.github.io/Logging_0580/artfynd/A 37683-2024 artfynd.xlsx", "A 37683-2024")</f>
        <v/>
      </c>
      <c r="T53">
        <f>HYPERLINK("https://klasma.github.io/Logging_0580/kartor/A 37683-2024 karta.png", "A 37683-2024")</f>
        <v/>
      </c>
      <c r="V53">
        <f>HYPERLINK("https://klasma.github.io/Logging_0580/klagomål/A 37683-2024 FSC-klagomål.docx", "A 37683-2024")</f>
        <v/>
      </c>
      <c r="W53">
        <f>HYPERLINK("https://klasma.github.io/Logging_0580/klagomålsmail/A 37683-2024 FSC-klagomål mail.docx", "A 37683-2024")</f>
        <v/>
      </c>
      <c r="X53">
        <f>HYPERLINK("https://klasma.github.io/Logging_0580/tillsyn/A 37683-2024 tillsynsbegäran.docx", "A 37683-2024")</f>
        <v/>
      </c>
      <c r="Y53">
        <f>HYPERLINK("https://klasma.github.io/Logging_0580/tillsynsmail/A 37683-2024 tillsynsbegäran mail.docx", "A 37683-2024")</f>
        <v/>
      </c>
    </row>
    <row r="54" ht="15" customHeight="1">
      <c r="A54" t="inlineStr">
        <is>
          <t>A 59948-2022</t>
        </is>
      </c>
      <c r="B54" s="1" t="n">
        <v>44909</v>
      </c>
      <c r="C54" s="1" t="n">
        <v>46038</v>
      </c>
      <c r="D54" t="inlineStr">
        <is>
          <t>ÖSTERGÖTLANDS LÄN</t>
        </is>
      </c>
      <c r="E54" t="inlineStr">
        <is>
          <t>LINKÖPING</t>
        </is>
      </c>
      <c r="G54" t="n">
        <v>6.7</v>
      </c>
      <c r="H54" t="n">
        <v>0</v>
      </c>
      <c r="I54" t="n">
        <v>0</v>
      </c>
      <c r="J54" t="n">
        <v>0</v>
      </c>
      <c r="K54" t="n">
        <v>0</v>
      </c>
      <c r="L54" t="n">
        <v>0</v>
      </c>
      <c r="M54" t="n">
        <v>1</v>
      </c>
      <c r="N54" t="n">
        <v>0</v>
      </c>
      <c r="O54" t="n">
        <v>1</v>
      </c>
      <c r="P54" t="n">
        <v>1</v>
      </c>
      <c r="Q54" t="n">
        <v>1</v>
      </c>
      <c r="R54" s="2" t="inlineStr">
        <is>
          <t>Skogsalm</t>
        </is>
      </c>
      <c r="S54">
        <f>HYPERLINK("https://klasma.github.io/Logging_0580/artfynd/A 59948-2022 artfynd.xlsx", "A 59948-2022")</f>
        <v/>
      </c>
      <c r="T54">
        <f>HYPERLINK("https://klasma.github.io/Logging_0580/kartor/A 59948-2022 karta.png", "A 59948-2022")</f>
        <v/>
      </c>
      <c r="V54">
        <f>HYPERLINK("https://klasma.github.io/Logging_0580/klagomål/A 59948-2022 FSC-klagomål.docx", "A 59948-2022")</f>
        <v/>
      </c>
      <c r="W54">
        <f>HYPERLINK("https://klasma.github.io/Logging_0580/klagomålsmail/A 59948-2022 FSC-klagomål mail.docx", "A 59948-2022")</f>
        <v/>
      </c>
      <c r="X54">
        <f>HYPERLINK("https://klasma.github.io/Logging_0580/tillsyn/A 59948-2022 tillsynsbegäran.docx", "A 59948-2022")</f>
        <v/>
      </c>
      <c r="Y54">
        <f>HYPERLINK("https://klasma.github.io/Logging_0580/tillsynsmail/A 59948-2022 tillsynsbegäran mail.docx", "A 59948-2022")</f>
        <v/>
      </c>
    </row>
    <row r="55" ht="15" customHeight="1">
      <c r="A55" t="inlineStr">
        <is>
          <t>A 17444-2025</t>
        </is>
      </c>
      <c r="B55" s="1" t="n">
        <v>45757.43452546297</v>
      </c>
      <c r="C55" s="1" t="n">
        <v>46038</v>
      </c>
      <c r="D55" t="inlineStr">
        <is>
          <t>ÖSTERGÖTLANDS LÄN</t>
        </is>
      </c>
      <c r="E55" t="inlineStr">
        <is>
          <t>LINKÖPING</t>
        </is>
      </c>
      <c r="G55" t="n">
        <v>1.3</v>
      </c>
      <c r="H55" t="n">
        <v>1</v>
      </c>
      <c r="I55" t="n">
        <v>0</v>
      </c>
      <c r="J55" t="n">
        <v>1</v>
      </c>
      <c r="K55" t="n">
        <v>0</v>
      </c>
      <c r="L55" t="n">
        <v>0</v>
      </c>
      <c r="M55" t="n">
        <v>0</v>
      </c>
      <c r="N55" t="n">
        <v>0</v>
      </c>
      <c r="O55" t="n">
        <v>1</v>
      </c>
      <c r="P55" t="n">
        <v>0</v>
      </c>
      <c r="Q55" t="n">
        <v>1</v>
      </c>
      <c r="R55" s="2" t="inlineStr">
        <is>
          <t>Dårgräsfjäril</t>
        </is>
      </c>
      <c r="S55">
        <f>HYPERLINK("https://klasma.github.io/Logging_0580/artfynd/A 17444-2025 artfynd.xlsx", "A 17444-2025")</f>
        <v/>
      </c>
      <c r="T55">
        <f>HYPERLINK("https://klasma.github.io/Logging_0580/kartor/A 17444-2025 karta.png", "A 17444-2025")</f>
        <v/>
      </c>
      <c r="V55">
        <f>HYPERLINK("https://klasma.github.io/Logging_0580/klagomål/A 17444-2025 FSC-klagomål.docx", "A 17444-2025")</f>
        <v/>
      </c>
      <c r="W55">
        <f>HYPERLINK("https://klasma.github.io/Logging_0580/klagomålsmail/A 17444-2025 FSC-klagomål mail.docx", "A 17444-2025")</f>
        <v/>
      </c>
      <c r="X55">
        <f>HYPERLINK("https://klasma.github.io/Logging_0580/tillsyn/A 17444-2025 tillsynsbegäran.docx", "A 17444-2025")</f>
        <v/>
      </c>
      <c r="Y55">
        <f>HYPERLINK("https://klasma.github.io/Logging_0580/tillsynsmail/A 17444-2025 tillsynsbegäran mail.docx", "A 17444-2025")</f>
        <v/>
      </c>
    </row>
    <row r="56" ht="15" customHeight="1">
      <c r="A56" t="inlineStr">
        <is>
          <t>A 5911-2022</t>
        </is>
      </c>
      <c r="B56" s="1" t="n">
        <v>44597</v>
      </c>
      <c r="C56" s="1" t="n">
        <v>46038</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56651-2023</t>
        </is>
      </c>
      <c r="B57" s="1" t="n">
        <v>45243</v>
      </c>
      <c r="C57" s="1" t="n">
        <v>46038</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90-2024</t>
        </is>
      </c>
      <c r="B58" s="1" t="n">
        <v>45293</v>
      </c>
      <c r="C58" s="1" t="n">
        <v>46038</v>
      </c>
      <c r="D58" t="inlineStr">
        <is>
          <t>ÖSTERGÖTLANDS LÄN</t>
        </is>
      </c>
      <c r="E58" t="inlineStr">
        <is>
          <t>LINKÖPING</t>
        </is>
      </c>
      <c r="G58" t="n">
        <v>1.8</v>
      </c>
      <c r="H58" t="n">
        <v>0</v>
      </c>
      <c r="I58" t="n">
        <v>1</v>
      </c>
      <c r="J58" t="n">
        <v>0</v>
      </c>
      <c r="K58" t="n">
        <v>0</v>
      </c>
      <c r="L58" t="n">
        <v>0</v>
      </c>
      <c r="M58" t="n">
        <v>0</v>
      </c>
      <c r="N58" t="n">
        <v>0</v>
      </c>
      <c r="O58" t="n">
        <v>0</v>
      </c>
      <c r="P58" t="n">
        <v>0</v>
      </c>
      <c r="Q58" t="n">
        <v>1</v>
      </c>
      <c r="R58" s="2" t="inlineStr">
        <is>
          <t>Grov fjädermossa</t>
        </is>
      </c>
      <c r="S58">
        <f>HYPERLINK("https://klasma.github.io/Logging_0580/artfynd/A 90-2024 artfynd.xlsx", "A 90-2024")</f>
        <v/>
      </c>
      <c r="T58">
        <f>HYPERLINK("https://klasma.github.io/Logging_0580/kartor/A 90-2024 karta.png", "A 90-2024")</f>
        <v/>
      </c>
      <c r="V58">
        <f>HYPERLINK("https://klasma.github.io/Logging_0580/klagomål/A 90-2024 FSC-klagomål.docx", "A 90-2024")</f>
        <v/>
      </c>
      <c r="W58">
        <f>HYPERLINK("https://klasma.github.io/Logging_0580/klagomålsmail/A 90-2024 FSC-klagomål mail.docx", "A 90-2024")</f>
        <v/>
      </c>
      <c r="X58">
        <f>HYPERLINK("https://klasma.github.io/Logging_0580/tillsyn/A 90-2024 tillsynsbegäran.docx", "A 90-2024")</f>
        <v/>
      </c>
      <c r="Y58">
        <f>HYPERLINK("https://klasma.github.io/Logging_0580/tillsynsmail/A 90-2024 tillsynsbegäran mail.docx", "A 90-2024")</f>
        <v/>
      </c>
    </row>
    <row r="59" ht="15" customHeight="1">
      <c r="A59" t="inlineStr">
        <is>
          <t>A 40315-2024</t>
        </is>
      </c>
      <c r="B59" s="1" t="n">
        <v>45554.7571875</v>
      </c>
      <c r="C59" s="1" t="n">
        <v>46038</v>
      </c>
      <c r="D59" t="inlineStr">
        <is>
          <t>ÖSTERGÖTLANDS LÄN</t>
        </is>
      </c>
      <c r="E59" t="inlineStr">
        <is>
          <t>LINKÖPING</t>
        </is>
      </c>
      <c r="F59" t="inlineStr">
        <is>
          <t>Allmännings- och besparingsskogar</t>
        </is>
      </c>
      <c r="G59" t="n">
        <v>15.8</v>
      </c>
      <c r="H59" t="n">
        <v>0</v>
      </c>
      <c r="I59" t="n">
        <v>0</v>
      </c>
      <c r="J59" t="n">
        <v>0</v>
      </c>
      <c r="K59" t="n">
        <v>0</v>
      </c>
      <c r="L59" t="n">
        <v>0</v>
      </c>
      <c r="M59" t="n">
        <v>1</v>
      </c>
      <c r="N59" t="n">
        <v>0</v>
      </c>
      <c r="O59" t="n">
        <v>1</v>
      </c>
      <c r="P59" t="n">
        <v>1</v>
      </c>
      <c r="Q59" t="n">
        <v>1</v>
      </c>
      <c r="R59" s="2" t="inlineStr">
        <is>
          <t>Skogsalm</t>
        </is>
      </c>
      <c r="S59">
        <f>HYPERLINK("https://klasma.github.io/Logging_0580/artfynd/A 40315-2024 artfynd.xlsx", "A 40315-2024")</f>
        <v/>
      </c>
      <c r="T59">
        <f>HYPERLINK("https://klasma.github.io/Logging_0580/kartor/A 40315-2024 karta.png", "A 40315-2024")</f>
        <v/>
      </c>
      <c r="V59">
        <f>HYPERLINK("https://klasma.github.io/Logging_0580/klagomål/A 40315-2024 FSC-klagomål.docx", "A 40315-2024")</f>
        <v/>
      </c>
      <c r="W59">
        <f>HYPERLINK("https://klasma.github.io/Logging_0580/klagomålsmail/A 40315-2024 FSC-klagomål mail.docx", "A 40315-2024")</f>
        <v/>
      </c>
      <c r="X59">
        <f>HYPERLINK("https://klasma.github.io/Logging_0580/tillsyn/A 40315-2024 tillsynsbegäran.docx", "A 40315-2024")</f>
        <v/>
      </c>
      <c r="Y59">
        <f>HYPERLINK("https://klasma.github.io/Logging_0580/tillsynsmail/A 40315-2024 tillsynsbegäran mail.docx", "A 40315-2024")</f>
        <v/>
      </c>
    </row>
    <row r="60" ht="15" customHeight="1">
      <c r="A60" t="inlineStr">
        <is>
          <t>A 56128-2022</t>
        </is>
      </c>
      <c r="B60" s="1" t="n">
        <v>44889</v>
      </c>
      <c r="C60" s="1" t="n">
        <v>46038</v>
      </c>
      <c r="D60" t="inlineStr">
        <is>
          <t>ÖSTERGÖTLANDS LÄN</t>
        </is>
      </c>
      <c r="E60" t="inlineStr">
        <is>
          <t>LINKÖPING</t>
        </is>
      </c>
      <c r="G60" t="n">
        <v>2</v>
      </c>
      <c r="H60" t="n">
        <v>0</v>
      </c>
      <c r="I60" t="n">
        <v>1</v>
      </c>
      <c r="J60" t="n">
        <v>0</v>
      </c>
      <c r="K60" t="n">
        <v>0</v>
      </c>
      <c r="L60" t="n">
        <v>0</v>
      </c>
      <c r="M60" t="n">
        <v>0</v>
      </c>
      <c r="N60" t="n">
        <v>0</v>
      </c>
      <c r="O60" t="n">
        <v>0</v>
      </c>
      <c r="P60" t="n">
        <v>0</v>
      </c>
      <c r="Q60" t="n">
        <v>1</v>
      </c>
      <c r="R60" s="2" t="inlineStr">
        <is>
          <t>Tibast</t>
        </is>
      </c>
      <c r="S60">
        <f>HYPERLINK("https://klasma.github.io/Logging_0580/artfynd/A 56128-2022 artfynd.xlsx", "A 56128-2022")</f>
        <v/>
      </c>
      <c r="T60">
        <f>HYPERLINK("https://klasma.github.io/Logging_0580/kartor/A 56128-2022 karta.png", "A 56128-2022")</f>
        <v/>
      </c>
      <c r="V60">
        <f>HYPERLINK("https://klasma.github.io/Logging_0580/klagomål/A 56128-2022 FSC-klagomål.docx", "A 56128-2022")</f>
        <v/>
      </c>
      <c r="W60">
        <f>HYPERLINK("https://klasma.github.io/Logging_0580/klagomålsmail/A 56128-2022 FSC-klagomål mail.docx", "A 56128-2022")</f>
        <v/>
      </c>
      <c r="X60">
        <f>HYPERLINK("https://klasma.github.io/Logging_0580/tillsyn/A 56128-2022 tillsynsbegäran.docx", "A 56128-2022")</f>
        <v/>
      </c>
      <c r="Y60">
        <f>HYPERLINK("https://klasma.github.io/Logging_0580/tillsynsmail/A 56128-2022 tillsynsbegäran mail.docx", "A 56128-2022")</f>
        <v/>
      </c>
    </row>
    <row r="61" ht="15" customHeight="1">
      <c r="A61" t="inlineStr">
        <is>
          <t>A 40309-2024</t>
        </is>
      </c>
      <c r="B61" s="1" t="n">
        <v>45554.724375</v>
      </c>
      <c r="C61" s="1" t="n">
        <v>46038</v>
      </c>
      <c r="D61" t="inlineStr">
        <is>
          <t>ÖSTERGÖTLANDS LÄN</t>
        </is>
      </c>
      <c r="E61" t="inlineStr">
        <is>
          <t>LINKÖPING</t>
        </is>
      </c>
      <c r="F61" t="inlineStr">
        <is>
          <t>Allmännings- och besparingsskogar</t>
        </is>
      </c>
      <c r="G61" t="n">
        <v>6</v>
      </c>
      <c r="H61" t="n">
        <v>0</v>
      </c>
      <c r="I61" t="n">
        <v>0</v>
      </c>
      <c r="J61" t="n">
        <v>1</v>
      </c>
      <c r="K61" t="n">
        <v>0</v>
      </c>
      <c r="L61" t="n">
        <v>0</v>
      </c>
      <c r="M61" t="n">
        <v>0</v>
      </c>
      <c r="N61" t="n">
        <v>0</v>
      </c>
      <c r="O61" t="n">
        <v>1</v>
      </c>
      <c r="P61" t="n">
        <v>0</v>
      </c>
      <c r="Q61" t="n">
        <v>1</v>
      </c>
      <c r="R61" s="2" t="inlineStr">
        <is>
          <t>Garnlav</t>
        </is>
      </c>
      <c r="S61">
        <f>HYPERLINK("https://klasma.github.io/Logging_0580/artfynd/A 40309-2024 artfynd.xlsx", "A 40309-2024")</f>
        <v/>
      </c>
      <c r="T61">
        <f>HYPERLINK("https://klasma.github.io/Logging_0580/kartor/A 40309-2024 karta.png", "A 40309-2024")</f>
        <v/>
      </c>
      <c r="V61">
        <f>HYPERLINK("https://klasma.github.io/Logging_0580/klagomål/A 40309-2024 FSC-klagomål.docx", "A 40309-2024")</f>
        <v/>
      </c>
      <c r="W61">
        <f>HYPERLINK("https://klasma.github.io/Logging_0580/klagomålsmail/A 40309-2024 FSC-klagomål mail.docx", "A 40309-2024")</f>
        <v/>
      </c>
      <c r="X61">
        <f>HYPERLINK("https://klasma.github.io/Logging_0580/tillsyn/A 40309-2024 tillsynsbegäran.docx", "A 40309-2024")</f>
        <v/>
      </c>
      <c r="Y61">
        <f>HYPERLINK("https://klasma.github.io/Logging_0580/tillsynsmail/A 40309-2024 tillsynsbegäran mail.docx", "A 40309-2024")</f>
        <v/>
      </c>
    </row>
    <row r="62" ht="15" customHeight="1">
      <c r="A62" t="inlineStr">
        <is>
          <t>A 15290-2025</t>
        </is>
      </c>
      <c r="B62" s="1" t="n">
        <v>45745.45288194445</v>
      </c>
      <c r="C62" s="1" t="n">
        <v>46038</v>
      </c>
      <c r="D62" t="inlineStr">
        <is>
          <t>ÖSTERGÖTLANDS LÄN</t>
        </is>
      </c>
      <c r="E62" t="inlineStr">
        <is>
          <t>LINKÖPING</t>
        </is>
      </c>
      <c r="G62" t="n">
        <v>18.4</v>
      </c>
      <c r="H62" t="n">
        <v>1</v>
      </c>
      <c r="I62" t="n">
        <v>0</v>
      </c>
      <c r="J62" t="n">
        <v>1</v>
      </c>
      <c r="K62" t="n">
        <v>0</v>
      </c>
      <c r="L62" t="n">
        <v>0</v>
      </c>
      <c r="M62" t="n">
        <v>0</v>
      </c>
      <c r="N62" t="n">
        <v>0</v>
      </c>
      <c r="O62" t="n">
        <v>1</v>
      </c>
      <c r="P62" t="n">
        <v>0</v>
      </c>
      <c r="Q62" t="n">
        <v>1</v>
      </c>
      <c r="R62" s="2" t="inlineStr">
        <is>
          <t>Havsörn</t>
        </is>
      </c>
      <c r="S62">
        <f>HYPERLINK("https://klasma.github.io/Logging_0580/artfynd/A 15290-2025 artfynd.xlsx", "A 15290-2025")</f>
        <v/>
      </c>
      <c r="T62">
        <f>HYPERLINK("https://klasma.github.io/Logging_0580/kartor/A 15290-2025 karta.png", "A 15290-2025")</f>
        <v/>
      </c>
      <c r="V62">
        <f>HYPERLINK("https://klasma.github.io/Logging_0580/klagomål/A 15290-2025 FSC-klagomål.docx", "A 15290-2025")</f>
        <v/>
      </c>
      <c r="W62">
        <f>HYPERLINK("https://klasma.github.io/Logging_0580/klagomålsmail/A 15290-2025 FSC-klagomål mail.docx", "A 15290-2025")</f>
        <v/>
      </c>
      <c r="X62">
        <f>HYPERLINK("https://klasma.github.io/Logging_0580/tillsyn/A 15290-2025 tillsynsbegäran.docx", "A 15290-2025")</f>
        <v/>
      </c>
      <c r="Y62">
        <f>HYPERLINK("https://klasma.github.io/Logging_0580/tillsynsmail/A 15290-2025 tillsynsbegäran mail.docx", "A 15290-2025")</f>
        <v/>
      </c>
      <c r="Z62">
        <f>HYPERLINK("https://klasma.github.io/Logging_0580/fåglar/A 15290-2025 prioriterade fågelarter.docx", "A 15290-2025")</f>
        <v/>
      </c>
    </row>
    <row r="63" ht="15" customHeight="1">
      <c r="A63" t="inlineStr">
        <is>
          <t>A 34881-2023</t>
        </is>
      </c>
      <c r="B63" s="1" t="n">
        <v>45140</v>
      </c>
      <c r="C63" s="1" t="n">
        <v>46038</v>
      </c>
      <c r="D63" t="inlineStr">
        <is>
          <t>ÖSTERGÖTLANDS LÄN</t>
        </is>
      </c>
      <c r="E63" t="inlineStr">
        <is>
          <t>LINKÖPING</t>
        </is>
      </c>
      <c r="G63" t="n">
        <v>1.9</v>
      </c>
      <c r="H63" t="n">
        <v>0</v>
      </c>
      <c r="I63" t="n">
        <v>0</v>
      </c>
      <c r="J63" t="n">
        <v>1</v>
      </c>
      <c r="K63" t="n">
        <v>0</v>
      </c>
      <c r="L63" t="n">
        <v>0</v>
      </c>
      <c r="M63" t="n">
        <v>0</v>
      </c>
      <c r="N63" t="n">
        <v>0</v>
      </c>
      <c r="O63" t="n">
        <v>1</v>
      </c>
      <c r="P63" t="n">
        <v>0</v>
      </c>
      <c r="Q63" t="n">
        <v>1</v>
      </c>
      <c r="R63" s="2" t="inlineStr">
        <is>
          <t>Tallticka</t>
        </is>
      </c>
      <c r="S63">
        <f>HYPERLINK("https://klasma.github.io/Logging_0580/artfynd/A 34881-2023 artfynd.xlsx", "A 34881-2023")</f>
        <v/>
      </c>
      <c r="T63">
        <f>HYPERLINK("https://klasma.github.io/Logging_0580/kartor/A 34881-2023 karta.png", "A 34881-2023")</f>
        <v/>
      </c>
      <c r="U63">
        <f>HYPERLINK("https://klasma.github.io/Logging_0580/knärot/A 34881-2023 karta knärot.png", "A 34881-2023")</f>
        <v/>
      </c>
      <c r="V63">
        <f>HYPERLINK("https://klasma.github.io/Logging_0580/klagomål/A 34881-2023 FSC-klagomål.docx", "A 34881-2023")</f>
        <v/>
      </c>
      <c r="W63">
        <f>HYPERLINK("https://klasma.github.io/Logging_0580/klagomålsmail/A 34881-2023 FSC-klagomål mail.docx", "A 34881-2023")</f>
        <v/>
      </c>
      <c r="X63">
        <f>HYPERLINK("https://klasma.github.io/Logging_0580/tillsyn/A 34881-2023 tillsynsbegäran.docx", "A 34881-2023")</f>
        <v/>
      </c>
      <c r="Y63">
        <f>HYPERLINK("https://klasma.github.io/Logging_0580/tillsynsmail/A 34881-2023 tillsynsbegäran mail.docx", "A 34881-2023")</f>
        <v/>
      </c>
    </row>
    <row r="64" ht="15" customHeight="1">
      <c r="A64" t="inlineStr">
        <is>
          <t>A 54835-2023</t>
        </is>
      </c>
      <c r="B64" s="1" t="n">
        <v>45236</v>
      </c>
      <c r="C64" s="1" t="n">
        <v>46038</v>
      </c>
      <c r="D64" t="inlineStr">
        <is>
          <t>ÖSTERGÖTLANDS LÄN</t>
        </is>
      </c>
      <c r="E64" t="inlineStr">
        <is>
          <t>LINKÖPING</t>
        </is>
      </c>
      <c r="G64" t="n">
        <v>2</v>
      </c>
      <c r="H64" t="n">
        <v>1</v>
      </c>
      <c r="I64" t="n">
        <v>0</v>
      </c>
      <c r="J64" t="n">
        <v>0</v>
      </c>
      <c r="K64" t="n">
        <v>0</v>
      </c>
      <c r="L64" t="n">
        <v>0</v>
      </c>
      <c r="M64" t="n">
        <v>0</v>
      </c>
      <c r="N64" t="n">
        <v>0</v>
      </c>
      <c r="O64" t="n">
        <v>0</v>
      </c>
      <c r="P64" t="n">
        <v>0</v>
      </c>
      <c r="Q64" t="n">
        <v>1</v>
      </c>
      <c r="R64" s="2" t="inlineStr">
        <is>
          <t>Sparvuggla</t>
        </is>
      </c>
      <c r="S64">
        <f>HYPERLINK("https://klasma.github.io/Logging_0580/artfynd/A 54835-2023 artfynd.xlsx", "A 54835-2023")</f>
        <v/>
      </c>
      <c r="T64">
        <f>HYPERLINK("https://klasma.github.io/Logging_0580/kartor/A 54835-2023 karta.png", "A 54835-2023")</f>
        <v/>
      </c>
      <c r="V64">
        <f>HYPERLINK("https://klasma.github.io/Logging_0580/klagomål/A 54835-2023 FSC-klagomål.docx", "A 54835-2023")</f>
        <v/>
      </c>
      <c r="W64">
        <f>HYPERLINK("https://klasma.github.io/Logging_0580/klagomålsmail/A 54835-2023 FSC-klagomål mail.docx", "A 54835-2023")</f>
        <v/>
      </c>
      <c r="X64">
        <f>HYPERLINK("https://klasma.github.io/Logging_0580/tillsyn/A 54835-2023 tillsynsbegäran.docx", "A 54835-2023")</f>
        <v/>
      </c>
      <c r="Y64">
        <f>HYPERLINK("https://klasma.github.io/Logging_0580/tillsynsmail/A 54835-2023 tillsynsbegäran mail.docx", "A 54835-2023")</f>
        <v/>
      </c>
      <c r="Z64">
        <f>HYPERLINK("https://klasma.github.io/Logging_0580/fåglar/A 54835-2023 prioriterade fågelarter.docx", "A 54835-2023")</f>
        <v/>
      </c>
    </row>
    <row r="65" ht="15" customHeight="1">
      <c r="A65" t="inlineStr">
        <is>
          <t>A 50471-2024</t>
        </is>
      </c>
      <c r="B65" s="1" t="n">
        <v>45601.47166666666</v>
      </c>
      <c r="C65" s="1" t="n">
        <v>46038</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17389-2021</t>
        </is>
      </c>
      <c r="B66" s="1" t="n">
        <v>44298.96792824074</v>
      </c>
      <c r="C66" s="1" t="n">
        <v>46038</v>
      </c>
      <c r="D66" t="inlineStr">
        <is>
          <t>ÖSTERGÖTLANDS LÄN</t>
        </is>
      </c>
      <c r="E66" t="inlineStr">
        <is>
          <t>LINKÖPING</t>
        </is>
      </c>
      <c r="G66" t="n">
        <v>5.1</v>
      </c>
      <c r="H66" t="n">
        <v>0</v>
      </c>
      <c r="I66" t="n">
        <v>1</v>
      </c>
      <c r="J66" t="n">
        <v>0</v>
      </c>
      <c r="K66" t="n">
        <v>0</v>
      </c>
      <c r="L66" t="n">
        <v>0</v>
      </c>
      <c r="M66" t="n">
        <v>0</v>
      </c>
      <c r="N66" t="n">
        <v>0</v>
      </c>
      <c r="O66" t="n">
        <v>0</v>
      </c>
      <c r="P66" t="n">
        <v>0</v>
      </c>
      <c r="Q66" t="n">
        <v>1</v>
      </c>
      <c r="R66" s="2" t="inlineStr">
        <is>
          <t>Blomkålssvamp</t>
        </is>
      </c>
      <c r="S66">
        <f>HYPERLINK("https://klasma.github.io/Logging_0580/artfynd/A 17389-2021 artfynd.xlsx", "A 17389-2021")</f>
        <v/>
      </c>
      <c r="T66">
        <f>HYPERLINK("https://klasma.github.io/Logging_0580/kartor/A 17389-2021 karta.png", "A 17389-2021")</f>
        <v/>
      </c>
      <c r="V66">
        <f>HYPERLINK("https://klasma.github.io/Logging_0580/klagomål/A 17389-2021 FSC-klagomål.docx", "A 17389-2021")</f>
        <v/>
      </c>
      <c r="W66">
        <f>HYPERLINK("https://klasma.github.io/Logging_0580/klagomålsmail/A 17389-2021 FSC-klagomål mail.docx", "A 17389-2021")</f>
        <v/>
      </c>
      <c r="X66">
        <f>HYPERLINK("https://klasma.github.io/Logging_0580/tillsyn/A 17389-2021 tillsynsbegäran.docx", "A 17389-2021")</f>
        <v/>
      </c>
      <c r="Y66">
        <f>HYPERLINK("https://klasma.github.io/Logging_0580/tillsynsmail/A 17389-2021 tillsynsbegäran mail.docx", "A 17389-2021")</f>
        <v/>
      </c>
    </row>
    <row r="67" ht="15" customHeight="1">
      <c r="A67" t="inlineStr">
        <is>
          <t>A 22526-2025</t>
        </is>
      </c>
      <c r="B67" s="1" t="n">
        <v>45786.78096064815</v>
      </c>
      <c r="C67" s="1" t="n">
        <v>46038</v>
      </c>
      <c r="D67" t="inlineStr">
        <is>
          <t>ÖSTERGÖTLANDS LÄN</t>
        </is>
      </c>
      <c r="E67" t="inlineStr">
        <is>
          <t>LINKÖPING</t>
        </is>
      </c>
      <c r="G67" t="n">
        <v>1.8</v>
      </c>
      <c r="H67" t="n">
        <v>1</v>
      </c>
      <c r="I67" t="n">
        <v>0</v>
      </c>
      <c r="J67" t="n">
        <v>1</v>
      </c>
      <c r="K67" t="n">
        <v>0</v>
      </c>
      <c r="L67" t="n">
        <v>0</v>
      </c>
      <c r="M67" t="n">
        <v>0</v>
      </c>
      <c r="N67" t="n">
        <v>0</v>
      </c>
      <c r="O67" t="n">
        <v>1</v>
      </c>
      <c r="P67" t="n">
        <v>0</v>
      </c>
      <c r="Q67" t="n">
        <v>1</v>
      </c>
      <c r="R67" s="2" t="inlineStr">
        <is>
          <t>Röd skogslilja</t>
        </is>
      </c>
      <c r="S67">
        <f>HYPERLINK("https://klasma.github.io/Logging_0580/artfynd/A 22526-2025 artfynd.xlsx", "A 22526-2025")</f>
        <v/>
      </c>
      <c r="T67">
        <f>HYPERLINK("https://klasma.github.io/Logging_0580/kartor/A 22526-2025 karta.png", "A 22526-2025")</f>
        <v/>
      </c>
      <c r="V67">
        <f>HYPERLINK("https://klasma.github.io/Logging_0580/klagomål/A 22526-2025 FSC-klagomål.docx", "A 22526-2025")</f>
        <v/>
      </c>
      <c r="W67">
        <f>HYPERLINK("https://klasma.github.io/Logging_0580/klagomålsmail/A 22526-2025 FSC-klagomål mail.docx", "A 22526-2025")</f>
        <v/>
      </c>
      <c r="X67">
        <f>HYPERLINK("https://klasma.github.io/Logging_0580/tillsyn/A 22526-2025 tillsynsbegäran.docx", "A 22526-2025")</f>
        <v/>
      </c>
      <c r="Y67">
        <f>HYPERLINK("https://klasma.github.io/Logging_0580/tillsynsmail/A 22526-2025 tillsynsbegäran mail.docx", "A 22526-2025")</f>
        <v/>
      </c>
    </row>
    <row r="68" ht="15" customHeight="1">
      <c r="A68" t="inlineStr">
        <is>
          <t>A 126-2024</t>
        </is>
      </c>
      <c r="B68" s="1" t="n">
        <v>45294</v>
      </c>
      <c r="C68" s="1" t="n">
        <v>46038</v>
      </c>
      <c r="D68" t="inlineStr">
        <is>
          <t>ÖSTERGÖTLANDS LÄN</t>
        </is>
      </c>
      <c r="E68" t="inlineStr">
        <is>
          <t>LINKÖPING</t>
        </is>
      </c>
      <c r="G68" t="n">
        <v>1</v>
      </c>
      <c r="H68" t="n">
        <v>0</v>
      </c>
      <c r="I68" t="n">
        <v>1</v>
      </c>
      <c r="J68" t="n">
        <v>0</v>
      </c>
      <c r="K68" t="n">
        <v>0</v>
      </c>
      <c r="L68" t="n">
        <v>0</v>
      </c>
      <c r="M68" t="n">
        <v>0</v>
      </c>
      <c r="N68" t="n">
        <v>0</v>
      </c>
      <c r="O68" t="n">
        <v>0</v>
      </c>
      <c r="P68" t="n">
        <v>0</v>
      </c>
      <c r="Q68" t="n">
        <v>1</v>
      </c>
      <c r="R68" s="2" t="inlineStr">
        <is>
          <t>Blåmossa</t>
        </is>
      </c>
      <c r="S68">
        <f>HYPERLINK("https://klasma.github.io/Logging_0580/artfynd/A 126-2024 artfynd.xlsx", "A 126-2024")</f>
        <v/>
      </c>
      <c r="T68">
        <f>HYPERLINK("https://klasma.github.io/Logging_0580/kartor/A 126-2024 karta.png", "A 126-2024")</f>
        <v/>
      </c>
      <c r="V68">
        <f>HYPERLINK("https://klasma.github.io/Logging_0580/klagomål/A 126-2024 FSC-klagomål.docx", "A 126-2024")</f>
        <v/>
      </c>
      <c r="W68">
        <f>HYPERLINK("https://klasma.github.io/Logging_0580/klagomålsmail/A 126-2024 FSC-klagomål mail.docx", "A 126-2024")</f>
        <v/>
      </c>
      <c r="X68">
        <f>HYPERLINK("https://klasma.github.io/Logging_0580/tillsyn/A 126-2024 tillsynsbegäran.docx", "A 126-2024")</f>
        <v/>
      </c>
      <c r="Y68">
        <f>HYPERLINK("https://klasma.github.io/Logging_0580/tillsynsmail/A 126-2024 tillsynsbegäran mail.docx", "A 126-2024")</f>
        <v/>
      </c>
    </row>
    <row r="69" ht="15" customHeight="1">
      <c r="A69" t="inlineStr">
        <is>
          <t>A 43989-2025</t>
        </is>
      </c>
      <c r="B69" s="1" t="n">
        <v>45915.44128472222</v>
      </c>
      <c r="C69" s="1" t="n">
        <v>46038</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44760-2025</t>
        </is>
      </c>
      <c r="B70" s="1" t="n">
        <v>45917.71873842592</v>
      </c>
      <c r="C70" s="1" t="n">
        <v>46038</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48347-2025</t>
        </is>
      </c>
      <c r="B71" s="1" t="n">
        <v>45932</v>
      </c>
      <c r="C71" s="1" t="n">
        <v>46038</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48353-2025</t>
        </is>
      </c>
      <c r="B72" s="1" t="n">
        <v>45932</v>
      </c>
      <c r="C72" s="1" t="n">
        <v>46038</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48273-2025</t>
        </is>
      </c>
      <c r="B73" s="1" t="n">
        <v>45932</v>
      </c>
      <c r="C73" s="1" t="n">
        <v>46038</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46038</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50034-2025</t>
        </is>
      </c>
      <c r="B75" s="1" t="n">
        <v>45941</v>
      </c>
      <c r="C75" s="1" t="n">
        <v>46038</v>
      </c>
      <c r="D75" t="inlineStr">
        <is>
          <t>ÖSTERGÖTLANDS LÄN</t>
        </is>
      </c>
      <c r="E75" t="inlineStr">
        <is>
          <t>LINKÖPING</t>
        </is>
      </c>
      <c r="G75" t="n">
        <v>6.2</v>
      </c>
      <c r="H75" t="n">
        <v>0</v>
      </c>
      <c r="I75" t="n">
        <v>0</v>
      </c>
      <c r="J75" t="n">
        <v>0</v>
      </c>
      <c r="K75" t="n">
        <v>0</v>
      </c>
      <c r="L75" t="n">
        <v>0</v>
      </c>
      <c r="M75" t="n">
        <v>1</v>
      </c>
      <c r="N75" t="n">
        <v>0</v>
      </c>
      <c r="O75" t="n">
        <v>1</v>
      </c>
      <c r="P75" t="n">
        <v>1</v>
      </c>
      <c r="Q75" t="n">
        <v>1</v>
      </c>
      <c r="R75" s="2" t="inlineStr">
        <is>
          <t>Skogsalm</t>
        </is>
      </c>
      <c r="S75">
        <f>HYPERLINK("https://klasma.github.io/Logging_0580/artfynd/A 50034-2025 artfynd.xlsx", "A 50034-2025")</f>
        <v/>
      </c>
      <c r="T75">
        <f>HYPERLINK("https://klasma.github.io/Logging_0580/kartor/A 50034-2025 karta.png", "A 50034-2025")</f>
        <v/>
      </c>
      <c r="V75">
        <f>HYPERLINK("https://klasma.github.io/Logging_0580/klagomål/A 50034-2025 FSC-klagomål.docx", "A 50034-2025")</f>
        <v/>
      </c>
      <c r="W75">
        <f>HYPERLINK("https://klasma.github.io/Logging_0580/klagomålsmail/A 50034-2025 FSC-klagomål mail.docx", "A 50034-2025")</f>
        <v/>
      </c>
      <c r="X75">
        <f>HYPERLINK("https://klasma.github.io/Logging_0580/tillsyn/A 50034-2025 tillsynsbegäran.docx", "A 50034-2025")</f>
        <v/>
      </c>
      <c r="Y75">
        <f>HYPERLINK("https://klasma.github.io/Logging_0580/tillsynsmail/A 50034-2025 tillsynsbegäran mail.docx", "A 50034-2025")</f>
        <v/>
      </c>
    </row>
    <row r="76" ht="15" customHeight="1">
      <c r="A76" t="inlineStr">
        <is>
          <t>A 3395-2023</t>
        </is>
      </c>
      <c r="B76" s="1" t="n">
        <v>44949</v>
      </c>
      <c r="C76" s="1" t="n">
        <v>46038</v>
      </c>
      <c r="D76" t="inlineStr">
        <is>
          <t>ÖSTERGÖTLANDS LÄN</t>
        </is>
      </c>
      <c r="E76" t="inlineStr">
        <is>
          <t>LINKÖPING</t>
        </is>
      </c>
      <c r="G76" t="n">
        <v>2</v>
      </c>
      <c r="H76" t="n">
        <v>0</v>
      </c>
      <c r="I76" t="n">
        <v>0</v>
      </c>
      <c r="J76" t="n">
        <v>1</v>
      </c>
      <c r="K76" t="n">
        <v>0</v>
      </c>
      <c r="L76" t="n">
        <v>0</v>
      </c>
      <c r="M76" t="n">
        <v>0</v>
      </c>
      <c r="N76" t="n">
        <v>0</v>
      </c>
      <c r="O76" t="n">
        <v>1</v>
      </c>
      <c r="P76" t="n">
        <v>0</v>
      </c>
      <c r="Q76" t="n">
        <v>1</v>
      </c>
      <c r="R76" s="2" t="inlineStr">
        <is>
          <t>Sommarfibbla</t>
        </is>
      </c>
      <c r="S76">
        <f>HYPERLINK("https://klasma.github.io/Logging_0580/artfynd/A 3395-2023 artfynd.xlsx", "A 3395-2023")</f>
        <v/>
      </c>
      <c r="T76">
        <f>HYPERLINK("https://klasma.github.io/Logging_0580/kartor/A 3395-2023 karta.png", "A 3395-2023")</f>
        <v/>
      </c>
      <c r="V76">
        <f>HYPERLINK("https://klasma.github.io/Logging_0580/klagomål/A 3395-2023 FSC-klagomål.docx", "A 3395-2023")</f>
        <v/>
      </c>
      <c r="W76">
        <f>HYPERLINK("https://klasma.github.io/Logging_0580/klagomålsmail/A 3395-2023 FSC-klagomål mail.docx", "A 3395-2023")</f>
        <v/>
      </c>
      <c r="X76">
        <f>HYPERLINK("https://klasma.github.io/Logging_0580/tillsyn/A 3395-2023 tillsynsbegäran.docx", "A 3395-2023")</f>
        <v/>
      </c>
      <c r="Y76">
        <f>HYPERLINK("https://klasma.github.io/Logging_0580/tillsynsmail/A 3395-2023 tillsynsbegäran mail.docx", "A 3395-2023")</f>
        <v/>
      </c>
    </row>
    <row r="77" ht="15" customHeight="1">
      <c r="A77" t="inlineStr">
        <is>
          <t>A 19103-2021</t>
        </is>
      </c>
      <c r="B77" s="1" t="n">
        <v>44308</v>
      </c>
      <c r="C77" s="1" t="n">
        <v>46038</v>
      </c>
      <c r="D77" t="inlineStr">
        <is>
          <t>ÖSTERGÖTLANDS LÄN</t>
        </is>
      </c>
      <c r="E77" t="inlineStr">
        <is>
          <t>LINKÖPING</t>
        </is>
      </c>
      <c r="G77" t="n">
        <v>4.7</v>
      </c>
      <c r="H77" t="n">
        <v>0</v>
      </c>
      <c r="I77" t="n">
        <v>0</v>
      </c>
      <c r="J77" t="n">
        <v>1</v>
      </c>
      <c r="K77" t="n">
        <v>0</v>
      </c>
      <c r="L77" t="n">
        <v>0</v>
      </c>
      <c r="M77" t="n">
        <v>0</v>
      </c>
      <c r="N77" t="n">
        <v>0</v>
      </c>
      <c r="O77" t="n">
        <v>1</v>
      </c>
      <c r="P77" t="n">
        <v>0</v>
      </c>
      <c r="Q77" t="n">
        <v>1</v>
      </c>
      <c r="R77" s="2" t="inlineStr">
        <is>
          <t>Tallticka</t>
        </is>
      </c>
      <c r="S77">
        <f>HYPERLINK("https://klasma.github.io/Logging_0580/artfynd/A 19103-2021 artfynd.xlsx", "A 19103-2021")</f>
        <v/>
      </c>
      <c r="T77">
        <f>HYPERLINK("https://klasma.github.io/Logging_0580/kartor/A 19103-2021 karta.png", "A 19103-2021")</f>
        <v/>
      </c>
      <c r="V77">
        <f>HYPERLINK("https://klasma.github.io/Logging_0580/klagomål/A 19103-2021 FSC-klagomål.docx", "A 19103-2021")</f>
        <v/>
      </c>
      <c r="W77">
        <f>HYPERLINK("https://klasma.github.io/Logging_0580/klagomålsmail/A 19103-2021 FSC-klagomål mail.docx", "A 19103-2021")</f>
        <v/>
      </c>
      <c r="X77">
        <f>HYPERLINK("https://klasma.github.io/Logging_0580/tillsyn/A 19103-2021 tillsynsbegäran.docx", "A 19103-2021")</f>
        <v/>
      </c>
      <c r="Y77">
        <f>HYPERLINK("https://klasma.github.io/Logging_0580/tillsynsmail/A 19103-2021 tillsynsbegäran mail.docx", "A 19103-2021")</f>
        <v/>
      </c>
    </row>
    <row r="78" ht="15" customHeight="1">
      <c r="A78" t="inlineStr">
        <is>
          <t>A 56112-2025</t>
        </is>
      </c>
      <c r="B78" s="1" t="n">
        <v>45973.73625</v>
      </c>
      <c r="C78" s="1" t="n">
        <v>46038</v>
      </c>
      <c r="D78" t="inlineStr">
        <is>
          <t>ÖSTERGÖTLANDS LÄN</t>
        </is>
      </c>
      <c r="E78" t="inlineStr">
        <is>
          <t>LINKÖPING</t>
        </is>
      </c>
      <c r="G78" t="n">
        <v>0.6</v>
      </c>
      <c r="H78" t="n">
        <v>0</v>
      </c>
      <c r="I78" t="n">
        <v>0</v>
      </c>
      <c r="J78" t="n">
        <v>1</v>
      </c>
      <c r="K78" t="n">
        <v>0</v>
      </c>
      <c r="L78" t="n">
        <v>0</v>
      </c>
      <c r="M78" t="n">
        <v>0</v>
      </c>
      <c r="N78" t="n">
        <v>0</v>
      </c>
      <c r="O78" t="n">
        <v>1</v>
      </c>
      <c r="P78" t="n">
        <v>0</v>
      </c>
      <c r="Q78" t="n">
        <v>1</v>
      </c>
      <c r="R78" s="2" t="inlineStr">
        <is>
          <t>Solvända</t>
        </is>
      </c>
      <c r="S78">
        <f>HYPERLINK("https://klasma.github.io/Logging_0580/artfynd/A 56112-2025 artfynd.xlsx", "A 56112-2025")</f>
        <v/>
      </c>
      <c r="T78">
        <f>HYPERLINK("https://klasma.github.io/Logging_0580/kartor/A 56112-2025 karta.png", "A 56112-2025")</f>
        <v/>
      </c>
      <c r="V78">
        <f>HYPERLINK("https://klasma.github.io/Logging_0580/klagomål/A 56112-2025 FSC-klagomål.docx", "A 56112-2025")</f>
        <v/>
      </c>
      <c r="W78">
        <f>HYPERLINK("https://klasma.github.io/Logging_0580/klagomålsmail/A 56112-2025 FSC-klagomål mail.docx", "A 56112-2025")</f>
        <v/>
      </c>
      <c r="X78">
        <f>HYPERLINK("https://klasma.github.io/Logging_0580/tillsyn/A 56112-2025 tillsynsbegäran.docx", "A 56112-2025")</f>
        <v/>
      </c>
      <c r="Y78">
        <f>HYPERLINK("https://klasma.github.io/Logging_0580/tillsynsmail/A 56112-2025 tillsynsbegäran mail.docx", "A 56112-2025")</f>
        <v/>
      </c>
    </row>
    <row r="79" ht="15" customHeight="1">
      <c r="A79" t="inlineStr">
        <is>
          <t>A 50806-2023</t>
        </is>
      </c>
      <c r="B79" s="1" t="n">
        <v>45217</v>
      </c>
      <c r="C79" s="1" t="n">
        <v>46038</v>
      </c>
      <c r="D79" t="inlineStr">
        <is>
          <t>ÖSTERGÖTLANDS LÄN</t>
        </is>
      </c>
      <c r="E79" t="inlineStr">
        <is>
          <t>LINKÖPING</t>
        </is>
      </c>
      <c r="F79" t="inlineStr">
        <is>
          <t>Övriga Aktiebolag</t>
        </is>
      </c>
      <c r="G79" t="n">
        <v>0.7</v>
      </c>
      <c r="H79" t="n">
        <v>1</v>
      </c>
      <c r="I79" t="n">
        <v>0</v>
      </c>
      <c r="J79" t="n">
        <v>0</v>
      </c>
      <c r="K79" t="n">
        <v>0</v>
      </c>
      <c r="L79" t="n">
        <v>0</v>
      </c>
      <c r="M79" t="n">
        <v>0</v>
      </c>
      <c r="N79" t="n">
        <v>0</v>
      </c>
      <c r="O79" t="n">
        <v>0</v>
      </c>
      <c r="P79" t="n">
        <v>0</v>
      </c>
      <c r="Q79" t="n">
        <v>1</v>
      </c>
      <c r="R79" s="2" t="inlineStr">
        <is>
          <t>Gullviva</t>
        </is>
      </c>
      <c r="S79">
        <f>HYPERLINK("https://klasma.github.io/Logging_0580/artfynd/A 50806-2023 artfynd.xlsx", "A 50806-2023")</f>
        <v/>
      </c>
      <c r="T79">
        <f>HYPERLINK("https://klasma.github.io/Logging_0580/kartor/A 50806-2023 karta.png", "A 50806-2023")</f>
        <v/>
      </c>
      <c r="V79">
        <f>HYPERLINK("https://klasma.github.io/Logging_0580/klagomål/A 50806-2023 FSC-klagomål.docx", "A 50806-2023")</f>
        <v/>
      </c>
      <c r="W79">
        <f>HYPERLINK("https://klasma.github.io/Logging_0580/klagomålsmail/A 50806-2023 FSC-klagomål mail.docx", "A 50806-2023")</f>
        <v/>
      </c>
      <c r="X79">
        <f>HYPERLINK("https://klasma.github.io/Logging_0580/tillsyn/A 50806-2023 tillsynsbegäran.docx", "A 50806-2023")</f>
        <v/>
      </c>
      <c r="Y79">
        <f>HYPERLINK("https://klasma.github.io/Logging_0580/tillsynsmail/A 50806-2023 tillsynsbegäran mail.docx", "A 50806-2023")</f>
        <v/>
      </c>
    </row>
    <row r="80" ht="15" customHeight="1">
      <c r="A80" t="inlineStr">
        <is>
          <t>A 39457-2023</t>
        </is>
      </c>
      <c r="B80" s="1" t="n">
        <v>45166</v>
      </c>
      <c r="C80" s="1" t="n">
        <v>46038</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59474-2025</t>
        </is>
      </c>
      <c r="B81" s="1" t="n">
        <v>45989.58512731481</v>
      </c>
      <c r="C81" s="1" t="n">
        <v>46038</v>
      </c>
      <c r="D81" t="inlineStr">
        <is>
          <t>ÖSTERGÖTLANDS LÄN</t>
        </is>
      </c>
      <c r="E81" t="inlineStr">
        <is>
          <t>LINKÖPING</t>
        </is>
      </c>
      <c r="G81" t="n">
        <v>8</v>
      </c>
      <c r="H81" t="n">
        <v>0</v>
      </c>
      <c r="I81" t="n">
        <v>1</v>
      </c>
      <c r="J81" t="n">
        <v>0</v>
      </c>
      <c r="K81" t="n">
        <v>0</v>
      </c>
      <c r="L81" t="n">
        <v>0</v>
      </c>
      <c r="M81" t="n">
        <v>0</v>
      </c>
      <c r="N81" t="n">
        <v>0</v>
      </c>
      <c r="O81" t="n">
        <v>0</v>
      </c>
      <c r="P81" t="n">
        <v>0</v>
      </c>
      <c r="Q81" t="n">
        <v>1</v>
      </c>
      <c r="R81" s="2" t="inlineStr">
        <is>
          <t>Fällmossa</t>
        </is>
      </c>
      <c r="S81">
        <f>HYPERLINK("https://klasma.github.io/Logging_0580/artfynd/A 59474-2025 artfynd.xlsx", "A 59474-2025")</f>
        <v/>
      </c>
      <c r="T81">
        <f>HYPERLINK("https://klasma.github.io/Logging_0580/kartor/A 59474-2025 karta.png", "A 59474-2025")</f>
        <v/>
      </c>
      <c r="V81">
        <f>HYPERLINK("https://klasma.github.io/Logging_0580/klagomål/A 59474-2025 FSC-klagomål.docx", "A 59474-2025")</f>
        <v/>
      </c>
      <c r="W81">
        <f>HYPERLINK("https://klasma.github.io/Logging_0580/klagomålsmail/A 59474-2025 FSC-klagomål mail.docx", "A 59474-2025")</f>
        <v/>
      </c>
      <c r="X81">
        <f>HYPERLINK("https://klasma.github.io/Logging_0580/tillsyn/A 59474-2025 tillsynsbegäran.docx", "A 59474-2025")</f>
        <v/>
      </c>
      <c r="Y81">
        <f>HYPERLINK("https://klasma.github.io/Logging_0580/tillsynsmail/A 59474-2025 tillsynsbegäran mail.docx", "A 59474-2025")</f>
        <v/>
      </c>
    </row>
    <row r="82" ht="15" customHeight="1">
      <c r="A82" t="inlineStr">
        <is>
          <t>A 35948-2023</t>
        </is>
      </c>
      <c r="B82" s="1" t="n">
        <v>45148</v>
      </c>
      <c r="C82" s="1" t="n">
        <v>46038</v>
      </c>
      <c r="D82" t="inlineStr">
        <is>
          <t>ÖSTERGÖTLANDS LÄN</t>
        </is>
      </c>
      <c r="E82" t="inlineStr">
        <is>
          <t>LINKÖPING</t>
        </is>
      </c>
      <c r="G82" t="n">
        <v>1.9</v>
      </c>
      <c r="H82" t="n">
        <v>0</v>
      </c>
      <c r="I82" t="n">
        <v>1</v>
      </c>
      <c r="J82" t="n">
        <v>0</v>
      </c>
      <c r="K82" t="n">
        <v>0</v>
      </c>
      <c r="L82" t="n">
        <v>0</v>
      </c>
      <c r="M82" t="n">
        <v>0</v>
      </c>
      <c r="N82" t="n">
        <v>0</v>
      </c>
      <c r="O82" t="n">
        <v>0</v>
      </c>
      <c r="P82" t="n">
        <v>0</v>
      </c>
      <c r="Q82" t="n">
        <v>1</v>
      </c>
      <c r="R82" s="2" t="inlineStr">
        <is>
          <t>Brun nållav</t>
        </is>
      </c>
      <c r="S82">
        <f>HYPERLINK("https://klasma.github.io/Logging_0580/artfynd/A 35948-2023 artfynd.xlsx", "A 35948-2023")</f>
        <v/>
      </c>
      <c r="T82">
        <f>HYPERLINK("https://klasma.github.io/Logging_0580/kartor/A 35948-2023 karta.png", "A 35948-2023")</f>
        <v/>
      </c>
      <c r="V82">
        <f>HYPERLINK("https://klasma.github.io/Logging_0580/klagomål/A 35948-2023 FSC-klagomål.docx", "A 35948-2023")</f>
        <v/>
      </c>
      <c r="W82">
        <f>HYPERLINK("https://klasma.github.io/Logging_0580/klagomålsmail/A 35948-2023 FSC-klagomål mail.docx", "A 35948-2023")</f>
        <v/>
      </c>
      <c r="X82">
        <f>HYPERLINK("https://klasma.github.io/Logging_0580/tillsyn/A 35948-2023 tillsynsbegäran.docx", "A 35948-2023")</f>
        <v/>
      </c>
      <c r="Y82">
        <f>HYPERLINK("https://klasma.github.io/Logging_0580/tillsynsmail/A 35948-2023 tillsynsbegäran mail.docx", "A 35948-2023")</f>
        <v/>
      </c>
    </row>
    <row r="83" ht="15" customHeight="1">
      <c r="A83" t="inlineStr">
        <is>
          <t>A 62071-2023</t>
        </is>
      </c>
      <c r="B83" s="1" t="n">
        <v>45266.73542824074</v>
      </c>
      <c r="C83" s="1" t="n">
        <v>46038</v>
      </c>
      <c r="D83" t="inlineStr">
        <is>
          <t>ÖSTERGÖTLANDS LÄN</t>
        </is>
      </c>
      <c r="E83" t="inlineStr">
        <is>
          <t>LINKÖPING</t>
        </is>
      </c>
      <c r="G83" t="n">
        <v>6.5</v>
      </c>
      <c r="H83" t="n">
        <v>0</v>
      </c>
      <c r="I83" t="n">
        <v>0</v>
      </c>
      <c r="J83" t="n">
        <v>1</v>
      </c>
      <c r="K83" t="n">
        <v>0</v>
      </c>
      <c r="L83" t="n">
        <v>0</v>
      </c>
      <c r="M83" t="n">
        <v>0</v>
      </c>
      <c r="N83" t="n">
        <v>0</v>
      </c>
      <c r="O83" t="n">
        <v>1</v>
      </c>
      <c r="P83" t="n">
        <v>0</v>
      </c>
      <c r="Q83" t="n">
        <v>1</v>
      </c>
      <c r="R83" s="2" t="inlineStr">
        <is>
          <t>Svinrot</t>
        </is>
      </c>
      <c r="S83">
        <f>HYPERLINK("https://klasma.github.io/Logging_0580/artfynd/A 62071-2023 artfynd.xlsx", "A 62071-2023")</f>
        <v/>
      </c>
      <c r="T83">
        <f>HYPERLINK("https://klasma.github.io/Logging_0580/kartor/A 62071-2023 karta.png", "A 62071-2023")</f>
        <v/>
      </c>
      <c r="V83">
        <f>HYPERLINK("https://klasma.github.io/Logging_0580/klagomål/A 62071-2023 FSC-klagomål.docx", "A 62071-2023")</f>
        <v/>
      </c>
      <c r="W83">
        <f>HYPERLINK("https://klasma.github.io/Logging_0580/klagomålsmail/A 62071-2023 FSC-klagomål mail.docx", "A 62071-2023")</f>
        <v/>
      </c>
      <c r="X83">
        <f>HYPERLINK("https://klasma.github.io/Logging_0580/tillsyn/A 62071-2023 tillsynsbegäran.docx", "A 62071-2023")</f>
        <v/>
      </c>
      <c r="Y83">
        <f>HYPERLINK("https://klasma.github.io/Logging_0580/tillsynsmail/A 62071-2023 tillsynsbegäran mail.docx", "A 62071-2023")</f>
        <v/>
      </c>
    </row>
    <row r="84" ht="15" customHeight="1">
      <c r="A84" t="inlineStr">
        <is>
          <t>A 3397-2023</t>
        </is>
      </c>
      <c r="B84" s="1" t="n">
        <v>44949</v>
      </c>
      <c r="C84" s="1" t="n">
        <v>46038</v>
      </c>
      <c r="D84" t="inlineStr">
        <is>
          <t>ÖSTERGÖTLANDS LÄN</t>
        </is>
      </c>
      <c r="E84" t="inlineStr">
        <is>
          <t>LINKÖPING</t>
        </is>
      </c>
      <c r="G84" t="n">
        <v>4.1</v>
      </c>
      <c r="H84" t="n">
        <v>0</v>
      </c>
      <c r="I84" t="n">
        <v>0</v>
      </c>
      <c r="J84" t="n">
        <v>1</v>
      </c>
      <c r="K84" t="n">
        <v>0</v>
      </c>
      <c r="L84" t="n">
        <v>0</v>
      </c>
      <c r="M84" t="n">
        <v>0</v>
      </c>
      <c r="N84" t="n">
        <v>0</v>
      </c>
      <c r="O84" t="n">
        <v>1</v>
      </c>
      <c r="P84" t="n">
        <v>0</v>
      </c>
      <c r="Q84" t="n">
        <v>1</v>
      </c>
      <c r="R84" s="2" t="inlineStr">
        <is>
          <t>Svinrot</t>
        </is>
      </c>
      <c r="S84">
        <f>HYPERLINK("https://klasma.github.io/Logging_0580/artfynd/A 3397-2023 artfynd.xlsx", "A 3397-2023")</f>
        <v/>
      </c>
      <c r="T84">
        <f>HYPERLINK("https://klasma.github.io/Logging_0580/kartor/A 3397-2023 karta.png", "A 3397-2023")</f>
        <v/>
      </c>
      <c r="V84">
        <f>HYPERLINK("https://klasma.github.io/Logging_0580/klagomål/A 3397-2023 FSC-klagomål.docx", "A 3397-2023")</f>
        <v/>
      </c>
      <c r="W84">
        <f>HYPERLINK("https://klasma.github.io/Logging_0580/klagomålsmail/A 3397-2023 FSC-klagomål mail.docx", "A 3397-2023")</f>
        <v/>
      </c>
      <c r="X84">
        <f>HYPERLINK("https://klasma.github.io/Logging_0580/tillsyn/A 3397-2023 tillsynsbegäran.docx", "A 3397-2023")</f>
        <v/>
      </c>
      <c r="Y84">
        <f>HYPERLINK("https://klasma.github.io/Logging_0580/tillsynsmail/A 3397-2023 tillsynsbegäran mail.docx", "A 3397-2023")</f>
        <v/>
      </c>
    </row>
    <row r="85" ht="15" customHeight="1">
      <c r="A85" t="inlineStr">
        <is>
          <t>A 60311-2025</t>
        </is>
      </c>
      <c r="B85" s="1" t="n">
        <v>45994</v>
      </c>
      <c r="C85" s="1" t="n">
        <v>46038</v>
      </c>
      <c r="D85" t="inlineStr">
        <is>
          <t>ÖSTERGÖTLANDS LÄN</t>
        </is>
      </c>
      <c r="E85" t="inlineStr">
        <is>
          <t>LINKÖPING</t>
        </is>
      </c>
      <c r="G85" t="n">
        <v>1.9</v>
      </c>
      <c r="H85" t="n">
        <v>0</v>
      </c>
      <c r="I85" t="n">
        <v>0</v>
      </c>
      <c r="J85" t="n">
        <v>1</v>
      </c>
      <c r="K85" t="n">
        <v>0</v>
      </c>
      <c r="L85" t="n">
        <v>0</v>
      </c>
      <c r="M85" t="n">
        <v>0</v>
      </c>
      <c r="N85" t="n">
        <v>0</v>
      </c>
      <c r="O85" t="n">
        <v>1</v>
      </c>
      <c r="P85" t="n">
        <v>0</v>
      </c>
      <c r="Q85" t="n">
        <v>1</v>
      </c>
      <c r="R85" s="2" t="inlineStr">
        <is>
          <t>Gammelekslav</t>
        </is>
      </c>
      <c r="S85">
        <f>HYPERLINK("https://klasma.github.io/Logging_0580/artfynd/A 60311-2025 artfynd.xlsx", "A 60311-2025")</f>
        <v/>
      </c>
      <c r="T85">
        <f>HYPERLINK("https://klasma.github.io/Logging_0580/kartor/A 60311-2025 karta.png", "A 60311-2025")</f>
        <v/>
      </c>
      <c r="V85">
        <f>HYPERLINK("https://klasma.github.io/Logging_0580/klagomål/A 60311-2025 FSC-klagomål.docx", "A 60311-2025")</f>
        <v/>
      </c>
      <c r="W85">
        <f>HYPERLINK("https://klasma.github.io/Logging_0580/klagomålsmail/A 60311-2025 FSC-klagomål mail.docx", "A 60311-2025")</f>
        <v/>
      </c>
      <c r="X85">
        <f>HYPERLINK("https://klasma.github.io/Logging_0580/tillsyn/A 60311-2025 tillsynsbegäran.docx", "A 60311-2025")</f>
        <v/>
      </c>
      <c r="Y85">
        <f>HYPERLINK("https://klasma.github.io/Logging_0580/tillsynsmail/A 60311-2025 tillsynsbegäran mail.docx", "A 60311-2025")</f>
        <v/>
      </c>
    </row>
    <row r="86" ht="15" customHeight="1">
      <c r="A86" t="inlineStr">
        <is>
          <t>A 20295-2025</t>
        </is>
      </c>
      <c r="B86" s="1" t="n">
        <v>45774.74846064814</v>
      </c>
      <c r="C86" s="1" t="n">
        <v>46038</v>
      </c>
      <c r="D86" t="inlineStr">
        <is>
          <t>ÖSTERGÖTLANDS LÄN</t>
        </is>
      </c>
      <c r="E86" t="inlineStr">
        <is>
          <t>LINKÖPING</t>
        </is>
      </c>
      <c r="G86" t="n">
        <v>3</v>
      </c>
      <c r="H86" t="n">
        <v>0</v>
      </c>
      <c r="I86" t="n">
        <v>0</v>
      </c>
      <c r="J86" t="n">
        <v>1</v>
      </c>
      <c r="K86" t="n">
        <v>0</v>
      </c>
      <c r="L86" t="n">
        <v>0</v>
      </c>
      <c r="M86" t="n">
        <v>0</v>
      </c>
      <c r="N86" t="n">
        <v>0</v>
      </c>
      <c r="O86" t="n">
        <v>1</v>
      </c>
      <c r="P86" t="n">
        <v>0</v>
      </c>
      <c r="Q86" t="n">
        <v>1</v>
      </c>
      <c r="R86" s="2" t="inlineStr">
        <is>
          <t>Tallticka</t>
        </is>
      </c>
      <c r="S86">
        <f>HYPERLINK("https://klasma.github.io/Logging_0580/artfynd/A 20295-2025 artfynd.xlsx", "A 20295-2025")</f>
        <v/>
      </c>
      <c r="T86">
        <f>HYPERLINK("https://klasma.github.io/Logging_0580/kartor/A 20295-2025 karta.png", "A 20295-2025")</f>
        <v/>
      </c>
      <c r="V86">
        <f>HYPERLINK("https://klasma.github.io/Logging_0580/klagomål/A 20295-2025 FSC-klagomål.docx", "A 20295-2025")</f>
        <v/>
      </c>
      <c r="W86">
        <f>HYPERLINK("https://klasma.github.io/Logging_0580/klagomålsmail/A 20295-2025 FSC-klagomål mail.docx", "A 20295-2025")</f>
        <v/>
      </c>
      <c r="X86">
        <f>HYPERLINK("https://klasma.github.io/Logging_0580/tillsyn/A 20295-2025 tillsynsbegäran.docx", "A 20295-2025")</f>
        <v/>
      </c>
      <c r="Y86">
        <f>HYPERLINK("https://klasma.github.io/Logging_0580/tillsynsmail/A 20295-2025 tillsynsbegäran mail.docx", "A 20295-2025")</f>
        <v/>
      </c>
    </row>
    <row r="87" ht="15" customHeight="1">
      <c r="A87" t="inlineStr">
        <is>
          <t>A 60573-2021</t>
        </is>
      </c>
      <c r="B87" s="1" t="n">
        <v>44496</v>
      </c>
      <c r="C87" s="1" t="n">
        <v>46038</v>
      </c>
      <c r="D87" t="inlineStr">
        <is>
          <t>ÖSTERGÖTLANDS LÄN</t>
        </is>
      </c>
      <c r="E87" t="inlineStr">
        <is>
          <t>LINKÖPING</t>
        </is>
      </c>
      <c r="F87" t="inlineStr">
        <is>
          <t>Övriga Aktiebolag</t>
        </is>
      </c>
      <c r="G87" t="n">
        <v>5.6</v>
      </c>
      <c r="H87" t="n">
        <v>0</v>
      </c>
      <c r="I87" t="n">
        <v>0</v>
      </c>
      <c r="J87" t="n">
        <v>1</v>
      </c>
      <c r="K87" t="n">
        <v>0</v>
      </c>
      <c r="L87" t="n">
        <v>0</v>
      </c>
      <c r="M87" t="n">
        <v>0</v>
      </c>
      <c r="N87" t="n">
        <v>0</v>
      </c>
      <c r="O87" t="n">
        <v>1</v>
      </c>
      <c r="P87" t="n">
        <v>0</v>
      </c>
      <c r="Q87" t="n">
        <v>1</v>
      </c>
      <c r="R87" s="2" t="inlineStr">
        <is>
          <t>Sommarfibbla</t>
        </is>
      </c>
      <c r="S87">
        <f>HYPERLINK("https://klasma.github.io/Logging_0580/artfynd/A 60573-2021 artfynd.xlsx", "A 60573-2021")</f>
        <v/>
      </c>
      <c r="T87">
        <f>HYPERLINK("https://klasma.github.io/Logging_0580/kartor/A 60573-2021 karta.png", "A 60573-2021")</f>
        <v/>
      </c>
      <c r="V87">
        <f>HYPERLINK("https://klasma.github.io/Logging_0580/klagomål/A 60573-2021 FSC-klagomål.docx", "A 60573-2021")</f>
        <v/>
      </c>
      <c r="W87">
        <f>HYPERLINK("https://klasma.github.io/Logging_0580/klagomålsmail/A 60573-2021 FSC-klagomål mail.docx", "A 60573-2021")</f>
        <v/>
      </c>
      <c r="X87">
        <f>HYPERLINK("https://klasma.github.io/Logging_0580/tillsyn/A 60573-2021 tillsynsbegäran.docx", "A 60573-2021")</f>
        <v/>
      </c>
      <c r="Y87">
        <f>HYPERLINK("https://klasma.github.io/Logging_0580/tillsynsmail/A 60573-2021 tillsynsbegäran mail.docx", "A 60573-2021")</f>
        <v/>
      </c>
    </row>
    <row r="88" ht="15" customHeight="1">
      <c r="A88" t="inlineStr">
        <is>
          <t>A 41749-2023</t>
        </is>
      </c>
      <c r="B88" s="1" t="n">
        <v>45176</v>
      </c>
      <c r="C88" s="1" t="n">
        <v>46038</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27403-2025</t>
        </is>
      </c>
      <c r="B89" s="1" t="n">
        <v>45812.72518518518</v>
      </c>
      <c r="C89" s="1" t="n">
        <v>46038</v>
      </c>
      <c r="D89" t="inlineStr">
        <is>
          <t>ÖSTERGÖTLANDS LÄN</t>
        </is>
      </c>
      <c r="E89" t="inlineStr">
        <is>
          <t>LINKÖPING</t>
        </is>
      </c>
      <c r="G89" t="n">
        <v>1.4</v>
      </c>
      <c r="H89" t="n">
        <v>0</v>
      </c>
      <c r="I89" t="n">
        <v>0</v>
      </c>
      <c r="J89" t="n">
        <v>1</v>
      </c>
      <c r="K89" t="n">
        <v>0</v>
      </c>
      <c r="L89" t="n">
        <v>0</v>
      </c>
      <c r="M89" t="n">
        <v>0</v>
      </c>
      <c r="N89" t="n">
        <v>0</v>
      </c>
      <c r="O89" t="n">
        <v>1</v>
      </c>
      <c r="P89" t="n">
        <v>0</v>
      </c>
      <c r="Q89" t="n">
        <v>1</v>
      </c>
      <c r="R89" s="2" t="inlineStr">
        <is>
          <t>Tallticka</t>
        </is>
      </c>
      <c r="S89">
        <f>HYPERLINK("https://klasma.github.io/Logging_0580/artfynd/A 27403-2025 artfynd.xlsx", "A 27403-2025")</f>
        <v/>
      </c>
      <c r="T89">
        <f>HYPERLINK("https://klasma.github.io/Logging_0580/kartor/A 27403-2025 karta.png", "A 27403-2025")</f>
        <v/>
      </c>
      <c r="V89">
        <f>HYPERLINK("https://klasma.github.io/Logging_0580/klagomål/A 27403-2025 FSC-klagomål.docx", "A 27403-2025")</f>
        <v/>
      </c>
      <c r="W89">
        <f>HYPERLINK("https://klasma.github.io/Logging_0580/klagomålsmail/A 27403-2025 FSC-klagomål mail.docx", "A 27403-2025")</f>
        <v/>
      </c>
      <c r="X89">
        <f>HYPERLINK("https://klasma.github.io/Logging_0580/tillsyn/A 27403-2025 tillsynsbegäran.docx", "A 27403-2025")</f>
        <v/>
      </c>
      <c r="Y89">
        <f>HYPERLINK("https://klasma.github.io/Logging_0580/tillsynsmail/A 27403-2025 tillsynsbegäran mail.docx", "A 27403-2025")</f>
        <v/>
      </c>
    </row>
    <row r="90" ht="15" customHeight="1">
      <c r="A90" t="inlineStr">
        <is>
          <t>A 36723-2023</t>
        </is>
      </c>
      <c r="B90" s="1" t="n">
        <v>45153</v>
      </c>
      <c r="C90" s="1" t="n">
        <v>46038</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46038</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46038</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46038</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46038</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46038</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46038</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46038</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46038</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46038</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46038</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46038</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46038</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46038</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46038</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46038</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46038</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47462-2022</t>
        </is>
      </c>
      <c r="B107" s="1" t="n">
        <v>44853.62758101852</v>
      </c>
      <c r="C107" s="1" t="n">
        <v>46038</v>
      </c>
      <c r="D107" t="inlineStr">
        <is>
          <t>ÖSTERGÖTLANDS LÄN</t>
        </is>
      </c>
      <c r="E107" t="inlineStr">
        <is>
          <t>LINKÖPING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46038</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46038</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46038</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46038</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46038</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46038</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46038</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46038</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46038</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40437-2021</t>
        </is>
      </c>
      <c r="B117" s="1" t="n">
        <v>44419</v>
      </c>
      <c r="C117" s="1" t="n">
        <v>46038</v>
      </c>
      <c r="D117" t="inlineStr">
        <is>
          <t>ÖSTERGÖTLANDS LÄN</t>
        </is>
      </c>
      <c r="E117" t="inlineStr">
        <is>
          <t>LINKÖPING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46038</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46038</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46038</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46038</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46038</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46038</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46038</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46038</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46038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7840-2022</t>
        </is>
      </c>
      <c r="B127" s="1" t="n">
        <v>44608</v>
      </c>
      <c r="C127" s="1" t="n">
        <v>46038</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46038</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46038</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3862-2021</t>
        </is>
      </c>
      <c r="B130" s="1" t="n">
        <v>44221</v>
      </c>
      <c r="C130" s="1" t="n">
        <v>46038</v>
      </c>
      <c r="D130" t="inlineStr">
        <is>
          <t>ÖSTERGÖTLANDS LÄN</t>
        </is>
      </c>
      <c r="E130" t="inlineStr">
        <is>
          <t>LINKÖPING</t>
        </is>
      </c>
      <c r="G130" t="n">
        <v>1.6</v>
      </c>
      <c r="H130" t="n">
        <v>0</v>
      </c>
      <c r="I130" t="n">
        <v>0</v>
      </c>
      <c r="J130" t="n">
        <v>0</v>
      </c>
      <c r="K130" t="n">
        <v>0</v>
      </c>
      <c r="L130" t="n">
        <v>0</v>
      </c>
      <c r="M130" t="n">
        <v>0</v>
      </c>
      <c r="N130" t="n">
        <v>0</v>
      </c>
      <c r="O130" t="n">
        <v>0</v>
      </c>
      <c r="P130" t="n">
        <v>0</v>
      </c>
      <c r="Q130" t="n">
        <v>0</v>
      </c>
      <c r="R130" s="2" t="inlineStr"/>
    </row>
    <row r="131" ht="15" customHeight="1">
      <c r="A131" t="inlineStr">
        <is>
          <t>A 3961-2021</t>
        </is>
      </c>
      <c r="B131" s="1" t="n">
        <v>44222</v>
      </c>
      <c r="C131" s="1" t="n">
        <v>46038</v>
      </c>
      <c r="D131" t="inlineStr">
        <is>
          <t>ÖSTERGÖTLANDS LÄN</t>
        </is>
      </c>
      <c r="E131" t="inlineStr">
        <is>
          <t>LINKÖPING</t>
        </is>
      </c>
      <c r="G131" t="n">
        <v>3.9</v>
      </c>
      <c r="H131" t="n">
        <v>0</v>
      </c>
      <c r="I131" t="n">
        <v>0</v>
      </c>
      <c r="J131" t="n">
        <v>0</v>
      </c>
      <c r="K131" t="n">
        <v>0</v>
      </c>
      <c r="L131" t="n">
        <v>0</v>
      </c>
      <c r="M131" t="n">
        <v>0</v>
      </c>
      <c r="N131" t="n">
        <v>0</v>
      </c>
      <c r="O131" t="n">
        <v>0</v>
      </c>
      <c r="P131" t="n">
        <v>0</v>
      </c>
      <c r="Q131" t="n">
        <v>0</v>
      </c>
      <c r="R131" s="2" t="inlineStr"/>
    </row>
    <row r="132" ht="15" customHeight="1">
      <c r="A132" t="inlineStr">
        <is>
          <t>A 64195-2021</t>
        </is>
      </c>
      <c r="B132" s="1" t="n">
        <v>44510</v>
      </c>
      <c r="C132" s="1" t="n">
        <v>46038</v>
      </c>
      <c r="D132" t="inlineStr">
        <is>
          <t>ÖSTERGÖTLANDS LÄN</t>
        </is>
      </c>
      <c r="E132" t="inlineStr">
        <is>
          <t>LINKÖPING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4382-2021</t>
        </is>
      </c>
      <c r="B133" s="1" t="n">
        <v>44223</v>
      </c>
      <c r="C133" s="1" t="n">
        <v>46038</v>
      </c>
      <c r="D133" t="inlineStr">
        <is>
          <t>ÖSTERGÖTLANDS LÄN</t>
        </is>
      </c>
      <c r="E133" t="inlineStr">
        <is>
          <t>LINKÖPING</t>
        </is>
      </c>
      <c r="G133" t="n">
        <v>4.2</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46038</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40506-2021</t>
        </is>
      </c>
      <c r="B135" s="1" t="n">
        <v>44420</v>
      </c>
      <c r="C135" s="1" t="n">
        <v>46038</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26197-2021</t>
        </is>
      </c>
      <c r="B136" s="1" t="n">
        <v>44347.39319444444</v>
      </c>
      <c r="C136" s="1" t="n">
        <v>46038</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46038</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46038</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16469-2021</t>
        </is>
      </c>
      <c r="B139" s="1" t="n">
        <v>44293.54331018519</v>
      </c>
      <c r="C139" s="1" t="n">
        <v>46038</v>
      </c>
      <c r="D139" t="inlineStr">
        <is>
          <t>ÖSTERGÖTLANDS LÄN</t>
        </is>
      </c>
      <c r="E139" t="inlineStr">
        <is>
          <t>LINKÖPING</t>
        </is>
      </c>
      <c r="F139" t="inlineStr">
        <is>
          <t>Allmännings- och besparingsskogar</t>
        </is>
      </c>
      <c r="G139" t="n">
        <v>33.5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46038</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46038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46038</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46416-2021</t>
        </is>
      </c>
      <c r="B143" s="1" t="n">
        <v>44442</v>
      </c>
      <c r="C143" s="1" t="n">
        <v>46038</v>
      </c>
      <c r="D143" t="inlineStr">
        <is>
          <t>ÖSTERGÖTLANDS LÄN</t>
        </is>
      </c>
      <c r="E143" t="inlineStr">
        <is>
          <t>LINKÖPING</t>
        </is>
      </c>
      <c r="G143" t="n">
        <v>2.3</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46038</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46038</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46038</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46038</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46038</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48016-2021</t>
        </is>
      </c>
      <c r="B149" s="1" t="n">
        <v>44449</v>
      </c>
      <c r="C149" s="1" t="n">
        <v>46038</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46038</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46038</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46038</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46038</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46038</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46038</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46038</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46038</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54467-2022</t>
        </is>
      </c>
      <c r="B158" s="1" t="n">
        <v>44882</v>
      </c>
      <c r="C158" s="1" t="n">
        <v>46038</v>
      </c>
      <c r="D158" t="inlineStr">
        <is>
          <t>ÖSTERGÖTLANDS LÄN</t>
        </is>
      </c>
      <c r="E158" t="inlineStr">
        <is>
          <t>LINKÖPING</t>
        </is>
      </c>
      <c r="F158" t="inlineStr">
        <is>
          <t>Sveaskog</t>
        </is>
      </c>
      <c r="G158" t="n">
        <v>2.5</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46038</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46038</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46038</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19183-2021</t>
        </is>
      </c>
      <c r="B162" s="1" t="n">
        <v>44308.73248842593</v>
      </c>
      <c r="C162" s="1" t="n">
        <v>46038</v>
      </c>
      <c r="D162" t="inlineStr">
        <is>
          <t>ÖSTERGÖTLANDS LÄN</t>
        </is>
      </c>
      <c r="E162" t="inlineStr">
        <is>
          <t>LINKÖPING</t>
        </is>
      </c>
      <c r="F162" t="inlineStr">
        <is>
          <t>Allmännings- och besparingsskogar</t>
        </is>
      </c>
      <c r="G162" t="n">
        <v>4.6</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46038</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1787-2022</t>
        </is>
      </c>
      <c r="B164" s="1" t="n">
        <v>44574</v>
      </c>
      <c r="C164" s="1" t="n">
        <v>46038</v>
      </c>
      <c r="D164" t="inlineStr">
        <is>
          <t>ÖSTERGÖTLANDS LÄN</t>
        </is>
      </c>
      <c r="E164" t="inlineStr">
        <is>
          <t>LINKÖPING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46038</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46038</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46038</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37934-2022</t>
        </is>
      </c>
      <c r="B168" s="1" t="n">
        <v>44809</v>
      </c>
      <c r="C168" s="1" t="n">
        <v>46038</v>
      </c>
      <c r="D168" t="inlineStr">
        <is>
          <t>ÖSTERGÖTLANDS LÄN</t>
        </is>
      </c>
      <c r="E168" t="inlineStr">
        <is>
          <t>LINKÖPING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46038</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46038</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46038</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46038</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46038</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46038</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46038</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46038</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46038</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46038</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46038</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46038</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46038</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46038</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65398-2021</t>
        </is>
      </c>
      <c r="B183" s="1" t="n">
        <v>44515</v>
      </c>
      <c r="C183" s="1" t="n">
        <v>46038</v>
      </c>
      <c r="D183" t="inlineStr">
        <is>
          <t>ÖSTERGÖTLANDS LÄN</t>
        </is>
      </c>
      <c r="E183" t="inlineStr">
        <is>
          <t>LINKÖPING</t>
        </is>
      </c>
      <c r="F183" t="inlineStr">
        <is>
          <t>Övriga statliga verk och myndigheter</t>
        </is>
      </c>
      <c r="G183" t="n">
        <v>2.4</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46038</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4377-2021</t>
        </is>
      </c>
      <c r="B185" s="1" t="n">
        <v>44223</v>
      </c>
      <c r="C185" s="1" t="n">
        <v>46038</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46038</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46038</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46038</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46038</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33885-2021</t>
        </is>
      </c>
      <c r="B190" s="1" t="n">
        <v>44378</v>
      </c>
      <c r="C190" s="1" t="n">
        <v>46038</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46038</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31732-2022</t>
        </is>
      </c>
      <c r="B192" s="1" t="n">
        <v>44776.49267361111</v>
      </c>
      <c r="C192" s="1" t="n">
        <v>46038</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46038</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46038</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46038</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46038</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46038</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46038</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46038</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46038</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57745-2022</t>
        </is>
      </c>
      <c r="B201" s="1" t="n">
        <v>44897.58119212963</v>
      </c>
      <c r="C201" s="1" t="n">
        <v>46038</v>
      </c>
      <c r="D201" t="inlineStr">
        <is>
          <t>ÖSTERGÖTLANDS LÄN</t>
        </is>
      </c>
      <c r="E201" t="inlineStr">
        <is>
          <t>LINKÖPING</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34889-2023</t>
        </is>
      </c>
      <c r="B202" s="1" t="n">
        <v>45140</v>
      </c>
      <c r="C202" s="1" t="n">
        <v>46038</v>
      </c>
      <c r="D202" t="inlineStr">
        <is>
          <t>ÖSTERGÖTLANDS LÄN</t>
        </is>
      </c>
      <c r="E202" t="inlineStr">
        <is>
          <t>LINKÖPING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3008-2023</t>
        </is>
      </c>
      <c r="B203" s="1" t="n">
        <v>44945.79784722222</v>
      </c>
      <c r="C203" s="1" t="n">
        <v>46038</v>
      </c>
      <c r="D203" t="inlineStr">
        <is>
          <t>ÖSTERGÖTLANDS LÄN</t>
        </is>
      </c>
      <c r="E203" t="inlineStr">
        <is>
          <t>LINKÖPING</t>
        </is>
      </c>
      <c r="G203" t="n">
        <v>19.3</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46038</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38235-2022</t>
        </is>
      </c>
      <c r="B205" s="1" t="n">
        <v>44812</v>
      </c>
      <c r="C205" s="1" t="n">
        <v>46038</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34558-2022</t>
        </is>
      </c>
      <c r="B206" s="1" t="n">
        <v>44794.57594907407</v>
      </c>
      <c r="C206" s="1" t="n">
        <v>46038</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46038</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1993-2023</t>
        </is>
      </c>
      <c r="B208" s="1" t="n">
        <v>44939</v>
      </c>
      <c r="C208" s="1" t="n">
        <v>46038</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28266-2024</t>
        </is>
      </c>
      <c r="B209" s="1" t="n">
        <v>45477.43600694444</v>
      </c>
      <c r="C209" s="1" t="n">
        <v>46038</v>
      </c>
      <c r="D209" t="inlineStr">
        <is>
          <t>ÖSTERGÖTLANDS LÄN</t>
        </is>
      </c>
      <c r="E209" t="inlineStr">
        <is>
          <t>LINKÖPING</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34880-2022</t>
        </is>
      </c>
      <c r="B210" s="1" t="n">
        <v>44796</v>
      </c>
      <c r="C210" s="1" t="n">
        <v>46038</v>
      </c>
      <c r="D210" t="inlineStr">
        <is>
          <t>ÖSTERGÖTLANDS LÄN</t>
        </is>
      </c>
      <c r="E210" t="inlineStr">
        <is>
          <t>LINKÖPING</t>
        </is>
      </c>
      <c r="F210" t="inlineStr">
        <is>
          <t>Övriga statliga verk och myndigheter</t>
        </is>
      </c>
      <c r="G210" t="n">
        <v>4</v>
      </c>
      <c r="H210" t="n">
        <v>0</v>
      </c>
      <c r="I210" t="n">
        <v>0</v>
      </c>
      <c r="J210" t="n">
        <v>0</v>
      </c>
      <c r="K210" t="n">
        <v>0</v>
      </c>
      <c r="L210" t="n">
        <v>0</v>
      </c>
      <c r="M210" t="n">
        <v>0</v>
      </c>
      <c r="N210" t="n">
        <v>0</v>
      </c>
      <c r="O210" t="n">
        <v>0</v>
      </c>
      <c r="P210" t="n">
        <v>0</v>
      </c>
      <c r="Q210" t="n">
        <v>0</v>
      </c>
      <c r="R210" s="2" t="inlineStr"/>
    </row>
    <row r="211" ht="15" customHeight="1">
      <c r="A211" t="inlineStr">
        <is>
          <t>A 48042-2022</t>
        </is>
      </c>
      <c r="B211" s="1" t="n">
        <v>44855</v>
      </c>
      <c r="C211" s="1" t="n">
        <v>46038</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41345-2021</t>
        </is>
      </c>
      <c r="B212" s="1" t="n">
        <v>44424.61851851852</v>
      </c>
      <c r="C212" s="1" t="n">
        <v>46038</v>
      </c>
      <c r="D212" t="inlineStr">
        <is>
          <t>ÖSTERGÖTLANDS LÄN</t>
        </is>
      </c>
      <c r="E212" t="inlineStr">
        <is>
          <t>LINKÖPING</t>
        </is>
      </c>
      <c r="F212" t="inlineStr">
        <is>
          <t>Sveaskog</t>
        </is>
      </c>
      <c r="G212" t="n">
        <v>6.3</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46038</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13266-2025</t>
        </is>
      </c>
      <c r="B214" s="1" t="n">
        <v>45735.53318287037</v>
      </c>
      <c r="C214" s="1" t="n">
        <v>46038</v>
      </c>
      <c r="D214" t="inlineStr">
        <is>
          <t>ÖSTERGÖTLANDS LÄN</t>
        </is>
      </c>
      <c r="E214" t="inlineStr">
        <is>
          <t>LINKÖPING</t>
        </is>
      </c>
      <c r="G214" t="n">
        <v>3.1</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46038</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22771-2024</t>
        </is>
      </c>
      <c r="B216" s="1" t="n">
        <v>45448.46574074074</v>
      </c>
      <c r="C216" s="1" t="n">
        <v>46038</v>
      </c>
      <c r="D216" t="inlineStr">
        <is>
          <t>ÖSTERGÖTLANDS LÄN</t>
        </is>
      </c>
      <c r="E216" t="inlineStr">
        <is>
          <t>LINKÖPING</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16213-2025</t>
        </is>
      </c>
      <c r="B217" s="1" t="n">
        <v>45750.62740740741</v>
      </c>
      <c r="C217" s="1" t="n">
        <v>46038</v>
      </c>
      <c r="D217" t="inlineStr">
        <is>
          <t>ÖSTERGÖTLANDS LÄN</t>
        </is>
      </c>
      <c r="E217" t="inlineStr">
        <is>
          <t>LINKÖPING</t>
        </is>
      </c>
      <c r="G217" t="n">
        <v>3.4</v>
      </c>
      <c r="H217" t="n">
        <v>0</v>
      </c>
      <c r="I217" t="n">
        <v>0</v>
      </c>
      <c r="J217" t="n">
        <v>0</v>
      </c>
      <c r="K217" t="n">
        <v>0</v>
      </c>
      <c r="L217" t="n">
        <v>0</v>
      </c>
      <c r="M217" t="n">
        <v>0</v>
      </c>
      <c r="N217" t="n">
        <v>0</v>
      </c>
      <c r="O217" t="n">
        <v>0</v>
      </c>
      <c r="P217" t="n">
        <v>0</v>
      </c>
      <c r="Q217" t="n">
        <v>0</v>
      </c>
      <c r="R217" s="2" t="inlineStr"/>
    </row>
    <row r="218" ht="15" customHeight="1">
      <c r="A218" t="inlineStr">
        <is>
          <t>A 20455-2024</t>
        </is>
      </c>
      <c r="B218" s="1" t="n">
        <v>45435.65314814815</v>
      </c>
      <c r="C218" s="1" t="n">
        <v>46038</v>
      </c>
      <c r="D218" t="inlineStr">
        <is>
          <t>ÖSTERGÖTLANDS LÄN</t>
        </is>
      </c>
      <c r="E218" t="inlineStr">
        <is>
          <t>LINKÖPING</t>
        </is>
      </c>
      <c r="G218" t="n">
        <v>2.6</v>
      </c>
      <c r="H218" t="n">
        <v>0</v>
      </c>
      <c r="I218" t="n">
        <v>0</v>
      </c>
      <c r="J218" t="n">
        <v>0</v>
      </c>
      <c r="K218" t="n">
        <v>0</v>
      </c>
      <c r="L218" t="n">
        <v>0</v>
      </c>
      <c r="M218" t="n">
        <v>0</v>
      </c>
      <c r="N218" t="n">
        <v>0</v>
      </c>
      <c r="O218" t="n">
        <v>0</v>
      </c>
      <c r="P218" t="n">
        <v>0</v>
      </c>
      <c r="Q218" t="n">
        <v>0</v>
      </c>
      <c r="R218" s="2" t="inlineStr"/>
    </row>
    <row r="219" ht="15" customHeight="1">
      <c r="A219" t="inlineStr">
        <is>
          <t>A 224-2024</t>
        </is>
      </c>
      <c r="B219" s="1" t="n">
        <v>45294</v>
      </c>
      <c r="C219" s="1" t="n">
        <v>46038</v>
      </c>
      <c r="D219" t="inlineStr">
        <is>
          <t>ÖSTERGÖTLANDS LÄN</t>
        </is>
      </c>
      <c r="E219" t="inlineStr">
        <is>
          <t>LINKÖPING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52220-2023</t>
        </is>
      </c>
      <c r="B220" s="1" t="n">
        <v>45217</v>
      </c>
      <c r="C220" s="1" t="n">
        <v>46038</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52225-2023</t>
        </is>
      </c>
      <c r="B221" s="1" t="n">
        <v>45217</v>
      </c>
      <c r="C221" s="1" t="n">
        <v>46038</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54845-2023</t>
        </is>
      </c>
      <c r="B222" s="1" t="n">
        <v>45236</v>
      </c>
      <c r="C222" s="1" t="n">
        <v>46038</v>
      </c>
      <c r="D222" t="inlineStr">
        <is>
          <t>ÖSTERGÖTLANDS LÄN</t>
        </is>
      </c>
      <c r="E222" t="inlineStr">
        <is>
          <t>LINKÖPING</t>
        </is>
      </c>
      <c r="F222" t="inlineStr">
        <is>
          <t>Övriga Aktiebolag</t>
        </is>
      </c>
      <c r="G222" t="n">
        <v>5.7</v>
      </c>
      <c r="H222" t="n">
        <v>0</v>
      </c>
      <c r="I222" t="n">
        <v>0</v>
      </c>
      <c r="J222" t="n">
        <v>0</v>
      </c>
      <c r="K222" t="n">
        <v>0</v>
      </c>
      <c r="L222" t="n">
        <v>0</v>
      </c>
      <c r="M222" t="n">
        <v>0</v>
      </c>
      <c r="N222" t="n">
        <v>0</v>
      </c>
      <c r="O222" t="n">
        <v>0</v>
      </c>
      <c r="P222" t="n">
        <v>0</v>
      </c>
      <c r="Q222" t="n">
        <v>0</v>
      </c>
      <c r="R222" s="2" t="inlineStr"/>
    </row>
    <row r="223" ht="15" customHeight="1">
      <c r="A223" t="inlineStr">
        <is>
          <t>A 62488-2023</t>
        </is>
      </c>
      <c r="B223" s="1" t="n">
        <v>45268.5847337963</v>
      </c>
      <c r="C223" s="1" t="n">
        <v>46038</v>
      </c>
      <c r="D223" t="inlineStr">
        <is>
          <t>ÖSTERGÖTLANDS LÄN</t>
        </is>
      </c>
      <c r="E223" t="inlineStr">
        <is>
          <t>LINKÖPING</t>
        </is>
      </c>
      <c r="G223" t="n">
        <v>4.1</v>
      </c>
      <c r="H223" t="n">
        <v>0</v>
      </c>
      <c r="I223" t="n">
        <v>0</v>
      </c>
      <c r="J223" t="n">
        <v>0</v>
      </c>
      <c r="K223" t="n">
        <v>0</v>
      </c>
      <c r="L223" t="n">
        <v>0</v>
      </c>
      <c r="M223" t="n">
        <v>0</v>
      </c>
      <c r="N223" t="n">
        <v>0</v>
      </c>
      <c r="O223" t="n">
        <v>0</v>
      </c>
      <c r="P223" t="n">
        <v>0</v>
      </c>
      <c r="Q223" t="n">
        <v>0</v>
      </c>
      <c r="R223" s="2" t="inlineStr"/>
    </row>
    <row r="224" ht="15" customHeight="1">
      <c r="A224" t="inlineStr">
        <is>
          <t>A 42832-2023</t>
        </is>
      </c>
      <c r="B224" s="1" t="n">
        <v>45182.38091435185</v>
      </c>
      <c r="C224" s="1" t="n">
        <v>46038</v>
      </c>
      <c r="D224" t="inlineStr">
        <is>
          <t>ÖSTERGÖTLANDS LÄN</t>
        </is>
      </c>
      <c r="E224" t="inlineStr">
        <is>
          <t>LINKÖPING</t>
        </is>
      </c>
      <c r="G224" t="n">
        <v>2.5</v>
      </c>
      <c r="H224" t="n">
        <v>0</v>
      </c>
      <c r="I224" t="n">
        <v>0</v>
      </c>
      <c r="J224" t="n">
        <v>0</v>
      </c>
      <c r="K224" t="n">
        <v>0</v>
      </c>
      <c r="L224" t="n">
        <v>0</v>
      </c>
      <c r="M224" t="n">
        <v>0</v>
      </c>
      <c r="N224" t="n">
        <v>0</v>
      </c>
      <c r="O224" t="n">
        <v>0</v>
      </c>
      <c r="P224" t="n">
        <v>0</v>
      </c>
      <c r="Q224" t="n">
        <v>0</v>
      </c>
      <c r="R224" s="2" t="inlineStr"/>
    </row>
    <row r="225" ht="15" customHeight="1">
      <c r="A225" t="inlineStr">
        <is>
          <t>A 56560-2023</t>
        </is>
      </c>
      <c r="B225" s="1" t="n">
        <v>45238</v>
      </c>
      <c r="C225" s="1" t="n">
        <v>46038</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46038</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52412-2023</t>
        </is>
      </c>
      <c r="B227" s="1" t="n">
        <v>45225.27888888889</v>
      </c>
      <c r="C227" s="1" t="n">
        <v>46038</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52413-2023</t>
        </is>
      </c>
      <c r="B228" s="1" t="n">
        <v>45225.27950231481</v>
      </c>
      <c r="C228" s="1" t="n">
        <v>46038</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7354-2025</t>
        </is>
      </c>
      <c r="B229" s="1" t="n">
        <v>45704.41174768518</v>
      </c>
      <c r="C229" s="1" t="n">
        <v>46038</v>
      </c>
      <c r="D229" t="inlineStr">
        <is>
          <t>ÖSTERGÖTLANDS LÄN</t>
        </is>
      </c>
      <c r="E229" t="inlineStr">
        <is>
          <t>LINKÖPING</t>
        </is>
      </c>
      <c r="G229" t="n">
        <v>4.8</v>
      </c>
      <c r="H229" t="n">
        <v>0</v>
      </c>
      <c r="I229" t="n">
        <v>0</v>
      </c>
      <c r="J229" t="n">
        <v>0</v>
      </c>
      <c r="K229" t="n">
        <v>0</v>
      </c>
      <c r="L229" t="n">
        <v>0</v>
      </c>
      <c r="M229" t="n">
        <v>0</v>
      </c>
      <c r="N229" t="n">
        <v>0</v>
      </c>
      <c r="O229" t="n">
        <v>0</v>
      </c>
      <c r="P229" t="n">
        <v>0</v>
      </c>
      <c r="Q229" t="n">
        <v>0</v>
      </c>
      <c r="R229" s="2" t="inlineStr"/>
    </row>
    <row r="230" ht="15" customHeight="1">
      <c r="A230" t="inlineStr">
        <is>
          <t>A 52796-2023</t>
        </is>
      </c>
      <c r="B230" s="1" t="n">
        <v>45219</v>
      </c>
      <c r="C230" s="1" t="n">
        <v>46038</v>
      </c>
      <c r="D230" t="inlineStr">
        <is>
          <t>ÖSTERGÖTLANDS LÄN</t>
        </is>
      </c>
      <c r="E230" t="inlineStr">
        <is>
          <t>LINKÖPING</t>
        </is>
      </c>
      <c r="F230" t="inlineStr">
        <is>
          <t>Övriga statliga verk och myndigheter</t>
        </is>
      </c>
      <c r="G230" t="n">
        <v>3.9</v>
      </c>
      <c r="H230" t="n">
        <v>0</v>
      </c>
      <c r="I230" t="n">
        <v>0</v>
      </c>
      <c r="J230" t="n">
        <v>0</v>
      </c>
      <c r="K230" t="n">
        <v>0</v>
      </c>
      <c r="L230" t="n">
        <v>0</v>
      </c>
      <c r="M230" t="n">
        <v>0</v>
      </c>
      <c r="N230" t="n">
        <v>0</v>
      </c>
      <c r="O230" t="n">
        <v>0</v>
      </c>
      <c r="P230" t="n">
        <v>0</v>
      </c>
      <c r="Q230" t="n">
        <v>0</v>
      </c>
      <c r="R230" s="2" t="inlineStr"/>
    </row>
    <row r="231" ht="15" customHeight="1">
      <c r="A231" t="inlineStr">
        <is>
          <t>A 46225-2021</t>
        </is>
      </c>
      <c r="B231" s="1" t="n">
        <v>44442</v>
      </c>
      <c r="C231" s="1" t="n">
        <v>46038</v>
      </c>
      <c r="D231" t="inlineStr">
        <is>
          <t>ÖSTERGÖTLANDS LÄN</t>
        </is>
      </c>
      <c r="E231" t="inlineStr">
        <is>
          <t>LINKÖPING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25776-2021</t>
        </is>
      </c>
      <c r="B232" s="1" t="n">
        <v>44343</v>
      </c>
      <c r="C232" s="1" t="n">
        <v>46038</v>
      </c>
      <c r="D232" t="inlineStr">
        <is>
          <t>ÖSTERGÖTLANDS LÄN</t>
        </is>
      </c>
      <c r="E232" t="inlineStr">
        <is>
          <t>LINKÖPING</t>
        </is>
      </c>
      <c r="G232" t="n">
        <v>2.6</v>
      </c>
      <c r="H232" t="n">
        <v>0</v>
      </c>
      <c r="I232" t="n">
        <v>0</v>
      </c>
      <c r="J232" t="n">
        <v>0</v>
      </c>
      <c r="K232" t="n">
        <v>0</v>
      </c>
      <c r="L232" t="n">
        <v>0</v>
      </c>
      <c r="M232" t="n">
        <v>0</v>
      </c>
      <c r="N232" t="n">
        <v>0</v>
      </c>
      <c r="O232" t="n">
        <v>0</v>
      </c>
      <c r="P232" t="n">
        <v>0</v>
      </c>
      <c r="Q232" t="n">
        <v>0</v>
      </c>
      <c r="R232" s="2" t="inlineStr"/>
    </row>
    <row r="233" ht="15" customHeight="1">
      <c r="A233" t="inlineStr">
        <is>
          <t>A 30855-2022</t>
        </is>
      </c>
      <c r="B233" s="1" t="n">
        <v>44767</v>
      </c>
      <c r="C233" s="1" t="n">
        <v>46038</v>
      </c>
      <c r="D233" t="inlineStr">
        <is>
          <t>ÖSTERGÖTLANDS LÄN</t>
        </is>
      </c>
      <c r="E233" t="inlineStr">
        <is>
          <t>LINKÖPING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34877-2023</t>
        </is>
      </c>
      <c r="B234" s="1" t="n">
        <v>45140</v>
      </c>
      <c r="C234" s="1" t="n">
        <v>46038</v>
      </c>
      <c r="D234" t="inlineStr">
        <is>
          <t>ÖSTERGÖTLANDS LÄN</t>
        </is>
      </c>
      <c r="E234" t="inlineStr">
        <is>
          <t>LINKÖPING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51484-2023</t>
        </is>
      </c>
      <c r="B235" s="1" t="n">
        <v>45222</v>
      </c>
      <c r="C235" s="1" t="n">
        <v>46038</v>
      </c>
      <c r="D235" t="inlineStr">
        <is>
          <t>ÖSTERGÖTLANDS LÄN</t>
        </is>
      </c>
      <c r="E235" t="inlineStr">
        <is>
          <t>LINKÖPING</t>
        </is>
      </c>
      <c r="F235" t="inlineStr">
        <is>
          <t>Övriga Aktiebolag</t>
        </is>
      </c>
      <c r="G235" t="n">
        <v>7.7</v>
      </c>
      <c r="H235" t="n">
        <v>0</v>
      </c>
      <c r="I235" t="n">
        <v>0</v>
      </c>
      <c r="J235" t="n">
        <v>0</v>
      </c>
      <c r="K235" t="n">
        <v>0</v>
      </c>
      <c r="L235" t="n">
        <v>0</v>
      </c>
      <c r="M235" t="n">
        <v>0</v>
      </c>
      <c r="N235" t="n">
        <v>0</v>
      </c>
      <c r="O235" t="n">
        <v>0</v>
      </c>
      <c r="P235" t="n">
        <v>0</v>
      </c>
      <c r="Q235" t="n">
        <v>0</v>
      </c>
      <c r="R235" s="2" t="inlineStr"/>
    </row>
    <row r="236" ht="15" customHeight="1">
      <c r="A236" t="inlineStr">
        <is>
          <t>A 30856-2022</t>
        </is>
      </c>
      <c r="B236" s="1" t="n">
        <v>44767</v>
      </c>
      <c r="C236" s="1" t="n">
        <v>46038</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17898-2022</t>
        </is>
      </c>
      <c r="B237" s="1" t="n">
        <v>44683</v>
      </c>
      <c r="C237" s="1" t="n">
        <v>46038</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63487-2023</t>
        </is>
      </c>
      <c r="B238" s="1" t="n">
        <v>45274.66712962963</v>
      </c>
      <c r="C238" s="1" t="n">
        <v>46038</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60001-2022</t>
        </is>
      </c>
      <c r="B239" s="1" t="n">
        <v>44909.47087962963</v>
      </c>
      <c r="C239" s="1" t="n">
        <v>46038</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60013-2022</t>
        </is>
      </c>
      <c r="B240" s="1" t="n">
        <v>44909.47482638889</v>
      </c>
      <c r="C240" s="1" t="n">
        <v>46038</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35463-2023</t>
        </is>
      </c>
      <c r="B241" s="1" t="n">
        <v>45146</v>
      </c>
      <c r="C241" s="1" t="n">
        <v>46038</v>
      </c>
      <c r="D241" t="inlineStr">
        <is>
          <t>ÖSTERGÖTLANDS LÄN</t>
        </is>
      </c>
      <c r="E241" t="inlineStr">
        <is>
          <t>LINKÖPING</t>
        </is>
      </c>
      <c r="F241" t="inlineStr">
        <is>
          <t>Övriga Aktiebolag</t>
        </is>
      </c>
      <c r="G241" t="n">
        <v>1.8</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45623.61754629629</v>
      </c>
      <c r="C242" s="1" t="n">
        <v>46038</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30521-2024</t>
        </is>
      </c>
      <c r="B243" s="1" t="n">
        <v>45492</v>
      </c>
      <c r="C243" s="1" t="n">
        <v>46038</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51191-2022</t>
        </is>
      </c>
      <c r="B244" s="1" t="n">
        <v>44865</v>
      </c>
      <c r="C244" s="1" t="n">
        <v>46038</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34928-2023</t>
        </is>
      </c>
      <c r="B245" s="1" t="n">
        <v>45142</v>
      </c>
      <c r="C245" s="1" t="n">
        <v>46038</v>
      </c>
      <c r="D245" t="inlineStr">
        <is>
          <t>ÖSTERGÖTLANDS LÄN</t>
        </is>
      </c>
      <c r="E245" t="inlineStr">
        <is>
          <t>LINKÖPING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1263-2024</t>
        </is>
      </c>
      <c r="B246" s="1" t="n">
        <v>45302</v>
      </c>
      <c r="C246" s="1" t="n">
        <v>46038</v>
      </c>
      <c r="D246" t="inlineStr">
        <is>
          <t>ÖSTERGÖTLANDS LÄN</t>
        </is>
      </c>
      <c r="E246" t="inlineStr">
        <is>
          <t>LINKÖPING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52531-2023</t>
        </is>
      </c>
      <c r="B247" s="1" t="n">
        <v>45225</v>
      </c>
      <c r="C247" s="1" t="n">
        <v>46038</v>
      </c>
      <c r="D247" t="inlineStr">
        <is>
          <t>ÖSTERGÖTLANDS LÄN</t>
        </is>
      </c>
      <c r="E247" t="inlineStr">
        <is>
          <t>LINKÖPING</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1211-2023</t>
        </is>
      </c>
      <c r="B248" s="1" t="n">
        <v>44930</v>
      </c>
      <c r="C248" s="1" t="n">
        <v>46038</v>
      </c>
      <c r="D248" t="inlineStr">
        <is>
          <t>ÖSTERGÖTLANDS LÄN</t>
        </is>
      </c>
      <c r="E248" t="inlineStr">
        <is>
          <t>LINKÖPING</t>
        </is>
      </c>
      <c r="F248" t="inlineStr">
        <is>
          <t>Övriga statliga verk och myndigheter</t>
        </is>
      </c>
      <c r="G248" t="n">
        <v>7.9</v>
      </c>
      <c r="H248" t="n">
        <v>0</v>
      </c>
      <c r="I248" t="n">
        <v>0</v>
      </c>
      <c r="J248" t="n">
        <v>0</v>
      </c>
      <c r="K248" t="n">
        <v>0</v>
      </c>
      <c r="L248" t="n">
        <v>0</v>
      </c>
      <c r="M248" t="n">
        <v>0</v>
      </c>
      <c r="N248" t="n">
        <v>0</v>
      </c>
      <c r="O248" t="n">
        <v>0</v>
      </c>
      <c r="P248" t="n">
        <v>0</v>
      </c>
      <c r="Q248" t="n">
        <v>0</v>
      </c>
      <c r="R248" s="2" t="inlineStr"/>
    </row>
    <row r="249" ht="15" customHeight="1">
      <c r="A249" t="inlineStr">
        <is>
          <t>A 55632-2022</t>
        </is>
      </c>
      <c r="B249" s="1" t="n">
        <v>44888</v>
      </c>
      <c r="C249" s="1" t="n">
        <v>46038</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12289-2025</t>
        </is>
      </c>
      <c r="B250" s="1" t="n">
        <v>45729</v>
      </c>
      <c r="C250" s="1" t="n">
        <v>46038</v>
      </c>
      <c r="D250" t="inlineStr">
        <is>
          <t>ÖSTERGÖTLANDS LÄN</t>
        </is>
      </c>
      <c r="E250" t="inlineStr">
        <is>
          <t>LINKÖPING</t>
        </is>
      </c>
      <c r="F250" t="inlineStr">
        <is>
          <t>Övriga statliga verk och myndigheter</t>
        </is>
      </c>
      <c r="G250" t="n">
        <v>6.5</v>
      </c>
      <c r="H250" t="n">
        <v>0</v>
      </c>
      <c r="I250" t="n">
        <v>0</v>
      </c>
      <c r="J250" t="n">
        <v>0</v>
      </c>
      <c r="K250" t="n">
        <v>0</v>
      </c>
      <c r="L250" t="n">
        <v>0</v>
      </c>
      <c r="M250" t="n">
        <v>0</v>
      </c>
      <c r="N250" t="n">
        <v>0</v>
      </c>
      <c r="O250" t="n">
        <v>0</v>
      </c>
      <c r="P250" t="n">
        <v>0</v>
      </c>
      <c r="Q250" t="n">
        <v>0</v>
      </c>
      <c r="R250" s="2" t="inlineStr"/>
    </row>
    <row r="251" ht="15" customHeight="1">
      <c r="A251" t="inlineStr">
        <is>
          <t>A 63559-2023</t>
        </is>
      </c>
      <c r="B251" s="1" t="n">
        <v>45275.35924768518</v>
      </c>
      <c r="C251" s="1" t="n">
        <v>46038</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9434-2024</t>
        </is>
      </c>
      <c r="B252" s="1" t="n">
        <v>45359</v>
      </c>
      <c r="C252" s="1" t="n">
        <v>46038</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20291-2025</t>
        </is>
      </c>
      <c r="B253" s="1" t="n">
        <v>45774.74288194445</v>
      </c>
      <c r="C253" s="1" t="n">
        <v>46038</v>
      </c>
      <c r="D253" t="inlineStr">
        <is>
          <t>ÖSTERGÖTLANDS LÄN</t>
        </is>
      </c>
      <c r="E253" t="inlineStr">
        <is>
          <t>LINKÖPING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20293-2025</t>
        </is>
      </c>
      <c r="B254" s="1" t="n">
        <v>45774.74611111111</v>
      </c>
      <c r="C254" s="1" t="n">
        <v>46038</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42054-2022</t>
        </is>
      </c>
      <c r="B255" s="1" t="n">
        <v>44830</v>
      </c>
      <c r="C255" s="1" t="n">
        <v>46038</v>
      </c>
      <c r="D255" t="inlineStr">
        <is>
          <t>ÖSTERGÖTLANDS LÄN</t>
        </is>
      </c>
      <c r="E255" t="inlineStr">
        <is>
          <t>LINKÖPING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50182-2023</t>
        </is>
      </c>
      <c r="B256" s="1" t="n">
        <v>45208</v>
      </c>
      <c r="C256" s="1" t="n">
        <v>46038</v>
      </c>
      <c r="D256" t="inlineStr">
        <is>
          <t>ÖSTERGÖTLANDS LÄN</t>
        </is>
      </c>
      <c r="E256" t="inlineStr">
        <is>
          <t>LINKÖPING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58114-2021</t>
        </is>
      </c>
      <c r="B257" s="1" t="n">
        <v>44487</v>
      </c>
      <c r="C257" s="1" t="n">
        <v>46038</v>
      </c>
      <c r="D257" t="inlineStr">
        <is>
          <t>ÖSTERGÖTLANDS LÄN</t>
        </is>
      </c>
      <c r="E257" t="inlineStr">
        <is>
          <t>LINKÖPING</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35781-2023</t>
        </is>
      </c>
      <c r="B258" s="1" t="n">
        <v>45147</v>
      </c>
      <c r="C258" s="1" t="n">
        <v>46038</v>
      </c>
      <c r="D258" t="inlineStr">
        <is>
          <t>ÖSTERGÖTLANDS LÄN</t>
        </is>
      </c>
      <c r="E258" t="inlineStr">
        <is>
          <t>LINKÖPING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6387-2022</t>
        </is>
      </c>
      <c r="B259" s="1" t="n">
        <v>44600</v>
      </c>
      <c r="C259" s="1" t="n">
        <v>46038</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48707-2023</t>
        </is>
      </c>
      <c r="B260" s="1" t="n">
        <v>45202</v>
      </c>
      <c r="C260" s="1" t="n">
        <v>46038</v>
      </c>
      <c r="D260" t="inlineStr">
        <is>
          <t>ÖSTERGÖTLANDS LÄN</t>
        </is>
      </c>
      <c r="E260" t="inlineStr">
        <is>
          <t>LINKÖPING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55944-2024</t>
        </is>
      </c>
      <c r="B261" s="1" t="n">
        <v>45623.61640046296</v>
      </c>
      <c r="C261" s="1" t="n">
        <v>46038</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55947-2024</t>
        </is>
      </c>
      <c r="B262" s="1" t="n">
        <v>45623</v>
      </c>
      <c r="C262" s="1" t="n">
        <v>46038</v>
      </c>
      <c r="D262" t="inlineStr">
        <is>
          <t>ÖSTERGÖTLANDS LÄN</t>
        </is>
      </c>
      <c r="E262" t="inlineStr">
        <is>
          <t>LINKÖPING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3041-2024</t>
        </is>
      </c>
      <c r="B263" s="1" t="n">
        <v>45316.34875</v>
      </c>
      <c r="C263" s="1" t="n">
        <v>46038</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3374-2023</t>
        </is>
      </c>
      <c r="B264" s="1" t="n">
        <v>44949</v>
      </c>
      <c r="C264" s="1" t="n">
        <v>46038</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50963-2021</t>
        </is>
      </c>
      <c r="B265" s="1" t="n">
        <v>44460</v>
      </c>
      <c r="C265" s="1" t="n">
        <v>46038</v>
      </c>
      <c r="D265" t="inlineStr">
        <is>
          <t>ÖSTERGÖTLANDS LÄN</t>
        </is>
      </c>
      <c r="E265" t="inlineStr">
        <is>
          <t>LINKÖPING</t>
        </is>
      </c>
      <c r="G265" t="n">
        <v>4.4</v>
      </c>
      <c r="H265" t="n">
        <v>0</v>
      </c>
      <c r="I265" t="n">
        <v>0</v>
      </c>
      <c r="J265" t="n">
        <v>0</v>
      </c>
      <c r="K265" t="n">
        <v>0</v>
      </c>
      <c r="L265" t="n">
        <v>0</v>
      </c>
      <c r="M265" t="n">
        <v>0</v>
      </c>
      <c r="N265" t="n">
        <v>0</v>
      </c>
      <c r="O265" t="n">
        <v>0</v>
      </c>
      <c r="P265" t="n">
        <v>0</v>
      </c>
      <c r="Q265" t="n">
        <v>0</v>
      </c>
      <c r="R265" s="2" t="inlineStr"/>
    </row>
    <row r="266" ht="15" customHeight="1">
      <c r="A266" t="inlineStr">
        <is>
          <t>A 61307-2021</t>
        </is>
      </c>
      <c r="B266" s="1" t="n">
        <v>44498.63928240741</v>
      </c>
      <c r="C266" s="1" t="n">
        <v>46038</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61325-2021</t>
        </is>
      </c>
      <c r="B267" s="1" t="n">
        <v>44498.66814814815</v>
      </c>
      <c r="C267" s="1" t="n">
        <v>46038</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63665-2023</t>
        </is>
      </c>
      <c r="B268" s="1" t="n">
        <v>45275</v>
      </c>
      <c r="C268" s="1" t="n">
        <v>46038</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24151-2024</t>
        </is>
      </c>
      <c r="B269" s="1" t="n">
        <v>45456.67717592593</v>
      </c>
      <c r="C269" s="1" t="n">
        <v>46038</v>
      </c>
      <c r="D269" t="inlineStr">
        <is>
          <t>ÖSTERGÖTLANDS LÄN</t>
        </is>
      </c>
      <c r="E269" t="inlineStr">
        <is>
          <t>LINKÖPING</t>
        </is>
      </c>
      <c r="G269" t="n">
        <v>2.1</v>
      </c>
      <c r="H269" t="n">
        <v>0</v>
      </c>
      <c r="I269" t="n">
        <v>0</v>
      </c>
      <c r="J269" t="n">
        <v>0</v>
      </c>
      <c r="K269" t="n">
        <v>0</v>
      </c>
      <c r="L269" t="n">
        <v>0</v>
      </c>
      <c r="M269" t="n">
        <v>0</v>
      </c>
      <c r="N269" t="n">
        <v>0</v>
      </c>
      <c r="O269" t="n">
        <v>0</v>
      </c>
      <c r="P269" t="n">
        <v>0</v>
      </c>
      <c r="Q269" t="n">
        <v>0</v>
      </c>
      <c r="R269" s="2" t="inlineStr"/>
    </row>
    <row r="270" ht="15" customHeight="1">
      <c r="A270" t="inlineStr">
        <is>
          <t>A 33867-2023</t>
        </is>
      </c>
      <c r="B270" s="1" t="n">
        <v>45133.94640046296</v>
      </c>
      <c r="C270" s="1" t="n">
        <v>46038</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12089-2025</t>
        </is>
      </c>
      <c r="B271" s="1" t="n">
        <v>45729</v>
      </c>
      <c r="C271" s="1" t="n">
        <v>46038</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30985-2022</t>
        </is>
      </c>
      <c r="B272" s="1" t="n">
        <v>44768</v>
      </c>
      <c r="C272" s="1" t="n">
        <v>46038</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38317-2024</t>
        </is>
      </c>
      <c r="B273" s="1" t="n">
        <v>45545.65766203704</v>
      </c>
      <c r="C273" s="1" t="n">
        <v>46038</v>
      </c>
      <c r="D273" t="inlineStr">
        <is>
          <t>ÖSTERGÖTLANDS LÄN</t>
        </is>
      </c>
      <c r="E273" t="inlineStr">
        <is>
          <t>LINKÖPING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15658-2023</t>
        </is>
      </c>
      <c r="B274" s="1" t="n">
        <v>45021.41194444444</v>
      </c>
      <c r="C274" s="1" t="n">
        <v>46038</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14576-2023</t>
        </is>
      </c>
      <c r="B275" s="1" t="n">
        <v>45013</v>
      </c>
      <c r="C275" s="1" t="n">
        <v>46038</v>
      </c>
      <c r="D275" t="inlineStr">
        <is>
          <t>ÖSTERGÖTLANDS LÄN</t>
        </is>
      </c>
      <c r="E275" t="inlineStr">
        <is>
          <t>LINKÖPING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38136-2023</t>
        </is>
      </c>
      <c r="B276" s="1" t="n">
        <v>45161.37310185185</v>
      </c>
      <c r="C276" s="1" t="n">
        <v>46038</v>
      </c>
      <c r="D276" t="inlineStr">
        <is>
          <t>ÖSTERGÖTLANDS LÄN</t>
        </is>
      </c>
      <c r="E276" t="inlineStr">
        <is>
          <t>LINKÖPING</t>
        </is>
      </c>
      <c r="G276" t="n">
        <v>5.6</v>
      </c>
      <c r="H276" t="n">
        <v>0</v>
      </c>
      <c r="I276" t="n">
        <v>0</v>
      </c>
      <c r="J276" t="n">
        <v>0</v>
      </c>
      <c r="K276" t="n">
        <v>0</v>
      </c>
      <c r="L276" t="n">
        <v>0</v>
      </c>
      <c r="M276" t="n">
        <v>0</v>
      </c>
      <c r="N276" t="n">
        <v>0</v>
      </c>
      <c r="O276" t="n">
        <v>0</v>
      </c>
      <c r="P276" t="n">
        <v>0</v>
      </c>
      <c r="Q276" t="n">
        <v>0</v>
      </c>
      <c r="R276" s="2" t="inlineStr"/>
    </row>
    <row r="277" ht="15" customHeight="1">
      <c r="A277" t="inlineStr">
        <is>
          <t>A 38886-2024</t>
        </is>
      </c>
      <c r="B277" s="1" t="n">
        <v>45547.66443287037</v>
      </c>
      <c r="C277" s="1" t="n">
        <v>46038</v>
      </c>
      <c r="D277" t="inlineStr">
        <is>
          <t>ÖSTERGÖTLANDS LÄN</t>
        </is>
      </c>
      <c r="E277" t="inlineStr">
        <is>
          <t>LINKÖPING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51583-2024</t>
        </is>
      </c>
      <c r="B278" s="1" t="n">
        <v>45604.6397337963</v>
      </c>
      <c r="C278" s="1" t="n">
        <v>46038</v>
      </c>
      <c r="D278" t="inlineStr">
        <is>
          <t>ÖSTERGÖTLANDS LÄN</t>
        </is>
      </c>
      <c r="E278" t="inlineStr">
        <is>
          <t>LINKÖPING</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64694-2023</t>
        </is>
      </c>
      <c r="B279" s="1" t="n">
        <v>45281</v>
      </c>
      <c r="C279" s="1" t="n">
        <v>46038</v>
      </c>
      <c r="D279" t="inlineStr">
        <is>
          <t>ÖSTERGÖTLANDS LÄN</t>
        </is>
      </c>
      <c r="E279" t="inlineStr">
        <is>
          <t>LINKÖPING</t>
        </is>
      </c>
      <c r="F279" t="inlineStr">
        <is>
          <t>Övriga statliga verk och myndigheter</t>
        </is>
      </c>
      <c r="G279" t="n">
        <v>4.9</v>
      </c>
      <c r="H279" t="n">
        <v>0</v>
      </c>
      <c r="I279" t="n">
        <v>0</v>
      </c>
      <c r="J279" t="n">
        <v>0</v>
      </c>
      <c r="K279" t="n">
        <v>0</v>
      </c>
      <c r="L279" t="n">
        <v>0</v>
      </c>
      <c r="M279" t="n">
        <v>0</v>
      </c>
      <c r="N279" t="n">
        <v>0</v>
      </c>
      <c r="O279" t="n">
        <v>0</v>
      </c>
      <c r="P279" t="n">
        <v>0</v>
      </c>
      <c r="Q279" t="n">
        <v>0</v>
      </c>
      <c r="R279" s="2" t="inlineStr"/>
    </row>
    <row r="280" ht="15" customHeight="1">
      <c r="A280" t="inlineStr">
        <is>
          <t>A 32602-2022</t>
        </is>
      </c>
      <c r="B280" s="1" t="n">
        <v>44783.43192129629</v>
      </c>
      <c r="C280" s="1" t="n">
        <v>46038</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74160-2021</t>
        </is>
      </c>
      <c r="B281" s="1" t="n">
        <v>44558</v>
      </c>
      <c r="C281" s="1" t="n">
        <v>46038</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58947-2022</t>
        </is>
      </c>
      <c r="B282" s="1" t="n">
        <v>44903.64769675926</v>
      </c>
      <c r="C282" s="1" t="n">
        <v>46038</v>
      </c>
      <c r="D282" t="inlineStr">
        <is>
          <t>ÖSTERGÖTLANDS LÄN</t>
        </is>
      </c>
      <c r="E282" t="inlineStr">
        <is>
          <t>LINKÖPING</t>
        </is>
      </c>
      <c r="G282" t="n">
        <v>4</v>
      </c>
      <c r="H282" t="n">
        <v>0</v>
      </c>
      <c r="I282" t="n">
        <v>0</v>
      </c>
      <c r="J282" t="n">
        <v>0</v>
      </c>
      <c r="K282" t="n">
        <v>0</v>
      </c>
      <c r="L282" t="n">
        <v>0</v>
      </c>
      <c r="M282" t="n">
        <v>0</v>
      </c>
      <c r="N282" t="n">
        <v>0</v>
      </c>
      <c r="O282" t="n">
        <v>0</v>
      </c>
      <c r="P282" t="n">
        <v>0</v>
      </c>
      <c r="Q282" t="n">
        <v>0</v>
      </c>
      <c r="R282" s="2" t="inlineStr"/>
    </row>
    <row r="283" ht="15" customHeight="1">
      <c r="A283" t="inlineStr">
        <is>
          <t>A 62321-2022</t>
        </is>
      </c>
      <c r="B283" s="1" t="n">
        <v>44916</v>
      </c>
      <c r="C283" s="1" t="n">
        <v>46038</v>
      </c>
      <c r="D283" t="inlineStr">
        <is>
          <t>ÖSTERGÖTLANDS LÄN</t>
        </is>
      </c>
      <c r="E283" t="inlineStr">
        <is>
          <t>LINKÖPING</t>
        </is>
      </c>
      <c r="F283" t="inlineStr">
        <is>
          <t>Kommuner</t>
        </is>
      </c>
      <c r="G283" t="n">
        <v>5.3</v>
      </c>
      <c r="H283" t="n">
        <v>0</v>
      </c>
      <c r="I283" t="n">
        <v>0</v>
      </c>
      <c r="J283" t="n">
        <v>0</v>
      </c>
      <c r="K283" t="n">
        <v>0</v>
      </c>
      <c r="L283" t="n">
        <v>0</v>
      </c>
      <c r="M283" t="n">
        <v>0</v>
      </c>
      <c r="N283" t="n">
        <v>0</v>
      </c>
      <c r="O283" t="n">
        <v>0</v>
      </c>
      <c r="P283" t="n">
        <v>0</v>
      </c>
      <c r="Q283" t="n">
        <v>0</v>
      </c>
      <c r="R283" s="2" t="inlineStr"/>
    </row>
    <row r="284" ht="15" customHeight="1">
      <c r="A284" t="inlineStr">
        <is>
          <t>A 16665-2023</t>
        </is>
      </c>
      <c r="B284" s="1" t="n">
        <v>45030.5583912037</v>
      </c>
      <c r="C284" s="1" t="n">
        <v>46038</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1084-2023</t>
        </is>
      </c>
      <c r="B285" s="1" t="n">
        <v>44929</v>
      </c>
      <c r="C285" s="1" t="n">
        <v>46038</v>
      </c>
      <c r="D285" t="inlineStr">
        <is>
          <t>ÖSTERGÖTLANDS LÄN</t>
        </is>
      </c>
      <c r="E285" t="inlineStr">
        <is>
          <t>LINKÖPING</t>
        </is>
      </c>
      <c r="G285" t="n">
        <v>10.4</v>
      </c>
      <c r="H285" t="n">
        <v>0</v>
      </c>
      <c r="I285" t="n">
        <v>0</v>
      </c>
      <c r="J285" t="n">
        <v>0</v>
      </c>
      <c r="K285" t="n">
        <v>0</v>
      </c>
      <c r="L285" t="n">
        <v>0</v>
      </c>
      <c r="M285" t="n">
        <v>0</v>
      </c>
      <c r="N285" t="n">
        <v>0</v>
      </c>
      <c r="O285" t="n">
        <v>0</v>
      </c>
      <c r="P285" t="n">
        <v>0</v>
      </c>
      <c r="Q285" t="n">
        <v>0</v>
      </c>
      <c r="R285" s="2" t="inlineStr"/>
    </row>
    <row r="286" ht="15" customHeight="1">
      <c r="A286" t="inlineStr">
        <is>
          <t>A 267-2023</t>
        </is>
      </c>
      <c r="B286" s="1" t="n">
        <v>44928.80907407407</v>
      </c>
      <c r="C286" s="1" t="n">
        <v>46038</v>
      </c>
      <c r="D286" t="inlineStr">
        <is>
          <t>ÖSTERGÖTLANDS LÄN</t>
        </is>
      </c>
      <c r="E286" t="inlineStr">
        <is>
          <t>LINKÖPING</t>
        </is>
      </c>
      <c r="G286" t="n">
        <v>2.7</v>
      </c>
      <c r="H286" t="n">
        <v>0</v>
      </c>
      <c r="I286" t="n">
        <v>0</v>
      </c>
      <c r="J286" t="n">
        <v>0</v>
      </c>
      <c r="K286" t="n">
        <v>0</v>
      </c>
      <c r="L286" t="n">
        <v>0</v>
      </c>
      <c r="M286" t="n">
        <v>0</v>
      </c>
      <c r="N286" t="n">
        <v>0</v>
      </c>
      <c r="O286" t="n">
        <v>0</v>
      </c>
      <c r="P286" t="n">
        <v>0</v>
      </c>
      <c r="Q286" t="n">
        <v>0</v>
      </c>
      <c r="R286" s="2" t="inlineStr"/>
    </row>
    <row r="287" ht="15" customHeight="1">
      <c r="A287" t="inlineStr">
        <is>
          <t>A 940-2023</t>
        </is>
      </c>
      <c r="B287" s="1" t="n">
        <v>44933</v>
      </c>
      <c r="C287" s="1" t="n">
        <v>46038</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24464-2023</t>
        </is>
      </c>
      <c r="B288" s="1" t="n">
        <v>45082.58068287037</v>
      </c>
      <c r="C288" s="1" t="n">
        <v>46038</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24467-2023</t>
        </is>
      </c>
      <c r="B289" s="1" t="n">
        <v>45082</v>
      </c>
      <c r="C289" s="1" t="n">
        <v>46038</v>
      </c>
      <c r="D289" t="inlineStr">
        <is>
          <t>ÖSTERGÖTLANDS LÄN</t>
        </is>
      </c>
      <c r="E289" t="inlineStr">
        <is>
          <t>LINKÖPING</t>
        </is>
      </c>
      <c r="G289" t="n">
        <v>2.4</v>
      </c>
      <c r="H289" t="n">
        <v>0</v>
      </c>
      <c r="I289" t="n">
        <v>0</v>
      </c>
      <c r="J289" t="n">
        <v>0</v>
      </c>
      <c r="K289" t="n">
        <v>0</v>
      </c>
      <c r="L289" t="n">
        <v>0</v>
      </c>
      <c r="M289" t="n">
        <v>0</v>
      </c>
      <c r="N289" t="n">
        <v>0</v>
      </c>
      <c r="O289" t="n">
        <v>0</v>
      </c>
      <c r="P289" t="n">
        <v>0</v>
      </c>
      <c r="Q289" t="n">
        <v>0</v>
      </c>
      <c r="R289" s="2" t="inlineStr"/>
    </row>
    <row r="290" ht="15" customHeight="1">
      <c r="A290" t="inlineStr">
        <is>
          <t>A 48389-2024</t>
        </is>
      </c>
      <c r="B290" s="1" t="n">
        <v>45590.59991898148</v>
      </c>
      <c r="C290" s="1" t="n">
        <v>46038</v>
      </c>
      <c r="D290" t="inlineStr">
        <is>
          <t>ÖSTERGÖTLANDS LÄN</t>
        </is>
      </c>
      <c r="E290" t="inlineStr">
        <is>
          <t>LINKÖPING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6369-2023</t>
        </is>
      </c>
      <c r="B291" s="1" t="n">
        <v>44965.61106481482</v>
      </c>
      <c r="C291" s="1" t="n">
        <v>46038</v>
      </c>
      <c r="D291" t="inlineStr">
        <is>
          <t>ÖSTERGÖTLANDS LÄN</t>
        </is>
      </c>
      <c r="E291" t="inlineStr">
        <is>
          <t>LINKÖPING</t>
        </is>
      </c>
      <c r="G291" t="n">
        <v>4</v>
      </c>
      <c r="H291" t="n">
        <v>0</v>
      </c>
      <c r="I291" t="n">
        <v>0</v>
      </c>
      <c r="J291" t="n">
        <v>0</v>
      </c>
      <c r="K291" t="n">
        <v>0</v>
      </c>
      <c r="L291" t="n">
        <v>0</v>
      </c>
      <c r="M291" t="n">
        <v>0</v>
      </c>
      <c r="N291" t="n">
        <v>0</v>
      </c>
      <c r="O291" t="n">
        <v>0</v>
      </c>
      <c r="P291" t="n">
        <v>0</v>
      </c>
      <c r="Q291" t="n">
        <v>0</v>
      </c>
      <c r="R291" s="2" t="inlineStr"/>
    </row>
    <row r="292" ht="15" customHeight="1">
      <c r="A292" t="inlineStr">
        <is>
          <t>A 30980-2022</t>
        </is>
      </c>
      <c r="B292" s="1" t="n">
        <v>44768</v>
      </c>
      <c r="C292" s="1" t="n">
        <v>46038</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56792-2023</t>
        </is>
      </c>
      <c r="B293" s="1" t="n">
        <v>45244</v>
      </c>
      <c r="C293" s="1" t="n">
        <v>46038</v>
      </c>
      <c r="D293" t="inlineStr">
        <is>
          <t>ÖSTERGÖTLANDS LÄN</t>
        </is>
      </c>
      <c r="E293" t="inlineStr">
        <is>
          <t>LINKÖPING</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27766-2022</t>
        </is>
      </c>
      <c r="B294" s="1" t="n">
        <v>44743.53112268518</v>
      </c>
      <c r="C294" s="1" t="n">
        <v>46038</v>
      </c>
      <c r="D294" t="inlineStr">
        <is>
          <t>ÖSTERGÖTLANDS LÄN</t>
        </is>
      </c>
      <c r="E294" t="inlineStr">
        <is>
          <t>LINKÖPING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60007-2022</t>
        </is>
      </c>
      <c r="B295" s="1" t="n">
        <v>44909.47282407407</v>
      </c>
      <c r="C295" s="1" t="n">
        <v>46038</v>
      </c>
      <c r="D295" t="inlineStr">
        <is>
          <t>ÖSTERGÖTLANDS LÄN</t>
        </is>
      </c>
      <c r="E295" t="inlineStr">
        <is>
          <t>LINKÖPING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50799-2022</t>
        </is>
      </c>
      <c r="B296" s="1" t="n">
        <v>44862</v>
      </c>
      <c r="C296" s="1" t="n">
        <v>46038</v>
      </c>
      <c r="D296" t="inlineStr">
        <is>
          <t>ÖSTERGÖTLANDS LÄN</t>
        </is>
      </c>
      <c r="E296" t="inlineStr">
        <is>
          <t>LINKÖPING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53641-2023</t>
        </is>
      </c>
      <c r="B297" s="1" t="n">
        <v>45230</v>
      </c>
      <c r="C297" s="1" t="n">
        <v>46038</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56064-2022</t>
        </is>
      </c>
      <c r="B298" s="1" t="n">
        <v>44889.59107638889</v>
      </c>
      <c r="C298" s="1" t="n">
        <v>46038</v>
      </c>
      <c r="D298" t="inlineStr">
        <is>
          <t>ÖSTERGÖTLANDS LÄN</t>
        </is>
      </c>
      <c r="E298" t="inlineStr">
        <is>
          <t>LINKÖPING</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47703-2023</t>
        </is>
      </c>
      <c r="B299" s="1" t="n">
        <v>45203</v>
      </c>
      <c r="C299" s="1" t="n">
        <v>46038</v>
      </c>
      <c r="D299" t="inlineStr">
        <is>
          <t>ÖSTERGÖTLANDS LÄN</t>
        </is>
      </c>
      <c r="E299" t="inlineStr">
        <is>
          <t>LINKÖPING</t>
        </is>
      </c>
      <c r="G299" t="n">
        <v>4.1</v>
      </c>
      <c r="H299" t="n">
        <v>0</v>
      </c>
      <c r="I299" t="n">
        <v>0</v>
      </c>
      <c r="J299" t="n">
        <v>0</v>
      </c>
      <c r="K299" t="n">
        <v>0</v>
      </c>
      <c r="L299" t="n">
        <v>0</v>
      </c>
      <c r="M299" t="n">
        <v>0</v>
      </c>
      <c r="N299" t="n">
        <v>0</v>
      </c>
      <c r="O299" t="n">
        <v>0</v>
      </c>
      <c r="P299" t="n">
        <v>0</v>
      </c>
      <c r="Q299" t="n">
        <v>0</v>
      </c>
      <c r="R299" s="2" t="inlineStr"/>
    </row>
    <row r="300" ht="15" customHeight="1">
      <c r="A300" t="inlineStr">
        <is>
          <t>A 33000-2023</t>
        </is>
      </c>
      <c r="B300" s="1" t="n">
        <v>45125</v>
      </c>
      <c r="C300" s="1" t="n">
        <v>46038</v>
      </c>
      <c r="D300" t="inlineStr">
        <is>
          <t>ÖSTERGÖTLANDS LÄN</t>
        </is>
      </c>
      <c r="E300" t="inlineStr">
        <is>
          <t>LINKÖPING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52892-2024</t>
        </is>
      </c>
      <c r="B301" s="1" t="n">
        <v>45610</v>
      </c>
      <c r="C301" s="1" t="n">
        <v>46038</v>
      </c>
      <c r="D301" t="inlineStr">
        <is>
          <t>ÖSTERGÖTLANDS LÄN</t>
        </is>
      </c>
      <c r="E301" t="inlineStr">
        <is>
          <t>LINKÖPING</t>
        </is>
      </c>
      <c r="G301" t="n">
        <v>4.2</v>
      </c>
      <c r="H301" t="n">
        <v>0</v>
      </c>
      <c r="I301" t="n">
        <v>0</v>
      </c>
      <c r="J301" t="n">
        <v>0</v>
      </c>
      <c r="K301" t="n">
        <v>0</v>
      </c>
      <c r="L301" t="n">
        <v>0</v>
      </c>
      <c r="M301" t="n">
        <v>0</v>
      </c>
      <c r="N301" t="n">
        <v>0</v>
      </c>
      <c r="O301" t="n">
        <v>0</v>
      </c>
      <c r="P301" t="n">
        <v>0</v>
      </c>
      <c r="Q301" t="n">
        <v>0</v>
      </c>
      <c r="R301" s="2" t="inlineStr"/>
    </row>
    <row r="302" ht="15" customHeight="1">
      <c r="A302" t="inlineStr">
        <is>
          <t>A 39017-2021</t>
        </is>
      </c>
      <c r="B302" s="1" t="n">
        <v>44412</v>
      </c>
      <c r="C302" s="1" t="n">
        <v>46038</v>
      </c>
      <c r="D302" t="inlineStr">
        <is>
          <t>ÖSTERGÖTLANDS LÄN</t>
        </is>
      </c>
      <c r="E302" t="inlineStr">
        <is>
          <t>LINKÖPING</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1260-2023</t>
        </is>
      </c>
      <c r="B303" s="1" t="n">
        <v>44936</v>
      </c>
      <c r="C303" s="1" t="n">
        <v>46038</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1355-2023</t>
        </is>
      </c>
      <c r="B304" s="1" t="n">
        <v>44931</v>
      </c>
      <c r="C304" s="1" t="n">
        <v>46038</v>
      </c>
      <c r="D304" t="inlineStr">
        <is>
          <t>ÖSTERGÖTLANDS LÄN</t>
        </is>
      </c>
      <c r="E304" t="inlineStr">
        <is>
          <t>LINKÖPING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16111-2022</t>
        </is>
      </c>
      <c r="B305" s="1" t="n">
        <v>44665</v>
      </c>
      <c r="C305" s="1" t="n">
        <v>46038</v>
      </c>
      <c r="D305" t="inlineStr">
        <is>
          <t>ÖSTERGÖTLANDS LÄN</t>
        </is>
      </c>
      <c r="E305" t="inlineStr">
        <is>
          <t>LINKÖPING</t>
        </is>
      </c>
      <c r="F305" t="inlineStr">
        <is>
          <t>Övriga Aktiebolag</t>
        </is>
      </c>
      <c r="G305" t="n">
        <v>2.9</v>
      </c>
      <c r="H305" t="n">
        <v>0</v>
      </c>
      <c r="I305" t="n">
        <v>0</v>
      </c>
      <c r="J305" t="n">
        <v>0</v>
      </c>
      <c r="K305" t="n">
        <v>0</v>
      </c>
      <c r="L305" t="n">
        <v>0</v>
      </c>
      <c r="M305" t="n">
        <v>0</v>
      </c>
      <c r="N305" t="n">
        <v>0</v>
      </c>
      <c r="O305" t="n">
        <v>0</v>
      </c>
      <c r="P305" t="n">
        <v>0</v>
      </c>
      <c r="Q305" t="n">
        <v>0</v>
      </c>
      <c r="R305" s="2" t="inlineStr"/>
    </row>
    <row r="306" ht="15" customHeight="1">
      <c r="A306" t="inlineStr">
        <is>
          <t>A 48962-2022</t>
        </is>
      </c>
      <c r="B306" s="1" t="n">
        <v>44860.31635416667</v>
      </c>
      <c r="C306" s="1" t="n">
        <v>46038</v>
      </c>
      <c r="D306" t="inlineStr">
        <is>
          <t>ÖSTERGÖTLANDS LÄN</t>
        </is>
      </c>
      <c r="E306" t="inlineStr">
        <is>
          <t>LINKÖPING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3007-2025</t>
        </is>
      </c>
      <c r="B307" s="1" t="n">
        <v>45678.56328703704</v>
      </c>
      <c r="C307" s="1" t="n">
        <v>46038</v>
      </c>
      <c r="D307" t="inlineStr">
        <is>
          <t>ÖSTERGÖTLANDS LÄN</t>
        </is>
      </c>
      <c r="E307" t="inlineStr">
        <is>
          <t>LINKÖPING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10492-2022</t>
        </is>
      </c>
      <c r="B308" s="1" t="n">
        <v>44623.6377199074</v>
      </c>
      <c r="C308" s="1" t="n">
        <v>46038</v>
      </c>
      <c r="D308" t="inlineStr">
        <is>
          <t>ÖSTERGÖTLANDS LÄN</t>
        </is>
      </c>
      <c r="E308" t="inlineStr">
        <is>
          <t>LINKÖPING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27891-2021</t>
        </is>
      </c>
      <c r="B309" s="1" t="n">
        <v>44354.65108796296</v>
      </c>
      <c r="C309" s="1" t="n">
        <v>46038</v>
      </c>
      <c r="D309" t="inlineStr">
        <is>
          <t>ÖSTERGÖTLANDS LÄN</t>
        </is>
      </c>
      <c r="E309" t="inlineStr">
        <is>
          <t>LINKÖPING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30465-2023</t>
        </is>
      </c>
      <c r="B310" s="1" t="n">
        <v>45111</v>
      </c>
      <c r="C310" s="1" t="n">
        <v>46038</v>
      </c>
      <c r="D310" t="inlineStr">
        <is>
          <t>ÖSTERGÖTLANDS LÄN</t>
        </is>
      </c>
      <c r="E310" t="inlineStr">
        <is>
          <t>LINKÖPING</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10194-2023</t>
        </is>
      </c>
      <c r="B311" s="1" t="n">
        <v>44986.52277777778</v>
      </c>
      <c r="C311" s="1" t="n">
        <v>46038</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39021-2021</t>
        </is>
      </c>
      <c r="B312" s="1" t="n">
        <v>44412</v>
      </c>
      <c r="C312" s="1" t="n">
        <v>46038</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62353-2022</t>
        </is>
      </c>
      <c r="B313" s="1" t="n">
        <v>44923</v>
      </c>
      <c r="C313" s="1" t="n">
        <v>46038</v>
      </c>
      <c r="D313" t="inlineStr">
        <is>
          <t>ÖSTERGÖTLANDS LÄN</t>
        </is>
      </c>
      <c r="E313" t="inlineStr">
        <is>
          <t>LINKÖPING</t>
        </is>
      </c>
      <c r="F313" t="inlineStr">
        <is>
          <t>Allmännings- och besparingsskogar</t>
        </is>
      </c>
      <c r="G313" t="n">
        <v>1.7</v>
      </c>
      <c r="H313" t="n">
        <v>0</v>
      </c>
      <c r="I313" t="n">
        <v>0</v>
      </c>
      <c r="J313" t="n">
        <v>0</v>
      </c>
      <c r="K313" t="n">
        <v>0</v>
      </c>
      <c r="L313" t="n">
        <v>0</v>
      </c>
      <c r="M313" t="n">
        <v>0</v>
      </c>
      <c r="N313" t="n">
        <v>0</v>
      </c>
      <c r="O313" t="n">
        <v>0</v>
      </c>
      <c r="P313" t="n">
        <v>0</v>
      </c>
      <c r="Q313" t="n">
        <v>0</v>
      </c>
      <c r="R313" s="2" t="inlineStr"/>
    </row>
    <row r="314" ht="15" customHeight="1">
      <c r="A314" t="inlineStr">
        <is>
          <t>A 30111-2024</t>
        </is>
      </c>
      <c r="B314" s="1" t="n">
        <v>45489.46947916667</v>
      </c>
      <c r="C314" s="1" t="n">
        <v>46038</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30119-2024</t>
        </is>
      </c>
      <c r="B315" s="1" t="n">
        <v>45489</v>
      </c>
      <c r="C315" s="1" t="n">
        <v>46038</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29411-2023</t>
        </is>
      </c>
      <c r="B316" s="1" t="n">
        <v>45106.46225694445</v>
      </c>
      <c r="C316" s="1" t="n">
        <v>46038</v>
      </c>
      <c r="D316" t="inlineStr">
        <is>
          <t>ÖSTERGÖTLANDS LÄN</t>
        </is>
      </c>
      <c r="E316" t="inlineStr">
        <is>
          <t>LINKÖPING</t>
        </is>
      </c>
      <c r="G316" t="n">
        <v>2.5</v>
      </c>
      <c r="H316" t="n">
        <v>0</v>
      </c>
      <c r="I316" t="n">
        <v>0</v>
      </c>
      <c r="J316" t="n">
        <v>0</v>
      </c>
      <c r="K316" t="n">
        <v>0</v>
      </c>
      <c r="L316" t="n">
        <v>0</v>
      </c>
      <c r="M316" t="n">
        <v>0</v>
      </c>
      <c r="N316" t="n">
        <v>0</v>
      </c>
      <c r="O316" t="n">
        <v>0</v>
      </c>
      <c r="P316" t="n">
        <v>0</v>
      </c>
      <c r="Q316" t="n">
        <v>0</v>
      </c>
      <c r="R316" s="2" t="inlineStr"/>
    </row>
    <row r="317" ht="15" customHeight="1">
      <c r="A317" t="inlineStr">
        <is>
          <t>A 29412-2023</t>
        </is>
      </c>
      <c r="B317" s="1" t="n">
        <v>45106.46359953703</v>
      </c>
      <c r="C317" s="1" t="n">
        <v>46038</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1268-2023</t>
        </is>
      </c>
      <c r="B318" s="1" t="n">
        <v>44936</v>
      </c>
      <c r="C318" s="1" t="n">
        <v>46038</v>
      </c>
      <c r="D318" t="inlineStr">
        <is>
          <t>ÖSTERGÖTLANDS LÄN</t>
        </is>
      </c>
      <c r="E318" t="inlineStr">
        <is>
          <t>LINKÖPING</t>
        </is>
      </c>
      <c r="G318" t="n">
        <v>4.6</v>
      </c>
      <c r="H318" t="n">
        <v>0</v>
      </c>
      <c r="I318" t="n">
        <v>0</v>
      </c>
      <c r="J318" t="n">
        <v>0</v>
      </c>
      <c r="K318" t="n">
        <v>0</v>
      </c>
      <c r="L318" t="n">
        <v>0</v>
      </c>
      <c r="M318" t="n">
        <v>0</v>
      </c>
      <c r="N318" t="n">
        <v>0</v>
      </c>
      <c r="O318" t="n">
        <v>0</v>
      </c>
      <c r="P318" t="n">
        <v>0</v>
      </c>
      <c r="Q318" t="n">
        <v>0</v>
      </c>
      <c r="R318" s="2" t="inlineStr"/>
    </row>
    <row r="319" ht="15" customHeight="1">
      <c r="A319" t="inlineStr">
        <is>
          <t>A 31792-2021</t>
        </is>
      </c>
      <c r="B319" s="1" t="n">
        <v>44369</v>
      </c>
      <c r="C319" s="1" t="n">
        <v>46038</v>
      </c>
      <c r="D319" t="inlineStr">
        <is>
          <t>ÖSTERGÖTLANDS LÄN</t>
        </is>
      </c>
      <c r="E319" t="inlineStr">
        <is>
          <t>LINKÖPING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62687-2023</t>
        </is>
      </c>
      <c r="B320" s="1" t="n">
        <v>45271</v>
      </c>
      <c r="C320" s="1" t="n">
        <v>46038</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34641-2022</t>
        </is>
      </c>
      <c r="B321" s="1" t="n">
        <v>44795</v>
      </c>
      <c r="C321" s="1" t="n">
        <v>46038</v>
      </c>
      <c r="D321" t="inlineStr">
        <is>
          <t>ÖSTERGÖTLANDS LÄN</t>
        </is>
      </c>
      <c r="E321" t="inlineStr">
        <is>
          <t>LINKÖPING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421-2024</t>
        </is>
      </c>
      <c r="B322" s="1" t="n">
        <v>45296.51877314815</v>
      </c>
      <c r="C322" s="1" t="n">
        <v>46038</v>
      </c>
      <c r="D322" t="inlineStr">
        <is>
          <t>ÖSTERGÖTLANDS LÄN</t>
        </is>
      </c>
      <c r="E322" t="inlineStr">
        <is>
          <t>LINKÖPING</t>
        </is>
      </c>
      <c r="G322" t="n">
        <v>3.7</v>
      </c>
      <c r="H322" t="n">
        <v>0</v>
      </c>
      <c r="I322" t="n">
        <v>0</v>
      </c>
      <c r="J322" t="n">
        <v>0</v>
      </c>
      <c r="K322" t="n">
        <v>0</v>
      </c>
      <c r="L322" t="n">
        <v>0</v>
      </c>
      <c r="M322" t="n">
        <v>0</v>
      </c>
      <c r="N322" t="n">
        <v>0</v>
      </c>
      <c r="O322" t="n">
        <v>0</v>
      </c>
      <c r="P322" t="n">
        <v>0</v>
      </c>
      <c r="Q322" t="n">
        <v>0</v>
      </c>
      <c r="R322" s="2" t="inlineStr"/>
    </row>
    <row r="323" ht="15" customHeight="1">
      <c r="A323" t="inlineStr">
        <is>
          <t>A 22043-2023</t>
        </is>
      </c>
      <c r="B323" s="1" t="n">
        <v>45069.39050925926</v>
      </c>
      <c r="C323" s="1" t="n">
        <v>46038</v>
      </c>
      <c r="D323" t="inlineStr">
        <is>
          <t>ÖSTERGÖTLANDS LÄN</t>
        </is>
      </c>
      <c r="E323" t="inlineStr">
        <is>
          <t>LINKÖPING</t>
        </is>
      </c>
      <c r="G323" t="n">
        <v>5.9</v>
      </c>
      <c r="H323" t="n">
        <v>0</v>
      </c>
      <c r="I323" t="n">
        <v>0</v>
      </c>
      <c r="J323" t="n">
        <v>0</v>
      </c>
      <c r="K323" t="n">
        <v>0</v>
      </c>
      <c r="L323" t="n">
        <v>0</v>
      </c>
      <c r="M323" t="n">
        <v>0</v>
      </c>
      <c r="N323" t="n">
        <v>0</v>
      </c>
      <c r="O323" t="n">
        <v>0</v>
      </c>
      <c r="P323" t="n">
        <v>0</v>
      </c>
      <c r="Q323" t="n">
        <v>0</v>
      </c>
      <c r="R323" s="2" t="inlineStr"/>
    </row>
    <row r="324" ht="15" customHeight="1">
      <c r="A324" t="inlineStr">
        <is>
          <t>A 938-2023</t>
        </is>
      </c>
      <c r="B324" s="1" t="n">
        <v>44933</v>
      </c>
      <c r="C324" s="1" t="n">
        <v>46038</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2389-2023</t>
        </is>
      </c>
      <c r="B325" s="1" t="n">
        <v>44942</v>
      </c>
      <c r="C325" s="1" t="n">
        <v>46038</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61532-2021</t>
        </is>
      </c>
      <c r="B326" s="1" t="n">
        <v>44501</v>
      </c>
      <c r="C326" s="1" t="n">
        <v>46038</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14028-2024</t>
        </is>
      </c>
      <c r="B327" s="1" t="n">
        <v>45392</v>
      </c>
      <c r="C327" s="1" t="n">
        <v>46038</v>
      </c>
      <c r="D327" t="inlineStr">
        <is>
          <t>ÖSTERGÖTLANDS LÄN</t>
        </is>
      </c>
      <c r="E327" t="inlineStr">
        <is>
          <t>LINKÖPING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40431-2024</t>
        </is>
      </c>
      <c r="B328" s="1" t="n">
        <v>45555.47070601852</v>
      </c>
      <c r="C328" s="1" t="n">
        <v>46038</v>
      </c>
      <c r="D328" t="inlineStr">
        <is>
          <t>ÖSTERGÖTLANDS LÄN</t>
        </is>
      </c>
      <c r="E328" t="inlineStr">
        <is>
          <t>LINKÖPING</t>
        </is>
      </c>
      <c r="F328" t="inlineStr">
        <is>
          <t>Allmännings- och besparingsskogar</t>
        </is>
      </c>
      <c r="G328" t="n">
        <v>2.9</v>
      </c>
      <c r="H328" t="n">
        <v>0</v>
      </c>
      <c r="I328" t="n">
        <v>0</v>
      </c>
      <c r="J328" t="n">
        <v>0</v>
      </c>
      <c r="K328" t="n">
        <v>0</v>
      </c>
      <c r="L328" t="n">
        <v>0</v>
      </c>
      <c r="M328" t="n">
        <v>0</v>
      </c>
      <c r="N328" t="n">
        <v>0</v>
      </c>
      <c r="O328" t="n">
        <v>0</v>
      </c>
      <c r="P328" t="n">
        <v>0</v>
      </c>
      <c r="Q328" t="n">
        <v>0</v>
      </c>
      <c r="R328" s="2" t="inlineStr"/>
    </row>
    <row r="329" ht="15" customHeight="1">
      <c r="A329" t="inlineStr">
        <is>
          <t>A 48-2024</t>
        </is>
      </c>
      <c r="B329" s="1" t="n">
        <v>45293</v>
      </c>
      <c r="C329" s="1" t="n">
        <v>46038</v>
      </c>
      <c r="D329" t="inlineStr">
        <is>
          <t>ÖSTERGÖTLANDS LÄN</t>
        </is>
      </c>
      <c r="E329" t="inlineStr">
        <is>
          <t>LINKÖPING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45771-2023</t>
        </is>
      </c>
      <c r="B330" s="1" t="n">
        <v>45195.4384375</v>
      </c>
      <c r="C330" s="1" t="n">
        <v>46038</v>
      </c>
      <c r="D330" t="inlineStr">
        <is>
          <t>ÖSTERGÖTLANDS LÄN</t>
        </is>
      </c>
      <c r="E330" t="inlineStr">
        <is>
          <t>LINKÖPING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30547-2023</t>
        </is>
      </c>
      <c r="B331" s="1" t="n">
        <v>45111.75905092592</v>
      </c>
      <c r="C331" s="1" t="n">
        <v>46038</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40502-2024</t>
        </is>
      </c>
      <c r="B332" s="1" t="n">
        <v>45555.57263888889</v>
      </c>
      <c r="C332" s="1" t="n">
        <v>46038</v>
      </c>
      <c r="D332" t="inlineStr">
        <is>
          <t>ÖSTERGÖTLANDS LÄN</t>
        </is>
      </c>
      <c r="E332" t="inlineStr">
        <is>
          <t>LINKÖPING</t>
        </is>
      </c>
      <c r="F332" t="inlineStr">
        <is>
          <t>Allmännings- och besparingsskogar</t>
        </is>
      </c>
      <c r="G332" t="n">
        <v>17.5</v>
      </c>
      <c r="H332" t="n">
        <v>0</v>
      </c>
      <c r="I332" t="n">
        <v>0</v>
      </c>
      <c r="J332" t="n">
        <v>0</v>
      </c>
      <c r="K332" t="n">
        <v>0</v>
      </c>
      <c r="L332" t="n">
        <v>0</v>
      </c>
      <c r="M332" t="n">
        <v>0</v>
      </c>
      <c r="N332" t="n">
        <v>0</v>
      </c>
      <c r="O332" t="n">
        <v>0</v>
      </c>
      <c r="P332" t="n">
        <v>0</v>
      </c>
      <c r="Q332" t="n">
        <v>0</v>
      </c>
      <c r="R332" s="2" t="inlineStr"/>
    </row>
    <row r="333" ht="15" customHeight="1">
      <c r="A333" t="inlineStr">
        <is>
          <t>A 7702-2023</t>
        </is>
      </c>
      <c r="B333" s="1" t="n">
        <v>44967</v>
      </c>
      <c r="C333" s="1" t="n">
        <v>46038</v>
      </c>
      <c r="D333" t="inlineStr">
        <is>
          <t>ÖSTERGÖTLANDS LÄN</t>
        </is>
      </c>
      <c r="E333" t="inlineStr">
        <is>
          <t>LINKÖPING</t>
        </is>
      </c>
      <c r="F333" t="inlineStr">
        <is>
          <t>Övriga statliga verk och myndigheter</t>
        </is>
      </c>
      <c r="G333" t="n">
        <v>8</v>
      </c>
      <c r="H333" t="n">
        <v>0</v>
      </c>
      <c r="I333" t="n">
        <v>0</v>
      </c>
      <c r="J333" t="n">
        <v>0</v>
      </c>
      <c r="K333" t="n">
        <v>0</v>
      </c>
      <c r="L333" t="n">
        <v>0</v>
      </c>
      <c r="M333" t="n">
        <v>0</v>
      </c>
      <c r="N333" t="n">
        <v>0</v>
      </c>
      <c r="O333" t="n">
        <v>0</v>
      </c>
      <c r="P333" t="n">
        <v>0</v>
      </c>
      <c r="Q333" t="n">
        <v>0</v>
      </c>
      <c r="R333" s="2" t="inlineStr"/>
    </row>
    <row r="334" ht="15" customHeight="1">
      <c r="A334" t="inlineStr">
        <is>
          <t>A 12317-2025</t>
        </is>
      </c>
      <c r="B334" s="1" t="n">
        <v>45729.8487037037</v>
      </c>
      <c r="C334" s="1" t="n">
        <v>46038</v>
      </c>
      <c r="D334" t="inlineStr">
        <is>
          <t>ÖSTERGÖTLANDS LÄN</t>
        </is>
      </c>
      <c r="E334" t="inlineStr">
        <is>
          <t>LINKÖPING</t>
        </is>
      </c>
      <c r="G334" t="n">
        <v>8</v>
      </c>
      <c r="H334" t="n">
        <v>0</v>
      </c>
      <c r="I334" t="n">
        <v>0</v>
      </c>
      <c r="J334" t="n">
        <v>0</v>
      </c>
      <c r="K334" t="n">
        <v>0</v>
      </c>
      <c r="L334" t="n">
        <v>0</v>
      </c>
      <c r="M334" t="n">
        <v>0</v>
      </c>
      <c r="N334" t="n">
        <v>0</v>
      </c>
      <c r="O334" t="n">
        <v>0</v>
      </c>
      <c r="P334" t="n">
        <v>0</v>
      </c>
      <c r="Q334" t="n">
        <v>0</v>
      </c>
      <c r="R334" s="2" t="inlineStr"/>
    </row>
    <row r="335" ht="15" customHeight="1">
      <c r="A335" t="inlineStr">
        <is>
          <t>A 60860-2024</t>
        </is>
      </c>
      <c r="B335" s="1" t="n">
        <v>45644.6893287037</v>
      </c>
      <c r="C335" s="1" t="n">
        <v>46038</v>
      </c>
      <c r="D335" t="inlineStr">
        <is>
          <t>ÖSTERGÖTLANDS LÄN</t>
        </is>
      </c>
      <c r="E335" t="inlineStr">
        <is>
          <t>LINKÖPING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36557-2023</t>
        </is>
      </c>
      <c r="B336" s="1" t="n">
        <v>45153</v>
      </c>
      <c r="C336" s="1" t="n">
        <v>46038</v>
      </c>
      <c r="D336" t="inlineStr">
        <is>
          <t>ÖSTERGÖTLANDS LÄN</t>
        </is>
      </c>
      <c r="E336" t="inlineStr">
        <is>
          <t>LINKÖPING</t>
        </is>
      </c>
      <c r="F336" t="inlineStr">
        <is>
          <t>Övriga Aktiebolag</t>
        </is>
      </c>
      <c r="G336" t="n">
        <v>3.1</v>
      </c>
      <c r="H336" t="n">
        <v>0</v>
      </c>
      <c r="I336" t="n">
        <v>0</v>
      </c>
      <c r="J336" t="n">
        <v>0</v>
      </c>
      <c r="K336" t="n">
        <v>0</v>
      </c>
      <c r="L336" t="n">
        <v>0</v>
      </c>
      <c r="M336" t="n">
        <v>0</v>
      </c>
      <c r="N336" t="n">
        <v>0</v>
      </c>
      <c r="O336" t="n">
        <v>0</v>
      </c>
      <c r="P336" t="n">
        <v>0</v>
      </c>
      <c r="Q336" t="n">
        <v>0</v>
      </c>
      <c r="R336" s="2" t="inlineStr"/>
    </row>
    <row r="337" ht="15" customHeight="1">
      <c r="A337" t="inlineStr">
        <is>
          <t>A 2697-2023</t>
        </is>
      </c>
      <c r="B337" s="1" t="n">
        <v>44944</v>
      </c>
      <c r="C337" s="1" t="n">
        <v>46038</v>
      </c>
      <c r="D337" t="inlineStr">
        <is>
          <t>ÖSTERGÖTLANDS LÄN</t>
        </is>
      </c>
      <c r="E337" t="inlineStr">
        <is>
          <t>LINKÖPING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42000-2023</t>
        </is>
      </c>
      <c r="B338" s="1" t="n">
        <v>45177</v>
      </c>
      <c r="C338" s="1" t="n">
        <v>46038</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45806-2024</t>
        </is>
      </c>
      <c r="B339" s="1" t="n">
        <v>45579.69619212963</v>
      </c>
      <c r="C339" s="1" t="n">
        <v>46038</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2085-2024</t>
        </is>
      </c>
      <c r="B340" s="1" t="n">
        <v>45309</v>
      </c>
      <c r="C340" s="1" t="n">
        <v>46038</v>
      </c>
      <c r="D340" t="inlineStr">
        <is>
          <t>ÖSTERGÖTLANDS LÄN</t>
        </is>
      </c>
      <c r="E340" t="inlineStr">
        <is>
          <t>LINKÖPING</t>
        </is>
      </c>
      <c r="G340" t="n">
        <v>4.5</v>
      </c>
      <c r="H340" t="n">
        <v>0</v>
      </c>
      <c r="I340" t="n">
        <v>0</v>
      </c>
      <c r="J340" t="n">
        <v>0</v>
      </c>
      <c r="K340" t="n">
        <v>0</v>
      </c>
      <c r="L340" t="n">
        <v>0</v>
      </c>
      <c r="M340" t="n">
        <v>0</v>
      </c>
      <c r="N340" t="n">
        <v>0</v>
      </c>
      <c r="O340" t="n">
        <v>0</v>
      </c>
      <c r="P340" t="n">
        <v>0</v>
      </c>
      <c r="Q340" t="n">
        <v>0</v>
      </c>
      <c r="R340" s="2" t="inlineStr"/>
    </row>
    <row r="341" ht="15" customHeight="1">
      <c r="A341" t="inlineStr">
        <is>
          <t>A 31534-2023</t>
        </is>
      </c>
      <c r="B341" s="1" t="n">
        <v>45116</v>
      </c>
      <c r="C341" s="1" t="n">
        <v>46038</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56756-2023</t>
        </is>
      </c>
      <c r="B342" s="1" t="n">
        <v>45244</v>
      </c>
      <c r="C342" s="1" t="n">
        <v>46038</v>
      </c>
      <c r="D342" t="inlineStr">
        <is>
          <t>ÖSTERGÖTLANDS LÄN</t>
        </is>
      </c>
      <c r="E342" t="inlineStr">
        <is>
          <t>LINKÖPING</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35427-2023</t>
        </is>
      </c>
      <c r="B343" s="1" t="n">
        <v>45146</v>
      </c>
      <c r="C343" s="1" t="n">
        <v>46038</v>
      </c>
      <c r="D343" t="inlineStr">
        <is>
          <t>ÖSTERGÖTLANDS LÄN</t>
        </is>
      </c>
      <c r="E343" t="inlineStr">
        <is>
          <t>LINKÖPING</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30468-2023</t>
        </is>
      </c>
      <c r="B344" s="1" t="n">
        <v>45111.58732638889</v>
      </c>
      <c r="C344" s="1" t="n">
        <v>46038</v>
      </c>
      <c r="D344" t="inlineStr">
        <is>
          <t>ÖSTERGÖTLANDS LÄN</t>
        </is>
      </c>
      <c r="E344" t="inlineStr">
        <is>
          <t>LINKÖPING</t>
        </is>
      </c>
      <c r="G344" t="n">
        <v>10.1</v>
      </c>
      <c r="H344" t="n">
        <v>0</v>
      </c>
      <c r="I344" t="n">
        <v>0</v>
      </c>
      <c r="J344" t="n">
        <v>0</v>
      </c>
      <c r="K344" t="n">
        <v>0</v>
      </c>
      <c r="L344" t="n">
        <v>0</v>
      </c>
      <c r="M344" t="n">
        <v>0</v>
      </c>
      <c r="N344" t="n">
        <v>0</v>
      </c>
      <c r="O344" t="n">
        <v>0</v>
      </c>
      <c r="P344" t="n">
        <v>0</v>
      </c>
      <c r="Q344" t="n">
        <v>0</v>
      </c>
      <c r="R344" s="2" t="inlineStr"/>
    </row>
    <row r="345" ht="15" customHeight="1">
      <c r="A345" t="inlineStr">
        <is>
          <t>A 36725-2023</t>
        </is>
      </c>
      <c r="B345" s="1" t="n">
        <v>45153.68471064815</v>
      </c>
      <c r="C345" s="1" t="n">
        <v>46038</v>
      </c>
      <c r="D345" t="inlineStr">
        <is>
          <t>ÖSTERGÖTLANDS LÄN</t>
        </is>
      </c>
      <c r="E345" t="inlineStr">
        <is>
          <t>LINKÖPING</t>
        </is>
      </c>
      <c r="F345" t="inlineStr">
        <is>
          <t>Allmännings- och besparingsskogar</t>
        </is>
      </c>
      <c r="G345" t="n">
        <v>2.6</v>
      </c>
      <c r="H345" t="n">
        <v>0</v>
      </c>
      <c r="I345" t="n">
        <v>0</v>
      </c>
      <c r="J345" t="n">
        <v>0</v>
      </c>
      <c r="K345" t="n">
        <v>0</v>
      </c>
      <c r="L345" t="n">
        <v>0</v>
      </c>
      <c r="M345" t="n">
        <v>0</v>
      </c>
      <c r="N345" t="n">
        <v>0</v>
      </c>
      <c r="O345" t="n">
        <v>0</v>
      </c>
      <c r="P345" t="n">
        <v>0</v>
      </c>
      <c r="Q345" t="n">
        <v>0</v>
      </c>
      <c r="R345" s="2" t="inlineStr"/>
    </row>
    <row r="346" ht="15" customHeight="1">
      <c r="A346" t="inlineStr">
        <is>
          <t>A 61281-2021</t>
        </is>
      </c>
      <c r="B346" s="1" t="n">
        <v>44498.60736111111</v>
      </c>
      <c r="C346" s="1" t="n">
        <v>46038</v>
      </c>
      <c r="D346" t="inlineStr">
        <is>
          <t>ÖSTERGÖTLANDS LÄN</t>
        </is>
      </c>
      <c r="E346" t="inlineStr">
        <is>
          <t>LINKÖPING</t>
        </is>
      </c>
      <c r="G346" t="n">
        <v>4.5</v>
      </c>
      <c r="H346" t="n">
        <v>0</v>
      </c>
      <c r="I346" t="n">
        <v>0</v>
      </c>
      <c r="J346" t="n">
        <v>0</v>
      </c>
      <c r="K346" t="n">
        <v>0</v>
      </c>
      <c r="L346" t="n">
        <v>0</v>
      </c>
      <c r="M346" t="n">
        <v>0</v>
      </c>
      <c r="N346" t="n">
        <v>0</v>
      </c>
      <c r="O346" t="n">
        <v>0</v>
      </c>
      <c r="P346" t="n">
        <v>0</v>
      </c>
      <c r="Q346" t="n">
        <v>0</v>
      </c>
      <c r="R346" s="2" t="inlineStr"/>
    </row>
    <row r="347" ht="15" customHeight="1">
      <c r="A347" t="inlineStr">
        <is>
          <t>A 25292-2021</t>
        </is>
      </c>
      <c r="B347" s="1" t="n">
        <v>44342</v>
      </c>
      <c r="C347" s="1" t="n">
        <v>46038</v>
      </c>
      <c r="D347" t="inlineStr">
        <is>
          <t>ÖSTERGÖTLANDS LÄN</t>
        </is>
      </c>
      <c r="E347" t="inlineStr">
        <is>
          <t>LINKÖPING</t>
        </is>
      </c>
      <c r="F347" t="inlineStr">
        <is>
          <t>Övriga Aktiebolag</t>
        </is>
      </c>
      <c r="G347" t="n">
        <v>12.8</v>
      </c>
      <c r="H347" t="n">
        <v>0</v>
      </c>
      <c r="I347" t="n">
        <v>0</v>
      </c>
      <c r="J347" t="n">
        <v>0</v>
      </c>
      <c r="K347" t="n">
        <v>0</v>
      </c>
      <c r="L347" t="n">
        <v>0</v>
      </c>
      <c r="M347" t="n">
        <v>0</v>
      </c>
      <c r="N347" t="n">
        <v>0</v>
      </c>
      <c r="O347" t="n">
        <v>0</v>
      </c>
      <c r="P347" t="n">
        <v>0</v>
      </c>
      <c r="Q347" t="n">
        <v>0</v>
      </c>
      <c r="R347" s="2" t="inlineStr"/>
    </row>
    <row r="348" ht="15" customHeight="1">
      <c r="A348" t="inlineStr">
        <is>
          <t>A 63935-2021</t>
        </is>
      </c>
      <c r="B348" s="1" t="n">
        <v>44509</v>
      </c>
      <c r="C348" s="1" t="n">
        <v>46038</v>
      </c>
      <c r="D348" t="inlineStr">
        <is>
          <t>ÖSTERGÖTLANDS LÄN</t>
        </is>
      </c>
      <c r="E348" t="inlineStr">
        <is>
          <t>LINKÖPING</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60985-2023</t>
        </is>
      </c>
      <c r="B349" s="1" t="n">
        <v>45261.48429398148</v>
      </c>
      <c r="C349" s="1" t="n">
        <v>46038</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38971-2025</t>
        </is>
      </c>
      <c r="B350" s="1" t="n">
        <v>45887.71827546296</v>
      </c>
      <c r="C350" s="1" t="n">
        <v>46038</v>
      </c>
      <c r="D350" t="inlineStr">
        <is>
          <t>ÖSTERGÖTLANDS LÄN</t>
        </is>
      </c>
      <c r="E350" t="inlineStr">
        <is>
          <t>LINKÖPING</t>
        </is>
      </c>
      <c r="G350" t="n">
        <v>3.9</v>
      </c>
      <c r="H350" t="n">
        <v>0</v>
      </c>
      <c r="I350" t="n">
        <v>0</v>
      </c>
      <c r="J350" t="n">
        <v>0</v>
      </c>
      <c r="K350" t="n">
        <v>0</v>
      </c>
      <c r="L350" t="n">
        <v>0</v>
      </c>
      <c r="M350" t="n">
        <v>0</v>
      </c>
      <c r="N350" t="n">
        <v>0</v>
      </c>
      <c r="O350" t="n">
        <v>0</v>
      </c>
      <c r="P350" t="n">
        <v>0</v>
      </c>
      <c r="Q350" t="n">
        <v>0</v>
      </c>
      <c r="R350" s="2" t="inlineStr"/>
    </row>
    <row r="351" ht="15" customHeight="1">
      <c r="A351" t="inlineStr">
        <is>
          <t>A 53639-2023</t>
        </is>
      </c>
      <c r="B351" s="1" t="n">
        <v>45230.59686342593</v>
      </c>
      <c r="C351" s="1" t="n">
        <v>46038</v>
      </c>
      <c r="D351" t="inlineStr">
        <is>
          <t>ÖSTERGÖTLANDS LÄN</t>
        </is>
      </c>
      <c r="E351" t="inlineStr">
        <is>
          <t>LINKÖPING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55345-2021</t>
        </is>
      </c>
      <c r="B352" s="1" t="n">
        <v>44475</v>
      </c>
      <c r="C352" s="1" t="n">
        <v>46038</v>
      </c>
      <c r="D352" t="inlineStr">
        <is>
          <t>ÖSTERGÖTLANDS LÄN</t>
        </is>
      </c>
      <c r="E352" t="inlineStr">
        <is>
          <t>LINKÖPING</t>
        </is>
      </c>
      <c r="G352" t="n">
        <v>5.7</v>
      </c>
      <c r="H352" t="n">
        <v>0</v>
      </c>
      <c r="I352" t="n">
        <v>0</v>
      </c>
      <c r="J352" t="n">
        <v>0</v>
      </c>
      <c r="K352" t="n">
        <v>0</v>
      </c>
      <c r="L352" t="n">
        <v>0</v>
      </c>
      <c r="M352" t="n">
        <v>0</v>
      </c>
      <c r="N352" t="n">
        <v>0</v>
      </c>
      <c r="O352" t="n">
        <v>0</v>
      </c>
      <c r="P352" t="n">
        <v>0</v>
      </c>
      <c r="Q352" t="n">
        <v>0</v>
      </c>
      <c r="R352" s="2" t="inlineStr"/>
    </row>
    <row r="353" ht="15" customHeight="1">
      <c r="A353" t="inlineStr">
        <is>
          <t>A 38715-2023</t>
        </is>
      </c>
      <c r="B353" s="1" t="n">
        <v>45160</v>
      </c>
      <c r="C353" s="1" t="n">
        <v>46038</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24904-2024</t>
        </is>
      </c>
      <c r="B354" s="1" t="n">
        <v>45461</v>
      </c>
      <c r="C354" s="1" t="n">
        <v>46038</v>
      </c>
      <c r="D354" t="inlineStr">
        <is>
          <t>ÖSTERGÖTLANDS LÄN</t>
        </is>
      </c>
      <c r="E354" t="inlineStr">
        <is>
          <t>LINKÖPING</t>
        </is>
      </c>
      <c r="G354" t="n">
        <v>3.8</v>
      </c>
      <c r="H354" t="n">
        <v>0</v>
      </c>
      <c r="I354" t="n">
        <v>0</v>
      </c>
      <c r="J354" t="n">
        <v>0</v>
      </c>
      <c r="K354" t="n">
        <v>0</v>
      </c>
      <c r="L354" t="n">
        <v>0</v>
      </c>
      <c r="M354" t="n">
        <v>0</v>
      </c>
      <c r="N354" t="n">
        <v>0</v>
      </c>
      <c r="O354" t="n">
        <v>0</v>
      </c>
      <c r="P354" t="n">
        <v>0</v>
      </c>
      <c r="Q354" t="n">
        <v>0</v>
      </c>
      <c r="R354" s="2" t="inlineStr"/>
    </row>
    <row r="355" ht="15" customHeight="1">
      <c r="A355" t="inlineStr">
        <is>
          <t>A 55009-2023</t>
        </is>
      </c>
      <c r="B355" s="1" t="n">
        <v>45237</v>
      </c>
      <c r="C355" s="1" t="n">
        <v>46038</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34872-2023</t>
        </is>
      </c>
      <c r="B356" s="1" t="n">
        <v>45140</v>
      </c>
      <c r="C356" s="1" t="n">
        <v>46038</v>
      </c>
      <c r="D356" t="inlineStr">
        <is>
          <t>ÖSTERGÖTLANDS LÄN</t>
        </is>
      </c>
      <c r="E356" t="inlineStr">
        <is>
          <t>LINKÖPING</t>
        </is>
      </c>
      <c r="G356" t="n">
        <v>4.8</v>
      </c>
      <c r="H356" t="n">
        <v>0</v>
      </c>
      <c r="I356" t="n">
        <v>0</v>
      </c>
      <c r="J356" t="n">
        <v>0</v>
      </c>
      <c r="K356" t="n">
        <v>0</v>
      </c>
      <c r="L356" t="n">
        <v>0</v>
      </c>
      <c r="M356" t="n">
        <v>0</v>
      </c>
      <c r="N356" t="n">
        <v>0</v>
      </c>
      <c r="O356" t="n">
        <v>0</v>
      </c>
      <c r="P356" t="n">
        <v>0</v>
      </c>
      <c r="Q356" t="n">
        <v>0</v>
      </c>
      <c r="R356" s="2" t="inlineStr"/>
    </row>
    <row r="357" ht="15" customHeight="1">
      <c r="A357" t="inlineStr">
        <is>
          <t>A 1657-2024</t>
        </is>
      </c>
      <c r="B357" s="1" t="n">
        <v>45306.82501157407</v>
      </c>
      <c r="C357" s="1" t="n">
        <v>46038</v>
      </c>
      <c r="D357" t="inlineStr">
        <is>
          <t>ÖSTERGÖTLANDS LÄN</t>
        </is>
      </c>
      <c r="E357" t="inlineStr">
        <is>
          <t>LINKÖPING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50784-2022</t>
        </is>
      </c>
      <c r="B358" s="1" t="n">
        <v>44862</v>
      </c>
      <c r="C358" s="1" t="n">
        <v>46038</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26803-2024</t>
        </is>
      </c>
      <c r="B359" s="1" t="n">
        <v>45470</v>
      </c>
      <c r="C359" s="1" t="n">
        <v>46038</v>
      </c>
      <c r="D359" t="inlineStr">
        <is>
          <t>ÖSTERGÖTLANDS LÄN</t>
        </is>
      </c>
      <c r="E359" t="inlineStr">
        <is>
          <t>LINKÖPING</t>
        </is>
      </c>
      <c r="F359" t="inlineStr">
        <is>
          <t>Allmännings- och besparingsskogar</t>
        </is>
      </c>
      <c r="G359" t="n">
        <v>4.5</v>
      </c>
      <c r="H359" t="n">
        <v>0</v>
      </c>
      <c r="I359" t="n">
        <v>0</v>
      </c>
      <c r="J359" t="n">
        <v>0</v>
      </c>
      <c r="K359" t="n">
        <v>0</v>
      </c>
      <c r="L359" t="n">
        <v>0</v>
      </c>
      <c r="M359" t="n">
        <v>0</v>
      </c>
      <c r="N359" t="n">
        <v>0</v>
      </c>
      <c r="O359" t="n">
        <v>0</v>
      </c>
      <c r="P359" t="n">
        <v>0</v>
      </c>
      <c r="Q359" t="n">
        <v>0</v>
      </c>
      <c r="R359" s="2" t="inlineStr"/>
    </row>
    <row r="360" ht="15" customHeight="1">
      <c r="A360" t="inlineStr">
        <is>
          <t>A 19187-2021</t>
        </is>
      </c>
      <c r="B360" s="1" t="n">
        <v>44308</v>
      </c>
      <c r="C360" s="1" t="n">
        <v>46038</v>
      </c>
      <c r="D360" t="inlineStr">
        <is>
          <t>ÖSTERGÖTLANDS LÄN</t>
        </is>
      </c>
      <c r="E360" t="inlineStr">
        <is>
          <t>LINKÖPING</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36336-2022</t>
        </is>
      </c>
      <c r="B361" s="1" t="n">
        <v>44803</v>
      </c>
      <c r="C361" s="1" t="n">
        <v>46038</v>
      </c>
      <c r="D361" t="inlineStr">
        <is>
          <t>ÖSTERGÖTLANDS LÄN</t>
        </is>
      </c>
      <c r="E361" t="inlineStr">
        <is>
          <t>LINKÖPING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34864-2023</t>
        </is>
      </c>
      <c r="B362" s="1" t="n">
        <v>45141</v>
      </c>
      <c r="C362" s="1" t="n">
        <v>46038</v>
      </c>
      <c r="D362" t="inlineStr">
        <is>
          <t>ÖSTERGÖTLANDS LÄN</t>
        </is>
      </c>
      <c r="E362" t="inlineStr">
        <is>
          <t>LINKÖPING</t>
        </is>
      </c>
      <c r="G362" t="n">
        <v>3.3</v>
      </c>
      <c r="H362" t="n">
        <v>0</v>
      </c>
      <c r="I362" t="n">
        <v>0</v>
      </c>
      <c r="J362" t="n">
        <v>0</v>
      </c>
      <c r="K362" t="n">
        <v>0</v>
      </c>
      <c r="L362" t="n">
        <v>0</v>
      </c>
      <c r="M362" t="n">
        <v>0</v>
      </c>
      <c r="N362" t="n">
        <v>0</v>
      </c>
      <c r="O362" t="n">
        <v>0</v>
      </c>
      <c r="P362" t="n">
        <v>0</v>
      </c>
      <c r="Q362" t="n">
        <v>0</v>
      </c>
      <c r="R362" s="2" t="inlineStr"/>
    </row>
    <row r="363" ht="15" customHeight="1">
      <c r="A363" t="inlineStr">
        <is>
          <t>A 25097-2023</t>
        </is>
      </c>
      <c r="B363" s="1" t="n">
        <v>45086</v>
      </c>
      <c r="C363" s="1" t="n">
        <v>46038</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60472-2022</t>
        </is>
      </c>
      <c r="B364" s="1" t="n">
        <v>44911.41037037037</v>
      </c>
      <c r="C364" s="1" t="n">
        <v>46038</v>
      </c>
      <c r="D364" t="inlineStr">
        <is>
          <t>ÖSTERGÖTLANDS LÄN</t>
        </is>
      </c>
      <c r="E364" t="inlineStr">
        <is>
          <t>LINKÖPING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46687-2021</t>
        </is>
      </c>
      <c r="B365" s="1" t="n">
        <v>44445</v>
      </c>
      <c r="C365" s="1" t="n">
        <v>46038</v>
      </c>
      <c r="D365" t="inlineStr">
        <is>
          <t>ÖSTERGÖTLANDS LÄN</t>
        </is>
      </c>
      <c r="E365" t="inlineStr">
        <is>
          <t>LINKÖPING</t>
        </is>
      </c>
      <c r="F365" t="inlineStr">
        <is>
          <t>Övriga statliga verk och myndigheter</t>
        </is>
      </c>
      <c r="G365" t="n">
        <v>2.3</v>
      </c>
      <c r="H365" t="n">
        <v>0</v>
      </c>
      <c r="I365" t="n">
        <v>0</v>
      </c>
      <c r="J365" t="n">
        <v>0</v>
      </c>
      <c r="K365" t="n">
        <v>0</v>
      </c>
      <c r="L365" t="n">
        <v>0</v>
      </c>
      <c r="M365" t="n">
        <v>0</v>
      </c>
      <c r="N365" t="n">
        <v>0</v>
      </c>
      <c r="O365" t="n">
        <v>0</v>
      </c>
      <c r="P365" t="n">
        <v>0</v>
      </c>
      <c r="Q365" t="n">
        <v>0</v>
      </c>
      <c r="R365" s="2" t="inlineStr"/>
    </row>
    <row r="366" ht="15" customHeight="1">
      <c r="A366" t="inlineStr">
        <is>
          <t>A 43934-2023</t>
        </is>
      </c>
      <c r="B366" s="1" t="n">
        <v>45187</v>
      </c>
      <c r="C366" s="1" t="n">
        <v>46038</v>
      </c>
      <c r="D366" t="inlineStr">
        <is>
          <t>ÖSTERGÖTLANDS LÄN</t>
        </is>
      </c>
      <c r="E366" t="inlineStr">
        <is>
          <t>LINKÖPING</t>
        </is>
      </c>
      <c r="F366" t="inlineStr">
        <is>
          <t>Övriga Aktiebolag</t>
        </is>
      </c>
      <c r="G366" t="n">
        <v>3.8</v>
      </c>
      <c r="H366" t="n">
        <v>0</v>
      </c>
      <c r="I366" t="n">
        <v>0</v>
      </c>
      <c r="J366" t="n">
        <v>0</v>
      </c>
      <c r="K366" t="n">
        <v>0</v>
      </c>
      <c r="L366" t="n">
        <v>0</v>
      </c>
      <c r="M366" t="n">
        <v>0</v>
      </c>
      <c r="N366" t="n">
        <v>0</v>
      </c>
      <c r="O366" t="n">
        <v>0</v>
      </c>
      <c r="P366" t="n">
        <v>0</v>
      </c>
      <c r="Q366" t="n">
        <v>0</v>
      </c>
      <c r="R366" s="2" t="inlineStr"/>
    </row>
    <row r="367" ht="15" customHeight="1">
      <c r="A367" t="inlineStr">
        <is>
          <t>A 22774-2024</t>
        </is>
      </c>
      <c r="B367" s="1" t="n">
        <v>45448.46924768519</v>
      </c>
      <c r="C367" s="1" t="n">
        <v>46038</v>
      </c>
      <c r="D367" t="inlineStr">
        <is>
          <t>ÖSTERGÖTLANDS LÄN</t>
        </is>
      </c>
      <c r="E367" t="inlineStr">
        <is>
          <t>LINKÖPING</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22778-2024</t>
        </is>
      </c>
      <c r="B368" s="1" t="n">
        <v>45448.47233796296</v>
      </c>
      <c r="C368" s="1" t="n">
        <v>46038</v>
      </c>
      <c r="D368" t="inlineStr">
        <is>
          <t>ÖSTERGÖTLANDS LÄN</t>
        </is>
      </c>
      <c r="E368" t="inlineStr">
        <is>
          <t>LINKÖPING</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10461-2023</t>
        </is>
      </c>
      <c r="B369" s="1" t="n">
        <v>44987.5969212963</v>
      </c>
      <c r="C369" s="1" t="n">
        <v>46038</v>
      </c>
      <c r="D369" t="inlineStr">
        <is>
          <t>ÖSTERGÖTLANDS LÄN</t>
        </is>
      </c>
      <c r="E369" t="inlineStr">
        <is>
          <t>LINKÖPING</t>
        </is>
      </c>
      <c r="G369" t="n">
        <v>7.8</v>
      </c>
      <c r="H369" t="n">
        <v>0</v>
      </c>
      <c r="I369" t="n">
        <v>0</v>
      </c>
      <c r="J369" t="n">
        <v>0</v>
      </c>
      <c r="K369" t="n">
        <v>0</v>
      </c>
      <c r="L369" t="n">
        <v>0</v>
      </c>
      <c r="M369" t="n">
        <v>0</v>
      </c>
      <c r="N369" t="n">
        <v>0</v>
      </c>
      <c r="O369" t="n">
        <v>0</v>
      </c>
      <c r="P369" t="n">
        <v>0</v>
      </c>
      <c r="Q369" t="n">
        <v>0</v>
      </c>
      <c r="R369" s="2" t="inlineStr"/>
    </row>
    <row r="370" ht="15" customHeight="1">
      <c r="A370" t="inlineStr">
        <is>
          <t>A 1209-2023</t>
        </is>
      </c>
      <c r="B370" s="1" t="n">
        <v>44930</v>
      </c>
      <c r="C370" s="1" t="n">
        <v>46038</v>
      </c>
      <c r="D370" t="inlineStr">
        <is>
          <t>ÖSTERGÖTLANDS LÄN</t>
        </is>
      </c>
      <c r="E370" t="inlineStr">
        <is>
          <t>LINKÖPING</t>
        </is>
      </c>
      <c r="F370" t="inlineStr">
        <is>
          <t>Övriga statliga verk och myndigheter</t>
        </is>
      </c>
      <c r="G370" t="n">
        <v>25.8</v>
      </c>
      <c r="H370" t="n">
        <v>0</v>
      </c>
      <c r="I370" t="n">
        <v>0</v>
      </c>
      <c r="J370" t="n">
        <v>0</v>
      </c>
      <c r="K370" t="n">
        <v>0</v>
      </c>
      <c r="L370" t="n">
        <v>0</v>
      </c>
      <c r="M370" t="n">
        <v>0</v>
      </c>
      <c r="N370" t="n">
        <v>0</v>
      </c>
      <c r="O370" t="n">
        <v>0</v>
      </c>
      <c r="P370" t="n">
        <v>0</v>
      </c>
      <c r="Q370" t="n">
        <v>0</v>
      </c>
      <c r="R370" s="2" t="inlineStr"/>
    </row>
    <row r="371" ht="15" customHeight="1">
      <c r="A371" t="inlineStr">
        <is>
          <t>A 17103-2025</t>
        </is>
      </c>
      <c r="B371" s="1" t="n">
        <v>45755.66143518518</v>
      </c>
      <c r="C371" s="1" t="n">
        <v>46038</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50386-2021</t>
        </is>
      </c>
      <c r="B372" s="1" t="n">
        <v>44459</v>
      </c>
      <c r="C372" s="1" t="n">
        <v>46038</v>
      </c>
      <c r="D372" t="inlineStr">
        <is>
          <t>ÖSTERGÖTLANDS LÄN</t>
        </is>
      </c>
      <c r="E372" t="inlineStr">
        <is>
          <t>LINKÖPING</t>
        </is>
      </c>
      <c r="G372" t="n">
        <v>2.3</v>
      </c>
      <c r="H372" t="n">
        <v>0</v>
      </c>
      <c r="I372" t="n">
        <v>0</v>
      </c>
      <c r="J372" t="n">
        <v>0</v>
      </c>
      <c r="K372" t="n">
        <v>0</v>
      </c>
      <c r="L372" t="n">
        <v>0</v>
      </c>
      <c r="M372" t="n">
        <v>0</v>
      </c>
      <c r="N372" t="n">
        <v>0</v>
      </c>
      <c r="O372" t="n">
        <v>0</v>
      </c>
      <c r="P372" t="n">
        <v>0</v>
      </c>
      <c r="Q372" t="n">
        <v>0</v>
      </c>
      <c r="R372" s="2" t="inlineStr"/>
    </row>
    <row r="373" ht="15" customHeight="1">
      <c r="A373" t="inlineStr">
        <is>
          <t>A 10407-2025</t>
        </is>
      </c>
      <c r="B373" s="1" t="n">
        <v>45720.62863425926</v>
      </c>
      <c r="C373" s="1" t="n">
        <v>46038</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11590-2023</t>
        </is>
      </c>
      <c r="B374" s="1" t="n">
        <v>44994.36689814815</v>
      </c>
      <c r="C374" s="1" t="n">
        <v>46038</v>
      </c>
      <c r="D374" t="inlineStr">
        <is>
          <t>ÖSTERGÖTLANDS LÄN</t>
        </is>
      </c>
      <c r="E374" t="inlineStr">
        <is>
          <t>LINKÖPING</t>
        </is>
      </c>
      <c r="G374" t="n">
        <v>3.1</v>
      </c>
      <c r="H374" t="n">
        <v>0</v>
      </c>
      <c r="I374" t="n">
        <v>0</v>
      </c>
      <c r="J374" t="n">
        <v>0</v>
      </c>
      <c r="K374" t="n">
        <v>0</v>
      </c>
      <c r="L374" t="n">
        <v>0</v>
      </c>
      <c r="M374" t="n">
        <v>0</v>
      </c>
      <c r="N374" t="n">
        <v>0</v>
      </c>
      <c r="O374" t="n">
        <v>0</v>
      </c>
      <c r="P374" t="n">
        <v>0</v>
      </c>
      <c r="Q374" t="n">
        <v>0</v>
      </c>
      <c r="R374" s="2" t="inlineStr"/>
    </row>
    <row r="375" ht="15" customHeight="1">
      <c r="A375" t="inlineStr">
        <is>
          <t>A 19169-2023</t>
        </is>
      </c>
      <c r="B375" s="1" t="n">
        <v>45044</v>
      </c>
      <c r="C375" s="1" t="n">
        <v>46038</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350-2022</t>
        </is>
      </c>
      <c r="B376" s="1" t="n">
        <v>44565</v>
      </c>
      <c r="C376" s="1" t="n">
        <v>46038</v>
      </c>
      <c r="D376" t="inlineStr">
        <is>
          <t>ÖSTERGÖTLANDS LÄN</t>
        </is>
      </c>
      <c r="E376" t="inlineStr">
        <is>
          <t>LINKÖPING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18891-2022</t>
        </is>
      </c>
      <c r="B377" s="1" t="n">
        <v>44690</v>
      </c>
      <c r="C377" s="1" t="n">
        <v>46038</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672-2024</t>
        </is>
      </c>
      <c r="B378" s="1" t="n">
        <v>45300</v>
      </c>
      <c r="C378" s="1" t="n">
        <v>46038</v>
      </c>
      <c r="D378" t="inlineStr">
        <is>
          <t>ÖSTERGÖTLANDS LÄN</t>
        </is>
      </c>
      <c r="E378" t="inlineStr">
        <is>
          <t>LINKÖPING</t>
        </is>
      </c>
      <c r="F378" t="inlineStr">
        <is>
          <t>Sveaskog</t>
        </is>
      </c>
      <c r="G378" t="n">
        <v>4.5</v>
      </c>
      <c r="H378" t="n">
        <v>0</v>
      </c>
      <c r="I378" t="n">
        <v>0</v>
      </c>
      <c r="J378" t="n">
        <v>0</v>
      </c>
      <c r="K378" t="n">
        <v>0</v>
      </c>
      <c r="L378" t="n">
        <v>0</v>
      </c>
      <c r="M378" t="n">
        <v>0</v>
      </c>
      <c r="N378" t="n">
        <v>0</v>
      </c>
      <c r="O378" t="n">
        <v>0</v>
      </c>
      <c r="P378" t="n">
        <v>0</v>
      </c>
      <c r="Q378" t="n">
        <v>0</v>
      </c>
      <c r="R378" s="2" t="inlineStr"/>
    </row>
    <row r="379" ht="15" customHeight="1">
      <c r="A379" t="inlineStr">
        <is>
          <t>A 55493-2021</t>
        </is>
      </c>
      <c r="B379" s="1" t="n">
        <v>44475.61988425926</v>
      </c>
      <c r="C379" s="1" t="n">
        <v>46038</v>
      </c>
      <c r="D379" t="inlineStr">
        <is>
          <t>ÖSTERGÖTLANDS LÄN</t>
        </is>
      </c>
      <c r="E379" t="inlineStr">
        <is>
          <t>LINKÖPING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30976-2022</t>
        </is>
      </c>
      <c r="B380" s="1" t="n">
        <v>44768</v>
      </c>
      <c r="C380" s="1" t="n">
        <v>46038</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3008-2023</t>
        </is>
      </c>
      <c r="B381" s="1" t="n">
        <v>44945.79784722222</v>
      </c>
      <c r="C381" s="1" t="n">
        <v>46038</v>
      </c>
      <c r="D381" t="inlineStr">
        <is>
          <t>ÖSTERGÖTLANDS LÄN</t>
        </is>
      </c>
      <c r="E381" t="inlineStr">
        <is>
          <t>LINKÖPING</t>
        </is>
      </c>
      <c r="G381" t="n">
        <v>19.3</v>
      </c>
      <c r="H381" t="n">
        <v>0</v>
      </c>
      <c r="I381" t="n">
        <v>0</v>
      </c>
      <c r="J381" t="n">
        <v>0</v>
      </c>
      <c r="K381" t="n">
        <v>0</v>
      </c>
      <c r="L381" t="n">
        <v>0</v>
      </c>
      <c r="M381" t="n">
        <v>0</v>
      </c>
      <c r="N381" t="n">
        <v>0</v>
      </c>
      <c r="O381" t="n">
        <v>0</v>
      </c>
      <c r="P381" t="n">
        <v>0</v>
      </c>
      <c r="Q381" t="n">
        <v>0</v>
      </c>
      <c r="R381" s="2" t="inlineStr"/>
    </row>
    <row r="382" ht="15" customHeight="1">
      <c r="A382" t="inlineStr">
        <is>
          <t>A 55736-2022</t>
        </is>
      </c>
      <c r="B382" s="1" t="n">
        <v>44888</v>
      </c>
      <c r="C382" s="1" t="n">
        <v>46038</v>
      </c>
      <c r="D382" t="inlineStr">
        <is>
          <t>ÖSTERGÖTLANDS LÄN</t>
        </is>
      </c>
      <c r="E382" t="inlineStr">
        <is>
          <t>LINKÖPING</t>
        </is>
      </c>
      <c r="G382" t="n">
        <v>5.5</v>
      </c>
      <c r="H382" t="n">
        <v>0</v>
      </c>
      <c r="I382" t="n">
        <v>0</v>
      </c>
      <c r="J382" t="n">
        <v>0</v>
      </c>
      <c r="K382" t="n">
        <v>0</v>
      </c>
      <c r="L382" t="n">
        <v>0</v>
      </c>
      <c r="M382" t="n">
        <v>0</v>
      </c>
      <c r="N382" t="n">
        <v>0</v>
      </c>
      <c r="O382" t="n">
        <v>0</v>
      </c>
      <c r="P382" t="n">
        <v>0</v>
      </c>
      <c r="Q382" t="n">
        <v>0</v>
      </c>
      <c r="R382" s="2" t="inlineStr"/>
    </row>
    <row r="383" ht="15" customHeight="1">
      <c r="A383" t="inlineStr">
        <is>
          <t>A 14093-2024</t>
        </is>
      </c>
      <c r="B383" s="1" t="n">
        <v>45392.60278935185</v>
      </c>
      <c r="C383" s="1" t="n">
        <v>46038</v>
      </c>
      <c r="D383" t="inlineStr">
        <is>
          <t>ÖSTERGÖTLANDS LÄN</t>
        </is>
      </c>
      <c r="E383" t="inlineStr">
        <is>
          <t>LINKÖPING</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62019-2024</t>
        </is>
      </c>
      <c r="B384" s="1" t="n">
        <v>45655.82</v>
      </c>
      <c r="C384" s="1" t="n">
        <v>46038</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40618-2021</t>
        </is>
      </c>
      <c r="B385" s="1" t="n">
        <v>44420.49575231481</v>
      </c>
      <c r="C385" s="1" t="n">
        <v>46038</v>
      </c>
      <c r="D385" t="inlineStr">
        <is>
          <t>ÖSTERGÖTLANDS LÄN</t>
        </is>
      </c>
      <c r="E385" t="inlineStr">
        <is>
          <t>LINKÖPING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25119-2023</t>
        </is>
      </c>
      <c r="B386" s="1" t="n">
        <v>45086.42326388889</v>
      </c>
      <c r="C386" s="1" t="n">
        <v>46038</v>
      </c>
      <c r="D386" t="inlineStr">
        <is>
          <t>ÖSTERGÖTLANDS LÄN</t>
        </is>
      </c>
      <c r="E386" t="inlineStr">
        <is>
          <t>LINKÖPING</t>
        </is>
      </c>
      <c r="G386" t="n">
        <v>3.2</v>
      </c>
      <c r="H386" t="n">
        <v>0</v>
      </c>
      <c r="I386" t="n">
        <v>0</v>
      </c>
      <c r="J386" t="n">
        <v>0</v>
      </c>
      <c r="K386" t="n">
        <v>0</v>
      </c>
      <c r="L386" t="n">
        <v>0</v>
      </c>
      <c r="M386" t="n">
        <v>0</v>
      </c>
      <c r="N386" t="n">
        <v>0</v>
      </c>
      <c r="O386" t="n">
        <v>0</v>
      </c>
      <c r="P386" t="n">
        <v>0</v>
      </c>
      <c r="Q386" t="n">
        <v>0</v>
      </c>
      <c r="R386" s="2" t="inlineStr"/>
    </row>
    <row r="387" ht="15" customHeight="1">
      <c r="A387" t="inlineStr">
        <is>
          <t>A 56180-2024</t>
        </is>
      </c>
      <c r="B387" s="1" t="n">
        <v>45624.56611111111</v>
      </c>
      <c r="C387" s="1" t="n">
        <v>46038</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39438-2025</t>
        </is>
      </c>
      <c r="B388" s="1" t="n">
        <v>45889.68641203704</v>
      </c>
      <c r="C388" s="1" t="n">
        <v>46038</v>
      </c>
      <c r="D388" t="inlineStr">
        <is>
          <t>ÖSTERGÖTLANDS LÄN</t>
        </is>
      </c>
      <c r="E388" t="inlineStr">
        <is>
          <t>LINKÖPING</t>
        </is>
      </c>
      <c r="G388" t="n">
        <v>2.4</v>
      </c>
      <c r="H388" t="n">
        <v>0</v>
      </c>
      <c r="I388" t="n">
        <v>0</v>
      </c>
      <c r="J388" t="n">
        <v>0</v>
      </c>
      <c r="K388" t="n">
        <v>0</v>
      </c>
      <c r="L388" t="n">
        <v>0</v>
      </c>
      <c r="M388" t="n">
        <v>0</v>
      </c>
      <c r="N388" t="n">
        <v>0</v>
      </c>
      <c r="O388" t="n">
        <v>0</v>
      </c>
      <c r="P388" t="n">
        <v>0</v>
      </c>
      <c r="Q388" t="n">
        <v>0</v>
      </c>
      <c r="R388" s="2" t="inlineStr"/>
    </row>
    <row r="389" ht="15" customHeight="1">
      <c r="A389" t="inlineStr">
        <is>
          <t>A 27264-2025</t>
        </is>
      </c>
      <c r="B389" s="1" t="n">
        <v>45812.4794212963</v>
      </c>
      <c r="C389" s="1" t="n">
        <v>46038</v>
      </c>
      <c r="D389" t="inlineStr">
        <is>
          <t>ÖSTERGÖTLANDS LÄN</t>
        </is>
      </c>
      <c r="E389" t="inlineStr">
        <is>
          <t>LINKÖPING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57396-2021</t>
        </is>
      </c>
      <c r="B390" s="1" t="n">
        <v>44483.56151620371</v>
      </c>
      <c r="C390" s="1" t="n">
        <v>46038</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51571-2024</t>
        </is>
      </c>
      <c r="B391" s="1" t="n">
        <v>45604</v>
      </c>
      <c r="C391" s="1" t="n">
        <v>46038</v>
      </c>
      <c r="D391" t="inlineStr">
        <is>
          <t>ÖSTERGÖTLANDS LÄN</t>
        </is>
      </c>
      <c r="E391" t="inlineStr">
        <is>
          <t>LINKÖPING</t>
        </is>
      </c>
      <c r="F391" t="inlineStr">
        <is>
          <t>Övriga Aktiebolag</t>
        </is>
      </c>
      <c r="G391" t="n">
        <v>1.4</v>
      </c>
      <c r="H391" t="n">
        <v>0</v>
      </c>
      <c r="I391" t="n">
        <v>0</v>
      </c>
      <c r="J391" t="n">
        <v>0</v>
      </c>
      <c r="K391" t="n">
        <v>0</v>
      </c>
      <c r="L391" t="n">
        <v>0</v>
      </c>
      <c r="M391" t="n">
        <v>0</v>
      </c>
      <c r="N391" t="n">
        <v>0</v>
      </c>
      <c r="O391" t="n">
        <v>0</v>
      </c>
      <c r="P391" t="n">
        <v>0</v>
      </c>
      <c r="Q391" t="n">
        <v>0</v>
      </c>
      <c r="R391" s="2" t="inlineStr"/>
    </row>
    <row r="392" ht="15" customHeight="1">
      <c r="A392" t="inlineStr">
        <is>
          <t>A 17143-2025</t>
        </is>
      </c>
      <c r="B392" s="1" t="n">
        <v>45755.92731481481</v>
      </c>
      <c r="C392" s="1" t="n">
        <v>46038</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39074-2025</t>
        </is>
      </c>
      <c r="B393" s="1" t="n">
        <v>45888</v>
      </c>
      <c r="C393" s="1" t="n">
        <v>46038</v>
      </c>
      <c r="D393" t="inlineStr">
        <is>
          <t>ÖSTERGÖTLANDS LÄN</t>
        </is>
      </c>
      <c r="E393" t="inlineStr">
        <is>
          <t>LINKÖPING</t>
        </is>
      </c>
      <c r="G393" t="n">
        <v>2.9</v>
      </c>
      <c r="H393" t="n">
        <v>0</v>
      </c>
      <c r="I393" t="n">
        <v>0</v>
      </c>
      <c r="J393" t="n">
        <v>0</v>
      </c>
      <c r="K393" t="n">
        <v>0</v>
      </c>
      <c r="L393" t="n">
        <v>0</v>
      </c>
      <c r="M393" t="n">
        <v>0</v>
      </c>
      <c r="N393" t="n">
        <v>0</v>
      </c>
      <c r="O393" t="n">
        <v>0</v>
      </c>
      <c r="P393" t="n">
        <v>0</v>
      </c>
      <c r="Q393" t="n">
        <v>0</v>
      </c>
      <c r="R393" s="2" t="inlineStr"/>
    </row>
    <row r="394" ht="15" customHeight="1">
      <c r="A394" t="inlineStr">
        <is>
          <t>A 72567-2021</t>
        </is>
      </c>
      <c r="B394" s="1" t="n">
        <v>44546.45023148148</v>
      </c>
      <c r="C394" s="1" t="n">
        <v>46038</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30471-2023</t>
        </is>
      </c>
      <c r="B395" s="1" t="n">
        <v>45111.58931712963</v>
      </c>
      <c r="C395" s="1" t="n">
        <v>46038</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17124-2025</t>
        </is>
      </c>
      <c r="B396" s="1" t="n">
        <v>45755.69678240741</v>
      </c>
      <c r="C396" s="1" t="n">
        <v>46038</v>
      </c>
      <c r="D396" t="inlineStr">
        <is>
          <t>ÖSTERGÖTLANDS LÄN</t>
        </is>
      </c>
      <c r="E396" t="inlineStr">
        <is>
          <t>LINKÖPING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17126-2025</t>
        </is>
      </c>
      <c r="B397" s="1" t="n">
        <v>45755.70814814815</v>
      </c>
      <c r="C397" s="1" t="n">
        <v>46038</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227-2024</t>
        </is>
      </c>
      <c r="B398" s="1" t="n">
        <v>45294.73603009259</v>
      </c>
      <c r="C398" s="1" t="n">
        <v>46038</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31640-2023</t>
        </is>
      </c>
      <c r="B399" s="1" t="n">
        <v>45117</v>
      </c>
      <c r="C399" s="1" t="n">
        <v>46038</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40169-2025</t>
        </is>
      </c>
      <c r="B400" s="1" t="n">
        <v>45894.62824074074</v>
      </c>
      <c r="C400" s="1" t="n">
        <v>46038</v>
      </c>
      <c r="D400" t="inlineStr">
        <is>
          <t>ÖSTERGÖTLANDS LÄN</t>
        </is>
      </c>
      <c r="E400" t="inlineStr">
        <is>
          <t>LINKÖPING</t>
        </is>
      </c>
      <c r="G400" t="n">
        <v>2.8</v>
      </c>
      <c r="H400" t="n">
        <v>0</v>
      </c>
      <c r="I400" t="n">
        <v>0</v>
      </c>
      <c r="J400" t="n">
        <v>0</v>
      </c>
      <c r="K400" t="n">
        <v>0</v>
      </c>
      <c r="L400" t="n">
        <v>0</v>
      </c>
      <c r="M400" t="n">
        <v>0</v>
      </c>
      <c r="N400" t="n">
        <v>0</v>
      </c>
      <c r="O400" t="n">
        <v>0</v>
      </c>
      <c r="P400" t="n">
        <v>0</v>
      </c>
      <c r="Q400" t="n">
        <v>0</v>
      </c>
      <c r="R400" s="2" t="inlineStr"/>
    </row>
    <row r="401" ht="15" customHeight="1">
      <c r="A401" t="inlineStr">
        <is>
          <t>A 44155-2024</t>
        </is>
      </c>
      <c r="B401" s="1" t="n">
        <v>45572.68226851852</v>
      </c>
      <c r="C401" s="1" t="n">
        <v>46038</v>
      </c>
      <c r="D401" t="inlineStr">
        <is>
          <t>ÖSTERGÖTLANDS LÄN</t>
        </is>
      </c>
      <c r="E401" t="inlineStr">
        <is>
          <t>LINKÖPING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11790-2024</t>
        </is>
      </c>
      <c r="B402" s="1" t="n">
        <v>45374</v>
      </c>
      <c r="C402" s="1" t="n">
        <v>46038</v>
      </c>
      <c r="D402" t="inlineStr">
        <is>
          <t>ÖSTERGÖTLANDS LÄN</t>
        </is>
      </c>
      <c r="E402" t="inlineStr">
        <is>
          <t>LINKÖPING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61281-2021</t>
        </is>
      </c>
      <c r="B403" s="1" t="n">
        <v>44498.60736111111</v>
      </c>
      <c r="C403" s="1" t="n">
        <v>46038</v>
      </c>
      <c r="D403" t="inlineStr">
        <is>
          <t>ÖSTERGÖTLANDS LÄN</t>
        </is>
      </c>
      <c r="E403" t="inlineStr">
        <is>
          <t>LINKÖPING</t>
        </is>
      </c>
      <c r="G403" t="n">
        <v>4.5</v>
      </c>
      <c r="H403" t="n">
        <v>0</v>
      </c>
      <c r="I403" t="n">
        <v>0</v>
      </c>
      <c r="J403" t="n">
        <v>0</v>
      </c>
      <c r="K403" t="n">
        <v>0</v>
      </c>
      <c r="L403" t="n">
        <v>0</v>
      </c>
      <c r="M403" t="n">
        <v>0</v>
      </c>
      <c r="N403" t="n">
        <v>0</v>
      </c>
      <c r="O403" t="n">
        <v>0</v>
      </c>
      <c r="P403" t="n">
        <v>0</v>
      </c>
      <c r="Q403" t="n">
        <v>0</v>
      </c>
      <c r="R403" s="2" t="inlineStr"/>
    </row>
    <row r="404" ht="15" customHeight="1">
      <c r="A404" t="inlineStr">
        <is>
          <t>A 30434-2024</t>
        </is>
      </c>
      <c r="B404" s="1" t="n">
        <v>45491.69811342593</v>
      </c>
      <c r="C404" s="1" t="n">
        <v>46038</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56917-2022</t>
        </is>
      </c>
      <c r="B405" s="1" t="n">
        <v>44894</v>
      </c>
      <c r="C405" s="1" t="n">
        <v>46038</v>
      </c>
      <c r="D405" t="inlineStr">
        <is>
          <t>ÖSTERGÖTLANDS LÄN</t>
        </is>
      </c>
      <c r="E405" t="inlineStr">
        <is>
          <t>LINKÖPING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57766-2023</t>
        </is>
      </c>
      <c r="B406" s="1" t="n">
        <v>45246</v>
      </c>
      <c r="C406" s="1" t="n">
        <v>46038</v>
      </c>
      <c r="D406" t="inlineStr">
        <is>
          <t>ÖSTERGÖTLANDS LÄN</t>
        </is>
      </c>
      <c r="E406" t="inlineStr">
        <is>
          <t>LINKÖPING</t>
        </is>
      </c>
      <c r="F406" t="inlineStr">
        <is>
          <t>Allmännings- och besparingsskogar</t>
        </is>
      </c>
      <c r="G406" t="n">
        <v>12.8</v>
      </c>
      <c r="H406" t="n">
        <v>0</v>
      </c>
      <c r="I406" t="n">
        <v>0</v>
      </c>
      <c r="J406" t="n">
        <v>0</v>
      </c>
      <c r="K406" t="n">
        <v>0</v>
      </c>
      <c r="L406" t="n">
        <v>0</v>
      </c>
      <c r="M406" t="n">
        <v>0</v>
      </c>
      <c r="N406" t="n">
        <v>0</v>
      </c>
      <c r="O406" t="n">
        <v>0</v>
      </c>
      <c r="P406" t="n">
        <v>0</v>
      </c>
      <c r="Q406" t="n">
        <v>0</v>
      </c>
      <c r="R406" s="2" t="inlineStr"/>
    </row>
    <row r="407" ht="15" customHeight="1">
      <c r="A407" t="inlineStr">
        <is>
          <t>A 6206-2024</t>
        </is>
      </c>
      <c r="B407" s="1" t="n">
        <v>45337.5977662037</v>
      </c>
      <c r="C407" s="1" t="n">
        <v>46038</v>
      </c>
      <c r="D407" t="inlineStr">
        <is>
          <t>ÖSTERGÖTLANDS LÄN</t>
        </is>
      </c>
      <c r="E407" t="inlineStr">
        <is>
          <t>LINKÖPING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168-2024</t>
        </is>
      </c>
      <c r="B408" s="1" t="n">
        <v>45294</v>
      </c>
      <c r="C408" s="1" t="n">
        <v>46038</v>
      </c>
      <c r="D408" t="inlineStr">
        <is>
          <t>ÖSTERGÖTLANDS LÄN</t>
        </is>
      </c>
      <c r="E408" t="inlineStr">
        <is>
          <t>LINKÖPING</t>
        </is>
      </c>
      <c r="F408" t="inlineStr">
        <is>
          <t>Allmännings- och besparingsskogar</t>
        </is>
      </c>
      <c r="G408" t="n">
        <v>8.9</v>
      </c>
      <c r="H408" t="n">
        <v>0</v>
      </c>
      <c r="I408" t="n">
        <v>0</v>
      </c>
      <c r="J408" t="n">
        <v>0</v>
      </c>
      <c r="K408" t="n">
        <v>0</v>
      </c>
      <c r="L408" t="n">
        <v>0</v>
      </c>
      <c r="M408" t="n">
        <v>0</v>
      </c>
      <c r="N408" t="n">
        <v>0</v>
      </c>
      <c r="O408" t="n">
        <v>0</v>
      </c>
      <c r="P408" t="n">
        <v>0</v>
      </c>
      <c r="Q408" t="n">
        <v>0</v>
      </c>
      <c r="R408" s="2" t="inlineStr"/>
    </row>
    <row r="409" ht="15" customHeight="1">
      <c r="A409" t="inlineStr">
        <is>
          <t>A 51919-2024</t>
        </is>
      </c>
      <c r="B409" s="1" t="n">
        <v>45607.60791666667</v>
      </c>
      <c r="C409" s="1" t="n">
        <v>46038</v>
      </c>
      <c r="D409" t="inlineStr">
        <is>
          <t>ÖSTERGÖTLANDS LÄN</t>
        </is>
      </c>
      <c r="E409" t="inlineStr">
        <is>
          <t>LINKÖPING</t>
        </is>
      </c>
      <c r="G409" t="n">
        <v>2.5</v>
      </c>
      <c r="H409" t="n">
        <v>0</v>
      </c>
      <c r="I409" t="n">
        <v>0</v>
      </c>
      <c r="J409" t="n">
        <v>0</v>
      </c>
      <c r="K409" t="n">
        <v>0</v>
      </c>
      <c r="L409" t="n">
        <v>0</v>
      </c>
      <c r="M409" t="n">
        <v>0</v>
      </c>
      <c r="N409" t="n">
        <v>0</v>
      </c>
      <c r="O409" t="n">
        <v>0</v>
      </c>
      <c r="P409" t="n">
        <v>0</v>
      </c>
      <c r="Q409" t="n">
        <v>0</v>
      </c>
      <c r="R409" s="2" t="inlineStr"/>
    </row>
    <row r="410" ht="15" customHeight="1">
      <c r="A410" t="inlineStr">
        <is>
          <t>A 56623-2024</t>
        </is>
      </c>
      <c r="B410" s="1" t="n">
        <v>45625</v>
      </c>
      <c r="C410" s="1" t="n">
        <v>46038</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11330-2023</t>
        </is>
      </c>
      <c r="B411" s="1" t="n">
        <v>44993.24648148148</v>
      </c>
      <c r="C411" s="1" t="n">
        <v>46038</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63304-2021</t>
        </is>
      </c>
      <c r="B412" s="1" t="n">
        <v>44508.4396412037</v>
      </c>
      <c r="C412" s="1" t="n">
        <v>46038</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14528-2025</t>
        </is>
      </c>
      <c r="B413" s="1" t="n">
        <v>45741</v>
      </c>
      <c r="C413" s="1" t="n">
        <v>46038</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41511-2025</t>
        </is>
      </c>
      <c r="B414" s="1" t="n">
        <v>45901.53839120371</v>
      </c>
      <c r="C414" s="1" t="n">
        <v>46038</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41706-2025</t>
        </is>
      </c>
      <c r="B415" s="1" t="n">
        <v>45902.42209490741</v>
      </c>
      <c r="C415" s="1" t="n">
        <v>46038</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3530-2024</t>
        </is>
      </c>
      <c r="B416" s="1" t="n">
        <v>45320.54717592592</v>
      </c>
      <c r="C416" s="1" t="n">
        <v>46038</v>
      </c>
      <c r="D416" t="inlineStr">
        <is>
          <t>ÖSTERGÖTLANDS LÄN</t>
        </is>
      </c>
      <c r="E416" t="inlineStr">
        <is>
          <t>LINKÖPING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62073-2023</t>
        </is>
      </c>
      <c r="B417" s="1" t="n">
        <v>45266.73844907407</v>
      </c>
      <c r="C417" s="1" t="n">
        <v>46038</v>
      </c>
      <c r="D417" t="inlineStr">
        <is>
          <t>ÖSTERGÖTLANDS LÄN</t>
        </is>
      </c>
      <c r="E417" t="inlineStr">
        <is>
          <t>LINKÖPING</t>
        </is>
      </c>
      <c r="F417" t="inlineStr">
        <is>
          <t>Allmännings- och besparingsskogar</t>
        </is>
      </c>
      <c r="G417" t="n">
        <v>1.8</v>
      </c>
      <c r="H417" t="n">
        <v>0</v>
      </c>
      <c r="I417" t="n">
        <v>0</v>
      </c>
      <c r="J417" t="n">
        <v>0</v>
      </c>
      <c r="K417" t="n">
        <v>0</v>
      </c>
      <c r="L417" t="n">
        <v>0</v>
      </c>
      <c r="M417" t="n">
        <v>0</v>
      </c>
      <c r="N417" t="n">
        <v>0</v>
      </c>
      <c r="O417" t="n">
        <v>0</v>
      </c>
      <c r="P417" t="n">
        <v>0</v>
      </c>
      <c r="Q417" t="n">
        <v>0</v>
      </c>
      <c r="R417" s="2" t="inlineStr"/>
    </row>
    <row r="418" ht="15" customHeight="1">
      <c r="A418" t="inlineStr">
        <is>
          <t>A 5872-2025</t>
        </is>
      </c>
      <c r="B418" s="1" t="n">
        <v>45695.36659722222</v>
      </c>
      <c r="C418" s="1" t="n">
        <v>46038</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3042-2024</t>
        </is>
      </c>
      <c r="B419" s="1" t="n">
        <v>45316.35028935185</v>
      </c>
      <c r="C419" s="1" t="n">
        <v>46038</v>
      </c>
      <c r="D419" t="inlineStr">
        <is>
          <t>ÖSTERGÖTLANDS LÄN</t>
        </is>
      </c>
      <c r="E419" t="inlineStr">
        <is>
          <t>LINKÖPING</t>
        </is>
      </c>
      <c r="G419" t="n">
        <v>3.1</v>
      </c>
      <c r="H419" t="n">
        <v>0</v>
      </c>
      <c r="I419" t="n">
        <v>0</v>
      </c>
      <c r="J419" t="n">
        <v>0</v>
      </c>
      <c r="K419" t="n">
        <v>0</v>
      </c>
      <c r="L419" t="n">
        <v>0</v>
      </c>
      <c r="M419" t="n">
        <v>0</v>
      </c>
      <c r="N419" t="n">
        <v>0</v>
      </c>
      <c r="O419" t="n">
        <v>0</v>
      </c>
      <c r="P419" t="n">
        <v>0</v>
      </c>
      <c r="Q419" t="n">
        <v>0</v>
      </c>
      <c r="R419" s="2" t="inlineStr"/>
    </row>
    <row r="420" ht="15" customHeight="1">
      <c r="A420" t="inlineStr">
        <is>
          <t>A 25568-2024</t>
        </is>
      </c>
      <c r="B420" s="1" t="n">
        <v>45463.58699074074</v>
      </c>
      <c r="C420" s="1" t="n">
        <v>46038</v>
      </c>
      <c r="D420" t="inlineStr">
        <is>
          <t>ÖSTERGÖTLANDS LÄN</t>
        </is>
      </c>
      <c r="E420" t="inlineStr">
        <is>
          <t>LINKÖPING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53814-2023</t>
        </is>
      </c>
      <c r="B421" s="1" t="n">
        <v>45231</v>
      </c>
      <c r="C421" s="1" t="n">
        <v>46038</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3432-2023</t>
        </is>
      </c>
      <c r="B422" s="1" t="n">
        <v>44949</v>
      </c>
      <c r="C422" s="1" t="n">
        <v>46038</v>
      </c>
      <c r="D422" t="inlineStr">
        <is>
          <t>ÖSTERGÖTLANDS LÄN</t>
        </is>
      </c>
      <c r="E422" t="inlineStr">
        <is>
          <t>LINKÖPING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29293-2025</t>
        </is>
      </c>
      <c r="B423" s="1" t="n">
        <v>45824</v>
      </c>
      <c r="C423" s="1" t="n">
        <v>46038</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54425-2022</t>
        </is>
      </c>
      <c r="B424" s="1" t="n">
        <v>44882.57453703704</v>
      </c>
      <c r="C424" s="1" t="n">
        <v>46038</v>
      </c>
      <c r="D424" t="inlineStr">
        <is>
          <t>ÖSTERGÖTLANDS LÄN</t>
        </is>
      </c>
      <c r="E424" t="inlineStr">
        <is>
          <t>LINKÖPING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54428-2022</t>
        </is>
      </c>
      <c r="B425" s="1" t="n">
        <v>44882.57643518518</v>
      </c>
      <c r="C425" s="1" t="n">
        <v>46038</v>
      </c>
      <c r="D425" t="inlineStr">
        <is>
          <t>ÖSTERGÖTLANDS LÄN</t>
        </is>
      </c>
      <c r="E425" t="inlineStr">
        <is>
          <t>LINKÖPING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42624-2025</t>
        </is>
      </c>
      <c r="B426" s="1" t="n">
        <v>45905</v>
      </c>
      <c r="C426" s="1" t="n">
        <v>46038</v>
      </c>
      <c r="D426" t="inlineStr">
        <is>
          <t>ÖSTERGÖTLANDS LÄN</t>
        </is>
      </c>
      <c r="E426" t="inlineStr">
        <is>
          <t>LINKÖPING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42626-2025</t>
        </is>
      </c>
      <c r="B427" s="1" t="n">
        <v>45905</v>
      </c>
      <c r="C427" s="1" t="n">
        <v>46038</v>
      </c>
      <c r="D427" t="inlineStr">
        <is>
          <t>ÖSTERGÖTLANDS LÄN</t>
        </is>
      </c>
      <c r="E427" t="inlineStr">
        <is>
          <t>LINKÖPING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42623-2025</t>
        </is>
      </c>
      <c r="B428" s="1" t="n">
        <v>45905</v>
      </c>
      <c r="C428" s="1" t="n">
        <v>46038</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22833-2023</t>
        </is>
      </c>
      <c r="B429" s="1" t="n">
        <v>45071</v>
      </c>
      <c r="C429" s="1" t="n">
        <v>46038</v>
      </c>
      <c r="D429" t="inlineStr">
        <is>
          <t>ÖSTERGÖTLANDS LÄN</t>
        </is>
      </c>
      <c r="E429" t="inlineStr">
        <is>
          <t>LINKÖPING</t>
        </is>
      </c>
      <c r="F429" t="inlineStr">
        <is>
          <t>Kommuner</t>
        </is>
      </c>
      <c r="G429" t="n">
        <v>1</v>
      </c>
      <c r="H429" t="n">
        <v>0</v>
      </c>
      <c r="I429" t="n">
        <v>0</v>
      </c>
      <c r="J429" t="n">
        <v>0</v>
      </c>
      <c r="K429" t="n">
        <v>0</v>
      </c>
      <c r="L429" t="n">
        <v>0</v>
      </c>
      <c r="M429" t="n">
        <v>0</v>
      </c>
      <c r="N429" t="n">
        <v>0</v>
      </c>
      <c r="O429" t="n">
        <v>0</v>
      </c>
      <c r="P429" t="n">
        <v>0</v>
      </c>
      <c r="Q429" t="n">
        <v>0</v>
      </c>
      <c r="R429" s="2" t="inlineStr"/>
    </row>
    <row r="430" ht="15" customHeight="1">
      <c r="A430" t="inlineStr">
        <is>
          <t>A 2997-2025</t>
        </is>
      </c>
      <c r="B430" s="1" t="n">
        <v>45678.54631944445</v>
      </c>
      <c r="C430" s="1" t="n">
        <v>46038</v>
      </c>
      <c r="D430" t="inlineStr">
        <is>
          <t>ÖSTERGÖTLANDS LÄN</t>
        </is>
      </c>
      <c r="E430" t="inlineStr">
        <is>
          <t>LINKÖPING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660-2023</t>
        </is>
      </c>
      <c r="B431" s="1" t="n">
        <v>44930</v>
      </c>
      <c r="C431" s="1" t="n">
        <v>46038</v>
      </c>
      <c r="D431" t="inlineStr">
        <is>
          <t>ÖSTERGÖTLANDS LÄN</t>
        </is>
      </c>
      <c r="E431" t="inlineStr">
        <is>
          <t>LINKÖPING</t>
        </is>
      </c>
      <c r="F431" t="inlineStr">
        <is>
          <t>Kyrkan</t>
        </is>
      </c>
      <c r="G431" t="n">
        <v>1.6</v>
      </c>
      <c r="H431" t="n">
        <v>0</v>
      </c>
      <c r="I431" t="n">
        <v>0</v>
      </c>
      <c r="J431" t="n">
        <v>0</v>
      </c>
      <c r="K431" t="n">
        <v>0</v>
      </c>
      <c r="L431" t="n">
        <v>0</v>
      </c>
      <c r="M431" t="n">
        <v>0</v>
      </c>
      <c r="N431" t="n">
        <v>0</v>
      </c>
      <c r="O431" t="n">
        <v>0</v>
      </c>
      <c r="P431" t="n">
        <v>0</v>
      </c>
      <c r="Q431" t="n">
        <v>0</v>
      </c>
      <c r="R431" s="2" t="inlineStr"/>
    </row>
    <row r="432" ht="15" customHeight="1">
      <c r="A432" t="inlineStr">
        <is>
          <t>A 62501-2023</t>
        </is>
      </c>
      <c r="B432" s="1" t="n">
        <v>45268</v>
      </c>
      <c r="C432" s="1" t="n">
        <v>46038</v>
      </c>
      <c r="D432" t="inlineStr">
        <is>
          <t>ÖSTERGÖTLANDS LÄN</t>
        </is>
      </c>
      <c r="E432" t="inlineStr">
        <is>
          <t>LINKÖPING</t>
        </is>
      </c>
      <c r="G432" t="n">
        <v>7.4</v>
      </c>
      <c r="H432" t="n">
        <v>0</v>
      </c>
      <c r="I432" t="n">
        <v>0</v>
      </c>
      <c r="J432" t="n">
        <v>0</v>
      </c>
      <c r="K432" t="n">
        <v>0</v>
      </c>
      <c r="L432" t="n">
        <v>0</v>
      </c>
      <c r="M432" t="n">
        <v>0</v>
      </c>
      <c r="N432" t="n">
        <v>0</v>
      </c>
      <c r="O432" t="n">
        <v>0</v>
      </c>
      <c r="P432" t="n">
        <v>0</v>
      </c>
      <c r="Q432" t="n">
        <v>0</v>
      </c>
      <c r="R432" s="2" t="inlineStr"/>
    </row>
    <row r="433" ht="15" customHeight="1">
      <c r="A433" t="inlineStr">
        <is>
          <t>A 13413-2023</t>
        </is>
      </c>
      <c r="B433" s="1" t="n">
        <v>45005.58341435185</v>
      </c>
      <c r="C433" s="1" t="n">
        <v>46038</v>
      </c>
      <c r="D433" t="inlineStr">
        <is>
          <t>ÖSTERGÖTLANDS LÄN</t>
        </is>
      </c>
      <c r="E433" t="inlineStr">
        <is>
          <t>LINKÖPING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26620-2023</t>
        </is>
      </c>
      <c r="B434" s="1" t="n">
        <v>45092.70390046296</v>
      </c>
      <c r="C434" s="1" t="n">
        <v>46038</v>
      </c>
      <c r="D434" t="inlineStr">
        <is>
          <t>ÖSTERGÖTLANDS LÄN</t>
        </is>
      </c>
      <c r="E434" t="inlineStr">
        <is>
          <t>LINKÖPING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16462-2021</t>
        </is>
      </c>
      <c r="B435" s="1" t="n">
        <v>44293</v>
      </c>
      <c r="C435" s="1" t="n">
        <v>46038</v>
      </c>
      <c r="D435" t="inlineStr">
        <is>
          <t>ÖSTERGÖTLANDS LÄN</t>
        </is>
      </c>
      <c r="E435" t="inlineStr">
        <is>
          <t>LINKÖPING</t>
        </is>
      </c>
      <c r="F435" t="inlineStr">
        <is>
          <t>Allmännings- och besparingsskogar</t>
        </is>
      </c>
      <c r="G435" t="n">
        <v>24.7</v>
      </c>
      <c r="H435" t="n">
        <v>0</v>
      </c>
      <c r="I435" t="n">
        <v>0</v>
      </c>
      <c r="J435" t="n">
        <v>0</v>
      </c>
      <c r="K435" t="n">
        <v>0</v>
      </c>
      <c r="L435" t="n">
        <v>0</v>
      </c>
      <c r="M435" t="n">
        <v>0</v>
      </c>
      <c r="N435" t="n">
        <v>0</v>
      </c>
      <c r="O435" t="n">
        <v>0</v>
      </c>
      <c r="P435" t="n">
        <v>0</v>
      </c>
      <c r="Q435" t="n">
        <v>0</v>
      </c>
      <c r="R435" s="2" t="inlineStr"/>
    </row>
    <row r="436" ht="15" customHeight="1">
      <c r="A436" t="inlineStr">
        <is>
          <t>A 44170-2025</t>
        </is>
      </c>
      <c r="B436" s="1" t="n">
        <v>45915.59864583334</v>
      </c>
      <c r="C436" s="1" t="n">
        <v>46038</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43755-2025</t>
        </is>
      </c>
      <c r="B437" s="1" t="n">
        <v>45912.47329861111</v>
      </c>
      <c r="C437" s="1" t="n">
        <v>46038</v>
      </c>
      <c r="D437" t="inlineStr">
        <is>
          <t>ÖSTERGÖTLANDS LÄN</t>
        </is>
      </c>
      <c r="E437" t="inlineStr">
        <is>
          <t>LINKÖPING</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43758-2025</t>
        </is>
      </c>
      <c r="B438" s="1" t="n">
        <v>45912.47711805555</v>
      </c>
      <c r="C438" s="1" t="n">
        <v>46038</v>
      </c>
      <c r="D438" t="inlineStr">
        <is>
          <t>ÖSTERGÖTLANDS LÄN</t>
        </is>
      </c>
      <c r="E438" t="inlineStr">
        <is>
          <t>LINKÖPING</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43753-2025</t>
        </is>
      </c>
      <c r="B439" s="1" t="n">
        <v>45912.4715625</v>
      </c>
      <c r="C439" s="1" t="n">
        <v>46038</v>
      </c>
      <c r="D439" t="inlineStr">
        <is>
          <t>ÖSTERGÖTLANDS LÄN</t>
        </is>
      </c>
      <c r="E439" t="inlineStr">
        <is>
          <t>LINKÖPING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44759-2025</t>
        </is>
      </c>
      <c r="B440" s="1" t="n">
        <v>45917.7152662037</v>
      </c>
      <c r="C440" s="1" t="n">
        <v>46038</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63554-2023</t>
        </is>
      </c>
      <c r="B441" s="1" t="n">
        <v>45275</v>
      </c>
      <c r="C441" s="1" t="n">
        <v>46038</v>
      </c>
      <c r="D441" t="inlineStr">
        <is>
          <t>ÖSTERGÖTLANDS LÄN</t>
        </is>
      </c>
      <c r="E441" t="inlineStr">
        <is>
          <t>LINKÖPING</t>
        </is>
      </c>
      <c r="G441" t="n">
        <v>4.3</v>
      </c>
      <c r="H441" t="n">
        <v>0</v>
      </c>
      <c r="I441" t="n">
        <v>0</v>
      </c>
      <c r="J441" t="n">
        <v>0</v>
      </c>
      <c r="K441" t="n">
        <v>0</v>
      </c>
      <c r="L441" t="n">
        <v>0</v>
      </c>
      <c r="M441" t="n">
        <v>0</v>
      </c>
      <c r="N441" t="n">
        <v>0</v>
      </c>
      <c r="O441" t="n">
        <v>0</v>
      </c>
      <c r="P441" t="n">
        <v>0</v>
      </c>
      <c r="Q441" t="n">
        <v>0</v>
      </c>
      <c r="R441" s="2" t="inlineStr"/>
    </row>
    <row r="442" ht="15" customHeight="1">
      <c r="A442" t="inlineStr">
        <is>
          <t>A 44764-2025</t>
        </is>
      </c>
      <c r="B442" s="1" t="n">
        <v>45917.72821759259</v>
      </c>
      <c r="C442" s="1" t="n">
        <v>46038</v>
      </c>
      <c r="D442" t="inlineStr">
        <is>
          <t>ÖSTERGÖTLANDS LÄN</t>
        </is>
      </c>
      <c r="E442" t="inlineStr">
        <is>
          <t>LINKÖPING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63638-2023</t>
        </is>
      </c>
      <c r="B443" s="1" t="n">
        <v>45275</v>
      </c>
      <c r="C443" s="1" t="n">
        <v>46038</v>
      </c>
      <c r="D443" t="inlineStr">
        <is>
          <t>ÖSTERGÖTLANDS LÄN</t>
        </is>
      </c>
      <c r="E443" t="inlineStr">
        <is>
          <t>LINKÖPING</t>
        </is>
      </c>
      <c r="F443" t="inlineStr">
        <is>
          <t>Övriga Aktiebolag</t>
        </is>
      </c>
      <c r="G443" t="n">
        <v>2.4</v>
      </c>
      <c r="H443" t="n">
        <v>0</v>
      </c>
      <c r="I443" t="n">
        <v>0</v>
      </c>
      <c r="J443" t="n">
        <v>0</v>
      </c>
      <c r="K443" t="n">
        <v>0</v>
      </c>
      <c r="L443" t="n">
        <v>0</v>
      </c>
      <c r="M443" t="n">
        <v>0</v>
      </c>
      <c r="N443" t="n">
        <v>0</v>
      </c>
      <c r="O443" t="n">
        <v>0</v>
      </c>
      <c r="P443" t="n">
        <v>0</v>
      </c>
      <c r="Q443" t="n">
        <v>0</v>
      </c>
      <c r="R443" s="2" t="inlineStr"/>
    </row>
    <row r="444" ht="15" customHeight="1">
      <c r="A444" t="inlineStr">
        <is>
          <t>A 63658-2023</t>
        </is>
      </c>
      <c r="B444" s="1" t="n">
        <v>45275</v>
      </c>
      <c r="C444" s="1" t="n">
        <v>46038</v>
      </c>
      <c r="D444" t="inlineStr">
        <is>
          <t>ÖSTERGÖTLANDS LÄN</t>
        </is>
      </c>
      <c r="E444" t="inlineStr">
        <is>
          <t>LINKÖPING</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45112-2025</t>
        </is>
      </c>
      <c r="B445" s="1" t="n">
        <v>45919</v>
      </c>
      <c r="C445" s="1" t="n">
        <v>46038</v>
      </c>
      <c r="D445" t="inlineStr">
        <is>
          <t>ÖSTERGÖTLANDS LÄN</t>
        </is>
      </c>
      <c r="E445" t="inlineStr">
        <is>
          <t>LINKÖPING</t>
        </is>
      </c>
      <c r="G445" t="n">
        <v>3.5</v>
      </c>
      <c r="H445" t="n">
        <v>0</v>
      </c>
      <c r="I445" t="n">
        <v>0</v>
      </c>
      <c r="J445" t="n">
        <v>0</v>
      </c>
      <c r="K445" t="n">
        <v>0</v>
      </c>
      <c r="L445" t="n">
        <v>0</v>
      </c>
      <c r="M445" t="n">
        <v>0</v>
      </c>
      <c r="N445" t="n">
        <v>0</v>
      </c>
      <c r="O445" t="n">
        <v>0</v>
      </c>
      <c r="P445" t="n">
        <v>0</v>
      </c>
      <c r="Q445" t="n">
        <v>0</v>
      </c>
      <c r="R445" s="2" t="inlineStr"/>
    </row>
    <row r="446" ht="15" customHeight="1">
      <c r="A446" t="inlineStr">
        <is>
          <t>A 16820-2024</t>
        </is>
      </c>
      <c r="B446" s="1" t="n">
        <v>45411.46809027778</v>
      </c>
      <c r="C446" s="1" t="n">
        <v>46038</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4456-2024</t>
        </is>
      </c>
      <c r="B447" s="1" t="n">
        <v>45327.52847222222</v>
      </c>
      <c r="C447" s="1" t="n">
        <v>46038</v>
      </c>
      <c r="D447" t="inlineStr">
        <is>
          <t>ÖSTERGÖTLANDS LÄN</t>
        </is>
      </c>
      <c r="E447" t="inlineStr">
        <is>
          <t>LINKÖPING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45634-2025</t>
        </is>
      </c>
      <c r="B448" s="1" t="n">
        <v>45922.85089120371</v>
      </c>
      <c r="C448" s="1" t="n">
        <v>46038</v>
      </c>
      <c r="D448" t="inlineStr">
        <is>
          <t>ÖSTERGÖTLANDS LÄN</t>
        </is>
      </c>
      <c r="E448" t="inlineStr">
        <is>
          <t>LINKÖPING</t>
        </is>
      </c>
      <c r="F448" t="inlineStr">
        <is>
          <t>Övriga Aktiebolag</t>
        </is>
      </c>
      <c r="G448" t="n">
        <v>0.3</v>
      </c>
      <c r="H448" t="n">
        <v>0</v>
      </c>
      <c r="I448" t="n">
        <v>0</v>
      </c>
      <c r="J448" t="n">
        <v>0</v>
      </c>
      <c r="K448" t="n">
        <v>0</v>
      </c>
      <c r="L448" t="n">
        <v>0</v>
      </c>
      <c r="M448" t="n">
        <v>0</v>
      </c>
      <c r="N448" t="n">
        <v>0</v>
      </c>
      <c r="O448" t="n">
        <v>0</v>
      </c>
      <c r="P448" t="n">
        <v>0</v>
      </c>
      <c r="Q448" t="n">
        <v>0</v>
      </c>
      <c r="R448" s="2" t="inlineStr"/>
    </row>
    <row r="449" ht="15" customHeight="1">
      <c r="A449" t="inlineStr">
        <is>
          <t>A 20298-2025</t>
        </is>
      </c>
      <c r="B449" s="1" t="n">
        <v>45774.75024305555</v>
      </c>
      <c r="C449" s="1" t="n">
        <v>46038</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15121-2022</t>
        </is>
      </c>
      <c r="B450" s="1" t="n">
        <v>44658</v>
      </c>
      <c r="C450" s="1" t="n">
        <v>46038</v>
      </c>
      <c r="D450" t="inlineStr">
        <is>
          <t>ÖSTERGÖTLANDS LÄN</t>
        </is>
      </c>
      <c r="E450" t="inlineStr">
        <is>
          <t>LINKÖPING</t>
        </is>
      </c>
      <c r="G450" t="n">
        <v>1</v>
      </c>
      <c r="H450" t="n">
        <v>0</v>
      </c>
      <c r="I450" t="n">
        <v>0</v>
      </c>
      <c r="J450" t="n">
        <v>0</v>
      </c>
      <c r="K450" t="n">
        <v>0</v>
      </c>
      <c r="L450" t="n">
        <v>0</v>
      </c>
      <c r="M450" t="n">
        <v>0</v>
      </c>
      <c r="N450" t="n">
        <v>0</v>
      </c>
      <c r="O450" t="n">
        <v>0</v>
      </c>
      <c r="P450" t="n">
        <v>0</v>
      </c>
      <c r="Q450" t="n">
        <v>0</v>
      </c>
      <c r="R450" s="2" t="inlineStr"/>
    </row>
    <row r="451" ht="15" customHeight="1">
      <c r="A451" t="inlineStr">
        <is>
          <t>A 50743-2023</t>
        </is>
      </c>
      <c r="B451" s="1" t="n">
        <v>45217</v>
      </c>
      <c r="C451" s="1" t="n">
        <v>46038</v>
      </c>
      <c r="D451" t="inlineStr">
        <is>
          <t>ÖSTERGÖTLANDS LÄN</t>
        </is>
      </c>
      <c r="E451" t="inlineStr">
        <is>
          <t>LINKÖPING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13687-2025</t>
        </is>
      </c>
      <c r="B452" s="1" t="n">
        <v>45737.31425925926</v>
      </c>
      <c r="C452" s="1" t="n">
        <v>46038</v>
      </c>
      <c r="D452" t="inlineStr">
        <is>
          <t>ÖSTERGÖTLANDS LÄN</t>
        </is>
      </c>
      <c r="E452" t="inlineStr">
        <is>
          <t>LINKÖPING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13695-2025</t>
        </is>
      </c>
      <c r="B453" s="1" t="n">
        <v>45737.32219907407</v>
      </c>
      <c r="C453" s="1" t="n">
        <v>46038</v>
      </c>
      <c r="D453" t="inlineStr">
        <is>
          <t>ÖSTERGÖTLANDS LÄN</t>
        </is>
      </c>
      <c r="E453" t="inlineStr">
        <is>
          <t>LINKÖPING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20294-2025</t>
        </is>
      </c>
      <c r="B454" s="1" t="n">
        <v>45774.74667824074</v>
      </c>
      <c r="C454" s="1" t="n">
        <v>46038</v>
      </c>
      <c r="D454" t="inlineStr">
        <is>
          <t>ÖSTERGÖTLANDS LÄN</t>
        </is>
      </c>
      <c r="E454" t="inlineStr">
        <is>
          <t>LINKÖPING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45792-2025</t>
        </is>
      </c>
      <c r="B455" s="1" t="n">
        <v>45923.56998842592</v>
      </c>
      <c r="C455" s="1" t="n">
        <v>46038</v>
      </c>
      <c r="D455" t="inlineStr">
        <is>
          <t>ÖSTERGÖTLANDS LÄN</t>
        </is>
      </c>
      <c r="E455" t="inlineStr">
        <is>
          <t>LINKÖPING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45804-2025</t>
        </is>
      </c>
      <c r="B456" s="1" t="n">
        <v>45923.5819675926</v>
      </c>
      <c r="C456" s="1" t="n">
        <v>46038</v>
      </c>
      <c r="D456" t="inlineStr">
        <is>
          <t>ÖSTERGÖTLANDS LÄN</t>
        </is>
      </c>
      <c r="E456" t="inlineStr">
        <is>
          <t>LINKÖPING</t>
        </is>
      </c>
      <c r="G456" t="n">
        <v>3.3</v>
      </c>
      <c r="H456" t="n">
        <v>0</v>
      </c>
      <c r="I456" t="n">
        <v>0</v>
      </c>
      <c r="J456" t="n">
        <v>0</v>
      </c>
      <c r="K456" t="n">
        <v>0</v>
      </c>
      <c r="L456" t="n">
        <v>0</v>
      </c>
      <c r="M456" t="n">
        <v>0</v>
      </c>
      <c r="N456" t="n">
        <v>0</v>
      </c>
      <c r="O456" t="n">
        <v>0</v>
      </c>
      <c r="P456" t="n">
        <v>0</v>
      </c>
      <c r="Q456" t="n">
        <v>0</v>
      </c>
      <c r="R456" s="2" t="inlineStr"/>
    </row>
    <row r="457" ht="15" customHeight="1">
      <c r="A457" t="inlineStr">
        <is>
          <t>A 46426-2025</t>
        </is>
      </c>
      <c r="B457" s="1" t="n">
        <v>45925.6012962963</v>
      </c>
      <c r="C457" s="1" t="n">
        <v>46038</v>
      </c>
      <c r="D457" t="inlineStr">
        <is>
          <t>ÖSTERGÖTLANDS LÄN</t>
        </is>
      </c>
      <c r="E457" t="inlineStr">
        <is>
          <t>LINKÖPING</t>
        </is>
      </c>
      <c r="G457" t="n">
        <v>4.4</v>
      </c>
      <c r="H457" t="n">
        <v>0</v>
      </c>
      <c r="I457" t="n">
        <v>0</v>
      </c>
      <c r="J457" t="n">
        <v>0</v>
      </c>
      <c r="K457" t="n">
        <v>0</v>
      </c>
      <c r="L457" t="n">
        <v>0</v>
      </c>
      <c r="M457" t="n">
        <v>0</v>
      </c>
      <c r="N457" t="n">
        <v>0</v>
      </c>
      <c r="O457" t="n">
        <v>0</v>
      </c>
      <c r="P457" t="n">
        <v>0</v>
      </c>
      <c r="Q457" t="n">
        <v>0</v>
      </c>
      <c r="R457" s="2" t="inlineStr"/>
    </row>
    <row r="458" ht="15" customHeight="1">
      <c r="A458" t="inlineStr">
        <is>
          <t>A 46428-2025</t>
        </is>
      </c>
      <c r="B458" s="1" t="n">
        <v>45925.60758101852</v>
      </c>
      <c r="C458" s="1" t="n">
        <v>46038</v>
      </c>
      <c r="D458" t="inlineStr">
        <is>
          <t>ÖSTERGÖTLANDS LÄN</t>
        </is>
      </c>
      <c r="E458" t="inlineStr">
        <is>
          <t>LINKÖPING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17128-2025</t>
        </is>
      </c>
      <c r="B459" s="1" t="n">
        <v>45755.72622685185</v>
      </c>
      <c r="C459" s="1" t="n">
        <v>46038</v>
      </c>
      <c r="D459" t="inlineStr">
        <is>
          <t>ÖSTERGÖTLANDS LÄN</t>
        </is>
      </c>
      <c r="E459" t="inlineStr">
        <is>
          <t>LINKÖPING</t>
        </is>
      </c>
      <c r="G459" t="n">
        <v>2.9</v>
      </c>
      <c r="H459" t="n">
        <v>0</v>
      </c>
      <c r="I459" t="n">
        <v>0</v>
      </c>
      <c r="J459" t="n">
        <v>0</v>
      </c>
      <c r="K459" t="n">
        <v>0</v>
      </c>
      <c r="L459" t="n">
        <v>0</v>
      </c>
      <c r="M459" t="n">
        <v>0</v>
      </c>
      <c r="N459" t="n">
        <v>0</v>
      </c>
      <c r="O459" t="n">
        <v>0</v>
      </c>
      <c r="P459" t="n">
        <v>0</v>
      </c>
      <c r="Q459" t="n">
        <v>0</v>
      </c>
      <c r="R459" s="2" t="inlineStr"/>
    </row>
    <row r="460" ht="15" customHeight="1">
      <c r="A460" t="inlineStr">
        <is>
          <t>A 52125-2022</t>
        </is>
      </c>
      <c r="B460" s="1" t="n">
        <v>44873</v>
      </c>
      <c r="C460" s="1" t="n">
        <v>46038</v>
      </c>
      <c r="D460" t="inlineStr">
        <is>
          <t>ÖSTERGÖTLANDS LÄN</t>
        </is>
      </c>
      <c r="E460" t="inlineStr">
        <is>
          <t>LINKÖPING</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46377-2025</t>
        </is>
      </c>
      <c r="B461" s="1" t="n">
        <v>45925.51773148148</v>
      </c>
      <c r="C461" s="1" t="n">
        <v>46038</v>
      </c>
      <c r="D461" t="inlineStr">
        <is>
          <t>ÖSTERGÖTLANDS LÄN</t>
        </is>
      </c>
      <c r="E461" t="inlineStr">
        <is>
          <t>LINKÖPING</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27343-2023</t>
        </is>
      </c>
      <c r="B462" s="1" t="n">
        <v>45096</v>
      </c>
      <c r="C462" s="1" t="n">
        <v>46038</v>
      </c>
      <c r="D462" t="inlineStr">
        <is>
          <t>ÖSTERGÖTLANDS LÄN</t>
        </is>
      </c>
      <c r="E462" t="inlineStr">
        <is>
          <t>LINKÖPING</t>
        </is>
      </c>
      <c r="F462" t="inlineStr">
        <is>
          <t>Allmännings- och besparingsskogar</t>
        </is>
      </c>
      <c r="G462" t="n">
        <v>6.9</v>
      </c>
      <c r="H462" t="n">
        <v>0</v>
      </c>
      <c r="I462" t="n">
        <v>0</v>
      </c>
      <c r="J462" t="n">
        <v>0</v>
      </c>
      <c r="K462" t="n">
        <v>0</v>
      </c>
      <c r="L462" t="n">
        <v>0</v>
      </c>
      <c r="M462" t="n">
        <v>0</v>
      </c>
      <c r="N462" t="n">
        <v>0</v>
      </c>
      <c r="O462" t="n">
        <v>0</v>
      </c>
      <c r="P462" t="n">
        <v>0</v>
      </c>
      <c r="Q462" t="n">
        <v>0</v>
      </c>
      <c r="R462" s="2" t="inlineStr"/>
    </row>
    <row r="463" ht="15" customHeight="1">
      <c r="A463" t="inlineStr">
        <is>
          <t>A 22842-2023</t>
        </is>
      </c>
      <c r="B463" s="1" t="n">
        <v>45071</v>
      </c>
      <c r="C463" s="1" t="n">
        <v>46038</v>
      </c>
      <c r="D463" t="inlineStr">
        <is>
          <t>ÖSTERGÖTLANDS LÄN</t>
        </is>
      </c>
      <c r="E463" t="inlineStr">
        <is>
          <t>LINKÖPING</t>
        </is>
      </c>
      <c r="F463" t="inlineStr">
        <is>
          <t>Kommuner</t>
        </is>
      </c>
      <c r="G463" t="n">
        <v>1.3</v>
      </c>
      <c r="H463" t="n">
        <v>0</v>
      </c>
      <c r="I463" t="n">
        <v>0</v>
      </c>
      <c r="J463" t="n">
        <v>0</v>
      </c>
      <c r="K463" t="n">
        <v>0</v>
      </c>
      <c r="L463" t="n">
        <v>0</v>
      </c>
      <c r="M463" t="n">
        <v>0</v>
      </c>
      <c r="N463" t="n">
        <v>0</v>
      </c>
      <c r="O463" t="n">
        <v>0</v>
      </c>
      <c r="P463" t="n">
        <v>0</v>
      </c>
      <c r="Q463" t="n">
        <v>0</v>
      </c>
      <c r="R463" s="2" t="inlineStr"/>
    </row>
    <row r="464" ht="15" customHeight="1">
      <c r="A464" t="inlineStr">
        <is>
          <t>A 46847-2025</t>
        </is>
      </c>
      <c r="B464" s="1" t="n">
        <v>45928.69971064815</v>
      </c>
      <c r="C464" s="1" t="n">
        <v>46038</v>
      </c>
      <c r="D464" t="inlineStr">
        <is>
          <t>ÖSTERGÖTLANDS LÄN</t>
        </is>
      </c>
      <c r="E464" t="inlineStr">
        <is>
          <t>LINKÖPING</t>
        </is>
      </c>
      <c r="G464" t="n">
        <v>4.6</v>
      </c>
      <c r="H464" t="n">
        <v>0</v>
      </c>
      <c r="I464" t="n">
        <v>0</v>
      </c>
      <c r="J464" t="n">
        <v>0</v>
      </c>
      <c r="K464" t="n">
        <v>0</v>
      </c>
      <c r="L464" t="n">
        <v>0</v>
      </c>
      <c r="M464" t="n">
        <v>0</v>
      </c>
      <c r="N464" t="n">
        <v>0</v>
      </c>
      <c r="O464" t="n">
        <v>0</v>
      </c>
      <c r="P464" t="n">
        <v>0</v>
      </c>
      <c r="Q464" t="n">
        <v>0</v>
      </c>
      <c r="R464" s="2" t="inlineStr"/>
    </row>
    <row r="465" ht="15" customHeight="1">
      <c r="A465" t="inlineStr">
        <is>
          <t>A 47233-2025</t>
        </is>
      </c>
      <c r="B465" s="1" t="n">
        <v>45930.40612268518</v>
      </c>
      <c r="C465" s="1" t="n">
        <v>46038</v>
      </c>
      <c r="D465" t="inlineStr">
        <is>
          <t>ÖSTERGÖTLANDS LÄN</t>
        </is>
      </c>
      <c r="E465" t="inlineStr">
        <is>
          <t>LINKÖPING</t>
        </is>
      </c>
      <c r="G465" t="n">
        <v>4.3</v>
      </c>
      <c r="H465" t="n">
        <v>0</v>
      </c>
      <c r="I465" t="n">
        <v>0</v>
      </c>
      <c r="J465" t="n">
        <v>0</v>
      </c>
      <c r="K465" t="n">
        <v>0</v>
      </c>
      <c r="L465" t="n">
        <v>0</v>
      </c>
      <c r="M465" t="n">
        <v>0</v>
      </c>
      <c r="N465" t="n">
        <v>0</v>
      </c>
      <c r="O465" t="n">
        <v>0</v>
      </c>
      <c r="P465" t="n">
        <v>0</v>
      </c>
      <c r="Q465" t="n">
        <v>0</v>
      </c>
      <c r="R465" s="2" t="inlineStr"/>
    </row>
    <row r="466" ht="15" customHeight="1">
      <c r="A466" t="inlineStr">
        <is>
          <t>A 47606-2025</t>
        </is>
      </c>
      <c r="B466" s="1" t="n">
        <v>45931.46402777778</v>
      </c>
      <c r="C466" s="1" t="n">
        <v>46038</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14520-2025</t>
        </is>
      </c>
      <c r="B467" s="1" t="n">
        <v>45741</v>
      </c>
      <c r="C467" s="1" t="n">
        <v>46038</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31548-2022</t>
        </is>
      </c>
      <c r="B468" s="1" t="n">
        <v>44775.39832175926</v>
      </c>
      <c r="C468" s="1" t="n">
        <v>46038</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47304-2025</t>
        </is>
      </c>
      <c r="B469" s="1" t="n">
        <v>45930.52037037037</v>
      </c>
      <c r="C469" s="1" t="n">
        <v>46038</v>
      </c>
      <c r="D469" t="inlineStr">
        <is>
          <t>ÖSTERGÖTLANDS LÄN</t>
        </is>
      </c>
      <c r="E469" t="inlineStr">
        <is>
          <t>LINKÖPING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62017-2024</t>
        </is>
      </c>
      <c r="B470" s="1" t="n">
        <v>45655.81140046296</v>
      </c>
      <c r="C470" s="1" t="n">
        <v>46038</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17785-2023</t>
        </is>
      </c>
      <c r="B471" s="1" t="n">
        <v>45037.55094907407</v>
      </c>
      <c r="C471" s="1" t="n">
        <v>46038</v>
      </c>
      <c r="D471" t="inlineStr">
        <is>
          <t>ÖSTERGÖTLANDS LÄN</t>
        </is>
      </c>
      <c r="E471" t="inlineStr">
        <is>
          <t>LINKÖPING</t>
        </is>
      </c>
      <c r="F471" t="inlineStr">
        <is>
          <t>Allmännings- och besparingsskogar</t>
        </is>
      </c>
      <c r="G471" t="n">
        <v>3.1</v>
      </c>
      <c r="H471" t="n">
        <v>0</v>
      </c>
      <c r="I471" t="n">
        <v>0</v>
      </c>
      <c r="J471" t="n">
        <v>0</v>
      </c>
      <c r="K471" t="n">
        <v>0</v>
      </c>
      <c r="L471" t="n">
        <v>0</v>
      </c>
      <c r="M471" t="n">
        <v>0</v>
      </c>
      <c r="N471" t="n">
        <v>0</v>
      </c>
      <c r="O471" t="n">
        <v>0</v>
      </c>
      <c r="P471" t="n">
        <v>0</v>
      </c>
      <c r="Q471" t="n">
        <v>0</v>
      </c>
      <c r="R471" s="2" t="inlineStr"/>
    </row>
    <row r="472" ht="15" customHeight="1">
      <c r="A472" t="inlineStr">
        <is>
          <t>A 62686-2023</t>
        </is>
      </c>
      <c r="B472" s="1" t="n">
        <v>45271</v>
      </c>
      <c r="C472" s="1" t="n">
        <v>46038</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48343-2025</t>
        </is>
      </c>
      <c r="B473" s="1" t="n">
        <v>45932</v>
      </c>
      <c r="C473" s="1" t="n">
        <v>46038</v>
      </c>
      <c r="D473" t="inlineStr">
        <is>
          <t>ÖSTERGÖTLANDS LÄN</t>
        </is>
      </c>
      <c r="E473" t="inlineStr">
        <is>
          <t>LINKÖPING</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48266-2025</t>
        </is>
      </c>
      <c r="B474" s="1" t="n">
        <v>45932</v>
      </c>
      <c r="C474" s="1" t="n">
        <v>46038</v>
      </c>
      <c r="D474" t="inlineStr">
        <is>
          <t>ÖSTERGÖTLANDS LÄN</t>
        </is>
      </c>
      <c r="E474" t="inlineStr">
        <is>
          <t>LINKÖPING</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42044-2023</t>
        </is>
      </c>
      <c r="B475" s="1" t="n">
        <v>45177</v>
      </c>
      <c r="C475" s="1" t="n">
        <v>46038</v>
      </c>
      <c r="D475" t="inlineStr">
        <is>
          <t>ÖSTERGÖTLANDS LÄN</t>
        </is>
      </c>
      <c r="E475" t="inlineStr">
        <is>
          <t>LINKÖPING</t>
        </is>
      </c>
      <c r="G475" t="n">
        <v>3.9</v>
      </c>
      <c r="H475" t="n">
        <v>0</v>
      </c>
      <c r="I475" t="n">
        <v>0</v>
      </c>
      <c r="J475" t="n">
        <v>0</v>
      </c>
      <c r="K475" t="n">
        <v>0</v>
      </c>
      <c r="L475" t="n">
        <v>0</v>
      </c>
      <c r="M475" t="n">
        <v>0</v>
      </c>
      <c r="N475" t="n">
        <v>0</v>
      </c>
      <c r="O475" t="n">
        <v>0</v>
      </c>
      <c r="P475" t="n">
        <v>0</v>
      </c>
      <c r="Q475" t="n">
        <v>0</v>
      </c>
      <c r="R475" s="2" t="inlineStr"/>
    </row>
    <row r="476" ht="15" customHeight="1">
      <c r="A476" t="inlineStr">
        <is>
          <t>A 5314-2021</t>
        </is>
      </c>
      <c r="B476" s="1" t="n">
        <v>44229</v>
      </c>
      <c r="C476" s="1" t="n">
        <v>46038</v>
      </c>
      <c r="D476" t="inlineStr">
        <is>
          <t>ÖSTERGÖTLANDS LÄN</t>
        </is>
      </c>
      <c r="E476" t="inlineStr">
        <is>
          <t>LINKÖPING</t>
        </is>
      </c>
      <c r="G476" t="n">
        <v>6.2</v>
      </c>
      <c r="H476" t="n">
        <v>0</v>
      </c>
      <c r="I476" t="n">
        <v>0</v>
      </c>
      <c r="J476" t="n">
        <v>0</v>
      </c>
      <c r="K476" t="n">
        <v>0</v>
      </c>
      <c r="L476" t="n">
        <v>0</v>
      </c>
      <c r="M476" t="n">
        <v>0</v>
      </c>
      <c r="N476" t="n">
        <v>0</v>
      </c>
      <c r="O476" t="n">
        <v>0</v>
      </c>
      <c r="P476" t="n">
        <v>0</v>
      </c>
      <c r="Q476" t="n">
        <v>0</v>
      </c>
      <c r="R476" s="2" t="inlineStr"/>
    </row>
    <row r="477" ht="15" customHeight="1">
      <c r="A477" t="inlineStr">
        <is>
          <t>A 48254-2025</t>
        </is>
      </c>
      <c r="B477" s="1" t="n">
        <v>45932</v>
      </c>
      <c r="C477" s="1" t="n">
        <v>46038</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49656-2021</t>
        </is>
      </c>
      <c r="B478" s="1" t="n">
        <v>44454</v>
      </c>
      <c r="C478" s="1" t="n">
        <v>46038</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38230-2023</t>
        </is>
      </c>
      <c r="B479" s="1" t="n">
        <v>45161.55373842592</v>
      </c>
      <c r="C479" s="1" t="n">
        <v>46038</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45442-2024</t>
        </is>
      </c>
      <c r="B480" s="1" t="n">
        <v>45576.64189814815</v>
      </c>
      <c r="C480" s="1" t="n">
        <v>46038</v>
      </c>
      <c r="D480" t="inlineStr">
        <is>
          <t>ÖSTERGÖTLANDS LÄN</t>
        </is>
      </c>
      <c r="E480" t="inlineStr">
        <is>
          <t>LINKÖPING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4908-2023</t>
        </is>
      </c>
      <c r="B481" s="1" t="n">
        <v>44958</v>
      </c>
      <c r="C481" s="1" t="n">
        <v>46038</v>
      </c>
      <c r="D481" t="inlineStr">
        <is>
          <t>ÖSTERGÖTLANDS LÄN</t>
        </is>
      </c>
      <c r="E481" t="inlineStr">
        <is>
          <t>LINKÖPING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1265-2023</t>
        </is>
      </c>
      <c r="B482" s="1" t="n">
        <v>44936</v>
      </c>
      <c r="C482" s="1" t="n">
        <v>46038</v>
      </c>
      <c r="D482" t="inlineStr">
        <is>
          <t>ÖSTERGÖTLANDS LÄN</t>
        </is>
      </c>
      <c r="E482" t="inlineStr">
        <is>
          <t>LINKÖPING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49455-2025</t>
        </is>
      </c>
      <c r="B483" s="1" t="n">
        <v>45938</v>
      </c>
      <c r="C483" s="1" t="n">
        <v>46038</v>
      </c>
      <c r="D483" t="inlineStr">
        <is>
          <t>ÖSTERGÖTLANDS LÄN</t>
        </is>
      </c>
      <c r="E483" t="inlineStr">
        <is>
          <t>LINKÖPING</t>
        </is>
      </c>
      <c r="F483" t="inlineStr">
        <is>
          <t>Övriga Aktiebolag</t>
        </is>
      </c>
      <c r="G483" t="n">
        <v>5.9</v>
      </c>
      <c r="H483" t="n">
        <v>0</v>
      </c>
      <c r="I483" t="n">
        <v>0</v>
      </c>
      <c r="J483" t="n">
        <v>0</v>
      </c>
      <c r="K483" t="n">
        <v>0</v>
      </c>
      <c r="L483" t="n">
        <v>0</v>
      </c>
      <c r="M483" t="n">
        <v>0</v>
      </c>
      <c r="N483" t="n">
        <v>0</v>
      </c>
      <c r="O483" t="n">
        <v>0</v>
      </c>
      <c r="P483" t="n">
        <v>0</v>
      </c>
      <c r="Q483" t="n">
        <v>0</v>
      </c>
      <c r="R483" s="2" t="inlineStr"/>
    </row>
    <row r="484" ht="15" customHeight="1">
      <c r="A484" t="inlineStr">
        <is>
          <t>A 49605-2025</t>
        </is>
      </c>
      <c r="B484" s="1" t="n">
        <v>45938</v>
      </c>
      <c r="C484" s="1" t="n">
        <v>46038</v>
      </c>
      <c r="D484" t="inlineStr">
        <is>
          <t>ÖSTERGÖTLANDS LÄN</t>
        </is>
      </c>
      <c r="E484" t="inlineStr">
        <is>
          <t>LINKÖPING</t>
        </is>
      </c>
      <c r="F484" t="inlineStr">
        <is>
          <t>Övriga Aktiebolag</t>
        </is>
      </c>
      <c r="G484" t="n">
        <v>3.3</v>
      </c>
      <c r="H484" t="n">
        <v>0</v>
      </c>
      <c r="I484" t="n">
        <v>0</v>
      </c>
      <c r="J484" t="n">
        <v>0</v>
      </c>
      <c r="K484" t="n">
        <v>0</v>
      </c>
      <c r="L484" t="n">
        <v>0</v>
      </c>
      <c r="M484" t="n">
        <v>0</v>
      </c>
      <c r="N484" t="n">
        <v>0</v>
      </c>
      <c r="O484" t="n">
        <v>0</v>
      </c>
      <c r="P484" t="n">
        <v>0</v>
      </c>
      <c r="Q484" t="n">
        <v>0</v>
      </c>
      <c r="R484" s="2" t="inlineStr"/>
    </row>
    <row r="485" ht="15" customHeight="1">
      <c r="A485" t="inlineStr">
        <is>
          <t>A 49663-2025</t>
        </is>
      </c>
      <c r="B485" s="1" t="n">
        <v>45938</v>
      </c>
      <c r="C485" s="1" t="n">
        <v>46038</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12411-2022</t>
        </is>
      </c>
      <c r="B486" s="1" t="n">
        <v>44638.21601851852</v>
      </c>
      <c r="C486" s="1" t="n">
        <v>46038</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49632-2025</t>
        </is>
      </c>
      <c r="B487" s="1" t="n">
        <v>45938</v>
      </c>
      <c r="C487" s="1" t="n">
        <v>46038</v>
      </c>
      <c r="D487" t="inlineStr">
        <is>
          <t>ÖSTERGÖTLANDS LÄN</t>
        </is>
      </c>
      <c r="E487" t="inlineStr">
        <is>
          <t>LINKÖPING</t>
        </is>
      </c>
      <c r="F487" t="inlineStr">
        <is>
          <t>Övriga Aktiebolag</t>
        </is>
      </c>
      <c r="G487" t="n">
        <v>1.6</v>
      </c>
      <c r="H487" t="n">
        <v>0</v>
      </c>
      <c r="I487" t="n">
        <v>0</v>
      </c>
      <c r="J487" t="n">
        <v>0</v>
      </c>
      <c r="K487" t="n">
        <v>0</v>
      </c>
      <c r="L487" t="n">
        <v>0</v>
      </c>
      <c r="M487" t="n">
        <v>0</v>
      </c>
      <c r="N487" t="n">
        <v>0</v>
      </c>
      <c r="O487" t="n">
        <v>0</v>
      </c>
      <c r="P487" t="n">
        <v>0</v>
      </c>
      <c r="Q487" t="n">
        <v>0</v>
      </c>
      <c r="R487" s="2" t="inlineStr"/>
    </row>
    <row r="488" ht="15" customHeight="1">
      <c r="A488" t="inlineStr">
        <is>
          <t>A 49647-2025</t>
        </is>
      </c>
      <c r="B488" s="1" t="n">
        <v>45938</v>
      </c>
      <c r="C488" s="1" t="n">
        <v>46038</v>
      </c>
      <c r="D488" t="inlineStr">
        <is>
          <t>ÖSTERGÖTLANDS LÄN</t>
        </is>
      </c>
      <c r="E488" t="inlineStr">
        <is>
          <t>LINKÖPING</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49652-2025</t>
        </is>
      </c>
      <c r="B489" s="1" t="n">
        <v>45938</v>
      </c>
      <c r="C489" s="1" t="n">
        <v>46038</v>
      </c>
      <c r="D489" t="inlineStr">
        <is>
          <t>ÖSTERGÖTLANDS LÄN</t>
        </is>
      </c>
      <c r="E489" t="inlineStr">
        <is>
          <t>LINKÖPING</t>
        </is>
      </c>
      <c r="F489" t="inlineStr">
        <is>
          <t>Övriga Aktiebolag</t>
        </is>
      </c>
      <c r="G489" t="n">
        <v>1.8</v>
      </c>
      <c r="H489" t="n">
        <v>0</v>
      </c>
      <c r="I489" t="n">
        <v>0</v>
      </c>
      <c r="J489" t="n">
        <v>0</v>
      </c>
      <c r="K489" t="n">
        <v>0</v>
      </c>
      <c r="L489" t="n">
        <v>0</v>
      </c>
      <c r="M489" t="n">
        <v>0</v>
      </c>
      <c r="N489" t="n">
        <v>0</v>
      </c>
      <c r="O489" t="n">
        <v>0</v>
      </c>
      <c r="P489" t="n">
        <v>0</v>
      </c>
      <c r="Q489" t="n">
        <v>0</v>
      </c>
      <c r="R489" s="2" t="inlineStr"/>
    </row>
    <row r="490" ht="15" customHeight="1">
      <c r="A490" t="inlineStr">
        <is>
          <t>A 49654-2025</t>
        </is>
      </c>
      <c r="B490" s="1" t="n">
        <v>45938</v>
      </c>
      <c r="C490" s="1" t="n">
        <v>46038</v>
      </c>
      <c r="D490" t="inlineStr">
        <is>
          <t>ÖSTERGÖTLANDS LÄN</t>
        </is>
      </c>
      <c r="E490" t="inlineStr">
        <is>
          <t>LINKÖPING</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49615-2025</t>
        </is>
      </c>
      <c r="B491" s="1" t="n">
        <v>45938</v>
      </c>
      <c r="C491" s="1" t="n">
        <v>46038</v>
      </c>
      <c r="D491" t="inlineStr">
        <is>
          <t>ÖSTERGÖTLANDS LÄN</t>
        </is>
      </c>
      <c r="E491" t="inlineStr">
        <is>
          <t>LINKÖPING</t>
        </is>
      </c>
      <c r="F491" t="inlineStr">
        <is>
          <t>Övriga Aktiebolag</t>
        </is>
      </c>
      <c r="G491" t="n">
        <v>1.6</v>
      </c>
      <c r="H491" t="n">
        <v>0</v>
      </c>
      <c r="I491" t="n">
        <v>0</v>
      </c>
      <c r="J491" t="n">
        <v>0</v>
      </c>
      <c r="K491" t="n">
        <v>0</v>
      </c>
      <c r="L491" t="n">
        <v>0</v>
      </c>
      <c r="M491" t="n">
        <v>0</v>
      </c>
      <c r="N491" t="n">
        <v>0</v>
      </c>
      <c r="O491" t="n">
        <v>0</v>
      </c>
      <c r="P491" t="n">
        <v>0</v>
      </c>
      <c r="Q491" t="n">
        <v>0</v>
      </c>
      <c r="R491" s="2" t="inlineStr"/>
    </row>
    <row r="492" ht="15" customHeight="1">
      <c r="A492" t="inlineStr">
        <is>
          <t>A 49619-2025</t>
        </is>
      </c>
      <c r="B492" s="1" t="n">
        <v>45938</v>
      </c>
      <c r="C492" s="1" t="n">
        <v>46038</v>
      </c>
      <c r="D492" t="inlineStr">
        <is>
          <t>ÖSTERGÖTLANDS LÄN</t>
        </is>
      </c>
      <c r="E492" t="inlineStr">
        <is>
          <t>LINKÖPING</t>
        </is>
      </c>
      <c r="F492" t="inlineStr">
        <is>
          <t>Övriga Aktiebolag</t>
        </is>
      </c>
      <c r="G492" t="n">
        <v>2.3</v>
      </c>
      <c r="H492" t="n">
        <v>0</v>
      </c>
      <c r="I492" t="n">
        <v>0</v>
      </c>
      <c r="J492" t="n">
        <v>0</v>
      </c>
      <c r="K492" t="n">
        <v>0</v>
      </c>
      <c r="L492" t="n">
        <v>0</v>
      </c>
      <c r="M492" t="n">
        <v>0</v>
      </c>
      <c r="N492" t="n">
        <v>0</v>
      </c>
      <c r="O492" t="n">
        <v>0</v>
      </c>
      <c r="P492" t="n">
        <v>0</v>
      </c>
      <c r="Q492" t="n">
        <v>0</v>
      </c>
      <c r="R492" s="2" t="inlineStr"/>
    </row>
    <row r="493" ht="15" customHeight="1">
      <c r="A493" t="inlineStr">
        <is>
          <t>A 49629-2025</t>
        </is>
      </c>
      <c r="B493" s="1" t="n">
        <v>45938</v>
      </c>
      <c r="C493" s="1" t="n">
        <v>46038</v>
      </c>
      <c r="D493" t="inlineStr">
        <is>
          <t>ÖSTERGÖTLANDS LÄN</t>
        </is>
      </c>
      <c r="E493" t="inlineStr">
        <is>
          <t>LINKÖPING</t>
        </is>
      </c>
      <c r="F493" t="inlineStr">
        <is>
          <t>Övriga Aktiebolag</t>
        </is>
      </c>
      <c r="G493" t="n">
        <v>4.5</v>
      </c>
      <c r="H493" t="n">
        <v>0</v>
      </c>
      <c r="I493" t="n">
        <v>0</v>
      </c>
      <c r="J493" t="n">
        <v>0</v>
      </c>
      <c r="K493" t="n">
        <v>0</v>
      </c>
      <c r="L493" t="n">
        <v>0</v>
      </c>
      <c r="M493" t="n">
        <v>0</v>
      </c>
      <c r="N493" t="n">
        <v>0</v>
      </c>
      <c r="O493" t="n">
        <v>0</v>
      </c>
      <c r="P493" t="n">
        <v>0</v>
      </c>
      <c r="Q493" t="n">
        <v>0</v>
      </c>
      <c r="R493" s="2" t="inlineStr"/>
    </row>
    <row r="494" ht="15" customHeight="1">
      <c r="A494" t="inlineStr">
        <is>
          <t>A 49650-2025</t>
        </is>
      </c>
      <c r="B494" s="1" t="n">
        <v>45938</v>
      </c>
      <c r="C494" s="1" t="n">
        <v>46038</v>
      </c>
      <c r="D494" t="inlineStr">
        <is>
          <t>ÖSTERGÖTLANDS LÄN</t>
        </is>
      </c>
      <c r="E494" t="inlineStr">
        <is>
          <t>LINKÖPING</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49633-2025</t>
        </is>
      </c>
      <c r="B495" s="1" t="n">
        <v>45938</v>
      </c>
      <c r="C495" s="1" t="n">
        <v>46038</v>
      </c>
      <c r="D495" t="inlineStr">
        <is>
          <t>ÖSTERGÖTLANDS LÄN</t>
        </is>
      </c>
      <c r="E495" t="inlineStr">
        <is>
          <t>LINKÖPING</t>
        </is>
      </c>
      <c r="F495" t="inlineStr">
        <is>
          <t>Övriga Aktiebolag</t>
        </is>
      </c>
      <c r="G495" t="n">
        <v>0.7</v>
      </c>
      <c r="H495" t="n">
        <v>0</v>
      </c>
      <c r="I495" t="n">
        <v>0</v>
      </c>
      <c r="J495" t="n">
        <v>0</v>
      </c>
      <c r="K495" t="n">
        <v>0</v>
      </c>
      <c r="L495" t="n">
        <v>0</v>
      </c>
      <c r="M495" t="n">
        <v>0</v>
      </c>
      <c r="N495" t="n">
        <v>0</v>
      </c>
      <c r="O495" t="n">
        <v>0</v>
      </c>
      <c r="P495" t="n">
        <v>0</v>
      </c>
      <c r="Q495" t="n">
        <v>0</v>
      </c>
      <c r="R495" s="2" t="inlineStr"/>
    </row>
    <row r="496" ht="15" customHeight="1">
      <c r="A496" t="inlineStr">
        <is>
          <t>A 23491-2024</t>
        </is>
      </c>
      <c r="B496" s="1" t="n">
        <v>45453</v>
      </c>
      <c r="C496" s="1" t="n">
        <v>46038</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70-2024</t>
        </is>
      </c>
      <c r="B497" s="1" t="n">
        <v>45293</v>
      </c>
      <c r="C497" s="1" t="n">
        <v>46038</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6054-2022</t>
        </is>
      </c>
      <c r="B498" s="1" t="n">
        <v>44599.53623842593</v>
      </c>
      <c r="C498" s="1" t="n">
        <v>46038</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31725-2022</t>
        </is>
      </c>
      <c r="B499" s="1" t="n">
        <v>44776.48541666667</v>
      </c>
      <c r="C499" s="1" t="n">
        <v>46038</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40983-2025</t>
        </is>
      </c>
      <c r="B500" s="1" t="n">
        <v>45898</v>
      </c>
      <c r="C500" s="1" t="n">
        <v>46038</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50056-2025</t>
        </is>
      </c>
      <c r="B501" s="1" t="n">
        <v>45941</v>
      </c>
      <c r="C501" s="1" t="n">
        <v>46038</v>
      </c>
      <c r="D501" t="inlineStr">
        <is>
          <t>ÖSTERGÖTLANDS LÄN</t>
        </is>
      </c>
      <c r="E501" t="inlineStr">
        <is>
          <t>LINKÖPING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50667-2025</t>
        </is>
      </c>
      <c r="B502" s="1" t="n">
        <v>45945</v>
      </c>
      <c r="C502" s="1" t="n">
        <v>46038</v>
      </c>
      <c r="D502" t="inlineStr">
        <is>
          <t>ÖSTERGÖTLANDS LÄN</t>
        </is>
      </c>
      <c r="E502" t="inlineStr">
        <is>
          <t>LINKÖPING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57391-2023</t>
        </is>
      </c>
      <c r="B503" s="1" t="n">
        <v>45245</v>
      </c>
      <c r="C503" s="1" t="n">
        <v>46038</v>
      </c>
      <c r="D503" t="inlineStr">
        <is>
          <t>ÖSTERGÖTLANDS LÄN</t>
        </is>
      </c>
      <c r="E503" t="inlineStr">
        <is>
          <t>LINKÖPING</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7992-2023</t>
        </is>
      </c>
      <c r="B504" s="1" t="n">
        <v>44970</v>
      </c>
      <c r="C504" s="1" t="n">
        <v>46038</v>
      </c>
      <c r="D504" t="inlineStr">
        <is>
          <t>ÖSTERGÖTLANDS LÄN</t>
        </is>
      </c>
      <c r="E504" t="inlineStr">
        <is>
          <t>LINKÖPING</t>
        </is>
      </c>
      <c r="F504" t="inlineStr">
        <is>
          <t>Kommuner</t>
        </is>
      </c>
      <c r="G504" t="n">
        <v>1</v>
      </c>
      <c r="H504" t="n">
        <v>0</v>
      </c>
      <c r="I504" t="n">
        <v>0</v>
      </c>
      <c r="J504" t="n">
        <v>0</v>
      </c>
      <c r="K504" t="n">
        <v>0</v>
      </c>
      <c r="L504" t="n">
        <v>0</v>
      </c>
      <c r="M504" t="n">
        <v>0</v>
      </c>
      <c r="N504" t="n">
        <v>0</v>
      </c>
      <c r="O504" t="n">
        <v>0</v>
      </c>
      <c r="P504" t="n">
        <v>0</v>
      </c>
      <c r="Q504" t="n">
        <v>0</v>
      </c>
      <c r="R504" s="2" t="inlineStr"/>
    </row>
    <row r="505" ht="15" customHeight="1">
      <c r="A505" t="inlineStr">
        <is>
          <t>A 13689-2025</t>
        </is>
      </c>
      <c r="B505" s="1" t="n">
        <v>45737.31590277778</v>
      </c>
      <c r="C505" s="1" t="n">
        <v>46038</v>
      </c>
      <c r="D505" t="inlineStr">
        <is>
          <t>ÖSTERGÖTLANDS LÄN</t>
        </is>
      </c>
      <c r="E505" t="inlineStr">
        <is>
          <t>LINKÖPING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13696-2025</t>
        </is>
      </c>
      <c r="B506" s="1" t="n">
        <v>45737.32273148148</v>
      </c>
      <c r="C506" s="1" t="n">
        <v>46038</v>
      </c>
      <c r="D506" t="inlineStr">
        <is>
          <t>ÖSTERGÖTLANDS LÄN</t>
        </is>
      </c>
      <c r="E506" t="inlineStr">
        <is>
          <t>LINKÖPING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1924-2024</t>
        </is>
      </c>
      <c r="B507" s="1" t="n">
        <v>45308</v>
      </c>
      <c r="C507" s="1" t="n">
        <v>46038</v>
      </c>
      <c r="D507" t="inlineStr">
        <is>
          <t>ÖSTERGÖTLANDS LÄN</t>
        </is>
      </c>
      <c r="E507" t="inlineStr">
        <is>
          <t>LINKÖPING</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32346-2023</t>
        </is>
      </c>
      <c r="B508" s="1" t="n">
        <v>45120</v>
      </c>
      <c r="C508" s="1" t="n">
        <v>46038</v>
      </c>
      <c r="D508" t="inlineStr">
        <is>
          <t>ÖSTERGÖTLANDS LÄN</t>
        </is>
      </c>
      <c r="E508" t="inlineStr">
        <is>
          <t>LINKÖPING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50508-2024</t>
        </is>
      </c>
      <c r="B509" s="1" t="n">
        <v>45601.53907407408</v>
      </c>
      <c r="C509" s="1" t="n">
        <v>46038</v>
      </c>
      <c r="D509" t="inlineStr">
        <is>
          <t>ÖSTERGÖTLANDS LÄN</t>
        </is>
      </c>
      <c r="E509" t="inlineStr">
        <is>
          <t>LINKÖPING</t>
        </is>
      </c>
      <c r="F509" t="inlineStr">
        <is>
          <t>Övriga Aktiebolag</t>
        </is>
      </c>
      <c r="G509" t="n">
        <v>2</v>
      </c>
      <c r="H509" t="n">
        <v>0</v>
      </c>
      <c r="I509" t="n">
        <v>0</v>
      </c>
      <c r="J509" t="n">
        <v>0</v>
      </c>
      <c r="K509" t="n">
        <v>0</v>
      </c>
      <c r="L509" t="n">
        <v>0</v>
      </c>
      <c r="M509" t="n">
        <v>0</v>
      </c>
      <c r="N509" t="n">
        <v>0</v>
      </c>
      <c r="O509" t="n">
        <v>0</v>
      </c>
      <c r="P509" t="n">
        <v>0</v>
      </c>
      <c r="Q509" t="n">
        <v>0</v>
      </c>
      <c r="R509" s="2" t="inlineStr"/>
    </row>
    <row r="510" ht="15" customHeight="1">
      <c r="A510" t="inlineStr">
        <is>
          <t>A 51802-2025</t>
        </is>
      </c>
      <c r="B510" s="1" t="n">
        <v>45950</v>
      </c>
      <c r="C510" s="1" t="n">
        <v>46038</v>
      </c>
      <c r="D510" t="inlineStr">
        <is>
          <t>ÖSTERGÖTLANDS LÄN</t>
        </is>
      </c>
      <c r="E510" t="inlineStr">
        <is>
          <t>LINKÖPING</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7808-2022</t>
        </is>
      </c>
      <c r="B511" s="1" t="n">
        <v>44608</v>
      </c>
      <c r="C511" s="1" t="n">
        <v>46038</v>
      </c>
      <c r="D511" t="inlineStr">
        <is>
          <t>ÖSTERGÖTLANDS LÄN</t>
        </is>
      </c>
      <c r="E511" t="inlineStr">
        <is>
          <t>LINKÖPING</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10253-2022</t>
        </is>
      </c>
      <c r="B512" s="1" t="n">
        <v>44622</v>
      </c>
      <c r="C512" s="1" t="n">
        <v>46038</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27844-2024</t>
        </is>
      </c>
      <c r="B513" s="1" t="n">
        <v>45475.63047453704</v>
      </c>
      <c r="C513" s="1" t="n">
        <v>46038</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40810-2022</t>
        </is>
      </c>
      <c r="B514" s="1" t="n">
        <v>44824</v>
      </c>
      <c r="C514" s="1" t="n">
        <v>46038</v>
      </c>
      <c r="D514" t="inlineStr">
        <is>
          <t>ÖSTERGÖTLANDS LÄN</t>
        </is>
      </c>
      <c r="E514" t="inlineStr">
        <is>
          <t>LINKÖPING</t>
        </is>
      </c>
      <c r="G514" t="n">
        <v>2.8</v>
      </c>
      <c r="H514" t="n">
        <v>0</v>
      </c>
      <c r="I514" t="n">
        <v>0</v>
      </c>
      <c r="J514" t="n">
        <v>0</v>
      </c>
      <c r="K514" t="n">
        <v>0</v>
      </c>
      <c r="L514" t="n">
        <v>0</v>
      </c>
      <c r="M514" t="n">
        <v>0</v>
      </c>
      <c r="N514" t="n">
        <v>0</v>
      </c>
      <c r="O514" t="n">
        <v>0</v>
      </c>
      <c r="P514" t="n">
        <v>0</v>
      </c>
      <c r="Q514" t="n">
        <v>0</v>
      </c>
      <c r="R514" s="2" t="inlineStr"/>
    </row>
    <row r="515" ht="15" customHeight="1">
      <c r="A515" t="inlineStr">
        <is>
          <t>A 51559-2024</t>
        </is>
      </c>
      <c r="B515" s="1" t="n">
        <v>45604.61431712963</v>
      </c>
      <c r="C515" s="1" t="n">
        <v>46038</v>
      </c>
      <c r="D515" t="inlineStr">
        <is>
          <t>ÖSTERGÖTLANDS LÄN</t>
        </is>
      </c>
      <c r="E515" t="inlineStr">
        <is>
          <t>LINKÖPING</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49979-2022</t>
        </is>
      </c>
      <c r="B516" s="1" t="n">
        <v>44865</v>
      </c>
      <c r="C516" s="1" t="n">
        <v>46038</v>
      </c>
      <c r="D516" t="inlineStr">
        <is>
          <t>ÖSTERGÖTLANDS LÄN</t>
        </is>
      </c>
      <c r="E516" t="inlineStr">
        <is>
          <t>LINKÖPING</t>
        </is>
      </c>
      <c r="F516" t="inlineStr">
        <is>
          <t>Övriga Aktiebolag</t>
        </is>
      </c>
      <c r="G516" t="n">
        <v>11.4</v>
      </c>
      <c r="H516" t="n">
        <v>0</v>
      </c>
      <c r="I516" t="n">
        <v>0</v>
      </c>
      <c r="J516" t="n">
        <v>0</v>
      </c>
      <c r="K516" t="n">
        <v>0</v>
      </c>
      <c r="L516" t="n">
        <v>0</v>
      </c>
      <c r="M516" t="n">
        <v>0</v>
      </c>
      <c r="N516" t="n">
        <v>0</v>
      </c>
      <c r="O516" t="n">
        <v>0</v>
      </c>
      <c r="P516" t="n">
        <v>0</v>
      </c>
      <c r="Q516" t="n">
        <v>0</v>
      </c>
      <c r="R516" s="2" t="inlineStr"/>
    </row>
    <row r="517" ht="15" customHeight="1">
      <c r="A517" t="inlineStr">
        <is>
          <t>A 52111-2025</t>
        </is>
      </c>
      <c r="B517" s="1" t="n">
        <v>45952.69527777778</v>
      </c>
      <c r="C517" s="1" t="n">
        <v>46038</v>
      </c>
      <c r="D517" t="inlineStr">
        <is>
          <t>ÖSTERGÖTLANDS LÄN</t>
        </is>
      </c>
      <c r="E517" t="inlineStr">
        <is>
          <t>LINKÖPING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39219-2021</t>
        </is>
      </c>
      <c r="B518" s="1" t="n">
        <v>44413</v>
      </c>
      <c r="C518" s="1" t="n">
        <v>46038</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39224-2021</t>
        </is>
      </c>
      <c r="B519" s="1" t="n">
        <v>44413</v>
      </c>
      <c r="C519" s="1" t="n">
        <v>46038</v>
      </c>
      <c r="D519" t="inlineStr">
        <is>
          <t>ÖSTERGÖTLANDS LÄN</t>
        </is>
      </c>
      <c r="E519" t="inlineStr">
        <is>
          <t>LINKÖPING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62495-2023</t>
        </is>
      </c>
      <c r="B520" s="1" t="n">
        <v>45268.59717592593</v>
      </c>
      <c r="C520" s="1" t="n">
        <v>46038</v>
      </c>
      <c r="D520" t="inlineStr">
        <is>
          <t>ÖSTERGÖTLANDS LÄN</t>
        </is>
      </c>
      <c r="E520" t="inlineStr">
        <is>
          <t>LINKÖPING</t>
        </is>
      </c>
      <c r="G520" t="n">
        <v>4.1</v>
      </c>
      <c r="H520" t="n">
        <v>0</v>
      </c>
      <c r="I520" t="n">
        <v>0</v>
      </c>
      <c r="J520" t="n">
        <v>0</v>
      </c>
      <c r="K520" t="n">
        <v>0</v>
      </c>
      <c r="L520" t="n">
        <v>0</v>
      </c>
      <c r="M520" t="n">
        <v>0</v>
      </c>
      <c r="N520" t="n">
        <v>0</v>
      </c>
      <c r="O520" t="n">
        <v>0</v>
      </c>
      <c r="P520" t="n">
        <v>0</v>
      </c>
      <c r="Q520" t="n">
        <v>0</v>
      </c>
      <c r="R520" s="2" t="inlineStr"/>
    </row>
    <row r="521" ht="15" customHeight="1">
      <c r="A521" t="inlineStr">
        <is>
          <t>A 29413-2023</t>
        </is>
      </c>
      <c r="B521" s="1" t="n">
        <v>45106.46465277778</v>
      </c>
      <c r="C521" s="1" t="n">
        <v>46038</v>
      </c>
      <c r="D521" t="inlineStr">
        <is>
          <t>ÖSTERGÖTLANDS LÄN</t>
        </is>
      </c>
      <c r="E521" t="inlineStr">
        <is>
          <t>LINKÖPING</t>
        </is>
      </c>
      <c r="G521" t="n">
        <v>8</v>
      </c>
      <c r="H521" t="n">
        <v>0</v>
      </c>
      <c r="I521" t="n">
        <v>0</v>
      </c>
      <c r="J521" t="n">
        <v>0</v>
      </c>
      <c r="K521" t="n">
        <v>0</v>
      </c>
      <c r="L521" t="n">
        <v>0</v>
      </c>
      <c r="M521" t="n">
        <v>0</v>
      </c>
      <c r="N521" t="n">
        <v>0</v>
      </c>
      <c r="O521" t="n">
        <v>0</v>
      </c>
      <c r="P521" t="n">
        <v>0</v>
      </c>
      <c r="Q521" t="n">
        <v>0</v>
      </c>
      <c r="R521" s="2" t="inlineStr"/>
    </row>
    <row r="522" ht="15" customHeight="1">
      <c r="A522" t="inlineStr">
        <is>
          <t>A 25948-2023</t>
        </is>
      </c>
      <c r="B522" s="1" t="n">
        <v>45090</v>
      </c>
      <c r="C522" s="1" t="n">
        <v>46038</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1627-2023</t>
        </is>
      </c>
      <c r="B523" s="1" t="n">
        <v>44937</v>
      </c>
      <c r="C523" s="1" t="n">
        <v>46038</v>
      </c>
      <c r="D523" t="inlineStr">
        <is>
          <t>ÖSTERGÖTLANDS LÄN</t>
        </is>
      </c>
      <c r="E523" t="inlineStr">
        <is>
          <t>LINKÖPING</t>
        </is>
      </c>
      <c r="G523" t="n">
        <v>10.8</v>
      </c>
      <c r="H523" t="n">
        <v>0</v>
      </c>
      <c r="I523" t="n">
        <v>0</v>
      </c>
      <c r="J523" t="n">
        <v>0</v>
      </c>
      <c r="K523" t="n">
        <v>0</v>
      </c>
      <c r="L523" t="n">
        <v>0</v>
      </c>
      <c r="M523" t="n">
        <v>0</v>
      </c>
      <c r="N523" t="n">
        <v>0</v>
      </c>
      <c r="O523" t="n">
        <v>0</v>
      </c>
      <c r="P523" t="n">
        <v>0</v>
      </c>
      <c r="Q523" t="n">
        <v>0</v>
      </c>
      <c r="R523" s="2" t="inlineStr"/>
    </row>
    <row r="524" ht="15" customHeight="1">
      <c r="A524" t="inlineStr">
        <is>
          <t>A 30481-2023</t>
        </is>
      </c>
      <c r="B524" s="1" t="n">
        <v>45111</v>
      </c>
      <c r="C524" s="1" t="n">
        <v>46038</v>
      </c>
      <c r="D524" t="inlineStr">
        <is>
          <t>ÖSTERGÖTLANDS LÄN</t>
        </is>
      </c>
      <c r="E524" t="inlineStr">
        <is>
          <t>LINKÖPING</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21782-2024</t>
        </is>
      </c>
      <c r="B525" s="1" t="n">
        <v>45442.63368055555</v>
      </c>
      <c r="C525" s="1" t="n">
        <v>46038</v>
      </c>
      <c r="D525" t="inlineStr">
        <is>
          <t>ÖSTERGÖTLANDS LÄN</t>
        </is>
      </c>
      <c r="E525" t="inlineStr">
        <is>
          <t>LINKÖPING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52740-2025</t>
        </is>
      </c>
      <c r="B526" s="1" t="n">
        <v>45957.37747685185</v>
      </c>
      <c r="C526" s="1" t="n">
        <v>46038</v>
      </c>
      <c r="D526" t="inlineStr">
        <is>
          <t>ÖSTERGÖTLANDS LÄN</t>
        </is>
      </c>
      <c r="E526" t="inlineStr">
        <is>
          <t>LINKÖPING</t>
        </is>
      </c>
      <c r="G526" t="n">
        <v>3.7</v>
      </c>
      <c r="H526" t="n">
        <v>0</v>
      </c>
      <c r="I526" t="n">
        <v>0</v>
      </c>
      <c r="J526" t="n">
        <v>0</v>
      </c>
      <c r="K526" t="n">
        <v>0</v>
      </c>
      <c r="L526" t="n">
        <v>0</v>
      </c>
      <c r="M526" t="n">
        <v>0</v>
      </c>
      <c r="N526" t="n">
        <v>0</v>
      </c>
      <c r="O526" t="n">
        <v>0</v>
      </c>
      <c r="P526" t="n">
        <v>0</v>
      </c>
      <c r="Q526" t="n">
        <v>0</v>
      </c>
      <c r="R526" s="2" t="inlineStr"/>
    </row>
    <row r="527" ht="15" customHeight="1">
      <c r="A527" t="inlineStr">
        <is>
          <t>A 11671-2023</t>
        </is>
      </c>
      <c r="B527" s="1" t="n">
        <v>44994.48125</v>
      </c>
      <c r="C527" s="1" t="n">
        <v>46038</v>
      </c>
      <c r="D527" t="inlineStr">
        <is>
          <t>ÖSTERGÖTLANDS LÄN</t>
        </is>
      </c>
      <c r="E527" t="inlineStr">
        <is>
          <t>LINKÖPING</t>
        </is>
      </c>
      <c r="G527" t="n">
        <v>2.6</v>
      </c>
      <c r="H527" t="n">
        <v>0</v>
      </c>
      <c r="I527" t="n">
        <v>0</v>
      </c>
      <c r="J527" t="n">
        <v>0</v>
      </c>
      <c r="K527" t="n">
        <v>0</v>
      </c>
      <c r="L527" t="n">
        <v>0</v>
      </c>
      <c r="M527" t="n">
        <v>0</v>
      </c>
      <c r="N527" t="n">
        <v>0</v>
      </c>
      <c r="O527" t="n">
        <v>0</v>
      </c>
      <c r="P527" t="n">
        <v>0</v>
      </c>
      <c r="Q527" t="n">
        <v>0</v>
      </c>
      <c r="R527" s="2" t="inlineStr"/>
    </row>
    <row r="528" ht="15" customHeight="1">
      <c r="A528" t="inlineStr">
        <is>
          <t>A 52800-2025</t>
        </is>
      </c>
      <c r="B528" s="1" t="n">
        <v>45957.44152777778</v>
      </c>
      <c r="C528" s="1" t="n">
        <v>46038</v>
      </c>
      <c r="D528" t="inlineStr">
        <is>
          <t>ÖSTERGÖTLANDS LÄN</t>
        </is>
      </c>
      <c r="E528" t="inlineStr">
        <is>
          <t>LINKÖPING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52802-2025</t>
        </is>
      </c>
      <c r="B529" s="1" t="n">
        <v>45957.44295138889</v>
      </c>
      <c r="C529" s="1" t="n">
        <v>46038</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3013-2023</t>
        </is>
      </c>
      <c r="B530" s="1" t="n">
        <v>44945.8092824074</v>
      </c>
      <c r="C530" s="1" t="n">
        <v>46038</v>
      </c>
      <c r="D530" t="inlineStr">
        <is>
          <t>ÖSTERGÖTLANDS LÄN</t>
        </is>
      </c>
      <c r="E530" t="inlineStr">
        <is>
          <t>LINKÖPING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49747-2024</t>
        </is>
      </c>
      <c r="B531" s="1" t="n">
        <v>45596</v>
      </c>
      <c r="C531" s="1" t="n">
        <v>46038</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42997-2021</t>
        </is>
      </c>
      <c r="B532" s="1" t="n">
        <v>44431.45556712963</v>
      </c>
      <c r="C532" s="1" t="n">
        <v>46038</v>
      </c>
      <c r="D532" t="inlineStr">
        <is>
          <t>ÖSTERGÖTLANDS LÄN</t>
        </is>
      </c>
      <c r="E532" t="inlineStr">
        <is>
          <t>LINKÖPING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52743-2025</t>
        </is>
      </c>
      <c r="B533" s="1" t="n">
        <v>45957.38039351852</v>
      </c>
      <c r="C533" s="1" t="n">
        <v>46038</v>
      </c>
      <c r="D533" t="inlineStr">
        <is>
          <t>ÖSTERGÖTLANDS LÄN</t>
        </is>
      </c>
      <c r="E533" t="inlineStr">
        <is>
          <t>LINKÖPING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52807-2025</t>
        </is>
      </c>
      <c r="B534" s="1" t="n">
        <v>45957.44837962963</v>
      </c>
      <c r="C534" s="1" t="n">
        <v>46038</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60703-2025</t>
        </is>
      </c>
      <c r="B535" s="1" t="n">
        <v>45996.6052662037</v>
      </c>
      <c r="C535" s="1" t="n">
        <v>46038</v>
      </c>
      <c r="D535" t="inlineStr">
        <is>
          <t>ÖSTERGÖTLANDS LÄN</t>
        </is>
      </c>
      <c r="E535" t="inlineStr">
        <is>
          <t>LINKÖPING</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3011-2023</t>
        </is>
      </c>
      <c r="B536" s="1" t="n">
        <v>44945</v>
      </c>
      <c r="C536" s="1" t="n">
        <v>46038</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23735-2023</t>
        </is>
      </c>
      <c r="B537" s="1" t="n">
        <v>45077</v>
      </c>
      <c r="C537" s="1" t="n">
        <v>46038</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45821-2024</t>
        </is>
      </c>
      <c r="B538" s="1" t="n">
        <v>45579.75803240741</v>
      </c>
      <c r="C538" s="1" t="n">
        <v>46038</v>
      </c>
      <c r="D538" t="inlineStr">
        <is>
          <t>ÖSTERGÖTLANDS LÄN</t>
        </is>
      </c>
      <c r="E538" t="inlineStr">
        <is>
          <t>LINKÖPING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61447-2025</t>
        </is>
      </c>
      <c r="B539" s="1" t="n">
        <v>46001.57554398148</v>
      </c>
      <c r="C539" s="1" t="n">
        <v>46038</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53647-2021</t>
        </is>
      </c>
      <c r="B540" s="1" t="n">
        <v>44469</v>
      </c>
      <c r="C540" s="1" t="n">
        <v>46038</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6599-2023</t>
        </is>
      </c>
      <c r="B541" s="1" t="n">
        <v>44966.52603009259</v>
      </c>
      <c r="C541" s="1" t="n">
        <v>46038</v>
      </c>
      <c r="D541" t="inlineStr">
        <is>
          <t>ÖSTERGÖTLANDS LÄN</t>
        </is>
      </c>
      <c r="E541" t="inlineStr">
        <is>
          <t>LINKÖPING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61899-2025</t>
        </is>
      </c>
      <c r="B542" s="1" t="n">
        <v>46003.46635416667</v>
      </c>
      <c r="C542" s="1" t="n">
        <v>46038</v>
      </c>
      <c r="D542" t="inlineStr">
        <is>
          <t>ÖSTERGÖTLANDS LÄN</t>
        </is>
      </c>
      <c r="E542" t="inlineStr">
        <is>
          <t>LINKÖPING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61643-2025</t>
        </is>
      </c>
      <c r="B543" s="1" t="n">
        <v>46002.43575231481</v>
      </c>
      <c r="C543" s="1" t="n">
        <v>46038</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35735-2023</t>
        </is>
      </c>
      <c r="B544" s="1" t="n">
        <v>45147</v>
      </c>
      <c r="C544" s="1" t="n">
        <v>46038</v>
      </c>
      <c r="D544" t="inlineStr">
        <is>
          <t>ÖSTERGÖTLANDS LÄN</t>
        </is>
      </c>
      <c r="E544" t="inlineStr">
        <is>
          <t>LINKÖPING</t>
        </is>
      </c>
      <c r="G544" t="n">
        <v>2.8</v>
      </c>
      <c r="H544" t="n">
        <v>0</v>
      </c>
      <c r="I544" t="n">
        <v>0</v>
      </c>
      <c r="J544" t="n">
        <v>0</v>
      </c>
      <c r="K544" t="n">
        <v>0</v>
      </c>
      <c r="L544" t="n">
        <v>0</v>
      </c>
      <c r="M544" t="n">
        <v>0</v>
      </c>
      <c r="N544" t="n">
        <v>0</v>
      </c>
      <c r="O544" t="n">
        <v>0</v>
      </c>
      <c r="P544" t="n">
        <v>0</v>
      </c>
      <c r="Q544" t="n">
        <v>0</v>
      </c>
      <c r="R544" s="2" t="inlineStr"/>
    </row>
    <row r="545" ht="15" customHeight="1">
      <c r="A545" t="inlineStr">
        <is>
          <t>A 61645-2025</t>
        </is>
      </c>
      <c r="B545" s="1" t="n">
        <v>46002.43697916667</v>
      </c>
      <c r="C545" s="1" t="n">
        <v>46038</v>
      </c>
      <c r="D545" t="inlineStr">
        <is>
          <t>ÖSTERGÖTLANDS LÄN</t>
        </is>
      </c>
      <c r="E545" t="inlineStr">
        <is>
          <t>LINKÖPING</t>
        </is>
      </c>
      <c r="G545" t="n">
        <v>1.9</v>
      </c>
      <c r="H545" t="n">
        <v>0</v>
      </c>
      <c r="I545" t="n">
        <v>0</v>
      </c>
      <c r="J545" t="n">
        <v>0</v>
      </c>
      <c r="K545" t="n">
        <v>0</v>
      </c>
      <c r="L545" t="n">
        <v>0</v>
      </c>
      <c r="M545" t="n">
        <v>0</v>
      </c>
      <c r="N545" t="n">
        <v>0</v>
      </c>
      <c r="O545" t="n">
        <v>0</v>
      </c>
      <c r="P545" t="n">
        <v>0</v>
      </c>
      <c r="Q545" t="n">
        <v>0</v>
      </c>
      <c r="R545" s="2" t="inlineStr"/>
    </row>
    <row r="546" ht="15" customHeight="1">
      <c r="A546" t="inlineStr">
        <is>
          <t>A 45831-2024</t>
        </is>
      </c>
      <c r="B546" s="1" t="n">
        <v>45579.90508101852</v>
      </c>
      <c r="C546" s="1" t="n">
        <v>46038</v>
      </c>
      <c r="D546" t="inlineStr">
        <is>
          <t>ÖSTERGÖTLANDS LÄN</t>
        </is>
      </c>
      <c r="E546" t="inlineStr">
        <is>
          <t>LINKÖPING</t>
        </is>
      </c>
      <c r="G546" t="n">
        <v>1.9</v>
      </c>
      <c r="H546" t="n">
        <v>0</v>
      </c>
      <c r="I546" t="n">
        <v>0</v>
      </c>
      <c r="J546" t="n">
        <v>0</v>
      </c>
      <c r="K546" t="n">
        <v>0</v>
      </c>
      <c r="L546" t="n">
        <v>0</v>
      </c>
      <c r="M546" t="n">
        <v>0</v>
      </c>
      <c r="N546" t="n">
        <v>0</v>
      </c>
      <c r="O546" t="n">
        <v>0</v>
      </c>
      <c r="P546" t="n">
        <v>0</v>
      </c>
      <c r="Q546" t="n">
        <v>0</v>
      </c>
      <c r="R546" s="2" t="inlineStr"/>
    </row>
    <row r="547" ht="15" customHeight="1">
      <c r="A547" t="inlineStr">
        <is>
          <t>A 17157-2024</t>
        </is>
      </c>
      <c r="B547" s="1" t="n">
        <v>45412.70567129629</v>
      </c>
      <c r="C547" s="1" t="n">
        <v>46038</v>
      </c>
      <c r="D547" t="inlineStr">
        <is>
          <t>ÖSTERGÖTLANDS LÄN</t>
        </is>
      </c>
      <c r="E547" t="inlineStr">
        <is>
          <t>LINKÖPING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54332-2025</t>
        </is>
      </c>
      <c r="B548" s="1" t="n">
        <v>45965.34915509259</v>
      </c>
      <c r="C548" s="1" t="n">
        <v>46038</v>
      </c>
      <c r="D548" t="inlineStr">
        <is>
          <t>ÖSTERGÖTLANDS LÄN</t>
        </is>
      </c>
      <c r="E548" t="inlineStr">
        <is>
          <t>LINKÖPING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54329-2025</t>
        </is>
      </c>
      <c r="B549" s="1" t="n">
        <v>45965.34706018519</v>
      </c>
      <c r="C549" s="1" t="n">
        <v>46038</v>
      </c>
      <c r="D549" t="inlineStr">
        <is>
          <t>ÖSTERGÖTLANDS LÄN</t>
        </is>
      </c>
      <c r="E549" t="inlineStr">
        <is>
          <t>LINKÖPING</t>
        </is>
      </c>
      <c r="F549" t="inlineStr">
        <is>
          <t>Sveaskog</t>
        </is>
      </c>
      <c r="G549" t="n">
        <v>5.1</v>
      </c>
      <c r="H549" t="n">
        <v>0</v>
      </c>
      <c r="I549" t="n">
        <v>0</v>
      </c>
      <c r="J549" t="n">
        <v>0</v>
      </c>
      <c r="K549" t="n">
        <v>0</v>
      </c>
      <c r="L549" t="n">
        <v>0</v>
      </c>
      <c r="M549" t="n">
        <v>0</v>
      </c>
      <c r="N549" t="n">
        <v>0</v>
      </c>
      <c r="O549" t="n">
        <v>0</v>
      </c>
      <c r="P549" t="n">
        <v>0</v>
      </c>
      <c r="Q549" t="n">
        <v>0</v>
      </c>
      <c r="R549" s="2" t="inlineStr"/>
    </row>
    <row r="550" ht="15" customHeight="1">
      <c r="A550" t="inlineStr">
        <is>
          <t>A 37154-2023</t>
        </is>
      </c>
      <c r="B550" s="1" t="n">
        <v>45155</v>
      </c>
      <c r="C550" s="1" t="n">
        <v>46038</v>
      </c>
      <c r="D550" t="inlineStr">
        <is>
          <t>ÖSTERGÖTLANDS LÄN</t>
        </is>
      </c>
      <c r="E550" t="inlineStr">
        <is>
          <t>LINKÖPING</t>
        </is>
      </c>
      <c r="G550" t="n">
        <v>1.7</v>
      </c>
      <c r="H550" t="n">
        <v>0</v>
      </c>
      <c r="I550" t="n">
        <v>0</v>
      </c>
      <c r="J550" t="n">
        <v>0</v>
      </c>
      <c r="K550" t="n">
        <v>0</v>
      </c>
      <c r="L550" t="n">
        <v>0</v>
      </c>
      <c r="M550" t="n">
        <v>0</v>
      </c>
      <c r="N550" t="n">
        <v>0</v>
      </c>
      <c r="O550" t="n">
        <v>0</v>
      </c>
      <c r="P550" t="n">
        <v>0</v>
      </c>
      <c r="Q550" t="n">
        <v>0</v>
      </c>
      <c r="R550" s="2" t="inlineStr"/>
    </row>
    <row r="551" ht="15" customHeight="1">
      <c r="A551" t="inlineStr">
        <is>
          <t>A 53812-2023</t>
        </is>
      </c>
      <c r="B551" s="1" t="n">
        <v>45231.39583333334</v>
      </c>
      <c r="C551" s="1" t="n">
        <v>46038</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53830-2023</t>
        </is>
      </c>
      <c r="B552" s="1" t="n">
        <v>45230</v>
      </c>
      <c r="C552" s="1" t="n">
        <v>46038</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61230-2025</t>
        </is>
      </c>
      <c r="B553" s="1" t="n">
        <v>46000.63111111111</v>
      </c>
      <c r="C553" s="1" t="n">
        <v>46038</v>
      </c>
      <c r="D553" t="inlineStr">
        <is>
          <t>ÖSTERGÖTLANDS LÄN</t>
        </is>
      </c>
      <c r="E553" t="inlineStr">
        <is>
          <t>LINKÖPING</t>
        </is>
      </c>
      <c r="F553" t="inlineStr">
        <is>
          <t>Kyrkan</t>
        </is>
      </c>
      <c r="G553" t="n">
        <v>2.1</v>
      </c>
      <c r="H553" t="n">
        <v>0</v>
      </c>
      <c r="I553" t="n">
        <v>0</v>
      </c>
      <c r="J553" t="n">
        <v>0</v>
      </c>
      <c r="K553" t="n">
        <v>0</v>
      </c>
      <c r="L553" t="n">
        <v>0</v>
      </c>
      <c r="M553" t="n">
        <v>0</v>
      </c>
      <c r="N553" t="n">
        <v>0</v>
      </c>
      <c r="O553" t="n">
        <v>0</v>
      </c>
      <c r="P553" t="n">
        <v>0</v>
      </c>
      <c r="Q553" t="n">
        <v>0</v>
      </c>
      <c r="R553" s="2" t="inlineStr"/>
    </row>
    <row r="554" ht="15" customHeight="1">
      <c r="A554" t="inlineStr">
        <is>
          <t>A 56841-2023</t>
        </is>
      </c>
      <c r="B554" s="1" t="n">
        <v>45244</v>
      </c>
      <c r="C554" s="1" t="n">
        <v>46038</v>
      </c>
      <c r="D554" t="inlineStr">
        <is>
          <t>ÖSTERGÖTLANDS LÄN</t>
        </is>
      </c>
      <c r="E554" t="inlineStr">
        <is>
          <t>LINKÖPING</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56741-2023</t>
        </is>
      </c>
      <c r="B555" s="1" t="n">
        <v>45244</v>
      </c>
      <c r="C555" s="1" t="n">
        <v>46038</v>
      </c>
      <c r="D555" t="inlineStr">
        <is>
          <t>ÖSTERGÖTLANDS LÄN</t>
        </is>
      </c>
      <c r="E555" t="inlineStr">
        <is>
          <t>LINKÖPING</t>
        </is>
      </c>
      <c r="F555" t="inlineStr">
        <is>
          <t>Övriga Aktiebolag</t>
        </is>
      </c>
      <c r="G555" t="n">
        <v>1.1</v>
      </c>
      <c r="H555" t="n">
        <v>0</v>
      </c>
      <c r="I555" t="n">
        <v>0</v>
      </c>
      <c r="J555" t="n">
        <v>0</v>
      </c>
      <c r="K555" t="n">
        <v>0</v>
      </c>
      <c r="L555" t="n">
        <v>0</v>
      </c>
      <c r="M555" t="n">
        <v>0</v>
      </c>
      <c r="N555" t="n">
        <v>0</v>
      </c>
      <c r="O555" t="n">
        <v>0</v>
      </c>
      <c r="P555" t="n">
        <v>0</v>
      </c>
      <c r="Q555" t="n">
        <v>0</v>
      </c>
      <c r="R555" s="2" t="inlineStr"/>
    </row>
    <row r="556" ht="15" customHeight="1">
      <c r="A556" t="inlineStr">
        <is>
          <t>A 62515-2025</t>
        </is>
      </c>
      <c r="B556" s="1" t="n">
        <v>46007.60548611111</v>
      </c>
      <c r="C556" s="1" t="n">
        <v>46038</v>
      </c>
      <c r="D556" t="inlineStr">
        <is>
          <t>ÖSTERGÖTLANDS LÄN</t>
        </is>
      </c>
      <c r="E556" t="inlineStr">
        <is>
          <t>LINKÖPING</t>
        </is>
      </c>
      <c r="G556" t="n">
        <v>2.2</v>
      </c>
      <c r="H556" t="n">
        <v>0</v>
      </c>
      <c r="I556" t="n">
        <v>0</v>
      </c>
      <c r="J556" t="n">
        <v>0</v>
      </c>
      <c r="K556" t="n">
        <v>0</v>
      </c>
      <c r="L556" t="n">
        <v>0</v>
      </c>
      <c r="M556" t="n">
        <v>0</v>
      </c>
      <c r="N556" t="n">
        <v>0</v>
      </c>
      <c r="O556" t="n">
        <v>0</v>
      </c>
      <c r="P556" t="n">
        <v>0</v>
      </c>
      <c r="Q556" t="n">
        <v>0</v>
      </c>
      <c r="R556" s="2" t="inlineStr"/>
    </row>
    <row r="557" ht="15" customHeight="1">
      <c r="A557" t="inlineStr">
        <is>
          <t>A 53816-2023</t>
        </is>
      </c>
      <c r="B557" s="1" t="n">
        <v>45231.40012731482</v>
      </c>
      <c r="C557" s="1" t="n">
        <v>46038</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63935-2021</t>
        </is>
      </c>
      <c r="B558" s="1" t="n">
        <v>44509</v>
      </c>
      <c r="C558" s="1" t="n">
        <v>46038</v>
      </c>
      <c r="D558" t="inlineStr">
        <is>
          <t>ÖSTERGÖTLANDS LÄN</t>
        </is>
      </c>
      <c r="E558" t="inlineStr">
        <is>
          <t>LINKÖPING</t>
        </is>
      </c>
      <c r="F558" t="inlineStr">
        <is>
          <t>Övriga statliga verk och myndigheter</t>
        </is>
      </c>
      <c r="G558" t="n">
        <v>2.8</v>
      </c>
      <c r="H558" t="n">
        <v>0</v>
      </c>
      <c r="I558" t="n">
        <v>0</v>
      </c>
      <c r="J558" t="n">
        <v>0</v>
      </c>
      <c r="K558" t="n">
        <v>0</v>
      </c>
      <c r="L558" t="n">
        <v>0</v>
      </c>
      <c r="M558" t="n">
        <v>0</v>
      </c>
      <c r="N558" t="n">
        <v>0</v>
      </c>
      <c r="O558" t="n">
        <v>0</v>
      </c>
      <c r="P558" t="n">
        <v>0</v>
      </c>
      <c r="Q558" t="n">
        <v>0</v>
      </c>
      <c r="R558" s="2" t="inlineStr"/>
    </row>
    <row r="559" ht="15" customHeight="1">
      <c r="A559" t="inlineStr">
        <is>
          <t>A 54333-2025</t>
        </is>
      </c>
      <c r="B559" s="1" t="n">
        <v>45965.35090277778</v>
      </c>
      <c r="C559" s="1" t="n">
        <v>46038</v>
      </c>
      <c r="D559" t="inlineStr">
        <is>
          <t>ÖSTERGÖTLANDS LÄN</t>
        </is>
      </c>
      <c r="E559" t="inlineStr">
        <is>
          <t>LINKÖPING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6726-2024</t>
        </is>
      </c>
      <c r="B560" s="1" t="n">
        <v>45341</v>
      </c>
      <c r="C560" s="1" t="n">
        <v>46038</v>
      </c>
      <c r="D560" t="inlineStr">
        <is>
          <t>ÖSTERGÖTLANDS LÄN</t>
        </is>
      </c>
      <c r="E560" t="inlineStr">
        <is>
          <t>LINKÖPING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3007-2023</t>
        </is>
      </c>
      <c r="B561" s="1" t="n">
        <v>44945</v>
      </c>
      <c r="C561" s="1" t="n">
        <v>46038</v>
      </c>
      <c r="D561" t="inlineStr">
        <is>
          <t>ÖSTERGÖTLANDS LÄN</t>
        </is>
      </c>
      <c r="E561" t="inlineStr">
        <is>
          <t>LINKÖPING</t>
        </is>
      </c>
      <c r="G561" t="n">
        <v>2.6</v>
      </c>
      <c r="H561" t="n">
        <v>0</v>
      </c>
      <c r="I561" t="n">
        <v>0</v>
      </c>
      <c r="J561" t="n">
        <v>0</v>
      </c>
      <c r="K561" t="n">
        <v>0</v>
      </c>
      <c r="L561" t="n">
        <v>0</v>
      </c>
      <c r="M561" t="n">
        <v>0</v>
      </c>
      <c r="N561" t="n">
        <v>0</v>
      </c>
      <c r="O561" t="n">
        <v>0</v>
      </c>
      <c r="P561" t="n">
        <v>0</v>
      </c>
      <c r="Q561" t="n">
        <v>0</v>
      </c>
      <c r="R561" s="2" t="inlineStr"/>
    </row>
    <row r="562" ht="15" customHeight="1">
      <c r="A562" t="inlineStr">
        <is>
          <t>A 18145-2021</t>
        </is>
      </c>
      <c r="B562" s="1" t="n">
        <v>44302</v>
      </c>
      <c r="C562" s="1" t="n">
        <v>46038</v>
      </c>
      <c r="D562" t="inlineStr">
        <is>
          <t>ÖSTERGÖTLANDS LÄN</t>
        </is>
      </c>
      <c r="E562" t="inlineStr">
        <is>
          <t>LINKÖPING</t>
        </is>
      </c>
      <c r="G562" t="n">
        <v>2.4</v>
      </c>
      <c r="H562" t="n">
        <v>0</v>
      </c>
      <c r="I562" t="n">
        <v>0</v>
      </c>
      <c r="J562" t="n">
        <v>0</v>
      </c>
      <c r="K562" t="n">
        <v>0</v>
      </c>
      <c r="L562" t="n">
        <v>0</v>
      </c>
      <c r="M562" t="n">
        <v>0</v>
      </c>
      <c r="N562" t="n">
        <v>0</v>
      </c>
      <c r="O562" t="n">
        <v>0</v>
      </c>
      <c r="P562" t="n">
        <v>0</v>
      </c>
      <c r="Q562" t="n">
        <v>0</v>
      </c>
      <c r="R562" s="2" t="inlineStr"/>
    </row>
    <row r="563" ht="15" customHeight="1">
      <c r="A563" t="inlineStr">
        <is>
          <t>A 62686-2025</t>
        </is>
      </c>
      <c r="B563" s="1" t="n">
        <v>46008.46769675926</v>
      </c>
      <c r="C563" s="1" t="n">
        <v>46038</v>
      </c>
      <c r="D563" t="inlineStr">
        <is>
          <t>ÖSTERGÖTLANDS LÄN</t>
        </is>
      </c>
      <c r="E563" t="inlineStr">
        <is>
          <t>LINKÖPING</t>
        </is>
      </c>
      <c r="G563" t="n">
        <v>7.6</v>
      </c>
      <c r="H563" t="n">
        <v>0</v>
      </c>
      <c r="I563" t="n">
        <v>0</v>
      </c>
      <c r="J563" t="n">
        <v>0</v>
      </c>
      <c r="K563" t="n">
        <v>0</v>
      </c>
      <c r="L563" t="n">
        <v>0</v>
      </c>
      <c r="M563" t="n">
        <v>0</v>
      </c>
      <c r="N563" t="n">
        <v>0</v>
      </c>
      <c r="O563" t="n">
        <v>0</v>
      </c>
      <c r="P563" t="n">
        <v>0</v>
      </c>
      <c r="Q563" t="n">
        <v>0</v>
      </c>
      <c r="R563" s="2" t="inlineStr"/>
    </row>
    <row r="564" ht="15" customHeight="1">
      <c r="A564" t="inlineStr">
        <is>
          <t>A 29309-2024</t>
        </is>
      </c>
      <c r="B564" s="1" t="n">
        <v>45483</v>
      </c>
      <c r="C564" s="1" t="n">
        <v>46038</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62791-2025</t>
        </is>
      </c>
      <c r="B565" s="1" t="n">
        <v>46008.63266203704</v>
      </c>
      <c r="C565" s="1" t="n">
        <v>46038</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53411-2023</t>
        </is>
      </c>
      <c r="B566" s="1" t="n">
        <v>45229.81049768518</v>
      </c>
      <c r="C566" s="1" t="n">
        <v>46038</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55102-2025</t>
        </is>
      </c>
      <c r="B567" s="1" t="n">
        <v>45968.35410879629</v>
      </c>
      <c r="C567" s="1" t="n">
        <v>46038</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26788-2022</t>
        </is>
      </c>
      <c r="B568" s="1" t="n">
        <v>44740</v>
      </c>
      <c r="C568" s="1" t="n">
        <v>46038</v>
      </c>
      <c r="D568" t="inlineStr">
        <is>
          <t>ÖSTERGÖTLANDS LÄN</t>
        </is>
      </c>
      <c r="E568" t="inlineStr">
        <is>
          <t>LINKÖPING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55132-2025</t>
        </is>
      </c>
      <c r="B569" s="1" t="n">
        <v>45968.41912037037</v>
      </c>
      <c r="C569" s="1" t="n">
        <v>46038</v>
      </c>
      <c r="D569" t="inlineStr">
        <is>
          <t>ÖSTERGÖTLANDS LÄN</t>
        </is>
      </c>
      <c r="E569" t="inlineStr">
        <is>
          <t>LINKÖPING</t>
        </is>
      </c>
      <c r="G569" t="n">
        <v>2.4</v>
      </c>
      <c r="H569" t="n">
        <v>0</v>
      </c>
      <c r="I569" t="n">
        <v>0</v>
      </c>
      <c r="J569" t="n">
        <v>0</v>
      </c>
      <c r="K569" t="n">
        <v>0</v>
      </c>
      <c r="L569" t="n">
        <v>0</v>
      </c>
      <c r="M569" t="n">
        <v>0</v>
      </c>
      <c r="N569" t="n">
        <v>0</v>
      </c>
      <c r="O569" t="n">
        <v>0</v>
      </c>
      <c r="P569" t="n">
        <v>0</v>
      </c>
      <c r="Q569" t="n">
        <v>0</v>
      </c>
      <c r="R569" s="2" t="inlineStr"/>
    </row>
    <row r="570" ht="15" customHeight="1">
      <c r="A570" t="inlineStr">
        <is>
          <t>A 63147-2025</t>
        </is>
      </c>
      <c r="B570" s="1" t="n">
        <v>46010.35003472222</v>
      </c>
      <c r="C570" s="1" t="n">
        <v>46038</v>
      </c>
      <c r="D570" t="inlineStr">
        <is>
          <t>ÖSTERGÖTLANDS LÄN</t>
        </is>
      </c>
      <c r="E570" t="inlineStr">
        <is>
          <t>LINKÖPING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24462-2023</t>
        </is>
      </c>
      <c r="B571" s="1" t="n">
        <v>45082</v>
      </c>
      <c r="C571" s="1" t="n">
        <v>46038</v>
      </c>
      <c r="D571" t="inlineStr">
        <is>
          <t>ÖSTERGÖTLANDS LÄN</t>
        </is>
      </c>
      <c r="E571" t="inlineStr">
        <is>
          <t>LINKÖPING</t>
        </is>
      </c>
      <c r="G571" t="n">
        <v>3.5</v>
      </c>
      <c r="H571" t="n">
        <v>0</v>
      </c>
      <c r="I571" t="n">
        <v>0</v>
      </c>
      <c r="J571" t="n">
        <v>0</v>
      </c>
      <c r="K571" t="n">
        <v>0</v>
      </c>
      <c r="L571" t="n">
        <v>0</v>
      </c>
      <c r="M571" t="n">
        <v>0</v>
      </c>
      <c r="N571" t="n">
        <v>0</v>
      </c>
      <c r="O571" t="n">
        <v>0</v>
      </c>
      <c r="P571" t="n">
        <v>0</v>
      </c>
      <c r="Q571" t="n">
        <v>0</v>
      </c>
      <c r="R571" s="2" t="inlineStr"/>
    </row>
    <row r="572" ht="15" customHeight="1">
      <c r="A572" t="inlineStr">
        <is>
          <t>A 55109-2025</t>
        </is>
      </c>
      <c r="B572" s="1" t="n">
        <v>45968.37731481482</v>
      </c>
      <c r="C572" s="1" t="n">
        <v>46038</v>
      </c>
      <c r="D572" t="inlineStr">
        <is>
          <t>ÖSTERGÖTLANDS LÄN</t>
        </is>
      </c>
      <c r="E572" t="inlineStr">
        <is>
          <t>LINKÖPING</t>
        </is>
      </c>
      <c r="G572" t="n">
        <v>3.2</v>
      </c>
      <c r="H572" t="n">
        <v>0</v>
      </c>
      <c r="I572" t="n">
        <v>0</v>
      </c>
      <c r="J572" t="n">
        <v>0</v>
      </c>
      <c r="K572" t="n">
        <v>0</v>
      </c>
      <c r="L572" t="n">
        <v>0</v>
      </c>
      <c r="M572" t="n">
        <v>0</v>
      </c>
      <c r="N572" t="n">
        <v>0</v>
      </c>
      <c r="O572" t="n">
        <v>0</v>
      </c>
      <c r="P572" t="n">
        <v>0</v>
      </c>
      <c r="Q572" t="n">
        <v>0</v>
      </c>
      <c r="R572" s="2" t="inlineStr"/>
    </row>
    <row r="573" ht="15" customHeight="1">
      <c r="A573" t="inlineStr">
        <is>
          <t>A 62015-2024</t>
        </is>
      </c>
      <c r="B573" s="1" t="n">
        <v>45655.80457175926</v>
      </c>
      <c r="C573" s="1" t="n">
        <v>46038</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63144-2025</t>
        </is>
      </c>
      <c r="B574" s="1" t="n">
        <v>46010.34716435185</v>
      </c>
      <c r="C574" s="1" t="n">
        <v>46038</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55165-2025</t>
        </is>
      </c>
      <c r="B575" s="1" t="n">
        <v>45968.48194444444</v>
      </c>
      <c r="C575" s="1" t="n">
        <v>46038</v>
      </c>
      <c r="D575" t="inlineStr">
        <is>
          <t>ÖSTERGÖTLANDS LÄN</t>
        </is>
      </c>
      <c r="E575" t="inlineStr">
        <is>
          <t>LINKÖPING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10741-2023</t>
        </is>
      </c>
      <c r="B576" s="1" t="n">
        <v>44988.70084490741</v>
      </c>
      <c r="C576" s="1" t="n">
        <v>46038</v>
      </c>
      <c r="D576" t="inlineStr">
        <is>
          <t>ÖSTERGÖTLANDS LÄN</t>
        </is>
      </c>
      <c r="E576" t="inlineStr">
        <is>
          <t>LINKÖPING</t>
        </is>
      </c>
      <c r="F576" t="inlineStr">
        <is>
          <t>Allmännings- och besparingsskogar</t>
        </is>
      </c>
      <c r="G576" t="n">
        <v>11.2</v>
      </c>
      <c r="H576" t="n">
        <v>0</v>
      </c>
      <c r="I576" t="n">
        <v>0</v>
      </c>
      <c r="J576" t="n">
        <v>0</v>
      </c>
      <c r="K576" t="n">
        <v>0</v>
      </c>
      <c r="L576" t="n">
        <v>0</v>
      </c>
      <c r="M576" t="n">
        <v>0</v>
      </c>
      <c r="N576" t="n">
        <v>0</v>
      </c>
      <c r="O576" t="n">
        <v>0</v>
      </c>
      <c r="P576" t="n">
        <v>0</v>
      </c>
      <c r="Q576" t="n">
        <v>0</v>
      </c>
      <c r="R576" s="2" t="inlineStr"/>
    </row>
    <row r="577" ht="15" customHeight="1">
      <c r="A577" t="inlineStr">
        <is>
          <t>A 43473-2024</t>
        </is>
      </c>
      <c r="B577" s="1" t="n">
        <v>45568</v>
      </c>
      <c r="C577" s="1" t="n">
        <v>46038</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43475-2024</t>
        </is>
      </c>
      <c r="B578" s="1" t="n">
        <v>45568</v>
      </c>
      <c r="C578" s="1" t="n">
        <v>46038</v>
      </c>
      <c r="D578" t="inlineStr">
        <is>
          <t>ÖSTERGÖTLANDS LÄN</t>
        </is>
      </c>
      <c r="E578" t="inlineStr">
        <is>
          <t>LINKÖPING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1207-2023</t>
        </is>
      </c>
      <c r="B579" s="1" t="n">
        <v>44930</v>
      </c>
      <c r="C579" s="1" t="n">
        <v>46038</v>
      </c>
      <c r="D579" t="inlineStr">
        <is>
          <t>ÖSTERGÖTLANDS LÄN</t>
        </is>
      </c>
      <c r="E579" t="inlineStr">
        <is>
          <t>LINKÖPING</t>
        </is>
      </c>
      <c r="F579" t="inlineStr">
        <is>
          <t>Övriga statliga verk och myndigheter</t>
        </is>
      </c>
      <c r="G579" t="n">
        <v>32.8</v>
      </c>
      <c r="H579" t="n">
        <v>0</v>
      </c>
      <c r="I579" t="n">
        <v>0</v>
      </c>
      <c r="J579" t="n">
        <v>0</v>
      </c>
      <c r="K579" t="n">
        <v>0</v>
      </c>
      <c r="L579" t="n">
        <v>0</v>
      </c>
      <c r="M579" t="n">
        <v>0</v>
      </c>
      <c r="N579" t="n">
        <v>0</v>
      </c>
      <c r="O579" t="n">
        <v>0</v>
      </c>
      <c r="P579" t="n">
        <v>0</v>
      </c>
      <c r="Q579" t="n">
        <v>0</v>
      </c>
      <c r="R579" s="2" t="inlineStr"/>
    </row>
    <row r="580" ht="15" customHeight="1">
      <c r="A580" t="inlineStr">
        <is>
          <t>A 29859-2024</t>
        </is>
      </c>
      <c r="B580" s="1" t="n">
        <v>45485.6846412037</v>
      </c>
      <c r="C580" s="1" t="n">
        <v>46038</v>
      </c>
      <c r="D580" t="inlineStr">
        <is>
          <t>ÖSTERGÖTLANDS LÄN</t>
        </is>
      </c>
      <c r="E580" t="inlineStr">
        <is>
          <t>LINKÖPING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45819-2024</t>
        </is>
      </c>
      <c r="B581" s="1" t="n">
        <v>45579.7454050926</v>
      </c>
      <c r="C581" s="1" t="n">
        <v>46038</v>
      </c>
      <c r="D581" t="inlineStr">
        <is>
          <t>ÖSTERGÖTLANDS LÄN</t>
        </is>
      </c>
      <c r="E581" t="inlineStr">
        <is>
          <t>LINKÖPING</t>
        </is>
      </c>
      <c r="G581" t="n">
        <v>5</v>
      </c>
      <c r="H581" t="n">
        <v>0</v>
      </c>
      <c r="I581" t="n">
        <v>0</v>
      </c>
      <c r="J581" t="n">
        <v>0</v>
      </c>
      <c r="K581" t="n">
        <v>0</v>
      </c>
      <c r="L581" t="n">
        <v>0</v>
      </c>
      <c r="M581" t="n">
        <v>0</v>
      </c>
      <c r="N581" t="n">
        <v>0</v>
      </c>
      <c r="O581" t="n">
        <v>0</v>
      </c>
      <c r="P581" t="n">
        <v>0</v>
      </c>
      <c r="Q581" t="n">
        <v>0</v>
      </c>
      <c r="R581" s="2" t="inlineStr"/>
    </row>
    <row r="582" ht="15" customHeight="1">
      <c r="A582" t="inlineStr">
        <is>
          <t>A 15748-2025</t>
        </is>
      </c>
      <c r="B582" s="1" t="n">
        <v>45748.55282407408</v>
      </c>
      <c r="C582" s="1" t="n">
        <v>46038</v>
      </c>
      <c r="D582" t="inlineStr">
        <is>
          <t>ÖSTERGÖTLANDS LÄN</t>
        </is>
      </c>
      <c r="E582" t="inlineStr">
        <is>
          <t>LINKÖPING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15754-2025</t>
        </is>
      </c>
      <c r="B583" s="1" t="n">
        <v>45748.56105324074</v>
      </c>
      <c r="C583" s="1" t="n">
        <v>46038</v>
      </c>
      <c r="D583" t="inlineStr">
        <is>
          <t>ÖSTERGÖTLANDS LÄN</t>
        </is>
      </c>
      <c r="E583" t="inlineStr">
        <is>
          <t>LINKÖPING</t>
        </is>
      </c>
      <c r="G583" t="n">
        <v>1.7</v>
      </c>
      <c r="H583" t="n">
        <v>0</v>
      </c>
      <c r="I583" t="n">
        <v>0</v>
      </c>
      <c r="J583" t="n">
        <v>0</v>
      </c>
      <c r="K583" t="n">
        <v>0</v>
      </c>
      <c r="L583" t="n">
        <v>0</v>
      </c>
      <c r="M583" t="n">
        <v>0</v>
      </c>
      <c r="N583" t="n">
        <v>0</v>
      </c>
      <c r="O583" t="n">
        <v>0</v>
      </c>
      <c r="P583" t="n">
        <v>0</v>
      </c>
      <c r="Q583" t="n">
        <v>0</v>
      </c>
      <c r="R583" s="2" t="inlineStr"/>
    </row>
    <row r="584" ht="15" customHeight="1">
      <c r="A584" t="inlineStr">
        <is>
          <t>A 30518-2024</t>
        </is>
      </c>
      <c r="B584" s="1" t="n">
        <v>45492</v>
      </c>
      <c r="C584" s="1" t="n">
        <v>46038</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53797-2023</t>
        </is>
      </c>
      <c r="B585" s="1" t="n">
        <v>45230</v>
      </c>
      <c r="C585" s="1" t="n">
        <v>46038</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56113-2025</t>
        </is>
      </c>
      <c r="B586" s="1" t="n">
        <v>45973.73924768518</v>
      </c>
      <c r="C586" s="1" t="n">
        <v>46038</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56105-2025</t>
        </is>
      </c>
      <c r="B587" s="1" t="n">
        <v>45973.72855324074</v>
      </c>
      <c r="C587" s="1" t="n">
        <v>46038</v>
      </c>
      <c r="D587" t="inlineStr">
        <is>
          <t>ÖSTERGÖTLANDS LÄN</t>
        </is>
      </c>
      <c r="E587" t="inlineStr">
        <is>
          <t>LINKÖPING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55345-2021</t>
        </is>
      </c>
      <c r="B588" s="1" t="n">
        <v>44475</v>
      </c>
      <c r="C588" s="1" t="n">
        <v>46038</v>
      </c>
      <c r="D588" t="inlineStr">
        <is>
          <t>ÖSTERGÖTLANDS LÄN</t>
        </is>
      </c>
      <c r="E588" t="inlineStr">
        <is>
          <t>LINKÖPING</t>
        </is>
      </c>
      <c r="G588" t="n">
        <v>5.7</v>
      </c>
      <c r="H588" t="n">
        <v>0</v>
      </c>
      <c r="I588" t="n">
        <v>0</v>
      </c>
      <c r="J588" t="n">
        <v>0</v>
      </c>
      <c r="K588" t="n">
        <v>0</v>
      </c>
      <c r="L588" t="n">
        <v>0</v>
      </c>
      <c r="M588" t="n">
        <v>0</v>
      </c>
      <c r="N588" t="n">
        <v>0</v>
      </c>
      <c r="O588" t="n">
        <v>0</v>
      </c>
      <c r="P588" t="n">
        <v>0</v>
      </c>
      <c r="Q588" t="n">
        <v>0</v>
      </c>
      <c r="R588" s="2" t="inlineStr"/>
    </row>
    <row r="589" ht="15" customHeight="1">
      <c r="A589" t="inlineStr">
        <is>
          <t>A 10198-2023</t>
        </is>
      </c>
      <c r="B589" s="1" t="n">
        <v>44986.54665509259</v>
      </c>
      <c r="C589" s="1" t="n">
        <v>46038</v>
      </c>
      <c r="D589" t="inlineStr">
        <is>
          <t>ÖSTERGÖTLANDS LÄN</t>
        </is>
      </c>
      <c r="E589" t="inlineStr">
        <is>
          <t>LINKÖPING</t>
        </is>
      </c>
      <c r="G589" t="n">
        <v>4.6</v>
      </c>
      <c r="H589" t="n">
        <v>0</v>
      </c>
      <c r="I589" t="n">
        <v>0</v>
      </c>
      <c r="J589" t="n">
        <v>0</v>
      </c>
      <c r="K589" t="n">
        <v>0</v>
      </c>
      <c r="L589" t="n">
        <v>0</v>
      </c>
      <c r="M589" t="n">
        <v>0</v>
      </c>
      <c r="N589" t="n">
        <v>0</v>
      </c>
      <c r="O589" t="n">
        <v>0</v>
      </c>
      <c r="P589" t="n">
        <v>0</v>
      </c>
      <c r="Q589" t="n">
        <v>0</v>
      </c>
      <c r="R589" s="2" t="inlineStr"/>
    </row>
    <row r="590" ht="15" customHeight="1">
      <c r="A590" t="inlineStr">
        <is>
          <t>A 56403-2025</t>
        </is>
      </c>
      <c r="B590" s="1" t="n">
        <v>45974</v>
      </c>
      <c r="C590" s="1" t="n">
        <v>46038</v>
      </c>
      <c r="D590" t="inlineStr">
        <is>
          <t>ÖSTERGÖTLANDS LÄN</t>
        </is>
      </c>
      <c r="E590" t="inlineStr">
        <is>
          <t>LINKÖPING</t>
        </is>
      </c>
      <c r="G590" t="n">
        <v>3.3</v>
      </c>
      <c r="H590" t="n">
        <v>0</v>
      </c>
      <c r="I590" t="n">
        <v>0</v>
      </c>
      <c r="J590" t="n">
        <v>0</v>
      </c>
      <c r="K590" t="n">
        <v>0</v>
      </c>
      <c r="L590" t="n">
        <v>0</v>
      </c>
      <c r="M590" t="n">
        <v>0</v>
      </c>
      <c r="N590" t="n">
        <v>0</v>
      </c>
      <c r="O590" t="n">
        <v>0</v>
      </c>
      <c r="P590" t="n">
        <v>0</v>
      </c>
      <c r="Q590" t="n">
        <v>0</v>
      </c>
      <c r="R590" s="2" t="inlineStr"/>
    </row>
    <row r="591" ht="15" customHeight="1">
      <c r="A591" t="inlineStr">
        <is>
          <t>A 4298-2023</t>
        </is>
      </c>
      <c r="B591" s="1" t="n">
        <v>44953</v>
      </c>
      <c r="C591" s="1" t="n">
        <v>46038</v>
      </c>
      <c r="D591" t="inlineStr">
        <is>
          <t>ÖSTERGÖTLANDS LÄN</t>
        </is>
      </c>
      <c r="E591" t="inlineStr">
        <is>
          <t>LINKÖPING</t>
        </is>
      </c>
      <c r="G591" t="n">
        <v>2.8</v>
      </c>
      <c r="H591" t="n">
        <v>0</v>
      </c>
      <c r="I591" t="n">
        <v>0</v>
      </c>
      <c r="J591" t="n">
        <v>0</v>
      </c>
      <c r="K591" t="n">
        <v>0</v>
      </c>
      <c r="L591" t="n">
        <v>0</v>
      </c>
      <c r="M591" t="n">
        <v>0</v>
      </c>
      <c r="N591" t="n">
        <v>0</v>
      </c>
      <c r="O591" t="n">
        <v>0</v>
      </c>
      <c r="P591" t="n">
        <v>0</v>
      </c>
      <c r="Q591" t="n">
        <v>0</v>
      </c>
      <c r="R591" s="2" t="inlineStr"/>
    </row>
    <row r="592" ht="15" customHeight="1">
      <c r="A592" t="inlineStr">
        <is>
          <t>A 12428-2024</t>
        </is>
      </c>
      <c r="B592" s="1" t="n">
        <v>45379</v>
      </c>
      <c r="C592" s="1" t="n">
        <v>46038</v>
      </c>
      <c r="D592" t="inlineStr">
        <is>
          <t>ÖSTERGÖTLANDS LÄN</t>
        </is>
      </c>
      <c r="E592" t="inlineStr">
        <is>
          <t>LINKÖPING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26618-2023</t>
        </is>
      </c>
      <c r="B593" s="1" t="n">
        <v>45092.70306712963</v>
      </c>
      <c r="C593" s="1" t="n">
        <v>46038</v>
      </c>
      <c r="D593" t="inlineStr">
        <is>
          <t>ÖSTERGÖTLANDS LÄN</t>
        </is>
      </c>
      <c r="E593" t="inlineStr">
        <is>
          <t>LINKÖPING</t>
        </is>
      </c>
      <c r="G593" t="n">
        <v>6.9</v>
      </c>
      <c r="H593" t="n">
        <v>0</v>
      </c>
      <c r="I593" t="n">
        <v>0</v>
      </c>
      <c r="J593" t="n">
        <v>0</v>
      </c>
      <c r="K593" t="n">
        <v>0</v>
      </c>
      <c r="L593" t="n">
        <v>0</v>
      </c>
      <c r="M593" t="n">
        <v>0</v>
      </c>
      <c r="N593" t="n">
        <v>0</v>
      </c>
      <c r="O593" t="n">
        <v>0</v>
      </c>
      <c r="P593" t="n">
        <v>0</v>
      </c>
      <c r="Q593" t="n">
        <v>0</v>
      </c>
      <c r="R593" s="2" t="inlineStr"/>
    </row>
    <row r="594" ht="15" customHeight="1">
      <c r="A594" t="inlineStr">
        <is>
          <t>A 56704-2025</t>
        </is>
      </c>
      <c r="B594" s="1" t="n">
        <v>45977.50608796296</v>
      </c>
      <c r="C594" s="1" t="n">
        <v>46038</v>
      </c>
      <c r="D594" t="inlineStr">
        <is>
          <t>ÖSTERGÖTLANDS LÄN</t>
        </is>
      </c>
      <c r="E594" t="inlineStr">
        <is>
          <t>LINKÖPING</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34930-2023</t>
        </is>
      </c>
      <c r="B595" s="1" t="n">
        <v>45142</v>
      </c>
      <c r="C595" s="1" t="n">
        <v>46038</v>
      </c>
      <c r="D595" t="inlineStr">
        <is>
          <t>ÖSTERGÖTLANDS LÄN</t>
        </is>
      </c>
      <c r="E595" t="inlineStr">
        <is>
          <t>LINKÖPING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670-2024</t>
        </is>
      </c>
      <c r="B596" s="1" t="n">
        <v>45300.3408912037</v>
      </c>
      <c r="C596" s="1" t="n">
        <v>46038</v>
      </c>
      <c r="D596" t="inlineStr">
        <is>
          <t>ÖSTERGÖTLANDS LÄN</t>
        </is>
      </c>
      <c r="E596" t="inlineStr">
        <is>
          <t>LINKÖPING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63845-2021</t>
        </is>
      </c>
      <c r="B597" s="1" t="n">
        <v>44509</v>
      </c>
      <c r="C597" s="1" t="n">
        <v>46038</v>
      </c>
      <c r="D597" t="inlineStr">
        <is>
          <t>ÖSTERGÖTLANDS LÄN</t>
        </is>
      </c>
      <c r="E597" t="inlineStr">
        <is>
          <t>LINKÖPING</t>
        </is>
      </c>
      <c r="G597" t="n">
        <v>5</v>
      </c>
      <c r="H597" t="n">
        <v>0</v>
      </c>
      <c r="I597" t="n">
        <v>0</v>
      </c>
      <c r="J597" t="n">
        <v>0</v>
      </c>
      <c r="K597" t="n">
        <v>0</v>
      </c>
      <c r="L597" t="n">
        <v>0</v>
      </c>
      <c r="M597" t="n">
        <v>0</v>
      </c>
      <c r="N597" t="n">
        <v>0</v>
      </c>
      <c r="O597" t="n">
        <v>0</v>
      </c>
      <c r="P597" t="n">
        <v>0</v>
      </c>
      <c r="Q597" t="n">
        <v>0</v>
      </c>
      <c r="R597" s="2" t="inlineStr"/>
    </row>
    <row r="598" ht="15" customHeight="1">
      <c r="A598" t="inlineStr">
        <is>
          <t>A 54034-2022</t>
        </is>
      </c>
      <c r="B598" s="1" t="n">
        <v>44881</v>
      </c>
      <c r="C598" s="1" t="n">
        <v>46038</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36336-2023</t>
        </is>
      </c>
      <c r="B599" s="1" t="n">
        <v>45152.45078703704</v>
      </c>
      <c r="C599" s="1" t="n">
        <v>46038</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48829-2023</t>
        </is>
      </c>
      <c r="B600" s="1" t="n">
        <v>45209.38177083333</v>
      </c>
      <c r="C600" s="1" t="n">
        <v>46038</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48186-2022</t>
        </is>
      </c>
      <c r="B601" s="1" t="n">
        <v>44858</v>
      </c>
      <c r="C601" s="1" t="n">
        <v>46038</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63669-2023</t>
        </is>
      </c>
      <c r="B602" s="1" t="n">
        <v>45275</v>
      </c>
      <c r="C602" s="1" t="n">
        <v>46038</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24586-2024</t>
        </is>
      </c>
      <c r="B603" s="1" t="n">
        <v>45460.46664351852</v>
      </c>
      <c r="C603" s="1" t="n">
        <v>46038</v>
      </c>
      <c r="D603" t="inlineStr">
        <is>
          <t>ÖSTERGÖTLANDS LÄN</t>
        </is>
      </c>
      <c r="E603" t="inlineStr">
        <is>
          <t>LINKÖPING</t>
        </is>
      </c>
      <c r="G603" t="n">
        <v>4</v>
      </c>
      <c r="H603" t="n">
        <v>0</v>
      </c>
      <c r="I603" t="n">
        <v>0</v>
      </c>
      <c r="J603" t="n">
        <v>0</v>
      </c>
      <c r="K603" t="n">
        <v>0</v>
      </c>
      <c r="L603" t="n">
        <v>0</v>
      </c>
      <c r="M603" t="n">
        <v>0</v>
      </c>
      <c r="N603" t="n">
        <v>0</v>
      </c>
      <c r="O603" t="n">
        <v>0</v>
      </c>
      <c r="P603" t="n">
        <v>0</v>
      </c>
      <c r="Q603" t="n">
        <v>0</v>
      </c>
      <c r="R603" s="2" t="inlineStr"/>
    </row>
    <row r="604" ht="15" customHeight="1">
      <c r="A604" t="inlineStr">
        <is>
          <t>A 59576-2024</t>
        </is>
      </c>
      <c r="B604" s="1" t="n">
        <v>45638.66378472222</v>
      </c>
      <c r="C604" s="1" t="n">
        <v>46038</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59642-2024</t>
        </is>
      </c>
      <c r="B605" s="1" t="n">
        <v>45639.31511574074</v>
      </c>
      <c r="C605" s="1" t="n">
        <v>46038</v>
      </c>
      <c r="D605" t="inlineStr">
        <is>
          <t>ÖSTERGÖTLANDS LÄN</t>
        </is>
      </c>
      <c r="E605" t="inlineStr">
        <is>
          <t>LINKÖPING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59674-2024</t>
        </is>
      </c>
      <c r="B606" s="1" t="n">
        <v>45639</v>
      </c>
      <c r="C606" s="1" t="n">
        <v>46038</v>
      </c>
      <c r="D606" t="inlineStr">
        <is>
          <t>ÖSTERGÖTLANDS LÄN</t>
        </is>
      </c>
      <c r="E606" t="inlineStr">
        <is>
          <t>LINKÖPING</t>
        </is>
      </c>
      <c r="G606" t="n">
        <v>6.3</v>
      </c>
      <c r="H606" t="n">
        <v>0</v>
      </c>
      <c r="I606" t="n">
        <v>0</v>
      </c>
      <c r="J606" t="n">
        <v>0</v>
      </c>
      <c r="K606" t="n">
        <v>0</v>
      </c>
      <c r="L606" t="n">
        <v>0</v>
      </c>
      <c r="M606" t="n">
        <v>0</v>
      </c>
      <c r="N606" t="n">
        <v>0</v>
      </c>
      <c r="O606" t="n">
        <v>0</v>
      </c>
      <c r="P606" t="n">
        <v>0</v>
      </c>
      <c r="Q606" t="n">
        <v>0</v>
      </c>
      <c r="R606" s="2" t="inlineStr"/>
    </row>
    <row r="607" ht="15" customHeight="1">
      <c r="A607" t="inlineStr">
        <is>
          <t>A 3742-2021</t>
        </is>
      </c>
      <c r="B607" s="1" t="n">
        <v>44221</v>
      </c>
      <c r="C607" s="1" t="n">
        <v>46038</v>
      </c>
      <c r="D607" t="inlineStr">
        <is>
          <t>ÖSTERGÖTLANDS LÄN</t>
        </is>
      </c>
      <c r="E607" t="inlineStr">
        <is>
          <t>LINKÖPING</t>
        </is>
      </c>
      <c r="G607" t="n">
        <v>5.5</v>
      </c>
      <c r="H607" t="n">
        <v>0</v>
      </c>
      <c r="I607" t="n">
        <v>0</v>
      </c>
      <c r="J607" t="n">
        <v>0</v>
      </c>
      <c r="K607" t="n">
        <v>0</v>
      </c>
      <c r="L607" t="n">
        <v>0</v>
      </c>
      <c r="M607" t="n">
        <v>0</v>
      </c>
      <c r="N607" t="n">
        <v>0</v>
      </c>
      <c r="O607" t="n">
        <v>0</v>
      </c>
      <c r="P607" t="n">
        <v>0</v>
      </c>
      <c r="Q607" t="n">
        <v>0</v>
      </c>
      <c r="R607" s="2" t="inlineStr"/>
    </row>
    <row r="608" ht="15" customHeight="1">
      <c r="A608" t="inlineStr">
        <is>
          <t>A 18916-2024</t>
        </is>
      </c>
      <c r="B608" s="1" t="n">
        <v>45427.39541666667</v>
      </c>
      <c r="C608" s="1" t="n">
        <v>46038</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11084-2022</t>
        </is>
      </c>
      <c r="B609" s="1" t="n">
        <v>44628</v>
      </c>
      <c r="C609" s="1" t="n">
        <v>46038</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58802-2025</t>
        </is>
      </c>
      <c r="B610" s="1" t="n">
        <v>45986.8768287037</v>
      </c>
      <c r="C610" s="1" t="n">
        <v>46038</v>
      </c>
      <c r="D610" t="inlineStr">
        <is>
          <t>ÖSTERGÖTLANDS LÄN</t>
        </is>
      </c>
      <c r="E610" t="inlineStr">
        <is>
          <t>LINKÖPING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10203-2023</t>
        </is>
      </c>
      <c r="B611" s="1" t="n">
        <v>44986.55711805556</v>
      </c>
      <c r="C611" s="1" t="n">
        <v>46038</v>
      </c>
      <c r="D611" t="inlineStr">
        <is>
          <t>ÖSTERGÖTLANDS LÄN</t>
        </is>
      </c>
      <c r="E611" t="inlineStr">
        <is>
          <t>LINKÖPING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55004-2025</t>
        </is>
      </c>
      <c r="B612" s="1" t="n">
        <v>45967</v>
      </c>
      <c r="C612" s="1" t="n">
        <v>46038</v>
      </c>
      <c r="D612" t="inlineStr">
        <is>
          <t>ÖSTERGÖTLANDS LÄN</t>
        </is>
      </c>
      <c r="E612" t="inlineStr">
        <is>
          <t>LINKÖPING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2618-2023</t>
        </is>
      </c>
      <c r="B613" s="1" t="n">
        <v>44944.35847222222</v>
      </c>
      <c r="C613" s="1" t="n">
        <v>46038</v>
      </c>
      <c r="D613" t="inlineStr">
        <is>
          <t>ÖSTERGÖTLANDS LÄN</t>
        </is>
      </c>
      <c r="E613" t="inlineStr">
        <is>
          <t>LINKÖPING</t>
        </is>
      </c>
      <c r="G613" t="n">
        <v>4.3</v>
      </c>
      <c r="H613" t="n">
        <v>0</v>
      </c>
      <c r="I613" t="n">
        <v>0</v>
      </c>
      <c r="J613" t="n">
        <v>0</v>
      </c>
      <c r="K613" t="n">
        <v>0</v>
      </c>
      <c r="L613" t="n">
        <v>0</v>
      </c>
      <c r="M613" t="n">
        <v>0</v>
      </c>
      <c r="N613" t="n">
        <v>0</v>
      </c>
      <c r="O613" t="n">
        <v>0</v>
      </c>
      <c r="P613" t="n">
        <v>0</v>
      </c>
      <c r="Q613" t="n">
        <v>0</v>
      </c>
      <c r="R613" s="2" t="inlineStr"/>
    </row>
    <row r="614" ht="15" customHeight="1">
      <c r="A614" t="inlineStr">
        <is>
          <t>A 60866-2025</t>
        </is>
      </c>
      <c r="B614" s="1" t="n">
        <v>45999</v>
      </c>
      <c r="C614" s="1" t="n">
        <v>46038</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59205-2025</t>
        </is>
      </c>
      <c r="B615" s="1" t="n">
        <v>45988.60721064815</v>
      </c>
      <c r="C615" s="1" t="n">
        <v>46038</v>
      </c>
      <c r="D615" t="inlineStr">
        <is>
          <t>ÖSTERGÖTLANDS LÄN</t>
        </is>
      </c>
      <c r="E615" t="inlineStr">
        <is>
          <t>LINKÖPING</t>
        </is>
      </c>
      <c r="F615" t="inlineStr">
        <is>
          <t>Sveaskog</t>
        </is>
      </c>
      <c r="G615" t="n">
        <v>11.3</v>
      </c>
      <c r="H615" t="n">
        <v>0</v>
      </c>
      <c r="I615" t="n">
        <v>0</v>
      </c>
      <c r="J615" t="n">
        <v>0</v>
      </c>
      <c r="K615" t="n">
        <v>0</v>
      </c>
      <c r="L615" t="n">
        <v>0</v>
      </c>
      <c r="M615" t="n">
        <v>0</v>
      </c>
      <c r="N615" t="n">
        <v>0</v>
      </c>
      <c r="O615" t="n">
        <v>0</v>
      </c>
      <c r="P615" t="n">
        <v>0</v>
      </c>
      <c r="Q615" t="n">
        <v>0</v>
      </c>
      <c r="R615" s="2" t="inlineStr"/>
    </row>
    <row r="616" ht="15" customHeight="1">
      <c r="A616" t="inlineStr">
        <is>
          <t>A 62020-2024</t>
        </is>
      </c>
      <c r="B616" s="1" t="n">
        <v>45655.83563657408</v>
      </c>
      <c r="C616" s="1" t="n">
        <v>46038</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62021-2024</t>
        </is>
      </c>
      <c r="B617" s="1" t="n">
        <v>45655.84232638889</v>
      </c>
      <c r="C617" s="1" t="n">
        <v>46038</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858-2026</t>
        </is>
      </c>
      <c r="B618" s="1" t="n">
        <v>46030.41200231481</v>
      </c>
      <c r="C618" s="1" t="n">
        <v>46038</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860-2026</t>
        </is>
      </c>
      <c r="B619" s="1" t="n">
        <v>46030.41974537037</v>
      </c>
      <c r="C619" s="1" t="n">
        <v>46038</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873-2026</t>
        </is>
      </c>
      <c r="B620" s="1" t="n">
        <v>46030.43818287037</v>
      </c>
      <c r="C620" s="1" t="n">
        <v>46038</v>
      </c>
      <c r="D620" t="inlineStr">
        <is>
          <t>ÖSTERGÖTLANDS LÄN</t>
        </is>
      </c>
      <c r="E620" t="inlineStr">
        <is>
          <t>LINKÖPING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944-2026</t>
        </is>
      </c>
      <c r="B621" s="1" t="n">
        <v>46030.53461805556</v>
      </c>
      <c r="C621" s="1" t="n">
        <v>46038</v>
      </c>
      <c r="D621" t="inlineStr">
        <is>
          <t>ÖSTERGÖTLANDS LÄN</t>
        </is>
      </c>
      <c r="E621" t="inlineStr">
        <is>
          <t>LINKÖPING</t>
        </is>
      </c>
      <c r="F621" t="inlineStr">
        <is>
          <t>Allmännings- och besparingsskogar</t>
        </is>
      </c>
      <c r="G621" t="n">
        <v>0.9</v>
      </c>
      <c r="H621" t="n">
        <v>0</v>
      </c>
      <c r="I621" t="n">
        <v>0</v>
      </c>
      <c r="J621" t="n">
        <v>0</v>
      </c>
      <c r="K621" t="n">
        <v>0</v>
      </c>
      <c r="L621" t="n">
        <v>0</v>
      </c>
      <c r="M621" t="n">
        <v>0</v>
      </c>
      <c r="N621" t="n">
        <v>0</v>
      </c>
      <c r="O621" t="n">
        <v>0</v>
      </c>
      <c r="P621" t="n">
        <v>0</v>
      </c>
      <c r="Q621" t="n">
        <v>0</v>
      </c>
      <c r="R621" s="2" t="inlineStr"/>
    </row>
    <row r="622" ht="15" customHeight="1">
      <c r="A622" t="inlineStr">
        <is>
          <t>A 1223-2026</t>
        </is>
      </c>
      <c r="B622" s="1" t="n">
        <v>46031.40233796297</v>
      </c>
      <c r="C622" s="1" t="n">
        <v>46038</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59472-2025</t>
        </is>
      </c>
      <c r="B623" s="1" t="n">
        <v>45989.58321759259</v>
      </c>
      <c r="C623" s="1" t="n">
        <v>46038</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1362-2023</t>
        </is>
      </c>
      <c r="B624" s="1" t="n">
        <v>44931</v>
      </c>
      <c r="C624" s="1" t="n">
        <v>46038</v>
      </c>
      <c r="D624" t="inlineStr">
        <is>
          <t>ÖSTERGÖTLANDS LÄN</t>
        </is>
      </c>
      <c r="E624" t="inlineStr">
        <is>
          <t>LINKÖPING</t>
        </is>
      </c>
      <c r="G624" t="n">
        <v>1.8</v>
      </c>
      <c r="H624" t="n">
        <v>0</v>
      </c>
      <c r="I624" t="n">
        <v>0</v>
      </c>
      <c r="J624" t="n">
        <v>0</v>
      </c>
      <c r="K624" t="n">
        <v>0</v>
      </c>
      <c r="L624" t="n">
        <v>0</v>
      </c>
      <c r="M624" t="n">
        <v>0</v>
      </c>
      <c r="N624" t="n">
        <v>0</v>
      </c>
      <c r="O624" t="n">
        <v>0</v>
      </c>
      <c r="P624" t="n">
        <v>0</v>
      </c>
      <c r="Q624" t="n">
        <v>0</v>
      </c>
      <c r="R624" s="2" t="inlineStr"/>
    </row>
    <row r="625" ht="15" customHeight="1">
      <c r="A625" t="inlineStr">
        <is>
          <t>A 859-2026</t>
        </is>
      </c>
      <c r="B625" s="1" t="n">
        <v>46030.41450231482</v>
      </c>
      <c r="C625" s="1" t="n">
        <v>46038</v>
      </c>
      <c r="D625" t="inlineStr">
        <is>
          <t>ÖSTERGÖTLANDS LÄN</t>
        </is>
      </c>
      <c r="E625" t="inlineStr">
        <is>
          <t>LINKÖPING</t>
        </is>
      </c>
      <c r="G625" t="n">
        <v>0.2</v>
      </c>
      <c r="H625" t="n">
        <v>0</v>
      </c>
      <c r="I625" t="n">
        <v>0</v>
      </c>
      <c r="J625" t="n">
        <v>0</v>
      </c>
      <c r="K625" t="n">
        <v>0</v>
      </c>
      <c r="L625" t="n">
        <v>0</v>
      </c>
      <c r="M625" t="n">
        <v>0</v>
      </c>
      <c r="N625" t="n">
        <v>0</v>
      </c>
      <c r="O625" t="n">
        <v>0</v>
      </c>
      <c r="P625" t="n">
        <v>0</v>
      </c>
      <c r="Q625" t="n">
        <v>0</v>
      </c>
      <c r="R625" s="2" t="inlineStr"/>
    </row>
    <row r="626" ht="15" customHeight="1">
      <c r="A626" t="inlineStr">
        <is>
          <t>A 856-2026</t>
        </is>
      </c>
      <c r="B626" s="1" t="n">
        <v>46030.40644675926</v>
      </c>
      <c r="C626" s="1" t="n">
        <v>46038</v>
      </c>
      <c r="D626" t="inlineStr">
        <is>
          <t>ÖSTERGÖTLANDS LÄN</t>
        </is>
      </c>
      <c r="E626" t="inlineStr">
        <is>
          <t>LINKÖPING</t>
        </is>
      </c>
      <c r="G626" t="n">
        <v>6.4</v>
      </c>
      <c r="H626" t="n">
        <v>0</v>
      </c>
      <c r="I626" t="n">
        <v>0</v>
      </c>
      <c r="J626" t="n">
        <v>0</v>
      </c>
      <c r="K626" t="n">
        <v>0</v>
      </c>
      <c r="L626" t="n">
        <v>0</v>
      </c>
      <c r="M626" t="n">
        <v>0</v>
      </c>
      <c r="N626" t="n">
        <v>0</v>
      </c>
      <c r="O626" t="n">
        <v>0</v>
      </c>
      <c r="P626" t="n">
        <v>0</v>
      </c>
      <c r="Q626" t="n">
        <v>0</v>
      </c>
      <c r="R626" s="2" t="inlineStr"/>
    </row>
    <row r="627" ht="15" customHeight="1">
      <c r="A627" t="inlineStr">
        <is>
          <t>A 927-2026</t>
        </is>
      </c>
      <c r="B627" s="1" t="n">
        <v>46030.50560185185</v>
      </c>
      <c r="C627" s="1" t="n">
        <v>46038</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49928-2024</t>
        </is>
      </c>
      <c r="B628" s="1" t="n">
        <v>45597.57811342592</v>
      </c>
      <c r="C628" s="1" t="n">
        <v>46038</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3627-2023</t>
        </is>
      </c>
      <c r="B629" s="1" t="n">
        <v>44950.64782407408</v>
      </c>
      <c r="C629" s="1" t="n">
        <v>46038</v>
      </c>
      <c r="D629" t="inlineStr">
        <is>
          <t>ÖSTERGÖTLANDS LÄN</t>
        </is>
      </c>
      <c r="E629" t="inlineStr">
        <is>
          <t>LINKÖPING</t>
        </is>
      </c>
      <c r="G629" t="n">
        <v>3.1</v>
      </c>
      <c r="H629" t="n">
        <v>0</v>
      </c>
      <c r="I629" t="n">
        <v>0</v>
      </c>
      <c r="J629" t="n">
        <v>0</v>
      </c>
      <c r="K629" t="n">
        <v>0</v>
      </c>
      <c r="L629" t="n">
        <v>0</v>
      </c>
      <c r="M629" t="n">
        <v>0</v>
      </c>
      <c r="N629" t="n">
        <v>0</v>
      </c>
      <c r="O629" t="n">
        <v>0</v>
      </c>
      <c r="P629" t="n">
        <v>0</v>
      </c>
      <c r="Q629" t="n">
        <v>0</v>
      </c>
      <c r="R629" s="2" t="inlineStr"/>
    </row>
    <row r="630" ht="15" customHeight="1">
      <c r="A630" t="inlineStr">
        <is>
          <t>A 51405-2023</t>
        </is>
      </c>
      <c r="B630" s="1" t="n">
        <v>45219</v>
      </c>
      <c r="C630" s="1" t="n">
        <v>46038</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11601-2023</t>
        </is>
      </c>
      <c r="B631" s="1" t="n">
        <v>44994</v>
      </c>
      <c r="C631" s="1" t="n">
        <v>46038</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940-2026</t>
        </is>
      </c>
      <c r="B632" s="1" t="n">
        <v>46030.53052083333</v>
      </c>
      <c r="C632" s="1" t="n">
        <v>46038</v>
      </c>
      <c r="D632" t="inlineStr">
        <is>
          <t>ÖSTERGÖTLANDS LÄN</t>
        </is>
      </c>
      <c r="E632" t="inlineStr">
        <is>
          <t>LINKÖPING</t>
        </is>
      </c>
      <c r="F632" t="inlineStr">
        <is>
          <t>Allmännings- och besparingsskogar</t>
        </is>
      </c>
      <c r="G632" t="n">
        <v>2.9</v>
      </c>
      <c r="H632" t="n">
        <v>0</v>
      </c>
      <c r="I632" t="n">
        <v>0</v>
      </c>
      <c r="J632" t="n">
        <v>0</v>
      </c>
      <c r="K632" t="n">
        <v>0</v>
      </c>
      <c r="L632" t="n">
        <v>0</v>
      </c>
      <c r="M632" t="n">
        <v>0</v>
      </c>
      <c r="N632" t="n">
        <v>0</v>
      </c>
      <c r="O632" t="n">
        <v>0</v>
      </c>
      <c r="P632" t="n">
        <v>0</v>
      </c>
      <c r="Q632" t="n">
        <v>0</v>
      </c>
      <c r="R632" s="2" t="inlineStr"/>
    </row>
    <row r="633" ht="15" customHeight="1">
      <c r="A633" t="inlineStr">
        <is>
          <t>A 40338-2024</t>
        </is>
      </c>
      <c r="B633" s="1" t="n">
        <v>45555.32940972222</v>
      </c>
      <c r="C633" s="1" t="n">
        <v>46038</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167-2024</t>
        </is>
      </c>
      <c r="B634" s="1" t="n">
        <v>45294</v>
      </c>
      <c r="C634" s="1" t="n">
        <v>46038</v>
      </c>
      <c r="D634" t="inlineStr">
        <is>
          <t>ÖSTERGÖTLANDS LÄN</t>
        </is>
      </c>
      <c r="E634" t="inlineStr">
        <is>
          <t>LINKÖPING</t>
        </is>
      </c>
      <c r="F634" t="inlineStr">
        <is>
          <t>Allmännings- och besparingsskogar</t>
        </is>
      </c>
      <c r="G634" t="n">
        <v>11.6</v>
      </c>
      <c r="H634" t="n">
        <v>0</v>
      </c>
      <c r="I634" t="n">
        <v>0</v>
      </c>
      <c r="J634" t="n">
        <v>0</v>
      </c>
      <c r="K634" t="n">
        <v>0</v>
      </c>
      <c r="L634" t="n">
        <v>0</v>
      </c>
      <c r="M634" t="n">
        <v>0</v>
      </c>
      <c r="N634" t="n">
        <v>0</v>
      </c>
      <c r="O634" t="n">
        <v>0</v>
      </c>
      <c r="P634" t="n">
        <v>0</v>
      </c>
      <c r="Q634" t="n">
        <v>0</v>
      </c>
      <c r="R634" s="2" t="inlineStr"/>
    </row>
    <row r="635" ht="15" customHeight="1">
      <c r="A635" t="inlineStr">
        <is>
          <t>A 27186-2021</t>
        </is>
      </c>
      <c r="B635" s="1" t="n">
        <v>44350.67715277777</v>
      </c>
      <c r="C635" s="1" t="n">
        <v>46038</v>
      </c>
      <c r="D635" t="inlineStr">
        <is>
          <t>ÖSTERGÖTLANDS LÄN</t>
        </is>
      </c>
      <c r="E635" t="inlineStr">
        <is>
          <t>LINKÖPING</t>
        </is>
      </c>
      <c r="F635" t="inlineStr">
        <is>
          <t>Allmännings- och besparingsskogar</t>
        </is>
      </c>
      <c r="G635" t="n">
        <v>1.4</v>
      </c>
      <c r="H635" t="n">
        <v>0</v>
      </c>
      <c r="I635" t="n">
        <v>0</v>
      </c>
      <c r="J635" t="n">
        <v>0</v>
      </c>
      <c r="K635" t="n">
        <v>0</v>
      </c>
      <c r="L635" t="n">
        <v>0</v>
      </c>
      <c r="M635" t="n">
        <v>0</v>
      </c>
      <c r="N635" t="n">
        <v>0</v>
      </c>
      <c r="O635" t="n">
        <v>0</v>
      </c>
      <c r="P635" t="n">
        <v>0</v>
      </c>
      <c r="Q635" t="n">
        <v>0</v>
      </c>
      <c r="R635" s="2" t="inlineStr"/>
    </row>
    <row r="636" ht="15" customHeight="1">
      <c r="A636" t="inlineStr">
        <is>
          <t>A 60087-2025</t>
        </is>
      </c>
      <c r="B636" s="1" t="n">
        <v>45993.71726851852</v>
      </c>
      <c r="C636" s="1" t="n">
        <v>46038</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7343-2025</t>
        </is>
      </c>
      <c r="B637" s="1" t="n">
        <v>45703.67853009259</v>
      </c>
      <c r="C637" s="1" t="n">
        <v>46038</v>
      </c>
      <c r="D637" t="inlineStr">
        <is>
          <t>ÖSTERGÖTLANDS LÄN</t>
        </is>
      </c>
      <c r="E637" t="inlineStr">
        <is>
          <t>LINKÖPING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2030-2026</t>
        </is>
      </c>
      <c r="B638" s="1" t="n">
        <v>46035.73590277778</v>
      </c>
      <c r="C638" s="1" t="n">
        <v>46038</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48271-2023</t>
        </is>
      </c>
      <c r="B639" s="1" t="n">
        <v>45205</v>
      </c>
      <c r="C639" s="1" t="n">
        <v>46038</v>
      </c>
      <c r="D639" t="inlineStr">
        <is>
          <t>ÖSTERGÖTLANDS LÄN</t>
        </is>
      </c>
      <c r="E639" t="inlineStr">
        <is>
          <t>LINKÖPING</t>
        </is>
      </c>
      <c r="G639" t="n">
        <v>3</v>
      </c>
      <c r="H639" t="n">
        <v>0</v>
      </c>
      <c r="I639" t="n">
        <v>0</v>
      </c>
      <c r="J639" t="n">
        <v>0</v>
      </c>
      <c r="K639" t="n">
        <v>0</v>
      </c>
      <c r="L639" t="n">
        <v>0</v>
      </c>
      <c r="M639" t="n">
        <v>0</v>
      </c>
      <c r="N639" t="n">
        <v>0</v>
      </c>
      <c r="O639" t="n">
        <v>0</v>
      </c>
      <c r="P639" t="n">
        <v>0</v>
      </c>
      <c r="Q639" t="n">
        <v>0</v>
      </c>
      <c r="R639" s="2" t="inlineStr"/>
    </row>
    <row r="640" ht="15" customHeight="1">
      <c r="A640" t="inlineStr">
        <is>
          <t>A 12720-2022</t>
        </is>
      </c>
      <c r="B640" s="1" t="n">
        <v>44641</v>
      </c>
      <c r="C640" s="1" t="n">
        <v>46038</v>
      </c>
      <c r="D640" t="inlineStr">
        <is>
          <t>ÖSTERGÖTLANDS LÄN</t>
        </is>
      </c>
      <c r="E640" t="inlineStr">
        <is>
          <t>LINKÖPING</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62018-2024</t>
        </is>
      </c>
      <c r="B641" s="1" t="n">
        <v>45655.81387731482</v>
      </c>
      <c r="C641" s="1" t="n">
        <v>46038</v>
      </c>
      <c r="D641" t="inlineStr">
        <is>
          <t>ÖSTERGÖTLANDS LÄN</t>
        </is>
      </c>
      <c r="E641" t="inlineStr">
        <is>
          <t>LINKÖPING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2031-2026</t>
        </is>
      </c>
      <c r="B642" s="1" t="n">
        <v>46035.74182870371</v>
      </c>
      <c r="C642" s="1" t="n">
        <v>46038</v>
      </c>
      <c r="D642" t="inlineStr">
        <is>
          <t>ÖSTERGÖTLANDS LÄN</t>
        </is>
      </c>
      <c r="E642" t="inlineStr">
        <is>
          <t>LINKÖPING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30551-2023</t>
        </is>
      </c>
      <c r="B643" s="1" t="n">
        <v>45111</v>
      </c>
      <c r="C643" s="1" t="n">
        <v>46038</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30860-2022</t>
        </is>
      </c>
      <c r="B644" s="1" t="n">
        <v>44767</v>
      </c>
      <c r="C644" s="1" t="n">
        <v>46038</v>
      </c>
      <c r="D644" t="inlineStr">
        <is>
          <t>ÖSTERGÖTLANDS LÄN</t>
        </is>
      </c>
      <c r="E644" t="inlineStr">
        <is>
          <t>LINKÖPING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60306-2025</t>
        </is>
      </c>
      <c r="B645" s="1" t="n">
        <v>45994.68326388889</v>
      </c>
      <c r="C645" s="1" t="n">
        <v>46038</v>
      </c>
      <c r="D645" t="inlineStr">
        <is>
          <t>ÖSTERGÖTLANDS LÄN</t>
        </is>
      </c>
      <c r="E645" t="inlineStr">
        <is>
          <t>LINKÖPING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60004-2022</t>
        </is>
      </c>
      <c r="B646" s="1" t="n">
        <v>44909.47206018519</v>
      </c>
      <c r="C646" s="1" t="n">
        <v>46038</v>
      </c>
      <c r="D646" t="inlineStr">
        <is>
          <t>ÖSTERGÖTLANDS LÄN</t>
        </is>
      </c>
      <c r="E646" t="inlineStr">
        <is>
          <t>LINKÖPING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60010-2022</t>
        </is>
      </c>
      <c r="B647" s="1" t="n">
        <v>44909.4740625</v>
      </c>
      <c r="C647" s="1" t="n">
        <v>46038</v>
      </c>
      <c r="D647" t="inlineStr">
        <is>
          <t>ÖSTERGÖTLANDS LÄN</t>
        </is>
      </c>
      <c r="E647" t="inlineStr">
        <is>
          <t>LINKÖPING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53827-2023</t>
        </is>
      </c>
      <c r="B648" s="1" t="n">
        <v>45230</v>
      </c>
      <c r="C648" s="1" t="n">
        <v>46038</v>
      </c>
      <c r="D648" t="inlineStr">
        <is>
          <t>ÖSTERGÖTLANDS LÄN</t>
        </is>
      </c>
      <c r="E648" t="inlineStr">
        <is>
          <t>LINKÖPING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60284-2025</t>
        </is>
      </c>
      <c r="B649" s="1" t="n">
        <v>45994.64373842593</v>
      </c>
      <c r="C649" s="1" t="n">
        <v>46038</v>
      </c>
      <c r="D649" t="inlineStr">
        <is>
          <t>ÖSTERGÖTLANDS LÄN</t>
        </is>
      </c>
      <c r="E649" t="inlineStr">
        <is>
          <t>LINKÖPING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4256-2022</t>
        </is>
      </c>
      <c r="B650" s="1" t="n">
        <v>44588</v>
      </c>
      <c r="C650" s="1" t="n">
        <v>46038</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61649-2023</t>
        </is>
      </c>
      <c r="B651" s="1" t="n">
        <v>45265</v>
      </c>
      <c r="C651" s="1" t="n">
        <v>46038</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223-2024</t>
        </is>
      </c>
      <c r="B652" s="1" t="n">
        <v>45294.72739583333</v>
      </c>
      <c r="C652" s="1" t="n">
        <v>46038</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19464-2024</t>
        </is>
      </c>
      <c r="B653" s="1" t="n">
        <v>45429</v>
      </c>
      <c r="C653" s="1" t="n">
        <v>46038</v>
      </c>
      <c r="D653" t="inlineStr">
        <is>
          <t>ÖSTERGÖTLANDS LÄN</t>
        </is>
      </c>
      <c r="E653" t="inlineStr">
        <is>
          <t>LINKÖPING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630-2024</t>
        </is>
      </c>
      <c r="B654" s="1" t="n">
        <v>45299.67736111111</v>
      </c>
      <c r="C654" s="1" t="n">
        <v>46038</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30433-2024</t>
        </is>
      </c>
      <c r="B655" s="1" t="n">
        <v>45491.69741898148</v>
      </c>
      <c r="C655" s="1" t="n">
        <v>46038</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63528-2023</t>
        </is>
      </c>
      <c r="B656" s="1" t="n">
        <v>45274.94810185185</v>
      </c>
      <c r="C656" s="1" t="n">
        <v>46038</v>
      </c>
      <c r="D656" t="inlineStr">
        <is>
          <t>ÖSTERGÖTLANDS LÄN</t>
        </is>
      </c>
      <c r="E656" t="inlineStr">
        <is>
          <t>LINKÖPING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61936-2023</t>
        </is>
      </c>
      <c r="B657" s="1" t="n">
        <v>45266.54534722222</v>
      </c>
      <c r="C657" s="1" t="n">
        <v>46038</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ht="15" customHeight="1">
      <c r="A658" t="inlineStr">
        <is>
          <t>A 62492-2023</t>
        </is>
      </c>
      <c r="B658" s="1" t="n">
        <v>45268.58987268519</v>
      </c>
      <c r="C658" s="1" t="n">
        <v>46038</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674-2024</t>
        </is>
      </c>
      <c r="B659" s="1" t="n">
        <v>45300.34408564815</v>
      </c>
      <c r="C659" s="1" t="n">
        <v>46038</v>
      </c>
      <c r="D659" t="inlineStr">
        <is>
          <t>ÖSTERGÖTLANDS LÄN</t>
        </is>
      </c>
      <c r="E659" t="inlineStr">
        <is>
          <t>LINKÖPING</t>
        </is>
      </c>
      <c r="F659" t="inlineStr">
        <is>
          <t>Sveaskog</t>
        </is>
      </c>
      <c r="G659" t="n">
        <v>2.9</v>
      </c>
      <c r="H659" t="n">
        <v>0</v>
      </c>
      <c r="I659" t="n">
        <v>0</v>
      </c>
      <c r="J659" t="n">
        <v>0</v>
      </c>
      <c r="K659" t="n">
        <v>0</v>
      </c>
      <c r="L659" t="n">
        <v>0</v>
      </c>
      <c r="M659" t="n">
        <v>0</v>
      </c>
      <c r="N659" t="n">
        <v>0</v>
      </c>
      <c r="O659" t="n">
        <v>0</v>
      </c>
      <c r="P659" t="n">
        <v>0</v>
      </c>
      <c r="Q659" t="n">
        <v>0</v>
      </c>
      <c r="R659" s="2" t="inlineStr"/>
    </row>
    <row r="660" ht="15" customHeight="1">
      <c r="A660" t="inlineStr">
        <is>
          <t>A 6782-2024</t>
        </is>
      </c>
      <c r="B660" s="1" t="n">
        <v>45342</v>
      </c>
      <c r="C660" s="1" t="n">
        <v>46038</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10094-2024</t>
        </is>
      </c>
      <c r="B661" s="1" t="n">
        <v>45364</v>
      </c>
      <c r="C661" s="1" t="n">
        <v>46038</v>
      </c>
      <c r="D661" t="inlineStr">
        <is>
          <t>ÖSTERGÖTLANDS LÄN</t>
        </is>
      </c>
      <c r="E661" t="inlineStr">
        <is>
          <t>LINKÖPING</t>
        </is>
      </c>
      <c r="F661" t="inlineStr">
        <is>
          <t>Övriga Aktiebolag</t>
        </is>
      </c>
      <c r="G661" t="n">
        <v>1.9</v>
      </c>
      <c r="H661" t="n">
        <v>0</v>
      </c>
      <c r="I661" t="n">
        <v>0</v>
      </c>
      <c r="J661" t="n">
        <v>0</v>
      </c>
      <c r="K661" t="n">
        <v>0</v>
      </c>
      <c r="L661" t="n">
        <v>0</v>
      </c>
      <c r="M661" t="n">
        <v>0</v>
      </c>
      <c r="N661" t="n">
        <v>0</v>
      </c>
      <c r="O661" t="n">
        <v>0</v>
      </c>
      <c r="P661" t="n">
        <v>0</v>
      </c>
      <c r="Q661" t="n">
        <v>0</v>
      </c>
      <c r="R661" s="2" t="inlineStr"/>
    </row>
    <row r="662" ht="15" customHeight="1">
      <c r="A662" t="inlineStr">
        <is>
          <t>A 63684-2023</t>
        </is>
      </c>
      <c r="B662" s="1" t="n">
        <v>45275</v>
      </c>
      <c r="C662" s="1" t="n">
        <v>46038</v>
      </c>
      <c r="D662" t="inlineStr">
        <is>
          <t>ÖSTERGÖTLANDS LÄN</t>
        </is>
      </c>
      <c r="E662" t="inlineStr">
        <is>
          <t>LINKÖPING</t>
        </is>
      </c>
      <c r="G662" t="n">
        <v>0.4</v>
      </c>
      <c r="H662" t="n">
        <v>0</v>
      </c>
      <c r="I662" t="n">
        <v>0</v>
      </c>
      <c r="J662" t="n">
        <v>0</v>
      </c>
      <c r="K662" t="n">
        <v>0</v>
      </c>
      <c r="L662" t="n">
        <v>0</v>
      </c>
      <c r="M662" t="n">
        <v>0</v>
      </c>
      <c r="N662" t="n">
        <v>0</v>
      </c>
      <c r="O662" t="n">
        <v>0</v>
      </c>
      <c r="P662" t="n">
        <v>0</v>
      </c>
      <c r="Q662" t="n">
        <v>0</v>
      </c>
      <c r="R662" s="2" t="inlineStr"/>
    </row>
    <row r="663" ht="15" customHeight="1">
      <c r="A663" t="inlineStr">
        <is>
          <t>A 63688-2023</t>
        </is>
      </c>
      <c r="B663" s="1" t="n">
        <v>45275</v>
      </c>
      <c r="C663" s="1" t="n">
        <v>46038</v>
      </c>
      <c r="D663" t="inlineStr">
        <is>
          <t>ÖSTERGÖTLANDS LÄN</t>
        </is>
      </c>
      <c r="E663" t="inlineStr">
        <is>
          <t>LINKÖPING</t>
        </is>
      </c>
      <c r="F663" t="inlineStr">
        <is>
          <t>Övriga Aktiebolag</t>
        </is>
      </c>
      <c r="G663" t="n">
        <v>2.4</v>
      </c>
      <c r="H663" t="n">
        <v>0</v>
      </c>
      <c r="I663" t="n">
        <v>0</v>
      </c>
      <c r="J663" t="n">
        <v>0</v>
      </c>
      <c r="K663" t="n">
        <v>0</v>
      </c>
      <c r="L663" t="n">
        <v>0</v>
      </c>
      <c r="M663" t="n">
        <v>0</v>
      </c>
      <c r="N663" t="n">
        <v>0</v>
      </c>
      <c r="O663" t="n">
        <v>0</v>
      </c>
      <c r="P663" t="n">
        <v>0</v>
      </c>
      <c r="Q663" t="n">
        <v>0</v>
      </c>
      <c r="R663" s="2" t="inlineStr"/>
    </row>
    <row r="664" ht="15" customHeight="1">
      <c r="A664" t="inlineStr">
        <is>
          <t>A 63691-2023</t>
        </is>
      </c>
      <c r="B664" s="1" t="n">
        <v>45275</v>
      </c>
      <c r="C664" s="1" t="n">
        <v>46038</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36657-2023</t>
        </is>
      </c>
      <c r="B665" s="1" t="n">
        <v>45153.5702662037</v>
      </c>
      <c r="C665" s="1" t="n">
        <v>46038</v>
      </c>
      <c r="D665" t="inlineStr">
        <is>
          <t>ÖSTERGÖTLANDS LÄN</t>
        </is>
      </c>
      <c r="E665" t="inlineStr">
        <is>
          <t>LINKÖPING</t>
        </is>
      </c>
      <c r="F665" t="inlineStr">
        <is>
          <t>Allmännings- och besparingsskogar</t>
        </is>
      </c>
      <c r="G665" t="n">
        <v>2</v>
      </c>
      <c r="H665" t="n">
        <v>0</v>
      </c>
      <c r="I665" t="n">
        <v>0</v>
      </c>
      <c r="J665" t="n">
        <v>0</v>
      </c>
      <c r="K665" t="n">
        <v>0</v>
      </c>
      <c r="L665" t="n">
        <v>0</v>
      </c>
      <c r="M665" t="n">
        <v>0</v>
      </c>
      <c r="N665" t="n">
        <v>0</v>
      </c>
      <c r="O665" t="n">
        <v>0</v>
      </c>
      <c r="P665" t="n">
        <v>0</v>
      </c>
      <c r="Q665" t="n">
        <v>0</v>
      </c>
      <c r="R665" s="2" t="inlineStr"/>
    </row>
    <row r="666" ht="15" customHeight="1">
      <c r="A666" t="inlineStr">
        <is>
          <t>A 14667-2024</t>
        </is>
      </c>
      <c r="B666" s="1" t="n">
        <v>45397.42005787037</v>
      </c>
      <c r="C666" s="1" t="n">
        <v>46038</v>
      </c>
      <c r="D666" t="inlineStr">
        <is>
          <t>ÖSTERGÖTLANDS LÄN</t>
        </is>
      </c>
      <c r="E666" t="inlineStr">
        <is>
          <t>LINKÖPING</t>
        </is>
      </c>
      <c r="G666" t="n">
        <v>2.3</v>
      </c>
      <c r="H666" t="n">
        <v>0</v>
      </c>
      <c r="I666" t="n">
        <v>0</v>
      </c>
      <c r="J666" t="n">
        <v>0</v>
      </c>
      <c r="K666" t="n">
        <v>0</v>
      </c>
      <c r="L666" t="n">
        <v>0</v>
      </c>
      <c r="M666" t="n">
        <v>0</v>
      </c>
      <c r="N666" t="n">
        <v>0</v>
      </c>
      <c r="O666" t="n">
        <v>0</v>
      </c>
      <c r="P666" t="n">
        <v>0</v>
      </c>
      <c r="Q666" t="n">
        <v>0</v>
      </c>
      <c r="R666" s="2" t="inlineStr"/>
    </row>
    <row r="667" ht="15" customHeight="1">
      <c r="A667" t="inlineStr">
        <is>
          <t>A 15714-2024</t>
        </is>
      </c>
      <c r="B667" s="1" t="n">
        <v>45404.48288194444</v>
      </c>
      <c r="C667" s="1" t="n">
        <v>46038</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37715-2022</t>
        </is>
      </c>
      <c r="B668" s="1" t="n">
        <v>44810</v>
      </c>
      <c r="C668" s="1" t="n">
        <v>46038</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30429-2024</t>
        </is>
      </c>
      <c r="B669" s="1" t="n">
        <v>45491.68972222223</v>
      </c>
      <c r="C669" s="1" t="n">
        <v>46038</v>
      </c>
      <c r="D669" t="inlineStr">
        <is>
          <t>ÖSTERGÖTLANDS LÄN</t>
        </is>
      </c>
      <c r="E669" t="inlineStr">
        <is>
          <t>LINKÖPING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30435-2024</t>
        </is>
      </c>
      <c r="B670" s="1" t="n">
        <v>45491.69962962963</v>
      </c>
      <c r="C670" s="1" t="n">
        <v>46038</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4927-2021</t>
        </is>
      </c>
      <c r="B671" s="1" t="n">
        <v>44227.57215277778</v>
      </c>
      <c r="C671" s="1" t="n">
        <v>46038</v>
      </c>
      <c r="D671" t="inlineStr">
        <is>
          <t>ÖSTERGÖTLANDS LÄN</t>
        </is>
      </c>
      <c r="E671" t="inlineStr">
        <is>
          <t>LINKÖPING</t>
        </is>
      </c>
      <c r="G671" t="n">
        <v>0.3</v>
      </c>
      <c r="H671" t="n">
        <v>0</v>
      </c>
      <c r="I671" t="n">
        <v>0</v>
      </c>
      <c r="J671" t="n">
        <v>0</v>
      </c>
      <c r="K671" t="n">
        <v>0</v>
      </c>
      <c r="L671" t="n">
        <v>0</v>
      </c>
      <c r="M671" t="n">
        <v>0</v>
      </c>
      <c r="N671" t="n">
        <v>0</v>
      </c>
      <c r="O671" t="n">
        <v>0</v>
      </c>
      <c r="P671" t="n">
        <v>0</v>
      </c>
      <c r="Q671" t="n">
        <v>0</v>
      </c>
      <c r="R671" s="2" t="inlineStr"/>
    </row>
    <row r="672" ht="15" customHeight="1">
      <c r="A672" t="inlineStr">
        <is>
          <t>A 38231-2022</t>
        </is>
      </c>
      <c r="B672" s="1" t="n">
        <v>44812</v>
      </c>
      <c r="C672" s="1" t="n">
        <v>46038</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34557-2022</t>
        </is>
      </c>
      <c r="B673" s="1" t="n">
        <v>44794.57074074074</v>
      </c>
      <c r="C673" s="1" t="n">
        <v>46038</v>
      </c>
      <c r="D673" t="inlineStr">
        <is>
          <t>ÖSTERGÖTLANDS LÄN</t>
        </is>
      </c>
      <c r="E673" t="inlineStr">
        <is>
          <t>LINKÖPING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13011-2022</t>
        </is>
      </c>
      <c r="B674" s="1" t="n">
        <v>44643</v>
      </c>
      <c r="C674" s="1" t="n">
        <v>46038</v>
      </c>
      <c r="D674" t="inlineStr">
        <is>
          <t>ÖSTERGÖTLANDS LÄN</t>
        </is>
      </c>
      <c r="E674" t="inlineStr">
        <is>
          <t>LINKÖPING</t>
        </is>
      </c>
      <c r="G674" t="n">
        <v>3.7</v>
      </c>
      <c r="H674" t="n">
        <v>0</v>
      </c>
      <c r="I674" t="n">
        <v>0</v>
      </c>
      <c r="J674" t="n">
        <v>0</v>
      </c>
      <c r="K674" t="n">
        <v>0</v>
      </c>
      <c r="L674" t="n">
        <v>0</v>
      </c>
      <c r="M674" t="n">
        <v>0</v>
      </c>
      <c r="N674" t="n">
        <v>0</v>
      </c>
      <c r="O674" t="n">
        <v>0</v>
      </c>
      <c r="P674" t="n">
        <v>0</v>
      </c>
      <c r="Q674" t="n">
        <v>0</v>
      </c>
      <c r="R674" s="2" t="inlineStr"/>
    </row>
    <row r="675" ht="15" customHeight="1">
      <c r="A675" t="inlineStr">
        <is>
          <t>A 617-2024</t>
        </is>
      </c>
      <c r="B675" s="1" t="n">
        <v>45299.66028935185</v>
      </c>
      <c r="C675" s="1" t="n">
        <v>46038</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19362-2023</t>
        </is>
      </c>
      <c r="B676" s="1" t="n">
        <v>45049</v>
      </c>
      <c r="C676" s="1" t="n">
        <v>46038</v>
      </c>
      <c r="D676" t="inlineStr">
        <is>
          <t>ÖSTERGÖTLANDS LÄN</t>
        </is>
      </c>
      <c r="E676" t="inlineStr">
        <is>
          <t>LINKÖPING</t>
        </is>
      </c>
      <c r="G676" t="n">
        <v>0.1</v>
      </c>
      <c r="H676" t="n">
        <v>0</v>
      </c>
      <c r="I676" t="n">
        <v>0</v>
      </c>
      <c r="J676" t="n">
        <v>0</v>
      </c>
      <c r="K676" t="n">
        <v>0</v>
      </c>
      <c r="L676" t="n">
        <v>0</v>
      </c>
      <c r="M676" t="n">
        <v>0</v>
      </c>
      <c r="N676" t="n">
        <v>0</v>
      </c>
      <c r="O676" t="n">
        <v>0</v>
      </c>
      <c r="P676" t="n">
        <v>0</v>
      </c>
      <c r="Q676" t="n">
        <v>0</v>
      </c>
      <c r="R676" s="2" t="inlineStr"/>
    </row>
    <row r="677" ht="15" customHeight="1">
      <c r="A677" t="inlineStr">
        <is>
          <t>A 19132-2023</t>
        </is>
      </c>
      <c r="B677" s="1" t="n">
        <v>45048.54754629629</v>
      </c>
      <c r="C677" s="1" t="n">
        <v>46038</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31635-2023</t>
        </is>
      </c>
      <c r="B678" s="1" t="n">
        <v>45105</v>
      </c>
      <c r="C678" s="1" t="n">
        <v>46038</v>
      </c>
      <c r="D678" t="inlineStr">
        <is>
          <t>ÖSTERGÖTLANDS LÄN</t>
        </is>
      </c>
      <c r="E678" t="inlineStr">
        <is>
          <t>LINKÖPING</t>
        </is>
      </c>
      <c r="F678" t="inlineStr">
        <is>
          <t>Övriga statliga verk och myndigheter</t>
        </is>
      </c>
      <c r="G678" t="n">
        <v>4.6</v>
      </c>
      <c r="H678" t="n">
        <v>0</v>
      </c>
      <c r="I678" t="n">
        <v>0</v>
      </c>
      <c r="J678" t="n">
        <v>0</v>
      </c>
      <c r="K678" t="n">
        <v>0</v>
      </c>
      <c r="L678" t="n">
        <v>0</v>
      </c>
      <c r="M678" t="n">
        <v>0</v>
      </c>
      <c r="N678" t="n">
        <v>0</v>
      </c>
      <c r="O678" t="n">
        <v>0</v>
      </c>
      <c r="P678" t="n">
        <v>0</v>
      </c>
      <c r="Q678" t="n">
        <v>0</v>
      </c>
      <c r="R678" s="2" t="inlineStr"/>
    </row>
    <row r="679" ht="15" customHeight="1">
      <c r="A679" t="inlineStr">
        <is>
          <t>A 20296-2025</t>
        </is>
      </c>
      <c r="B679" s="1" t="n">
        <v>45774.74922453704</v>
      </c>
      <c r="C679" s="1" t="n">
        <v>46038</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22770-2024</t>
        </is>
      </c>
      <c r="B680" s="1" t="n">
        <v>45448.4634375</v>
      </c>
      <c r="C680" s="1" t="n">
        <v>46038</v>
      </c>
      <c r="D680" t="inlineStr">
        <is>
          <t>ÖSTERGÖTLANDS LÄN</t>
        </is>
      </c>
      <c r="E680" t="inlineStr">
        <is>
          <t>LINKÖPING</t>
        </is>
      </c>
      <c r="F680" t="inlineStr">
        <is>
          <t>Sveaskog</t>
        </is>
      </c>
      <c r="G680" t="n">
        <v>3.4</v>
      </c>
      <c r="H680" t="n">
        <v>0</v>
      </c>
      <c r="I680" t="n">
        <v>0</v>
      </c>
      <c r="J680" t="n">
        <v>0</v>
      </c>
      <c r="K680" t="n">
        <v>0</v>
      </c>
      <c r="L680" t="n">
        <v>0</v>
      </c>
      <c r="M680" t="n">
        <v>0</v>
      </c>
      <c r="N680" t="n">
        <v>0</v>
      </c>
      <c r="O680" t="n">
        <v>0</v>
      </c>
      <c r="P680" t="n">
        <v>0</v>
      </c>
      <c r="Q680" t="n">
        <v>0</v>
      </c>
      <c r="R680" s="2" t="inlineStr"/>
    </row>
    <row r="681" ht="15" customHeight="1">
      <c r="A681" t="inlineStr">
        <is>
          <t>A 11595-2025</t>
        </is>
      </c>
      <c r="B681" s="1" t="n">
        <v>45727.41893518518</v>
      </c>
      <c r="C681" s="1" t="n">
        <v>46038</v>
      </c>
      <c r="D681" t="inlineStr">
        <is>
          <t>ÖSTERGÖTLANDS LÄN</t>
        </is>
      </c>
      <c r="E681" t="inlineStr">
        <is>
          <t>LINKÖPING</t>
        </is>
      </c>
      <c r="G681" t="n">
        <v>6.6</v>
      </c>
      <c r="H681" t="n">
        <v>0</v>
      </c>
      <c r="I681" t="n">
        <v>0</v>
      </c>
      <c r="J681" t="n">
        <v>0</v>
      </c>
      <c r="K681" t="n">
        <v>0</v>
      </c>
      <c r="L681" t="n">
        <v>0</v>
      </c>
      <c r="M681" t="n">
        <v>0</v>
      </c>
      <c r="N681" t="n">
        <v>0</v>
      </c>
      <c r="O681" t="n">
        <v>0</v>
      </c>
      <c r="P681" t="n">
        <v>0</v>
      </c>
      <c r="Q681" t="n">
        <v>0</v>
      </c>
      <c r="R681" s="2" t="inlineStr"/>
    </row>
    <row r="682" ht="15" customHeight="1">
      <c r="A682" t="inlineStr">
        <is>
          <t>A 48839-2022</t>
        </is>
      </c>
      <c r="B682" s="1" t="n">
        <v>44859</v>
      </c>
      <c r="C682" s="1" t="n">
        <v>46038</v>
      </c>
      <c r="D682" t="inlineStr">
        <is>
          <t>ÖSTERGÖTLANDS LÄN</t>
        </is>
      </c>
      <c r="E682" t="inlineStr">
        <is>
          <t>LINKÖPING</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8967-2025</t>
        </is>
      </c>
      <c r="B683" s="1" t="n">
        <v>45712</v>
      </c>
      <c r="C683" s="1" t="n">
        <v>46038</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63678-2023</t>
        </is>
      </c>
      <c r="B684" s="1" t="n">
        <v>45275.64769675926</v>
      </c>
      <c r="C684" s="1" t="n">
        <v>46038</v>
      </c>
      <c r="D684" t="inlineStr">
        <is>
          <t>ÖSTERGÖTLANDS LÄN</t>
        </is>
      </c>
      <c r="E684" t="inlineStr">
        <is>
          <t>LINKÖPING</t>
        </is>
      </c>
      <c r="F684" t="inlineStr">
        <is>
          <t>Övriga Aktiebolag</t>
        </is>
      </c>
      <c r="G684" t="n">
        <v>0.4</v>
      </c>
      <c r="H684" t="n">
        <v>0</v>
      </c>
      <c r="I684" t="n">
        <v>0</v>
      </c>
      <c r="J684" t="n">
        <v>0</v>
      </c>
      <c r="K684" t="n">
        <v>0</v>
      </c>
      <c r="L684" t="n">
        <v>0</v>
      </c>
      <c r="M684" t="n">
        <v>0</v>
      </c>
      <c r="N684" t="n">
        <v>0</v>
      </c>
      <c r="O684" t="n">
        <v>0</v>
      </c>
      <c r="P684" t="n">
        <v>0</v>
      </c>
      <c r="Q684" t="n">
        <v>0</v>
      </c>
      <c r="R684" s="2" t="inlineStr"/>
    </row>
    <row r="685" ht="15" customHeight="1">
      <c r="A685" t="inlineStr">
        <is>
          <t>A 1844-2025</t>
        </is>
      </c>
      <c r="B685" s="1" t="n">
        <v>45671.57730324074</v>
      </c>
      <c r="C685" s="1" t="n">
        <v>46038</v>
      </c>
      <c r="D685" t="inlineStr">
        <is>
          <t>ÖSTERGÖTLANDS LÄN</t>
        </is>
      </c>
      <c r="E685" t="inlineStr">
        <is>
          <t>LINKÖPING</t>
        </is>
      </c>
      <c r="G685" t="n">
        <v>2</v>
      </c>
      <c r="H685" t="n">
        <v>0</v>
      </c>
      <c r="I685" t="n">
        <v>0</v>
      </c>
      <c r="J685" t="n">
        <v>0</v>
      </c>
      <c r="K685" t="n">
        <v>0</v>
      </c>
      <c r="L685" t="n">
        <v>0</v>
      </c>
      <c r="M685" t="n">
        <v>0</v>
      </c>
      <c r="N685" t="n">
        <v>0</v>
      </c>
      <c r="O685" t="n">
        <v>0</v>
      </c>
      <c r="P685" t="n">
        <v>0</v>
      </c>
      <c r="Q685" t="n">
        <v>0</v>
      </c>
      <c r="R685" s="2" t="inlineStr"/>
    </row>
    <row r="686" ht="15" customHeight="1">
      <c r="A686" t="inlineStr">
        <is>
          <t>A 21165-2025</t>
        </is>
      </c>
      <c r="B686" s="1" t="n">
        <v>45779.39417824074</v>
      </c>
      <c r="C686" s="1" t="n">
        <v>46038</v>
      </c>
      <c r="D686" t="inlineStr">
        <is>
          <t>ÖSTERGÖTLANDS LÄN</t>
        </is>
      </c>
      <c r="E686" t="inlineStr">
        <is>
          <t>LINKÖPING</t>
        </is>
      </c>
      <c r="G686" t="n">
        <v>1.2</v>
      </c>
      <c r="H686" t="n">
        <v>0</v>
      </c>
      <c r="I686" t="n">
        <v>0</v>
      </c>
      <c r="J686" t="n">
        <v>0</v>
      </c>
      <c r="K686" t="n">
        <v>0</v>
      </c>
      <c r="L686" t="n">
        <v>0</v>
      </c>
      <c r="M686" t="n">
        <v>0</v>
      </c>
      <c r="N686" t="n">
        <v>0</v>
      </c>
      <c r="O686" t="n">
        <v>0</v>
      </c>
      <c r="P686" t="n">
        <v>0</v>
      </c>
      <c r="Q686" t="n">
        <v>0</v>
      </c>
      <c r="R686" s="2" t="inlineStr"/>
    </row>
    <row r="687" ht="15" customHeight="1">
      <c r="A687" t="inlineStr">
        <is>
          <t>A 21155-2025</t>
        </is>
      </c>
      <c r="B687" s="1" t="n">
        <v>45779.37586805555</v>
      </c>
      <c r="C687" s="1" t="n">
        <v>46038</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22264-2025</t>
        </is>
      </c>
      <c r="B688" s="1" t="n">
        <v>45785</v>
      </c>
      <c r="C688" s="1" t="n">
        <v>46038</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9473-2024</t>
        </is>
      </c>
      <c r="B689" s="1" t="n">
        <v>45359.55474537037</v>
      </c>
      <c r="C689" s="1" t="n">
        <v>46038</v>
      </c>
      <c r="D689" t="inlineStr">
        <is>
          <t>ÖSTERGÖTLANDS LÄN</t>
        </is>
      </c>
      <c r="E689" t="inlineStr">
        <is>
          <t>LINKÖPING</t>
        </is>
      </c>
      <c r="G689" t="n">
        <v>1</v>
      </c>
      <c r="H689" t="n">
        <v>0</v>
      </c>
      <c r="I689" t="n">
        <v>0</v>
      </c>
      <c r="J689" t="n">
        <v>0</v>
      </c>
      <c r="K689" t="n">
        <v>0</v>
      </c>
      <c r="L689" t="n">
        <v>0</v>
      </c>
      <c r="M689" t="n">
        <v>0</v>
      </c>
      <c r="N689" t="n">
        <v>0</v>
      </c>
      <c r="O689" t="n">
        <v>0</v>
      </c>
      <c r="P689" t="n">
        <v>0</v>
      </c>
      <c r="Q689" t="n">
        <v>0</v>
      </c>
      <c r="R689" s="2" t="inlineStr"/>
    </row>
    <row r="690" ht="15" customHeight="1">
      <c r="A690" t="inlineStr">
        <is>
          <t>A 6859-2024</t>
        </is>
      </c>
      <c r="B690" s="1" t="n">
        <v>45342</v>
      </c>
      <c r="C690" s="1" t="n">
        <v>46038</v>
      </c>
      <c r="D690" t="inlineStr">
        <is>
          <t>ÖSTERGÖTLANDS LÄN</t>
        </is>
      </c>
      <c r="E690" t="inlineStr">
        <is>
          <t>LINKÖPING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44287-2024</t>
        </is>
      </c>
      <c r="B691" s="1" t="n">
        <v>45573.50582175926</v>
      </c>
      <c r="C691" s="1" t="n">
        <v>46038</v>
      </c>
      <c r="D691" t="inlineStr">
        <is>
          <t>ÖSTERGÖTLANDS LÄN</t>
        </is>
      </c>
      <c r="E691" t="inlineStr">
        <is>
          <t>LINKÖPING</t>
        </is>
      </c>
      <c r="G691" t="n">
        <v>12.7</v>
      </c>
      <c r="H691" t="n">
        <v>0</v>
      </c>
      <c r="I691" t="n">
        <v>0</v>
      </c>
      <c r="J691" t="n">
        <v>0</v>
      </c>
      <c r="K691" t="n">
        <v>0</v>
      </c>
      <c r="L691" t="n">
        <v>0</v>
      </c>
      <c r="M691" t="n">
        <v>0</v>
      </c>
      <c r="N691" t="n">
        <v>0</v>
      </c>
      <c r="O691" t="n">
        <v>0</v>
      </c>
      <c r="P691" t="n">
        <v>0</v>
      </c>
      <c r="Q691" t="n">
        <v>0</v>
      </c>
      <c r="R691" s="2" t="inlineStr"/>
    </row>
    <row r="692" ht="15" customHeight="1">
      <c r="A692" t="inlineStr">
        <is>
          <t>A 22364-2025</t>
        </is>
      </c>
      <c r="B692" s="1" t="n">
        <v>45786.46930555555</v>
      </c>
      <c r="C692" s="1" t="n">
        <v>46038</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572-2025</t>
        </is>
      </c>
      <c r="B693" s="1" t="n">
        <v>45664.56349537037</v>
      </c>
      <c r="C693" s="1" t="n">
        <v>46038</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10797-2024</t>
        </is>
      </c>
      <c r="B694" s="1" t="n">
        <v>45369.6190162037</v>
      </c>
      <c r="C694" s="1" t="n">
        <v>46038</v>
      </c>
      <c r="D694" t="inlineStr">
        <is>
          <t>ÖSTERGÖTLANDS LÄN</t>
        </is>
      </c>
      <c r="E694" t="inlineStr">
        <is>
          <t>LINKÖPING</t>
        </is>
      </c>
      <c r="G694" t="n">
        <v>1.5</v>
      </c>
      <c r="H694" t="n">
        <v>0</v>
      </c>
      <c r="I694" t="n">
        <v>0</v>
      </c>
      <c r="J694" t="n">
        <v>0</v>
      </c>
      <c r="K694" t="n">
        <v>0</v>
      </c>
      <c r="L694" t="n">
        <v>0</v>
      </c>
      <c r="M694" t="n">
        <v>0</v>
      </c>
      <c r="N694" t="n">
        <v>0</v>
      </c>
      <c r="O694" t="n">
        <v>0</v>
      </c>
      <c r="P694" t="n">
        <v>0</v>
      </c>
      <c r="Q694" t="n">
        <v>0</v>
      </c>
      <c r="R694" s="2" t="inlineStr"/>
    </row>
    <row r="695" ht="15" customHeight="1">
      <c r="A695" t="inlineStr">
        <is>
          <t>A 38580-2024</t>
        </is>
      </c>
      <c r="B695" s="1" t="n">
        <v>45546.64825231482</v>
      </c>
      <c r="C695" s="1" t="n">
        <v>46038</v>
      </c>
      <c r="D695" t="inlineStr">
        <is>
          <t>ÖSTERGÖTLANDS LÄN</t>
        </is>
      </c>
      <c r="E695" t="inlineStr">
        <is>
          <t>LINKÖPING</t>
        </is>
      </c>
      <c r="G695" t="n">
        <v>4.8</v>
      </c>
      <c r="H695" t="n">
        <v>0</v>
      </c>
      <c r="I695" t="n">
        <v>0</v>
      </c>
      <c r="J695" t="n">
        <v>0</v>
      </c>
      <c r="K695" t="n">
        <v>0</v>
      </c>
      <c r="L695" t="n">
        <v>0</v>
      </c>
      <c r="M695" t="n">
        <v>0</v>
      </c>
      <c r="N695" t="n">
        <v>0</v>
      </c>
      <c r="O695" t="n">
        <v>0</v>
      </c>
      <c r="P695" t="n">
        <v>0</v>
      </c>
      <c r="Q695" t="n">
        <v>0</v>
      </c>
      <c r="R695" s="2" t="inlineStr"/>
    </row>
    <row r="696" ht="15" customHeight="1">
      <c r="A696" t="inlineStr">
        <is>
          <t>A 57752-2023</t>
        </is>
      </c>
      <c r="B696" s="1" t="n">
        <v>45246.78474537037</v>
      </c>
      <c r="C696" s="1" t="n">
        <v>46038</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29312-2024</t>
        </is>
      </c>
      <c r="B697" s="1" t="n">
        <v>45483</v>
      </c>
      <c r="C697" s="1" t="n">
        <v>46038</v>
      </c>
      <c r="D697" t="inlineStr">
        <is>
          <t>ÖSTERGÖTLANDS LÄN</t>
        </is>
      </c>
      <c r="E697" t="inlineStr">
        <is>
          <t>LINKÖPING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23120-2025</t>
        </is>
      </c>
      <c r="B698" s="1" t="n">
        <v>45791.37481481482</v>
      </c>
      <c r="C698" s="1" t="n">
        <v>46038</v>
      </c>
      <c r="D698" t="inlineStr">
        <is>
          <t>ÖSTERGÖTLANDS LÄN</t>
        </is>
      </c>
      <c r="E698" t="inlineStr">
        <is>
          <t>LINKÖPING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23768-2025</t>
        </is>
      </c>
      <c r="B699" s="1" t="n">
        <v>45793.47493055555</v>
      </c>
      <c r="C699" s="1" t="n">
        <v>46038</v>
      </c>
      <c r="D699" t="inlineStr">
        <is>
          <t>ÖSTERGÖTLANDS LÄN</t>
        </is>
      </c>
      <c r="E699" t="inlineStr">
        <is>
          <t>LINKÖPING</t>
        </is>
      </c>
      <c r="G699" t="n">
        <v>3.4</v>
      </c>
      <c r="H699" t="n">
        <v>0</v>
      </c>
      <c r="I699" t="n">
        <v>0</v>
      </c>
      <c r="J699" t="n">
        <v>0</v>
      </c>
      <c r="K699" t="n">
        <v>0</v>
      </c>
      <c r="L699" t="n">
        <v>0</v>
      </c>
      <c r="M699" t="n">
        <v>0</v>
      </c>
      <c r="N699" t="n">
        <v>0</v>
      </c>
      <c r="O699" t="n">
        <v>0</v>
      </c>
      <c r="P699" t="n">
        <v>0</v>
      </c>
      <c r="Q699" t="n">
        <v>0</v>
      </c>
      <c r="R699" s="2" t="inlineStr"/>
    </row>
    <row r="700" ht="15" customHeight="1">
      <c r="A700" t="inlineStr">
        <is>
          <t>A 48699-2024</t>
        </is>
      </c>
      <c r="B700" s="1" t="n">
        <v>45593.52091435185</v>
      </c>
      <c r="C700" s="1" t="n">
        <v>46038</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13911-2025</t>
        </is>
      </c>
      <c r="B701" s="1" t="n">
        <v>45737.64784722222</v>
      </c>
      <c r="C701" s="1" t="n">
        <v>46038</v>
      </c>
      <c r="D701" t="inlineStr">
        <is>
          <t>ÖSTERGÖTLANDS LÄN</t>
        </is>
      </c>
      <c r="E701" t="inlineStr">
        <is>
          <t>LINKÖPING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44280-2024</t>
        </is>
      </c>
      <c r="B702" s="1" t="n">
        <v>45573.49461805556</v>
      </c>
      <c r="C702" s="1" t="n">
        <v>46038</v>
      </c>
      <c r="D702" t="inlineStr">
        <is>
          <t>ÖSTERGÖTLANDS LÄN</t>
        </is>
      </c>
      <c r="E702" t="inlineStr">
        <is>
          <t>LINKÖPING</t>
        </is>
      </c>
      <c r="G702" t="n">
        <v>5.3</v>
      </c>
      <c r="H702" t="n">
        <v>0</v>
      </c>
      <c r="I702" t="n">
        <v>0</v>
      </c>
      <c r="J702" t="n">
        <v>0</v>
      </c>
      <c r="K702" t="n">
        <v>0</v>
      </c>
      <c r="L702" t="n">
        <v>0</v>
      </c>
      <c r="M702" t="n">
        <v>0</v>
      </c>
      <c r="N702" t="n">
        <v>0</v>
      </c>
      <c r="O702" t="n">
        <v>0</v>
      </c>
      <c r="P702" t="n">
        <v>0</v>
      </c>
      <c r="Q702" t="n">
        <v>0</v>
      </c>
      <c r="R702" s="2" t="inlineStr"/>
    </row>
    <row r="703" ht="15" customHeight="1">
      <c r="A703" t="inlineStr">
        <is>
          <t>A 26002-2025</t>
        </is>
      </c>
      <c r="B703" s="1" t="n">
        <v>45804.66534722222</v>
      </c>
      <c r="C703" s="1" t="n">
        <v>46038</v>
      </c>
      <c r="D703" t="inlineStr">
        <is>
          <t>ÖSTERGÖTLANDS LÄN</t>
        </is>
      </c>
      <c r="E703" t="inlineStr">
        <is>
          <t>LINKÖPING</t>
        </is>
      </c>
      <c r="G703" t="n">
        <v>2.5</v>
      </c>
      <c r="H703" t="n">
        <v>0</v>
      </c>
      <c r="I703" t="n">
        <v>0</v>
      </c>
      <c r="J703" t="n">
        <v>0</v>
      </c>
      <c r="K703" t="n">
        <v>0</v>
      </c>
      <c r="L703" t="n">
        <v>0</v>
      </c>
      <c r="M703" t="n">
        <v>0</v>
      </c>
      <c r="N703" t="n">
        <v>0</v>
      </c>
      <c r="O703" t="n">
        <v>0</v>
      </c>
      <c r="P703" t="n">
        <v>0</v>
      </c>
      <c r="Q703" t="n">
        <v>0</v>
      </c>
      <c r="R703" s="2" t="inlineStr"/>
    </row>
    <row r="704" ht="15" customHeight="1">
      <c r="A704" t="inlineStr">
        <is>
          <t>A 25996-2025</t>
        </is>
      </c>
      <c r="B704" s="1" t="n">
        <v>45804.65851851852</v>
      </c>
      <c r="C704" s="1" t="n">
        <v>46038</v>
      </c>
      <c r="D704" t="inlineStr">
        <is>
          <t>ÖSTERGÖTLANDS LÄN</t>
        </is>
      </c>
      <c r="E704" t="inlineStr">
        <is>
          <t>LINKÖPING</t>
        </is>
      </c>
      <c r="G704" t="n">
        <v>3.2</v>
      </c>
      <c r="H704" t="n">
        <v>0</v>
      </c>
      <c r="I704" t="n">
        <v>0</v>
      </c>
      <c r="J704" t="n">
        <v>0</v>
      </c>
      <c r="K704" t="n">
        <v>0</v>
      </c>
      <c r="L704" t="n">
        <v>0</v>
      </c>
      <c r="M704" t="n">
        <v>0</v>
      </c>
      <c r="N704" t="n">
        <v>0</v>
      </c>
      <c r="O704" t="n">
        <v>0</v>
      </c>
      <c r="P704" t="n">
        <v>0</v>
      </c>
      <c r="Q704" t="n">
        <v>0</v>
      </c>
      <c r="R704" s="2" t="inlineStr"/>
    </row>
    <row r="705" ht="15" customHeight="1">
      <c r="A705" t="inlineStr">
        <is>
          <t>A 27950-2025</t>
        </is>
      </c>
      <c r="B705" s="1" t="n">
        <v>45817.52960648148</v>
      </c>
      <c r="C705" s="1" t="n">
        <v>46038</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27797-2025</t>
        </is>
      </c>
      <c r="B706" s="1" t="n">
        <v>45816.80521990741</v>
      </c>
      <c r="C706" s="1" t="n">
        <v>46038</v>
      </c>
      <c r="D706" t="inlineStr">
        <is>
          <t>ÖSTERGÖTLANDS LÄN</t>
        </is>
      </c>
      <c r="E706" t="inlineStr">
        <is>
          <t>LINKÖPING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27798-2025</t>
        </is>
      </c>
      <c r="B707" s="1" t="n">
        <v>45816.81532407407</v>
      </c>
      <c r="C707" s="1" t="n">
        <v>46038</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28200-2025</t>
        </is>
      </c>
      <c r="B708" s="1" t="n">
        <v>45818.4428125</v>
      </c>
      <c r="C708" s="1" t="n">
        <v>46038</v>
      </c>
      <c r="D708" t="inlineStr">
        <is>
          <t>ÖSTERGÖTLANDS LÄN</t>
        </is>
      </c>
      <c r="E708" t="inlineStr">
        <is>
          <t>LINKÖPING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28204-2025</t>
        </is>
      </c>
      <c r="B709" s="1" t="n">
        <v>45818.4477662037</v>
      </c>
      <c r="C709" s="1" t="n">
        <v>46038</v>
      </c>
      <c r="D709" t="inlineStr">
        <is>
          <t>ÖSTERGÖTLANDS LÄN</t>
        </is>
      </c>
      <c r="E709" t="inlineStr">
        <is>
          <t>LINKÖPING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28416-2025</t>
        </is>
      </c>
      <c r="B710" s="1" t="n">
        <v>45819.35346064815</v>
      </c>
      <c r="C710" s="1" t="n">
        <v>46038</v>
      </c>
      <c r="D710" t="inlineStr">
        <is>
          <t>ÖSTERGÖTLANDS LÄN</t>
        </is>
      </c>
      <c r="E710" t="inlineStr">
        <is>
          <t>LINKÖPING</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28398-2025</t>
        </is>
      </c>
      <c r="B711" s="1" t="n">
        <v>45819.34208333334</v>
      </c>
      <c r="C711" s="1" t="n">
        <v>46038</v>
      </c>
      <c r="D711" t="inlineStr">
        <is>
          <t>ÖSTERGÖTLANDS LÄN</t>
        </is>
      </c>
      <c r="E711" t="inlineStr">
        <is>
          <t>LINKÖPING</t>
        </is>
      </c>
      <c r="F711" t="inlineStr">
        <is>
          <t>Sveaskog</t>
        </is>
      </c>
      <c r="G711" t="n">
        <v>7.9</v>
      </c>
      <c r="H711" t="n">
        <v>0</v>
      </c>
      <c r="I711" t="n">
        <v>0</v>
      </c>
      <c r="J711" t="n">
        <v>0</v>
      </c>
      <c r="K711" t="n">
        <v>0</v>
      </c>
      <c r="L711" t="n">
        <v>0</v>
      </c>
      <c r="M711" t="n">
        <v>0</v>
      </c>
      <c r="N711" t="n">
        <v>0</v>
      </c>
      <c r="O711" t="n">
        <v>0</v>
      </c>
      <c r="P711" t="n">
        <v>0</v>
      </c>
      <c r="Q711" t="n">
        <v>0</v>
      </c>
      <c r="R711" s="2" t="inlineStr"/>
    </row>
    <row r="712" ht="15" customHeight="1">
      <c r="A712" t="inlineStr">
        <is>
          <t>A 28209-2025</t>
        </is>
      </c>
      <c r="B712" s="1" t="n">
        <v>45818.45112268518</v>
      </c>
      <c r="C712" s="1" t="n">
        <v>46038</v>
      </c>
      <c r="D712" t="inlineStr">
        <is>
          <t>ÖSTERGÖTLANDS LÄN</t>
        </is>
      </c>
      <c r="E712" t="inlineStr">
        <is>
          <t>LINKÖPING</t>
        </is>
      </c>
      <c r="G712" t="n">
        <v>4.2</v>
      </c>
      <c r="H712" t="n">
        <v>0</v>
      </c>
      <c r="I712" t="n">
        <v>0</v>
      </c>
      <c r="J712" t="n">
        <v>0</v>
      </c>
      <c r="K712" t="n">
        <v>0</v>
      </c>
      <c r="L712" t="n">
        <v>0</v>
      </c>
      <c r="M712" t="n">
        <v>0</v>
      </c>
      <c r="N712" t="n">
        <v>0</v>
      </c>
      <c r="O712" t="n">
        <v>0</v>
      </c>
      <c r="P712" t="n">
        <v>0</v>
      </c>
      <c r="Q712" t="n">
        <v>0</v>
      </c>
      <c r="R712" s="2" t="inlineStr"/>
    </row>
    <row r="713" ht="15" customHeight="1">
      <c r="A713" t="inlineStr">
        <is>
          <t>A 29027-2025</t>
        </is>
      </c>
      <c r="B713" s="1" t="n">
        <v>45821.4375462963</v>
      </c>
      <c r="C713" s="1" t="n">
        <v>46038</v>
      </c>
      <c r="D713" t="inlineStr">
        <is>
          <t>ÖSTERGÖTLANDS LÄN</t>
        </is>
      </c>
      <c r="E713" t="inlineStr">
        <is>
          <t>LINKÖPING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29411-2025</t>
        </is>
      </c>
      <c r="B714" s="1" t="n">
        <v>45824.6219212963</v>
      </c>
      <c r="C714" s="1" t="n">
        <v>46038</v>
      </c>
      <c r="D714" t="inlineStr">
        <is>
          <t>ÖSTERGÖTLANDS LÄN</t>
        </is>
      </c>
      <c r="E714" t="inlineStr">
        <is>
          <t>LINKÖPING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29393-2025</t>
        </is>
      </c>
      <c r="B715" s="1" t="n">
        <v>45824.6057175926</v>
      </c>
      <c r="C715" s="1" t="n">
        <v>46038</v>
      </c>
      <c r="D715" t="inlineStr">
        <is>
          <t>ÖSTERGÖTLANDS LÄN</t>
        </is>
      </c>
      <c r="E715" t="inlineStr">
        <is>
          <t>LINKÖPING</t>
        </is>
      </c>
      <c r="F715" t="inlineStr">
        <is>
          <t>Sveaskog</t>
        </is>
      </c>
      <c r="G715" t="n">
        <v>24.6</v>
      </c>
      <c r="H715" t="n">
        <v>0</v>
      </c>
      <c r="I715" t="n">
        <v>0</v>
      </c>
      <c r="J715" t="n">
        <v>0</v>
      </c>
      <c r="K715" t="n">
        <v>0</v>
      </c>
      <c r="L715" t="n">
        <v>0</v>
      </c>
      <c r="M715" t="n">
        <v>0</v>
      </c>
      <c r="N715" t="n">
        <v>0</v>
      </c>
      <c r="O715" t="n">
        <v>0</v>
      </c>
      <c r="P715" t="n">
        <v>0</v>
      </c>
      <c r="Q715" t="n">
        <v>0</v>
      </c>
      <c r="R715" s="2" t="inlineStr"/>
    </row>
    <row r="716" ht="15" customHeight="1">
      <c r="A716" t="inlineStr">
        <is>
          <t>A 29599-2025</t>
        </is>
      </c>
      <c r="B716" s="1" t="n">
        <v>45825.41101851852</v>
      </c>
      <c r="C716" s="1" t="n">
        <v>46038</v>
      </c>
      <c r="D716" t="inlineStr">
        <is>
          <t>ÖSTERGÖTLANDS LÄN</t>
        </is>
      </c>
      <c r="E716" t="inlineStr">
        <is>
          <t>LINKÖPING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30355-2025</t>
        </is>
      </c>
      <c r="B717" s="1" t="n">
        <v>45827</v>
      </c>
      <c r="C717" s="1" t="n">
        <v>46038</v>
      </c>
      <c r="D717" t="inlineStr">
        <is>
          <t>ÖSTERGÖTLANDS LÄN</t>
        </is>
      </c>
      <c r="E717" t="inlineStr">
        <is>
          <t>LINKÖPING</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30353-2025</t>
        </is>
      </c>
      <c r="B718" s="1" t="n">
        <v>45827</v>
      </c>
      <c r="C718" s="1" t="n">
        <v>46038</v>
      </c>
      <c r="D718" t="inlineStr">
        <is>
          <t>ÖSTERGÖTLANDS LÄN</t>
        </is>
      </c>
      <c r="E718" t="inlineStr">
        <is>
          <t>LINKÖPING</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31581-2025</t>
        </is>
      </c>
      <c r="B719" s="1" t="n">
        <v>45833.6840162037</v>
      </c>
      <c r="C719" s="1" t="n">
        <v>46038</v>
      </c>
      <c r="D719" t="inlineStr">
        <is>
          <t>ÖSTERGÖTLANDS LÄN</t>
        </is>
      </c>
      <c r="E719" t="inlineStr">
        <is>
          <t>LINKÖPING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31585-2025</t>
        </is>
      </c>
      <c r="B720" s="1" t="n">
        <v>45833.68815972222</v>
      </c>
      <c r="C720" s="1" t="n">
        <v>46038</v>
      </c>
      <c r="D720" t="inlineStr">
        <is>
          <t>ÖSTERGÖTLANDS LÄN</t>
        </is>
      </c>
      <c r="E720" t="inlineStr">
        <is>
          <t>LINKÖPING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32723-2025</t>
        </is>
      </c>
      <c r="B721" s="1" t="n">
        <v>45838</v>
      </c>
      <c r="C721" s="1" t="n">
        <v>46038</v>
      </c>
      <c r="D721" t="inlineStr">
        <is>
          <t>ÖSTERGÖTLANDS LÄN</t>
        </is>
      </c>
      <c r="E721" t="inlineStr">
        <is>
          <t>LINKÖPING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33947-2025</t>
        </is>
      </c>
      <c r="B722" s="1" t="n">
        <v>45842.65444444444</v>
      </c>
      <c r="C722" s="1" t="n">
        <v>46038</v>
      </c>
      <c r="D722" t="inlineStr">
        <is>
          <t>ÖSTERGÖTLANDS LÄN</t>
        </is>
      </c>
      <c r="E722" t="inlineStr">
        <is>
          <t>LINKÖPING</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53529-2024</t>
        </is>
      </c>
      <c r="B723" s="1" t="n">
        <v>45614</v>
      </c>
      <c r="C723" s="1" t="n">
        <v>46038</v>
      </c>
      <c r="D723" t="inlineStr">
        <is>
          <t>ÖSTERGÖTLANDS LÄN</t>
        </is>
      </c>
      <c r="E723" t="inlineStr">
        <is>
          <t>LINKÖPING</t>
        </is>
      </c>
      <c r="G723" t="n">
        <v>6.7</v>
      </c>
      <c r="H723" t="n">
        <v>0</v>
      </c>
      <c r="I723" t="n">
        <v>0</v>
      </c>
      <c r="J723" t="n">
        <v>0</v>
      </c>
      <c r="K723" t="n">
        <v>0</v>
      </c>
      <c r="L723" t="n">
        <v>0</v>
      </c>
      <c r="M723" t="n">
        <v>0</v>
      </c>
      <c r="N723" t="n">
        <v>0</v>
      </c>
      <c r="O723" t="n">
        <v>0</v>
      </c>
      <c r="P723" t="n">
        <v>0</v>
      </c>
      <c r="Q723" t="n">
        <v>0</v>
      </c>
      <c r="R723" s="2" t="inlineStr"/>
    </row>
    <row r="724" ht="15" customHeight="1">
      <c r="A724" t="inlineStr">
        <is>
          <t>A 62012-2024</t>
        </is>
      </c>
      <c r="B724" s="1" t="n">
        <v>45655.79679398148</v>
      </c>
      <c r="C724" s="1" t="n">
        <v>46038</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20469-2025</t>
        </is>
      </c>
      <c r="B725" s="1" t="n">
        <v>45775</v>
      </c>
      <c r="C725" s="1" t="n">
        <v>46038</v>
      </c>
      <c r="D725" t="inlineStr">
        <is>
          <t>ÖSTERGÖTLANDS LÄN</t>
        </is>
      </c>
      <c r="E725" t="inlineStr">
        <is>
          <t>LINKÖPING</t>
        </is>
      </c>
      <c r="F725" t="inlineStr">
        <is>
          <t>Kyrkan</t>
        </is>
      </c>
      <c r="G725" t="n">
        <v>6.1</v>
      </c>
      <c r="H725" t="n">
        <v>0</v>
      </c>
      <c r="I725" t="n">
        <v>0</v>
      </c>
      <c r="J725" t="n">
        <v>0</v>
      </c>
      <c r="K725" t="n">
        <v>0</v>
      </c>
      <c r="L725" t="n">
        <v>0</v>
      </c>
      <c r="M725" t="n">
        <v>0</v>
      </c>
      <c r="N725" t="n">
        <v>0</v>
      </c>
      <c r="O725" t="n">
        <v>0</v>
      </c>
      <c r="P725" t="n">
        <v>0</v>
      </c>
      <c r="Q725" t="n">
        <v>0</v>
      </c>
      <c r="R725" s="2" t="inlineStr"/>
    </row>
    <row r="726" ht="15" customHeight="1">
      <c r="A726" t="inlineStr">
        <is>
          <t>A 33800-2023</t>
        </is>
      </c>
      <c r="B726" s="1" t="n">
        <v>45121</v>
      </c>
      <c r="C726" s="1" t="n">
        <v>46038</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26007-2025</t>
        </is>
      </c>
      <c r="B727" s="1" t="n">
        <v>45804.67081018518</v>
      </c>
      <c r="C727" s="1" t="n">
        <v>46038</v>
      </c>
      <c r="D727" t="inlineStr">
        <is>
          <t>ÖSTERGÖTLANDS LÄN</t>
        </is>
      </c>
      <c r="E727" t="inlineStr">
        <is>
          <t>LINKÖPING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35174-2025</t>
        </is>
      </c>
      <c r="B728" s="1" t="n">
        <v>45852.90648148148</v>
      </c>
      <c r="C728" s="1" t="n">
        <v>46038</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47991-2023</t>
        </is>
      </c>
      <c r="B729" s="1" t="n">
        <v>45204.62655092592</v>
      </c>
      <c r="C729" s="1" t="n">
        <v>46038</v>
      </c>
      <c r="D729" t="inlineStr">
        <is>
          <t>ÖSTERGÖTLANDS LÄN</t>
        </is>
      </c>
      <c r="E729" t="inlineStr">
        <is>
          <t>LINKÖPING</t>
        </is>
      </c>
      <c r="F729" t="inlineStr">
        <is>
          <t>Allmännings- och besparingsskogar</t>
        </is>
      </c>
      <c r="G729" t="n">
        <v>7.3</v>
      </c>
      <c r="H729" t="n">
        <v>0</v>
      </c>
      <c r="I729" t="n">
        <v>0</v>
      </c>
      <c r="J729" t="n">
        <v>0</v>
      </c>
      <c r="K729" t="n">
        <v>0</v>
      </c>
      <c r="L729" t="n">
        <v>0</v>
      </c>
      <c r="M729" t="n">
        <v>0</v>
      </c>
      <c r="N729" t="n">
        <v>0</v>
      </c>
      <c r="O729" t="n">
        <v>0</v>
      </c>
      <c r="P729" t="n">
        <v>0</v>
      </c>
      <c r="Q729" t="n">
        <v>0</v>
      </c>
      <c r="R729" s="2" t="inlineStr"/>
    </row>
    <row r="730" ht="15" customHeight="1">
      <c r="A730" t="inlineStr">
        <is>
          <t>A 35179-2025</t>
        </is>
      </c>
      <c r="B730" s="1" t="n">
        <v>45852.93737268518</v>
      </c>
      <c r="C730" s="1" t="n">
        <v>46038</v>
      </c>
      <c r="D730" t="inlineStr">
        <is>
          <t>ÖSTERGÖTLANDS LÄN</t>
        </is>
      </c>
      <c r="E730" t="inlineStr">
        <is>
          <t>LINKÖPING</t>
        </is>
      </c>
      <c r="G730" t="n">
        <v>2.2</v>
      </c>
      <c r="H730" t="n">
        <v>0</v>
      </c>
      <c r="I730" t="n">
        <v>0</v>
      </c>
      <c r="J730" t="n">
        <v>0</v>
      </c>
      <c r="K730" t="n">
        <v>0</v>
      </c>
      <c r="L730" t="n">
        <v>0</v>
      </c>
      <c r="M730" t="n">
        <v>0</v>
      </c>
      <c r="N730" t="n">
        <v>0</v>
      </c>
      <c r="O730" t="n">
        <v>0</v>
      </c>
      <c r="P730" t="n">
        <v>0</v>
      </c>
      <c r="Q730" t="n">
        <v>0</v>
      </c>
      <c r="R730" s="2" t="inlineStr"/>
    </row>
    <row r="731" ht="15" customHeight="1">
      <c r="A731" t="inlineStr">
        <is>
          <t>A 35180-2025</t>
        </is>
      </c>
      <c r="B731" s="1" t="n">
        <v>45852.9413425926</v>
      </c>
      <c r="C731" s="1" t="n">
        <v>46038</v>
      </c>
      <c r="D731" t="inlineStr">
        <is>
          <t>ÖSTERGÖTLANDS LÄN</t>
        </is>
      </c>
      <c r="E731" t="inlineStr">
        <is>
          <t>LINKÖPING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35178-2025</t>
        </is>
      </c>
      <c r="B732" s="1" t="n">
        <v>45852.91939814815</v>
      </c>
      <c r="C732" s="1" t="n">
        <v>46038</v>
      </c>
      <c r="D732" t="inlineStr">
        <is>
          <t>ÖSTERGÖTLANDS LÄN</t>
        </is>
      </c>
      <c r="E732" t="inlineStr">
        <is>
          <t>LINKÖPING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35757-2025</t>
        </is>
      </c>
      <c r="B733" s="1" t="n">
        <v>45860.59876157407</v>
      </c>
      <c r="C733" s="1" t="n">
        <v>46038</v>
      </c>
      <c r="D733" t="inlineStr">
        <is>
          <t>ÖSTERGÖTLANDS LÄN</t>
        </is>
      </c>
      <c r="E733" t="inlineStr">
        <is>
          <t>LINKÖPING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35745-2025</t>
        </is>
      </c>
      <c r="B734" s="1" t="n">
        <v>45860.54739583333</v>
      </c>
      <c r="C734" s="1" t="n">
        <v>46038</v>
      </c>
      <c r="D734" t="inlineStr">
        <is>
          <t>ÖSTERGÖTLANDS LÄN</t>
        </is>
      </c>
      <c r="E734" t="inlineStr">
        <is>
          <t>LINKÖPING</t>
        </is>
      </c>
      <c r="G734" t="n">
        <v>4.4</v>
      </c>
      <c r="H734" t="n">
        <v>0</v>
      </c>
      <c r="I734" t="n">
        <v>0</v>
      </c>
      <c r="J734" t="n">
        <v>0</v>
      </c>
      <c r="K734" t="n">
        <v>0</v>
      </c>
      <c r="L734" t="n">
        <v>0</v>
      </c>
      <c r="M734" t="n">
        <v>0</v>
      </c>
      <c r="N734" t="n">
        <v>0</v>
      </c>
      <c r="O734" t="n">
        <v>0</v>
      </c>
      <c r="P734" t="n">
        <v>0</v>
      </c>
      <c r="Q734" t="n">
        <v>0</v>
      </c>
      <c r="R734" s="2" t="inlineStr"/>
    </row>
    <row r="735" ht="15" customHeight="1">
      <c r="A735" t="inlineStr">
        <is>
          <t>A 35747-2025</t>
        </is>
      </c>
      <c r="B735" s="1" t="n">
        <v>45860.56385416666</v>
      </c>
      <c r="C735" s="1" t="n">
        <v>46038</v>
      </c>
      <c r="D735" t="inlineStr">
        <is>
          <t>ÖSTERGÖTLANDS LÄN</t>
        </is>
      </c>
      <c r="E735" t="inlineStr">
        <is>
          <t>LINKÖPING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35759-2025</t>
        </is>
      </c>
      <c r="B736" s="1" t="n">
        <v>45860</v>
      </c>
      <c r="C736" s="1" t="n">
        <v>46038</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37057-2025</t>
        </is>
      </c>
      <c r="B737" s="1" t="n">
        <v>45875.37489583333</v>
      </c>
      <c r="C737" s="1" t="n">
        <v>46038</v>
      </c>
      <c r="D737" t="inlineStr">
        <is>
          <t>ÖSTERGÖTLANDS LÄN</t>
        </is>
      </c>
      <c r="E737" t="inlineStr">
        <is>
          <t>LINKÖPING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25829-2025</t>
        </is>
      </c>
      <c r="B738" s="1" t="n">
        <v>45804.44505787037</v>
      </c>
      <c r="C738" s="1" t="n">
        <v>46038</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c r="A739" t="inlineStr">
        <is>
          <t>A 38046-2025</t>
        </is>
      </c>
      <c r="B739" s="1" t="n">
        <v>45882.39939814815</v>
      </c>
      <c r="C739" s="1" t="n">
        <v>46038</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2026-01-16T11:00:38Z</dcterms:created>
  <dcterms:modified xmlns:dcterms="http://purl.org/dc/terms/" xmlns:xsi="http://www.w3.org/2001/XMLSchema-instance" xsi:type="dcterms:W3CDTF">2026-01-16T11:00:38Z</dcterms:modified>
</cp:coreProperties>
</file>