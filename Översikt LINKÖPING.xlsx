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45975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45975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45975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45975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45975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45975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45975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45975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45975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45975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45975</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45975</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45975</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48329-2025</t>
        </is>
      </c>
      <c r="B16" s="1" t="n">
        <v>45932</v>
      </c>
      <c r="C16" s="1" t="n">
        <v>45975</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577-2025</t>
        </is>
      </c>
      <c r="B17" s="1" t="n">
        <v>45664.56525462963</v>
      </c>
      <c r="C17" s="1" t="n">
        <v>45975</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45975</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45975</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45975</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17520-2022</t>
        </is>
      </c>
      <c r="B21" s="1" t="n">
        <v>44679</v>
      </c>
      <c r="C21" s="1" t="n">
        <v>45975</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45975</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20297-2025</t>
        </is>
      </c>
      <c r="B23" s="1" t="n">
        <v>45774.74971064815</v>
      </c>
      <c r="C23" s="1" t="n">
        <v>45975</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58068-2021</t>
        </is>
      </c>
      <c r="B24" s="1" t="n">
        <v>44487</v>
      </c>
      <c r="C24" s="1" t="n">
        <v>45975</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20292-2025</t>
        </is>
      </c>
      <c r="B25" s="1" t="n">
        <v>45774.7449537037</v>
      </c>
      <c r="C25" s="1" t="n">
        <v>45975</v>
      </c>
      <c r="D25" t="inlineStr">
        <is>
          <t>ÖSTERGÖTLANDS LÄN</t>
        </is>
      </c>
      <c r="E25" t="inlineStr">
        <is>
          <t>LINKÖPING</t>
        </is>
      </c>
      <c r="G25" t="n">
        <v>8.4</v>
      </c>
      <c r="H25" t="n">
        <v>1</v>
      </c>
      <c r="I25" t="n">
        <v>1</v>
      </c>
      <c r="J25" t="n">
        <v>0</v>
      </c>
      <c r="K25" t="n">
        <v>0</v>
      </c>
      <c r="L25" t="n">
        <v>0</v>
      </c>
      <c r="M25" t="n">
        <v>0</v>
      </c>
      <c r="N25" t="n">
        <v>0</v>
      </c>
      <c r="O25" t="n">
        <v>0</v>
      </c>
      <c r="P25" t="n">
        <v>0</v>
      </c>
      <c r="Q25" t="n">
        <v>2</v>
      </c>
      <c r="R25" s="2" t="inlineStr">
        <is>
          <t>Blåmossa
Blåsippa</t>
        </is>
      </c>
      <c r="S25">
        <f>HYPERLINK("https://klasma.github.io/Logging_0580/artfynd/A 20292-2025 artfynd.xlsx", "A 20292-2025")</f>
        <v/>
      </c>
      <c r="T25">
        <f>HYPERLINK("https://klasma.github.io/Logging_0580/kartor/A 20292-2025 karta.png", "A 20292-2025")</f>
        <v/>
      </c>
      <c r="V25">
        <f>HYPERLINK("https://klasma.github.io/Logging_0580/klagomål/A 20292-2025 FSC-klagomål.docx", "A 20292-2025")</f>
        <v/>
      </c>
      <c r="W25">
        <f>HYPERLINK("https://klasma.github.io/Logging_0580/klagomålsmail/A 20292-2025 FSC-klagomål mail.docx", "A 20292-2025")</f>
        <v/>
      </c>
      <c r="X25">
        <f>HYPERLINK("https://klasma.github.io/Logging_0580/tillsyn/A 20292-2025 tillsynsbegäran.docx", "A 20292-2025")</f>
        <v/>
      </c>
      <c r="Y25">
        <f>HYPERLINK("https://klasma.github.io/Logging_0580/tillsynsmail/A 20292-2025 tillsynsbegäran mail.docx", "A 20292-2025")</f>
        <v/>
      </c>
    </row>
    <row r="26" ht="15" customHeight="1">
      <c r="A26" t="inlineStr">
        <is>
          <t>A 49188-2024</t>
        </is>
      </c>
      <c r="B26" s="1" t="n">
        <v>45595</v>
      </c>
      <c r="C26" s="1" t="n">
        <v>45975</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38913-2023</t>
        </is>
      </c>
      <c r="B27" s="1" t="n">
        <v>45163</v>
      </c>
      <c r="C27" s="1" t="n">
        <v>45975</v>
      </c>
      <c r="D27" t="inlineStr">
        <is>
          <t>ÖSTERGÖTLANDS LÄN</t>
        </is>
      </c>
      <c r="E27" t="inlineStr">
        <is>
          <t>LINKÖPING</t>
        </is>
      </c>
      <c r="G27" t="n">
        <v>2.7</v>
      </c>
      <c r="H27" t="n">
        <v>1</v>
      </c>
      <c r="I27" t="n">
        <v>1</v>
      </c>
      <c r="J27" t="n">
        <v>0</v>
      </c>
      <c r="K27" t="n">
        <v>0</v>
      </c>
      <c r="L27" t="n">
        <v>0</v>
      </c>
      <c r="M27" t="n">
        <v>0</v>
      </c>
      <c r="N27" t="n">
        <v>0</v>
      </c>
      <c r="O27" t="n">
        <v>0</v>
      </c>
      <c r="P27" t="n">
        <v>0</v>
      </c>
      <c r="Q27" t="n">
        <v>2</v>
      </c>
      <c r="R27" s="2" t="inlineStr">
        <is>
          <t>Skogsbräsma
Revlummer</t>
        </is>
      </c>
      <c r="S27">
        <f>HYPERLINK("https://klasma.github.io/Logging_0580/artfynd/A 38913-2023 artfynd.xlsx", "A 38913-2023")</f>
        <v/>
      </c>
      <c r="T27">
        <f>HYPERLINK("https://klasma.github.io/Logging_0580/kartor/A 38913-2023 karta.png", "A 38913-2023")</f>
        <v/>
      </c>
      <c r="V27">
        <f>HYPERLINK("https://klasma.github.io/Logging_0580/klagomål/A 38913-2023 FSC-klagomål.docx", "A 38913-2023")</f>
        <v/>
      </c>
      <c r="W27">
        <f>HYPERLINK("https://klasma.github.io/Logging_0580/klagomålsmail/A 38913-2023 FSC-klagomål mail.docx", "A 38913-2023")</f>
        <v/>
      </c>
      <c r="X27">
        <f>HYPERLINK("https://klasma.github.io/Logging_0580/tillsyn/A 38913-2023 tillsynsbegäran.docx", "A 38913-2023")</f>
        <v/>
      </c>
      <c r="Y27">
        <f>HYPERLINK("https://klasma.github.io/Logging_0580/tillsynsmail/A 38913-2023 tillsynsbegäran mail.docx", "A 38913-2023")</f>
        <v/>
      </c>
    </row>
    <row r="28" ht="15" customHeight="1">
      <c r="A28" t="inlineStr">
        <is>
          <t>A 22040-2023</t>
        </is>
      </c>
      <c r="B28" s="1" t="n">
        <v>45068</v>
      </c>
      <c r="C28" s="1" t="n">
        <v>45975</v>
      </c>
      <c r="D28" t="inlineStr">
        <is>
          <t>ÖSTERGÖTLANDS LÄN</t>
        </is>
      </c>
      <c r="E28" t="inlineStr">
        <is>
          <t>LINKÖPING</t>
        </is>
      </c>
      <c r="F28" t="inlineStr">
        <is>
          <t>Kommuner</t>
        </is>
      </c>
      <c r="G28" t="n">
        <v>1</v>
      </c>
      <c r="H28" t="n">
        <v>1</v>
      </c>
      <c r="I28" t="n">
        <v>1</v>
      </c>
      <c r="J28" t="n">
        <v>0</v>
      </c>
      <c r="K28" t="n">
        <v>1</v>
      </c>
      <c r="L28" t="n">
        <v>0</v>
      </c>
      <c r="M28" t="n">
        <v>0</v>
      </c>
      <c r="N28" t="n">
        <v>0</v>
      </c>
      <c r="O28" t="n">
        <v>1</v>
      </c>
      <c r="P28" t="n">
        <v>1</v>
      </c>
      <c r="Q28" t="n">
        <v>2</v>
      </c>
      <c r="R28" s="2" t="inlineStr">
        <is>
          <t>Bombmurkla
Skarp dropptaggsvamp</t>
        </is>
      </c>
      <c r="S28">
        <f>HYPERLINK("https://klasma.github.io/Logging_0580/artfynd/A 22040-2023 artfynd.xlsx", "A 22040-2023")</f>
        <v/>
      </c>
      <c r="T28">
        <f>HYPERLINK("https://klasma.github.io/Logging_0580/kartor/A 22040-2023 karta.png", "A 22040-2023")</f>
        <v/>
      </c>
      <c r="V28">
        <f>HYPERLINK("https://klasma.github.io/Logging_0580/klagomål/A 22040-2023 FSC-klagomål.docx", "A 22040-2023")</f>
        <v/>
      </c>
      <c r="W28">
        <f>HYPERLINK("https://klasma.github.io/Logging_0580/klagomålsmail/A 22040-2023 FSC-klagomål mail.docx", "A 22040-2023")</f>
        <v/>
      </c>
      <c r="X28">
        <f>HYPERLINK("https://klasma.github.io/Logging_0580/tillsyn/A 22040-2023 tillsynsbegäran.docx", "A 22040-2023")</f>
        <v/>
      </c>
      <c r="Y28">
        <f>HYPERLINK("https://klasma.github.io/Logging_0580/tillsynsmail/A 22040-2023 tillsynsbegäran mail.docx", "A 22040-2023")</f>
        <v/>
      </c>
    </row>
    <row r="29" ht="15" customHeight="1">
      <c r="A29" t="inlineStr">
        <is>
          <t>A 27981-2022</t>
        </is>
      </c>
      <c r="B29" s="1" t="n">
        <v>44745</v>
      </c>
      <c r="C29" s="1" t="n">
        <v>45975</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58068-2021</t>
        </is>
      </c>
      <c r="B30" s="1" t="n">
        <v>44487</v>
      </c>
      <c r="C30" s="1" t="n">
        <v>45975</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50404-2023</t>
        </is>
      </c>
      <c r="B31" s="1" t="n">
        <v>45216</v>
      </c>
      <c r="C31" s="1" t="n">
        <v>45975</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45975</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42858-2023</t>
        </is>
      </c>
      <c r="B33" s="1" t="n">
        <v>45177</v>
      </c>
      <c r="C33" s="1" t="n">
        <v>45975</v>
      </c>
      <c r="D33" t="inlineStr">
        <is>
          <t>ÖSTERGÖTLANDS LÄN</t>
        </is>
      </c>
      <c r="E33" t="inlineStr">
        <is>
          <t>LINKÖPING</t>
        </is>
      </c>
      <c r="G33" t="n">
        <v>5.3</v>
      </c>
      <c r="H33" t="n">
        <v>1</v>
      </c>
      <c r="I33" t="n">
        <v>0</v>
      </c>
      <c r="J33" t="n">
        <v>1</v>
      </c>
      <c r="K33" t="n">
        <v>0</v>
      </c>
      <c r="L33" t="n">
        <v>0</v>
      </c>
      <c r="M33" t="n">
        <v>0</v>
      </c>
      <c r="N33" t="n">
        <v>0</v>
      </c>
      <c r="O33" t="n">
        <v>1</v>
      </c>
      <c r="P33" t="n">
        <v>0</v>
      </c>
      <c r="Q33" t="n">
        <v>2</v>
      </c>
      <c r="R33" s="2" t="inlineStr">
        <is>
          <t>Svinrot
Skogsödla</t>
        </is>
      </c>
      <c r="S33">
        <f>HYPERLINK("https://klasma.github.io/Logging_0580/artfynd/A 42858-2023 artfynd.xlsx", "A 42858-2023")</f>
        <v/>
      </c>
      <c r="T33">
        <f>HYPERLINK("https://klasma.github.io/Logging_0580/kartor/A 42858-2023 karta.png", "A 42858-2023")</f>
        <v/>
      </c>
      <c r="V33">
        <f>HYPERLINK("https://klasma.github.io/Logging_0580/klagomål/A 42858-2023 FSC-klagomål.docx", "A 42858-2023")</f>
        <v/>
      </c>
      <c r="W33">
        <f>HYPERLINK("https://klasma.github.io/Logging_0580/klagomålsmail/A 42858-2023 FSC-klagomål mail.docx", "A 42858-2023")</f>
        <v/>
      </c>
      <c r="X33">
        <f>HYPERLINK("https://klasma.github.io/Logging_0580/tillsyn/A 42858-2023 tillsynsbegäran.docx", "A 42858-2023")</f>
        <v/>
      </c>
      <c r="Y33">
        <f>HYPERLINK("https://klasma.github.io/Logging_0580/tillsynsmail/A 42858-2023 tillsynsbegäran mail.docx", "A 42858-2023")</f>
        <v/>
      </c>
    </row>
    <row r="34" ht="15" customHeight="1">
      <c r="A34" t="inlineStr">
        <is>
          <t>A 11613-2025</t>
        </is>
      </c>
      <c r="B34" s="1" t="n">
        <v>45727.44623842592</v>
      </c>
      <c r="C34" s="1" t="n">
        <v>45975</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41751-2023</t>
        </is>
      </c>
      <c r="B35" s="1" t="n">
        <v>45176</v>
      </c>
      <c r="C35" s="1" t="n">
        <v>45975</v>
      </c>
      <c r="D35" t="inlineStr">
        <is>
          <t>ÖSTERGÖTLANDS LÄN</t>
        </is>
      </c>
      <c r="E35" t="inlineStr">
        <is>
          <t>LINKÖPING</t>
        </is>
      </c>
      <c r="G35" t="n">
        <v>1.5</v>
      </c>
      <c r="H35" t="n">
        <v>1</v>
      </c>
      <c r="I35" t="n">
        <v>0</v>
      </c>
      <c r="J35" t="n">
        <v>1</v>
      </c>
      <c r="K35" t="n">
        <v>0</v>
      </c>
      <c r="L35" t="n">
        <v>0</v>
      </c>
      <c r="M35" t="n">
        <v>0</v>
      </c>
      <c r="N35" t="n">
        <v>0</v>
      </c>
      <c r="O35" t="n">
        <v>1</v>
      </c>
      <c r="P35" t="n">
        <v>0</v>
      </c>
      <c r="Q35" t="n">
        <v>2</v>
      </c>
      <c r="R35" s="2" t="inlineStr">
        <is>
          <t>Svinrot
Grönvit nattviol</t>
        </is>
      </c>
      <c r="S35">
        <f>HYPERLINK("https://klasma.github.io/Logging_0580/artfynd/A 41751-2023 artfynd.xlsx", "A 41751-2023")</f>
        <v/>
      </c>
      <c r="T35">
        <f>HYPERLINK("https://klasma.github.io/Logging_0580/kartor/A 41751-2023 karta.png", "A 41751-2023")</f>
        <v/>
      </c>
      <c r="V35">
        <f>HYPERLINK("https://klasma.github.io/Logging_0580/klagomål/A 41751-2023 FSC-klagomål.docx", "A 41751-2023")</f>
        <v/>
      </c>
      <c r="W35">
        <f>HYPERLINK("https://klasma.github.io/Logging_0580/klagomålsmail/A 41751-2023 FSC-klagomål mail.docx", "A 41751-2023")</f>
        <v/>
      </c>
      <c r="X35">
        <f>HYPERLINK("https://klasma.github.io/Logging_0580/tillsyn/A 41751-2023 tillsynsbegäran.docx", "A 41751-2023")</f>
        <v/>
      </c>
      <c r="Y35">
        <f>HYPERLINK("https://klasma.github.io/Logging_0580/tillsynsmail/A 41751-2023 tillsynsbegäran mail.docx", "A 41751-2023")</f>
        <v/>
      </c>
    </row>
    <row r="36" ht="15" customHeight="1">
      <c r="A36" t="inlineStr">
        <is>
          <t>A 27795-2025</t>
        </is>
      </c>
      <c r="B36" s="1" t="n">
        <v>45816.7908912037</v>
      </c>
      <c r="C36" s="1" t="n">
        <v>45975</v>
      </c>
      <c r="D36" t="inlineStr">
        <is>
          <t>ÖSTERGÖTLANDS LÄN</t>
        </is>
      </c>
      <c r="E36" t="inlineStr">
        <is>
          <t>LINKÖPING</t>
        </is>
      </c>
      <c r="G36" t="n">
        <v>5</v>
      </c>
      <c r="H36" t="n">
        <v>0</v>
      </c>
      <c r="I36" t="n">
        <v>0</v>
      </c>
      <c r="J36" t="n">
        <v>2</v>
      </c>
      <c r="K36" t="n">
        <v>0</v>
      </c>
      <c r="L36" t="n">
        <v>0</v>
      </c>
      <c r="M36" t="n">
        <v>0</v>
      </c>
      <c r="N36" t="n">
        <v>0</v>
      </c>
      <c r="O36" t="n">
        <v>2</v>
      </c>
      <c r="P36" t="n">
        <v>0</v>
      </c>
      <c r="Q36" t="n">
        <v>2</v>
      </c>
      <c r="R36" s="2" t="inlineStr">
        <is>
          <t>Svinrot
Ängsskära</t>
        </is>
      </c>
      <c r="S36">
        <f>HYPERLINK("https://klasma.github.io/Logging_0580/artfynd/A 27795-2025 artfynd.xlsx", "A 27795-2025")</f>
        <v/>
      </c>
      <c r="T36">
        <f>HYPERLINK("https://klasma.github.io/Logging_0580/kartor/A 27795-2025 karta.png", "A 27795-2025")</f>
        <v/>
      </c>
      <c r="V36">
        <f>HYPERLINK("https://klasma.github.io/Logging_0580/klagomål/A 27795-2025 FSC-klagomål.docx", "A 27795-2025")</f>
        <v/>
      </c>
      <c r="W36">
        <f>HYPERLINK("https://klasma.github.io/Logging_0580/klagomålsmail/A 27795-2025 FSC-klagomål mail.docx", "A 27795-2025")</f>
        <v/>
      </c>
      <c r="X36">
        <f>HYPERLINK("https://klasma.github.io/Logging_0580/tillsyn/A 27795-2025 tillsynsbegäran.docx", "A 27795-2025")</f>
        <v/>
      </c>
      <c r="Y36">
        <f>HYPERLINK("https://klasma.github.io/Logging_0580/tillsynsmail/A 27795-2025 tillsynsbegäran mail.docx", "A 27795-2025")</f>
        <v/>
      </c>
    </row>
    <row r="37" ht="15" customHeight="1">
      <c r="A37" t="inlineStr">
        <is>
          <t>A 8818-2025</t>
        </is>
      </c>
      <c r="B37" s="1" t="n">
        <v>45712</v>
      </c>
      <c r="C37" s="1" t="n">
        <v>45975</v>
      </c>
      <c r="D37" t="inlineStr">
        <is>
          <t>ÖSTERGÖTLANDS LÄN</t>
        </is>
      </c>
      <c r="E37" t="inlineStr">
        <is>
          <t>LINKÖPING</t>
        </is>
      </c>
      <c r="F37" t="inlineStr">
        <is>
          <t>Kommuner</t>
        </is>
      </c>
      <c r="G37" t="n">
        <v>0.6</v>
      </c>
      <c r="H37" t="n">
        <v>0</v>
      </c>
      <c r="I37" t="n">
        <v>0</v>
      </c>
      <c r="J37" t="n">
        <v>1</v>
      </c>
      <c r="K37" t="n">
        <v>1</v>
      </c>
      <c r="L37" t="n">
        <v>0</v>
      </c>
      <c r="M37" t="n">
        <v>0</v>
      </c>
      <c r="N37" t="n">
        <v>0</v>
      </c>
      <c r="O37" t="n">
        <v>2</v>
      </c>
      <c r="P37" t="n">
        <v>1</v>
      </c>
      <c r="Q37" t="n">
        <v>2</v>
      </c>
      <c r="R37" s="2" t="inlineStr">
        <is>
          <t>Luddvicker
Klubbsprötad bastardsvärmare</t>
        </is>
      </c>
      <c r="S37">
        <f>HYPERLINK("https://klasma.github.io/Logging_0580/artfynd/A 8818-2025 artfynd.xlsx", "A 8818-2025")</f>
        <v/>
      </c>
      <c r="T37">
        <f>HYPERLINK("https://klasma.github.io/Logging_0580/kartor/A 8818-2025 karta.png", "A 8818-2025")</f>
        <v/>
      </c>
      <c r="V37">
        <f>HYPERLINK("https://klasma.github.io/Logging_0580/klagomål/A 8818-2025 FSC-klagomål.docx", "A 8818-2025")</f>
        <v/>
      </c>
      <c r="W37">
        <f>HYPERLINK("https://klasma.github.io/Logging_0580/klagomålsmail/A 8818-2025 FSC-klagomål mail.docx", "A 8818-2025")</f>
        <v/>
      </c>
      <c r="X37">
        <f>HYPERLINK("https://klasma.github.io/Logging_0580/tillsyn/A 8818-2025 tillsynsbegäran.docx", "A 8818-2025")</f>
        <v/>
      </c>
      <c r="Y37">
        <f>HYPERLINK("https://klasma.github.io/Logging_0580/tillsynsmail/A 8818-2025 tillsynsbegäran mail.docx", "A 8818-2025")</f>
        <v/>
      </c>
    </row>
    <row r="38" ht="15" customHeight="1">
      <c r="A38" t="inlineStr">
        <is>
          <t>A 14879-2024</t>
        </is>
      </c>
      <c r="B38" s="1" t="n">
        <v>45398</v>
      </c>
      <c r="C38" s="1" t="n">
        <v>45975</v>
      </c>
      <c r="D38" t="inlineStr">
        <is>
          <t>ÖSTERGÖTLANDS LÄN</t>
        </is>
      </c>
      <c r="E38" t="inlineStr">
        <is>
          <t>LINKÖPING</t>
        </is>
      </c>
      <c r="F38" t="inlineStr">
        <is>
          <t>Övriga Aktiebolag</t>
        </is>
      </c>
      <c r="G38" t="n">
        <v>1.7</v>
      </c>
      <c r="H38" t="n">
        <v>1</v>
      </c>
      <c r="I38" t="n">
        <v>1</v>
      </c>
      <c r="J38" t="n">
        <v>0</v>
      </c>
      <c r="K38" t="n">
        <v>0</v>
      </c>
      <c r="L38" t="n">
        <v>0</v>
      </c>
      <c r="M38" t="n">
        <v>0</v>
      </c>
      <c r="N38" t="n">
        <v>0</v>
      </c>
      <c r="O38" t="n">
        <v>0</v>
      </c>
      <c r="P38" t="n">
        <v>0</v>
      </c>
      <c r="Q38" t="n">
        <v>2</v>
      </c>
      <c r="R38" s="2" t="inlineStr">
        <is>
          <t>Svart trolldruva
Grönvit nattviol</t>
        </is>
      </c>
      <c r="S38">
        <f>HYPERLINK("https://klasma.github.io/Logging_0580/artfynd/A 14879-2024 artfynd.xlsx", "A 14879-2024")</f>
        <v/>
      </c>
      <c r="T38">
        <f>HYPERLINK("https://klasma.github.io/Logging_0580/kartor/A 14879-2024 karta.png", "A 14879-2024")</f>
        <v/>
      </c>
      <c r="V38">
        <f>HYPERLINK("https://klasma.github.io/Logging_0580/klagomål/A 14879-2024 FSC-klagomål.docx", "A 14879-2024")</f>
        <v/>
      </c>
      <c r="W38">
        <f>HYPERLINK("https://klasma.github.io/Logging_0580/klagomålsmail/A 14879-2024 FSC-klagomål mail.docx", "A 14879-2024")</f>
        <v/>
      </c>
      <c r="X38">
        <f>HYPERLINK("https://klasma.github.io/Logging_0580/tillsyn/A 14879-2024 tillsynsbegäran.docx", "A 14879-2024")</f>
        <v/>
      </c>
      <c r="Y38">
        <f>HYPERLINK("https://klasma.github.io/Logging_0580/tillsynsmail/A 14879-2024 tillsynsbegäran mail.docx", "A 14879-2024")</f>
        <v/>
      </c>
    </row>
    <row r="39" ht="15" customHeight="1">
      <c r="A39" t="inlineStr">
        <is>
          <t>A 50048-2025</t>
        </is>
      </c>
      <c r="B39" s="1" t="n">
        <v>45941</v>
      </c>
      <c r="C39" s="1" t="n">
        <v>45975</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25985-2025</t>
        </is>
      </c>
      <c r="B40" s="1" t="n">
        <v>45804.64479166667</v>
      </c>
      <c r="C40" s="1" t="n">
        <v>45975</v>
      </c>
      <c r="D40" t="inlineStr">
        <is>
          <t>ÖSTERGÖTLANDS LÄN</t>
        </is>
      </c>
      <c r="E40" t="inlineStr">
        <is>
          <t>LINKÖPING</t>
        </is>
      </c>
      <c r="G40" t="n">
        <v>4.5</v>
      </c>
      <c r="H40" t="n">
        <v>2</v>
      </c>
      <c r="I40" t="n">
        <v>0</v>
      </c>
      <c r="J40" t="n">
        <v>1</v>
      </c>
      <c r="K40" t="n">
        <v>0</v>
      </c>
      <c r="L40" t="n">
        <v>0</v>
      </c>
      <c r="M40" t="n">
        <v>0</v>
      </c>
      <c r="N40" t="n">
        <v>0</v>
      </c>
      <c r="O40" t="n">
        <v>1</v>
      </c>
      <c r="P40" t="n">
        <v>0</v>
      </c>
      <c r="Q40" t="n">
        <v>2</v>
      </c>
      <c r="R40" s="2" t="inlineStr">
        <is>
          <t>Spillkråka
Revlummer</t>
        </is>
      </c>
      <c r="S40">
        <f>HYPERLINK("https://klasma.github.io/Logging_0580/artfynd/A 25985-2025 artfynd.xlsx", "A 25985-2025")</f>
        <v/>
      </c>
      <c r="T40">
        <f>HYPERLINK("https://klasma.github.io/Logging_0580/kartor/A 25985-2025 karta.png", "A 25985-2025")</f>
        <v/>
      </c>
      <c r="V40">
        <f>HYPERLINK("https://klasma.github.io/Logging_0580/klagomål/A 25985-2025 FSC-klagomål.docx", "A 25985-2025")</f>
        <v/>
      </c>
      <c r="W40">
        <f>HYPERLINK("https://klasma.github.io/Logging_0580/klagomålsmail/A 25985-2025 FSC-klagomål mail.docx", "A 25985-2025")</f>
        <v/>
      </c>
      <c r="X40">
        <f>HYPERLINK("https://klasma.github.io/Logging_0580/tillsyn/A 25985-2025 tillsynsbegäran.docx", "A 25985-2025")</f>
        <v/>
      </c>
      <c r="Y40">
        <f>HYPERLINK("https://klasma.github.io/Logging_0580/tillsynsmail/A 25985-2025 tillsynsbegäran mail.docx", "A 25985-2025")</f>
        <v/>
      </c>
      <c r="Z40">
        <f>HYPERLINK("https://klasma.github.io/Logging_0580/fåglar/A 25985-2025 prioriterade fågelarter.docx", "A 25985-2025")</f>
        <v/>
      </c>
    </row>
    <row r="41" ht="15" customHeight="1">
      <c r="A41" t="inlineStr">
        <is>
          <t>A 55344-2024</t>
        </is>
      </c>
      <c r="B41" s="1" t="n">
        <v>45621.7202662037</v>
      </c>
      <c r="C41" s="1" t="n">
        <v>45975</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38129-2021</t>
        </is>
      </c>
      <c r="B42" s="1" t="n">
        <v>44405.37199074074</v>
      </c>
      <c r="C42" s="1" t="n">
        <v>45975</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17513-2022</t>
        </is>
      </c>
      <c r="B43" s="1" t="n">
        <v>44679</v>
      </c>
      <c r="C43" s="1" t="n">
        <v>45975</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43017-2021</t>
        </is>
      </c>
      <c r="B44" s="1" t="n">
        <v>44431</v>
      </c>
      <c r="C44" s="1" t="n">
        <v>45975</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14096-2021</t>
        </is>
      </c>
      <c r="B45" s="1" t="n">
        <v>44278</v>
      </c>
      <c r="C45" s="1" t="n">
        <v>45975</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71127-2021</t>
        </is>
      </c>
      <c r="B46" s="1" t="n">
        <v>44537</v>
      </c>
      <c r="C46" s="1" t="n">
        <v>45975</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56250-2021</t>
        </is>
      </c>
      <c r="B47" s="1" t="n">
        <v>44479</v>
      </c>
      <c r="C47" s="1" t="n">
        <v>45975</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46496-2022</t>
        </is>
      </c>
      <c r="B48" s="1" t="n">
        <v>44848</v>
      </c>
      <c r="C48" s="1" t="n">
        <v>45975</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1716-2023</t>
        </is>
      </c>
      <c r="B49" s="1" t="n">
        <v>44938</v>
      </c>
      <c r="C49" s="1" t="n">
        <v>45975</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17389-2021</t>
        </is>
      </c>
      <c r="B50" s="1" t="n">
        <v>44298.96792824074</v>
      </c>
      <c r="C50" s="1" t="n">
        <v>45975</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54835-2023</t>
        </is>
      </c>
      <c r="B51" s="1" t="n">
        <v>45236</v>
      </c>
      <c r="C51" s="1" t="n">
        <v>45975</v>
      </c>
      <c r="D51" t="inlineStr">
        <is>
          <t>ÖSTERGÖTLANDS LÄN</t>
        </is>
      </c>
      <c r="E51" t="inlineStr">
        <is>
          <t>LINKÖPING</t>
        </is>
      </c>
      <c r="G51" t="n">
        <v>2</v>
      </c>
      <c r="H51" t="n">
        <v>1</v>
      </c>
      <c r="I51" t="n">
        <v>0</v>
      </c>
      <c r="J51" t="n">
        <v>0</v>
      </c>
      <c r="K51" t="n">
        <v>0</v>
      </c>
      <c r="L51" t="n">
        <v>0</v>
      </c>
      <c r="M51" t="n">
        <v>0</v>
      </c>
      <c r="N51" t="n">
        <v>0</v>
      </c>
      <c r="O51" t="n">
        <v>0</v>
      </c>
      <c r="P51" t="n">
        <v>0</v>
      </c>
      <c r="Q51" t="n">
        <v>1</v>
      </c>
      <c r="R51" s="2" t="inlineStr">
        <is>
          <t>Sparvuggla</t>
        </is>
      </c>
      <c r="S51">
        <f>HYPERLINK("https://klasma.github.io/Logging_0580/artfynd/A 54835-2023 artfynd.xlsx", "A 54835-2023")</f>
        <v/>
      </c>
      <c r="T51">
        <f>HYPERLINK("https://klasma.github.io/Logging_0580/kartor/A 54835-2023 karta.png", "A 54835-2023")</f>
        <v/>
      </c>
      <c r="V51">
        <f>HYPERLINK("https://klasma.github.io/Logging_0580/klagomål/A 54835-2023 FSC-klagomål.docx", "A 54835-2023")</f>
        <v/>
      </c>
      <c r="W51">
        <f>HYPERLINK("https://klasma.github.io/Logging_0580/klagomålsmail/A 54835-2023 FSC-klagomål mail.docx", "A 54835-2023")</f>
        <v/>
      </c>
      <c r="X51">
        <f>HYPERLINK("https://klasma.github.io/Logging_0580/tillsyn/A 54835-2023 tillsynsbegäran.docx", "A 54835-2023")</f>
        <v/>
      </c>
      <c r="Y51">
        <f>HYPERLINK("https://klasma.github.io/Logging_0580/tillsynsmail/A 54835-2023 tillsynsbegäran mail.docx", "A 54835-2023")</f>
        <v/>
      </c>
      <c r="Z51">
        <f>HYPERLINK("https://klasma.github.io/Logging_0580/fåglar/A 54835-2023 prioriterade fågelarter.docx", "A 54835-2023")</f>
        <v/>
      </c>
    </row>
    <row r="52" ht="15" customHeight="1">
      <c r="A52" t="inlineStr">
        <is>
          <t>A 931-2025</t>
        </is>
      </c>
      <c r="B52" s="1" t="n">
        <v>45665.88498842593</v>
      </c>
      <c r="C52" s="1" t="n">
        <v>45975</v>
      </c>
      <c r="D52" t="inlineStr">
        <is>
          <t>ÖSTERGÖTLANDS LÄN</t>
        </is>
      </c>
      <c r="E52" t="inlineStr">
        <is>
          <t>LINKÖPING</t>
        </is>
      </c>
      <c r="F52" t="inlineStr">
        <is>
          <t>Övriga Aktiebolag</t>
        </is>
      </c>
      <c r="G52" t="n">
        <v>0.8</v>
      </c>
      <c r="H52" t="n">
        <v>0</v>
      </c>
      <c r="I52" t="n">
        <v>0</v>
      </c>
      <c r="J52" t="n">
        <v>1</v>
      </c>
      <c r="K52" t="n">
        <v>0</v>
      </c>
      <c r="L52" t="n">
        <v>0</v>
      </c>
      <c r="M52" t="n">
        <v>0</v>
      </c>
      <c r="N52" t="n">
        <v>0</v>
      </c>
      <c r="O52" t="n">
        <v>1</v>
      </c>
      <c r="P52" t="n">
        <v>0</v>
      </c>
      <c r="Q52" t="n">
        <v>1</v>
      </c>
      <c r="R52" s="2" t="inlineStr">
        <is>
          <t>Tallticka</t>
        </is>
      </c>
      <c r="S52">
        <f>HYPERLINK("https://klasma.github.io/Logging_0580/artfynd/A 931-2025 artfynd.xlsx", "A 931-2025")</f>
        <v/>
      </c>
      <c r="T52">
        <f>HYPERLINK("https://klasma.github.io/Logging_0580/kartor/A 931-2025 karta.png", "A 931-2025")</f>
        <v/>
      </c>
      <c r="V52">
        <f>HYPERLINK("https://klasma.github.io/Logging_0580/klagomål/A 931-2025 FSC-klagomål.docx", "A 931-2025")</f>
        <v/>
      </c>
      <c r="W52">
        <f>HYPERLINK("https://klasma.github.io/Logging_0580/klagomålsmail/A 931-2025 FSC-klagomål mail.docx", "A 931-2025")</f>
        <v/>
      </c>
      <c r="X52">
        <f>HYPERLINK("https://klasma.github.io/Logging_0580/tillsyn/A 931-2025 tillsynsbegäran.docx", "A 931-2025")</f>
        <v/>
      </c>
      <c r="Y52">
        <f>HYPERLINK("https://klasma.github.io/Logging_0580/tillsynsmail/A 931-2025 tillsynsbegäran mail.docx", "A 931-2025")</f>
        <v/>
      </c>
    </row>
    <row r="53" ht="15" customHeight="1">
      <c r="A53" t="inlineStr">
        <is>
          <t>A 34881-2023</t>
        </is>
      </c>
      <c r="B53" s="1" t="n">
        <v>45140</v>
      </c>
      <c r="C53" s="1" t="n">
        <v>45975</v>
      </c>
      <c r="D53" t="inlineStr">
        <is>
          <t>ÖSTERGÖTLANDS LÄN</t>
        </is>
      </c>
      <c r="E53" t="inlineStr">
        <is>
          <t>LINKÖPING</t>
        </is>
      </c>
      <c r="G53" t="n">
        <v>1.9</v>
      </c>
      <c r="H53" t="n">
        <v>0</v>
      </c>
      <c r="I53" t="n">
        <v>0</v>
      </c>
      <c r="J53" t="n">
        <v>1</v>
      </c>
      <c r="K53" t="n">
        <v>0</v>
      </c>
      <c r="L53" t="n">
        <v>0</v>
      </c>
      <c r="M53" t="n">
        <v>0</v>
      </c>
      <c r="N53" t="n">
        <v>0</v>
      </c>
      <c r="O53" t="n">
        <v>1</v>
      </c>
      <c r="P53" t="n">
        <v>0</v>
      </c>
      <c r="Q53" t="n">
        <v>1</v>
      </c>
      <c r="R53" s="2" t="inlineStr">
        <is>
          <t>Tallticka</t>
        </is>
      </c>
      <c r="S53">
        <f>HYPERLINK("https://klasma.github.io/Logging_0580/artfynd/A 34881-2023 artfynd.xlsx", "A 34881-2023")</f>
        <v/>
      </c>
      <c r="T53">
        <f>HYPERLINK("https://klasma.github.io/Logging_0580/kartor/A 34881-2023 karta.png", "A 34881-2023")</f>
        <v/>
      </c>
      <c r="U53">
        <f>HYPERLINK("https://klasma.github.io/Logging_0580/knärot/A 34881-2023 karta knärot.png", "A 34881-2023")</f>
        <v/>
      </c>
      <c r="V53">
        <f>HYPERLINK("https://klasma.github.io/Logging_0580/klagomål/A 34881-2023 FSC-klagomål.docx", "A 34881-2023")</f>
        <v/>
      </c>
      <c r="W53">
        <f>HYPERLINK("https://klasma.github.io/Logging_0580/klagomålsmail/A 34881-2023 FSC-klagomål mail.docx", "A 34881-2023")</f>
        <v/>
      </c>
      <c r="X53">
        <f>HYPERLINK("https://klasma.github.io/Logging_0580/tillsyn/A 34881-2023 tillsynsbegäran.docx", "A 34881-2023")</f>
        <v/>
      </c>
      <c r="Y53">
        <f>HYPERLINK("https://klasma.github.io/Logging_0580/tillsynsmail/A 34881-2023 tillsynsbegäran mail.docx", "A 34881-2023")</f>
        <v/>
      </c>
    </row>
    <row r="54" ht="15" customHeight="1">
      <c r="A54" t="inlineStr">
        <is>
          <t>A 126-2024</t>
        </is>
      </c>
      <c r="B54" s="1" t="n">
        <v>45294</v>
      </c>
      <c r="C54" s="1" t="n">
        <v>45975</v>
      </c>
      <c r="D54" t="inlineStr">
        <is>
          <t>ÖSTERGÖTLANDS LÄN</t>
        </is>
      </c>
      <c r="E54" t="inlineStr">
        <is>
          <t>LINKÖPING</t>
        </is>
      </c>
      <c r="G54" t="n">
        <v>1</v>
      </c>
      <c r="H54" t="n">
        <v>0</v>
      </c>
      <c r="I54" t="n">
        <v>1</v>
      </c>
      <c r="J54" t="n">
        <v>0</v>
      </c>
      <c r="K54" t="n">
        <v>0</v>
      </c>
      <c r="L54" t="n">
        <v>0</v>
      </c>
      <c r="M54" t="n">
        <v>0</v>
      </c>
      <c r="N54" t="n">
        <v>0</v>
      </c>
      <c r="O54" t="n">
        <v>0</v>
      </c>
      <c r="P54" t="n">
        <v>0</v>
      </c>
      <c r="Q54" t="n">
        <v>1</v>
      </c>
      <c r="R54" s="2" t="inlineStr">
        <is>
          <t>Blåmossa</t>
        </is>
      </c>
      <c r="S54">
        <f>HYPERLINK("https://klasma.github.io/Logging_0580/artfynd/A 126-2024 artfynd.xlsx", "A 126-2024")</f>
        <v/>
      </c>
      <c r="T54">
        <f>HYPERLINK("https://klasma.github.io/Logging_0580/kartor/A 126-2024 karta.png", "A 126-2024")</f>
        <v/>
      </c>
      <c r="V54">
        <f>HYPERLINK("https://klasma.github.io/Logging_0580/klagomål/A 126-2024 FSC-klagomål.docx", "A 126-2024")</f>
        <v/>
      </c>
      <c r="W54">
        <f>HYPERLINK("https://klasma.github.io/Logging_0580/klagomålsmail/A 126-2024 FSC-klagomål mail.docx", "A 126-2024")</f>
        <v/>
      </c>
      <c r="X54">
        <f>HYPERLINK("https://klasma.github.io/Logging_0580/tillsyn/A 126-2024 tillsynsbegäran.docx", "A 126-2024")</f>
        <v/>
      </c>
      <c r="Y54">
        <f>HYPERLINK("https://klasma.github.io/Logging_0580/tillsynsmail/A 126-2024 tillsynsbegäran mail.docx", "A 126-2024")</f>
        <v/>
      </c>
    </row>
    <row r="55" ht="15" customHeight="1">
      <c r="A55" t="inlineStr">
        <is>
          <t>A 40315-2024</t>
        </is>
      </c>
      <c r="B55" s="1" t="n">
        <v>45554.7571875</v>
      </c>
      <c r="C55" s="1" t="n">
        <v>45975</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1213-2023</t>
        </is>
      </c>
      <c r="B56" s="1" t="n">
        <v>44930</v>
      </c>
      <c r="C56" s="1" t="n">
        <v>45975</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3395-2023</t>
        </is>
      </c>
      <c r="B57" s="1" t="n">
        <v>44949</v>
      </c>
      <c r="C57" s="1" t="n">
        <v>45975</v>
      </c>
      <c r="D57" t="inlineStr">
        <is>
          <t>ÖSTERGÖTLANDS LÄN</t>
        </is>
      </c>
      <c r="E57" t="inlineStr">
        <is>
          <t>LINKÖPING</t>
        </is>
      </c>
      <c r="G57" t="n">
        <v>2</v>
      </c>
      <c r="H57" t="n">
        <v>0</v>
      </c>
      <c r="I57" t="n">
        <v>0</v>
      </c>
      <c r="J57" t="n">
        <v>1</v>
      </c>
      <c r="K57" t="n">
        <v>0</v>
      </c>
      <c r="L57" t="n">
        <v>0</v>
      </c>
      <c r="M57" t="n">
        <v>0</v>
      </c>
      <c r="N57" t="n">
        <v>0</v>
      </c>
      <c r="O57" t="n">
        <v>1</v>
      </c>
      <c r="P57" t="n">
        <v>0</v>
      </c>
      <c r="Q57" t="n">
        <v>1</v>
      </c>
      <c r="R57" s="2" t="inlineStr">
        <is>
          <t>Sommarfibbla</t>
        </is>
      </c>
      <c r="S57">
        <f>HYPERLINK("https://klasma.github.io/Logging_0580/artfynd/A 3395-2023 artfynd.xlsx", "A 3395-2023")</f>
        <v/>
      </c>
      <c r="T57">
        <f>HYPERLINK("https://klasma.github.io/Logging_0580/kartor/A 3395-2023 karta.png", "A 3395-2023")</f>
        <v/>
      </c>
      <c r="V57">
        <f>HYPERLINK("https://klasma.github.io/Logging_0580/klagomål/A 3395-2023 FSC-klagomål.docx", "A 3395-2023")</f>
        <v/>
      </c>
      <c r="W57">
        <f>HYPERLINK("https://klasma.github.io/Logging_0580/klagomålsmail/A 3395-2023 FSC-klagomål mail.docx", "A 3395-2023")</f>
        <v/>
      </c>
      <c r="X57">
        <f>HYPERLINK("https://klasma.github.io/Logging_0580/tillsyn/A 3395-2023 tillsynsbegäran.docx", "A 3395-2023")</f>
        <v/>
      </c>
      <c r="Y57">
        <f>HYPERLINK("https://klasma.github.io/Logging_0580/tillsynsmail/A 3395-2023 tillsynsbegäran mail.docx", "A 3395-2023")</f>
        <v/>
      </c>
    </row>
    <row r="58" ht="15" customHeight="1">
      <c r="A58" t="inlineStr">
        <is>
          <t>A 3397-2023</t>
        </is>
      </c>
      <c r="B58" s="1" t="n">
        <v>44949</v>
      </c>
      <c r="C58" s="1" t="n">
        <v>45975</v>
      </c>
      <c r="D58" t="inlineStr">
        <is>
          <t>ÖSTERGÖTLANDS LÄN</t>
        </is>
      </c>
      <c r="E58" t="inlineStr">
        <is>
          <t>LINKÖPING</t>
        </is>
      </c>
      <c r="G58" t="n">
        <v>4.1</v>
      </c>
      <c r="H58" t="n">
        <v>0</v>
      </c>
      <c r="I58" t="n">
        <v>0</v>
      </c>
      <c r="J58" t="n">
        <v>1</v>
      </c>
      <c r="K58" t="n">
        <v>0</v>
      </c>
      <c r="L58" t="n">
        <v>0</v>
      </c>
      <c r="M58" t="n">
        <v>0</v>
      </c>
      <c r="N58" t="n">
        <v>0</v>
      </c>
      <c r="O58" t="n">
        <v>1</v>
      </c>
      <c r="P58" t="n">
        <v>0</v>
      </c>
      <c r="Q58" t="n">
        <v>1</v>
      </c>
      <c r="R58" s="2" t="inlineStr">
        <is>
          <t>Svinrot</t>
        </is>
      </c>
      <c r="S58">
        <f>HYPERLINK("https://klasma.github.io/Logging_0580/artfynd/A 3397-2023 artfynd.xlsx", "A 3397-2023")</f>
        <v/>
      </c>
      <c r="T58">
        <f>HYPERLINK("https://klasma.github.io/Logging_0580/kartor/A 3397-2023 karta.png", "A 3397-2023")</f>
        <v/>
      </c>
      <c r="V58">
        <f>HYPERLINK("https://klasma.github.io/Logging_0580/klagomål/A 3397-2023 FSC-klagomål.docx", "A 3397-2023")</f>
        <v/>
      </c>
      <c r="W58">
        <f>HYPERLINK("https://klasma.github.io/Logging_0580/klagomålsmail/A 3397-2023 FSC-klagomål mail.docx", "A 3397-2023")</f>
        <v/>
      </c>
      <c r="X58">
        <f>HYPERLINK("https://klasma.github.io/Logging_0580/tillsyn/A 3397-2023 tillsynsbegäran.docx", "A 3397-2023")</f>
        <v/>
      </c>
      <c r="Y58">
        <f>HYPERLINK("https://klasma.github.io/Logging_0580/tillsynsmail/A 3397-2023 tillsynsbegäran mail.docx", "A 3397-2023")</f>
        <v/>
      </c>
    </row>
    <row r="59" ht="15" customHeight="1">
      <c r="A59" t="inlineStr">
        <is>
          <t>A 19103-2021</t>
        </is>
      </c>
      <c r="B59" s="1" t="n">
        <v>44308</v>
      </c>
      <c r="C59" s="1" t="n">
        <v>45975</v>
      </c>
      <c r="D59" t="inlineStr">
        <is>
          <t>ÖSTERGÖTLANDS LÄN</t>
        </is>
      </c>
      <c r="E59" t="inlineStr">
        <is>
          <t>LINKÖPING</t>
        </is>
      </c>
      <c r="G59" t="n">
        <v>4.7</v>
      </c>
      <c r="H59" t="n">
        <v>0</v>
      </c>
      <c r="I59" t="n">
        <v>0</v>
      </c>
      <c r="J59" t="n">
        <v>1</v>
      </c>
      <c r="K59" t="n">
        <v>0</v>
      </c>
      <c r="L59" t="n">
        <v>0</v>
      </c>
      <c r="M59" t="n">
        <v>0</v>
      </c>
      <c r="N59" t="n">
        <v>0</v>
      </c>
      <c r="O59" t="n">
        <v>1</v>
      </c>
      <c r="P59" t="n">
        <v>0</v>
      </c>
      <c r="Q59" t="n">
        <v>1</v>
      </c>
      <c r="R59" s="2" t="inlineStr">
        <is>
          <t>Tallticka</t>
        </is>
      </c>
      <c r="S59">
        <f>HYPERLINK("https://klasma.github.io/Logging_0580/artfynd/A 19103-2021 artfynd.xlsx", "A 19103-2021")</f>
        <v/>
      </c>
      <c r="T59">
        <f>HYPERLINK("https://klasma.github.io/Logging_0580/kartor/A 19103-2021 karta.png", "A 19103-2021")</f>
        <v/>
      </c>
      <c r="V59">
        <f>HYPERLINK("https://klasma.github.io/Logging_0580/klagomål/A 19103-2021 FSC-klagomål.docx", "A 19103-2021")</f>
        <v/>
      </c>
      <c r="W59">
        <f>HYPERLINK("https://klasma.github.io/Logging_0580/klagomålsmail/A 19103-2021 FSC-klagomål mail.docx", "A 19103-2021")</f>
        <v/>
      </c>
      <c r="X59">
        <f>HYPERLINK("https://klasma.github.io/Logging_0580/tillsyn/A 19103-2021 tillsynsbegäran.docx", "A 19103-2021")</f>
        <v/>
      </c>
      <c r="Y59">
        <f>HYPERLINK("https://klasma.github.io/Logging_0580/tillsynsmail/A 19103-2021 tillsynsbegäran mail.docx", "A 19103-2021")</f>
        <v/>
      </c>
    </row>
    <row r="60" ht="15" customHeight="1">
      <c r="A60" t="inlineStr">
        <is>
          <t>A 45317-2023</t>
        </is>
      </c>
      <c r="B60" s="1" t="n">
        <v>45191.74868055555</v>
      </c>
      <c r="C60" s="1" t="n">
        <v>45975</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20295-2025</t>
        </is>
      </c>
      <c r="B61" s="1" t="n">
        <v>45774.74846064814</v>
      </c>
      <c r="C61" s="1" t="n">
        <v>45975</v>
      </c>
      <c r="D61" t="inlineStr">
        <is>
          <t>ÖSTERGÖTLANDS LÄN</t>
        </is>
      </c>
      <c r="E61" t="inlineStr">
        <is>
          <t>LINKÖPING</t>
        </is>
      </c>
      <c r="G61" t="n">
        <v>3</v>
      </c>
      <c r="H61" t="n">
        <v>0</v>
      </c>
      <c r="I61" t="n">
        <v>0</v>
      </c>
      <c r="J61" t="n">
        <v>1</v>
      </c>
      <c r="K61" t="n">
        <v>0</v>
      </c>
      <c r="L61" t="n">
        <v>0</v>
      </c>
      <c r="M61" t="n">
        <v>0</v>
      </c>
      <c r="N61" t="n">
        <v>0</v>
      </c>
      <c r="O61" t="n">
        <v>1</v>
      </c>
      <c r="P61" t="n">
        <v>0</v>
      </c>
      <c r="Q61" t="n">
        <v>1</v>
      </c>
      <c r="R61" s="2" t="inlineStr">
        <is>
          <t>Tallticka</t>
        </is>
      </c>
      <c r="S61">
        <f>HYPERLINK("https://klasma.github.io/Logging_0580/artfynd/A 20295-2025 artfynd.xlsx", "A 20295-2025")</f>
        <v/>
      </c>
      <c r="T61">
        <f>HYPERLINK("https://klasma.github.io/Logging_0580/kartor/A 20295-2025 karta.png", "A 20295-2025")</f>
        <v/>
      </c>
      <c r="V61">
        <f>HYPERLINK("https://klasma.github.io/Logging_0580/klagomål/A 20295-2025 FSC-klagomål.docx", "A 20295-2025")</f>
        <v/>
      </c>
      <c r="W61">
        <f>HYPERLINK("https://klasma.github.io/Logging_0580/klagomålsmail/A 20295-2025 FSC-klagomål mail.docx", "A 20295-2025")</f>
        <v/>
      </c>
      <c r="X61">
        <f>HYPERLINK("https://klasma.github.io/Logging_0580/tillsyn/A 20295-2025 tillsynsbegäran.docx", "A 20295-2025")</f>
        <v/>
      </c>
      <c r="Y61">
        <f>HYPERLINK("https://klasma.github.io/Logging_0580/tillsynsmail/A 20295-2025 tillsynsbegäran mail.docx", "A 20295-2025")</f>
        <v/>
      </c>
    </row>
    <row r="62" ht="15" customHeight="1">
      <c r="A62" t="inlineStr">
        <is>
          <t>A 37683-2024</t>
        </is>
      </c>
      <c r="B62" s="1" t="n">
        <v>45541.59120370371</v>
      </c>
      <c r="C62" s="1" t="n">
        <v>45975</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35948-2023</t>
        </is>
      </c>
      <c r="B63" s="1" t="n">
        <v>45148</v>
      </c>
      <c r="C63" s="1" t="n">
        <v>45975</v>
      </c>
      <c r="D63" t="inlineStr">
        <is>
          <t>ÖSTERGÖTLANDS LÄN</t>
        </is>
      </c>
      <c r="E63" t="inlineStr">
        <is>
          <t>LINKÖPING</t>
        </is>
      </c>
      <c r="G63" t="n">
        <v>1.9</v>
      </c>
      <c r="H63" t="n">
        <v>0</v>
      </c>
      <c r="I63" t="n">
        <v>1</v>
      </c>
      <c r="J63" t="n">
        <v>0</v>
      </c>
      <c r="K63" t="n">
        <v>0</v>
      </c>
      <c r="L63" t="n">
        <v>0</v>
      </c>
      <c r="M63" t="n">
        <v>0</v>
      </c>
      <c r="N63" t="n">
        <v>0</v>
      </c>
      <c r="O63" t="n">
        <v>0</v>
      </c>
      <c r="P63" t="n">
        <v>0</v>
      </c>
      <c r="Q63" t="n">
        <v>1</v>
      </c>
      <c r="R63" s="2" t="inlineStr">
        <is>
          <t>Brun nållav</t>
        </is>
      </c>
      <c r="S63">
        <f>HYPERLINK("https://klasma.github.io/Logging_0580/artfynd/A 35948-2023 artfynd.xlsx", "A 35948-2023")</f>
        <v/>
      </c>
      <c r="T63">
        <f>HYPERLINK("https://klasma.github.io/Logging_0580/kartor/A 35948-2023 karta.png", "A 35948-2023")</f>
        <v/>
      </c>
      <c r="V63">
        <f>HYPERLINK("https://klasma.github.io/Logging_0580/klagomål/A 35948-2023 FSC-klagomål.docx", "A 35948-2023")</f>
        <v/>
      </c>
      <c r="W63">
        <f>HYPERLINK("https://klasma.github.io/Logging_0580/klagomålsmail/A 35948-2023 FSC-klagomål mail.docx", "A 35948-2023")</f>
        <v/>
      </c>
      <c r="X63">
        <f>HYPERLINK("https://klasma.github.io/Logging_0580/tillsyn/A 35948-2023 tillsynsbegäran.docx", "A 35948-2023")</f>
        <v/>
      </c>
      <c r="Y63">
        <f>HYPERLINK("https://klasma.github.io/Logging_0580/tillsynsmail/A 35948-2023 tillsynsbegäran mail.docx", "A 35948-2023")</f>
        <v/>
      </c>
    </row>
    <row r="64" ht="15" customHeight="1">
      <c r="A64" t="inlineStr">
        <is>
          <t>A 50471-2024</t>
        </is>
      </c>
      <c r="B64" s="1" t="n">
        <v>45601.47166666666</v>
      </c>
      <c r="C64" s="1" t="n">
        <v>45975</v>
      </c>
      <c r="D64" t="inlineStr">
        <is>
          <t>ÖSTERGÖTLANDS LÄN</t>
        </is>
      </c>
      <c r="E64" t="inlineStr">
        <is>
          <t>LINKÖPING</t>
        </is>
      </c>
      <c r="F64" t="inlineStr">
        <is>
          <t>Övriga Aktiebolag</t>
        </is>
      </c>
      <c r="G64" t="n">
        <v>2</v>
      </c>
      <c r="H64" t="n">
        <v>0</v>
      </c>
      <c r="I64" t="n">
        <v>1</v>
      </c>
      <c r="J64" t="n">
        <v>0</v>
      </c>
      <c r="K64" t="n">
        <v>0</v>
      </c>
      <c r="L64" t="n">
        <v>0</v>
      </c>
      <c r="M64" t="n">
        <v>0</v>
      </c>
      <c r="N64" t="n">
        <v>0</v>
      </c>
      <c r="O64" t="n">
        <v>0</v>
      </c>
      <c r="P64" t="n">
        <v>0</v>
      </c>
      <c r="Q64" t="n">
        <v>1</v>
      </c>
      <c r="R64" s="2" t="inlineStr">
        <is>
          <t>Västlig hakmossa</t>
        </is>
      </c>
      <c r="S64">
        <f>HYPERLINK("https://klasma.github.io/Logging_0580/artfynd/A 50471-2024 artfynd.xlsx", "A 50471-2024")</f>
        <v/>
      </c>
      <c r="T64">
        <f>HYPERLINK("https://klasma.github.io/Logging_0580/kartor/A 50471-2024 karta.png", "A 50471-2024")</f>
        <v/>
      </c>
      <c r="V64">
        <f>HYPERLINK("https://klasma.github.io/Logging_0580/klagomål/A 50471-2024 FSC-klagomål.docx", "A 50471-2024")</f>
        <v/>
      </c>
      <c r="W64">
        <f>HYPERLINK("https://klasma.github.io/Logging_0580/klagomålsmail/A 50471-2024 FSC-klagomål mail.docx", "A 50471-2024")</f>
        <v/>
      </c>
      <c r="X64">
        <f>HYPERLINK("https://klasma.github.io/Logging_0580/tillsyn/A 50471-2024 tillsynsbegäran.docx", "A 50471-2024")</f>
        <v/>
      </c>
      <c r="Y64">
        <f>HYPERLINK("https://klasma.github.io/Logging_0580/tillsynsmail/A 50471-2024 tillsynsbegäran mail.docx", "A 50471-2024")</f>
        <v/>
      </c>
    </row>
    <row r="65" ht="15" customHeight="1">
      <c r="A65" t="inlineStr">
        <is>
          <t>A 50806-2023</t>
        </is>
      </c>
      <c r="B65" s="1" t="n">
        <v>45217</v>
      </c>
      <c r="C65" s="1" t="n">
        <v>45975</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22526-2025</t>
        </is>
      </c>
      <c r="B66" s="1" t="n">
        <v>45786.78096064815</v>
      </c>
      <c r="C66" s="1" t="n">
        <v>45975</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 skogslilja</t>
        </is>
      </c>
      <c r="S66">
        <f>HYPERLINK("https://klasma.github.io/Logging_0580/artfynd/A 22526-2025 artfynd.xlsx", "A 22526-2025")</f>
        <v/>
      </c>
      <c r="T66">
        <f>HYPERLINK("https://klasma.github.io/Logging_0580/kartor/A 22526-2025 karta.png", "A 22526-2025")</f>
        <v/>
      </c>
      <c r="V66">
        <f>HYPERLINK("https://klasma.github.io/Logging_0580/klagomål/A 22526-2025 FSC-klagomål.docx", "A 22526-2025")</f>
        <v/>
      </c>
      <c r="W66">
        <f>HYPERLINK("https://klasma.github.io/Logging_0580/klagomålsmail/A 22526-2025 FSC-klagomål mail.docx", "A 22526-2025")</f>
        <v/>
      </c>
      <c r="X66">
        <f>HYPERLINK("https://klasma.github.io/Logging_0580/tillsyn/A 22526-2025 tillsynsbegäran.docx", "A 22526-2025")</f>
        <v/>
      </c>
      <c r="Y66">
        <f>HYPERLINK("https://klasma.github.io/Logging_0580/tillsynsmail/A 22526-2025 tillsynsbegäran mail.docx", "A 22526-2025")</f>
        <v/>
      </c>
    </row>
    <row r="67" ht="15" customHeight="1">
      <c r="A67" t="inlineStr">
        <is>
          <t>A 60573-2021</t>
        </is>
      </c>
      <c r="B67" s="1" t="n">
        <v>44496</v>
      </c>
      <c r="C67" s="1" t="n">
        <v>45975</v>
      </c>
      <c r="D67" t="inlineStr">
        <is>
          <t>ÖSTERGÖTLANDS LÄN</t>
        </is>
      </c>
      <c r="E67" t="inlineStr">
        <is>
          <t>LINKÖPING</t>
        </is>
      </c>
      <c r="F67" t="inlineStr">
        <is>
          <t>Övriga Aktiebolag</t>
        </is>
      </c>
      <c r="G67" t="n">
        <v>5.6</v>
      </c>
      <c r="H67" t="n">
        <v>0</v>
      </c>
      <c r="I67" t="n">
        <v>0</v>
      </c>
      <c r="J67" t="n">
        <v>1</v>
      </c>
      <c r="K67" t="n">
        <v>0</v>
      </c>
      <c r="L67" t="n">
        <v>0</v>
      </c>
      <c r="M67" t="n">
        <v>0</v>
      </c>
      <c r="N67" t="n">
        <v>0</v>
      </c>
      <c r="O67" t="n">
        <v>1</v>
      </c>
      <c r="P67" t="n">
        <v>0</v>
      </c>
      <c r="Q67" t="n">
        <v>1</v>
      </c>
      <c r="R67" s="2" t="inlineStr">
        <is>
          <t>Sommarfibbla</t>
        </is>
      </c>
      <c r="S67">
        <f>HYPERLINK("https://klasma.github.io/Logging_0580/artfynd/A 60573-2021 artfynd.xlsx", "A 60573-2021")</f>
        <v/>
      </c>
      <c r="T67">
        <f>HYPERLINK("https://klasma.github.io/Logging_0580/kartor/A 60573-2021 karta.png", "A 60573-2021")</f>
        <v/>
      </c>
      <c r="V67">
        <f>HYPERLINK("https://klasma.github.io/Logging_0580/klagomål/A 60573-2021 FSC-klagomål.docx", "A 60573-2021")</f>
        <v/>
      </c>
      <c r="W67">
        <f>HYPERLINK("https://klasma.github.io/Logging_0580/klagomålsmail/A 60573-2021 FSC-klagomål mail.docx", "A 60573-2021")</f>
        <v/>
      </c>
      <c r="X67">
        <f>HYPERLINK("https://klasma.github.io/Logging_0580/tillsyn/A 60573-2021 tillsynsbegäran.docx", "A 60573-2021")</f>
        <v/>
      </c>
      <c r="Y67">
        <f>HYPERLINK("https://klasma.github.io/Logging_0580/tillsynsmail/A 60573-2021 tillsynsbegäran mail.docx", "A 60573-2021")</f>
        <v/>
      </c>
    </row>
    <row r="68" ht="15" customHeight="1">
      <c r="A68" t="inlineStr">
        <is>
          <t>A 41749-2023</t>
        </is>
      </c>
      <c r="B68" s="1" t="n">
        <v>45176</v>
      </c>
      <c r="C68" s="1" t="n">
        <v>45975</v>
      </c>
      <c r="D68" t="inlineStr">
        <is>
          <t>ÖSTERGÖTLANDS LÄN</t>
        </is>
      </c>
      <c r="E68" t="inlineStr">
        <is>
          <t>LINKÖPING</t>
        </is>
      </c>
      <c r="G68" t="n">
        <v>3.6</v>
      </c>
      <c r="H68" t="n">
        <v>0</v>
      </c>
      <c r="I68" t="n">
        <v>0</v>
      </c>
      <c r="J68" t="n">
        <v>1</v>
      </c>
      <c r="K68" t="n">
        <v>0</v>
      </c>
      <c r="L68" t="n">
        <v>0</v>
      </c>
      <c r="M68" t="n">
        <v>0</v>
      </c>
      <c r="N68" t="n">
        <v>0</v>
      </c>
      <c r="O68" t="n">
        <v>1</v>
      </c>
      <c r="P68" t="n">
        <v>0</v>
      </c>
      <c r="Q68" t="n">
        <v>1</v>
      </c>
      <c r="R68" s="2" t="inlineStr">
        <is>
          <t>Svinrot</t>
        </is>
      </c>
      <c r="S68">
        <f>HYPERLINK("https://klasma.github.io/Logging_0580/artfynd/A 41749-2023 artfynd.xlsx", "A 41749-2023")</f>
        <v/>
      </c>
      <c r="T68">
        <f>HYPERLINK("https://klasma.github.io/Logging_0580/kartor/A 41749-2023 karta.png", "A 41749-2023")</f>
        <v/>
      </c>
      <c r="V68">
        <f>HYPERLINK("https://klasma.github.io/Logging_0580/klagomål/A 41749-2023 FSC-klagomål.docx", "A 41749-2023")</f>
        <v/>
      </c>
      <c r="W68">
        <f>HYPERLINK("https://klasma.github.io/Logging_0580/klagomålsmail/A 41749-2023 FSC-klagomål mail.docx", "A 41749-2023")</f>
        <v/>
      </c>
      <c r="X68">
        <f>HYPERLINK("https://klasma.github.io/Logging_0580/tillsyn/A 41749-2023 tillsynsbegäran.docx", "A 41749-2023")</f>
        <v/>
      </c>
      <c r="Y68">
        <f>HYPERLINK("https://klasma.github.io/Logging_0580/tillsynsmail/A 41749-2023 tillsynsbegäran mail.docx", "A 41749-2023")</f>
        <v/>
      </c>
    </row>
    <row r="69" ht="15" customHeight="1">
      <c r="A69" t="inlineStr">
        <is>
          <t>A 56651-2023</t>
        </is>
      </c>
      <c r="B69" s="1" t="n">
        <v>45243</v>
      </c>
      <c r="C69" s="1" t="n">
        <v>45975</v>
      </c>
      <c r="D69" t="inlineStr">
        <is>
          <t>ÖSTERGÖTLANDS LÄN</t>
        </is>
      </c>
      <c r="E69" t="inlineStr">
        <is>
          <t>LINKÖPING</t>
        </is>
      </c>
      <c r="F69" t="inlineStr">
        <is>
          <t>Övriga Aktiebolag</t>
        </is>
      </c>
      <c r="G69" t="n">
        <v>2.3</v>
      </c>
      <c r="H69" t="n">
        <v>0</v>
      </c>
      <c r="I69" t="n">
        <v>0</v>
      </c>
      <c r="J69" t="n">
        <v>1</v>
      </c>
      <c r="K69" t="n">
        <v>0</v>
      </c>
      <c r="L69" t="n">
        <v>0</v>
      </c>
      <c r="M69" t="n">
        <v>0</v>
      </c>
      <c r="N69" t="n">
        <v>0</v>
      </c>
      <c r="O69" t="n">
        <v>1</v>
      </c>
      <c r="P69" t="n">
        <v>0</v>
      </c>
      <c r="Q69" t="n">
        <v>1</v>
      </c>
      <c r="R69" s="2" t="inlineStr">
        <is>
          <t>Gul dropplav</t>
        </is>
      </c>
      <c r="S69">
        <f>HYPERLINK("https://klasma.github.io/Logging_0580/artfynd/A 56651-2023 artfynd.xlsx", "A 56651-2023")</f>
        <v/>
      </c>
      <c r="T69">
        <f>HYPERLINK("https://klasma.github.io/Logging_0580/kartor/A 56651-2023 karta.png", "A 56651-2023")</f>
        <v/>
      </c>
      <c r="V69">
        <f>HYPERLINK("https://klasma.github.io/Logging_0580/klagomål/A 56651-2023 FSC-klagomål.docx", "A 56651-2023")</f>
        <v/>
      </c>
      <c r="W69">
        <f>HYPERLINK("https://klasma.github.io/Logging_0580/klagomålsmail/A 56651-2023 FSC-klagomål mail.docx", "A 56651-2023")</f>
        <v/>
      </c>
      <c r="X69">
        <f>HYPERLINK("https://klasma.github.io/Logging_0580/tillsyn/A 56651-2023 tillsynsbegäran.docx", "A 56651-2023")</f>
        <v/>
      </c>
      <c r="Y69">
        <f>HYPERLINK("https://klasma.github.io/Logging_0580/tillsynsmail/A 56651-2023 tillsynsbegäran mail.docx", "A 56651-2023")</f>
        <v/>
      </c>
    </row>
    <row r="70" ht="15" customHeight="1">
      <c r="A70" t="inlineStr">
        <is>
          <t>A 59948-2022</t>
        </is>
      </c>
      <c r="B70" s="1" t="n">
        <v>44909</v>
      </c>
      <c r="C70" s="1" t="n">
        <v>45975</v>
      </c>
      <c r="D70" t="inlineStr">
        <is>
          <t>ÖSTERGÖTLANDS LÄN</t>
        </is>
      </c>
      <c r="E70" t="inlineStr">
        <is>
          <t>LINKÖPING</t>
        </is>
      </c>
      <c r="G70" t="n">
        <v>6.7</v>
      </c>
      <c r="H70" t="n">
        <v>0</v>
      </c>
      <c r="I70" t="n">
        <v>0</v>
      </c>
      <c r="J70" t="n">
        <v>0</v>
      </c>
      <c r="K70" t="n">
        <v>0</v>
      </c>
      <c r="L70" t="n">
        <v>0</v>
      </c>
      <c r="M70" t="n">
        <v>1</v>
      </c>
      <c r="N70" t="n">
        <v>0</v>
      </c>
      <c r="O70" t="n">
        <v>1</v>
      </c>
      <c r="P70" t="n">
        <v>1</v>
      </c>
      <c r="Q70" t="n">
        <v>1</v>
      </c>
      <c r="R70" s="2" t="inlineStr">
        <is>
          <t>Skogsalm</t>
        </is>
      </c>
      <c r="S70">
        <f>HYPERLINK("https://klasma.github.io/Logging_0580/artfynd/A 59948-2022 artfynd.xlsx", "A 59948-2022")</f>
        <v/>
      </c>
      <c r="T70">
        <f>HYPERLINK("https://klasma.github.io/Logging_0580/kartor/A 59948-2022 karta.png", "A 59948-2022")</f>
        <v/>
      </c>
      <c r="V70">
        <f>HYPERLINK("https://klasma.github.io/Logging_0580/klagomål/A 59948-2022 FSC-klagomål.docx", "A 59948-2022")</f>
        <v/>
      </c>
      <c r="W70">
        <f>HYPERLINK("https://klasma.github.io/Logging_0580/klagomålsmail/A 59948-2022 FSC-klagomål mail.docx", "A 59948-2022")</f>
        <v/>
      </c>
      <c r="X70">
        <f>HYPERLINK("https://klasma.github.io/Logging_0580/tillsyn/A 59948-2022 tillsynsbegäran.docx", "A 59948-2022")</f>
        <v/>
      </c>
      <c r="Y70">
        <f>HYPERLINK("https://klasma.github.io/Logging_0580/tillsynsmail/A 59948-2022 tillsynsbegäran mail.docx", "A 59948-2022")</f>
        <v/>
      </c>
    </row>
    <row r="71" ht="15" customHeight="1">
      <c r="A71" t="inlineStr">
        <is>
          <t>A 62071-2023</t>
        </is>
      </c>
      <c r="B71" s="1" t="n">
        <v>45266.73542824074</v>
      </c>
      <c r="C71" s="1" t="n">
        <v>45975</v>
      </c>
      <c r="D71" t="inlineStr">
        <is>
          <t>ÖSTERGÖTLANDS LÄN</t>
        </is>
      </c>
      <c r="E71" t="inlineStr">
        <is>
          <t>LINKÖPING</t>
        </is>
      </c>
      <c r="G71" t="n">
        <v>6.5</v>
      </c>
      <c r="H71" t="n">
        <v>0</v>
      </c>
      <c r="I71" t="n">
        <v>0</v>
      </c>
      <c r="J71" t="n">
        <v>1</v>
      </c>
      <c r="K71" t="n">
        <v>0</v>
      </c>
      <c r="L71" t="n">
        <v>0</v>
      </c>
      <c r="M71" t="n">
        <v>0</v>
      </c>
      <c r="N71" t="n">
        <v>0</v>
      </c>
      <c r="O71" t="n">
        <v>1</v>
      </c>
      <c r="P71" t="n">
        <v>0</v>
      </c>
      <c r="Q71" t="n">
        <v>1</v>
      </c>
      <c r="R71" s="2" t="inlineStr">
        <is>
          <t>Svinrot</t>
        </is>
      </c>
      <c r="S71">
        <f>HYPERLINK("https://klasma.github.io/Logging_0580/artfynd/A 62071-2023 artfynd.xlsx", "A 62071-2023")</f>
        <v/>
      </c>
      <c r="T71">
        <f>HYPERLINK("https://klasma.github.io/Logging_0580/kartor/A 62071-2023 karta.png", "A 62071-2023")</f>
        <v/>
      </c>
      <c r="V71">
        <f>HYPERLINK("https://klasma.github.io/Logging_0580/klagomål/A 62071-2023 FSC-klagomål.docx", "A 62071-2023")</f>
        <v/>
      </c>
      <c r="W71">
        <f>HYPERLINK("https://klasma.github.io/Logging_0580/klagomålsmail/A 62071-2023 FSC-klagomål mail.docx", "A 62071-2023")</f>
        <v/>
      </c>
      <c r="X71">
        <f>HYPERLINK("https://klasma.github.io/Logging_0580/tillsyn/A 62071-2023 tillsynsbegäran.docx", "A 62071-2023")</f>
        <v/>
      </c>
      <c r="Y71">
        <f>HYPERLINK("https://klasma.github.io/Logging_0580/tillsynsmail/A 62071-2023 tillsynsbegäran mail.docx", "A 62071-2023")</f>
        <v/>
      </c>
    </row>
    <row r="72" ht="15" customHeight="1">
      <c r="A72" t="inlineStr">
        <is>
          <t>A 90-2024</t>
        </is>
      </c>
      <c r="B72" s="1" t="n">
        <v>45293</v>
      </c>
      <c r="C72" s="1" t="n">
        <v>45975</v>
      </c>
      <c r="D72" t="inlineStr">
        <is>
          <t>ÖSTERGÖTLANDS LÄN</t>
        </is>
      </c>
      <c r="E72" t="inlineStr">
        <is>
          <t>LINKÖPING</t>
        </is>
      </c>
      <c r="G72" t="n">
        <v>1.8</v>
      </c>
      <c r="H72" t="n">
        <v>0</v>
      </c>
      <c r="I72" t="n">
        <v>1</v>
      </c>
      <c r="J72" t="n">
        <v>0</v>
      </c>
      <c r="K72" t="n">
        <v>0</v>
      </c>
      <c r="L72" t="n">
        <v>0</v>
      </c>
      <c r="M72" t="n">
        <v>0</v>
      </c>
      <c r="N72" t="n">
        <v>0</v>
      </c>
      <c r="O72" t="n">
        <v>0</v>
      </c>
      <c r="P72" t="n">
        <v>0</v>
      </c>
      <c r="Q72" t="n">
        <v>1</v>
      </c>
      <c r="R72" s="2" t="inlineStr">
        <is>
          <t>Grov fjädermossa</t>
        </is>
      </c>
      <c r="S72">
        <f>HYPERLINK("https://klasma.github.io/Logging_0580/artfynd/A 90-2024 artfynd.xlsx", "A 90-2024")</f>
        <v/>
      </c>
      <c r="T72">
        <f>HYPERLINK("https://klasma.github.io/Logging_0580/kartor/A 90-2024 karta.png", "A 90-2024")</f>
        <v/>
      </c>
      <c r="V72">
        <f>HYPERLINK("https://klasma.github.io/Logging_0580/klagomål/A 90-2024 FSC-klagomål.docx", "A 90-2024")</f>
        <v/>
      </c>
      <c r="W72">
        <f>HYPERLINK("https://klasma.github.io/Logging_0580/klagomålsmail/A 90-2024 FSC-klagomål mail.docx", "A 90-2024")</f>
        <v/>
      </c>
      <c r="X72">
        <f>HYPERLINK("https://klasma.github.io/Logging_0580/tillsyn/A 90-2024 tillsynsbegäran.docx", "A 90-2024")</f>
        <v/>
      </c>
      <c r="Y72">
        <f>HYPERLINK("https://klasma.github.io/Logging_0580/tillsynsmail/A 90-2024 tillsynsbegäran mail.docx", "A 90-2024")</f>
        <v/>
      </c>
    </row>
    <row r="73" ht="15" customHeight="1">
      <c r="A73" t="inlineStr">
        <is>
          <t>A 27403-2025</t>
        </is>
      </c>
      <c r="B73" s="1" t="n">
        <v>45812.72518518518</v>
      </c>
      <c r="C73" s="1" t="n">
        <v>45975</v>
      </c>
      <c r="D73" t="inlineStr">
        <is>
          <t>ÖSTERGÖTLANDS LÄN</t>
        </is>
      </c>
      <c r="E73" t="inlineStr">
        <is>
          <t>LINKÖPING</t>
        </is>
      </c>
      <c r="G73" t="n">
        <v>1.4</v>
      </c>
      <c r="H73" t="n">
        <v>0</v>
      </c>
      <c r="I73" t="n">
        <v>0</v>
      </c>
      <c r="J73" t="n">
        <v>1</v>
      </c>
      <c r="K73" t="n">
        <v>0</v>
      </c>
      <c r="L73" t="n">
        <v>0</v>
      </c>
      <c r="M73" t="n">
        <v>0</v>
      </c>
      <c r="N73" t="n">
        <v>0</v>
      </c>
      <c r="O73" t="n">
        <v>1</v>
      </c>
      <c r="P73" t="n">
        <v>0</v>
      </c>
      <c r="Q73" t="n">
        <v>1</v>
      </c>
      <c r="R73" s="2" t="inlineStr">
        <is>
          <t>Tallticka</t>
        </is>
      </c>
      <c r="S73">
        <f>HYPERLINK("https://klasma.github.io/Logging_0580/artfynd/A 27403-2025 artfynd.xlsx", "A 27403-2025")</f>
        <v/>
      </c>
      <c r="T73">
        <f>HYPERLINK("https://klasma.github.io/Logging_0580/kartor/A 27403-2025 karta.png", "A 27403-2025")</f>
        <v/>
      </c>
      <c r="V73">
        <f>HYPERLINK("https://klasma.github.io/Logging_0580/klagomål/A 27403-2025 FSC-klagomål.docx", "A 27403-2025")</f>
        <v/>
      </c>
      <c r="W73">
        <f>HYPERLINK("https://klasma.github.io/Logging_0580/klagomålsmail/A 27403-2025 FSC-klagomål mail.docx", "A 27403-2025")</f>
        <v/>
      </c>
      <c r="X73">
        <f>HYPERLINK("https://klasma.github.io/Logging_0580/tillsyn/A 27403-2025 tillsynsbegäran.docx", "A 27403-2025")</f>
        <v/>
      </c>
      <c r="Y73">
        <f>HYPERLINK("https://klasma.github.io/Logging_0580/tillsynsmail/A 27403-2025 tillsynsbegäran mail.docx", "A 27403-2025")</f>
        <v/>
      </c>
    </row>
    <row r="74" ht="15" customHeight="1">
      <c r="A74" t="inlineStr">
        <is>
          <t>A 5911-2022</t>
        </is>
      </c>
      <c r="B74" s="1" t="n">
        <v>44597</v>
      </c>
      <c r="C74" s="1" t="n">
        <v>45975</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17444-2025</t>
        </is>
      </c>
      <c r="B75" s="1" t="n">
        <v>45757.43452546297</v>
      </c>
      <c r="C75" s="1" t="n">
        <v>45975</v>
      </c>
      <c r="D75" t="inlineStr">
        <is>
          <t>ÖSTERGÖTLANDS LÄN</t>
        </is>
      </c>
      <c r="E75" t="inlineStr">
        <is>
          <t>LINKÖPING</t>
        </is>
      </c>
      <c r="G75" t="n">
        <v>1.3</v>
      </c>
      <c r="H75" t="n">
        <v>1</v>
      </c>
      <c r="I75" t="n">
        <v>0</v>
      </c>
      <c r="J75" t="n">
        <v>1</v>
      </c>
      <c r="K75" t="n">
        <v>0</v>
      </c>
      <c r="L75" t="n">
        <v>0</v>
      </c>
      <c r="M75" t="n">
        <v>0</v>
      </c>
      <c r="N75" t="n">
        <v>0</v>
      </c>
      <c r="O75" t="n">
        <v>1</v>
      </c>
      <c r="P75" t="n">
        <v>0</v>
      </c>
      <c r="Q75" t="n">
        <v>1</v>
      </c>
      <c r="R75" s="2" t="inlineStr">
        <is>
          <t>Dårgräsfjäril</t>
        </is>
      </c>
      <c r="S75">
        <f>HYPERLINK("https://klasma.github.io/Logging_0580/artfynd/A 17444-2025 artfynd.xlsx", "A 17444-2025")</f>
        <v/>
      </c>
      <c r="T75">
        <f>HYPERLINK("https://klasma.github.io/Logging_0580/kartor/A 17444-2025 karta.png", "A 17444-2025")</f>
        <v/>
      </c>
      <c r="V75">
        <f>HYPERLINK("https://klasma.github.io/Logging_0580/klagomål/A 17444-2025 FSC-klagomål.docx", "A 17444-2025")</f>
        <v/>
      </c>
      <c r="W75">
        <f>HYPERLINK("https://klasma.github.io/Logging_0580/klagomålsmail/A 17444-2025 FSC-klagomål mail.docx", "A 17444-2025")</f>
        <v/>
      </c>
      <c r="X75">
        <f>HYPERLINK("https://klasma.github.io/Logging_0580/tillsyn/A 17444-2025 tillsynsbegäran.docx", "A 17444-2025")</f>
        <v/>
      </c>
      <c r="Y75">
        <f>HYPERLINK("https://klasma.github.io/Logging_0580/tillsynsmail/A 17444-2025 tillsynsbegäran mail.docx", "A 17444-2025")</f>
        <v/>
      </c>
    </row>
    <row r="76" ht="15" customHeight="1">
      <c r="A76" t="inlineStr">
        <is>
          <t>A 56128-2022</t>
        </is>
      </c>
      <c r="B76" s="1" t="n">
        <v>44889</v>
      </c>
      <c r="C76" s="1" t="n">
        <v>45975</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43989-2025</t>
        </is>
      </c>
      <c r="B77" s="1" t="n">
        <v>45915.44128472222</v>
      </c>
      <c r="C77" s="1" t="n">
        <v>45975</v>
      </c>
      <c r="D77" t="inlineStr">
        <is>
          <t>ÖSTERGÖTLANDS LÄN</t>
        </is>
      </c>
      <c r="E77" t="inlineStr">
        <is>
          <t>LINKÖPING</t>
        </is>
      </c>
      <c r="F77" t="inlineStr">
        <is>
          <t>Allmännings- och besparingsskogar</t>
        </is>
      </c>
      <c r="G77" t="n">
        <v>3.5</v>
      </c>
      <c r="H77" t="n">
        <v>0</v>
      </c>
      <c r="I77" t="n">
        <v>0</v>
      </c>
      <c r="J77" t="n">
        <v>1</v>
      </c>
      <c r="K77" t="n">
        <v>0</v>
      </c>
      <c r="L77" t="n">
        <v>0</v>
      </c>
      <c r="M77" t="n">
        <v>0</v>
      </c>
      <c r="N77" t="n">
        <v>0</v>
      </c>
      <c r="O77" t="n">
        <v>1</v>
      </c>
      <c r="P77" t="n">
        <v>0</v>
      </c>
      <c r="Q77" t="n">
        <v>1</v>
      </c>
      <c r="R77" s="2" t="inlineStr">
        <is>
          <t>Kavelhirs</t>
        </is>
      </c>
      <c r="S77">
        <f>HYPERLINK("https://klasma.github.io/Logging_0580/artfynd/A 43989-2025 artfynd.xlsx", "A 43989-2025")</f>
        <v/>
      </c>
      <c r="T77">
        <f>HYPERLINK("https://klasma.github.io/Logging_0580/kartor/A 43989-2025 karta.png", "A 43989-2025")</f>
        <v/>
      </c>
      <c r="V77">
        <f>HYPERLINK("https://klasma.github.io/Logging_0580/klagomål/A 43989-2025 FSC-klagomål.docx", "A 43989-2025")</f>
        <v/>
      </c>
      <c r="W77">
        <f>HYPERLINK("https://klasma.github.io/Logging_0580/klagomålsmail/A 43989-2025 FSC-klagomål mail.docx", "A 43989-2025")</f>
        <v/>
      </c>
      <c r="X77">
        <f>HYPERLINK("https://klasma.github.io/Logging_0580/tillsyn/A 43989-2025 tillsynsbegäran.docx", "A 43989-2025")</f>
        <v/>
      </c>
      <c r="Y77">
        <f>HYPERLINK("https://klasma.github.io/Logging_0580/tillsynsmail/A 43989-2025 tillsynsbegäran mail.docx", "A 43989-2025")</f>
        <v/>
      </c>
    </row>
    <row r="78" ht="15" customHeight="1">
      <c r="A78" t="inlineStr">
        <is>
          <t>A 44760-2025</t>
        </is>
      </c>
      <c r="B78" s="1" t="n">
        <v>45917.71873842592</v>
      </c>
      <c r="C78" s="1" t="n">
        <v>45975</v>
      </c>
      <c r="D78" t="inlineStr">
        <is>
          <t>ÖSTERGÖTLANDS LÄN</t>
        </is>
      </c>
      <c r="E78" t="inlineStr">
        <is>
          <t>LINKÖPING</t>
        </is>
      </c>
      <c r="G78" t="n">
        <v>0.9</v>
      </c>
      <c r="H78" t="n">
        <v>0</v>
      </c>
      <c r="I78" t="n">
        <v>0</v>
      </c>
      <c r="J78" t="n">
        <v>1</v>
      </c>
      <c r="K78" t="n">
        <v>0</v>
      </c>
      <c r="L78" t="n">
        <v>0</v>
      </c>
      <c r="M78" t="n">
        <v>0</v>
      </c>
      <c r="N78" t="n">
        <v>0</v>
      </c>
      <c r="O78" t="n">
        <v>1</v>
      </c>
      <c r="P78" t="n">
        <v>0</v>
      </c>
      <c r="Q78" t="n">
        <v>1</v>
      </c>
      <c r="R78" s="2" t="inlineStr">
        <is>
          <t>Tallticka</t>
        </is>
      </c>
      <c r="S78">
        <f>HYPERLINK("https://klasma.github.io/Logging_0580/artfynd/A 44760-2025 artfynd.xlsx", "A 44760-2025")</f>
        <v/>
      </c>
      <c r="T78">
        <f>HYPERLINK("https://klasma.github.io/Logging_0580/kartor/A 44760-2025 karta.png", "A 44760-2025")</f>
        <v/>
      </c>
      <c r="V78">
        <f>HYPERLINK("https://klasma.github.io/Logging_0580/klagomål/A 44760-2025 FSC-klagomål.docx", "A 44760-2025")</f>
        <v/>
      </c>
      <c r="W78">
        <f>HYPERLINK("https://klasma.github.io/Logging_0580/klagomålsmail/A 44760-2025 FSC-klagomål mail.docx", "A 44760-2025")</f>
        <v/>
      </c>
      <c r="X78">
        <f>HYPERLINK("https://klasma.github.io/Logging_0580/tillsyn/A 44760-2025 tillsynsbegäran.docx", "A 44760-2025")</f>
        <v/>
      </c>
      <c r="Y78">
        <f>HYPERLINK("https://klasma.github.io/Logging_0580/tillsynsmail/A 44760-2025 tillsynsbegäran mail.docx", "A 44760-2025")</f>
        <v/>
      </c>
    </row>
    <row r="79" ht="15" customHeight="1">
      <c r="A79" t="inlineStr">
        <is>
          <t>A 50034-2025</t>
        </is>
      </c>
      <c r="B79" s="1" t="n">
        <v>45941</v>
      </c>
      <c r="C79" s="1" t="n">
        <v>45975</v>
      </c>
      <c r="D79" t="inlineStr">
        <is>
          <t>ÖSTERGÖTLANDS LÄN</t>
        </is>
      </c>
      <c r="E79" t="inlineStr">
        <is>
          <t>LINKÖPING</t>
        </is>
      </c>
      <c r="G79" t="n">
        <v>6.2</v>
      </c>
      <c r="H79" t="n">
        <v>0</v>
      </c>
      <c r="I79" t="n">
        <v>0</v>
      </c>
      <c r="J79" t="n">
        <v>0</v>
      </c>
      <c r="K79" t="n">
        <v>0</v>
      </c>
      <c r="L79" t="n">
        <v>0</v>
      </c>
      <c r="M79" t="n">
        <v>1</v>
      </c>
      <c r="N79" t="n">
        <v>0</v>
      </c>
      <c r="O79" t="n">
        <v>1</v>
      </c>
      <c r="P79" t="n">
        <v>1</v>
      </c>
      <c r="Q79" t="n">
        <v>1</v>
      </c>
      <c r="R79" s="2" t="inlineStr">
        <is>
          <t>Skogsalm</t>
        </is>
      </c>
      <c r="S79">
        <f>HYPERLINK("https://klasma.github.io/Logging_0580/artfynd/A 50034-2025 artfynd.xlsx", "A 50034-2025")</f>
        <v/>
      </c>
      <c r="T79">
        <f>HYPERLINK("https://klasma.github.io/Logging_0580/kartor/A 50034-2025 karta.png", "A 50034-2025")</f>
        <v/>
      </c>
      <c r="V79">
        <f>HYPERLINK("https://klasma.github.io/Logging_0580/klagomål/A 50034-2025 FSC-klagomål.docx", "A 50034-2025")</f>
        <v/>
      </c>
      <c r="W79">
        <f>HYPERLINK("https://klasma.github.io/Logging_0580/klagomålsmail/A 50034-2025 FSC-klagomål mail.docx", "A 50034-2025")</f>
        <v/>
      </c>
      <c r="X79">
        <f>HYPERLINK("https://klasma.github.io/Logging_0580/tillsyn/A 50034-2025 tillsynsbegäran.docx", "A 50034-2025")</f>
        <v/>
      </c>
      <c r="Y79">
        <f>HYPERLINK("https://klasma.github.io/Logging_0580/tillsynsmail/A 50034-2025 tillsynsbegäran mail.docx", "A 50034-2025")</f>
        <v/>
      </c>
    </row>
    <row r="80" ht="15" customHeight="1">
      <c r="A80" t="inlineStr">
        <is>
          <t>A 40309-2024</t>
        </is>
      </c>
      <c r="B80" s="1" t="n">
        <v>45554.724375</v>
      </c>
      <c r="C80" s="1" t="n">
        <v>45975</v>
      </c>
      <c r="D80" t="inlineStr">
        <is>
          <t>ÖSTERGÖTLANDS LÄN</t>
        </is>
      </c>
      <c r="E80" t="inlineStr">
        <is>
          <t>LINKÖPING</t>
        </is>
      </c>
      <c r="F80" t="inlineStr">
        <is>
          <t>Allmännings- och besparingsskogar</t>
        </is>
      </c>
      <c r="G80" t="n">
        <v>6</v>
      </c>
      <c r="H80" t="n">
        <v>0</v>
      </c>
      <c r="I80" t="n">
        <v>0</v>
      </c>
      <c r="J80" t="n">
        <v>1</v>
      </c>
      <c r="K80" t="n">
        <v>0</v>
      </c>
      <c r="L80" t="n">
        <v>0</v>
      </c>
      <c r="M80" t="n">
        <v>0</v>
      </c>
      <c r="N80" t="n">
        <v>0</v>
      </c>
      <c r="O80" t="n">
        <v>1</v>
      </c>
      <c r="P80" t="n">
        <v>0</v>
      </c>
      <c r="Q80" t="n">
        <v>1</v>
      </c>
      <c r="R80" s="2" t="inlineStr">
        <is>
          <t>Garnlav</t>
        </is>
      </c>
      <c r="S80">
        <f>HYPERLINK("https://klasma.github.io/Logging_0580/artfynd/A 40309-2024 artfynd.xlsx", "A 40309-2024")</f>
        <v/>
      </c>
      <c r="T80">
        <f>HYPERLINK("https://klasma.github.io/Logging_0580/kartor/A 40309-2024 karta.png", "A 40309-2024")</f>
        <v/>
      </c>
      <c r="V80">
        <f>HYPERLINK("https://klasma.github.io/Logging_0580/klagomål/A 40309-2024 FSC-klagomål.docx", "A 40309-2024")</f>
        <v/>
      </c>
      <c r="W80">
        <f>HYPERLINK("https://klasma.github.io/Logging_0580/klagomålsmail/A 40309-2024 FSC-klagomål mail.docx", "A 40309-2024")</f>
        <v/>
      </c>
      <c r="X80">
        <f>HYPERLINK("https://klasma.github.io/Logging_0580/tillsyn/A 40309-2024 tillsynsbegäran.docx", "A 40309-2024")</f>
        <v/>
      </c>
      <c r="Y80">
        <f>HYPERLINK("https://klasma.github.io/Logging_0580/tillsynsmail/A 40309-2024 tillsynsbegäran mail.docx", "A 40309-2024")</f>
        <v/>
      </c>
    </row>
    <row r="81" ht="15" customHeight="1">
      <c r="A81" t="inlineStr">
        <is>
          <t>A 36723-2023</t>
        </is>
      </c>
      <c r="B81" s="1" t="n">
        <v>45153</v>
      </c>
      <c r="C81" s="1" t="n">
        <v>45975</v>
      </c>
      <c r="D81" t="inlineStr">
        <is>
          <t>ÖSTERGÖTLANDS LÄN</t>
        </is>
      </c>
      <c r="E81" t="inlineStr">
        <is>
          <t>LINKÖPING</t>
        </is>
      </c>
      <c r="F81" t="inlineStr">
        <is>
          <t>Allmännings- och besparingsskogar</t>
        </is>
      </c>
      <c r="G81" t="n">
        <v>9.9</v>
      </c>
      <c r="H81" t="n">
        <v>0</v>
      </c>
      <c r="I81" t="n">
        <v>0</v>
      </c>
      <c r="J81" t="n">
        <v>0</v>
      </c>
      <c r="K81" t="n">
        <v>1</v>
      </c>
      <c r="L81" t="n">
        <v>0</v>
      </c>
      <c r="M81" t="n">
        <v>0</v>
      </c>
      <c r="N81" t="n">
        <v>0</v>
      </c>
      <c r="O81" t="n">
        <v>1</v>
      </c>
      <c r="P81" t="n">
        <v>1</v>
      </c>
      <c r="Q81" t="n">
        <v>1</v>
      </c>
      <c r="R81" s="2" t="inlineStr">
        <is>
          <t>Bitter taggsvamp</t>
        </is>
      </c>
      <c r="S81">
        <f>HYPERLINK("https://klasma.github.io/Logging_0580/artfynd/A 36723-2023 artfynd.xlsx", "A 36723-2023")</f>
        <v/>
      </c>
      <c r="T81">
        <f>HYPERLINK("https://klasma.github.io/Logging_0580/kartor/A 36723-2023 karta.png", "A 36723-2023")</f>
        <v/>
      </c>
      <c r="V81">
        <f>HYPERLINK("https://klasma.github.io/Logging_0580/klagomål/A 36723-2023 FSC-klagomål.docx", "A 36723-2023")</f>
        <v/>
      </c>
      <c r="W81">
        <f>HYPERLINK("https://klasma.github.io/Logging_0580/klagomålsmail/A 36723-2023 FSC-klagomål mail.docx", "A 36723-2023")</f>
        <v/>
      </c>
      <c r="X81">
        <f>HYPERLINK("https://klasma.github.io/Logging_0580/tillsyn/A 36723-2023 tillsynsbegäran.docx", "A 36723-2023")</f>
        <v/>
      </c>
      <c r="Y81">
        <f>HYPERLINK("https://klasma.github.io/Logging_0580/tillsynsmail/A 36723-2023 tillsynsbegäran mail.docx", "A 36723-2023")</f>
        <v/>
      </c>
    </row>
    <row r="82" ht="15" customHeight="1">
      <c r="A82" t="inlineStr">
        <is>
          <t>A 48273-2025</t>
        </is>
      </c>
      <c r="B82" s="1" t="n">
        <v>45932</v>
      </c>
      <c r="C82" s="1" t="n">
        <v>45975</v>
      </c>
      <c r="D82" t="inlineStr">
        <is>
          <t>ÖSTERGÖTLANDS LÄN</t>
        </is>
      </c>
      <c r="E82" t="inlineStr">
        <is>
          <t>LINKÖPING</t>
        </is>
      </c>
      <c r="F82" t="inlineStr">
        <is>
          <t>Övriga Aktiebolag</t>
        </is>
      </c>
      <c r="G82" t="n">
        <v>4.6</v>
      </c>
      <c r="H82" t="n">
        <v>0</v>
      </c>
      <c r="I82" t="n">
        <v>0</v>
      </c>
      <c r="J82" t="n">
        <v>1</v>
      </c>
      <c r="K82" t="n">
        <v>0</v>
      </c>
      <c r="L82" t="n">
        <v>0</v>
      </c>
      <c r="M82" t="n">
        <v>0</v>
      </c>
      <c r="N82" t="n">
        <v>0</v>
      </c>
      <c r="O82" t="n">
        <v>1</v>
      </c>
      <c r="P82" t="n">
        <v>0</v>
      </c>
      <c r="Q82" t="n">
        <v>1</v>
      </c>
      <c r="R82" s="2" t="inlineStr">
        <is>
          <t>Barrviolspindling</t>
        </is>
      </c>
      <c r="S82">
        <f>HYPERLINK("https://klasma.github.io/Logging_0580/artfynd/A 48273-2025 artfynd.xlsx", "A 48273-2025")</f>
        <v/>
      </c>
      <c r="T82">
        <f>HYPERLINK("https://klasma.github.io/Logging_0580/kartor/A 48273-2025 karta.png", "A 48273-2025")</f>
        <v/>
      </c>
      <c r="V82">
        <f>HYPERLINK("https://klasma.github.io/Logging_0580/klagomål/A 48273-2025 FSC-klagomål.docx", "A 48273-2025")</f>
        <v/>
      </c>
      <c r="W82">
        <f>HYPERLINK("https://klasma.github.io/Logging_0580/klagomålsmail/A 48273-2025 FSC-klagomål mail.docx", "A 48273-2025")</f>
        <v/>
      </c>
      <c r="X82">
        <f>HYPERLINK("https://klasma.github.io/Logging_0580/tillsyn/A 48273-2025 tillsynsbegäran.docx", "A 48273-2025")</f>
        <v/>
      </c>
      <c r="Y82">
        <f>HYPERLINK("https://klasma.github.io/Logging_0580/tillsynsmail/A 48273-2025 tillsynsbegäran mail.docx", "A 48273-2025")</f>
        <v/>
      </c>
    </row>
    <row r="83" ht="15" customHeight="1">
      <c r="A83" t="inlineStr">
        <is>
          <t>A 48298-2025</t>
        </is>
      </c>
      <c r="B83" s="1" t="n">
        <v>45932</v>
      </c>
      <c r="C83" s="1" t="n">
        <v>45975</v>
      </c>
      <c r="D83" t="inlineStr">
        <is>
          <t>ÖSTERGÖTLANDS LÄN</t>
        </is>
      </c>
      <c r="E83" t="inlineStr">
        <is>
          <t>LINKÖPING</t>
        </is>
      </c>
      <c r="F83" t="inlineStr">
        <is>
          <t>Övriga Aktiebolag</t>
        </is>
      </c>
      <c r="G83" t="n">
        <v>1.7</v>
      </c>
      <c r="H83" t="n">
        <v>0</v>
      </c>
      <c r="I83" t="n">
        <v>1</v>
      </c>
      <c r="J83" t="n">
        <v>0</v>
      </c>
      <c r="K83" t="n">
        <v>0</v>
      </c>
      <c r="L83" t="n">
        <v>0</v>
      </c>
      <c r="M83" t="n">
        <v>0</v>
      </c>
      <c r="N83" t="n">
        <v>0</v>
      </c>
      <c r="O83" t="n">
        <v>0</v>
      </c>
      <c r="P83" t="n">
        <v>0</v>
      </c>
      <c r="Q83" t="n">
        <v>1</v>
      </c>
      <c r="R83" s="2" t="inlineStr">
        <is>
          <t>Västlig hakmossa</t>
        </is>
      </c>
      <c r="S83">
        <f>HYPERLINK("https://klasma.github.io/Logging_0580/artfynd/A 48298-2025 artfynd.xlsx", "A 48298-2025")</f>
        <v/>
      </c>
      <c r="T83">
        <f>HYPERLINK("https://klasma.github.io/Logging_0580/kartor/A 48298-2025 karta.png", "A 48298-2025")</f>
        <v/>
      </c>
      <c r="V83">
        <f>HYPERLINK("https://klasma.github.io/Logging_0580/klagomål/A 48298-2025 FSC-klagomål.docx", "A 48298-2025")</f>
        <v/>
      </c>
      <c r="W83">
        <f>HYPERLINK("https://klasma.github.io/Logging_0580/klagomålsmail/A 48298-2025 FSC-klagomål mail.docx", "A 48298-2025")</f>
        <v/>
      </c>
      <c r="X83">
        <f>HYPERLINK("https://klasma.github.io/Logging_0580/tillsyn/A 48298-2025 tillsynsbegäran.docx", "A 48298-2025")</f>
        <v/>
      </c>
      <c r="Y83">
        <f>HYPERLINK("https://klasma.github.io/Logging_0580/tillsynsmail/A 48298-2025 tillsynsbegäran mail.docx", "A 48298-2025")</f>
        <v/>
      </c>
    </row>
    <row r="84" ht="15" customHeight="1">
      <c r="A84" t="inlineStr">
        <is>
          <t>A 48353-2025</t>
        </is>
      </c>
      <c r="B84" s="1" t="n">
        <v>45932</v>
      </c>
      <c r="C84" s="1" t="n">
        <v>45975</v>
      </c>
      <c r="D84" t="inlineStr">
        <is>
          <t>ÖSTERGÖTLANDS LÄN</t>
        </is>
      </c>
      <c r="E84" t="inlineStr">
        <is>
          <t>LINKÖPING</t>
        </is>
      </c>
      <c r="F84" t="inlineStr">
        <is>
          <t>Övriga Aktiebolag</t>
        </is>
      </c>
      <c r="G84" t="n">
        <v>4.5</v>
      </c>
      <c r="H84" t="n">
        <v>1</v>
      </c>
      <c r="I84" t="n">
        <v>0</v>
      </c>
      <c r="J84" t="n">
        <v>1</v>
      </c>
      <c r="K84" t="n">
        <v>0</v>
      </c>
      <c r="L84" t="n">
        <v>0</v>
      </c>
      <c r="M84" t="n">
        <v>0</v>
      </c>
      <c r="N84" t="n">
        <v>0</v>
      </c>
      <c r="O84" t="n">
        <v>1</v>
      </c>
      <c r="P84" t="n">
        <v>0</v>
      </c>
      <c r="Q84" t="n">
        <v>1</v>
      </c>
      <c r="R84" s="2" t="inlineStr">
        <is>
          <t>Entita</t>
        </is>
      </c>
      <c r="S84">
        <f>HYPERLINK("https://klasma.github.io/Logging_0580/artfynd/A 48353-2025 artfynd.xlsx", "A 48353-2025")</f>
        <v/>
      </c>
      <c r="T84">
        <f>HYPERLINK("https://klasma.github.io/Logging_0580/kartor/A 48353-2025 karta.png", "A 48353-2025")</f>
        <v/>
      </c>
      <c r="V84">
        <f>HYPERLINK("https://klasma.github.io/Logging_0580/klagomål/A 48353-2025 FSC-klagomål.docx", "A 48353-2025")</f>
        <v/>
      </c>
      <c r="W84">
        <f>HYPERLINK("https://klasma.github.io/Logging_0580/klagomålsmail/A 48353-2025 FSC-klagomål mail.docx", "A 48353-2025")</f>
        <v/>
      </c>
      <c r="X84">
        <f>HYPERLINK("https://klasma.github.io/Logging_0580/tillsyn/A 48353-2025 tillsynsbegäran.docx", "A 48353-2025")</f>
        <v/>
      </c>
      <c r="Y84">
        <f>HYPERLINK("https://klasma.github.io/Logging_0580/tillsynsmail/A 48353-2025 tillsynsbegäran mail.docx", "A 48353-2025")</f>
        <v/>
      </c>
      <c r="Z84">
        <f>HYPERLINK("https://klasma.github.io/Logging_0580/fåglar/A 48353-2025 prioriterade fågelarter.docx", "A 48353-2025")</f>
        <v/>
      </c>
    </row>
    <row r="85" ht="15" customHeight="1">
      <c r="A85" t="inlineStr">
        <is>
          <t>A 56112-2025</t>
        </is>
      </c>
      <c r="B85" s="1" t="n">
        <v>45973.73625</v>
      </c>
      <c r="C85" s="1" t="n">
        <v>45975</v>
      </c>
      <c r="D85" t="inlineStr">
        <is>
          <t>ÖSTERGÖTLANDS LÄN</t>
        </is>
      </c>
      <c r="E85" t="inlineStr">
        <is>
          <t>LINKÖPING</t>
        </is>
      </c>
      <c r="G85" t="n">
        <v>0.6</v>
      </c>
      <c r="H85" t="n">
        <v>0</v>
      </c>
      <c r="I85" t="n">
        <v>0</v>
      </c>
      <c r="J85" t="n">
        <v>1</v>
      </c>
      <c r="K85" t="n">
        <v>0</v>
      </c>
      <c r="L85" t="n">
        <v>0</v>
      </c>
      <c r="M85" t="n">
        <v>0</v>
      </c>
      <c r="N85" t="n">
        <v>0</v>
      </c>
      <c r="O85" t="n">
        <v>1</v>
      </c>
      <c r="P85" t="n">
        <v>0</v>
      </c>
      <c r="Q85" t="n">
        <v>1</v>
      </c>
      <c r="R85" s="2" t="inlineStr">
        <is>
          <t>Solvända</t>
        </is>
      </c>
      <c r="S85">
        <f>HYPERLINK("https://klasma.github.io/Logging_0580/artfynd/A 56112-2025 artfynd.xlsx", "A 56112-2025")</f>
        <v/>
      </c>
      <c r="T85">
        <f>HYPERLINK("https://klasma.github.io/Logging_0580/kartor/A 56112-2025 karta.png", "A 56112-2025")</f>
        <v/>
      </c>
      <c r="V85">
        <f>HYPERLINK("https://klasma.github.io/Logging_0580/klagomål/A 56112-2025 FSC-klagomål.docx", "A 56112-2025")</f>
        <v/>
      </c>
      <c r="W85">
        <f>HYPERLINK("https://klasma.github.io/Logging_0580/klagomålsmail/A 56112-2025 FSC-klagomål mail.docx", "A 56112-2025")</f>
        <v/>
      </c>
      <c r="X85">
        <f>HYPERLINK("https://klasma.github.io/Logging_0580/tillsyn/A 56112-2025 tillsynsbegäran.docx", "A 56112-2025")</f>
        <v/>
      </c>
      <c r="Y85">
        <f>HYPERLINK("https://klasma.github.io/Logging_0580/tillsynsmail/A 56112-2025 tillsynsbegäran mail.docx", "A 56112-2025")</f>
        <v/>
      </c>
    </row>
    <row r="86" ht="15" customHeight="1">
      <c r="A86" t="inlineStr">
        <is>
          <t>A 48347-2025</t>
        </is>
      </c>
      <c r="B86" s="1" t="n">
        <v>45932</v>
      </c>
      <c r="C86" s="1" t="n">
        <v>45975</v>
      </c>
      <c r="D86" t="inlineStr">
        <is>
          <t>ÖSTERGÖTLANDS LÄN</t>
        </is>
      </c>
      <c r="E86" t="inlineStr">
        <is>
          <t>LINKÖPING</t>
        </is>
      </c>
      <c r="F86" t="inlineStr">
        <is>
          <t>Övriga Aktiebolag</t>
        </is>
      </c>
      <c r="G86" t="n">
        <v>0.9</v>
      </c>
      <c r="H86" t="n">
        <v>0</v>
      </c>
      <c r="I86" t="n">
        <v>0</v>
      </c>
      <c r="J86" t="n">
        <v>1</v>
      </c>
      <c r="K86" t="n">
        <v>0</v>
      </c>
      <c r="L86" t="n">
        <v>0</v>
      </c>
      <c r="M86" t="n">
        <v>0</v>
      </c>
      <c r="N86" t="n">
        <v>0</v>
      </c>
      <c r="O86" t="n">
        <v>1</v>
      </c>
      <c r="P86" t="n">
        <v>0</v>
      </c>
      <c r="Q86" t="n">
        <v>1</v>
      </c>
      <c r="R86" s="2" t="inlineStr">
        <is>
          <t>Igelkott</t>
        </is>
      </c>
      <c r="S86">
        <f>HYPERLINK("https://klasma.github.io/Logging_0580/artfynd/A 48347-2025 artfynd.xlsx", "A 48347-2025")</f>
        <v/>
      </c>
      <c r="T86">
        <f>HYPERLINK("https://klasma.github.io/Logging_0580/kartor/A 48347-2025 karta.png", "A 48347-2025")</f>
        <v/>
      </c>
      <c r="V86">
        <f>HYPERLINK("https://klasma.github.io/Logging_0580/klagomål/A 48347-2025 FSC-klagomål.docx", "A 48347-2025")</f>
        <v/>
      </c>
      <c r="W86">
        <f>HYPERLINK("https://klasma.github.io/Logging_0580/klagomålsmail/A 48347-2025 FSC-klagomål mail.docx", "A 48347-2025")</f>
        <v/>
      </c>
      <c r="X86">
        <f>HYPERLINK("https://klasma.github.io/Logging_0580/tillsyn/A 48347-2025 tillsynsbegäran.docx", "A 48347-2025")</f>
        <v/>
      </c>
      <c r="Y86">
        <f>HYPERLINK("https://klasma.github.io/Logging_0580/tillsynsmail/A 48347-2025 tillsynsbegäran mail.docx", "A 48347-2025")</f>
        <v/>
      </c>
    </row>
    <row r="87" ht="15" customHeight="1">
      <c r="A87" t="inlineStr">
        <is>
          <t>A 15290-2025</t>
        </is>
      </c>
      <c r="B87" s="1" t="n">
        <v>45745.45288194445</v>
      </c>
      <c r="C87" s="1" t="n">
        <v>45975</v>
      </c>
      <c r="D87" t="inlineStr">
        <is>
          <t>ÖSTERGÖTLANDS LÄN</t>
        </is>
      </c>
      <c r="E87" t="inlineStr">
        <is>
          <t>LINKÖPING</t>
        </is>
      </c>
      <c r="G87" t="n">
        <v>18.4</v>
      </c>
      <c r="H87" t="n">
        <v>1</v>
      </c>
      <c r="I87" t="n">
        <v>0</v>
      </c>
      <c r="J87" t="n">
        <v>1</v>
      </c>
      <c r="K87" t="n">
        <v>0</v>
      </c>
      <c r="L87" t="n">
        <v>0</v>
      </c>
      <c r="M87" t="n">
        <v>0</v>
      </c>
      <c r="N87" t="n">
        <v>0</v>
      </c>
      <c r="O87" t="n">
        <v>1</v>
      </c>
      <c r="P87" t="n">
        <v>0</v>
      </c>
      <c r="Q87" t="n">
        <v>1</v>
      </c>
      <c r="R87" s="2" t="inlineStr">
        <is>
          <t>Havsörn</t>
        </is>
      </c>
      <c r="S87">
        <f>HYPERLINK("https://klasma.github.io/Logging_0580/artfynd/A 15290-2025 artfynd.xlsx", "A 15290-2025")</f>
        <v/>
      </c>
      <c r="T87">
        <f>HYPERLINK("https://klasma.github.io/Logging_0580/kartor/A 15290-2025 karta.png", "A 15290-2025")</f>
        <v/>
      </c>
      <c r="V87">
        <f>HYPERLINK("https://klasma.github.io/Logging_0580/klagomål/A 15290-2025 FSC-klagomål.docx", "A 15290-2025")</f>
        <v/>
      </c>
      <c r="W87">
        <f>HYPERLINK("https://klasma.github.io/Logging_0580/klagomålsmail/A 15290-2025 FSC-klagomål mail.docx", "A 15290-2025")</f>
        <v/>
      </c>
      <c r="X87">
        <f>HYPERLINK("https://klasma.github.io/Logging_0580/tillsyn/A 15290-2025 tillsynsbegäran.docx", "A 15290-2025")</f>
        <v/>
      </c>
      <c r="Y87">
        <f>HYPERLINK("https://klasma.github.io/Logging_0580/tillsynsmail/A 15290-2025 tillsynsbegäran mail.docx", "A 15290-2025")</f>
        <v/>
      </c>
      <c r="Z87">
        <f>HYPERLINK("https://klasma.github.io/Logging_0580/fåglar/A 15290-2025 prioriterade fågelarter.docx", "A 15290-2025")</f>
        <v/>
      </c>
    </row>
    <row r="88" ht="15" customHeight="1">
      <c r="A88" t="inlineStr">
        <is>
          <t>A 38881-2021</t>
        </is>
      </c>
      <c r="B88" s="1" t="n">
        <v>44411.46893518518</v>
      </c>
      <c r="C88" s="1" t="n">
        <v>45975</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45975</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5008-2021</t>
        </is>
      </c>
      <c r="B90" s="1" t="n">
        <v>44228</v>
      </c>
      <c r="C90" s="1" t="n">
        <v>45975</v>
      </c>
      <c r="D90" t="inlineStr">
        <is>
          <t>ÖSTERGÖTLANDS LÄN</t>
        </is>
      </c>
      <c r="E90" t="inlineStr">
        <is>
          <t>LINKÖPING</t>
        </is>
      </c>
      <c r="F90" t="inlineStr">
        <is>
          <t>Övriga Aktiebolag</t>
        </is>
      </c>
      <c r="G90" t="n">
        <v>0.3</v>
      </c>
      <c r="H90" t="n">
        <v>0</v>
      </c>
      <c r="I90" t="n">
        <v>0</v>
      </c>
      <c r="J90" t="n">
        <v>0</v>
      </c>
      <c r="K90" t="n">
        <v>0</v>
      </c>
      <c r="L90" t="n">
        <v>0</v>
      </c>
      <c r="M90" t="n">
        <v>0</v>
      </c>
      <c r="N90" t="n">
        <v>0</v>
      </c>
      <c r="O90" t="n">
        <v>0</v>
      </c>
      <c r="P90" t="n">
        <v>0</v>
      </c>
      <c r="Q90" t="n">
        <v>0</v>
      </c>
      <c r="R90" s="2" t="inlineStr"/>
    </row>
    <row r="91" ht="15" customHeight="1">
      <c r="A91" t="inlineStr">
        <is>
          <t>A 56239-2021</t>
        </is>
      </c>
      <c r="B91" s="1" t="n">
        <v>44478</v>
      </c>
      <c r="C91" s="1" t="n">
        <v>45975</v>
      </c>
      <c r="D91" t="inlineStr">
        <is>
          <t>ÖSTERGÖTLANDS LÄN</t>
        </is>
      </c>
      <c r="E91" t="inlineStr">
        <is>
          <t>LINKÖPING</t>
        </is>
      </c>
      <c r="F91" t="inlineStr">
        <is>
          <t>Övriga Aktiebolag</t>
        </is>
      </c>
      <c r="G91" t="n">
        <v>3</v>
      </c>
      <c r="H91" t="n">
        <v>0</v>
      </c>
      <c r="I91" t="n">
        <v>0</v>
      </c>
      <c r="J91" t="n">
        <v>0</v>
      </c>
      <c r="K91" t="n">
        <v>0</v>
      </c>
      <c r="L91" t="n">
        <v>0</v>
      </c>
      <c r="M91" t="n">
        <v>0</v>
      </c>
      <c r="N91" t="n">
        <v>0</v>
      </c>
      <c r="O91" t="n">
        <v>0</v>
      </c>
      <c r="P91" t="n">
        <v>0</v>
      </c>
      <c r="Q91" t="n">
        <v>0</v>
      </c>
      <c r="R91" s="2" t="inlineStr"/>
    </row>
    <row r="92" ht="15" customHeight="1">
      <c r="A92" t="inlineStr">
        <is>
          <t>A 7289-2021</t>
        </is>
      </c>
      <c r="B92" s="1" t="n">
        <v>44238</v>
      </c>
      <c r="C92" s="1" t="n">
        <v>45975</v>
      </c>
      <c r="D92" t="inlineStr">
        <is>
          <t>ÖSTERGÖTLANDS LÄN</t>
        </is>
      </c>
      <c r="E92" t="inlineStr">
        <is>
          <t>LINKÖPING</t>
        </is>
      </c>
      <c r="G92" t="n">
        <v>0.7</v>
      </c>
      <c r="H92" t="n">
        <v>0</v>
      </c>
      <c r="I92" t="n">
        <v>0</v>
      </c>
      <c r="J92" t="n">
        <v>0</v>
      </c>
      <c r="K92" t="n">
        <v>0</v>
      </c>
      <c r="L92" t="n">
        <v>0</v>
      </c>
      <c r="M92" t="n">
        <v>0</v>
      </c>
      <c r="N92" t="n">
        <v>0</v>
      </c>
      <c r="O92" t="n">
        <v>0</v>
      </c>
      <c r="P92" t="n">
        <v>0</v>
      </c>
      <c r="Q92" t="n">
        <v>0</v>
      </c>
      <c r="R92" s="2" t="inlineStr"/>
    </row>
    <row r="93" ht="15" customHeight="1">
      <c r="A93" t="inlineStr">
        <is>
          <t>A 6958-2021</t>
        </is>
      </c>
      <c r="B93" s="1" t="n">
        <v>44237</v>
      </c>
      <c r="C93" s="1" t="n">
        <v>45975</v>
      </c>
      <c r="D93" t="inlineStr">
        <is>
          <t>ÖSTERGÖTLANDS LÄN</t>
        </is>
      </c>
      <c r="E93" t="inlineStr">
        <is>
          <t>LINKÖPING</t>
        </is>
      </c>
      <c r="G93" t="n">
        <v>0.6</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45975</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67322-2021</t>
        </is>
      </c>
      <c r="B95" s="1" t="n">
        <v>44523</v>
      </c>
      <c r="C95" s="1" t="n">
        <v>45975</v>
      </c>
      <c r="D95" t="inlineStr">
        <is>
          <t>ÖSTERGÖTLANDS LÄN</t>
        </is>
      </c>
      <c r="E95" t="inlineStr">
        <is>
          <t>LINKÖPING</t>
        </is>
      </c>
      <c r="G95" t="n">
        <v>0.8</v>
      </c>
      <c r="H95" t="n">
        <v>0</v>
      </c>
      <c r="I95" t="n">
        <v>0</v>
      </c>
      <c r="J95" t="n">
        <v>0</v>
      </c>
      <c r="K95" t="n">
        <v>0</v>
      </c>
      <c r="L95" t="n">
        <v>0</v>
      </c>
      <c r="M95" t="n">
        <v>0</v>
      </c>
      <c r="N95" t="n">
        <v>0</v>
      </c>
      <c r="O95" t="n">
        <v>0</v>
      </c>
      <c r="P95" t="n">
        <v>0</v>
      </c>
      <c r="Q95" t="n">
        <v>0</v>
      </c>
      <c r="R95" s="2" t="inlineStr"/>
    </row>
    <row r="96" ht="15" customHeight="1">
      <c r="A96" t="inlineStr">
        <is>
          <t>A 7840-2022</t>
        </is>
      </c>
      <c r="B96" s="1" t="n">
        <v>44608</v>
      </c>
      <c r="C96" s="1" t="n">
        <v>45975</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40506-2021</t>
        </is>
      </c>
      <c r="B97" s="1" t="n">
        <v>44420</v>
      </c>
      <c r="C97" s="1" t="n">
        <v>45975</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45975</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45975</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45975</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40635-2021</t>
        </is>
      </c>
      <c r="B101" s="1" t="n">
        <v>44420</v>
      </c>
      <c r="C101" s="1" t="n">
        <v>45975</v>
      </c>
      <c r="D101" t="inlineStr">
        <is>
          <t>ÖSTERGÖTLANDS LÄN</t>
        </is>
      </c>
      <c r="E101" t="inlineStr">
        <is>
          <t>LINKÖPING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49018-2022</t>
        </is>
      </c>
      <c r="B102" s="1" t="n">
        <v>44855</v>
      </c>
      <c r="C102" s="1" t="n">
        <v>45975</v>
      </c>
      <c r="D102" t="inlineStr">
        <is>
          <t>ÖSTERGÖTLANDS LÄN</t>
        </is>
      </c>
      <c r="E102" t="inlineStr">
        <is>
          <t>LINKÖPING</t>
        </is>
      </c>
      <c r="F102" t="inlineStr">
        <is>
          <t>Kommuner</t>
        </is>
      </c>
      <c r="G102" t="n">
        <v>0.4</v>
      </c>
      <c r="H102" t="n">
        <v>0</v>
      </c>
      <c r="I102" t="n">
        <v>0</v>
      </c>
      <c r="J102" t="n">
        <v>0</v>
      </c>
      <c r="K102" t="n">
        <v>0</v>
      </c>
      <c r="L102" t="n">
        <v>0</v>
      </c>
      <c r="M102" t="n">
        <v>0</v>
      </c>
      <c r="N102" t="n">
        <v>0</v>
      </c>
      <c r="O102" t="n">
        <v>0</v>
      </c>
      <c r="P102" t="n">
        <v>0</v>
      </c>
      <c r="Q102" t="n">
        <v>0</v>
      </c>
      <c r="R102" s="2" t="inlineStr"/>
    </row>
    <row r="103" ht="15" customHeight="1">
      <c r="A103" t="inlineStr">
        <is>
          <t>A 1581-2022</t>
        </is>
      </c>
      <c r="B103" s="1" t="n">
        <v>44573</v>
      </c>
      <c r="C103" s="1" t="n">
        <v>45975</v>
      </c>
      <c r="D103" t="inlineStr">
        <is>
          <t>ÖSTERGÖTLANDS LÄN</t>
        </is>
      </c>
      <c r="E103" t="inlineStr">
        <is>
          <t>LINKÖPING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46234-2022</t>
        </is>
      </c>
      <c r="B104" s="1" t="n">
        <v>44846</v>
      </c>
      <c r="C104" s="1" t="n">
        <v>45975</v>
      </c>
      <c r="D104" t="inlineStr">
        <is>
          <t>ÖSTERGÖTLANDS LÄN</t>
        </is>
      </c>
      <c r="E104" t="inlineStr">
        <is>
          <t>LINKÖPING</t>
        </is>
      </c>
      <c r="G104" t="n">
        <v>3.3</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45975</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45975</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45975</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16715-2021</t>
        </is>
      </c>
      <c r="B108" s="1" t="n">
        <v>44294</v>
      </c>
      <c r="C108" s="1" t="n">
        <v>45975</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47462-2022</t>
        </is>
      </c>
      <c r="B109" s="1" t="n">
        <v>44853.62758101852</v>
      </c>
      <c r="C109" s="1" t="n">
        <v>45975</v>
      </c>
      <c r="D109" t="inlineStr">
        <is>
          <t>ÖSTERGÖTLANDS LÄN</t>
        </is>
      </c>
      <c r="E109" t="inlineStr">
        <is>
          <t>LINKÖPING</t>
        </is>
      </c>
      <c r="G109" t="n">
        <v>1.6</v>
      </c>
      <c r="H109" t="n">
        <v>0</v>
      </c>
      <c r="I109" t="n">
        <v>0</v>
      </c>
      <c r="J109" t="n">
        <v>0</v>
      </c>
      <c r="K109" t="n">
        <v>0</v>
      </c>
      <c r="L109" t="n">
        <v>0</v>
      </c>
      <c r="M109" t="n">
        <v>0</v>
      </c>
      <c r="N109" t="n">
        <v>0</v>
      </c>
      <c r="O109" t="n">
        <v>0</v>
      </c>
      <c r="P109" t="n">
        <v>0</v>
      </c>
      <c r="Q109" t="n">
        <v>0</v>
      </c>
      <c r="R109" s="2" t="inlineStr"/>
    </row>
    <row r="110" ht="15" customHeight="1">
      <c r="A110" t="inlineStr">
        <is>
          <t>A 32433-2022</t>
        </is>
      </c>
      <c r="B110" s="1" t="n">
        <v>44782.48431712963</v>
      </c>
      <c r="C110" s="1" t="n">
        <v>45975</v>
      </c>
      <c r="D110" t="inlineStr">
        <is>
          <t>ÖSTERGÖTLANDS LÄN</t>
        </is>
      </c>
      <c r="E110" t="inlineStr">
        <is>
          <t>LINKÖPING</t>
        </is>
      </c>
      <c r="G110" t="n">
        <v>11.3</v>
      </c>
      <c r="H110" t="n">
        <v>0</v>
      </c>
      <c r="I110" t="n">
        <v>0</v>
      </c>
      <c r="J110" t="n">
        <v>0</v>
      </c>
      <c r="K110" t="n">
        <v>0</v>
      </c>
      <c r="L110" t="n">
        <v>0</v>
      </c>
      <c r="M110" t="n">
        <v>0</v>
      </c>
      <c r="N110" t="n">
        <v>0</v>
      </c>
      <c r="O110" t="n">
        <v>0</v>
      </c>
      <c r="P110" t="n">
        <v>0</v>
      </c>
      <c r="Q110" t="n">
        <v>0</v>
      </c>
      <c r="R110" s="2" t="inlineStr"/>
    </row>
    <row r="111" ht="15" customHeight="1">
      <c r="A111" t="inlineStr">
        <is>
          <t>A 38143-2021</t>
        </is>
      </c>
      <c r="B111" s="1" t="n">
        <v>44405</v>
      </c>
      <c r="C111" s="1" t="n">
        <v>45975</v>
      </c>
      <c r="D111" t="inlineStr">
        <is>
          <t>ÖSTERGÖTLANDS LÄN</t>
        </is>
      </c>
      <c r="E111" t="inlineStr">
        <is>
          <t>LINKÖPING</t>
        </is>
      </c>
      <c r="G111" t="n">
        <v>4.1</v>
      </c>
      <c r="H111" t="n">
        <v>0</v>
      </c>
      <c r="I111" t="n">
        <v>0</v>
      </c>
      <c r="J111" t="n">
        <v>0</v>
      </c>
      <c r="K111" t="n">
        <v>0</v>
      </c>
      <c r="L111" t="n">
        <v>0</v>
      </c>
      <c r="M111" t="n">
        <v>0</v>
      </c>
      <c r="N111" t="n">
        <v>0</v>
      </c>
      <c r="O111" t="n">
        <v>0</v>
      </c>
      <c r="P111" t="n">
        <v>0</v>
      </c>
      <c r="Q111" t="n">
        <v>0</v>
      </c>
      <c r="R111" s="2" t="inlineStr"/>
    </row>
    <row r="112" ht="15" customHeight="1">
      <c r="A112" t="inlineStr">
        <is>
          <t>A 38254-2021</t>
        </is>
      </c>
      <c r="B112" s="1" t="n">
        <v>44405</v>
      </c>
      <c r="C112" s="1" t="n">
        <v>45975</v>
      </c>
      <c r="D112" t="inlineStr">
        <is>
          <t>ÖSTERGÖTLANDS LÄN</t>
        </is>
      </c>
      <c r="E112" t="inlineStr">
        <is>
          <t>LINKÖPING</t>
        </is>
      </c>
      <c r="G112" t="n">
        <v>1.9</v>
      </c>
      <c r="H112" t="n">
        <v>0</v>
      </c>
      <c r="I112" t="n">
        <v>0</v>
      </c>
      <c r="J112" t="n">
        <v>0</v>
      </c>
      <c r="K112" t="n">
        <v>0</v>
      </c>
      <c r="L112" t="n">
        <v>0</v>
      </c>
      <c r="M112" t="n">
        <v>0</v>
      </c>
      <c r="N112" t="n">
        <v>0</v>
      </c>
      <c r="O112" t="n">
        <v>0</v>
      </c>
      <c r="P112" t="n">
        <v>0</v>
      </c>
      <c r="Q112" t="n">
        <v>0</v>
      </c>
      <c r="R112" s="2" t="inlineStr"/>
    </row>
    <row r="113" ht="15" customHeight="1">
      <c r="A113" t="inlineStr">
        <is>
          <t>A 261-2021</t>
        </is>
      </c>
      <c r="B113" s="1" t="n">
        <v>44200</v>
      </c>
      <c r="C113" s="1" t="n">
        <v>45975</v>
      </c>
      <c r="D113" t="inlineStr">
        <is>
          <t>ÖSTERGÖTLANDS LÄN</t>
        </is>
      </c>
      <c r="E113" t="inlineStr">
        <is>
          <t>LINKÖPING</t>
        </is>
      </c>
      <c r="G113" t="n">
        <v>3.1</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45975</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45975</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45975</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45975</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45975</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45975</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45975</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45975</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45975</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45975</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45975</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45975</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45975</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45975</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45975</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45975</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45975</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45975</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45975</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45975</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45975</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45975</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45975</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45975</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44849-2022</t>
        </is>
      </c>
      <c r="B138" s="1" t="n">
        <v>44841</v>
      </c>
      <c r="C138" s="1" t="n">
        <v>45975</v>
      </c>
      <c r="D138" t="inlineStr">
        <is>
          <t>ÖSTERGÖTLANDS LÄN</t>
        </is>
      </c>
      <c r="E138" t="inlineStr">
        <is>
          <t>LINKÖPING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9935-2021</t>
        </is>
      </c>
      <c r="B139" s="1" t="n">
        <v>44253</v>
      </c>
      <c r="C139" s="1" t="n">
        <v>45975</v>
      </c>
      <c r="D139" t="inlineStr">
        <is>
          <t>ÖSTERGÖTLANDS LÄN</t>
        </is>
      </c>
      <c r="E139" t="inlineStr">
        <is>
          <t>LINKÖPING</t>
        </is>
      </c>
      <c r="G139" t="n">
        <v>4.5</v>
      </c>
      <c r="H139" t="n">
        <v>0</v>
      </c>
      <c r="I139" t="n">
        <v>0</v>
      </c>
      <c r="J139" t="n">
        <v>0</v>
      </c>
      <c r="K139" t="n">
        <v>0</v>
      </c>
      <c r="L139" t="n">
        <v>0</v>
      </c>
      <c r="M139" t="n">
        <v>0</v>
      </c>
      <c r="N139" t="n">
        <v>0</v>
      </c>
      <c r="O139" t="n">
        <v>0</v>
      </c>
      <c r="P139" t="n">
        <v>0</v>
      </c>
      <c r="Q139" t="n">
        <v>0</v>
      </c>
      <c r="R139" s="2" t="inlineStr"/>
    </row>
    <row r="140" ht="15" customHeight="1">
      <c r="A140" t="inlineStr">
        <is>
          <t>A 70835-2021</t>
        </is>
      </c>
      <c r="B140" s="1" t="n">
        <v>44537</v>
      </c>
      <c r="C140" s="1" t="n">
        <v>45975</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31705-2022</t>
        </is>
      </c>
      <c r="B141" s="1" t="n">
        <v>44776.43607638889</v>
      </c>
      <c r="C141" s="1" t="n">
        <v>45975</v>
      </c>
      <c r="D141" t="inlineStr">
        <is>
          <t>ÖSTERGÖTLANDS LÄN</t>
        </is>
      </c>
      <c r="E141" t="inlineStr">
        <is>
          <t>LINKÖPING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37934-2022</t>
        </is>
      </c>
      <c r="B142" s="1" t="n">
        <v>44809</v>
      </c>
      <c r="C142" s="1" t="n">
        <v>45975</v>
      </c>
      <c r="D142" t="inlineStr">
        <is>
          <t>ÖSTERGÖTLANDS LÄN</t>
        </is>
      </c>
      <c r="E142" t="inlineStr">
        <is>
          <t>LINKÖPING</t>
        </is>
      </c>
      <c r="G142" t="n">
        <v>1.6</v>
      </c>
      <c r="H142" t="n">
        <v>0</v>
      </c>
      <c r="I142" t="n">
        <v>0</v>
      </c>
      <c r="J142" t="n">
        <v>0</v>
      </c>
      <c r="K142" t="n">
        <v>0</v>
      </c>
      <c r="L142" t="n">
        <v>0</v>
      </c>
      <c r="M142" t="n">
        <v>0</v>
      </c>
      <c r="N142" t="n">
        <v>0</v>
      </c>
      <c r="O142" t="n">
        <v>0</v>
      </c>
      <c r="P142" t="n">
        <v>0</v>
      </c>
      <c r="Q142" t="n">
        <v>0</v>
      </c>
      <c r="R142" s="2" t="inlineStr"/>
    </row>
    <row r="143" ht="15" customHeight="1">
      <c r="A143" t="inlineStr">
        <is>
          <t>A 27769-2022</t>
        </is>
      </c>
      <c r="B143" s="1" t="n">
        <v>44743.53200231482</v>
      </c>
      <c r="C143" s="1" t="n">
        <v>45975</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19318-2022</t>
        </is>
      </c>
      <c r="B144" s="1" t="n">
        <v>44692.5827662037</v>
      </c>
      <c r="C144" s="1" t="n">
        <v>45975</v>
      </c>
      <c r="D144" t="inlineStr">
        <is>
          <t>ÖSTERGÖTLANDS LÄN</t>
        </is>
      </c>
      <c r="E144" t="inlineStr">
        <is>
          <t>LINKÖPING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54854-2022</t>
        </is>
      </c>
      <c r="B145" s="1" t="n">
        <v>44884</v>
      </c>
      <c r="C145" s="1" t="n">
        <v>45975</v>
      </c>
      <c r="D145" t="inlineStr">
        <is>
          <t>ÖSTERGÖTLANDS LÄN</t>
        </is>
      </c>
      <c r="E145" t="inlineStr">
        <is>
          <t>LINKÖPING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54855-2022</t>
        </is>
      </c>
      <c r="B146" s="1" t="n">
        <v>44884.59502314815</v>
      </c>
      <c r="C146" s="1" t="n">
        <v>45975</v>
      </c>
      <c r="D146" t="inlineStr">
        <is>
          <t>ÖSTERGÖTLANDS LÄN</t>
        </is>
      </c>
      <c r="E146" t="inlineStr">
        <is>
          <t>LINKÖPING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46416-2021</t>
        </is>
      </c>
      <c r="B147" s="1" t="n">
        <v>44442</v>
      </c>
      <c r="C147" s="1" t="n">
        <v>45975</v>
      </c>
      <c r="D147" t="inlineStr">
        <is>
          <t>ÖSTERGÖTLANDS LÄN</t>
        </is>
      </c>
      <c r="E147" t="inlineStr">
        <is>
          <t>LINKÖPING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11079-2022</t>
        </is>
      </c>
      <c r="B148" s="1" t="n">
        <v>44628</v>
      </c>
      <c r="C148" s="1" t="n">
        <v>45975</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20901-2021</t>
        </is>
      </c>
      <c r="B149" s="1" t="n">
        <v>44319</v>
      </c>
      <c r="C149" s="1" t="n">
        <v>45975</v>
      </c>
      <c r="D149" t="inlineStr">
        <is>
          <t>ÖSTERGÖTLANDS LÄN</t>
        </is>
      </c>
      <c r="E149" t="inlineStr">
        <is>
          <t>LINKÖPING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58258-2021</t>
        </is>
      </c>
      <c r="B150" s="1" t="n">
        <v>44487</v>
      </c>
      <c r="C150" s="1" t="n">
        <v>45975</v>
      </c>
      <c r="D150" t="inlineStr">
        <is>
          <t>ÖSTERGÖTLANDS LÄN</t>
        </is>
      </c>
      <c r="E150" t="inlineStr">
        <is>
          <t>LINKÖPING</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54467-2022</t>
        </is>
      </c>
      <c r="B151" s="1" t="n">
        <v>44882</v>
      </c>
      <c r="C151" s="1" t="n">
        <v>45975</v>
      </c>
      <c r="D151" t="inlineStr">
        <is>
          <t>ÖSTERGÖTLANDS LÄN</t>
        </is>
      </c>
      <c r="E151" t="inlineStr">
        <is>
          <t>LINKÖPING</t>
        </is>
      </c>
      <c r="F151" t="inlineStr">
        <is>
          <t>Sveaskog</t>
        </is>
      </c>
      <c r="G151" t="n">
        <v>2.5</v>
      </c>
      <c r="H151" t="n">
        <v>0</v>
      </c>
      <c r="I151" t="n">
        <v>0</v>
      </c>
      <c r="J151" t="n">
        <v>0</v>
      </c>
      <c r="K151" t="n">
        <v>0</v>
      </c>
      <c r="L151" t="n">
        <v>0</v>
      </c>
      <c r="M151" t="n">
        <v>0</v>
      </c>
      <c r="N151" t="n">
        <v>0</v>
      </c>
      <c r="O151" t="n">
        <v>0</v>
      </c>
      <c r="P151" t="n">
        <v>0</v>
      </c>
      <c r="Q151" t="n">
        <v>0</v>
      </c>
      <c r="R151" s="2" t="inlineStr"/>
    </row>
    <row r="152" ht="15" customHeight="1">
      <c r="A152" t="inlineStr">
        <is>
          <t>A 58287-2021</t>
        </is>
      </c>
      <c r="B152" s="1" t="n">
        <v>44487</v>
      </c>
      <c r="C152" s="1" t="n">
        <v>45975</v>
      </c>
      <c r="D152" t="inlineStr">
        <is>
          <t>ÖSTERGÖTLANDS LÄN</t>
        </is>
      </c>
      <c r="E152" t="inlineStr">
        <is>
          <t>LINKÖPING</t>
        </is>
      </c>
      <c r="F152" t="inlineStr">
        <is>
          <t>Övriga Aktiebolag</t>
        </is>
      </c>
      <c r="G152" t="n">
        <v>1.5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45975</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53660-2021</t>
        </is>
      </c>
      <c r="B154" s="1" t="n">
        <v>44469</v>
      </c>
      <c r="C154" s="1" t="n">
        <v>45975</v>
      </c>
      <c r="D154" t="inlineStr">
        <is>
          <t>ÖSTERGÖTLANDS LÄN</t>
        </is>
      </c>
      <c r="E154" t="inlineStr">
        <is>
          <t>LINKÖPING</t>
        </is>
      </c>
      <c r="G154" t="n">
        <v>2.6</v>
      </c>
      <c r="H154" t="n">
        <v>0</v>
      </c>
      <c r="I154" t="n">
        <v>0</v>
      </c>
      <c r="J154" t="n">
        <v>0</v>
      </c>
      <c r="K154" t="n">
        <v>0</v>
      </c>
      <c r="L154" t="n">
        <v>0</v>
      </c>
      <c r="M154" t="n">
        <v>0</v>
      </c>
      <c r="N154" t="n">
        <v>0</v>
      </c>
      <c r="O154" t="n">
        <v>0</v>
      </c>
      <c r="P154" t="n">
        <v>0</v>
      </c>
      <c r="Q154" t="n">
        <v>0</v>
      </c>
      <c r="R154" s="2" t="inlineStr"/>
    </row>
    <row r="155" ht="15" customHeight="1">
      <c r="A155" t="inlineStr">
        <is>
          <t>A 52966-2021</t>
        </is>
      </c>
      <c r="B155" s="1" t="n">
        <v>44467</v>
      </c>
      <c r="C155" s="1" t="n">
        <v>45975</v>
      </c>
      <c r="D155" t="inlineStr">
        <is>
          <t>ÖSTERGÖTLANDS LÄN</t>
        </is>
      </c>
      <c r="E155" t="inlineStr">
        <is>
          <t>LINKÖPING</t>
        </is>
      </c>
      <c r="G155" t="n">
        <v>2.6</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45975</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25305-2021</t>
        </is>
      </c>
      <c r="B157" s="1" t="n">
        <v>44342</v>
      </c>
      <c r="C157" s="1" t="n">
        <v>45975</v>
      </c>
      <c r="D157" t="inlineStr">
        <is>
          <t>ÖSTERGÖTLANDS LÄN</t>
        </is>
      </c>
      <c r="E157" t="inlineStr">
        <is>
          <t>LINKÖPING</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65398-2021</t>
        </is>
      </c>
      <c r="B158" s="1" t="n">
        <v>44515</v>
      </c>
      <c r="C158" s="1" t="n">
        <v>45975</v>
      </c>
      <c r="D158" t="inlineStr">
        <is>
          <t>ÖSTERGÖTLANDS LÄN</t>
        </is>
      </c>
      <c r="E158" t="inlineStr">
        <is>
          <t>LINKÖPING</t>
        </is>
      </c>
      <c r="F158" t="inlineStr">
        <is>
          <t>Övriga statliga verk och myndigheter</t>
        </is>
      </c>
      <c r="G158" t="n">
        <v>2.4</v>
      </c>
      <c r="H158" t="n">
        <v>0</v>
      </c>
      <c r="I158" t="n">
        <v>0</v>
      </c>
      <c r="J158" t="n">
        <v>0</v>
      </c>
      <c r="K158" t="n">
        <v>0</v>
      </c>
      <c r="L158" t="n">
        <v>0</v>
      </c>
      <c r="M158" t="n">
        <v>0</v>
      </c>
      <c r="N158" t="n">
        <v>0</v>
      </c>
      <c r="O158" t="n">
        <v>0</v>
      </c>
      <c r="P158" t="n">
        <v>0</v>
      </c>
      <c r="Q158" t="n">
        <v>0</v>
      </c>
      <c r="R158" s="2" t="inlineStr"/>
    </row>
    <row r="159" ht="15" customHeight="1">
      <c r="A159" t="inlineStr">
        <is>
          <t>A 67912-2021</t>
        </is>
      </c>
      <c r="B159" s="1" t="n">
        <v>44525</v>
      </c>
      <c r="C159" s="1" t="n">
        <v>45975</v>
      </c>
      <c r="D159" t="inlineStr">
        <is>
          <t>ÖSTERGÖTLANDS LÄN</t>
        </is>
      </c>
      <c r="E159" t="inlineStr">
        <is>
          <t>LINKÖPING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67940-2021</t>
        </is>
      </c>
      <c r="B160" s="1" t="n">
        <v>44525.62849537037</v>
      </c>
      <c r="C160" s="1" t="n">
        <v>45975</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45975</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384-2021</t>
        </is>
      </c>
      <c r="B162" s="1" t="n">
        <v>44201.57689814815</v>
      </c>
      <c r="C162" s="1" t="n">
        <v>45975</v>
      </c>
      <c r="D162" t="inlineStr">
        <is>
          <t>ÖSTERGÖTLANDS LÄN</t>
        </is>
      </c>
      <c r="E162" t="inlineStr">
        <is>
          <t>LINKÖPING</t>
        </is>
      </c>
      <c r="G162" t="n">
        <v>0.2</v>
      </c>
      <c r="H162" t="n">
        <v>0</v>
      </c>
      <c r="I162" t="n">
        <v>0</v>
      </c>
      <c r="J162" t="n">
        <v>0</v>
      </c>
      <c r="K162" t="n">
        <v>0</v>
      </c>
      <c r="L162" t="n">
        <v>0</v>
      </c>
      <c r="M162" t="n">
        <v>0</v>
      </c>
      <c r="N162" t="n">
        <v>0</v>
      </c>
      <c r="O162" t="n">
        <v>0</v>
      </c>
      <c r="P162" t="n">
        <v>0</v>
      </c>
      <c r="Q162" t="n">
        <v>0</v>
      </c>
      <c r="R162" s="2" t="inlineStr"/>
    </row>
    <row r="163" ht="15" customHeight="1">
      <c r="A163" t="inlineStr">
        <is>
          <t>A 10951-2022</t>
        </is>
      </c>
      <c r="B163" s="1" t="n">
        <v>44627</v>
      </c>
      <c r="C163" s="1" t="n">
        <v>45975</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45975</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38130-2021</t>
        </is>
      </c>
      <c r="B165" s="1" t="n">
        <v>44405</v>
      </c>
      <c r="C165" s="1" t="n">
        <v>45975</v>
      </c>
      <c r="D165" t="inlineStr">
        <is>
          <t>ÖSTERGÖTLANDS LÄN</t>
        </is>
      </c>
      <c r="E165" t="inlineStr">
        <is>
          <t>LINKÖPING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19183-2021</t>
        </is>
      </c>
      <c r="B166" s="1" t="n">
        <v>44308.73248842593</v>
      </c>
      <c r="C166" s="1" t="n">
        <v>45975</v>
      </c>
      <c r="D166" t="inlineStr">
        <is>
          <t>ÖSTERGÖTLANDS LÄN</t>
        </is>
      </c>
      <c r="E166" t="inlineStr">
        <is>
          <t>LINKÖPING</t>
        </is>
      </c>
      <c r="F166" t="inlineStr">
        <is>
          <t>Allmännings- och besparingsskogar</t>
        </is>
      </c>
      <c r="G166" t="n">
        <v>4.6</v>
      </c>
      <c r="H166" t="n">
        <v>0</v>
      </c>
      <c r="I166" t="n">
        <v>0</v>
      </c>
      <c r="J166" t="n">
        <v>0</v>
      </c>
      <c r="K166" t="n">
        <v>0</v>
      </c>
      <c r="L166" t="n">
        <v>0</v>
      </c>
      <c r="M166" t="n">
        <v>0</v>
      </c>
      <c r="N166" t="n">
        <v>0</v>
      </c>
      <c r="O166" t="n">
        <v>0</v>
      </c>
      <c r="P166" t="n">
        <v>0</v>
      </c>
      <c r="Q166" t="n">
        <v>0</v>
      </c>
      <c r="R166" s="2" t="inlineStr"/>
    </row>
    <row r="167" ht="15" customHeight="1">
      <c r="A167" t="inlineStr">
        <is>
          <t>A 33134-2022</t>
        </is>
      </c>
      <c r="B167" s="1" t="n">
        <v>44785</v>
      </c>
      <c r="C167" s="1" t="n">
        <v>45975</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4929-2021</t>
        </is>
      </c>
      <c r="B168" s="1" t="n">
        <v>44227.57533564815</v>
      </c>
      <c r="C168" s="1" t="n">
        <v>45975</v>
      </c>
      <c r="D168" t="inlineStr">
        <is>
          <t>ÖSTERGÖTLANDS LÄN</t>
        </is>
      </c>
      <c r="E168" t="inlineStr">
        <is>
          <t>LINKÖPING</t>
        </is>
      </c>
      <c r="G168" t="n">
        <v>0.4</v>
      </c>
      <c r="H168" t="n">
        <v>0</v>
      </c>
      <c r="I168" t="n">
        <v>0</v>
      </c>
      <c r="J168" t="n">
        <v>0</v>
      </c>
      <c r="K168" t="n">
        <v>0</v>
      </c>
      <c r="L168" t="n">
        <v>0</v>
      </c>
      <c r="M168" t="n">
        <v>0</v>
      </c>
      <c r="N168" t="n">
        <v>0</v>
      </c>
      <c r="O168" t="n">
        <v>0</v>
      </c>
      <c r="P168" t="n">
        <v>0</v>
      </c>
      <c r="Q168" t="n">
        <v>0</v>
      </c>
      <c r="R168" s="2" t="inlineStr"/>
    </row>
    <row r="169" ht="15" customHeight="1">
      <c r="A169" t="inlineStr">
        <is>
          <t>A 40527-2022</t>
        </is>
      </c>
      <c r="B169" s="1" t="n">
        <v>44823</v>
      </c>
      <c r="C169" s="1" t="n">
        <v>45975</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13075-2022</t>
        </is>
      </c>
      <c r="B170" s="1" t="n">
        <v>44643</v>
      </c>
      <c r="C170" s="1" t="n">
        <v>45975</v>
      </c>
      <c r="D170" t="inlineStr">
        <is>
          <t>ÖSTERGÖTLANDS LÄN</t>
        </is>
      </c>
      <c r="E170" t="inlineStr">
        <is>
          <t>LINKÖPING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52968-2021</t>
        </is>
      </c>
      <c r="B171" s="1" t="n">
        <v>44467</v>
      </c>
      <c r="C171" s="1" t="n">
        <v>45975</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13922-2021</t>
        </is>
      </c>
      <c r="B172" s="1" t="n">
        <v>44277.45946759259</v>
      </c>
      <c r="C172" s="1" t="n">
        <v>45975</v>
      </c>
      <c r="D172" t="inlineStr">
        <is>
          <t>ÖSTERGÖTLANDS LÄN</t>
        </is>
      </c>
      <c r="E172" t="inlineStr">
        <is>
          <t>LINKÖPING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65395-2021</t>
        </is>
      </c>
      <c r="B173" s="1" t="n">
        <v>44515</v>
      </c>
      <c r="C173" s="1" t="n">
        <v>45975</v>
      </c>
      <c r="D173" t="inlineStr">
        <is>
          <t>ÖSTERGÖTLANDS LÄN</t>
        </is>
      </c>
      <c r="E173" t="inlineStr">
        <is>
          <t>LINKÖPING</t>
        </is>
      </c>
      <c r="F173" t="inlineStr">
        <is>
          <t>Övriga statliga verk och myndigheter</t>
        </is>
      </c>
      <c r="G173" t="n">
        <v>0.7</v>
      </c>
      <c r="H173" t="n">
        <v>0</v>
      </c>
      <c r="I173" t="n">
        <v>0</v>
      </c>
      <c r="J173" t="n">
        <v>0</v>
      </c>
      <c r="K173" t="n">
        <v>0</v>
      </c>
      <c r="L173" t="n">
        <v>0</v>
      </c>
      <c r="M173" t="n">
        <v>0</v>
      </c>
      <c r="N173" t="n">
        <v>0</v>
      </c>
      <c r="O173" t="n">
        <v>0</v>
      </c>
      <c r="P173" t="n">
        <v>0</v>
      </c>
      <c r="Q173" t="n">
        <v>0</v>
      </c>
      <c r="R173" s="2" t="inlineStr"/>
    </row>
    <row r="174" ht="15" customHeight="1">
      <c r="A174" t="inlineStr">
        <is>
          <t>A 48016-2021</t>
        </is>
      </c>
      <c r="B174" s="1" t="n">
        <v>44449</v>
      </c>
      <c r="C174" s="1" t="n">
        <v>45975</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45975</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45975</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1787-2022</t>
        </is>
      </c>
      <c r="B177" s="1" t="n">
        <v>44574</v>
      </c>
      <c r="C177" s="1" t="n">
        <v>45975</v>
      </c>
      <c r="D177" t="inlineStr">
        <is>
          <t>ÖSTERGÖTLANDS LÄN</t>
        </is>
      </c>
      <c r="E177" t="inlineStr">
        <is>
          <t>LINKÖPING</t>
        </is>
      </c>
      <c r="G177" t="n">
        <v>1.9</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45975</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45975</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30858-2022</t>
        </is>
      </c>
      <c r="B180" s="1" t="n">
        <v>44767</v>
      </c>
      <c r="C180" s="1" t="n">
        <v>45975</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948-2022</t>
        </is>
      </c>
      <c r="B181" s="1" t="n">
        <v>44571</v>
      </c>
      <c r="C181" s="1" t="n">
        <v>45975</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37014-2021</t>
        </is>
      </c>
      <c r="B182" s="1" t="n">
        <v>44393</v>
      </c>
      <c r="C182" s="1" t="n">
        <v>45975</v>
      </c>
      <c r="D182" t="inlineStr">
        <is>
          <t>ÖSTERGÖTLANDS LÄN</t>
        </is>
      </c>
      <c r="E182" t="inlineStr">
        <is>
          <t>LINKÖPING</t>
        </is>
      </c>
      <c r="F182" t="inlineStr">
        <is>
          <t>Allmännings- och besparingsskogar</t>
        </is>
      </c>
      <c r="G182" t="n">
        <v>7.7</v>
      </c>
      <c r="H182" t="n">
        <v>0</v>
      </c>
      <c r="I182" t="n">
        <v>0</v>
      </c>
      <c r="J182" t="n">
        <v>0</v>
      </c>
      <c r="K182" t="n">
        <v>0</v>
      </c>
      <c r="L182" t="n">
        <v>0</v>
      </c>
      <c r="M182" t="n">
        <v>0</v>
      </c>
      <c r="N182" t="n">
        <v>0</v>
      </c>
      <c r="O182" t="n">
        <v>0</v>
      </c>
      <c r="P182" t="n">
        <v>0</v>
      </c>
      <c r="Q182" t="n">
        <v>0</v>
      </c>
      <c r="R182" s="2" t="inlineStr"/>
    </row>
    <row r="183" ht="15" customHeight="1">
      <c r="A183" t="inlineStr">
        <is>
          <t>A 23175-2022</t>
        </is>
      </c>
      <c r="B183" s="1" t="n">
        <v>44719</v>
      </c>
      <c r="C183" s="1" t="n">
        <v>45975</v>
      </c>
      <c r="D183" t="inlineStr">
        <is>
          <t>ÖSTERGÖTLANDS LÄN</t>
        </is>
      </c>
      <c r="E183" t="inlineStr">
        <is>
          <t>LINKÖPING</t>
        </is>
      </c>
      <c r="F183" t="inlineStr">
        <is>
          <t>Allmännings- och besparingsskogar</t>
        </is>
      </c>
      <c r="G183" t="n">
        <v>1.4</v>
      </c>
      <c r="H183" t="n">
        <v>0</v>
      </c>
      <c r="I183" t="n">
        <v>0</v>
      </c>
      <c r="J183" t="n">
        <v>0</v>
      </c>
      <c r="K183" t="n">
        <v>0</v>
      </c>
      <c r="L183" t="n">
        <v>0</v>
      </c>
      <c r="M183" t="n">
        <v>0</v>
      </c>
      <c r="N183" t="n">
        <v>0</v>
      </c>
      <c r="O183" t="n">
        <v>0</v>
      </c>
      <c r="P183" t="n">
        <v>0</v>
      </c>
      <c r="Q183" t="n">
        <v>0</v>
      </c>
      <c r="R183" s="2" t="inlineStr"/>
    </row>
    <row r="184" ht="15" customHeight="1">
      <c r="A184" t="inlineStr">
        <is>
          <t>A 38134-2021</t>
        </is>
      </c>
      <c r="B184" s="1" t="n">
        <v>44405.3794212963</v>
      </c>
      <c r="C184" s="1" t="n">
        <v>45975</v>
      </c>
      <c r="D184" t="inlineStr">
        <is>
          <t>ÖSTERGÖTLANDS LÄN</t>
        </is>
      </c>
      <c r="E184" t="inlineStr">
        <is>
          <t>LINKÖPING</t>
        </is>
      </c>
      <c r="G184" t="n">
        <v>5.1</v>
      </c>
      <c r="H184" t="n">
        <v>0</v>
      </c>
      <c r="I184" t="n">
        <v>0</v>
      </c>
      <c r="J184" t="n">
        <v>0</v>
      </c>
      <c r="K184" t="n">
        <v>0</v>
      </c>
      <c r="L184" t="n">
        <v>0</v>
      </c>
      <c r="M184" t="n">
        <v>0</v>
      </c>
      <c r="N184" t="n">
        <v>0</v>
      </c>
      <c r="O184" t="n">
        <v>0</v>
      </c>
      <c r="P184" t="n">
        <v>0</v>
      </c>
      <c r="Q184" t="n">
        <v>0</v>
      </c>
      <c r="R184" s="2" t="inlineStr"/>
    </row>
    <row r="185" ht="15" customHeight="1">
      <c r="A185" t="inlineStr">
        <is>
          <t>A 19254-2021</t>
        </is>
      </c>
      <c r="B185" s="1" t="n">
        <v>44309.38962962963</v>
      </c>
      <c r="C185" s="1" t="n">
        <v>45975</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45975</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58266-2021</t>
        </is>
      </c>
      <c r="B187" s="1" t="n">
        <v>44487</v>
      </c>
      <c r="C187" s="1" t="n">
        <v>45975</v>
      </c>
      <c r="D187" t="inlineStr">
        <is>
          <t>ÖSTERGÖTLANDS LÄN</t>
        </is>
      </c>
      <c r="E187" t="inlineStr">
        <is>
          <t>LINKÖPING</t>
        </is>
      </c>
      <c r="F187" t="inlineStr">
        <is>
          <t>Övriga Aktiebolag</t>
        </is>
      </c>
      <c r="G187" t="n">
        <v>3.2</v>
      </c>
      <c r="H187" t="n">
        <v>0</v>
      </c>
      <c r="I187" t="n">
        <v>0</v>
      </c>
      <c r="J187" t="n">
        <v>0</v>
      </c>
      <c r="K187" t="n">
        <v>0</v>
      </c>
      <c r="L187" t="n">
        <v>0</v>
      </c>
      <c r="M187" t="n">
        <v>0</v>
      </c>
      <c r="N187" t="n">
        <v>0</v>
      </c>
      <c r="O187" t="n">
        <v>0</v>
      </c>
      <c r="P187" t="n">
        <v>0</v>
      </c>
      <c r="Q187" t="n">
        <v>0</v>
      </c>
      <c r="R187" s="2" t="inlineStr"/>
    </row>
    <row r="188" ht="15" customHeight="1">
      <c r="A188" t="inlineStr">
        <is>
          <t>A 28447-2021</t>
        </is>
      </c>
      <c r="B188" s="1" t="n">
        <v>44356</v>
      </c>
      <c r="C188" s="1" t="n">
        <v>45975</v>
      </c>
      <c r="D188" t="inlineStr">
        <is>
          <t>ÖSTERGÖTLANDS LÄN</t>
        </is>
      </c>
      <c r="E188" t="inlineStr">
        <is>
          <t>LINKÖPING</t>
        </is>
      </c>
      <c r="G188" t="n">
        <v>2</v>
      </c>
      <c r="H188" t="n">
        <v>0</v>
      </c>
      <c r="I188" t="n">
        <v>0</v>
      </c>
      <c r="J188" t="n">
        <v>0</v>
      </c>
      <c r="K188" t="n">
        <v>0</v>
      </c>
      <c r="L188" t="n">
        <v>0</v>
      </c>
      <c r="M188" t="n">
        <v>0</v>
      </c>
      <c r="N188" t="n">
        <v>0</v>
      </c>
      <c r="O188" t="n">
        <v>0</v>
      </c>
      <c r="P188" t="n">
        <v>0</v>
      </c>
      <c r="Q188" t="n">
        <v>0</v>
      </c>
      <c r="R188" s="2" t="inlineStr"/>
    </row>
    <row r="189" ht="15" customHeight="1">
      <c r="A189" t="inlineStr">
        <is>
          <t>A 45819-2024</t>
        </is>
      </c>
      <c r="B189" s="1" t="n">
        <v>45579.7454050926</v>
      </c>
      <c r="C189" s="1" t="n">
        <v>45975</v>
      </c>
      <c r="D189" t="inlineStr">
        <is>
          <t>ÖSTERGÖTLANDS LÄN</t>
        </is>
      </c>
      <c r="E189" t="inlineStr">
        <is>
          <t>LINKÖPING</t>
        </is>
      </c>
      <c r="G189" t="n">
        <v>5</v>
      </c>
      <c r="H189" t="n">
        <v>0</v>
      </c>
      <c r="I189" t="n">
        <v>0</v>
      </c>
      <c r="J189" t="n">
        <v>0</v>
      </c>
      <c r="K189" t="n">
        <v>0</v>
      </c>
      <c r="L189" t="n">
        <v>0</v>
      </c>
      <c r="M189" t="n">
        <v>0</v>
      </c>
      <c r="N189" t="n">
        <v>0</v>
      </c>
      <c r="O189" t="n">
        <v>0</v>
      </c>
      <c r="P189" t="n">
        <v>0</v>
      </c>
      <c r="Q189" t="n">
        <v>0</v>
      </c>
      <c r="R189" s="2" t="inlineStr"/>
    </row>
    <row r="190" ht="15" customHeight="1">
      <c r="A190" t="inlineStr">
        <is>
          <t>A 60129-2020</t>
        </is>
      </c>
      <c r="B190" s="1" t="n">
        <v>44152</v>
      </c>
      <c r="C190" s="1" t="n">
        <v>45975</v>
      </c>
      <c r="D190" t="inlineStr">
        <is>
          <t>ÖSTERGÖTLANDS LÄN</t>
        </is>
      </c>
      <c r="E190" t="inlineStr">
        <is>
          <t>LINKÖPING</t>
        </is>
      </c>
      <c r="F190" t="inlineStr">
        <is>
          <t>Övriga statliga verk och myndigheter</t>
        </is>
      </c>
      <c r="G190" t="n">
        <v>2.5</v>
      </c>
      <c r="H190" t="n">
        <v>0</v>
      </c>
      <c r="I190" t="n">
        <v>0</v>
      </c>
      <c r="J190" t="n">
        <v>0</v>
      </c>
      <c r="K190" t="n">
        <v>0</v>
      </c>
      <c r="L190" t="n">
        <v>0</v>
      </c>
      <c r="M190" t="n">
        <v>0</v>
      </c>
      <c r="N190" t="n">
        <v>0</v>
      </c>
      <c r="O190" t="n">
        <v>0</v>
      </c>
      <c r="P190" t="n">
        <v>0</v>
      </c>
      <c r="Q190" t="n">
        <v>0</v>
      </c>
      <c r="R190" s="2" t="inlineStr"/>
    </row>
    <row r="191" ht="15" customHeight="1">
      <c r="A191" t="inlineStr">
        <is>
          <t>A 3041-2024</t>
        </is>
      </c>
      <c r="B191" s="1" t="n">
        <v>45316.34875</v>
      </c>
      <c r="C191" s="1" t="n">
        <v>45975</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4377-2021</t>
        </is>
      </c>
      <c r="B192" s="1" t="n">
        <v>44223</v>
      </c>
      <c r="C192" s="1" t="n">
        <v>45975</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61153-2021</t>
        </is>
      </c>
      <c r="B193" s="1" t="n">
        <v>44497</v>
      </c>
      <c r="C193" s="1" t="n">
        <v>45975</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33885-2021</t>
        </is>
      </c>
      <c r="B194" s="1" t="n">
        <v>44378</v>
      </c>
      <c r="C194" s="1" t="n">
        <v>45975</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3530-2024</t>
        </is>
      </c>
      <c r="B195" s="1" t="n">
        <v>45320.54717592592</v>
      </c>
      <c r="C195" s="1" t="n">
        <v>45975</v>
      </c>
      <c r="D195" t="inlineStr">
        <is>
          <t>ÖSTERGÖTLANDS LÄN</t>
        </is>
      </c>
      <c r="E195" t="inlineStr">
        <is>
          <t>LINKÖPING</t>
        </is>
      </c>
      <c r="G195" t="n">
        <v>1.5</v>
      </c>
      <c r="H195" t="n">
        <v>0</v>
      </c>
      <c r="I195" t="n">
        <v>0</v>
      </c>
      <c r="J195" t="n">
        <v>0</v>
      </c>
      <c r="K195" t="n">
        <v>0</v>
      </c>
      <c r="L195" t="n">
        <v>0</v>
      </c>
      <c r="M195" t="n">
        <v>0</v>
      </c>
      <c r="N195" t="n">
        <v>0</v>
      </c>
      <c r="O195" t="n">
        <v>0</v>
      </c>
      <c r="P195" t="n">
        <v>0</v>
      </c>
      <c r="Q195" t="n">
        <v>0</v>
      </c>
      <c r="R195" s="2" t="inlineStr"/>
    </row>
    <row r="196" ht="15" customHeight="1">
      <c r="A196" t="inlineStr">
        <is>
          <t>A 12413-2022</t>
        </is>
      </c>
      <c r="B196" s="1" t="n">
        <v>44638</v>
      </c>
      <c r="C196" s="1" t="n">
        <v>45975</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45975</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45975</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62686-2023</t>
        </is>
      </c>
      <c r="B199" s="1" t="n">
        <v>45271</v>
      </c>
      <c r="C199" s="1" t="n">
        <v>45975</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46490-2022</t>
        </is>
      </c>
      <c r="B200" s="1" t="n">
        <v>44848</v>
      </c>
      <c r="C200" s="1" t="n">
        <v>45975</v>
      </c>
      <c r="D200" t="inlineStr">
        <is>
          <t>ÖSTERGÖTLANDS LÄN</t>
        </is>
      </c>
      <c r="E200" t="inlineStr">
        <is>
          <t>LINKÖPING</t>
        </is>
      </c>
      <c r="G200" t="n">
        <v>3.5</v>
      </c>
      <c r="H200" t="n">
        <v>0</v>
      </c>
      <c r="I200" t="n">
        <v>0</v>
      </c>
      <c r="J200" t="n">
        <v>0</v>
      </c>
      <c r="K200" t="n">
        <v>0</v>
      </c>
      <c r="L200" t="n">
        <v>0</v>
      </c>
      <c r="M200" t="n">
        <v>0</v>
      </c>
      <c r="N200" t="n">
        <v>0</v>
      </c>
      <c r="O200" t="n">
        <v>0</v>
      </c>
      <c r="P200" t="n">
        <v>0</v>
      </c>
      <c r="Q200" t="n">
        <v>0</v>
      </c>
      <c r="R200" s="2" t="inlineStr"/>
    </row>
    <row r="201" ht="15" customHeight="1">
      <c r="A201" t="inlineStr">
        <is>
          <t>A 55345-2021</t>
        </is>
      </c>
      <c r="B201" s="1" t="n">
        <v>44475</v>
      </c>
      <c r="C201" s="1" t="n">
        <v>45975</v>
      </c>
      <c r="D201" t="inlineStr">
        <is>
          <t>ÖSTERGÖTLANDS LÄN</t>
        </is>
      </c>
      <c r="E201" t="inlineStr">
        <is>
          <t>LINKÖPING</t>
        </is>
      </c>
      <c r="G201" t="n">
        <v>5.7</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45975</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45975</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61302-2021</t>
        </is>
      </c>
      <c r="B204" s="1" t="n">
        <v>44498.63189814815</v>
      </c>
      <c r="C204" s="1" t="n">
        <v>45975</v>
      </c>
      <c r="D204" t="inlineStr">
        <is>
          <t>ÖSTERGÖTLANDS LÄN</t>
        </is>
      </c>
      <c r="E204" t="inlineStr">
        <is>
          <t>LINKÖPING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45975</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45975</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70-2024</t>
        </is>
      </c>
      <c r="B207" s="1" t="n">
        <v>45293</v>
      </c>
      <c r="C207" s="1" t="n">
        <v>45975</v>
      </c>
      <c r="D207" t="inlineStr">
        <is>
          <t>ÖSTERGÖTLANDS LÄN</t>
        </is>
      </c>
      <c r="E207" t="inlineStr">
        <is>
          <t>LINKÖPING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41426-2022</t>
        </is>
      </c>
      <c r="B208" s="1" t="n">
        <v>44826</v>
      </c>
      <c r="C208" s="1" t="n">
        <v>45975</v>
      </c>
      <c r="D208" t="inlineStr">
        <is>
          <t>ÖSTERGÖTLANDS LÄN</t>
        </is>
      </c>
      <c r="E208" t="inlineStr">
        <is>
          <t>LINKÖPING</t>
        </is>
      </c>
      <c r="G208" t="n">
        <v>3</v>
      </c>
      <c r="H208" t="n">
        <v>0</v>
      </c>
      <c r="I208" t="n">
        <v>0</v>
      </c>
      <c r="J208" t="n">
        <v>0</v>
      </c>
      <c r="K208" t="n">
        <v>0</v>
      </c>
      <c r="L208" t="n">
        <v>0</v>
      </c>
      <c r="M208" t="n">
        <v>0</v>
      </c>
      <c r="N208" t="n">
        <v>0</v>
      </c>
      <c r="O208" t="n">
        <v>0</v>
      </c>
      <c r="P208" t="n">
        <v>0</v>
      </c>
      <c r="Q208" t="n">
        <v>0</v>
      </c>
      <c r="R208" s="2" t="inlineStr"/>
    </row>
    <row r="209" ht="15" customHeight="1">
      <c r="A209" t="inlineStr">
        <is>
          <t>A 6782-2024</t>
        </is>
      </c>
      <c r="B209" s="1" t="n">
        <v>45342</v>
      </c>
      <c r="C209" s="1" t="n">
        <v>45975</v>
      </c>
      <c r="D209" t="inlineStr">
        <is>
          <t>ÖSTERGÖTLANDS LÄN</t>
        </is>
      </c>
      <c r="E209" t="inlineStr">
        <is>
          <t>LINKÖPING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617-2024</t>
        </is>
      </c>
      <c r="B210" s="1" t="n">
        <v>45299.66028935185</v>
      </c>
      <c r="C210" s="1" t="n">
        <v>45975</v>
      </c>
      <c r="D210" t="inlineStr">
        <is>
          <t>ÖSTERGÖTLANDS LÄN</t>
        </is>
      </c>
      <c r="E210" t="inlineStr">
        <is>
          <t>LINKÖPING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34162-2022</t>
        </is>
      </c>
      <c r="B211" s="1" t="n">
        <v>44791</v>
      </c>
      <c r="C211" s="1" t="n">
        <v>45975</v>
      </c>
      <c r="D211" t="inlineStr">
        <is>
          <t>ÖSTERGÖTLANDS LÄN</t>
        </is>
      </c>
      <c r="E211" t="inlineStr">
        <is>
          <t>LINKÖPING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670-2024</t>
        </is>
      </c>
      <c r="B212" s="1" t="n">
        <v>45300.3408912037</v>
      </c>
      <c r="C212" s="1" t="n">
        <v>45975</v>
      </c>
      <c r="D212" t="inlineStr">
        <is>
          <t>ÖSTERGÖTLANDS LÄN</t>
        </is>
      </c>
      <c r="E212" t="inlineStr">
        <is>
          <t>LINKÖPING</t>
        </is>
      </c>
      <c r="F212" t="inlineStr">
        <is>
          <t>Sveaskog</t>
        </is>
      </c>
      <c r="G212" t="n">
        <v>2.3</v>
      </c>
      <c r="H212" t="n">
        <v>0</v>
      </c>
      <c r="I212" t="n">
        <v>0</v>
      </c>
      <c r="J212" t="n">
        <v>0</v>
      </c>
      <c r="K212" t="n">
        <v>0</v>
      </c>
      <c r="L212" t="n">
        <v>0</v>
      </c>
      <c r="M212" t="n">
        <v>0</v>
      </c>
      <c r="N212" t="n">
        <v>0</v>
      </c>
      <c r="O212" t="n">
        <v>0</v>
      </c>
      <c r="P212" t="n">
        <v>0</v>
      </c>
      <c r="Q212" t="n">
        <v>0</v>
      </c>
      <c r="R212" s="2" t="inlineStr"/>
    </row>
    <row r="213" ht="15" customHeight="1">
      <c r="A213" t="inlineStr">
        <is>
          <t>A 52125-2022</t>
        </is>
      </c>
      <c r="B213" s="1" t="n">
        <v>44873</v>
      </c>
      <c r="C213" s="1" t="n">
        <v>45975</v>
      </c>
      <c r="D213" t="inlineStr">
        <is>
          <t>ÖSTERGÖTLANDS LÄN</t>
        </is>
      </c>
      <c r="E213" t="inlineStr">
        <is>
          <t>LINKÖPING</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61298-2021</t>
        </is>
      </c>
      <c r="B214" s="1" t="n">
        <v>44498.62533564815</v>
      </c>
      <c r="C214" s="1" t="n">
        <v>45975</v>
      </c>
      <c r="D214" t="inlineStr">
        <is>
          <t>ÖSTERGÖTLANDS LÄN</t>
        </is>
      </c>
      <c r="E214" t="inlineStr">
        <is>
          <t>LINKÖPING</t>
        </is>
      </c>
      <c r="G214" t="n">
        <v>4.3</v>
      </c>
      <c r="H214" t="n">
        <v>0</v>
      </c>
      <c r="I214" t="n">
        <v>0</v>
      </c>
      <c r="J214" t="n">
        <v>0</v>
      </c>
      <c r="K214" t="n">
        <v>0</v>
      </c>
      <c r="L214" t="n">
        <v>0</v>
      </c>
      <c r="M214" t="n">
        <v>0</v>
      </c>
      <c r="N214" t="n">
        <v>0</v>
      </c>
      <c r="O214" t="n">
        <v>0</v>
      </c>
      <c r="P214" t="n">
        <v>0</v>
      </c>
      <c r="Q214" t="n">
        <v>0</v>
      </c>
      <c r="R214" s="2" t="inlineStr"/>
    </row>
    <row r="215" ht="15" customHeight="1">
      <c r="A215" t="inlineStr">
        <is>
          <t>A 61333-2021</t>
        </is>
      </c>
      <c r="B215" s="1" t="n">
        <v>44498.6764699074</v>
      </c>
      <c r="C215" s="1" t="n">
        <v>45975</v>
      </c>
      <c r="D215" t="inlineStr">
        <is>
          <t>ÖSTERGÖTLANDS LÄN</t>
        </is>
      </c>
      <c r="E215" t="inlineStr">
        <is>
          <t>LINKÖPING</t>
        </is>
      </c>
      <c r="G215" t="n">
        <v>7.5</v>
      </c>
      <c r="H215" t="n">
        <v>0</v>
      </c>
      <c r="I215" t="n">
        <v>0</v>
      </c>
      <c r="J215" t="n">
        <v>0</v>
      </c>
      <c r="K215" t="n">
        <v>0</v>
      </c>
      <c r="L215" t="n">
        <v>0</v>
      </c>
      <c r="M215" t="n">
        <v>0</v>
      </c>
      <c r="N215" t="n">
        <v>0</v>
      </c>
      <c r="O215" t="n">
        <v>0</v>
      </c>
      <c r="P215" t="n">
        <v>0</v>
      </c>
      <c r="Q215" t="n">
        <v>0</v>
      </c>
      <c r="R215" s="2" t="inlineStr"/>
    </row>
    <row r="216" ht="15" customHeight="1">
      <c r="A216" t="inlineStr">
        <is>
          <t>A 10407-2025</t>
        </is>
      </c>
      <c r="B216" s="1" t="n">
        <v>45720.62863425926</v>
      </c>
      <c r="C216" s="1" t="n">
        <v>45975</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12412-2022</t>
        </is>
      </c>
      <c r="B217" s="1" t="n">
        <v>44638</v>
      </c>
      <c r="C217" s="1" t="n">
        <v>45975</v>
      </c>
      <c r="D217" t="inlineStr">
        <is>
          <t>ÖSTERGÖTLANDS LÄN</t>
        </is>
      </c>
      <c r="E217" t="inlineStr">
        <is>
          <t>LINKÖPING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61532-2021</t>
        </is>
      </c>
      <c r="B218" s="1" t="n">
        <v>44501</v>
      </c>
      <c r="C218" s="1" t="n">
        <v>45975</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3374-2023</t>
        </is>
      </c>
      <c r="B219" s="1" t="n">
        <v>44949</v>
      </c>
      <c r="C219" s="1" t="n">
        <v>45975</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224-2024</t>
        </is>
      </c>
      <c r="B220" s="1" t="n">
        <v>45294</v>
      </c>
      <c r="C220" s="1" t="n">
        <v>45975</v>
      </c>
      <c r="D220" t="inlineStr">
        <is>
          <t>ÖSTERGÖTLANDS LÄN</t>
        </is>
      </c>
      <c r="E220" t="inlineStr">
        <is>
          <t>LINKÖPING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6726-2024</t>
        </is>
      </c>
      <c r="B221" s="1" t="n">
        <v>45341</v>
      </c>
      <c r="C221" s="1" t="n">
        <v>45975</v>
      </c>
      <c r="D221" t="inlineStr">
        <is>
          <t>ÖSTERGÖTLANDS LÄN</t>
        </is>
      </c>
      <c r="E221" t="inlineStr">
        <is>
          <t>LINKÖPING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45821-2024</t>
        </is>
      </c>
      <c r="B222" s="1" t="n">
        <v>45579.75803240741</v>
      </c>
      <c r="C222" s="1" t="n">
        <v>45975</v>
      </c>
      <c r="D222" t="inlineStr">
        <is>
          <t>ÖSTERGÖTLANDS LÄN</t>
        </is>
      </c>
      <c r="E222" t="inlineStr">
        <is>
          <t>LINKÖPING</t>
        </is>
      </c>
      <c r="G222" t="n">
        <v>1.5</v>
      </c>
      <c r="H222" t="n">
        <v>0</v>
      </c>
      <c r="I222" t="n">
        <v>0</v>
      </c>
      <c r="J222" t="n">
        <v>0</v>
      </c>
      <c r="K222" t="n">
        <v>0</v>
      </c>
      <c r="L222" t="n">
        <v>0</v>
      </c>
      <c r="M222" t="n">
        <v>0</v>
      </c>
      <c r="N222" t="n">
        <v>0</v>
      </c>
      <c r="O222" t="n">
        <v>0</v>
      </c>
      <c r="P222" t="n">
        <v>0</v>
      </c>
      <c r="Q222" t="n">
        <v>0</v>
      </c>
      <c r="R222" s="2" t="inlineStr"/>
    </row>
    <row r="223" ht="15" customHeight="1">
      <c r="A223" t="inlineStr">
        <is>
          <t>A 39021-2021</t>
        </is>
      </c>
      <c r="B223" s="1" t="n">
        <v>44412</v>
      </c>
      <c r="C223" s="1" t="n">
        <v>45975</v>
      </c>
      <c r="D223" t="inlineStr">
        <is>
          <t>ÖSTERGÖTLANDS LÄN</t>
        </is>
      </c>
      <c r="E223" t="inlineStr">
        <is>
          <t>LINKÖPING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1084-2023</t>
        </is>
      </c>
      <c r="B224" s="1" t="n">
        <v>44929</v>
      </c>
      <c r="C224" s="1" t="n">
        <v>45975</v>
      </c>
      <c r="D224" t="inlineStr">
        <is>
          <t>ÖSTERGÖTLANDS LÄN</t>
        </is>
      </c>
      <c r="E224" t="inlineStr">
        <is>
          <t>LINKÖPING</t>
        </is>
      </c>
      <c r="G224" t="n">
        <v>10.4</v>
      </c>
      <c r="H224" t="n">
        <v>0</v>
      </c>
      <c r="I224" t="n">
        <v>0</v>
      </c>
      <c r="J224" t="n">
        <v>0</v>
      </c>
      <c r="K224" t="n">
        <v>0</v>
      </c>
      <c r="L224" t="n">
        <v>0</v>
      </c>
      <c r="M224" t="n">
        <v>0</v>
      </c>
      <c r="N224" t="n">
        <v>0</v>
      </c>
      <c r="O224" t="n">
        <v>0</v>
      </c>
      <c r="P224" t="n">
        <v>0</v>
      </c>
      <c r="Q224" t="n">
        <v>0</v>
      </c>
      <c r="R224" s="2" t="inlineStr"/>
    </row>
    <row r="225" ht="15" customHeight="1">
      <c r="A225" t="inlineStr">
        <is>
          <t>A 53814-2023</t>
        </is>
      </c>
      <c r="B225" s="1" t="n">
        <v>45231</v>
      </c>
      <c r="C225" s="1" t="n">
        <v>45975</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12035-2025</t>
        </is>
      </c>
      <c r="B226" s="1" t="n">
        <v>45728.64946759259</v>
      </c>
      <c r="C226" s="1" t="n">
        <v>45975</v>
      </c>
      <c r="D226" t="inlineStr">
        <is>
          <t>ÖSTERGÖTLANDS LÄN</t>
        </is>
      </c>
      <c r="E226" t="inlineStr">
        <is>
          <t>LINKÖPING</t>
        </is>
      </c>
      <c r="G226" t="n">
        <v>3.7</v>
      </c>
      <c r="H226" t="n">
        <v>0</v>
      </c>
      <c r="I226" t="n">
        <v>0</v>
      </c>
      <c r="J226" t="n">
        <v>0</v>
      </c>
      <c r="K226" t="n">
        <v>0</v>
      </c>
      <c r="L226" t="n">
        <v>0</v>
      </c>
      <c r="M226" t="n">
        <v>0</v>
      </c>
      <c r="N226" t="n">
        <v>0</v>
      </c>
      <c r="O226" t="n">
        <v>0</v>
      </c>
      <c r="P226" t="n">
        <v>0</v>
      </c>
      <c r="Q226" t="n">
        <v>0</v>
      </c>
      <c r="R226" s="2" t="inlineStr"/>
    </row>
    <row r="227" ht="15" customHeight="1">
      <c r="A227" t="inlineStr">
        <is>
          <t>A 29859-2024</t>
        </is>
      </c>
      <c r="B227" s="1" t="n">
        <v>45485.6846412037</v>
      </c>
      <c r="C227" s="1" t="n">
        <v>45975</v>
      </c>
      <c r="D227" t="inlineStr">
        <is>
          <t>ÖSTERGÖTLANDS LÄN</t>
        </is>
      </c>
      <c r="E227" t="inlineStr">
        <is>
          <t>LINKÖPING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51571-2024</t>
        </is>
      </c>
      <c r="B228" s="1" t="n">
        <v>45604</v>
      </c>
      <c r="C228" s="1" t="n">
        <v>45975</v>
      </c>
      <c r="D228" t="inlineStr">
        <is>
          <t>ÖSTERGÖTLANDS LÄN</t>
        </is>
      </c>
      <c r="E228" t="inlineStr">
        <is>
          <t>LINKÖPING</t>
        </is>
      </c>
      <c r="F228" t="inlineStr">
        <is>
          <t>Övriga Aktiebolag</t>
        </is>
      </c>
      <c r="G228" t="n">
        <v>1.4</v>
      </c>
      <c r="H228" t="n">
        <v>0</v>
      </c>
      <c r="I228" t="n">
        <v>0</v>
      </c>
      <c r="J228" t="n">
        <v>0</v>
      </c>
      <c r="K228" t="n">
        <v>0</v>
      </c>
      <c r="L228" t="n">
        <v>0</v>
      </c>
      <c r="M228" t="n">
        <v>0</v>
      </c>
      <c r="N228" t="n">
        <v>0</v>
      </c>
      <c r="O228" t="n">
        <v>0</v>
      </c>
      <c r="P228" t="n">
        <v>0</v>
      </c>
      <c r="Q228" t="n">
        <v>0</v>
      </c>
      <c r="R228" s="2" t="inlineStr"/>
    </row>
    <row r="229" ht="15" customHeight="1">
      <c r="A229" t="inlineStr">
        <is>
          <t>A 61936-2023</t>
        </is>
      </c>
      <c r="B229" s="1" t="n">
        <v>45266.54534722222</v>
      </c>
      <c r="C229" s="1" t="n">
        <v>45975</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223-2024</t>
        </is>
      </c>
      <c r="B230" s="1" t="n">
        <v>45294.72739583333</v>
      </c>
      <c r="C230" s="1" t="n">
        <v>45975</v>
      </c>
      <c r="D230" t="inlineStr">
        <is>
          <t>ÖSTERGÖTLANDS LÄN</t>
        </is>
      </c>
      <c r="E230" t="inlineStr">
        <is>
          <t>LINKÖPING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227-2024</t>
        </is>
      </c>
      <c r="B231" s="1" t="n">
        <v>45294.73603009259</v>
      </c>
      <c r="C231" s="1" t="n">
        <v>45975</v>
      </c>
      <c r="D231" t="inlineStr">
        <is>
          <t>ÖSTERGÖTLANDS LÄN</t>
        </is>
      </c>
      <c r="E231" t="inlineStr">
        <is>
          <t>LINKÖPING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1263-2024</t>
        </is>
      </c>
      <c r="B232" s="1" t="n">
        <v>45302</v>
      </c>
      <c r="C232" s="1" t="n">
        <v>45975</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24464-2023</t>
        </is>
      </c>
      <c r="B233" s="1" t="n">
        <v>45082.58068287037</v>
      </c>
      <c r="C233" s="1" t="n">
        <v>45975</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60004-2022</t>
        </is>
      </c>
      <c r="B234" s="1" t="n">
        <v>44909.47206018519</v>
      </c>
      <c r="C234" s="1" t="n">
        <v>45975</v>
      </c>
      <c r="D234" t="inlineStr">
        <is>
          <t>ÖSTERGÖTLANDS LÄN</t>
        </is>
      </c>
      <c r="E234" t="inlineStr">
        <is>
          <t>LINKÖPING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52796-2023</t>
        </is>
      </c>
      <c r="B235" s="1" t="n">
        <v>45219</v>
      </c>
      <c r="C235" s="1" t="n">
        <v>45975</v>
      </c>
      <c r="D235" t="inlineStr">
        <is>
          <t>ÖSTERGÖTLANDS LÄN</t>
        </is>
      </c>
      <c r="E235" t="inlineStr">
        <is>
          <t>LINKÖPING</t>
        </is>
      </c>
      <c r="F235" t="inlineStr">
        <is>
          <t>Övriga statliga verk och myndigheter</t>
        </is>
      </c>
      <c r="G235" t="n">
        <v>3.9</v>
      </c>
      <c r="H235" t="n">
        <v>0</v>
      </c>
      <c r="I235" t="n">
        <v>0</v>
      </c>
      <c r="J235" t="n">
        <v>0</v>
      </c>
      <c r="K235" t="n">
        <v>0</v>
      </c>
      <c r="L235" t="n">
        <v>0</v>
      </c>
      <c r="M235" t="n">
        <v>0</v>
      </c>
      <c r="N235" t="n">
        <v>0</v>
      </c>
      <c r="O235" t="n">
        <v>0</v>
      </c>
      <c r="P235" t="n">
        <v>0</v>
      </c>
      <c r="Q235" t="n">
        <v>0</v>
      </c>
      <c r="R235" s="2" t="inlineStr"/>
    </row>
    <row r="236" ht="15" customHeight="1">
      <c r="A236" t="inlineStr">
        <is>
          <t>A 50743-2023</t>
        </is>
      </c>
      <c r="B236" s="1" t="n">
        <v>45217</v>
      </c>
      <c r="C236" s="1" t="n">
        <v>45975</v>
      </c>
      <c r="D236" t="inlineStr">
        <is>
          <t>ÖSTERGÖTLANDS LÄN</t>
        </is>
      </c>
      <c r="E236" t="inlineStr">
        <is>
          <t>LINKÖPING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45771-2023</t>
        </is>
      </c>
      <c r="B237" s="1" t="n">
        <v>45195.4384375</v>
      </c>
      <c r="C237" s="1" t="n">
        <v>45975</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51484-2023</t>
        </is>
      </c>
      <c r="B238" s="1" t="n">
        <v>45222</v>
      </c>
      <c r="C238" s="1" t="n">
        <v>45975</v>
      </c>
      <c r="D238" t="inlineStr">
        <is>
          <t>ÖSTERGÖTLANDS LÄN</t>
        </is>
      </c>
      <c r="E238" t="inlineStr">
        <is>
          <t>LINKÖPING</t>
        </is>
      </c>
      <c r="F238" t="inlineStr">
        <is>
          <t>Övriga Aktiebolag</t>
        </is>
      </c>
      <c r="G238" t="n">
        <v>7.7</v>
      </c>
      <c r="H238" t="n">
        <v>0</v>
      </c>
      <c r="I238" t="n">
        <v>0</v>
      </c>
      <c r="J238" t="n">
        <v>0</v>
      </c>
      <c r="K238" t="n">
        <v>0</v>
      </c>
      <c r="L238" t="n">
        <v>0</v>
      </c>
      <c r="M238" t="n">
        <v>0</v>
      </c>
      <c r="N238" t="n">
        <v>0</v>
      </c>
      <c r="O238" t="n">
        <v>0</v>
      </c>
      <c r="P238" t="n">
        <v>0</v>
      </c>
      <c r="Q238" t="n">
        <v>0</v>
      </c>
      <c r="R238" s="2" t="inlineStr"/>
    </row>
    <row r="239" ht="15" customHeight="1">
      <c r="A239" t="inlineStr">
        <is>
          <t>A 48389-2024</t>
        </is>
      </c>
      <c r="B239" s="1" t="n">
        <v>45590.59991898148</v>
      </c>
      <c r="C239" s="1" t="n">
        <v>45975</v>
      </c>
      <c r="D239" t="inlineStr">
        <is>
          <t>ÖSTERGÖTLANDS LÄN</t>
        </is>
      </c>
      <c r="E239" t="inlineStr">
        <is>
          <t>LINKÖPING</t>
        </is>
      </c>
      <c r="G239" t="n">
        <v>2.6</v>
      </c>
      <c r="H239" t="n">
        <v>0</v>
      </c>
      <c r="I239" t="n">
        <v>0</v>
      </c>
      <c r="J239" t="n">
        <v>0</v>
      </c>
      <c r="K239" t="n">
        <v>0</v>
      </c>
      <c r="L239" t="n">
        <v>0</v>
      </c>
      <c r="M239" t="n">
        <v>0</v>
      </c>
      <c r="N239" t="n">
        <v>0</v>
      </c>
      <c r="O239" t="n">
        <v>0</v>
      </c>
      <c r="P239" t="n">
        <v>0</v>
      </c>
      <c r="Q239" t="n">
        <v>0</v>
      </c>
      <c r="R239" s="2" t="inlineStr"/>
    </row>
    <row r="240" ht="15" customHeight="1">
      <c r="A240" t="inlineStr">
        <is>
          <t>A 63554-2023</t>
        </is>
      </c>
      <c r="B240" s="1" t="n">
        <v>45275</v>
      </c>
      <c r="C240" s="1" t="n">
        <v>45975</v>
      </c>
      <c r="D240" t="inlineStr">
        <is>
          <t>ÖSTERGÖTLANDS LÄN</t>
        </is>
      </c>
      <c r="E240" t="inlineStr">
        <is>
          <t>LINKÖPING</t>
        </is>
      </c>
      <c r="G240" t="n">
        <v>4.3</v>
      </c>
      <c r="H240" t="n">
        <v>0</v>
      </c>
      <c r="I240" t="n">
        <v>0</v>
      </c>
      <c r="J240" t="n">
        <v>0</v>
      </c>
      <c r="K240" t="n">
        <v>0</v>
      </c>
      <c r="L240" t="n">
        <v>0</v>
      </c>
      <c r="M240" t="n">
        <v>0</v>
      </c>
      <c r="N240" t="n">
        <v>0</v>
      </c>
      <c r="O240" t="n">
        <v>0</v>
      </c>
      <c r="P240" t="n">
        <v>0</v>
      </c>
      <c r="Q240" t="n">
        <v>0</v>
      </c>
      <c r="R240" s="2" t="inlineStr"/>
    </row>
    <row r="241" ht="15" customHeight="1">
      <c r="A241" t="inlineStr">
        <is>
          <t>A 61281-2021</t>
        </is>
      </c>
      <c r="B241" s="1" t="n">
        <v>44498.60736111111</v>
      </c>
      <c r="C241" s="1" t="n">
        <v>45975</v>
      </c>
      <c r="D241" t="inlineStr">
        <is>
          <t>ÖSTERGÖTLANDS LÄN</t>
        </is>
      </c>
      <c r="E241" t="inlineStr">
        <is>
          <t>LINKÖPING</t>
        </is>
      </c>
      <c r="G241" t="n">
        <v>4.5</v>
      </c>
      <c r="H241" t="n">
        <v>0</v>
      </c>
      <c r="I241" t="n">
        <v>0</v>
      </c>
      <c r="J241" t="n">
        <v>0</v>
      </c>
      <c r="K241" t="n">
        <v>0</v>
      </c>
      <c r="L241" t="n">
        <v>0</v>
      </c>
      <c r="M241" t="n">
        <v>0</v>
      </c>
      <c r="N241" t="n">
        <v>0</v>
      </c>
      <c r="O241" t="n">
        <v>0</v>
      </c>
      <c r="P241" t="n">
        <v>0</v>
      </c>
      <c r="Q241" t="n">
        <v>0</v>
      </c>
      <c r="R241" s="2" t="inlineStr"/>
    </row>
    <row r="242" ht="15" customHeight="1">
      <c r="A242" t="inlineStr">
        <is>
          <t>A 30111-2024</t>
        </is>
      </c>
      <c r="B242" s="1" t="n">
        <v>45489.46947916667</v>
      </c>
      <c r="C242" s="1" t="n">
        <v>45975</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30119-2024</t>
        </is>
      </c>
      <c r="B243" s="1" t="n">
        <v>45489</v>
      </c>
      <c r="C243" s="1" t="n">
        <v>45975</v>
      </c>
      <c r="D243" t="inlineStr">
        <is>
          <t>ÖSTERGÖTLANDS LÄN</t>
        </is>
      </c>
      <c r="E243" t="inlineStr">
        <is>
          <t>LINKÖPING</t>
        </is>
      </c>
      <c r="G243" t="n">
        <v>1.7</v>
      </c>
      <c r="H243" t="n">
        <v>0</v>
      </c>
      <c r="I243" t="n">
        <v>0</v>
      </c>
      <c r="J243" t="n">
        <v>0</v>
      </c>
      <c r="K243" t="n">
        <v>0</v>
      </c>
      <c r="L243" t="n">
        <v>0</v>
      </c>
      <c r="M243" t="n">
        <v>0</v>
      </c>
      <c r="N243" t="n">
        <v>0</v>
      </c>
      <c r="O243" t="n">
        <v>0</v>
      </c>
      <c r="P243" t="n">
        <v>0</v>
      </c>
      <c r="Q243" t="n">
        <v>0</v>
      </c>
      <c r="R243" s="2" t="inlineStr"/>
    </row>
    <row r="244" ht="15" customHeight="1">
      <c r="A244" t="inlineStr">
        <is>
          <t>A 6206-2024</t>
        </is>
      </c>
      <c r="B244" s="1" t="n">
        <v>45337.5977662037</v>
      </c>
      <c r="C244" s="1" t="n">
        <v>45975</v>
      </c>
      <c r="D244" t="inlineStr">
        <is>
          <t>ÖSTERGÖTLANDS LÄN</t>
        </is>
      </c>
      <c r="E244" t="inlineStr">
        <is>
          <t>LINKÖPING</t>
        </is>
      </c>
      <c r="G244" t="n">
        <v>2</v>
      </c>
      <c r="H244" t="n">
        <v>0</v>
      </c>
      <c r="I244" t="n">
        <v>0</v>
      </c>
      <c r="J244" t="n">
        <v>0</v>
      </c>
      <c r="K244" t="n">
        <v>0</v>
      </c>
      <c r="L244" t="n">
        <v>0</v>
      </c>
      <c r="M244" t="n">
        <v>0</v>
      </c>
      <c r="N244" t="n">
        <v>0</v>
      </c>
      <c r="O244" t="n">
        <v>0</v>
      </c>
      <c r="P244" t="n">
        <v>0</v>
      </c>
      <c r="Q244" t="n">
        <v>0</v>
      </c>
      <c r="R244" s="2" t="inlineStr"/>
    </row>
    <row r="245" ht="15" customHeight="1">
      <c r="A245" t="inlineStr">
        <is>
          <t>A 56917-2022</t>
        </is>
      </c>
      <c r="B245" s="1" t="n">
        <v>44894</v>
      </c>
      <c r="C245" s="1" t="n">
        <v>45975</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6369-2023</t>
        </is>
      </c>
      <c r="B246" s="1" t="n">
        <v>44965.61106481482</v>
      </c>
      <c r="C246" s="1" t="n">
        <v>45975</v>
      </c>
      <c r="D246" t="inlineStr">
        <is>
          <t>ÖSTERGÖTLANDS LÄN</t>
        </is>
      </c>
      <c r="E246" t="inlineStr">
        <is>
          <t>LINKÖPING</t>
        </is>
      </c>
      <c r="G246" t="n">
        <v>4</v>
      </c>
      <c r="H246" t="n">
        <v>0</v>
      </c>
      <c r="I246" t="n">
        <v>0</v>
      </c>
      <c r="J246" t="n">
        <v>0</v>
      </c>
      <c r="K246" t="n">
        <v>0</v>
      </c>
      <c r="L246" t="n">
        <v>0</v>
      </c>
      <c r="M246" t="n">
        <v>0</v>
      </c>
      <c r="N246" t="n">
        <v>0</v>
      </c>
      <c r="O246" t="n">
        <v>0</v>
      </c>
      <c r="P246" t="n">
        <v>0</v>
      </c>
      <c r="Q246" t="n">
        <v>0</v>
      </c>
      <c r="R246" s="2" t="inlineStr"/>
    </row>
    <row r="247" ht="15" customHeight="1">
      <c r="A247" t="inlineStr">
        <is>
          <t>A 15714-2024</t>
        </is>
      </c>
      <c r="B247" s="1" t="n">
        <v>45404.48288194444</v>
      </c>
      <c r="C247" s="1" t="n">
        <v>45975</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30481-2023</t>
        </is>
      </c>
      <c r="B248" s="1" t="n">
        <v>45111</v>
      </c>
      <c r="C248" s="1" t="n">
        <v>45975</v>
      </c>
      <c r="D248" t="inlineStr">
        <is>
          <t>ÖSTERGÖTLANDS LÄN</t>
        </is>
      </c>
      <c r="E248" t="inlineStr">
        <is>
          <t>LINKÖPING</t>
        </is>
      </c>
      <c r="F248" t="inlineStr">
        <is>
          <t>Övriga Aktiebolag</t>
        </is>
      </c>
      <c r="G248" t="n">
        <v>2</v>
      </c>
      <c r="H248" t="n">
        <v>0</v>
      </c>
      <c r="I248" t="n">
        <v>0</v>
      </c>
      <c r="J248" t="n">
        <v>0</v>
      </c>
      <c r="K248" t="n">
        <v>0</v>
      </c>
      <c r="L248" t="n">
        <v>0</v>
      </c>
      <c r="M248" t="n">
        <v>0</v>
      </c>
      <c r="N248" t="n">
        <v>0</v>
      </c>
      <c r="O248" t="n">
        <v>0</v>
      </c>
      <c r="P248" t="n">
        <v>0</v>
      </c>
      <c r="Q248" t="n">
        <v>0</v>
      </c>
      <c r="R248" s="2" t="inlineStr"/>
    </row>
    <row r="249" ht="15" customHeight="1">
      <c r="A249" t="inlineStr">
        <is>
          <t>A 74160-2021</t>
        </is>
      </c>
      <c r="B249" s="1" t="n">
        <v>44558</v>
      </c>
      <c r="C249" s="1" t="n">
        <v>45975</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63559-2023</t>
        </is>
      </c>
      <c r="B250" s="1" t="n">
        <v>45275.35924768518</v>
      </c>
      <c r="C250" s="1" t="n">
        <v>45975</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1265-2023</t>
        </is>
      </c>
      <c r="B251" s="1" t="n">
        <v>44936</v>
      </c>
      <c r="C251" s="1" t="n">
        <v>45975</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1362-2023</t>
        </is>
      </c>
      <c r="B252" s="1" t="n">
        <v>44931</v>
      </c>
      <c r="C252" s="1" t="n">
        <v>45975</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54034-2022</t>
        </is>
      </c>
      <c r="B253" s="1" t="n">
        <v>44881</v>
      </c>
      <c r="C253" s="1" t="n">
        <v>45975</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23491-2024</t>
        </is>
      </c>
      <c r="B254" s="1" t="n">
        <v>45453</v>
      </c>
      <c r="C254" s="1" t="n">
        <v>45975</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10094-2024</t>
        </is>
      </c>
      <c r="B255" s="1" t="n">
        <v>45364</v>
      </c>
      <c r="C255" s="1" t="n">
        <v>45975</v>
      </c>
      <c r="D255" t="inlineStr">
        <is>
          <t>ÖSTERGÖTLANDS LÄN</t>
        </is>
      </c>
      <c r="E255" t="inlineStr">
        <is>
          <t>LINKÖPING</t>
        </is>
      </c>
      <c r="F255" t="inlineStr">
        <is>
          <t>Övriga Aktiebolag</t>
        </is>
      </c>
      <c r="G255" t="n">
        <v>1.9</v>
      </c>
      <c r="H255" t="n">
        <v>0</v>
      </c>
      <c r="I255" t="n">
        <v>0</v>
      </c>
      <c r="J255" t="n">
        <v>0</v>
      </c>
      <c r="K255" t="n">
        <v>0</v>
      </c>
      <c r="L255" t="n">
        <v>0</v>
      </c>
      <c r="M255" t="n">
        <v>0</v>
      </c>
      <c r="N255" t="n">
        <v>0</v>
      </c>
      <c r="O255" t="n">
        <v>0</v>
      </c>
      <c r="P255" t="n">
        <v>0</v>
      </c>
      <c r="Q255" t="n">
        <v>0</v>
      </c>
      <c r="R255" s="2" t="inlineStr"/>
    </row>
    <row r="256" ht="15" customHeight="1">
      <c r="A256" t="inlineStr">
        <is>
          <t>A 55493-2021</t>
        </is>
      </c>
      <c r="B256" s="1" t="n">
        <v>44475.61988425926</v>
      </c>
      <c r="C256" s="1" t="n">
        <v>45975</v>
      </c>
      <c r="D256" t="inlineStr">
        <is>
          <t>ÖSTERGÖTLANDS LÄN</t>
        </is>
      </c>
      <c r="E256" t="inlineStr">
        <is>
          <t>LINKÖPING</t>
        </is>
      </c>
      <c r="G256" t="n">
        <v>1.5</v>
      </c>
      <c r="H256" t="n">
        <v>0</v>
      </c>
      <c r="I256" t="n">
        <v>0</v>
      </c>
      <c r="J256" t="n">
        <v>0</v>
      </c>
      <c r="K256" t="n">
        <v>0</v>
      </c>
      <c r="L256" t="n">
        <v>0</v>
      </c>
      <c r="M256" t="n">
        <v>0</v>
      </c>
      <c r="N256" t="n">
        <v>0</v>
      </c>
      <c r="O256" t="n">
        <v>0</v>
      </c>
      <c r="P256" t="n">
        <v>0</v>
      </c>
      <c r="Q256" t="n">
        <v>0</v>
      </c>
      <c r="R256" s="2" t="inlineStr"/>
    </row>
    <row r="257" ht="15" customHeight="1">
      <c r="A257" t="inlineStr">
        <is>
          <t>A 9434-2024</t>
        </is>
      </c>
      <c r="B257" s="1" t="n">
        <v>45359</v>
      </c>
      <c r="C257" s="1" t="n">
        <v>45975</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29309-2024</t>
        </is>
      </c>
      <c r="B258" s="1" t="n">
        <v>45483</v>
      </c>
      <c r="C258" s="1" t="n">
        <v>45975</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6054-2022</t>
        </is>
      </c>
      <c r="B259" s="1" t="n">
        <v>44599.53623842593</v>
      </c>
      <c r="C259" s="1" t="n">
        <v>45975</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29411-2023</t>
        </is>
      </c>
      <c r="B260" s="1" t="n">
        <v>45106.46225694445</v>
      </c>
      <c r="C260" s="1" t="n">
        <v>45975</v>
      </c>
      <c r="D260" t="inlineStr">
        <is>
          <t>ÖSTERGÖTLANDS LÄN</t>
        </is>
      </c>
      <c r="E260" t="inlineStr">
        <is>
          <t>LINKÖPING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29412-2023</t>
        </is>
      </c>
      <c r="B261" s="1" t="n">
        <v>45106.46359953703</v>
      </c>
      <c r="C261" s="1" t="n">
        <v>45975</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29413-2023</t>
        </is>
      </c>
      <c r="B262" s="1" t="n">
        <v>45106.46465277778</v>
      </c>
      <c r="C262" s="1" t="n">
        <v>45975</v>
      </c>
      <c r="D262" t="inlineStr">
        <is>
          <t>ÖSTERGÖTLANDS LÄN</t>
        </is>
      </c>
      <c r="E262" t="inlineStr">
        <is>
          <t>LINKÖPING</t>
        </is>
      </c>
      <c r="G262" t="n">
        <v>8</v>
      </c>
      <c r="H262" t="n">
        <v>0</v>
      </c>
      <c r="I262" t="n">
        <v>0</v>
      </c>
      <c r="J262" t="n">
        <v>0</v>
      </c>
      <c r="K262" t="n">
        <v>0</v>
      </c>
      <c r="L262" t="n">
        <v>0</v>
      </c>
      <c r="M262" t="n">
        <v>0</v>
      </c>
      <c r="N262" t="n">
        <v>0</v>
      </c>
      <c r="O262" t="n">
        <v>0</v>
      </c>
      <c r="P262" t="n">
        <v>0</v>
      </c>
      <c r="Q262" t="n">
        <v>0</v>
      </c>
      <c r="R262" s="2" t="inlineStr"/>
    </row>
    <row r="263" ht="15" customHeight="1">
      <c r="A263" t="inlineStr">
        <is>
          <t>A 63678-2023</t>
        </is>
      </c>
      <c r="B263" s="1" t="n">
        <v>45275.64769675926</v>
      </c>
      <c r="C263" s="1" t="n">
        <v>45975</v>
      </c>
      <c r="D263" t="inlineStr">
        <is>
          <t>ÖSTERGÖTLANDS LÄN</t>
        </is>
      </c>
      <c r="E263" t="inlineStr">
        <is>
          <t>LINKÖPING</t>
        </is>
      </c>
      <c r="F263" t="inlineStr">
        <is>
          <t>Övriga Aktiebolag</t>
        </is>
      </c>
      <c r="G263" t="n">
        <v>0.4</v>
      </c>
      <c r="H263" t="n">
        <v>0</v>
      </c>
      <c r="I263" t="n">
        <v>0</v>
      </c>
      <c r="J263" t="n">
        <v>0</v>
      </c>
      <c r="K263" t="n">
        <v>0</v>
      </c>
      <c r="L263" t="n">
        <v>0</v>
      </c>
      <c r="M263" t="n">
        <v>0</v>
      </c>
      <c r="N263" t="n">
        <v>0</v>
      </c>
      <c r="O263" t="n">
        <v>0</v>
      </c>
      <c r="P263" t="n">
        <v>0</v>
      </c>
      <c r="Q263" t="n">
        <v>0</v>
      </c>
      <c r="R263" s="2" t="inlineStr"/>
    </row>
    <row r="264" ht="15" customHeight="1">
      <c r="A264" t="inlineStr">
        <is>
          <t>A 63688-2023</t>
        </is>
      </c>
      <c r="B264" s="1" t="n">
        <v>45275</v>
      </c>
      <c r="C264" s="1" t="n">
        <v>45975</v>
      </c>
      <c r="D264" t="inlineStr">
        <is>
          <t>ÖSTERGÖTLANDS LÄN</t>
        </is>
      </c>
      <c r="E264" t="inlineStr">
        <is>
          <t>LINKÖPING</t>
        </is>
      </c>
      <c r="F264" t="inlineStr">
        <is>
          <t>Övriga Aktiebolag</t>
        </is>
      </c>
      <c r="G264" t="n">
        <v>2.4</v>
      </c>
      <c r="H264" t="n">
        <v>0</v>
      </c>
      <c r="I264" t="n">
        <v>0</v>
      </c>
      <c r="J264" t="n">
        <v>0</v>
      </c>
      <c r="K264" t="n">
        <v>0</v>
      </c>
      <c r="L264" t="n">
        <v>0</v>
      </c>
      <c r="M264" t="n">
        <v>0</v>
      </c>
      <c r="N264" t="n">
        <v>0</v>
      </c>
      <c r="O264" t="n">
        <v>0</v>
      </c>
      <c r="P264" t="n">
        <v>0</v>
      </c>
      <c r="Q264" t="n">
        <v>0</v>
      </c>
      <c r="R264" s="2" t="inlineStr"/>
    </row>
    <row r="265" ht="15" customHeight="1">
      <c r="A265" t="inlineStr">
        <is>
          <t>A 63691-2023</t>
        </is>
      </c>
      <c r="B265" s="1" t="n">
        <v>45275</v>
      </c>
      <c r="C265" s="1" t="n">
        <v>45975</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34557-2022</t>
        </is>
      </c>
      <c r="B266" s="1" t="n">
        <v>44794.57074074074</v>
      </c>
      <c r="C266" s="1" t="n">
        <v>45975</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1207-2023</t>
        </is>
      </c>
      <c r="B267" s="1" t="n">
        <v>44930</v>
      </c>
      <c r="C267" s="1" t="n">
        <v>45975</v>
      </c>
      <c r="D267" t="inlineStr">
        <is>
          <t>ÖSTERGÖTLANDS LÄN</t>
        </is>
      </c>
      <c r="E267" t="inlineStr">
        <is>
          <t>LINKÖPING</t>
        </is>
      </c>
      <c r="F267" t="inlineStr">
        <is>
          <t>Övriga statliga verk och myndigheter</t>
        </is>
      </c>
      <c r="G267" t="n">
        <v>32.8</v>
      </c>
      <c r="H267" t="n">
        <v>0</v>
      </c>
      <c r="I267" t="n">
        <v>0</v>
      </c>
      <c r="J267" t="n">
        <v>0</v>
      </c>
      <c r="K267" t="n">
        <v>0</v>
      </c>
      <c r="L267" t="n">
        <v>0</v>
      </c>
      <c r="M267" t="n">
        <v>0</v>
      </c>
      <c r="N267" t="n">
        <v>0</v>
      </c>
      <c r="O267" t="n">
        <v>0</v>
      </c>
      <c r="P267" t="n">
        <v>0</v>
      </c>
      <c r="Q267" t="n">
        <v>0</v>
      </c>
      <c r="R267" s="2" t="inlineStr"/>
    </row>
    <row r="268" ht="15" customHeight="1">
      <c r="A268" t="inlineStr">
        <is>
          <t>A 25119-2023</t>
        </is>
      </c>
      <c r="B268" s="1" t="n">
        <v>45086.42326388889</v>
      </c>
      <c r="C268" s="1" t="n">
        <v>45975</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62015-2024</t>
        </is>
      </c>
      <c r="B269" s="1" t="n">
        <v>45655.80457175926</v>
      </c>
      <c r="C269" s="1" t="n">
        <v>45975</v>
      </c>
      <c r="D269" t="inlineStr">
        <is>
          <t>ÖSTERGÖTLANDS LÄN</t>
        </is>
      </c>
      <c r="E269" t="inlineStr">
        <is>
          <t>LINKÖPING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62020-2024</t>
        </is>
      </c>
      <c r="B270" s="1" t="n">
        <v>45655.83563657408</v>
      </c>
      <c r="C270" s="1" t="n">
        <v>45975</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62021-2024</t>
        </is>
      </c>
      <c r="B271" s="1" t="n">
        <v>45655.84232638889</v>
      </c>
      <c r="C271" s="1" t="n">
        <v>45975</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24151-2024</t>
        </is>
      </c>
      <c r="B272" s="1" t="n">
        <v>45456.67717592593</v>
      </c>
      <c r="C272" s="1" t="n">
        <v>45975</v>
      </c>
      <c r="D272" t="inlineStr">
        <is>
          <t>ÖSTERGÖTLANDS LÄN</t>
        </is>
      </c>
      <c r="E272" t="inlineStr">
        <is>
          <t>LINKÖPING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17157-2024</t>
        </is>
      </c>
      <c r="B273" s="1" t="n">
        <v>45412.70567129629</v>
      </c>
      <c r="C273" s="1" t="n">
        <v>45975</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4456-2024</t>
        </is>
      </c>
      <c r="B274" s="1" t="n">
        <v>45327.52847222222</v>
      </c>
      <c r="C274" s="1" t="n">
        <v>45975</v>
      </c>
      <c r="D274" t="inlineStr">
        <is>
          <t>ÖSTERGÖTLANDS LÄN</t>
        </is>
      </c>
      <c r="E274" t="inlineStr">
        <is>
          <t>LINKÖPING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27891-2021</t>
        </is>
      </c>
      <c r="B275" s="1" t="n">
        <v>44354.65108796296</v>
      </c>
      <c r="C275" s="1" t="n">
        <v>45975</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45975</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57391-2023</t>
        </is>
      </c>
      <c r="B277" s="1" t="n">
        <v>45245</v>
      </c>
      <c r="C277" s="1" t="n">
        <v>45975</v>
      </c>
      <c r="D277" t="inlineStr">
        <is>
          <t>ÖSTERGÖTLANDS LÄN</t>
        </is>
      </c>
      <c r="E277" t="inlineStr">
        <is>
          <t>LINKÖPING</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13689-2025</t>
        </is>
      </c>
      <c r="B278" s="1" t="n">
        <v>45737.31590277778</v>
      </c>
      <c r="C278" s="1" t="n">
        <v>45975</v>
      </c>
      <c r="D278" t="inlineStr">
        <is>
          <t>ÖSTERGÖTLANDS LÄN</t>
        </is>
      </c>
      <c r="E278" t="inlineStr">
        <is>
          <t>LINKÖPING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13696-2025</t>
        </is>
      </c>
      <c r="B279" s="1" t="n">
        <v>45737.32273148148</v>
      </c>
      <c r="C279" s="1" t="n">
        <v>45975</v>
      </c>
      <c r="D279" t="inlineStr">
        <is>
          <t>ÖSTERGÖTLANDS LÄN</t>
        </is>
      </c>
      <c r="E279" t="inlineStr">
        <is>
          <t>LINKÖPING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20294-2025</t>
        </is>
      </c>
      <c r="B280" s="1" t="n">
        <v>45774.74667824074</v>
      </c>
      <c r="C280" s="1" t="n">
        <v>45975</v>
      </c>
      <c r="D280" t="inlineStr">
        <is>
          <t>ÖSTERGÖTLANDS LÄN</t>
        </is>
      </c>
      <c r="E280" t="inlineStr">
        <is>
          <t>LINKÖPING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12428-2024</t>
        </is>
      </c>
      <c r="B281" s="1" t="n">
        <v>45379</v>
      </c>
      <c r="C281" s="1" t="n">
        <v>45975</v>
      </c>
      <c r="D281" t="inlineStr">
        <is>
          <t>ÖSTERGÖTLANDS LÄN</t>
        </is>
      </c>
      <c r="E281" t="inlineStr">
        <is>
          <t>LINKÖPING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63845-2021</t>
        </is>
      </c>
      <c r="B282" s="1" t="n">
        <v>44509</v>
      </c>
      <c r="C282" s="1" t="n">
        <v>45975</v>
      </c>
      <c r="D282" t="inlineStr">
        <is>
          <t>ÖSTERGÖTLANDS LÄN</t>
        </is>
      </c>
      <c r="E282" t="inlineStr">
        <is>
          <t>LINKÖPING</t>
        </is>
      </c>
      <c r="G282" t="n">
        <v>5</v>
      </c>
      <c r="H282" t="n">
        <v>0</v>
      </c>
      <c r="I282" t="n">
        <v>0</v>
      </c>
      <c r="J282" t="n">
        <v>0</v>
      </c>
      <c r="K282" t="n">
        <v>0</v>
      </c>
      <c r="L282" t="n">
        <v>0</v>
      </c>
      <c r="M282" t="n">
        <v>0</v>
      </c>
      <c r="N282" t="n">
        <v>0</v>
      </c>
      <c r="O282" t="n">
        <v>0</v>
      </c>
      <c r="P282" t="n">
        <v>0</v>
      </c>
      <c r="Q282" t="n">
        <v>0</v>
      </c>
      <c r="R282" s="2" t="inlineStr"/>
    </row>
    <row r="283" ht="15" customHeight="1">
      <c r="A283" t="inlineStr">
        <is>
          <t>A 60013-2022</t>
        </is>
      </c>
      <c r="B283" s="1" t="n">
        <v>44909.47482638889</v>
      </c>
      <c r="C283" s="1" t="n">
        <v>45975</v>
      </c>
      <c r="D283" t="inlineStr">
        <is>
          <t>ÖSTERGÖTLANDS LÄN</t>
        </is>
      </c>
      <c r="E283" t="inlineStr">
        <is>
          <t>LINKÖPING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17785-2023</t>
        </is>
      </c>
      <c r="B284" s="1" t="n">
        <v>45037.55094907407</v>
      </c>
      <c r="C284" s="1" t="n">
        <v>45975</v>
      </c>
      <c r="D284" t="inlineStr">
        <is>
          <t>ÖSTERGÖTLANDS LÄN</t>
        </is>
      </c>
      <c r="E284" t="inlineStr">
        <is>
          <t>LINKÖPING</t>
        </is>
      </c>
      <c r="F284" t="inlineStr">
        <is>
          <t>Allmännings- och besparingsskogar</t>
        </is>
      </c>
      <c r="G284" t="n">
        <v>3.1</v>
      </c>
      <c r="H284" t="n">
        <v>0</v>
      </c>
      <c r="I284" t="n">
        <v>0</v>
      </c>
      <c r="J284" t="n">
        <v>0</v>
      </c>
      <c r="K284" t="n">
        <v>0</v>
      </c>
      <c r="L284" t="n">
        <v>0</v>
      </c>
      <c r="M284" t="n">
        <v>0</v>
      </c>
      <c r="N284" t="n">
        <v>0</v>
      </c>
      <c r="O284" t="n">
        <v>0</v>
      </c>
      <c r="P284" t="n">
        <v>0</v>
      </c>
      <c r="Q284" t="n">
        <v>0</v>
      </c>
      <c r="R284" s="2" t="inlineStr"/>
    </row>
    <row r="285" ht="15" customHeight="1">
      <c r="A285" t="inlineStr">
        <is>
          <t>A 32346-2023</t>
        </is>
      </c>
      <c r="B285" s="1" t="n">
        <v>45120</v>
      </c>
      <c r="C285" s="1" t="n">
        <v>45975</v>
      </c>
      <c r="D285" t="inlineStr">
        <is>
          <t>ÖSTERGÖTLANDS LÄN</t>
        </is>
      </c>
      <c r="E285" t="inlineStr">
        <is>
          <t>LINKÖPING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52892-2024</t>
        </is>
      </c>
      <c r="B286" s="1" t="n">
        <v>45610</v>
      </c>
      <c r="C286" s="1" t="n">
        <v>45975</v>
      </c>
      <c r="D286" t="inlineStr">
        <is>
          <t>ÖSTERGÖTLANDS LÄN</t>
        </is>
      </c>
      <c r="E286" t="inlineStr">
        <is>
          <t>LINKÖPING</t>
        </is>
      </c>
      <c r="G286" t="n">
        <v>4.2</v>
      </c>
      <c r="H286" t="n">
        <v>0</v>
      </c>
      <c r="I286" t="n">
        <v>0</v>
      </c>
      <c r="J286" t="n">
        <v>0</v>
      </c>
      <c r="K286" t="n">
        <v>0</v>
      </c>
      <c r="L286" t="n">
        <v>0</v>
      </c>
      <c r="M286" t="n">
        <v>0</v>
      </c>
      <c r="N286" t="n">
        <v>0</v>
      </c>
      <c r="O286" t="n">
        <v>0</v>
      </c>
      <c r="P286" t="n">
        <v>0</v>
      </c>
      <c r="Q286" t="n">
        <v>0</v>
      </c>
      <c r="R286" s="2" t="inlineStr"/>
    </row>
    <row r="287" ht="15" customHeight="1">
      <c r="A287" t="inlineStr">
        <is>
          <t>A 1627-2023</t>
        </is>
      </c>
      <c r="B287" s="1" t="n">
        <v>44937</v>
      </c>
      <c r="C287" s="1" t="n">
        <v>45975</v>
      </c>
      <c r="D287" t="inlineStr">
        <is>
          <t>ÖSTERGÖTLANDS LÄN</t>
        </is>
      </c>
      <c r="E287" t="inlineStr">
        <is>
          <t>LINKÖPING</t>
        </is>
      </c>
      <c r="G287" t="n">
        <v>10.8</v>
      </c>
      <c r="H287" t="n">
        <v>0</v>
      </c>
      <c r="I287" t="n">
        <v>0</v>
      </c>
      <c r="J287" t="n">
        <v>0</v>
      </c>
      <c r="K287" t="n">
        <v>0</v>
      </c>
      <c r="L287" t="n">
        <v>0</v>
      </c>
      <c r="M287" t="n">
        <v>0</v>
      </c>
      <c r="N287" t="n">
        <v>0</v>
      </c>
      <c r="O287" t="n">
        <v>0</v>
      </c>
      <c r="P287" t="n">
        <v>0</v>
      </c>
      <c r="Q287" t="n">
        <v>0</v>
      </c>
      <c r="R287" s="2" t="inlineStr"/>
    </row>
    <row r="288" ht="15" customHeight="1">
      <c r="A288" t="inlineStr">
        <is>
          <t>A 3007-2025</t>
        </is>
      </c>
      <c r="B288" s="1" t="n">
        <v>45678.56328703704</v>
      </c>
      <c r="C288" s="1" t="n">
        <v>45975</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34877-2023</t>
        </is>
      </c>
      <c r="B289" s="1" t="n">
        <v>45140</v>
      </c>
      <c r="C289" s="1" t="n">
        <v>45975</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1924-2024</t>
        </is>
      </c>
      <c r="B290" s="1" t="n">
        <v>45308</v>
      </c>
      <c r="C290" s="1" t="n">
        <v>45975</v>
      </c>
      <c r="D290" t="inlineStr">
        <is>
          <t>ÖSTERGÖTLANDS LÄN</t>
        </is>
      </c>
      <c r="E290" t="inlineStr">
        <is>
          <t>LINKÖPING</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16665-2023</t>
        </is>
      </c>
      <c r="B291" s="1" t="n">
        <v>45030.5583912037</v>
      </c>
      <c r="C291" s="1" t="n">
        <v>45975</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60860-2024</t>
        </is>
      </c>
      <c r="B292" s="1" t="n">
        <v>45644.6893287037</v>
      </c>
      <c r="C292" s="1" t="n">
        <v>45975</v>
      </c>
      <c r="D292" t="inlineStr">
        <is>
          <t>ÖSTERGÖTLANDS LÄN</t>
        </is>
      </c>
      <c r="E292" t="inlineStr">
        <is>
          <t>LINKÖPING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31640-2023</t>
        </is>
      </c>
      <c r="B293" s="1" t="n">
        <v>45117</v>
      </c>
      <c r="C293" s="1" t="n">
        <v>45975</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16213-2025</t>
        </is>
      </c>
      <c r="B294" s="1" t="n">
        <v>45750.62740740741</v>
      </c>
      <c r="C294" s="1" t="n">
        <v>45975</v>
      </c>
      <c r="D294" t="inlineStr">
        <is>
          <t>ÖSTERGÖTLANDS LÄN</t>
        </is>
      </c>
      <c r="E294" t="inlineStr">
        <is>
          <t>LINKÖPING</t>
        </is>
      </c>
      <c r="G294" t="n">
        <v>3.4</v>
      </c>
      <c r="H294" t="n">
        <v>0</v>
      </c>
      <c r="I294" t="n">
        <v>0</v>
      </c>
      <c r="J294" t="n">
        <v>0</v>
      </c>
      <c r="K294" t="n">
        <v>0</v>
      </c>
      <c r="L294" t="n">
        <v>0</v>
      </c>
      <c r="M294" t="n">
        <v>0</v>
      </c>
      <c r="N294" t="n">
        <v>0</v>
      </c>
      <c r="O294" t="n">
        <v>0</v>
      </c>
      <c r="P294" t="n">
        <v>0</v>
      </c>
      <c r="Q294" t="n">
        <v>0</v>
      </c>
      <c r="R294" s="2" t="inlineStr"/>
    </row>
    <row r="295" ht="15" customHeight="1">
      <c r="A295" t="inlineStr">
        <is>
          <t>A 3008-2023</t>
        </is>
      </c>
      <c r="B295" s="1" t="n">
        <v>44945.79784722222</v>
      </c>
      <c r="C295" s="1" t="n">
        <v>45975</v>
      </c>
      <c r="D295" t="inlineStr">
        <is>
          <t>ÖSTERGÖTLANDS LÄN</t>
        </is>
      </c>
      <c r="E295" t="inlineStr">
        <is>
          <t>LINKÖPING</t>
        </is>
      </c>
      <c r="G295" t="n">
        <v>19.3</v>
      </c>
      <c r="H295" t="n">
        <v>0</v>
      </c>
      <c r="I295" t="n">
        <v>0</v>
      </c>
      <c r="J295" t="n">
        <v>0</v>
      </c>
      <c r="K295" t="n">
        <v>0</v>
      </c>
      <c r="L295" t="n">
        <v>0</v>
      </c>
      <c r="M295" t="n">
        <v>0</v>
      </c>
      <c r="N295" t="n">
        <v>0</v>
      </c>
      <c r="O295" t="n">
        <v>0</v>
      </c>
      <c r="P295" t="n">
        <v>0</v>
      </c>
      <c r="Q295" t="n">
        <v>0</v>
      </c>
      <c r="R295" s="2" t="inlineStr"/>
    </row>
    <row r="296" ht="15" customHeight="1">
      <c r="A296" t="inlineStr">
        <is>
          <t>A 34872-2023</t>
        </is>
      </c>
      <c r="B296" s="1" t="n">
        <v>45140</v>
      </c>
      <c r="C296" s="1" t="n">
        <v>45975</v>
      </c>
      <c r="D296" t="inlineStr">
        <is>
          <t>ÖSTERGÖTLANDS LÄN</t>
        </is>
      </c>
      <c r="E296" t="inlineStr">
        <is>
          <t>LINKÖPING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33000-2023</t>
        </is>
      </c>
      <c r="B297" s="1" t="n">
        <v>45125</v>
      </c>
      <c r="C297" s="1" t="n">
        <v>45975</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55736-2022</t>
        </is>
      </c>
      <c r="B298" s="1" t="n">
        <v>44888</v>
      </c>
      <c r="C298" s="1" t="n">
        <v>45975</v>
      </c>
      <c r="D298" t="inlineStr">
        <is>
          <t>ÖSTERGÖTLANDS LÄN</t>
        </is>
      </c>
      <c r="E298" t="inlineStr">
        <is>
          <t>LINKÖPING</t>
        </is>
      </c>
      <c r="G298" t="n">
        <v>5.5</v>
      </c>
      <c r="H298" t="n">
        <v>0</v>
      </c>
      <c r="I298" t="n">
        <v>0</v>
      </c>
      <c r="J298" t="n">
        <v>0</v>
      </c>
      <c r="K298" t="n">
        <v>0</v>
      </c>
      <c r="L298" t="n">
        <v>0</v>
      </c>
      <c r="M298" t="n">
        <v>0</v>
      </c>
      <c r="N298" t="n">
        <v>0</v>
      </c>
      <c r="O298" t="n">
        <v>0</v>
      </c>
      <c r="P298" t="n">
        <v>0</v>
      </c>
      <c r="Q298" t="n">
        <v>0</v>
      </c>
      <c r="R298" s="2" t="inlineStr"/>
    </row>
    <row r="299" ht="15" customHeight="1">
      <c r="A299" t="inlineStr">
        <is>
          <t>A 34558-2022</t>
        </is>
      </c>
      <c r="B299" s="1" t="n">
        <v>44794.57594907407</v>
      </c>
      <c r="C299" s="1" t="n">
        <v>45975</v>
      </c>
      <c r="D299" t="inlineStr">
        <is>
          <t>ÖSTERGÖTLANDS LÄN</t>
        </is>
      </c>
      <c r="E299" t="inlineStr">
        <is>
          <t>LINKÖPING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46225-2021</t>
        </is>
      </c>
      <c r="B300" s="1" t="n">
        <v>44442</v>
      </c>
      <c r="C300" s="1" t="n">
        <v>45975</v>
      </c>
      <c r="D300" t="inlineStr">
        <is>
          <t>ÖSTERGÖTLANDS LÄN</t>
        </is>
      </c>
      <c r="E300" t="inlineStr">
        <is>
          <t>LINKÖPING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54428-2022</t>
        </is>
      </c>
      <c r="B301" s="1" t="n">
        <v>44882.57643518518</v>
      </c>
      <c r="C301" s="1" t="n">
        <v>45975</v>
      </c>
      <c r="D301" t="inlineStr">
        <is>
          <t>ÖSTERGÖTLANDS LÄN</t>
        </is>
      </c>
      <c r="E301" t="inlineStr">
        <is>
          <t>LINKÖPING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168-2024</t>
        </is>
      </c>
      <c r="B302" s="1" t="n">
        <v>45294</v>
      </c>
      <c r="C302" s="1" t="n">
        <v>45975</v>
      </c>
      <c r="D302" t="inlineStr">
        <is>
          <t>ÖSTERGÖTLANDS LÄN</t>
        </is>
      </c>
      <c r="E302" t="inlineStr">
        <is>
          <t>LINKÖPING</t>
        </is>
      </c>
      <c r="F302" t="inlineStr">
        <is>
          <t>Allmännings- och besparingsskogar</t>
        </is>
      </c>
      <c r="G302" t="n">
        <v>8.9</v>
      </c>
      <c r="H302" t="n">
        <v>0</v>
      </c>
      <c r="I302" t="n">
        <v>0</v>
      </c>
      <c r="J302" t="n">
        <v>0</v>
      </c>
      <c r="K302" t="n">
        <v>0</v>
      </c>
      <c r="L302" t="n">
        <v>0</v>
      </c>
      <c r="M302" t="n">
        <v>0</v>
      </c>
      <c r="N302" t="n">
        <v>0</v>
      </c>
      <c r="O302" t="n">
        <v>0</v>
      </c>
      <c r="P302" t="n">
        <v>0</v>
      </c>
      <c r="Q302" t="n">
        <v>0</v>
      </c>
      <c r="R302" s="2" t="inlineStr"/>
    </row>
    <row r="303" ht="15" customHeight="1">
      <c r="A303" t="inlineStr">
        <is>
          <t>A 2997-2025</t>
        </is>
      </c>
      <c r="B303" s="1" t="n">
        <v>45678.54631944445</v>
      </c>
      <c r="C303" s="1" t="n">
        <v>45975</v>
      </c>
      <c r="D303" t="inlineStr">
        <is>
          <t>ÖSTERGÖTLANDS LÄN</t>
        </is>
      </c>
      <c r="E303" t="inlineStr">
        <is>
          <t>LINKÖPING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31534-2023</t>
        </is>
      </c>
      <c r="B304" s="1" t="n">
        <v>45116</v>
      </c>
      <c r="C304" s="1" t="n">
        <v>45975</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11790-2024</t>
        </is>
      </c>
      <c r="B305" s="1" t="n">
        <v>45374</v>
      </c>
      <c r="C305" s="1" t="n">
        <v>45975</v>
      </c>
      <c r="D305" t="inlineStr">
        <is>
          <t>ÖSTERGÖTLANDS LÄN</t>
        </is>
      </c>
      <c r="E305" t="inlineStr">
        <is>
          <t>LINKÖPING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15658-2023</t>
        </is>
      </c>
      <c r="B306" s="1" t="n">
        <v>45021.41194444444</v>
      </c>
      <c r="C306" s="1" t="n">
        <v>45975</v>
      </c>
      <c r="D306" t="inlineStr">
        <is>
          <t>ÖSTERGÖTLANDS LÄN</t>
        </is>
      </c>
      <c r="E306" t="inlineStr">
        <is>
          <t>LINKÖPING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26803-2024</t>
        </is>
      </c>
      <c r="B307" s="1" t="n">
        <v>45470</v>
      </c>
      <c r="C307" s="1" t="n">
        <v>45975</v>
      </c>
      <c r="D307" t="inlineStr">
        <is>
          <t>ÖSTERGÖTLANDS LÄN</t>
        </is>
      </c>
      <c r="E307" t="inlineStr">
        <is>
          <t>LINKÖPING</t>
        </is>
      </c>
      <c r="F307" t="inlineStr">
        <is>
          <t>Allmännings- och besparingsskogar</t>
        </is>
      </c>
      <c r="G307" t="n">
        <v>4.5</v>
      </c>
      <c r="H307" t="n">
        <v>0</v>
      </c>
      <c r="I307" t="n">
        <v>0</v>
      </c>
      <c r="J307" t="n">
        <v>0</v>
      </c>
      <c r="K307" t="n">
        <v>0</v>
      </c>
      <c r="L307" t="n">
        <v>0</v>
      </c>
      <c r="M307" t="n">
        <v>0</v>
      </c>
      <c r="N307" t="n">
        <v>0</v>
      </c>
      <c r="O307" t="n">
        <v>0</v>
      </c>
      <c r="P307" t="n">
        <v>0</v>
      </c>
      <c r="Q307" t="n">
        <v>0</v>
      </c>
      <c r="R307" s="2" t="inlineStr"/>
    </row>
    <row r="308" ht="15" customHeight="1">
      <c r="A308" t="inlineStr">
        <is>
          <t>A 48962-2022</t>
        </is>
      </c>
      <c r="B308" s="1" t="n">
        <v>44860.31635416667</v>
      </c>
      <c r="C308" s="1" t="n">
        <v>45975</v>
      </c>
      <c r="D308" t="inlineStr">
        <is>
          <t>ÖSTERGÖTLANDS LÄN</t>
        </is>
      </c>
      <c r="E308" t="inlineStr">
        <is>
          <t>LINKÖPING</t>
        </is>
      </c>
      <c r="G308" t="n">
        <v>2.9</v>
      </c>
      <c r="H308" t="n">
        <v>0</v>
      </c>
      <c r="I308" t="n">
        <v>0</v>
      </c>
      <c r="J308" t="n">
        <v>0</v>
      </c>
      <c r="K308" t="n">
        <v>0</v>
      </c>
      <c r="L308" t="n">
        <v>0</v>
      </c>
      <c r="M308" t="n">
        <v>0</v>
      </c>
      <c r="N308" t="n">
        <v>0</v>
      </c>
      <c r="O308" t="n">
        <v>0</v>
      </c>
      <c r="P308" t="n">
        <v>0</v>
      </c>
      <c r="Q308" t="n">
        <v>0</v>
      </c>
      <c r="R308" s="2" t="inlineStr"/>
    </row>
    <row r="309" ht="15" customHeight="1">
      <c r="A309" t="inlineStr">
        <is>
          <t>A 30434-2024</t>
        </is>
      </c>
      <c r="B309" s="1" t="n">
        <v>45491.69811342593</v>
      </c>
      <c r="C309" s="1" t="n">
        <v>45975</v>
      </c>
      <c r="D309" t="inlineStr">
        <is>
          <t>ÖSTERGÖTLANDS LÄN</t>
        </is>
      </c>
      <c r="E309" t="inlineStr">
        <is>
          <t>LINKÖPING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45806-2024</t>
        </is>
      </c>
      <c r="B310" s="1" t="n">
        <v>45579.69619212963</v>
      </c>
      <c r="C310" s="1" t="n">
        <v>45975</v>
      </c>
      <c r="D310" t="inlineStr">
        <is>
          <t>ÖSTERGÖTLANDS LÄN</t>
        </is>
      </c>
      <c r="E310" t="inlineStr">
        <is>
          <t>LINKÖPING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53647-2021</t>
        </is>
      </c>
      <c r="B311" s="1" t="n">
        <v>44469</v>
      </c>
      <c r="C311" s="1" t="n">
        <v>45975</v>
      </c>
      <c r="D311" t="inlineStr">
        <is>
          <t>ÖSTERGÖTLANDS LÄN</t>
        </is>
      </c>
      <c r="E311" t="inlineStr">
        <is>
          <t>LINKÖPING</t>
        </is>
      </c>
      <c r="G311" t="n">
        <v>2.3</v>
      </c>
      <c r="H311" t="n">
        <v>0</v>
      </c>
      <c r="I311" t="n">
        <v>0</v>
      </c>
      <c r="J311" t="n">
        <v>0</v>
      </c>
      <c r="K311" t="n">
        <v>0</v>
      </c>
      <c r="L311" t="n">
        <v>0</v>
      </c>
      <c r="M311" t="n">
        <v>0</v>
      </c>
      <c r="N311" t="n">
        <v>0</v>
      </c>
      <c r="O311" t="n">
        <v>0</v>
      </c>
      <c r="P311" t="n">
        <v>0</v>
      </c>
      <c r="Q311" t="n">
        <v>0</v>
      </c>
      <c r="R311" s="2" t="inlineStr"/>
    </row>
    <row r="312" ht="15" customHeight="1">
      <c r="A312" t="inlineStr">
        <is>
          <t>A 22772-2024</t>
        </is>
      </c>
      <c r="B312" s="1" t="n">
        <v>45448.46712962963</v>
      </c>
      <c r="C312" s="1" t="n">
        <v>45975</v>
      </c>
      <c r="D312" t="inlineStr">
        <is>
          <t>ÖSTERGÖTLANDS LÄN</t>
        </is>
      </c>
      <c r="E312" t="inlineStr">
        <is>
          <t>LINKÖPING</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30433-2024</t>
        </is>
      </c>
      <c r="B313" s="1" t="n">
        <v>45491.69741898148</v>
      </c>
      <c r="C313" s="1" t="n">
        <v>45975</v>
      </c>
      <c r="D313" t="inlineStr">
        <is>
          <t>ÖSTERGÖTLANDS LÄN</t>
        </is>
      </c>
      <c r="E313" t="inlineStr">
        <is>
          <t>LINKÖPING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18916-2024</t>
        </is>
      </c>
      <c r="B314" s="1" t="n">
        <v>45427.39541666667</v>
      </c>
      <c r="C314" s="1" t="n">
        <v>45975</v>
      </c>
      <c r="D314" t="inlineStr">
        <is>
          <t>ÖSTERGÖTLANDS LÄN</t>
        </is>
      </c>
      <c r="E314" t="inlineStr">
        <is>
          <t>LINKÖPING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37154-2023</t>
        </is>
      </c>
      <c r="B315" s="1" t="n">
        <v>45155</v>
      </c>
      <c r="C315" s="1" t="n">
        <v>45975</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11330-2023</t>
        </is>
      </c>
      <c r="B316" s="1" t="n">
        <v>44993.24648148148</v>
      </c>
      <c r="C316" s="1" t="n">
        <v>45975</v>
      </c>
      <c r="D316" t="inlineStr">
        <is>
          <t>ÖSTERGÖTLANDS LÄN</t>
        </is>
      </c>
      <c r="E316" t="inlineStr">
        <is>
          <t>LINKÖPING</t>
        </is>
      </c>
      <c r="G316" t="n">
        <v>1.1</v>
      </c>
      <c r="H316" t="n">
        <v>0</v>
      </c>
      <c r="I316" t="n">
        <v>0</v>
      </c>
      <c r="J316" t="n">
        <v>0</v>
      </c>
      <c r="K316" t="n">
        <v>0</v>
      </c>
      <c r="L316" t="n">
        <v>0</v>
      </c>
      <c r="M316" t="n">
        <v>0</v>
      </c>
      <c r="N316" t="n">
        <v>0</v>
      </c>
      <c r="O316" t="n">
        <v>0</v>
      </c>
      <c r="P316" t="n">
        <v>0</v>
      </c>
      <c r="Q316" t="n">
        <v>0</v>
      </c>
      <c r="R316" s="2" t="inlineStr"/>
    </row>
    <row r="317" ht="15" customHeight="1">
      <c r="A317" t="inlineStr">
        <is>
          <t>A 42000-2023</t>
        </is>
      </c>
      <c r="B317" s="1" t="n">
        <v>45177</v>
      </c>
      <c r="C317" s="1" t="n">
        <v>45975</v>
      </c>
      <c r="D317" t="inlineStr">
        <is>
          <t>ÖSTERGÖTLANDS LÄN</t>
        </is>
      </c>
      <c r="E317" t="inlineStr">
        <is>
          <t>LINKÖPING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52220-2023</t>
        </is>
      </c>
      <c r="B318" s="1" t="n">
        <v>45217</v>
      </c>
      <c r="C318" s="1" t="n">
        <v>45975</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52225-2023</t>
        </is>
      </c>
      <c r="B319" s="1" t="n">
        <v>45217</v>
      </c>
      <c r="C319" s="1" t="n">
        <v>45975</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24586-2024</t>
        </is>
      </c>
      <c r="B320" s="1" t="n">
        <v>45460.46664351852</v>
      </c>
      <c r="C320" s="1" t="n">
        <v>45975</v>
      </c>
      <c r="D320" t="inlineStr">
        <is>
          <t>ÖSTERGÖTLANDS LÄN</t>
        </is>
      </c>
      <c r="E320" t="inlineStr">
        <is>
          <t>LINKÖPING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19464-2024</t>
        </is>
      </c>
      <c r="B321" s="1" t="n">
        <v>45429</v>
      </c>
      <c r="C321" s="1" t="n">
        <v>45975</v>
      </c>
      <c r="D321" t="inlineStr">
        <is>
          <t>ÖSTERGÖTLANDS LÄN</t>
        </is>
      </c>
      <c r="E321" t="inlineStr">
        <is>
          <t>LINKÖPING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42044-2023</t>
        </is>
      </c>
      <c r="B322" s="1" t="n">
        <v>45177</v>
      </c>
      <c r="C322" s="1" t="n">
        <v>45975</v>
      </c>
      <c r="D322" t="inlineStr">
        <is>
          <t>ÖSTERGÖTLANDS LÄN</t>
        </is>
      </c>
      <c r="E322" t="inlineStr">
        <is>
          <t>LINKÖPING</t>
        </is>
      </c>
      <c r="G322" t="n">
        <v>3.9</v>
      </c>
      <c r="H322" t="n">
        <v>0</v>
      </c>
      <c r="I322" t="n">
        <v>0</v>
      </c>
      <c r="J322" t="n">
        <v>0</v>
      </c>
      <c r="K322" t="n">
        <v>0</v>
      </c>
      <c r="L322" t="n">
        <v>0</v>
      </c>
      <c r="M322" t="n">
        <v>0</v>
      </c>
      <c r="N322" t="n">
        <v>0</v>
      </c>
      <c r="O322" t="n">
        <v>0</v>
      </c>
      <c r="P322" t="n">
        <v>0</v>
      </c>
      <c r="Q322" t="n">
        <v>0</v>
      </c>
      <c r="R322" s="2" t="inlineStr"/>
    </row>
    <row r="323" ht="15" customHeight="1">
      <c r="A323" t="inlineStr">
        <is>
          <t>A 17124-2025</t>
        </is>
      </c>
      <c r="B323" s="1" t="n">
        <v>45755.69678240741</v>
      </c>
      <c r="C323" s="1" t="n">
        <v>45975</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17126-2025</t>
        </is>
      </c>
      <c r="B324" s="1" t="n">
        <v>45755.70814814815</v>
      </c>
      <c r="C324" s="1" t="n">
        <v>45975</v>
      </c>
      <c r="D324" t="inlineStr">
        <is>
          <t>ÖSTERGÖTLANDS LÄN</t>
        </is>
      </c>
      <c r="E324" t="inlineStr">
        <is>
          <t>LINKÖPING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17143-2025</t>
        </is>
      </c>
      <c r="B325" s="1" t="n">
        <v>45755.92731481481</v>
      </c>
      <c r="C325" s="1" t="n">
        <v>45975</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32602-2022</t>
        </is>
      </c>
      <c r="B326" s="1" t="n">
        <v>44783.43192129629</v>
      </c>
      <c r="C326" s="1" t="n">
        <v>45975</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11084-2022</t>
        </is>
      </c>
      <c r="B327" s="1" t="n">
        <v>44628</v>
      </c>
      <c r="C327" s="1" t="n">
        <v>45975</v>
      </c>
      <c r="D327" t="inlineStr">
        <is>
          <t>ÖSTERGÖTLANDS LÄN</t>
        </is>
      </c>
      <c r="E327" t="inlineStr">
        <is>
          <t>LINKÖPING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57745-2022</t>
        </is>
      </c>
      <c r="B328" s="1" t="n">
        <v>44897.58119212963</v>
      </c>
      <c r="C328" s="1" t="n">
        <v>45975</v>
      </c>
      <c r="D328" t="inlineStr">
        <is>
          <t>ÖSTERGÖTLANDS LÄN</t>
        </is>
      </c>
      <c r="E328" t="inlineStr">
        <is>
          <t>LINKÖPING</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630-2024</t>
        </is>
      </c>
      <c r="B329" s="1" t="n">
        <v>45299.67736111111</v>
      </c>
      <c r="C329" s="1" t="n">
        <v>45975</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39017-2021</t>
        </is>
      </c>
      <c r="B330" s="1" t="n">
        <v>44412</v>
      </c>
      <c r="C330" s="1" t="n">
        <v>45975</v>
      </c>
      <c r="D330" t="inlineStr">
        <is>
          <t>ÖSTERGÖTLANDS LÄN</t>
        </is>
      </c>
      <c r="E330" t="inlineStr">
        <is>
          <t>LINKÖPING</t>
        </is>
      </c>
      <c r="F330" t="inlineStr">
        <is>
          <t>Övriga statliga verk och myndigheter</t>
        </is>
      </c>
      <c r="G330" t="n">
        <v>0.8</v>
      </c>
      <c r="H330" t="n">
        <v>0</v>
      </c>
      <c r="I330" t="n">
        <v>0</v>
      </c>
      <c r="J330" t="n">
        <v>0</v>
      </c>
      <c r="K330" t="n">
        <v>0</v>
      </c>
      <c r="L330" t="n">
        <v>0</v>
      </c>
      <c r="M330" t="n">
        <v>0</v>
      </c>
      <c r="N330" t="n">
        <v>0</v>
      </c>
      <c r="O330" t="n">
        <v>0</v>
      </c>
      <c r="P330" t="n">
        <v>0</v>
      </c>
      <c r="Q330" t="n">
        <v>0</v>
      </c>
      <c r="R330" s="2" t="inlineStr"/>
    </row>
    <row r="331" ht="15" customHeight="1">
      <c r="A331" t="inlineStr">
        <is>
          <t>A 14520-2025</t>
        </is>
      </c>
      <c r="B331" s="1" t="n">
        <v>45741</v>
      </c>
      <c r="C331" s="1" t="n">
        <v>45975</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16820-2024</t>
        </is>
      </c>
      <c r="B332" s="1" t="n">
        <v>45411.46809027778</v>
      </c>
      <c r="C332" s="1" t="n">
        <v>45975</v>
      </c>
      <c r="D332" t="inlineStr">
        <is>
          <t>ÖSTERGÖTLANDS LÄN</t>
        </is>
      </c>
      <c r="E332" t="inlineStr">
        <is>
          <t>LINKÖPING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21782-2024</t>
        </is>
      </c>
      <c r="B333" s="1" t="n">
        <v>45442.63368055555</v>
      </c>
      <c r="C333" s="1" t="n">
        <v>45975</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13413-2023</t>
        </is>
      </c>
      <c r="B334" s="1" t="n">
        <v>45005.58341435185</v>
      </c>
      <c r="C334" s="1" t="n">
        <v>45975</v>
      </c>
      <c r="D334" t="inlineStr">
        <is>
          <t>ÖSTERGÖTLANDS LÄN</t>
        </is>
      </c>
      <c r="E334" t="inlineStr">
        <is>
          <t>LINKÖPING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56064-2022</t>
        </is>
      </c>
      <c r="B335" s="1" t="n">
        <v>44889.59107638889</v>
      </c>
      <c r="C335" s="1" t="n">
        <v>45975</v>
      </c>
      <c r="D335" t="inlineStr">
        <is>
          <t>ÖSTERGÖTLANDS LÄN</t>
        </is>
      </c>
      <c r="E335" t="inlineStr">
        <is>
          <t>LINKÖPING</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30980-2022</t>
        </is>
      </c>
      <c r="B336" s="1" t="n">
        <v>44768</v>
      </c>
      <c r="C336" s="1" t="n">
        <v>45975</v>
      </c>
      <c r="D336" t="inlineStr">
        <is>
          <t>ÖSTERGÖTLANDS LÄN</t>
        </is>
      </c>
      <c r="E336" t="inlineStr">
        <is>
          <t>LINKÖPING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40502-2024</t>
        </is>
      </c>
      <c r="B337" s="1" t="n">
        <v>45555.57263888889</v>
      </c>
      <c r="C337" s="1" t="n">
        <v>45975</v>
      </c>
      <c r="D337" t="inlineStr">
        <is>
          <t>ÖSTERGÖTLANDS LÄN</t>
        </is>
      </c>
      <c r="E337" t="inlineStr">
        <is>
          <t>LINKÖPING</t>
        </is>
      </c>
      <c r="F337" t="inlineStr">
        <is>
          <t>Allmännings- och besparingsskogar</t>
        </is>
      </c>
      <c r="G337" t="n">
        <v>17.5</v>
      </c>
      <c r="H337" t="n">
        <v>0</v>
      </c>
      <c r="I337" t="n">
        <v>0</v>
      </c>
      <c r="J337" t="n">
        <v>0</v>
      </c>
      <c r="K337" t="n">
        <v>0</v>
      </c>
      <c r="L337" t="n">
        <v>0</v>
      </c>
      <c r="M337" t="n">
        <v>0</v>
      </c>
      <c r="N337" t="n">
        <v>0</v>
      </c>
      <c r="O337" t="n">
        <v>0</v>
      </c>
      <c r="P337" t="n">
        <v>0</v>
      </c>
      <c r="Q337" t="n">
        <v>0</v>
      </c>
      <c r="R337" s="2" t="inlineStr"/>
    </row>
    <row r="338" ht="15" customHeight="1">
      <c r="A338" t="inlineStr">
        <is>
          <t>A 63528-2023</t>
        </is>
      </c>
      <c r="B338" s="1" t="n">
        <v>45274.94810185185</v>
      </c>
      <c r="C338" s="1" t="n">
        <v>45975</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63638-2023</t>
        </is>
      </c>
      <c r="B339" s="1" t="n">
        <v>45275</v>
      </c>
      <c r="C339" s="1" t="n">
        <v>45975</v>
      </c>
      <c r="D339" t="inlineStr">
        <is>
          <t>ÖSTERGÖTLANDS LÄN</t>
        </is>
      </c>
      <c r="E339" t="inlineStr">
        <is>
          <t>LINKÖPING</t>
        </is>
      </c>
      <c r="F339" t="inlineStr">
        <is>
          <t>Övriga Aktiebolag</t>
        </is>
      </c>
      <c r="G339" t="n">
        <v>2.4</v>
      </c>
      <c r="H339" t="n">
        <v>0</v>
      </c>
      <c r="I339" t="n">
        <v>0</v>
      </c>
      <c r="J339" t="n">
        <v>0</v>
      </c>
      <c r="K339" t="n">
        <v>0</v>
      </c>
      <c r="L339" t="n">
        <v>0</v>
      </c>
      <c r="M339" t="n">
        <v>0</v>
      </c>
      <c r="N339" t="n">
        <v>0</v>
      </c>
      <c r="O339" t="n">
        <v>0</v>
      </c>
      <c r="P339" t="n">
        <v>0</v>
      </c>
      <c r="Q339" t="n">
        <v>0</v>
      </c>
      <c r="R339" s="2" t="inlineStr"/>
    </row>
    <row r="340" ht="15" customHeight="1">
      <c r="A340" t="inlineStr">
        <is>
          <t>A 63658-2023</t>
        </is>
      </c>
      <c r="B340" s="1" t="n">
        <v>45275</v>
      </c>
      <c r="C340" s="1" t="n">
        <v>45975</v>
      </c>
      <c r="D340" t="inlineStr">
        <is>
          <t>ÖSTERGÖTLANDS LÄN</t>
        </is>
      </c>
      <c r="E340" t="inlineStr">
        <is>
          <t>LINKÖPING</t>
        </is>
      </c>
      <c r="F340" t="inlineStr">
        <is>
          <t>Övriga Aktiebolag</t>
        </is>
      </c>
      <c r="G340" t="n">
        <v>1.5</v>
      </c>
      <c r="H340" t="n">
        <v>0</v>
      </c>
      <c r="I340" t="n">
        <v>0</v>
      </c>
      <c r="J340" t="n">
        <v>0</v>
      </c>
      <c r="K340" t="n">
        <v>0</v>
      </c>
      <c r="L340" t="n">
        <v>0</v>
      </c>
      <c r="M340" t="n">
        <v>0</v>
      </c>
      <c r="N340" t="n">
        <v>0</v>
      </c>
      <c r="O340" t="n">
        <v>0</v>
      </c>
      <c r="P340" t="n">
        <v>0</v>
      </c>
      <c r="Q340" t="n">
        <v>0</v>
      </c>
      <c r="R340" s="2" t="inlineStr"/>
    </row>
    <row r="341" ht="15" customHeight="1">
      <c r="A341" t="inlineStr">
        <is>
          <t>A 7808-2022</t>
        </is>
      </c>
      <c r="B341" s="1" t="n">
        <v>44608</v>
      </c>
      <c r="C341" s="1" t="n">
        <v>45975</v>
      </c>
      <c r="D341" t="inlineStr">
        <is>
          <t>ÖSTERGÖTLANDS LÄN</t>
        </is>
      </c>
      <c r="E341" t="inlineStr">
        <is>
          <t>LINKÖPING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36336-2023</t>
        </is>
      </c>
      <c r="B342" s="1" t="n">
        <v>45152.45078703704</v>
      </c>
      <c r="C342" s="1" t="n">
        <v>45975</v>
      </c>
      <c r="D342" t="inlineStr">
        <is>
          <t>ÖSTERGÖTLANDS LÄN</t>
        </is>
      </c>
      <c r="E342" t="inlineStr">
        <is>
          <t>LINKÖPING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56623-2024</t>
        </is>
      </c>
      <c r="B343" s="1" t="n">
        <v>45625</v>
      </c>
      <c r="C343" s="1" t="n">
        <v>45975</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24351-2024</t>
        </is>
      </c>
      <c r="B344" s="1" t="n">
        <v>45457.59011574074</v>
      </c>
      <c r="C344" s="1" t="n">
        <v>45975</v>
      </c>
      <c r="D344" t="inlineStr">
        <is>
          <t>ÖSTERGÖTLANDS LÄN</t>
        </is>
      </c>
      <c r="E344" t="inlineStr">
        <is>
          <t>LINKÖPING</t>
        </is>
      </c>
      <c r="G344" t="n">
        <v>11.9</v>
      </c>
      <c r="H344" t="n">
        <v>0</v>
      </c>
      <c r="I344" t="n">
        <v>0</v>
      </c>
      <c r="J344" t="n">
        <v>0</v>
      </c>
      <c r="K344" t="n">
        <v>0</v>
      </c>
      <c r="L344" t="n">
        <v>0</v>
      </c>
      <c r="M344" t="n">
        <v>0</v>
      </c>
      <c r="N344" t="n">
        <v>0</v>
      </c>
      <c r="O344" t="n">
        <v>0</v>
      </c>
      <c r="P344" t="n">
        <v>0</v>
      </c>
      <c r="Q344" t="n">
        <v>0</v>
      </c>
      <c r="R344" s="2" t="inlineStr"/>
    </row>
    <row r="345" ht="15" customHeight="1">
      <c r="A345" t="inlineStr">
        <is>
          <t>A 44155-2024</t>
        </is>
      </c>
      <c r="B345" s="1" t="n">
        <v>45572.68226851852</v>
      </c>
      <c r="C345" s="1" t="n">
        <v>45975</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62501-2023</t>
        </is>
      </c>
      <c r="B346" s="1" t="n">
        <v>45268</v>
      </c>
      <c r="C346" s="1" t="n">
        <v>45975</v>
      </c>
      <c r="D346" t="inlineStr">
        <is>
          <t>ÖSTERGÖTLANDS LÄN</t>
        </is>
      </c>
      <c r="E346" t="inlineStr">
        <is>
          <t>LINKÖPING</t>
        </is>
      </c>
      <c r="G346" t="n">
        <v>7.4</v>
      </c>
      <c r="H346" t="n">
        <v>0</v>
      </c>
      <c r="I346" t="n">
        <v>0</v>
      </c>
      <c r="J346" t="n">
        <v>0</v>
      </c>
      <c r="K346" t="n">
        <v>0</v>
      </c>
      <c r="L346" t="n">
        <v>0</v>
      </c>
      <c r="M346" t="n">
        <v>0</v>
      </c>
      <c r="N346" t="n">
        <v>0</v>
      </c>
      <c r="O346" t="n">
        <v>0</v>
      </c>
      <c r="P346" t="n">
        <v>0</v>
      </c>
      <c r="Q346" t="n">
        <v>0</v>
      </c>
      <c r="R346" s="2" t="inlineStr"/>
    </row>
    <row r="347" ht="15" customHeight="1">
      <c r="A347" t="inlineStr">
        <is>
          <t>A 58947-2022</t>
        </is>
      </c>
      <c r="B347" s="1" t="n">
        <v>44903.64769675926</v>
      </c>
      <c r="C347" s="1" t="n">
        <v>45975</v>
      </c>
      <c r="D347" t="inlineStr">
        <is>
          <t>ÖSTERGÖTLANDS LÄN</t>
        </is>
      </c>
      <c r="E347" t="inlineStr">
        <is>
          <t>LINKÖPING</t>
        </is>
      </c>
      <c r="G347" t="n">
        <v>4</v>
      </c>
      <c r="H347" t="n">
        <v>0</v>
      </c>
      <c r="I347" t="n">
        <v>0</v>
      </c>
      <c r="J347" t="n">
        <v>0</v>
      </c>
      <c r="K347" t="n">
        <v>0</v>
      </c>
      <c r="L347" t="n">
        <v>0</v>
      </c>
      <c r="M347" t="n">
        <v>0</v>
      </c>
      <c r="N347" t="n">
        <v>0</v>
      </c>
      <c r="O347" t="n">
        <v>0</v>
      </c>
      <c r="P347" t="n">
        <v>0</v>
      </c>
      <c r="Q347" t="n">
        <v>0</v>
      </c>
      <c r="R347" s="2" t="inlineStr"/>
    </row>
    <row r="348" ht="15" customHeight="1">
      <c r="A348" t="inlineStr">
        <is>
          <t>A 57766-2023</t>
        </is>
      </c>
      <c r="B348" s="1" t="n">
        <v>45246</v>
      </c>
      <c r="C348" s="1" t="n">
        <v>45975</v>
      </c>
      <c r="D348" t="inlineStr">
        <is>
          <t>ÖSTERGÖTLANDS LÄN</t>
        </is>
      </c>
      <c r="E348" t="inlineStr">
        <is>
          <t>LINKÖPING</t>
        </is>
      </c>
      <c r="F348" t="inlineStr">
        <is>
          <t>Allmännings- och besparingsskogar</t>
        </is>
      </c>
      <c r="G348" t="n">
        <v>12.8</v>
      </c>
      <c r="H348" t="n">
        <v>0</v>
      </c>
      <c r="I348" t="n">
        <v>0</v>
      </c>
      <c r="J348" t="n">
        <v>0</v>
      </c>
      <c r="K348" t="n">
        <v>0</v>
      </c>
      <c r="L348" t="n">
        <v>0</v>
      </c>
      <c r="M348" t="n">
        <v>0</v>
      </c>
      <c r="N348" t="n">
        <v>0</v>
      </c>
      <c r="O348" t="n">
        <v>0</v>
      </c>
      <c r="P348" t="n">
        <v>0</v>
      </c>
      <c r="Q348" t="n">
        <v>0</v>
      </c>
      <c r="R348" s="2" t="inlineStr"/>
    </row>
    <row r="349" ht="15" customHeight="1">
      <c r="A349" t="inlineStr">
        <is>
          <t>A 49979-2022</t>
        </is>
      </c>
      <c r="B349" s="1" t="n">
        <v>44865</v>
      </c>
      <c r="C349" s="1" t="n">
        <v>45975</v>
      </c>
      <c r="D349" t="inlineStr">
        <is>
          <t>ÖSTERGÖTLANDS LÄN</t>
        </is>
      </c>
      <c r="E349" t="inlineStr">
        <is>
          <t>LINKÖPING</t>
        </is>
      </c>
      <c r="F349" t="inlineStr">
        <is>
          <t>Övriga Aktiebolag</t>
        </is>
      </c>
      <c r="G349" t="n">
        <v>11.4</v>
      </c>
      <c r="H349" t="n">
        <v>0</v>
      </c>
      <c r="I349" t="n">
        <v>0</v>
      </c>
      <c r="J349" t="n">
        <v>0</v>
      </c>
      <c r="K349" t="n">
        <v>0</v>
      </c>
      <c r="L349" t="n">
        <v>0</v>
      </c>
      <c r="M349" t="n">
        <v>0</v>
      </c>
      <c r="N349" t="n">
        <v>0</v>
      </c>
      <c r="O349" t="n">
        <v>0</v>
      </c>
      <c r="P349" t="n">
        <v>0</v>
      </c>
      <c r="Q349" t="n">
        <v>0</v>
      </c>
      <c r="R349" s="2" t="inlineStr"/>
    </row>
    <row r="350" ht="15" customHeight="1">
      <c r="A350" t="inlineStr">
        <is>
          <t>A 53827-2023</t>
        </is>
      </c>
      <c r="B350" s="1" t="n">
        <v>45230</v>
      </c>
      <c r="C350" s="1" t="n">
        <v>45975</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42997-2021</t>
        </is>
      </c>
      <c r="B351" s="1" t="n">
        <v>44431.45556712963</v>
      </c>
      <c r="C351" s="1" t="n">
        <v>45975</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13011-2022</t>
        </is>
      </c>
      <c r="B352" s="1" t="n">
        <v>44643</v>
      </c>
      <c r="C352" s="1" t="n">
        <v>45975</v>
      </c>
      <c r="D352" t="inlineStr">
        <is>
          <t>ÖSTERGÖTLANDS LÄN</t>
        </is>
      </c>
      <c r="E352" t="inlineStr">
        <is>
          <t>LINKÖPING</t>
        </is>
      </c>
      <c r="G352" t="n">
        <v>3.7</v>
      </c>
      <c r="H352" t="n">
        <v>0</v>
      </c>
      <c r="I352" t="n">
        <v>0</v>
      </c>
      <c r="J352" t="n">
        <v>0</v>
      </c>
      <c r="K352" t="n">
        <v>0</v>
      </c>
      <c r="L352" t="n">
        <v>0</v>
      </c>
      <c r="M352" t="n">
        <v>0</v>
      </c>
      <c r="N352" t="n">
        <v>0</v>
      </c>
      <c r="O352" t="n">
        <v>0</v>
      </c>
      <c r="P352" t="n">
        <v>0</v>
      </c>
      <c r="Q352" t="n">
        <v>0</v>
      </c>
      <c r="R352" s="2" t="inlineStr"/>
    </row>
    <row r="353" ht="15" customHeight="1">
      <c r="A353" t="inlineStr">
        <is>
          <t>A 27186-2021</t>
        </is>
      </c>
      <c r="B353" s="1" t="n">
        <v>44350.67715277777</v>
      </c>
      <c r="C353" s="1" t="n">
        <v>45975</v>
      </c>
      <c r="D353" t="inlineStr">
        <is>
          <t>ÖSTERGÖTLANDS LÄN</t>
        </is>
      </c>
      <c r="E353" t="inlineStr">
        <is>
          <t>LINKÖPING</t>
        </is>
      </c>
      <c r="F353" t="inlineStr">
        <is>
          <t>Allmännings- och besparingsskogar</t>
        </is>
      </c>
      <c r="G353" t="n">
        <v>1.4</v>
      </c>
      <c r="H353" t="n">
        <v>0</v>
      </c>
      <c r="I353" t="n">
        <v>0</v>
      </c>
      <c r="J353" t="n">
        <v>0</v>
      </c>
      <c r="K353" t="n">
        <v>0</v>
      </c>
      <c r="L353" t="n">
        <v>0</v>
      </c>
      <c r="M353" t="n">
        <v>0</v>
      </c>
      <c r="N353" t="n">
        <v>0</v>
      </c>
      <c r="O353" t="n">
        <v>0</v>
      </c>
      <c r="P353" t="n">
        <v>0</v>
      </c>
      <c r="Q353" t="n">
        <v>0</v>
      </c>
      <c r="R353" s="2" t="inlineStr"/>
    </row>
    <row r="354" ht="15" customHeight="1">
      <c r="A354" t="inlineStr">
        <is>
          <t>A 940-2023</t>
        </is>
      </c>
      <c r="B354" s="1" t="n">
        <v>44933</v>
      </c>
      <c r="C354" s="1" t="n">
        <v>45975</v>
      </c>
      <c r="D354" t="inlineStr">
        <is>
          <t>ÖSTERGÖTLANDS LÄN</t>
        </is>
      </c>
      <c r="E354" t="inlineStr">
        <is>
          <t>LINKÖPING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10194-2023</t>
        </is>
      </c>
      <c r="B355" s="1" t="n">
        <v>44986.52277777778</v>
      </c>
      <c r="C355" s="1" t="n">
        <v>45975</v>
      </c>
      <c r="D355" t="inlineStr">
        <is>
          <t>ÖSTERGÖTLANDS LÄN</t>
        </is>
      </c>
      <c r="E355" t="inlineStr">
        <is>
          <t>LINKÖPING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55944-2024</t>
        </is>
      </c>
      <c r="B356" s="1" t="n">
        <v>45623.61640046296</v>
      </c>
      <c r="C356" s="1" t="n">
        <v>45975</v>
      </c>
      <c r="D356" t="inlineStr">
        <is>
          <t>ÖSTERGÖTLANDS LÄN</t>
        </is>
      </c>
      <c r="E356" t="inlineStr">
        <is>
          <t>LINKÖPING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55947-2024</t>
        </is>
      </c>
      <c r="B357" s="1" t="n">
        <v>45623</v>
      </c>
      <c r="C357" s="1" t="n">
        <v>45975</v>
      </c>
      <c r="D357" t="inlineStr">
        <is>
          <t>ÖSTERGÖTLANDS LÄN</t>
        </is>
      </c>
      <c r="E357" t="inlineStr">
        <is>
          <t>LINKÖPING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47703-2023</t>
        </is>
      </c>
      <c r="B358" s="1" t="n">
        <v>45203</v>
      </c>
      <c r="C358" s="1" t="n">
        <v>45975</v>
      </c>
      <c r="D358" t="inlineStr">
        <is>
          <t>ÖSTERGÖTLANDS LÄN</t>
        </is>
      </c>
      <c r="E358" t="inlineStr">
        <is>
          <t>LINKÖPING</t>
        </is>
      </c>
      <c r="G358" t="n">
        <v>4.1</v>
      </c>
      <c r="H358" t="n">
        <v>0</v>
      </c>
      <c r="I358" t="n">
        <v>0</v>
      </c>
      <c r="J358" t="n">
        <v>0</v>
      </c>
      <c r="K358" t="n">
        <v>0</v>
      </c>
      <c r="L358" t="n">
        <v>0</v>
      </c>
      <c r="M358" t="n">
        <v>0</v>
      </c>
      <c r="N358" t="n">
        <v>0</v>
      </c>
      <c r="O358" t="n">
        <v>0</v>
      </c>
      <c r="P358" t="n">
        <v>0</v>
      </c>
      <c r="Q358" t="n">
        <v>0</v>
      </c>
      <c r="R358" s="2" t="inlineStr"/>
    </row>
    <row r="359" ht="15" customHeight="1">
      <c r="A359" t="inlineStr">
        <is>
          <t>A 51559-2024</t>
        </is>
      </c>
      <c r="B359" s="1" t="n">
        <v>45604.61431712963</v>
      </c>
      <c r="C359" s="1" t="n">
        <v>45975</v>
      </c>
      <c r="D359" t="inlineStr">
        <is>
          <t>ÖSTERGÖTLANDS LÄN</t>
        </is>
      </c>
      <c r="E359" t="inlineStr">
        <is>
          <t>LINKÖPING</t>
        </is>
      </c>
      <c r="F359" t="inlineStr">
        <is>
          <t>Övriga Aktiebolag</t>
        </is>
      </c>
      <c r="G359" t="n">
        <v>2.4</v>
      </c>
      <c r="H359" t="n">
        <v>0</v>
      </c>
      <c r="I359" t="n">
        <v>0</v>
      </c>
      <c r="J359" t="n">
        <v>0</v>
      </c>
      <c r="K359" t="n">
        <v>0</v>
      </c>
      <c r="L359" t="n">
        <v>0</v>
      </c>
      <c r="M359" t="n">
        <v>0</v>
      </c>
      <c r="N359" t="n">
        <v>0</v>
      </c>
      <c r="O359" t="n">
        <v>0</v>
      </c>
      <c r="P359" t="n">
        <v>0</v>
      </c>
      <c r="Q359" t="n">
        <v>0</v>
      </c>
      <c r="R359" s="2" t="inlineStr"/>
    </row>
    <row r="360" ht="15" customHeight="1">
      <c r="A360" t="inlineStr">
        <is>
          <t>A 11595-2025</t>
        </is>
      </c>
      <c r="B360" s="1" t="n">
        <v>45727.41893518518</v>
      </c>
      <c r="C360" s="1" t="n">
        <v>45975</v>
      </c>
      <c r="D360" t="inlineStr">
        <is>
          <t>ÖSTERGÖTLANDS LÄN</t>
        </is>
      </c>
      <c r="E360" t="inlineStr">
        <is>
          <t>LINKÖPING</t>
        </is>
      </c>
      <c r="G360" t="n">
        <v>6.6</v>
      </c>
      <c r="H360" t="n">
        <v>0</v>
      </c>
      <c r="I360" t="n">
        <v>0</v>
      </c>
      <c r="J360" t="n">
        <v>0</v>
      </c>
      <c r="K360" t="n">
        <v>0</v>
      </c>
      <c r="L360" t="n">
        <v>0</v>
      </c>
      <c r="M360" t="n">
        <v>0</v>
      </c>
      <c r="N360" t="n">
        <v>0</v>
      </c>
      <c r="O360" t="n">
        <v>0</v>
      </c>
      <c r="P360" t="n">
        <v>0</v>
      </c>
      <c r="Q360" t="n">
        <v>0</v>
      </c>
      <c r="R360" s="2" t="inlineStr"/>
    </row>
    <row r="361" ht="15" customHeight="1">
      <c r="A361" t="inlineStr">
        <is>
          <t>A 7992-2023</t>
        </is>
      </c>
      <c r="B361" s="1" t="n">
        <v>44970</v>
      </c>
      <c r="C361" s="1" t="n">
        <v>45975</v>
      </c>
      <c r="D361" t="inlineStr">
        <is>
          <t>ÖSTERGÖTLANDS LÄN</t>
        </is>
      </c>
      <c r="E361" t="inlineStr">
        <is>
          <t>LINKÖPING</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62353-2022</t>
        </is>
      </c>
      <c r="B362" s="1" t="n">
        <v>44923</v>
      </c>
      <c r="C362" s="1" t="n">
        <v>45975</v>
      </c>
      <c r="D362" t="inlineStr">
        <is>
          <t>ÖSTERGÖTLANDS LÄN</t>
        </is>
      </c>
      <c r="E362" t="inlineStr">
        <is>
          <t>LINKÖPING</t>
        </is>
      </c>
      <c r="F362" t="inlineStr">
        <is>
          <t>Allmännings- och besparingsskogar</t>
        </is>
      </c>
      <c r="G362" t="n">
        <v>1.7</v>
      </c>
      <c r="H362" t="n">
        <v>0</v>
      </c>
      <c r="I362" t="n">
        <v>0</v>
      </c>
      <c r="J362" t="n">
        <v>0</v>
      </c>
      <c r="K362" t="n">
        <v>0</v>
      </c>
      <c r="L362" t="n">
        <v>0</v>
      </c>
      <c r="M362" t="n">
        <v>0</v>
      </c>
      <c r="N362" t="n">
        <v>0</v>
      </c>
      <c r="O362" t="n">
        <v>0</v>
      </c>
      <c r="P362" t="n">
        <v>0</v>
      </c>
      <c r="Q362" t="n">
        <v>0</v>
      </c>
      <c r="R362" s="2" t="inlineStr"/>
    </row>
    <row r="363" ht="15" customHeight="1">
      <c r="A363" t="inlineStr">
        <is>
          <t>A 15754-2025</t>
        </is>
      </c>
      <c r="B363" s="1" t="n">
        <v>45748.56105324074</v>
      </c>
      <c r="C363" s="1" t="n">
        <v>45975</v>
      </c>
      <c r="D363" t="inlineStr">
        <is>
          <t>ÖSTERGÖTLANDS LÄN</t>
        </is>
      </c>
      <c r="E363" t="inlineStr">
        <is>
          <t>LINKÖPING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4298-2023</t>
        </is>
      </c>
      <c r="B364" s="1" t="n">
        <v>44953</v>
      </c>
      <c r="C364" s="1" t="n">
        <v>45975</v>
      </c>
      <c r="D364" t="inlineStr">
        <is>
          <t>ÖSTERGÖTLANDS LÄN</t>
        </is>
      </c>
      <c r="E364" t="inlineStr">
        <is>
          <t>LINKÖPING</t>
        </is>
      </c>
      <c r="G364" t="n">
        <v>2.8</v>
      </c>
      <c r="H364" t="n">
        <v>0</v>
      </c>
      <c r="I364" t="n">
        <v>0</v>
      </c>
      <c r="J364" t="n">
        <v>0</v>
      </c>
      <c r="K364" t="n">
        <v>0</v>
      </c>
      <c r="L364" t="n">
        <v>0</v>
      </c>
      <c r="M364" t="n">
        <v>0</v>
      </c>
      <c r="N364" t="n">
        <v>0</v>
      </c>
      <c r="O364" t="n">
        <v>0</v>
      </c>
      <c r="P364" t="n">
        <v>0</v>
      </c>
      <c r="Q364" t="n">
        <v>0</v>
      </c>
      <c r="R364" s="2" t="inlineStr"/>
    </row>
    <row r="365" ht="15" customHeight="1">
      <c r="A365" t="inlineStr">
        <is>
          <t>A 18145-2021</t>
        </is>
      </c>
      <c r="B365" s="1" t="n">
        <v>44302</v>
      </c>
      <c r="C365" s="1" t="n">
        <v>45975</v>
      </c>
      <c r="D365" t="inlineStr">
        <is>
          <t>ÖSTERGÖTLANDS LÄN</t>
        </is>
      </c>
      <c r="E365" t="inlineStr">
        <is>
          <t>LINKÖPING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25568-2024</t>
        </is>
      </c>
      <c r="B366" s="1" t="n">
        <v>45463.58699074074</v>
      </c>
      <c r="C366" s="1" t="n">
        <v>45975</v>
      </c>
      <c r="D366" t="inlineStr">
        <is>
          <t>ÖSTERGÖTLANDS LÄN</t>
        </is>
      </c>
      <c r="E366" t="inlineStr">
        <is>
          <t>LINKÖPING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38136-2023</t>
        </is>
      </c>
      <c r="B367" s="1" t="n">
        <v>45161.37310185185</v>
      </c>
      <c r="C367" s="1" t="n">
        <v>45975</v>
      </c>
      <c r="D367" t="inlineStr">
        <is>
          <t>ÖSTERGÖTLANDS LÄN</t>
        </is>
      </c>
      <c r="E367" t="inlineStr">
        <is>
          <t>LINKÖPING</t>
        </is>
      </c>
      <c r="G367" t="n">
        <v>5.6</v>
      </c>
      <c r="H367" t="n">
        <v>0</v>
      </c>
      <c r="I367" t="n">
        <v>0</v>
      </c>
      <c r="J367" t="n">
        <v>0</v>
      </c>
      <c r="K367" t="n">
        <v>0</v>
      </c>
      <c r="L367" t="n">
        <v>0</v>
      </c>
      <c r="M367" t="n">
        <v>0</v>
      </c>
      <c r="N367" t="n">
        <v>0</v>
      </c>
      <c r="O367" t="n">
        <v>0</v>
      </c>
      <c r="P367" t="n">
        <v>0</v>
      </c>
      <c r="Q367" t="n">
        <v>0</v>
      </c>
      <c r="R367" s="2" t="inlineStr"/>
    </row>
    <row r="368" ht="15" customHeight="1">
      <c r="A368" t="inlineStr">
        <is>
          <t>A 12317-2025</t>
        </is>
      </c>
      <c r="B368" s="1" t="n">
        <v>45729.8487037037</v>
      </c>
      <c r="C368" s="1" t="n">
        <v>45975</v>
      </c>
      <c r="D368" t="inlineStr">
        <is>
          <t>ÖSTERGÖTLANDS LÄN</t>
        </is>
      </c>
      <c r="E368" t="inlineStr">
        <is>
          <t>LINKÖPING</t>
        </is>
      </c>
      <c r="G368" t="n">
        <v>8</v>
      </c>
      <c r="H368" t="n">
        <v>0</v>
      </c>
      <c r="I368" t="n">
        <v>0</v>
      </c>
      <c r="J368" t="n">
        <v>0</v>
      </c>
      <c r="K368" t="n">
        <v>0</v>
      </c>
      <c r="L368" t="n">
        <v>0</v>
      </c>
      <c r="M368" t="n">
        <v>0</v>
      </c>
      <c r="N368" t="n">
        <v>0</v>
      </c>
      <c r="O368" t="n">
        <v>0</v>
      </c>
      <c r="P368" t="n">
        <v>0</v>
      </c>
      <c r="Q368" t="n">
        <v>0</v>
      </c>
      <c r="R368" s="2" t="inlineStr"/>
    </row>
    <row r="369" ht="15" customHeight="1">
      <c r="A369" t="inlineStr">
        <is>
          <t>A 14528-2025</t>
        </is>
      </c>
      <c r="B369" s="1" t="n">
        <v>45741</v>
      </c>
      <c r="C369" s="1" t="n">
        <v>45975</v>
      </c>
      <c r="D369" t="inlineStr">
        <is>
          <t>ÖSTERGÖTLANDS LÄN</t>
        </is>
      </c>
      <c r="E369" t="inlineStr">
        <is>
          <t>LINKÖPING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61649-2023</t>
        </is>
      </c>
      <c r="B370" s="1" t="n">
        <v>45265</v>
      </c>
      <c r="C370" s="1" t="n">
        <v>45975</v>
      </c>
      <c r="D370" t="inlineStr">
        <is>
          <t>ÖSTERGÖTLANDS LÄN</t>
        </is>
      </c>
      <c r="E370" t="inlineStr">
        <is>
          <t>LINKÖPING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37057-2025</t>
        </is>
      </c>
      <c r="B371" s="1" t="n">
        <v>45875.37489583333</v>
      </c>
      <c r="C371" s="1" t="n">
        <v>45975</v>
      </c>
      <c r="D371" t="inlineStr">
        <is>
          <t>ÖSTERGÖTLANDS LÄN</t>
        </is>
      </c>
      <c r="E371" t="inlineStr">
        <is>
          <t>LINKÖPING</t>
        </is>
      </c>
      <c r="G371" t="n">
        <v>3.3</v>
      </c>
      <c r="H371" t="n">
        <v>0</v>
      </c>
      <c r="I371" t="n">
        <v>0</v>
      </c>
      <c r="J371" t="n">
        <v>0</v>
      </c>
      <c r="K371" t="n">
        <v>0</v>
      </c>
      <c r="L371" t="n">
        <v>0</v>
      </c>
      <c r="M371" t="n">
        <v>0</v>
      </c>
      <c r="N371" t="n">
        <v>0</v>
      </c>
      <c r="O371" t="n">
        <v>0</v>
      </c>
      <c r="P371" t="n">
        <v>0</v>
      </c>
      <c r="Q371" t="n">
        <v>0</v>
      </c>
      <c r="R371" s="2" t="inlineStr"/>
    </row>
    <row r="372" ht="15" customHeight="1">
      <c r="A372" t="inlineStr">
        <is>
          <t>A 60985-2023</t>
        </is>
      </c>
      <c r="B372" s="1" t="n">
        <v>45261.48429398148</v>
      </c>
      <c r="C372" s="1" t="n">
        <v>45975</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421-2024</t>
        </is>
      </c>
      <c r="B373" s="1" t="n">
        <v>45296.51877314815</v>
      </c>
      <c r="C373" s="1" t="n">
        <v>45975</v>
      </c>
      <c r="D373" t="inlineStr">
        <is>
          <t>ÖSTERGÖTLANDS LÄN</t>
        </is>
      </c>
      <c r="E373" t="inlineStr">
        <is>
          <t>LINKÖPING</t>
        </is>
      </c>
      <c r="G373" t="n">
        <v>3.7</v>
      </c>
      <c r="H373" t="n">
        <v>0</v>
      </c>
      <c r="I373" t="n">
        <v>0</v>
      </c>
      <c r="J373" t="n">
        <v>0</v>
      </c>
      <c r="K373" t="n">
        <v>0</v>
      </c>
      <c r="L373" t="n">
        <v>0</v>
      </c>
      <c r="M373" t="n">
        <v>0</v>
      </c>
      <c r="N373" t="n">
        <v>0</v>
      </c>
      <c r="O373" t="n">
        <v>0</v>
      </c>
      <c r="P373" t="n">
        <v>0</v>
      </c>
      <c r="Q373" t="n">
        <v>0</v>
      </c>
      <c r="R373" s="2" t="inlineStr"/>
    </row>
    <row r="374" ht="15" customHeight="1">
      <c r="A374" t="inlineStr">
        <is>
          <t>A 14028-2024</t>
        </is>
      </c>
      <c r="B374" s="1" t="n">
        <v>45392</v>
      </c>
      <c r="C374" s="1" t="n">
        <v>45975</v>
      </c>
      <c r="D374" t="inlineStr">
        <is>
          <t>ÖSTERGÖTLANDS LÄN</t>
        </is>
      </c>
      <c r="E374" t="inlineStr">
        <is>
          <t>LINKÖPING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51405-2023</t>
        </is>
      </c>
      <c r="B375" s="1" t="n">
        <v>45219</v>
      </c>
      <c r="C375" s="1" t="n">
        <v>45975</v>
      </c>
      <c r="D375" t="inlineStr">
        <is>
          <t>ÖSTERGÖTLANDS LÄN</t>
        </is>
      </c>
      <c r="E375" t="inlineStr">
        <is>
          <t>LINKÖPING</t>
        </is>
      </c>
      <c r="F375" t="inlineStr">
        <is>
          <t>Övriga Aktiebolag</t>
        </is>
      </c>
      <c r="G375" t="n">
        <v>3</v>
      </c>
      <c r="H375" t="n">
        <v>0</v>
      </c>
      <c r="I375" t="n">
        <v>0</v>
      </c>
      <c r="J375" t="n">
        <v>0</v>
      </c>
      <c r="K375" t="n">
        <v>0</v>
      </c>
      <c r="L375" t="n">
        <v>0</v>
      </c>
      <c r="M375" t="n">
        <v>0</v>
      </c>
      <c r="N375" t="n">
        <v>0</v>
      </c>
      <c r="O375" t="n">
        <v>0</v>
      </c>
      <c r="P375" t="n">
        <v>0</v>
      </c>
      <c r="Q375" t="n">
        <v>0</v>
      </c>
      <c r="R375" s="2" t="inlineStr"/>
    </row>
    <row r="376" ht="15" customHeight="1">
      <c r="A376" t="inlineStr">
        <is>
          <t>A 53639-2023</t>
        </is>
      </c>
      <c r="B376" s="1" t="n">
        <v>45230.59686342593</v>
      </c>
      <c r="C376" s="1" t="n">
        <v>45975</v>
      </c>
      <c r="D376" t="inlineStr">
        <is>
          <t>ÖSTERGÖTLANDS LÄN</t>
        </is>
      </c>
      <c r="E376" t="inlineStr">
        <is>
          <t>LINKÖPING</t>
        </is>
      </c>
      <c r="G376" t="n">
        <v>2.3</v>
      </c>
      <c r="H376" t="n">
        <v>0</v>
      </c>
      <c r="I376" t="n">
        <v>0</v>
      </c>
      <c r="J376" t="n">
        <v>0</v>
      </c>
      <c r="K376" t="n">
        <v>0</v>
      </c>
      <c r="L376" t="n">
        <v>0</v>
      </c>
      <c r="M376" t="n">
        <v>0</v>
      </c>
      <c r="N376" t="n">
        <v>0</v>
      </c>
      <c r="O376" t="n">
        <v>0</v>
      </c>
      <c r="P376" t="n">
        <v>0</v>
      </c>
      <c r="Q376" t="n">
        <v>0</v>
      </c>
      <c r="R376" s="2" t="inlineStr"/>
    </row>
    <row r="377" ht="15" customHeight="1">
      <c r="A377" t="inlineStr">
        <is>
          <t>A 24467-2023</t>
        </is>
      </c>
      <c r="B377" s="1" t="n">
        <v>45082</v>
      </c>
      <c r="C377" s="1" t="n">
        <v>45975</v>
      </c>
      <c r="D377" t="inlineStr">
        <is>
          <t>ÖSTERGÖTLANDS LÄN</t>
        </is>
      </c>
      <c r="E377" t="inlineStr">
        <is>
          <t>LINKÖPING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62488-2023</t>
        </is>
      </c>
      <c r="B378" s="1" t="n">
        <v>45268.5847337963</v>
      </c>
      <c r="C378" s="1" t="n">
        <v>45975</v>
      </c>
      <c r="D378" t="inlineStr">
        <is>
          <t>ÖSTERGÖTLANDS LÄN</t>
        </is>
      </c>
      <c r="E378" t="inlineStr">
        <is>
          <t>LINKÖPING</t>
        </is>
      </c>
      <c r="G378" t="n">
        <v>4.1</v>
      </c>
      <c r="H378" t="n">
        <v>0</v>
      </c>
      <c r="I378" t="n">
        <v>0</v>
      </c>
      <c r="J378" t="n">
        <v>0</v>
      </c>
      <c r="K378" t="n">
        <v>0</v>
      </c>
      <c r="L378" t="n">
        <v>0</v>
      </c>
      <c r="M378" t="n">
        <v>0</v>
      </c>
      <c r="N378" t="n">
        <v>0</v>
      </c>
      <c r="O378" t="n">
        <v>0</v>
      </c>
      <c r="P378" t="n">
        <v>0</v>
      </c>
      <c r="Q378" t="n">
        <v>0</v>
      </c>
      <c r="R378" s="2" t="inlineStr"/>
    </row>
    <row r="379" ht="15" customHeight="1">
      <c r="A379" t="inlineStr">
        <is>
          <t>A 50508-2024</t>
        </is>
      </c>
      <c r="B379" s="1" t="n">
        <v>45601.53907407408</v>
      </c>
      <c r="C379" s="1" t="n">
        <v>45975</v>
      </c>
      <c r="D379" t="inlineStr">
        <is>
          <t>ÖSTERGÖTLANDS LÄN</t>
        </is>
      </c>
      <c r="E379" t="inlineStr">
        <is>
          <t>LINKÖPING</t>
        </is>
      </c>
      <c r="F379" t="inlineStr">
        <is>
          <t>Övriga Aktiebolag</t>
        </is>
      </c>
      <c r="G379" t="n">
        <v>2</v>
      </c>
      <c r="H379" t="n">
        <v>0</v>
      </c>
      <c r="I379" t="n">
        <v>0</v>
      </c>
      <c r="J379" t="n">
        <v>0</v>
      </c>
      <c r="K379" t="n">
        <v>0</v>
      </c>
      <c r="L379" t="n">
        <v>0</v>
      </c>
      <c r="M379" t="n">
        <v>0</v>
      </c>
      <c r="N379" t="n">
        <v>0</v>
      </c>
      <c r="O379" t="n">
        <v>0</v>
      </c>
      <c r="P379" t="n">
        <v>0</v>
      </c>
      <c r="Q379" t="n">
        <v>0</v>
      </c>
      <c r="R379" s="2" t="inlineStr"/>
    </row>
    <row r="380" ht="15" customHeight="1">
      <c r="A380" t="inlineStr">
        <is>
          <t>A 14667-2024</t>
        </is>
      </c>
      <c r="B380" s="1" t="n">
        <v>45397.42005787037</v>
      </c>
      <c r="C380" s="1" t="n">
        <v>45975</v>
      </c>
      <c r="D380" t="inlineStr">
        <is>
          <t>ÖSTERGÖTLANDS LÄN</t>
        </is>
      </c>
      <c r="E380" t="inlineStr">
        <is>
          <t>LINKÖPING</t>
        </is>
      </c>
      <c r="G380" t="n">
        <v>2.3</v>
      </c>
      <c r="H380" t="n">
        <v>0</v>
      </c>
      <c r="I380" t="n">
        <v>0</v>
      </c>
      <c r="J380" t="n">
        <v>0</v>
      </c>
      <c r="K380" t="n">
        <v>0</v>
      </c>
      <c r="L380" t="n">
        <v>0</v>
      </c>
      <c r="M380" t="n">
        <v>0</v>
      </c>
      <c r="N380" t="n">
        <v>0</v>
      </c>
      <c r="O380" t="n">
        <v>0</v>
      </c>
      <c r="P380" t="n">
        <v>0</v>
      </c>
      <c r="Q380" t="n">
        <v>0</v>
      </c>
      <c r="R380" s="2" t="inlineStr"/>
    </row>
    <row r="381" ht="15" customHeight="1">
      <c r="A381" t="inlineStr">
        <is>
          <t>A 2697-2023</t>
        </is>
      </c>
      <c r="B381" s="1" t="n">
        <v>44944</v>
      </c>
      <c r="C381" s="1" t="n">
        <v>45975</v>
      </c>
      <c r="D381" t="inlineStr">
        <is>
          <t>ÖSTERGÖTLANDS LÄN</t>
        </is>
      </c>
      <c r="E381" t="inlineStr">
        <is>
          <t>LINKÖPING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62495-2023</t>
        </is>
      </c>
      <c r="B382" s="1" t="n">
        <v>45268.59717592593</v>
      </c>
      <c r="C382" s="1" t="n">
        <v>45975</v>
      </c>
      <c r="D382" t="inlineStr">
        <is>
          <t>ÖSTERGÖTLANDS LÄN</t>
        </is>
      </c>
      <c r="E382" t="inlineStr">
        <is>
          <t>LINKÖPING</t>
        </is>
      </c>
      <c r="G382" t="n">
        <v>4.1</v>
      </c>
      <c r="H382" t="n">
        <v>0</v>
      </c>
      <c r="I382" t="n">
        <v>0</v>
      </c>
      <c r="J382" t="n">
        <v>0</v>
      </c>
      <c r="K382" t="n">
        <v>0</v>
      </c>
      <c r="L382" t="n">
        <v>0</v>
      </c>
      <c r="M382" t="n">
        <v>0</v>
      </c>
      <c r="N382" t="n">
        <v>0</v>
      </c>
      <c r="O382" t="n">
        <v>0</v>
      </c>
      <c r="P382" t="n">
        <v>0</v>
      </c>
      <c r="Q382" t="n">
        <v>0</v>
      </c>
      <c r="R382" s="2" t="inlineStr"/>
    </row>
    <row r="383" ht="15" customHeight="1">
      <c r="A383" t="inlineStr">
        <is>
          <t>A 53641-2023</t>
        </is>
      </c>
      <c r="B383" s="1" t="n">
        <v>45230</v>
      </c>
      <c r="C383" s="1" t="n">
        <v>45975</v>
      </c>
      <c r="D383" t="inlineStr">
        <is>
          <t>ÖSTERGÖTLANDS LÄN</t>
        </is>
      </c>
      <c r="E383" t="inlineStr">
        <is>
          <t>LINKÖPING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48707-2023</t>
        </is>
      </c>
      <c r="B384" s="1" t="n">
        <v>45202</v>
      </c>
      <c r="C384" s="1" t="n">
        <v>45975</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25829-2025</t>
        </is>
      </c>
      <c r="B385" s="1" t="n">
        <v>45804.44505787037</v>
      </c>
      <c r="C385" s="1" t="n">
        <v>45975</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53411-2023</t>
        </is>
      </c>
      <c r="B386" s="1" t="n">
        <v>45229.81049768518</v>
      </c>
      <c r="C386" s="1" t="n">
        <v>45975</v>
      </c>
      <c r="D386" t="inlineStr">
        <is>
          <t>ÖSTERGÖTLANDS LÄN</t>
        </is>
      </c>
      <c r="E386" t="inlineStr">
        <is>
          <t>LINKÖPING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10198-2023</t>
        </is>
      </c>
      <c r="B387" s="1" t="n">
        <v>44986.54665509259</v>
      </c>
      <c r="C387" s="1" t="n">
        <v>45975</v>
      </c>
      <c r="D387" t="inlineStr">
        <is>
          <t>ÖSTERGÖTLANDS LÄN</t>
        </is>
      </c>
      <c r="E387" t="inlineStr">
        <is>
          <t>LINKÖPING</t>
        </is>
      </c>
      <c r="G387" t="n">
        <v>4.6</v>
      </c>
      <c r="H387" t="n">
        <v>0</v>
      </c>
      <c r="I387" t="n">
        <v>0</v>
      </c>
      <c r="J387" t="n">
        <v>0</v>
      </c>
      <c r="K387" t="n">
        <v>0</v>
      </c>
      <c r="L387" t="n">
        <v>0</v>
      </c>
      <c r="M387" t="n">
        <v>0</v>
      </c>
      <c r="N387" t="n">
        <v>0</v>
      </c>
      <c r="O387" t="n">
        <v>0</v>
      </c>
      <c r="P387" t="n">
        <v>0</v>
      </c>
      <c r="Q387" t="n">
        <v>0</v>
      </c>
      <c r="R387" s="2" t="inlineStr"/>
    </row>
    <row r="388" ht="15" customHeight="1">
      <c r="A388" t="inlineStr">
        <is>
          <t>A 56741-2023</t>
        </is>
      </c>
      <c r="B388" s="1" t="n">
        <v>45244</v>
      </c>
      <c r="C388" s="1" t="n">
        <v>45975</v>
      </c>
      <c r="D388" t="inlineStr">
        <is>
          <t>ÖSTERGÖTLANDS LÄN</t>
        </is>
      </c>
      <c r="E388" t="inlineStr">
        <is>
          <t>LINKÖPING</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56792-2023</t>
        </is>
      </c>
      <c r="B389" s="1" t="n">
        <v>45244</v>
      </c>
      <c r="C389" s="1" t="n">
        <v>45975</v>
      </c>
      <c r="D389" t="inlineStr">
        <is>
          <t>ÖSTERGÖTLANDS LÄN</t>
        </is>
      </c>
      <c r="E389" t="inlineStr">
        <is>
          <t>LINKÖPING</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22771-2024</t>
        </is>
      </c>
      <c r="B390" s="1" t="n">
        <v>45448.46574074074</v>
      </c>
      <c r="C390" s="1" t="n">
        <v>45975</v>
      </c>
      <c r="D390" t="inlineStr">
        <is>
          <t>ÖSTERGÖTLANDS LÄN</t>
        </is>
      </c>
      <c r="E390" t="inlineStr">
        <is>
          <t>LINKÖPING</t>
        </is>
      </c>
      <c r="F390" t="inlineStr">
        <is>
          <t>Sveaskog</t>
        </is>
      </c>
      <c r="G390" t="n">
        <v>2.7</v>
      </c>
      <c r="H390" t="n">
        <v>0</v>
      </c>
      <c r="I390" t="n">
        <v>0</v>
      </c>
      <c r="J390" t="n">
        <v>0</v>
      </c>
      <c r="K390" t="n">
        <v>0</v>
      </c>
      <c r="L390" t="n">
        <v>0</v>
      </c>
      <c r="M390" t="n">
        <v>0</v>
      </c>
      <c r="N390" t="n">
        <v>0</v>
      </c>
      <c r="O390" t="n">
        <v>0</v>
      </c>
      <c r="P390" t="n">
        <v>0</v>
      </c>
      <c r="Q390" t="n">
        <v>0</v>
      </c>
      <c r="R390" s="2" t="inlineStr"/>
    </row>
    <row r="391" ht="15" customHeight="1">
      <c r="A391" t="inlineStr">
        <is>
          <t>A 17128-2025</t>
        </is>
      </c>
      <c r="B391" s="1" t="n">
        <v>45755.72622685185</v>
      </c>
      <c r="C391" s="1" t="n">
        <v>45975</v>
      </c>
      <c r="D391" t="inlineStr">
        <is>
          <t>ÖSTERGÖTLANDS LÄN</t>
        </is>
      </c>
      <c r="E391" t="inlineStr">
        <is>
          <t>LINKÖPING</t>
        </is>
      </c>
      <c r="G391" t="n">
        <v>2.9</v>
      </c>
      <c r="H391" t="n">
        <v>0</v>
      </c>
      <c r="I391" t="n">
        <v>0</v>
      </c>
      <c r="J391" t="n">
        <v>0</v>
      </c>
      <c r="K391" t="n">
        <v>0</v>
      </c>
      <c r="L391" t="n">
        <v>0</v>
      </c>
      <c r="M391" t="n">
        <v>0</v>
      </c>
      <c r="N391" t="n">
        <v>0</v>
      </c>
      <c r="O391" t="n">
        <v>0</v>
      </c>
      <c r="P391" t="n">
        <v>0</v>
      </c>
      <c r="Q391" t="n">
        <v>0</v>
      </c>
      <c r="R391" s="2" t="inlineStr"/>
    </row>
    <row r="392" ht="15" customHeight="1">
      <c r="A392" t="inlineStr">
        <is>
          <t>A 3007-2023</t>
        </is>
      </c>
      <c r="B392" s="1" t="n">
        <v>44945</v>
      </c>
      <c r="C392" s="1" t="n">
        <v>45975</v>
      </c>
      <c r="D392" t="inlineStr">
        <is>
          <t>ÖSTERGÖTLANDS LÄN</t>
        </is>
      </c>
      <c r="E392" t="inlineStr">
        <is>
          <t>LINKÖPING</t>
        </is>
      </c>
      <c r="G392" t="n">
        <v>2.6</v>
      </c>
      <c r="H392" t="n">
        <v>0</v>
      </c>
      <c r="I392" t="n">
        <v>0</v>
      </c>
      <c r="J392" t="n">
        <v>0</v>
      </c>
      <c r="K392" t="n">
        <v>0</v>
      </c>
      <c r="L392" t="n">
        <v>0</v>
      </c>
      <c r="M392" t="n">
        <v>0</v>
      </c>
      <c r="N392" t="n">
        <v>0</v>
      </c>
      <c r="O392" t="n">
        <v>0</v>
      </c>
      <c r="P392" t="n">
        <v>0</v>
      </c>
      <c r="Q392" t="n">
        <v>0</v>
      </c>
      <c r="R392" s="2" t="inlineStr"/>
    </row>
    <row r="393" ht="15" customHeight="1">
      <c r="A393" t="inlineStr">
        <is>
          <t>A 40338-2024</t>
        </is>
      </c>
      <c r="B393" s="1" t="n">
        <v>45555.32940972222</v>
      </c>
      <c r="C393" s="1" t="n">
        <v>45975</v>
      </c>
      <c r="D393" t="inlineStr">
        <is>
          <t>ÖSTERGÖTLANDS LÄN</t>
        </is>
      </c>
      <c r="E393" t="inlineStr">
        <is>
          <t>LINKÖPING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3013-2023</t>
        </is>
      </c>
      <c r="B394" s="1" t="n">
        <v>44945.8092824074</v>
      </c>
      <c r="C394" s="1" t="n">
        <v>45975</v>
      </c>
      <c r="D394" t="inlineStr">
        <is>
          <t>ÖSTERGÖTLANDS LÄN</t>
        </is>
      </c>
      <c r="E394" t="inlineStr">
        <is>
          <t>LINKÖPING</t>
        </is>
      </c>
      <c r="G394" t="n">
        <v>5.2</v>
      </c>
      <c r="H394" t="n">
        <v>0</v>
      </c>
      <c r="I394" t="n">
        <v>0</v>
      </c>
      <c r="J394" t="n">
        <v>0</v>
      </c>
      <c r="K394" t="n">
        <v>0</v>
      </c>
      <c r="L394" t="n">
        <v>0</v>
      </c>
      <c r="M394" t="n">
        <v>0</v>
      </c>
      <c r="N394" t="n">
        <v>0</v>
      </c>
      <c r="O394" t="n">
        <v>0</v>
      </c>
      <c r="P394" t="n">
        <v>0</v>
      </c>
      <c r="Q394" t="n">
        <v>0</v>
      </c>
      <c r="R394" s="2" t="inlineStr"/>
    </row>
    <row r="395" ht="15" customHeight="1">
      <c r="A395" t="inlineStr">
        <is>
          <t>A 55945-2024</t>
        </is>
      </c>
      <c r="B395" s="1" t="n">
        <v>45623.61754629629</v>
      </c>
      <c r="C395" s="1" t="n">
        <v>45975</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1993-2023</t>
        </is>
      </c>
      <c r="B396" s="1" t="n">
        <v>44939</v>
      </c>
      <c r="C396" s="1" t="n">
        <v>45975</v>
      </c>
      <c r="D396" t="inlineStr">
        <is>
          <t>ÖSTERGÖTLANDS LÄN</t>
        </is>
      </c>
      <c r="E396" t="inlineStr">
        <is>
          <t>LINKÖPING</t>
        </is>
      </c>
      <c r="G396" t="n">
        <v>3.7</v>
      </c>
      <c r="H396" t="n">
        <v>0</v>
      </c>
      <c r="I396" t="n">
        <v>0</v>
      </c>
      <c r="J396" t="n">
        <v>0</v>
      </c>
      <c r="K396" t="n">
        <v>0</v>
      </c>
      <c r="L396" t="n">
        <v>0</v>
      </c>
      <c r="M396" t="n">
        <v>0</v>
      </c>
      <c r="N396" t="n">
        <v>0</v>
      </c>
      <c r="O396" t="n">
        <v>0</v>
      </c>
      <c r="P396" t="n">
        <v>0</v>
      </c>
      <c r="Q396" t="n">
        <v>0</v>
      </c>
      <c r="R396" s="2" t="inlineStr"/>
    </row>
    <row r="397" ht="15" customHeight="1">
      <c r="A397" t="inlineStr">
        <is>
          <t>A 2618-2023</t>
        </is>
      </c>
      <c r="B397" s="1" t="n">
        <v>44944.35847222222</v>
      </c>
      <c r="C397" s="1" t="n">
        <v>45975</v>
      </c>
      <c r="D397" t="inlineStr">
        <is>
          <t>ÖSTERGÖTLANDS LÄN</t>
        </is>
      </c>
      <c r="E397" t="inlineStr">
        <is>
          <t>LINKÖPING</t>
        </is>
      </c>
      <c r="G397" t="n">
        <v>4.3</v>
      </c>
      <c r="H397" t="n">
        <v>0</v>
      </c>
      <c r="I397" t="n">
        <v>0</v>
      </c>
      <c r="J397" t="n">
        <v>0</v>
      </c>
      <c r="K397" t="n">
        <v>0</v>
      </c>
      <c r="L397" t="n">
        <v>0</v>
      </c>
      <c r="M397" t="n">
        <v>0</v>
      </c>
      <c r="N397" t="n">
        <v>0</v>
      </c>
      <c r="O397" t="n">
        <v>0</v>
      </c>
      <c r="P397" t="n">
        <v>0</v>
      </c>
      <c r="Q397" t="n">
        <v>0</v>
      </c>
      <c r="R397" s="2" t="inlineStr"/>
    </row>
    <row r="398" ht="15" customHeight="1">
      <c r="A398" t="inlineStr">
        <is>
          <t>A 10203-2023</t>
        </is>
      </c>
      <c r="B398" s="1" t="n">
        <v>44986.55711805556</v>
      </c>
      <c r="C398" s="1" t="n">
        <v>45975</v>
      </c>
      <c r="D398" t="inlineStr">
        <is>
          <t>ÖSTERGÖTLANDS LÄN</t>
        </is>
      </c>
      <c r="E398" t="inlineStr">
        <is>
          <t>LINKÖPING</t>
        </is>
      </c>
      <c r="G398" t="n">
        <v>3.3</v>
      </c>
      <c r="H398" t="n">
        <v>0</v>
      </c>
      <c r="I398" t="n">
        <v>0</v>
      </c>
      <c r="J398" t="n">
        <v>0</v>
      </c>
      <c r="K398" t="n">
        <v>0</v>
      </c>
      <c r="L398" t="n">
        <v>0</v>
      </c>
      <c r="M398" t="n">
        <v>0</v>
      </c>
      <c r="N398" t="n">
        <v>0</v>
      </c>
      <c r="O398" t="n">
        <v>0</v>
      </c>
      <c r="P398" t="n">
        <v>0</v>
      </c>
      <c r="Q398" t="n">
        <v>0</v>
      </c>
      <c r="R398" s="2" t="inlineStr"/>
    </row>
    <row r="399" ht="15" customHeight="1">
      <c r="A399" t="inlineStr">
        <is>
          <t>A 62018-2024</t>
        </is>
      </c>
      <c r="B399" s="1" t="n">
        <v>45655.81387731482</v>
      </c>
      <c r="C399" s="1" t="n">
        <v>45975</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62073-2023</t>
        </is>
      </c>
      <c r="B400" s="1" t="n">
        <v>45266.73844907407</v>
      </c>
      <c r="C400" s="1" t="n">
        <v>45975</v>
      </c>
      <c r="D400" t="inlineStr">
        <is>
          <t>ÖSTERGÖTLANDS LÄN</t>
        </is>
      </c>
      <c r="E400" t="inlineStr">
        <is>
          <t>LINKÖPING</t>
        </is>
      </c>
      <c r="F400" t="inlineStr">
        <is>
          <t>Allmännings- och besparingsskogar</t>
        </is>
      </c>
      <c r="G400" t="n">
        <v>1.8</v>
      </c>
      <c r="H400" t="n">
        <v>0</v>
      </c>
      <c r="I400" t="n">
        <v>0</v>
      </c>
      <c r="J400" t="n">
        <v>0</v>
      </c>
      <c r="K400" t="n">
        <v>0</v>
      </c>
      <c r="L400" t="n">
        <v>0</v>
      </c>
      <c r="M400" t="n">
        <v>0</v>
      </c>
      <c r="N400" t="n">
        <v>0</v>
      </c>
      <c r="O400" t="n">
        <v>0</v>
      </c>
      <c r="P400" t="n">
        <v>0</v>
      </c>
      <c r="Q400" t="n">
        <v>0</v>
      </c>
      <c r="R400" s="2" t="inlineStr"/>
    </row>
    <row r="401" ht="15" customHeight="1">
      <c r="A401" t="inlineStr">
        <is>
          <t>A 36336-2022</t>
        </is>
      </c>
      <c r="B401" s="1" t="n">
        <v>44803</v>
      </c>
      <c r="C401" s="1" t="n">
        <v>45975</v>
      </c>
      <c r="D401" t="inlineStr">
        <is>
          <t>ÖSTERGÖTLANDS LÄN</t>
        </is>
      </c>
      <c r="E401" t="inlineStr">
        <is>
          <t>LINKÖPING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34889-2023</t>
        </is>
      </c>
      <c r="B402" s="1" t="n">
        <v>45140</v>
      </c>
      <c r="C402" s="1" t="n">
        <v>45975</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34928-2023</t>
        </is>
      </c>
      <c r="B403" s="1" t="n">
        <v>45142</v>
      </c>
      <c r="C403" s="1" t="n">
        <v>45975</v>
      </c>
      <c r="D403" t="inlineStr">
        <is>
          <t>ÖSTERGÖTLANDS LÄN</t>
        </is>
      </c>
      <c r="E403" t="inlineStr">
        <is>
          <t>LINKÖPING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672-2024</t>
        </is>
      </c>
      <c r="B404" s="1" t="n">
        <v>45300</v>
      </c>
      <c r="C404" s="1" t="n">
        <v>45975</v>
      </c>
      <c r="D404" t="inlineStr">
        <is>
          <t>ÖSTERGÖTLANDS LÄN</t>
        </is>
      </c>
      <c r="E404" t="inlineStr">
        <is>
          <t>LINKÖPING</t>
        </is>
      </c>
      <c r="F404" t="inlineStr">
        <is>
          <t>Sveaskog</t>
        </is>
      </c>
      <c r="G404" t="n">
        <v>4.5</v>
      </c>
      <c r="H404" t="n">
        <v>0</v>
      </c>
      <c r="I404" t="n">
        <v>0</v>
      </c>
      <c r="J404" t="n">
        <v>0</v>
      </c>
      <c r="K404" t="n">
        <v>0</v>
      </c>
      <c r="L404" t="n">
        <v>0</v>
      </c>
      <c r="M404" t="n">
        <v>0</v>
      </c>
      <c r="N404" t="n">
        <v>0</v>
      </c>
      <c r="O404" t="n">
        <v>0</v>
      </c>
      <c r="P404" t="n">
        <v>0</v>
      </c>
      <c r="Q404" t="n">
        <v>0</v>
      </c>
      <c r="R404" s="2" t="inlineStr"/>
    </row>
    <row r="405" ht="15" customHeight="1">
      <c r="A405" t="inlineStr">
        <is>
          <t>A 1268-2023</t>
        </is>
      </c>
      <c r="B405" s="1" t="n">
        <v>44936</v>
      </c>
      <c r="C405" s="1" t="n">
        <v>45975</v>
      </c>
      <c r="D405" t="inlineStr">
        <is>
          <t>ÖSTERGÖTLANDS LÄN</t>
        </is>
      </c>
      <c r="E405" t="inlineStr">
        <is>
          <t>LINKÖPING</t>
        </is>
      </c>
      <c r="G405" t="n">
        <v>4.6</v>
      </c>
      <c r="H405" t="n">
        <v>0</v>
      </c>
      <c r="I405" t="n">
        <v>0</v>
      </c>
      <c r="J405" t="n">
        <v>0</v>
      </c>
      <c r="K405" t="n">
        <v>0</v>
      </c>
      <c r="L405" t="n">
        <v>0</v>
      </c>
      <c r="M405" t="n">
        <v>0</v>
      </c>
      <c r="N405" t="n">
        <v>0</v>
      </c>
      <c r="O405" t="n">
        <v>0</v>
      </c>
      <c r="P405" t="n">
        <v>0</v>
      </c>
      <c r="Q405" t="n">
        <v>0</v>
      </c>
      <c r="R405" s="2" t="inlineStr"/>
    </row>
    <row r="406" ht="15" customHeight="1">
      <c r="A406" t="inlineStr">
        <is>
          <t>A 48839-2022</t>
        </is>
      </c>
      <c r="B406" s="1" t="n">
        <v>44859</v>
      </c>
      <c r="C406" s="1" t="n">
        <v>45975</v>
      </c>
      <c r="D406" t="inlineStr">
        <is>
          <t>ÖSTERGÖTLANDS LÄN</t>
        </is>
      </c>
      <c r="E406" t="inlineStr">
        <is>
          <t>LINKÖPING</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5314-2021</t>
        </is>
      </c>
      <c r="B407" s="1" t="n">
        <v>44229</v>
      </c>
      <c r="C407" s="1" t="n">
        <v>45975</v>
      </c>
      <c r="D407" t="inlineStr">
        <is>
          <t>ÖSTERGÖTLANDS LÄN</t>
        </is>
      </c>
      <c r="E407" t="inlineStr">
        <is>
          <t>LINKÖPING</t>
        </is>
      </c>
      <c r="G407" t="n">
        <v>6.2</v>
      </c>
      <c r="H407" t="n">
        <v>0</v>
      </c>
      <c r="I407" t="n">
        <v>0</v>
      </c>
      <c r="J407" t="n">
        <v>0</v>
      </c>
      <c r="K407" t="n">
        <v>0</v>
      </c>
      <c r="L407" t="n">
        <v>0</v>
      </c>
      <c r="M407" t="n">
        <v>0</v>
      </c>
      <c r="N407" t="n">
        <v>0</v>
      </c>
      <c r="O407" t="n">
        <v>0</v>
      </c>
      <c r="P407" t="n">
        <v>0</v>
      </c>
      <c r="Q407" t="n">
        <v>0</v>
      </c>
      <c r="R407" s="2" t="inlineStr"/>
    </row>
    <row r="408" ht="15" customHeight="1">
      <c r="A408" t="inlineStr">
        <is>
          <t>A 42832-2023</t>
        </is>
      </c>
      <c r="B408" s="1" t="n">
        <v>45182.38091435185</v>
      </c>
      <c r="C408" s="1" t="n">
        <v>45975</v>
      </c>
      <c r="D408" t="inlineStr">
        <is>
          <t>ÖSTERGÖTLANDS LÄN</t>
        </is>
      </c>
      <c r="E408" t="inlineStr">
        <is>
          <t>LINKÖPING</t>
        </is>
      </c>
      <c r="G408" t="n">
        <v>2.5</v>
      </c>
      <c r="H408" t="n">
        <v>0</v>
      </c>
      <c r="I408" t="n">
        <v>0</v>
      </c>
      <c r="J408" t="n">
        <v>0</v>
      </c>
      <c r="K408" t="n">
        <v>0</v>
      </c>
      <c r="L408" t="n">
        <v>0</v>
      </c>
      <c r="M408" t="n">
        <v>0</v>
      </c>
      <c r="N408" t="n">
        <v>0</v>
      </c>
      <c r="O408" t="n">
        <v>0</v>
      </c>
      <c r="P408" t="n">
        <v>0</v>
      </c>
      <c r="Q408" t="n">
        <v>0</v>
      </c>
      <c r="R408" s="2" t="inlineStr"/>
    </row>
    <row r="409" ht="15" customHeight="1">
      <c r="A409" t="inlineStr">
        <is>
          <t>A 6387-2022</t>
        </is>
      </c>
      <c r="B409" s="1" t="n">
        <v>44600</v>
      </c>
      <c r="C409" s="1" t="n">
        <v>45975</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34641-2022</t>
        </is>
      </c>
      <c r="B410" s="1" t="n">
        <v>44795</v>
      </c>
      <c r="C410" s="1" t="n">
        <v>45975</v>
      </c>
      <c r="D410" t="inlineStr">
        <is>
          <t>ÖSTERGÖTLANDS LÄN</t>
        </is>
      </c>
      <c r="E410" t="inlineStr">
        <is>
          <t>LINKÖPING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13687-2025</t>
        </is>
      </c>
      <c r="B411" s="1" t="n">
        <v>45737.31425925926</v>
      </c>
      <c r="C411" s="1" t="n">
        <v>45975</v>
      </c>
      <c r="D411" t="inlineStr">
        <is>
          <t>ÖSTERGÖTLANDS LÄN</t>
        </is>
      </c>
      <c r="E411" t="inlineStr">
        <is>
          <t>LINKÖPING</t>
        </is>
      </c>
      <c r="G411" t="n">
        <v>2.7</v>
      </c>
      <c r="H411" t="n">
        <v>0</v>
      </c>
      <c r="I411" t="n">
        <v>0</v>
      </c>
      <c r="J411" t="n">
        <v>0</v>
      </c>
      <c r="K411" t="n">
        <v>0</v>
      </c>
      <c r="L411" t="n">
        <v>0</v>
      </c>
      <c r="M411" t="n">
        <v>0</v>
      </c>
      <c r="N411" t="n">
        <v>0</v>
      </c>
      <c r="O411" t="n">
        <v>0</v>
      </c>
      <c r="P411" t="n">
        <v>0</v>
      </c>
      <c r="Q411" t="n">
        <v>0</v>
      </c>
      <c r="R411" s="2" t="inlineStr"/>
    </row>
    <row r="412" ht="15" customHeight="1">
      <c r="A412" t="inlineStr">
        <is>
          <t>A 13695-2025</t>
        </is>
      </c>
      <c r="B412" s="1" t="n">
        <v>45737.32219907407</v>
      </c>
      <c r="C412" s="1" t="n">
        <v>45975</v>
      </c>
      <c r="D412" t="inlineStr">
        <is>
          <t>ÖSTERGÖTLANDS LÄN</t>
        </is>
      </c>
      <c r="E412" t="inlineStr">
        <is>
          <t>LINKÖPING</t>
        </is>
      </c>
      <c r="G412" t="n">
        <v>5.3</v>
      </c>
      <c r="H412" t="n">
        <v>0</v>
      </c>
      <c r="I412" t="n">
        <v>0</v>
      </c>
      <c r="J412" t="n">
        <v>0</v>
      </c>
      <c r="K412" t="n">
        <v>0</v>
      </c>
      <c r="L412" t="n">
        <v>0</v>
      </c>
      <c r="M412" t="n">
        <v>0</v>
      </c>
      <c r="N412" t="n">
        <v>0</v>
      </c>
      <c r="O412" t="n">
        <v>0</v>
      </c>
      <c r="P412" t="n">
        <v>0</v>
      </c>
      <c r="Q412" t="n">
        <v>0</v>
      </c>
      <c r="R412" s="2" t="inlineStr"/>
    </row>
    <row r="413" ht="15" customHeight="1">
      <c r="A413" t="inlineStr">
        <is>
          <t>A 38046-2025</t>
        </is>
      </c>
      <c r="B413" s="1" t="n">
        <v>45882.39939814815</v>
      </c>
      <c r="C413" s="1" t="n">
        <v>45975</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5872-2025</t>
        </is>
      </c>
      <c r="B414" s="1" t="n">
        <v>45695.36659722222</v>
      </c>
      <c r="C414" s="1" t="n">
        <v>45975</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59674-2024</t>
        </is>
      </c>
      <c r="B415" s="1" t="n">
        <v>45639</v>
      </c>
      <c r="C415" s="1" t="n">
        <v>45975</v>
      </c>
      <c r="D415" t="inlineStr">
        <is>
          <t>ÖSTERGÖTLANDS LÄN</t>
        </is>
      </c>
      <c r="E415" t="inlineStr">
        <is>
          <t>LINKÖPING</t>
        </is>
      </c>
      <c r="G415" t="n">
        <v>6.3</v>
      </c>
      <c r="H415" t="n">
        <v>0</v>
      </c>
      <c r="I415" t="n">
        <v>0</v>
      </c>
      <c r="J415" t="n">
        <v>0</v>
      </c>
      <c r="K415" t="n">
        <v>0</v>
      </c>
      <c r="L415" t="n">
        <v>0</v>
      </c>
      <c r="M415" t="n">
        <v>0</v>
      </c>
      <c r="N415" t="n">
        <v>0</v>
      </c>
      <c r="O415" t="n">
        <v>0</v>
      </c>
      <c r="P415" t="n">
        <v>0</v>
      </c>
      <c r="Q415" t="n">
        <v>0</v>
      </c>
      <c r="R415" s="2" t="inlineStr"/>
    </row>
    <row r="416" ht="15" customHeight="1">
      <c r="A416" t="inlineStr">
        <is>
          <t>A 49747-2024</t>
        </is>
      </c>
      <c r="B416" s="1" t="n">
        <v>45596</v>
      </c>
      <c r="C416" s="1" t="n">
        <v>45975</v>
      </c>
      <c r="D416" t="inlineStr">
        <is>
          <t>ÖSTERGÖTLANDS LÄN</t>
        </is>
      </c>
      <c r="E416" t="inlineStr">
        <is>
          <t>LINKÖPING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52413-2023</t>
        </is>
      </c>
      <c r="B417" s="1" t="n">
        <v>45225.27950231481</v>
      </c>
      <c r="C417" s="1" t="n">
        <v>45975</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31725-2022</t>
        </is>
      </c>
      <c r="B418" s="1" t="n">
        <v>44776.48541666667</v>
      </c>
      <c r="C418" s="1" t="n">
        <v>45975</v>
      </c>
      <c r="D418" t="inlineStr">
        <is>
          <t>ÖSTERGÖTLANDS LÄN</t>
        </is>
      </c>
      <c r="E418" t="inlineStr">
        <is>
          <t>LINKÖPING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42054-2022</t>
        </is>
      </c>
      <c r="B419" s="1" t="n">
        <v>44830</v>
      </c>
      <c r="C419" s="1" t="n">
        <v>45975</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59576-2024</t>
        </is>
      </c>
      <c r="B420" s="1" t="n">
        <v>45638.66378472222</v>
      </c>
      <c r="C420" s="1" t="n">
        <v>45975</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53797-2023</t>
        </is>
      </c>
      <c r="B421" s="1" t="n">
        <v>45230</v>
      </c>
      <c r="C421" s="1" t="n">
        <v>45975</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3008-2023</t>
        </is>
      </c>
      <c r="B422" s="1" t="n">
        <v>44945.79784722222</v>
      </c>
      <c r="C422" s="1" t="n">
        <v>45975</v>
      </c>
      <c r="D422" t="inlineStr">
        <is>
          <t>ÖSTERGÖTLANDS LÄN</t>
        </is>
      </c>
      <c r="E422" t="inlineStr">
        <is>
          <t>LINKÖPING</t>
        </is>
      </c>
      <c r="G422" t="n">
        <v>19.3</v>
      </c>
      <c r="H422" t="n">
        <v>0</v>
      </c>
      <c r="I422" t="n">
        <v>0</v>
      </c>
      <c r="J422" t="n">
        <v>0</v>
      </c>
      <c r="K422" t="n">
        <v>0</v>
      </c>
      <c r="L422" t="n">
        <v>0</v>
      </c>
      <c r="M422" t="n">
        <v>0</v>
      </c>
      <c r="N422" t="n">
        <v>0</v>
      </c>
      <c r="O422" t="n">
        <v>0</v>
      </c>
      <c r="P422" t="n">
        <v>0</v>
      </c>
      <c r="Q422" t="n">
        <v>0</v>
      </c>
      <c r="R422" s="2" t="inlineStr"/>
    </row>
    <row r="423" ht="15" customHeight="1">
      <c r="A423" t="inlineStr">
        <is>
          <t>A 55345-2021</t>
        </is>
      </c>
      <c r="B423" s="1" t="n">
        <v>44475</v>
      </c>
      <c r="C423" s="1" t="n">
        <v>45975</v>
      </c>
      <c r="D423" t="inlineStr">
        <is>
          <t>ÖSTERGÖTLANDS LÄN</t>
        </is>
      </c>
      <c r="E423" t="inlineStr">
        <is>
          <t>LINKÖPING</t>
        </is>
      </c>
      <c r="G423" t="n">
        <v>5.7</v>
      </c>
      <c r="H423" t="n">
        <v>0</v>
      </c>
      <c r="I423" t="n">
        <v>0</v>
      </c>
      <c r="J423" t="n">
        <v>0</v>
      </c>
      <c r="K423" t="n">
        <v>0</v>
      </c>
      <c r="L423" t="n">
        <v>0</v>
      </c>
      <c r="M423" t="n">
        <v>0</v>
      </c>
      <c r="N423" t="n">
        <v>0</v>
      </c>
      <c r="O423" t="n">
        <v>0</v>
      </c>
      <c r="P423" t="n">
        <v>0</v>
      </c>
      <c r="Q423" t="n">
        <v>0</v>
      </c>
      <c r="R423" s="2" t="inlineStr"/>
    </row>
    <row r="424" ht="15" customHeight="1">
      <c r="A424" t="inlineStr">
        <is>
          <t>A 51583-2024</t>
        </is>
      </c>
      <c r="B424" s="1" t="n">
        <v>45604.6397337963</v>
      </c>
      <c r="C424" s="1" t="n">
        <v>45975</v>
      </c>
      <c r="D424" t="inlineStr">
        <is>
          <t>ÖSTERGÖTLANDS LÄN</t>
        </is>
      </c>
      <c r="E424" t="inlineStr">
        <is>
          <t>LINKÖPING</t>
        </is>
      </c>
      <c r="F424" t="inlineStr">
        <is>
          <t>Övriga Aktiebolag</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62019-2024</t>
        </is>
      </c>
      <c r="B425" s="1" t="n">
        <v>45655.82</v>
      </c>
      <c r="C425" s="1" t="n">
        <v>45975</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38317-2024</t>
        </is>
      </c>
      <c r="B426" s="1" t="n">
        <v>45545.65766203704</v>
      </c>
      <c r="C426" s="1" t="n">
        <v>45975</v>
      </c>
      <c r="D426" t="inlineStr">
        <is>
          <t>ÖSTERGÖTLANDS LÄN</t>
        </is>
      </c>
      <c r="E426" t="inlineStr">
        <is>
          <t>LINKÖPING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22833-2023</t>
        </is>
      </c>
      <c r="B427" s="1" t="n">
        <v>45071</v>
      </c>
      <c r="C427" s="1" t="n">
        <v>45975</v>
      </c>
      <c r="D427" t="inlineStr">
        <is>
          <t>ÖSTERGÖTLANDS LÄN</t>
        </is>
      </c>
      <c r="E427" t="inlineStr">
        <is>
          <t>LINKÖPING</t>
        </is>
      </c>
      <c r="F427" t="inlineStr">
        <is>
          <t>Kommuner</t>
        </is>
      </c>
      <c r="G427" t="n">
        <v>1</v>
      </c>
      <c r="H427" t="n">
        <v>0</v>
      </c>
      <c r="I427" t="n">
        <v>0</v>
      </c>
      <c r="J427" t="n">
        <v>0</v>
      </c>
      <c r="K427" t="n">
        <v>0</v>
      </c>
      <c r="L427" t="n">
        <v>0</v>
      </c>
      <c r="M427" t="n">
        <v>0</v>
      </c>
      <c r="N427" t="n">
        <v>0</v>
      </c>
      <c r="O427" t="n">
        <v>0</v>
      </c>
      <c r="P427" t="n">
        <v>0</v>
      </c>
      <c r="Q427" t="n">
        <v>0</v>
      </c>
      <c r="R427" s="2" t="inlineStr"/>
    </row>
    <row r="428" ht="15" customHeight="1">
      <c r="A428" t="inlineStr">
        <is>
          <t>A 17898-2022</t>
        </is>
      </c>
      <c r="B428" s="1" t="n">
        <v>44683</v>
      </c>
      <c r="C428" s="1" t="n">
        <v>45975</v>
      </c>
      <c r="D428" t="inlineStr">
        <is>
          <t>ÖSTERGÖTLANDS LÄN</t>
        </is>
      </c>
      <c r="E428" t="inlineStr">
        <is>
          <t>LINKÖPING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62017-2024</t>
        </is>
      </c>
      <c r="B429" s="1" t="n">
        <v>45655.81140046296</v>
      </c>
      <c r="C429" s="1" t="n">
        <v>45975</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2389-2023</t>
        </is>
      </c>
      <c r="B430" s="1" t="n">
        <v>44942</v>
      </c>
      <c r="C430" s="1" t="n">
        <v>45975</v>
      </c>
      <c r="D430" t="inlineStr">
        <is>
          <t>ÖSTERGÖTLANDS LÄN</t>
        </is>
      </c>
      <c r="E430" t="inlineStr">
        <is>
          <t>LINKÖPING</t>
        </is>
      </c>
      <c r="G430" t="n">
        <v>3.3</v>
      </c>
      <c r="H430" t="n">
        <v>0</v>
      </c>
      <c r="I430" t="n">
        <v>0</v>
      </c>
      <c r="J430" t="n">
        <v>0</v>
      </c>
      <c r="K430" t="n">
        <v>0</v>
      </c>
      <c r="L430" t="n">
        <v>0</v>
      </c>
      <c r="M430" t="n">
        <v>0</v>
      </c>
      <c r="N430" t="n">
        <v>0</v>
      </c>
      <c r="O430" t="n">
        <v>0</v>
      </c>
      <c r="P430" t="n">
        <v>0</v>
      </c>
      <c r="Q430" t="n">
        <v>0</v>
      </c>
      <c r="R430" s="2" t="inlineStr"/>
    </row>
    <row r="431" ht="15" customHeight="1">
      <c r="A431" t="inlineStr">
        <is>
          <t>A 61281-2021</t>
        </is>
      </c>
      <c r="B431" s="1" t="n">
        <v>44498.60736111111</v>
      </c>
      <c r="C431" s="1" t="n">
        <v>45975</v>
      </c>
      <c r="D431" t="inlineStr">
        <is>
          <t>ÖSTERGÖTLANDS LÄN</t>
        </is>
      </c>
      <c r="E431" t="inlineStr">
        <is>
          <t>LINKÖPING</t>
        </is>
      </c>
      <c r="G431" t="n">
        <v>4.5</v>
      </c>
      <c r="H431" t="n">
        <v>0</v>
      </c>
      <c r="I431" t="n">
        <v>0</v>
      </c>
      <c r="J431" t="n">
        <v>0</v>
      </c>
      <c r="K431" t="n">
        <v>0</v>
      </c>
      <c r="L431" t="n">
        <v>0</v>
      </c>
      <c r="M431" t="n">
        <v>0</v>
      </c>
      <c r="N431" t="n">
        <v>0</v>
      </c>
      <c r="O431" t="n">
        <v>0</v>
      </c>
      <c r="P431" t="n">
        <v>0</v>
      </c>
      <c r="Q431" t="n">
        <v>0</v>
      </c>
      <c r="R431" s="2" t="inlineStr"/>
    </row>
    <row r="432" ht="15" customHeight="1">
      <c r="A432" t="inlineStr">
        <is>
          <t>A 12411-2022</t>
        </is>
      </c>
      <c r="B432" s="1" t="n">
        <v>44638.21601851852</v>
      </c>
      <c r="C432" s="1" t="n">
        <v>45975</v>
      </c>
      <c r="D432" t="inlineStr">
        <is>
          <t>ÖSTERGÖTLANDS LÄN</t>
        </is>
      </c>
      <c r="E432" t="inlineStr">
        <is>
          <t>LINKÖPING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63935-2021</t>
        </is>
      </c>
      <c r="B433" s="1" t="n">
        <v>44509</v>
      </c>
      <c r="C433" s="1" t="n">
        <v>45975</v>
      </c>
      <c r="D433" t="inlineStr">
        <is>
          <t>ÖSTERGÖTLANDS LÄN</t>
        </is>
      </c>
      <c r="E433" t="inlineStr">
        <is>
          <t>LINKÖPING</t>
        </is>
      </c>
      <c r="F433" t="inlineStr">
        <is>
          <t>Övriga statliga verk och myndigheter</t>
        </is>
      </c>
      <c r="G433" t="n">
        <v>2.8</v>
      </c>
      <c r="H433" t="n">
        <v>0</v>
      </c>
      <c r="I433" t="n">
        <v>0</v>
      </c>
      <c r="J433" t="n">
        <v>0</v>
      </c>
      <c r="K433" t="n">
        <v>0</v>
      </c>
      <c r="L433" t="n">
        <v>0</v>
      </c>
      <c r="M433" t="n">
        <v>0</v>
      </c>
      <c r="N433" t="n">
        <v>0</v>
      </c>
      <c r="O433" t="n">
        <v>0</v>
      </c>
      <c r="P433" t="n">
        <v>0</v>
      </c>
      <c r="Q433" t="n">
        <v>0</v>
      </c>
      <c r="R433" s="2" t="inlineStr"/>
    </row>
    <row r="434" ht="15" customHeight="1">
      <c r="A434" t="inlineStr">
        <is>
          <t>A 10492-2022</t>
        </is>
      </c>
      <c r="B434" s="1" t="n">
        <v>44623.6377199074</v>
      </c>
      <c r="C434" s="1" t="n">
        <v>45975</v>
      </c>
      <c r="D434" t="inlineStr">
        <is>
          <t>ÖSTERGÖTLANDS LÄN</t>
        </is>
      </c>
      <c r="E434" t="inlineStr">
        <is>
          <t>LINKÖPING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3627-2023</t>
        </is>
      </c>
      <c r="B435" s="1" t="n">
        <v>44950.64782407408</v>
      </c>
      <c r="C435" s="1" t="n">
        <v>45975</v>
      </c>
      <c r="D435" t="inlineStr">
        <is>
          <t>ÖSTERGÖTLANDS LÄN</t>
        </is>
      </c>
      <c r="E435" t="inlineStr">
        <is>
          <t>LINKÖPING</t>
        </is>
      </c>
      <c r="G435" t="n">
        <v>3.1</v>
      </c>
      <c r="H435" t="n">
        <v>0</v>
      </c>
      <c r="I435" t="n">
        <v>0</v>
      </c>
      <c r="J435" t="n">
        <v>0</v>
      </c>
      <c r="K435" t="n">
        <v>0</v>
      </c>
      <c r="L435" t="n">
        <v>0</v>
      </c>
      <c r="M435" t="n">
        <v>0</v>
      </c>
      <c r="N435" t="n">
        <v>0</v>
      </c>
      <c r="O435" t="n">
        <v>0</v>
      </c>
      <c r="P435" t="n">
        <v>0</v>
      </c>
      <c r="Q435" t="n">
        <v>0</v>
      </c>
      <c r="R435" s="2" t="inlineStr"/>
    </row>
    <row r="436" ht="15" customHeight="1">
      <c r="A436" t="inlineStr">
        <is>
          <t>A 50182-2023</t>
        </is>
      </c>
      <c r="B436" s="1" t="n">
        <v>45208</v>
      </c>
      <c r="C436" s="1" t="n">
        <v>45975</v>
      </c>
      <c r="D436" t="inlineStr">
        <is>
          <t>ÖSTERGÖTLANDS LÄN</t>
        </is>
      </c>
      <c r="E436" t="inlineStr">
        <is>
          <t>LINKÖPING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25292-2021</t>
        </is>
      </c>
      <c r="B437" s="1" t="n">
        <v>44342</v>
      </c>
      <c r="C437" s="1" t="n">
        <v>45975</v>
      </c>
      <c r="D437" t="inlineStr">
        <is>
          <t>ÖSTERGÖTLANDS LÄN</t>
        </is>
      </c>
      <c r="E437" t="inlineStr">
        <is>
          <t>LINKÖPING</t>
        </is>
      </c>
      <c r="F437" t="inlineStr">
        <is>
          <t>Övriga Aktiebolag</t>
        </is>
      </c>
      <c r="G437" t="n">
        <v>12.8</v>
      </c>
      <c r="H437" t="n">
        <v>0</v>
      </c>
      <c r="I437" t="n">
        <v>0</v>
      </c>
      <c r="J437" t="n">
        <v>0</v>
      </c>
      <c r="K437" t="n">
        <v>0</v>
      </c>
      <c r="L437" t="n">
        <v>0</v>
      </c>
      <c r="M437" t="n">
        <v>0</v>
      </c>
      <c r="N437" t="n">
        <v>0</v>
      </c>
      <c r="O437" t="n">
        <v>0</v>
      </c>
      <c r="P437" t="n">
        <v>0</v>
      </c>
      <c r="Q437" t="n">
        <v>0</v>
      </c>
      <c r="R437" s="2" t="inlineStr"/>
    </row>
    <row r="438" ht="15" customHeight="1">
      <c r="A438" t="inlineStr">
        <is>
          <t>A 62687-2023</t>
        </is>
      </c>
      <c r="B438" s="1" t="n">
        <v>45271</v>
      </c>
      <c r="C438" s="1" t="n">
        <v>45975</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1844-2025</t>
        </is>
      </c>
      <c r="B439" s="1" t="n">
        <v>45671.57730324074</v>
      </c>
      <c r="C439" s="1" t="n">
        <v>45975</v>
      </c>
      <c r="D439" t="inlineStr">
        <is>
          <t>ÖSTERGÖTLANDS LÄN</t>
        </is>
      </c>
      <c r="E439" t="inlineStr">
        <is>
          <t>LINKÖPING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7343-2025</t>
        </is>
      </c>
      <c r="B440" s="1" t="n">
        <v>45703.67853009259</v>
      </c>
      <c r="C440" s="1" t="n">
        <v>45975</v>
      </c>
      <c r="D440" t="inlineStr">
        <is>
          <t>ÖSTERGÖTLANDS LÄN</t>
        </is>
      </c>
      <c r="E440" t="inlineStr">
        <is>
          <t>LINKÖPING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8967-2025</t>
        </is>
      </c>
      <c r="B441" s="1" t="n">
        <v>45712</v>
      </c>
      <c r="C441" s="1" t="n">
        <v>45975</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35427-2023</t>
        </is>
      </c>
      <c r="B442" s="1" t="n">
        <v>45146</v>
      </c>
      <c r="C442" s="1" t="n">
        <v>45975</v>
      </c>
      <c r="D442" t="inlineStr">
        <is>
          <t>ÖSTERGÖTLANDS LÄN</t>
        </is>
      </c>
      <c r="E442" t="inlineStr">
        <is>
          <t>LINKÖPING</t>
        </is>
      </c>
      <c r="F442" t="inlineStr">
        <is>
          <t>Övriga Aktiebolag</t>
        </is>
      </c>
      <c r="G442" t="n">
        <v>2.5</v>
      </c>
      <c r="H442" t="n">
        <v>0</v>
      </c>
      <c r="I442" t="n">
        <v>0</v>
      </c>
      <c r="J442" t="n">
        <v>0</v>
      </c>
      <c r="K442" t="n">
        <v>0</v>
      </c>
      <c r="L442" t="n">
        <v>0</v>
      </c>
      <c r="M442" t="n">
        <v>0</v>
      </c>
      <c r="N442" t="n">
        <v>0</v>
      </c>
      <c r="O442" t="n">
        <v>0</v>
      </c>
      <c r="P442" t="n">
        <v>0</v>
      </c>
      <c r="Q442" t="n">
        <v>0</v>
      </c>
      <c r="R442" s="2" t="inlineStr"/>
    </row>
    <row r="443" ht="15" customHeight="1">
      <c r="A443" t="inlineStr">
        <is>
          <t>A 30468-2023</t>
        </is>
      </c>
      <c r="B443" s="1" t="n">
        <v>45111.58732638889</v>
      </c>
      <c r="C443" s="1" t="n">
        <v>45975</v>
      </c>
      <c r="D443" t="inlineStr">
        <is>
          <t>ÖSTERGÖTLANDS LÄN</t>
        </is>
      </c>
      <c r="E443" t="inlineStr">
        <is>
          <t>LINKÖPING</t>
        </is>
      </c>
      <c r="G443" t="n">
        <v>10.1</v>
      </c>
      <c r="H443" t="n">
        <v>0</v>
      </c>
      <c r="I443" t="n">
        <v>0</v>
      </c>
      <c r="J443" t="n">
        <v>0</v>
      </c>
      <c r="K443" t="n">
        <v>0</v>
      </c>
      <c r="L443" t="n">
        <v>0</v>
      </c>
      <c r="M443" t="n">
        <v>0</v>
      </c>
      <c r="N443" t="n">
        <v>0</v>
      </c>
      <c r="O443" t="n">
        <v>0</v>
      </c>
      <c r="P443" t="n">
        <v>0</v>
      </c>
      <c r="Q443" t="n">
        <v>0</v>
      </c>
      <c r="R443" s="2" t="inlineStr"/>
    </row>
    <row r="444" ht="15" customHeight="1">
      <c r="A444" t="inlineStr">
        <is>
          <t>A 18891-2022</t>
        </is>
      </c>
      <c r="B444" s="1" t="n">
        <v>44690</v>
      </c>
      <c r="C444" s="1" t="n">
        <v>45975</v>
      </c>
      <c r="D444" t="inlineStr">
        <is>
          <t>ÖSTERGÖTLANDS LÄN</t>
        </is>
      </c>
      <c r="E444" t="inlineStr">
        <is>
          <t>LINKÖPING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39074-2025</t>
        </is>
      </c>
      <c r="B445" s="1" t="n">
        <v>45888</v>
      </c>
      <c r="C445" s="1" t="n">
        <v>45975</v>
      </c>
      <c r="D445" t="inlineStr">
        <is>
          <t>ÖSTERGÖTLANDS LÄN</t>
        </is>
      </c>
      <c r="E445" t="inlineStr">
        <is>
          <t>LINKÖPING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26620-2023</t>
        </is>
      </c>
      <c r="B446" s="1" t="n">
        <v>45092.70390046296</v>
      </c>
      <c r="C446" s="1" t="n">
        <v>45975</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21155-2025</t>
        </is>
      </c>
      <c r="B447" s="1" t="n">
        <v>45779.37586805555</v>
      </c>
      <c r="C447" s="1" t="n">
        <v>45975</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21165-2025</t>
        </is>
      </c>
      <c r="B448" s="1" t="n">
        <v>45779.39417824074</v>
      </c>
      <c r="C448" s="1" t="n">
        <v>45975</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38971-2025</t>
        </is>
      </c>
      <c r="B449" s="1" t="n">
        <v>45887.71827546296</v>
      </c>
      <c r="C449" s="1" t="n">
        <v>45975</v>
      </c>
      <c r="D449" t="inlineStr">
        <is>
          <t>ÖSTERGÖTLANDS LÄN</t>
        </is>
      </c>
      <c r="E449" t="inlineStr">
        <is>
          <t>LINKÖPING</t>
        </is>
      </c>
      <c r="G449" t="n">
        <v>3.9</v>
      </c>
      <c r="H449" t="n">
        <v>0</v>
      </c>
      <c r="I449" t="n">
        <v>0</v>
      </c>
      <c r="J449" t="n">
        <v>0</v>
      </c>
      <c r="K449" t="n">
        <v>0</v>
      </c>
      <c r="L449" t="n">
        <v>0</v>
      </c>
      <c r="M449" t="n">
        <v>0</v>
      </c>
      <c r="N449" t="n">
        <v>0</v>
      </c>
      <c r="O449" t="n">
        <v>0</v>
      </c>
      <c r="P449" t="n">
        <v>0</v>
      </c>
      <c r="Q449" t="n">
        <v>0</v>
      </c>
      <c r="R449" s="2" t="inlineStr"/>
    </row>
    <row r="450" ht="15" customHeight="1">
      <c r="A450" t="inlineStr">
        <is>
          <t>A 72567-2021</t>
        </is>
      </c>
      <c r="B450" s="1" t="n">
        <v>44546.45023148148</v>
      </c>
      <c r="C450" s="1" t="n">
        <v>45975</v>
      </c>
      <c r="D450" t="inlineStr">
        <is>
          <t>ÖSTERGÖTLANDS LÄN</t>
        </is>
      </c>
      <c r="E450" t="inlineStr">
        <is>
          <t>LINKÖPING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56180-2024</t>
        </is>
      </c>
      <c r="B451" s="1" t="n">
        <v>45624.56611111111</v>
      </c>
      <c r="C451" s="1" t="n">
        <v>45975</v>
      </c>
      <c r="D451" t="inlineStr">
        <is>
          <t>ÖSTERGÖTLANDS LÄN</t>
        </is>
      </c>
      <c r="E451" t="inlineStr">
        <is>
          <t>LINKÖPING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938-2023</t>
        </is>
      </c>
      <c r="B452" s="1" t="n">
        <v>44933</v>
      </c>
      <c r="C452" s="1" t="n">
        <v>45975</v>
      </c>
      <c r="D452" t="inlineStr">
        <is>
          <t>ÖSTERGÖTLANDS LÄN</t>
        </is>
      </c>
      <c r="E452" t="inlineStr">
        <is>
          <t>LINKÖPING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25418-2023</t>
        </is>
      </c>
      <c r="B453" s="1" t="n">
        <v>45089</v>
      </c>
      <c r="C453" s="1" t="n">
        <v>45975</v>
      </c>
      <c r="D453" t="inlineStr">
        <is>
          <t>ÖSTERGÖTLANDS LÄN</t>
        </is>
      </c>
      <c r="E453" t="inlineStr">
        <is>
          <t>LINKÖPING</t>
        </is>
      </c>
      <c r="F453" t="inlineStr">
        <is>
          <t>Övriga Aktiebolag</t>
        </is>
      </c>
      <c r="G453" t="n">
        <v>2.4</v>
      </c>
      <c r="H453" t="n">
        <v>0</v>
      </c>
      <c r="I453" t="n">
        <v>0</v>
      </c>
      <c r="J453" t="n">
        <v>0</v>
      </c>
      <c r="K453" t="n">
        <v>0</v>
      </c>
      <c r="L453" t="n">
        <v>0</v>
      </c>
      <c r="M453" t="n">
        <v>0</v>
      </c>
      <c r="N453" t="n">
        <v>0</v>
      </c>
      <c r="O453" t="n">
        <v>0</v>
      </c>
      <c r="P453" t="n">
        <v>0</v>
      </c>
      <c r="Q453" t="n">
        <v>0</v>
      </c>
      <c r="R453" s="2" t="inlineStr"/>
    </row>
    <row r="454" ht="15" customHeight="1">
      <c r="A454" t="inlineStr">
        <is>
          <t>A 60007-2022</t>
        </is>
      </c>
      <c r="B454" s="1" t="n">
        <v>44909.47282407407</v>
      </c>
      <c r="C454" s="1" t="n">
        <v>45975</v>
      </c>
      <c r="D454" t="inlineStr">
        <is>
          <t>ÖSTERGÖTLANDS LÄN</t>
        </is>
      </c>
      <c r="E454" t="inlineStr">
        <is>
          <t>LINKÖPING</t>
        </is>
      </c>
      <c r="G454" t="n">
        <v>1.2</v>
      </c>
      <c r="H454" t="n">
        <v>0</v>
      </c>
      <c r="I454" t="n">
        <v>0</v>
      </c>
      <c r="J454" t="n">
        <v>0</v>
      </c>
      <c r="K454" t="n">
        <v>0</v>
      </c>
      <c r="L454" t="n">
        <v>0</v>
      </c>
      <c r="M454" t="n">
        <v>0</v>
      </c>
      <c r="N454" t="n">
        <v>0</v>
      </c>
      <c r="O454" t="n">
        <v>0</v>
      </c>
      <c r="P454" t="n">
        <v>0</v>
      </c>
      <c r="Q454" t="n">
        <v>0</v>
      </c>
      <c r="R454" s="2" t="inlineStr"/>
    </row>
    <row r="455" ht="15" customHeight="1">
      <c r="A455" t="inlineStr">
        <is>
          <t>A 27264-2025</t>
        </is>
      </c>
      <c r="B455" s="1" t="n">
        <v>45812.4794212963</v>
      </c>
      <c r="C455" s="1" t="n">
        <v>45975</v>
      </c>
      <c r="D455" t="inlineStr">
        <is>
          <t>ÖSTERGÖTLANDS LÄN</t>
        </is>
      </c>
      <c r="E455" t="inlineStr">
        <is>
          <t>LINKÖPING</t>
        </is>
      </c>
      <c r="G455" t="n">
        <v>2.6</v>
      </c>
      <c r="H455" t="n">
        <v>0</v>
      </c>
      <c r="I455" t="n">
        <v>0</v>
      </c>
      <c r="J455" t="n">
        <v>0</v>
      </c>
      <c r="K455" t="n">
        <v>0</v>
      </c>
      <c r="L455" t="n">
        <v>0</v>
      </c>
      <c r="M455" t="n">
        <v>0</v>
      </c>
      <c r="N455" t="n">
        <v>0</v>
      </c>
      <c r="O455" t="n">
        <v>0</v>
      </c>
      <c r="P455" t="n">
        <v>0</v>
      </c>
      <c r="Q455" t="n">
        <v>0</v>
      </c>
      <c r="R455" s="2" t="inlineStr"/>
    </row>
    <row r="456" ht="15" customHeight="1">
      <c r="A456" t="inlineStr">
        <is>
          <t>A 39438-2025</t>
        </is>
      </c>
      <c r="B456" s="1" t="n">
        <v>45889.68641203704</v>
      </c>
      <c r="C456" s="1" t="n">
        <v>45975</v>
      </c>
      <c r="D456" t="inlineStr">
        <is>
          <t>ÖSTERGÖTLANDS LÄN</t>
        </is>
      </c>
      <c r="E456" t="inlineStr">
        <is>
          <t>LINKÖPING</t>
        </is>
      </c>
      <c r="G456" t="n">
        <v>2.4</v>
      </c>
      <c r="H456" t="n">
        <v>0</v>
      </c>
      <c r="I456" t="n">
        <v>0</v>
      </c>
      <c r="J456" t="n">
        <v>0</v>
      </c>
      <c r="K456" t="n">
        <v>0</v>
      </c>
      <c r="L456" t="n">
        <v>0</v>
      </c>
      <c r="M456" t="n">
        <v>0</v>
      </c>
      <c r="N456" t="n">
        <v>0</v>
      </c>
      <c r="O456" t="n">
        <v>0</v>
      </c>
      <c r="P456" t="n">
        <v>0</v>
      </c>
      <c r="Q456" t="n">
        <v>0</v>
      </c>
      <c r="R456" s="2" t="inlineStr"/>
    </row>
    <row r="457" ht="15" customHeight="1">
      <c r="A457" t="inlineStr">
        <is>
          <t>A 11601-2023</t>
        </is>
      </c>
      <c r="B457" s="1" t="n">
        <v>44994</v>
      </c>
      <c r="C457" s="1" t="n">
        <v>45975</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57752-2023</t>
        </is>
      </c>
      <c r="B458" s="1" t="n">
        <v>45246.78474537037</v>
      </c>
      <c r="C458" s="1" t="n">
        <v>45975</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9473-2024</t>
        </is>
      </c>
      <c r="B459" s="1" t="n">
        <v>45359.55474537037</v>
      </c>
      <c r="C459" s="1" t="n">
        <v>45975</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1260-2023</t>
        </is>
      </c>
      <c r="B460" s="1" t="n">
        <v>44936</v>
      </c>
      <c r="C460" s="1" t="n">
        <v>45975</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7702-2023</t>
        </is>
      </c>
      <c r="B461" s="1" t="n">
        <v>44967</v>
      </c>
      <c r="C461" s="1" t="n">
        <v>45975</v>
      </c>
      <c r="D461" t="inlineStr">
        <is>
          <t>ÖSTERGÖTLANDS LÄN</t>
        </is>
      </c>
      <c r="E461" t="inlineStr">
        <is>
          <t>LINKÖPING</t>
        </is>
      </c>
      <c r="F461" t="inlineStr">
        <is>
          <t>Övriga statliga verk och myndigheter</t>
        </is>
      </c>
      <c r="G461" t="n">
        <v>8</v>
      </c>
      <c r="H461" t="n">
        <v>0</v>
      </c>
      <c r="I461" t="n">
        <v>0</v>
      </c>
      <c r="J461" t="n">
        <v>0</v>
      </c>
      <c r="K461" t="n">
        <v>0</v>
      </c>
      <c r="L461" t="n">
        <v>0</v>
      </c>
      <c r="M461" t="n">
        <v>0</v>
      </c>
      <c r="N461" t="n">
        <v>0</v>
      </c>
      <c r="O461" t="n">
        <v>0</v>
      </c>
      <c r="P461" t="n">
        <v>0</v>
      </c>
      <c r="Q461" t="n">
        <v>0</v>
      </c>
      <c r="R461" s="2" t="inlineStr"/>
    </row>
    <row r="462" ht="15" customHeight="1">
      <c r="A462" t="inlineStr">
        <is>
          <t>A 10797-2024</t>
        </is>
      </c>
      <c r="B462" s="1" t="n">
        <v>45369.6190162037</v>
      </c>
      <c r="C462" s="1" t="n">
        <v>45975</v>
      </c>
      <c r="D462" t="inlineStr">
        <is>
          <t>ÖSTERGÖTLANDS LÄN</t>
        </is>
      </c>
      <c r="E462" t="inlineStr">
        <is>
          <t>LINKÖPING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22264-2025</t>
        </is>
      </c>
      <c r="B463" s="1" t="n">
        <v>45785</v>
      </c>
      <c r="C463" s="1" t="n">
        <v>45975</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674-2024</t>
        </is>
      </c>
      <c r="B464" s="1" t="n">
        <v>45300.34408564815</v>
      </c>
      <c r="C464" s="1" t="n">
        <v>45975</v>
      </c>
      <c r="D464" t="inlineStr">
        <is>
          <t>ÖSTERGÖTLANDS LÄN</t>
        </is>
      </c>
      <c r="E464" t="inlineStr">
        <is>
          <t>LINKÖPING</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63684-2023</t>
        </is>
      </c>
      <c r="B465" s="1" t="n">
        <v>45275</v>
      </c>
      <c r="C465" s="1" t="n">
        <v>45975</v>
      </c>
      <c r="D465" t="inlineStr">
        <is>
          <t>ÖSTERGÖTLANDS LÄN</t>
        </is>
      </c>
      <c r="E465" t="inlineStr">
        <is>
          <t>LINKÖPING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167-2024</t>
        </is>
      </c>
      <c r="B466" s="1" t="n">
        <v>45294</v>
      </c>
      <c r="C466" s="1" t="n">
        <v>45975</v>
      </c>
      <c r="D466" t="inlineStr">
        <is>
          <t>ÖSTERGÖTLANDS LÄN</t>
        </is>
      </c>
      <c r="E466" t="inlineStr">
        <is>
          <t>LINKÖPING</t>
        </is>
      </c>
      <c r="F466" t="inlineStr">
        <is>
          <t>Allmännings- och besparingsskogar</t>
        </is>
      </c>
      <c r="G466" t="n">
        <v>11.6</v>
      </c>
      <c r="H466" t="n">
        <v>0</v>
      </c>
      <c r="I466" t="n">
        <v>0</v>
      </c>
      <c r="J466" t="n">
        <v>0</v>
      </c>
      <c r="K466" t="n">
        <v>0</v>
      </c>
      <c r="L466" t="n">
        <v>0</v>
      </c>
      <c r="M466" t="n">
        <v>0</v>
      </c>
      <c r="N466" t="n">
        <v>0</v>
      </c>
      <c r="O466" t="n">
        <v>0</v>
      </c>
      <c r="P466" t="n">
        <v>0</v>
      </c>
      <c r="Q466" t="n">
        <v>0</v>
      </c>
      <c r="R466" s="2" t="inlineStr"/>
    </row>
    <row r="467" ht="15" customHeight="1">
      <c r="A467" t="inlineStr">
        <is>
          <t>A 40169-2025</t>
        </is>
      </c>
      <c r="B467" s="1" t="n">
        <v>45894.62824074074</v>
      </c>
      <c r="C467" s="1" t="n">
        <v>45975</v>
      </c>
      <c r="D467" t="inlineStr">
        <is>
          <t>ÖSTERGÖTLANDS LÄN</t>
        </is>
      </c>
      <c r="E467" t="inlineStr">
        <is>
          <t>LINKÖPING</t>
        </is>
      </c>
      <c r="G467" t="n">
        <v>2.8</v>
      </c>
      <c r="H467" t="n">
        <v>0</v>
      </c>
      <c r="I467" t="n">
        <v>0</v>
      </c>
      <c r="J467" t="n">
        <v>0</v>
      </c>
      <c r="K467" t="n">
        <v>0</v>
      </c>
      <c r="L467" t="n">
        <v>0</v>
      </c>
      <c r="M467" t="n">
        <v>0</v>
      </c>
      <c r="N467" t="n">
        <v>0</v>
      </c>
      <c r="O467" t="n">
        <v>0</v>
      </c>
      <c r="P467" t="n">
        <v>0</v>
      </c>
      <c r="Q467" t="n">
        <v>0</v>
      </c>
      <c r="R467" s="2" t="inlineStr"/>
    </row>
    <row r="468" ht="15" customHeight="1">
      <c r="A468" t="inlineStr">
        <is>
          <t>A 36725-2023</t>
        </is>
      </c>
      <c r="B468" s="1" t="n">
        <v>45153.68471064815</v>
      </c>
      <c r="C468" s="1" t="n">
        <v>45975</v>
      </c>
      <c r="D468" t="inlineStr">
        <is>
          <t>ÖSTERGÖTLANDS LÄN</t>
        </is>
      </c>
      <c r="E468" t="inlineStr">
        <is>
          <t>LINKÖPING</t>
        </is>
      </c>
      <c r="F468" t="inlineStr">
        <is>
          <t>Allmännings- och besparingsskogar</t>
        </is>
      </c>
      <c r="G468" t="n">
        <v>2.6</v>
      </c>
      <c r="H468" t="n">
        <v>0</v>
      </c>
      <c r="I468" t="n">
        <v>0</v>
      </c>
      <c r="J468" t="n">
        <v>0</v>
      </c>
      <c r="K468" t="n">
        <v>0</v>
      </c>
      <c r="L468" t="n">
        <v>0</v>
      </c>
      <c r="M468" t="n">
        <v>0</v>
      </c>
      <c r="N468" t="n">
        <v>0</v>
      </c>
      <c r="O468" t="n">
        <v>0</v>
      </c>
      <c r="P468" t="n">
        <v>0</v>
      </c>
      <c r="Q468" t="n">
        <v>0</v>
      </c>
      <c r="R468" s="2" t="inlineStr"/>
    </row>
    <row r="469" ht="15" customHeight="1">
      <c r="A469" t="inlineStr">
        <is>
          <t>A 27343-2023</t>
        </is>
      </c>
      <c r="B469" s="1" t="n">
        <v>45096</v>
      </c>
      <c r="C469" s="1" t="n">
        <v>45975</v>
      </c>
      <c r="D469" t="inlineStr">
        <is>
          <t>ÖSTERGÖTLANDS LÄN</t>
        </is>
      </c>
      <c r="E469" t="inlineStr">
        <is>
          <t>LINKÖPING</t>
        </is>
      </c>
      <c r="F469" t="inlineStr">
        <is>
          <t>Allmännings- och besparingsskogar</t>
        </is>
      </c>
      <c r="G469" t="n">
        <v>6.9</v>
      </c>
      <c r="H469" t="n">
        <v>0</v>
      </c>
      <c r="I469" t="n">
        <v>0</v>
      </c>
      <c r="J469" t="n">
        <v>0</v>
      </c>
      <c r="K469" t="n">
        <v>0</v>
      </c>
      <c r="L469" t="n">
        <v>0</v>
      </c>
      <c r="M469" t="n">
        <v>0</v>
      </c>
      <c r="N469" t="n">
        <v>0</v>
      </c>
      <c r="O469" t="n">
        <v>0</v>
      </c>
      <c r="P469" t="n">
        <v>0</v>
      </c>
      <c r="Q469" t="n">
        <v>0</v>
      </c>
      <c r="R469" s="2" t="inlineStr"/>
    </row>
    <row r="470" ht="15" customHeight="1">
      <c r="A470" t="inlineStr">
        <is>
          <t>A 6859-2024</t>
        </is>
      </c>
      <c r="B470" s="1" t="n">
        <v>45342</v>
      </c>
      <c r="C470" s="1" t="n">
        <v>45975</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20296-2025</t>
        </is>
      </c>
      <c r="B471" s="1" t="n">
        <v>45774.74922453704</v>
      </c>
      <c r="C471" s="1" t="n">
        <v>45975</v>
      </c>
      <c r="D471" t="inlineStr">
        <is>
          <t>ÖSTERGÖTLANDS LÄN</t>
        </is>
      </c>
      <c r="E471" t="inlineStr">
        <is>
          <t>LINKÖPING</t>
        </is>
      </c>
      <c r="G471" t="n">
        <v>2.2</v>
      </c>
      <c r="H471" t="n">
        <v>0</v>
      </c>
      <c r="I471" t="n">
        <v>0</v>
      </c>
      <c r="J471" t="n">
        <v>0</v>
      </c>
      <c r="K471" t="n">
        <v>0</v>
      </c>
      <c r="L471" t="n">
        <v>0</v>
      </c>
      <c r="M471" t="n">
        <v>0</v>
      </c>
      <c r="N471" t="n">
        <v>0</v>
      </c>
      <c r="O471" t="n">
        <v>0</v>
      </c>
      <c r="P471" t="n">
        <v>0</v>
      </c>
      <c r="Q471" t="n">
        <v>0</v>
      </c>
      <c r="R471" s="2" t="inlineStr"/>
    </row>
    <row r="472" ht="15" customHeight="1">
      <c r="A472" t="inlineStr">
        <is>
          <t>A 56841-2023</t>
        </is>
      </c>
      <c r="B472" s="1" t="n">
        <v>45244</v>
      </c>
      <c r="C472" s="1" t="n">
        <v>45975</v>
      </c>
      <c r="D472" t="inlineStr">
        <is>
          <t>ÖSTERGÖTLANDS LÄN</t>
        </is>
      </c>
      <c r="E472" t="inlineStr">
        <is>
          <t>LINKÖPING</t>
        </is>
      </c>
      <c r="F472" t="inlineStr">
        <is>
          <t>Övriga Aktiebolag</t>
        </is>
      </c>
      <c r="G472" t="n">
        <v>0.5</v>
      </c>
      <c r="H472" t="n">
        <v>0</v>
      </c>
      <c r="I472" t="n">
        <v>0</v>
      </c>
      <c r="J472" t="n">
        <v>0</v>
      </c>
      <c r="K472" t="n">
        <v>0</v>
      </c>
      <c r="L472" t="n">
        <v>0</v>
      </c>
      <c r="M472" t="n">
        <v>0</v>
      </c>
      <c r="N472" t="n">
        <v>0</v>
      </c>
      <c r="O472" t="n">
        <v>0</v>
      </c>
      <c r="P472" t="n">
        <v>0</v>
      </c>
      <c r="Q472" t="n">
        <v>0</v>
      </c>
      <c r="R472" s="2" t="inlineStr"/>
    </row>
    <row r="473" ht="15" customHeight="1">
      <c r="A473" t="inlineStr">
        <is>
          <t>A 22774-2024</t>
        </is>
      </c>
      <c r="B473" s="1" t="n">
        <v>45448.46924768519</v>
      </c>
      <c r="C473" s="1" t="n">
        <v>45975</v>
      </c>
      <c r="D473" t="inlineStr">
        <is>
          <t>ÖSTERGÖTLANDS LÄN</t>
        </is>
      </c>
      <c r="E473" t="inlineStr">
        <is>
          <t>LINKÖPING</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22778-2024</t>
        </is>
      </c>
      <c r="B474" s="1" t="n">
        <v>45448.47233796296</v>
      </c>
      <c r="C474" s="1" t="n">
        <v>45975</v>
      </c>
      <c r="D474" t="inlineStr">
        <is>
          <t>ÖSTERGÖTLANDS LÄN</t>
        </is>
      </c>
      <c r="E474" t="inlineStr">
        <is>
          <t>LINKÖPING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38580-2024</t>
        </is>
      </c>
      <c r="B475" s="1" t="n">
        <v>45546.64825231482</v>
      </c>
      <c r="C475" s="1" t="n">
        <v>45975</v>
      </c>
      <c r="D475" t="inlineStr">
        <is>
          <t>ÖSTERGÖTLANDS LÄN</t>
        </is>
      </c>
      <c r="E475" t="inlineStr">
        <is>
          <t>LINKÖPING</t>
        </is>
      </c>
      <c r="G475" t="n">
        <v>4.8</v>
      </c>
      <c r="H475" t="n">
        <v>0</v>
      </c>
      <c r="I475" t="n">
        <v>0</v>
      </c>
      <c r="J475" t="n">
        <v>0</v>
      </c>
      <c r="K475" t="n">
        <v>0</v>
      </c>
      <c r="L475" t="n">
        <v>0</v>
      </c>
      <c r="M475" t="n">
        <v>0</v>
      </c>
      <c r="N475" t="n">
        <v>0</v>
      </c>
      <c r="O475" t="n">
        <v>0</v>
      </c>
      <c r="P475" t="n">
        <v>0</v>
      </c>
      <c r="Q475" t="n">
        <v>0</v>
      </c>
      <c r="R475" s="2" t="inlineStr"/>
    </row>
    <row r="476" ht="15" customHeight="1">
      <c r="A476" t="inlineStr">
        <is>
          <t>A 572-2025</t>
        </is>
      </c>
      <c r="B476" s="1" t="n">
        <v>45664.56349537037</v>
      </c>
      <c r="C476" s="1" t="n">
        <v>45975</v>
      </c>
      <c r="D476" t="inlineStr">
        <is>
          <t>ÖSTERGÖTLANDS LÄN</t>
        </is>
      </c>
      <c r="E476" t="inlineStr">
        <is>
          <t>LINKÖPING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22364-2025</t>
        </is>
      </c>
      <c r="B477" s="1" t="n">
        <v>45786.46930555555</v>
      </c>
      <c r="C477" s="1" t="n">
        <v>45975</v>
      </c>
      <c r="D477" t="inlineStr">
        <is>
          <t>ÖSTERGÖTLANDS LÄN</t>
        </is>
      </c>
      <c r="E477" t="inlineStr">
        <is>
          <t>LINKÖPING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34864-2023</t>
        </is>
      </c>
      <c r="B478" s="1" t="n">
        <v>45141</v>
      </c>
      <c r="C478" s="1" t="n">
        <v>45975</v>
      </c>
      <c r="D478" t="inlineStr">
        <is>
          <t>ÖSTERGÖTLANDS LÄN</t>
        </is>
      </c>
      <c r="E478" t="inlineStr">
        <is>
          <t>LINKÖPING</t>
        </is>
      </c>
      <c r="G478" t="n">
        <v>3.3</v>
      </c>
      <c r="H478" t="n">
        <v>0</v>
      </c>
      <c r="I478" t="n">
        <v>0</v>
      </c>
      <c r="J478" t="n">
        <v>0</v>
      </c>
      <c r="K478" t="n">
        <v>0</v>
      </c>
      <c r="L478" t="n">
        <v>0</v>
      </c>
      <c r="M478" t="n">
        <v>0</v>
      </c>
      <c r="N478" t="n">
        <v>0</v>
      </c>
      <c r="O478" t="n">
        <v>0</v>
      </c>
      <c r="P478" t="n">
        <v>0</v>
      </c>
      <c r="Q478" t="n">
        <v>0</v>
      </c>
      <c r="R478" s="2" t="inlineStr"/>
    </row>
    <row r="479" ht="15" customHeight="1">
      <c r="A479" t="inlineStr">
        <is>
          <t>A 44287-2024</t>
        </is>
      </c>
      <c r="B479" s="1" t="n">
        <v>45573.50582175926</v>
      </c>
      <c r="C479" s="1" t="n">
        <v>45975</v>
      </c>
      <c r="D479" t="inlineStr">
        <is>
          <t>ÖSTERGÖTLANDS LÄN</t>
        </is>
      </c>
      <c r="E479" t="inlineStr">
        <is>
          <t>LINKÖPING</t>
        </is>
      </c>
      <c r="G479" t="n">
        <v>12.7</v>
      </c>
      <c r="H479" t="n">
        <v>0</v>
      </c>
      <c r="I479" t="n">
        <v>0</v>
      </c>
      <c r="J479" t="n">
        <v>0</v>
      </c>
      <c r="K479" t="n">
        <v>0</v>
      </c>
      <c r="L479" t="n">
        <v>0</v>
      </c>
      <c r="M479" t="n">
        <v>0</v>
      </c>
      <c r="N479" t="n">
        <v>0</v>
      </c>
      <c r="O479" t="n">
        <v>0</v>
      </c>
      <c r="P479" t="n">
        <v>0</v>
      </c>
      <c r="Q479" t="n">
        <v>0</v>
      </c>
      <c r="R479" s="2" t="inlineStr"/>
    </row>
    <row r="480" ht="15" customHeight="1">
      <c r="A480" t="inlineStr">
        <is>
          <t>A 53812-2023</t>
        </is>
      </c>
      <c r="B480" s="1" t="n">
        <v>45231.39583333334</v>
      </c>
      <c r="C480" s="1" t="n">
        <v>45975</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53830-2023</t>
        </is>
      </c>
      <c r="B481" s="1" t="n">
        <v>45230</v>
      </c>
      <c r="C481" s="1" t="n">
        <v>45975</v>
      </c>
      <c r="D481" t="inlineStr">
        <is>
          <t>ÖSTERGÖTLANDS LÄN</t>
        </is>
      </c>
      <c r="E481" t="inlineStr">
        <is>
          <t>LINKÖPING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52531-2023</t>
        </is>
      </c>
      <c r="B482" s="1" t="n">
        <v>45225</v>
      </c>
      <c r="C482" s="1" t="n">
        <v>45975</v>
      </c>
      <c r="D482" t="inlineStr">
        <is>
          <t>ÖSTERGÖTLANDS LÄN</t>
        </is>
      </c>
      <c r="E482" t="inlineStr">
        <is>
          <t>LINKÖPING</t>
        </is>
      </c>
      <c r="F482" t="inlineStr">
        <is>
          <t>Övriga Aktiebolag</t>
        </is>
      </c>
      <c r="G482" t="n">
        <v>1</v>
      </c>
      <c r="H482" t="n">
        <v>0</v>
      </c>
      <c r="I482" t="n">
        <v>0</v>
      </c>
      <c r="J482" t="n">
        <v>0</v>
      </c>
      <c r="K482" t="n">
        <v>0</v>
      </c>
      <c r="L482" t="n">
        <v>0</v>
      </c>
      <c r="M482" t="n">
        <v>0</v>
      </c>
      <c r="N482" t="n">
        <v>0</v>
      </c>
      <c r="O482" t="n">
        <v>0</v>
      </c>
      <c r="P482" t="n">
        <v>0</v>
      </c>
      <c r="Q482" t="n">
        <v>0</v>
      </c>
      <c r="R482" s="2" t="inlineStr"/>
    </row>
    <row r="483" ht="15" customHeight="1">
      <c r="A483" t="inlineStr">
        <is>
          <t>A 38715-2023</t>
        </is>
      </c>
      <c r="B483" s="1" t="n">
        <v>45160</v>
      </c>
      <c r="C483" s="1" t="n">
        <v>45975</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34930-2023</t>
        </is>
      </c>
      <c r="B484" s="1" t="n">
        <v>45142</v>
      </c>
      <c r="C484" s="1" t="n">
        <v>45975</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29312-2024</t>
        </is>
      </c>
      <c r="B485" s="1" t="n">
        <v>45483</v>
      </c>
      <c r="C485" s="1" t="n">
        <v>45975</v>
      </c>
      <c r="D485" t="inlineStr">
        <is>
          <t>ÖSTERGÖTLANDS LÄN</t>
        </is>
      </c>
      <c r="E485" t="inlineStr">
        <is>
          <t>LINKÖPING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30985-2022</t>
        </is>
      </c>
      <c r="B486" s="1" t="n">
        <v>44768</v>
      </c>
      <c r="C486" s="1" t="n">
        <v>45975</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23120-2025</t>
        </is>
      </c>
      <c r="B487" s="1" t="n">
        <v>45791.37481481482</v>
      </c>
      <c r="C487" s="1" t="n">
        <v>45975</v>
      </c>
      <c r="D487" t="inlineStr">
        <is>
          <t>ÖSTERGÖTLANDS LÄN</t>
        </is>
      </c>
      <c r="E487" t="inlineStr">
        <is>
          <t>LINKÖPING</t>
        </is>
      </c>
      <c r="G487" t="n">
        <v>2.9</v>
      </c>
      <c r="H487" t="n">
        <v>0</v>
      </c>
      <c r="I487" t="n">
        <v>0</v>
      </c>
      <c r="J487" t="n">
        <v>0</v>
      </c>
      <c r="K487" t="n">
        <v>0</v>
      </c>
      <c r="L487" t="n">
        <v>0</v>
      </c>
      <c r="M487" t="n">
        <v>0</v>
      </c>
      <c r="N487" t="n">
        <v>0</v>
      </c>
      <c r="O487" t="n">
        <v>0</v>
      </c>
      <c r="P487" t="n">
        <v>0</v>
      </c>
      <c r="Q487" t="n">
        <v>0</v>
      </c>
      <c r="R487" s="2" t="inlineStr"/>
    </row>
    <row r="488" ht="15" customHeight="1">
      <c r="A488" t="inlineStr">
        <is>
          <t>A 48699-2024</t>
        </is>
      </c>
      <c r="B488" s="1" t="n">
        <v>45593.52091435185</v>
      </c>
      <c r="C488" s="1" t="n">
        <v>45975</v>
      </c>
      <c r="D488" t="inlineStr">
        <is>
          <t>ÖSTERGÖTLANDS LÄN</t>
        </is>
      </c>
      <c r="E488" t="inlineStr">
        <is>
          <t>LINKÖPING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49615-2025</t>
        </is>
      </c>
      <c r="B489" s="1" t="n">
        <v>45938</v>
      </c>
      <c r="C489" s="1" t="n">
        <v>45975</v>
      </c>
      <c r="D489" t="inlineStr">
        <is>
          <t>ÖSTERGÖTLANDS LÄN</t>
        </is>
      </c>
      <c r="E489" t="inlineStr">
        <is>
          <t>LINKÖPING</t>
        </is>
      </c>
      <c r="F489" t="inlineStr">
        <is>
          <t>Övriga Aktiebolag</t>
        </is>
      </c>
      <c r="G489" t="n">
        <v>1.6</v>
      </c>
      <c r="H489" t="n">
        <v>0</v>
      </c>
      <c r="I489" t="n">
        <v>0</v>
      </c>
      <c r="J489" t="n">
        <v>0</v>
      </c>
      <c r="K489" t="n">
        <v>0</v>
      </c>
      <c r="L489" t="n">
        <v>0</v>
      </c>
      <c r="M489" t="n">
        <v>0</v>
      </c>
      <c r="N489" t="n">
        <v>0</v>
      </c>
      <c r="O489" t="n">
        <v>0</v>
      </c>
      <c r="P489" t="n">
        <v>0</v>
      </c>
      <c r="Q489" t="n">
        <v>0</v>
      </c>
      <c r="R489" s="2" t="inlineStr"/>
    </row>
    <row r="490" ht="15" customHeight="1">
      <c r="A490" t="inlineStr">
        <is>
          <t>A 49619-2025</t>
        </is>
      </c>
      <c r="B490" s="1" t="n">
        <v>45938</v>
      </c>
      <c r="C490" s="1" t="n">
        <v>45975</v>
      </c>
      <c r="D490" t="inlineStr">
        <is>
          <t>ÖSTERGÖTLANDS LÄN</t>
        </is>
      </c>
      <c r="E490" t="inlineStr">
        <is>
          <t>LINKÖPING</t>
        </is>
      </c>
      <c r="F490" t="inlineStr">
        <is>
          <t>Övriga Aktiebolag</t>
        </is>
      </c>
      <c r="G490" t="n">
        <v>2.3</v>
      </c>
      <c r="H490" t="n">
        <v>0</v>
      </c>
      <c r="I490" t="n">
        <v>0</v>
      </c>
      <c r="J490" t="n">
        <v>0</v>
      </c>
      <c r="K490" t="n">
        <v>0</v>
      </c>
      <c r="L490" t="n">
        <v>0</v>
      </c>
      <c r="M490" t="n">
        <v>0</v>
      </c>
      <c r="N490" t="n">
        <v>0</v>
      </c>
      <c r="O490" t="n">
        <v>0</v>
      </c>
      <c r="P490" t="n">
        <v>0</v>
      </c>
      <c r="Q490" t="n">
        <v>0</v>
      </c>
      <c r="R490" s="2" t="inlineStr"/>
    </row>
    <row r="491" ht="15" customHeight="1">
      <c r="A491" t="inlineStr">
        <is>
          <t>A 49629-2025</t>
        </is>
      </c>
      <c r="B491" s="1" t="n">
        <v>45938</v>
      </c>
      <c r="C491" s="1" t="n">
        <v>45975</v>
      </c>
      <c r="D491" t="inlineStr">
        <is>
          <t>ÖSTERGÖTLANDS LÄN</t>
        </is>
      </c>
      <c r="E491" t="inlineStr">
        <is>
          <t>LINKÖPING</t>
        </is>
      </c>
      <c r="F491" t="inlineStr">
        <is>
          <t>Övriga Aktiebolag</t>
        </is>
      </c>
      <c r="G491" t="n">
        <v>4.5</v>
      </c>
      <c r="H491" t="n">
        <v>0</v>
      </c>
      <c r="I491" t="n">
        <v>0</v>
      </c>
      <c r="J491" t="n">
        <v>0</v>
      </c>
      <c r="K491" t="n">
        <v>0</v>
      </c>
      <c r="L491" t="n">
        <v>0</v>
      </c>
      <c r="M491" t="n">
        <v>0</v>
      </c>
      <c r="N491" t="n">
        <v>0</v>
      </c>
      <c r="O491" t="n">
        <v>0</v>
      </c>
      <c r="P491" t="n">
        <v>0</v>
      </c>
      <c r="Q491" t="n">
        <v>0</v>
      </c>
      <c r="R491" s="2" t="inlineStr"/>
    </row>
    <row r="492" ht="15" customHeight="1">
      <c r="A492" t="inlineStr">
        <is>
          <t>A 49633-2025</t>
        </is>
      </c>
      <c r="B492" s="1" t="n">
        <v>45938</v>
      </c>
      <c r="C492" s="1" t="n">
        <v>45975</v>
      </c>
      <c r="D492" t="inlineStr">
        <is>
          <t>ÖSTERGÖTLANDS LÄN</t>
        </is>
      </c>
      <c r="E492" t="inlineStr">
        <is>
          <t>LINKÖPING</t>
        </is>
      </c>
      <c r="F492" t="inlineStr">
        <is>
          <t>Övriga Aktiebolag</t>
        </is>
      </c>
      <c r="G492" t="n">
        <v>0.7</v>
      </c>
      <c r="H492" t="n">
        <v>0</v>
      </c>
      <c r="I492" t="n">
        <v>0</v>
      </c>
      <c r="J492" t="n">
        <v>0</v>
      </c>
      <c r="K492" t="n">
        <v>0</v>
      </c>
      <c r="L492" t="n">
        <v>0</v>
      </c>
      <c r="M492" t="n">
        <v>0</v>
      </c>
      <c r="N492" t="n">
        <v>0</v>
      </c>
      <c r="O492" t="n">
        <v>0</v>
      </c>
      <c r="P492" t="n">
        <v>0</v>
      </c>
      <c r="Q492" t="n">
        <v>0</v>
      </c>
      <c r="R492" s="2" t="inlineStr"/>
    </row>
    <row r="493" ht="15" customHeight="1">
      <c r="A493" t="inlineStr">
        <is>
          <t>A 59642-2024</t>
        </is>
      </c>
      <c r="B493" s="1" t="n">
        <v>45639.31511574074</v>
      </c>
      <c r="C493" s="1" t="n">
        <v>45975</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49455-2025</t>
        </is>
      </c>
      <c r="B494" s="1" t="n">
        <v>45938</v>
      </c>
      <c r="C494" s="1" t="n">
        <v>45975</v>
      </c>
      <c r="D494" t="inlineStr">
        <is>
          <t>ÖSTERGÖTLANDS LÄN</t>
        </is>
      </c>
      <c r="E494" t="inlineStr">
        <is>
          <t>LINKÖPING</t>
        </is>
      </c>
      <c r="F494" t="inlineStr">
        <is>
          <t>Övriga Aktiebolag</t>
        </is>
      </c>
      <c r="G494" t="n">
        <v>5.9</v>
      </c>
      <c r="H494" t="n">
        <v>0</v>
      </c>
      <c r="I494" t="n">
        <v>0</v>
      </c>
      <c r="J494" t="n">
        <v>0</v>
      </c>
      <c r="K494" t="n">
        <v>0</v>
      </c>
      <c r="L494" t="n">
        <v>0</v>
      </c>
      <c r="M494" t="n">
        <v>0</v>
      </c>
      <c r="N494" t="n">
        <v>0</v>
      </c>
      <c r="O494" t="n">
        <v>0</v>
      </c>
      <c r="P494" t="n">
        <v>0</v>
      </c>
      <c r="Q494" t="n">
        <v>0</v>
      </c>
      <c r="R494" s="2" t="inlineStr"/>
    </row>
    <row r="495" ht="15" customHeight="1">
      <c r="A495" t="inlineStr">
        <is>
          <t>A 27766-2022</t>
        </is>
      </c>
      <c r="B495" s="1" t="n">
        <v>44743.53112268518</v>
      </c>
      <c r="C495" s="1" t="n">
        <v>45975</v>
      </c>
      <c r="D495" t="inlineStr">
        <is>
          <t>ÖSTERGÖTLANDS LÄN</t>
        </is>
      </c>
      <c r="E495" t="inlineStr">
        <is>
          <t>LINKÖPING</t>
        </is>
      </c>
      <c r="G495" t="n">
        <v>2</v>
      </c>
      <c r="H495" t="n">
        <v>0</v>
      </c>
      <c r="I495" t="n">
        <v>0</v>
      </c>
      <c r="J495" t="n">
        <v>0</v>
      </c>
      <c r="K495" t="n">
        <v>0</v>
      </c>
      <c r="L495" t="n">
        <v>0</v>
      </c>
      <c r="M495" t="n">
        <v>0</v>
      </c>
      <c r="N495" t="n">
        <v>0</v>
      </c>
      <c r="O495" t="n">
        <v>0</v>
      </c>
      <c r="P495" t="n">
        <v>0</v>
      </c>
      <c r="Q495" t="n">
        <v>0</v>
      </c>
      <c r="R495" s="2" t="inlineStr"/>
    </row>
    <row r="496" ht="15" customHeight="1">
      <c r="A496" t="inlineStr">
        <is>
          <t>A 15748-2025</t>
        </is>
      </c>
      <c r="B496" s="1" t="n">
        <v>45748.55282407408</v>
      </c>
      <c r="C496" s="1" t="n">
        <v>45975</v>
      </c>
      <c r="D496" t="inlineStr">
        <is>
          <t>ÖSTERGÖTLANDS LÄN</t>
        </is>
      </c>
      <c r="E496" t="inlineStr">
        <is>
          <t>LINKÖPING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31792-2021</t>
        </is>
      </c>
      <c r="B497" s="1" t="n">
        <v>44369</v>
      </c>
      <c r="C497" s="1" t="n">
        <v>45975</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25097-2023</t>
        </is>
      </c>
      <c r="B498" s="1" t="n">
        <v>45086</v>
      </c>
      <c r="C498" s="1" t="n">
        <v>45975</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13911-2025</t>
        </is>
      </c>
      <c r="B499" s="1" t="n">
        <v>45737.64784722222</v>
      </c>
      <c r="C499" s="1" t="n">
        <v>45975</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35735-2023</t>
        </is>
      </c>
      <c r="B500" s="1" t="n">
        <v>45147</v>
      </c>
      <c r="C500" s="1" t="n">
        <v>45975</v>
      </c>
      <c r="D500" t="inlineStr">
        <is>
          <t>ÖSTERGÖTLANDS LÄN</t>
        </is>
      </c>
      <c r="E500" t="inlineStr">
        <is>
          <t>LINKÖPING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16462-2021</t>
        </is>
      </c>
      <c r="B501" s="1" t="n">
        <v>44293</v>
      </c>
      <c r="C501" s="1" t="n">
        <v>45975</v>
      </c>
      <c r="D501" t="inlineStr">
        <is>
          <t>ÖSTERGÖTLANDS LÄN</t>
        </is>
      </c>
      <c r="E501" t="inlineStr">
        <is>
          <t>LINKÖPING</t>
        </is>
      </c>
      <c r="F501" t="inlineStr">
        <is>
          <t>Allmännings- och besparingsskogar</t>
        </is>
      </c>
      <c r="G501" t="n">
        <v>24.7</v>
      </c>
      <c r="H501" t="n">
        <v>0</v>
      </c>
      <c r="I501" t="n">
        <v>0</v>
      </c>
      <c r="J501" t="n">
        <v>0</v>
      </c>
      <c r="K501" t="n">
        <v>0</v>
      </c>
      <c r="L501" t="n">
        <v>0</v>
      </c>
      <c r="M501" t="n">
        <v>0</v>
      </c>
      <c r="N501" t="n">
        <v>0</v>
      </c>
      <c r="O501" t="n">
        <v>0</v>
      </c>
      <c r="P501" t="n">
        <v>0</v>
      </c>
      <c r="Q501" t="n">
        <v>0</v>
      </c>
      <c r="R501" s="2" t="inlineStr"/>
    </row>
    <row r="502" ht="15" customHeight="1">
      <c r="A502" t="inlineStr">
        <is>
          <t>A 49632-2025</t>
        </is>
      </c>
      <c r="B502" s="1" t="n">
        <v>45938</v>
      </c>
      <c r="C502" s="1" t="n">
        <v>45975</v>
      </c>
      <c r="D502" t="inlineStr">
        <is>
          <t>ÖSTERGÖTLANDS LÄN</t>
        </is>
      </c>
      <c r="E502" t="inlineStr">
        <is>
          <t>LINKÖPING</t>
        </is>
      </c>
      <c r="F502" t="inlineStr">
        <is>
          <t>Övriga Aktiebolag</t>
        </is>
      </c>
      <c r="G502" t="n">
        <v>1.6</v>
      </c>
      <c r="H502" t="n">
        <v>0</v>
      </c>
      <c r="I502" t="n">
        <v>0</v>
      </c>
      <c r="J502" t="n">
        <v>0</v>
      </c>
      <c r="K502" t="n">
        <v>0</v>
      </c>
      <c r="L502" t="n">
        <v>0</v>
      </c>
      <c r="M502" t="n">
        <v>0</v>
      </c>
      <c r="N502" t="n">
        <v>0</v>
      </c>
      <c r="O502" t="n">
        <v>0</v>
      </c>
      <c r="P502" t="n">
        <v>0</v>
      </c>
      <c r="Q502" t="n">
        <v>0</v>
      </c>
      <c r="R502" s="2" t="inlineStr"/>
    </row>
    <row r="503" ht="15" customHeight="1">
      <c r="A503" t="inlineStr">
        <is>
          <t>A 25776-2021</t>
        </is>
      </c>
      <c r="B503" s="1" t="n">
        <v>44343</v>
      </c>
      <c r="C503" s="1" t="n">
        <v>45975</v>
      </c>
      <c r="D503" t="inlineStr">
        <is>
          <t>ÖSTERGÖTLANDS LÄN</t>
        </is>
      </c>
      <c r="E503" t="inlineStr">
        <is>
          <t>LINKÖPING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23768-2025</t>
        </is>
      </c>
      <c r="B504" s="1" t="n">
        <v>45793.47493055555</v>
      </c>
      <c r="C504" s="1" t="n">
        <v>45975</v>
      </c>
      <c r="D504" t="inlineStr">
        <is>
          <t>ÖSTERGÖTLANDS LÄN</t>
        </is>
      </c>
      <c r="E504" t="inlineStr">
        <is>
          <t>LINKÖPING</t>
        </is>
      </c>
      <c r="G504" t="n">
        <v>3.4</v>
      </c>
      <c r="H504" t="n">
        <v>0</v>
      </c>
      <c r="I504" t="n">
        <v>0</v>
      </c>
      <c r="J504" t="n">
        <v>0</v>
      </c>
      <c r="K504" t="n">
        <v>0</v>
      </c>
      <c r="L504" t="n">
        <v>0</v>
      </c>
      <c r="M504" t="n">
        <v>0</v>
      </c>
      <c r="N504" t="n">
        <v>0</v>
      </c>
      <c r="O504" t="n">
        <v>0</v>
      </c>
      <c r="P504" t="n">
        <v>0</v>
      </c>
      <c r="Q504" t="n">
        <v>0</v>
      </c>
      <c r="R504" s="2" t="inlineStr"/>
    </row>
    <row r="505" ht="15" customHeight="1">
      <c r="A505" t="inlineStr">
        <is>
          <t>A 30856-2022</t>
        </is>
      </c>
      <c r="B505" s="1" t="n">
        <v>44767</v>
      </c>
      <c r="C505" s="1" t="n">
        <v>45975</v>
      </c>
      <c r="D505" t="inlineStr">
        <is>
          <t>ÖSTERGÖTLANDS LÄN</t>
        </is>
      </c>
      <c r="E505" t="inlineStr">
        <is>
          <t>LINKÖPING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19187-2021</t>
        </is>
      </c>
      <c r="B506" s="1" t="n">
        <v>44308</v>
      </c>
      <c r="C506" s="1" t="n">
        <v>45975</v>
      </c>
      <c r="D506" t="inlineStr">
        <is>
          <t>ÖSTERGÖTLANDS LÄN</t>
        </is>
      </c>
      <c r="E506" t="inlineStr">
        <is>
          <t>LINKÖPING</t>
        </is>
      </c>
      <c r="F506" t="inlineStr">
        <is>
          <t>Allmännings- och besparingsskogar</t>
        </is>
      </c>
      <c r="G506" t="n">
        <v>20</v>
      </c>
      <c r="H506" t="n">
        <v>0</v>
      </c>
      <c r="I506" t="n">
        <v>0</v>
      </c>
      <c r="J506" t="n">
        <v>0</v>
      </c>
      <c r="K506" t="n">
        <v>0</v>
      </c>
      <c r="L506" t="n">
        <v>0</v>
      </c>
      <c r="M506" t="n">
        <v>0</v>
      </c>
      <c r="N506" t="n">
        <v>0</v>
      </c>
      <c r="O506" t="n">
        <v>0</v>
      </c>
      <c r="P506" t="n">
        <v>0</v>
      </c>
      <c r="Q506" t="n">
        <v>0</v>
      </c>
      <c r="R506" s="2" t="inlineStr"/>
    </row>
    <row r="507" ht="15" customHeight="1">
      <c r="A507" t="inlineStr">
        <is>
          <t>A 49650-2025</t>
        </is>
      </c>
      <c r="B507" s="1" t="n">
        <v>45938</v>
      </c>
      <c r="C507" s="1" t="n">
        <v>45975</v>
      </c>
      <c r="D507" t="inlineStr">
        <is>
          <t>ÖSTERGÖTLANDS LÄN</t>
        </is>
      </c>
      <c r="E507" t="inlineStr">
        <is>
          <t>LINKÖPING</t>
        </is>
      </c>
      <c r="F507" t="inlineStr">
        <is>
          <t>Övriga Aktiebolag</t>
        </is>
      </c>
      <c r="G507" t="n">
        <v>1.5</v>
      </c>
      <c r="H507" t="n">
        <v>0</v>
      </c>
      <c r="I507" t="n">
        <v>0</v>
      </c>
      <c r="J507" t="n">
        <v>0</v>
      </c>
      <c r="K507" t="n">
        <v>0</v>
      </c>
      <c r="L507" t="n">
        <v>0</v>
      </c>
      <c r="M507" t="n">
        <v>0</v>
      </c>
      <c r="N507" t="n">
        <v>0</v>
      </c>
      <c r="O507" t="n">
        <v>0</v>
      </c>
      <c r="P507" t="n">
        <v>0</v>
      </c>
      <c r="Q507" t="n">
        <v>0</v>
      </c>
      <c r="R507" s="2" t="inlineStr"/>
    </row>
    <row r="508" ht="15" customHeight="1">
      <c r="A508" t="inlineStr">
        <is>
          <t>A 49652-2025</t>
        </is>
      </c>
      <c r="B508" s="1" t="n">
        <v>45938</v>
      </c>
      <c r="C508" s="1" t="n">
        <v>45975</v>
      </c>
      <c r="D508" t="inlineStr">
        <is>
          <t>ÖSTERGÖTLANDS LÄN</t>
        </is>
      </c>
      <c r="E508" t="inlineStr">
        <is>
          <t>LINKÖPING</t>
        </is>
      </c>
      <c r="F508" t="inlineStr">
        <is>
          <t>Övriga Aktiebolag</t>
        </is>
      </c>
      <c r="G508" t="n">
        <v>1.8</v>
      </c>
      <c r="H508" t="n">
        <v>0</v>
      </c>
      <c r="I508" t="n">
        <v>0</v>
      </c>
      <c r="J508" t="n">
        <v>0</v>
      </c>
      <c r="K508" t="n">
        <v>0</v>
      </c>
      <c r="L508" t="n">
        <v>0</v>
      </c>
      <c r="M508" t="n">
        <v>0</v>
      </c>
      <c r="N508" t="n">
        <v>0</v>
      </c>
      <c r="O508" t="n">
        <v>0</v>
      </c>
      <c r="P508" t="n">
        <v>0</v>
      </c>
      <c r="Q508" t="n">
        <v>0</v>
      </c>
      <c r="R508" s="2" t="inlineStr"/>
    </row>
    <row r="509" ht="15" customHeight="1">
      <c r="A509" t="inlineStr">
        <is>
          <t>A 48271-2023</t>
        </is>
      </c>
      <c r="B509" s="1" t="n">
        <v>45205</v>
      </c>
      <c r="C509" s="1" t="n">
        <v>45975</v>
      </c>
      <c r="D509" t="inlineStr">
        <is>
          <t>ÖSTERGÖTLANDS LÄN</t>
        </is>
      </c>
      <c r="E509" t="inlineStr">
        <is>
          <t>LINKÖPING</t>
        </is>
      </c>
      <c r="G509" t="n">
        <v>3</v>
      </c>
      <c r="H509" t="n">
        <v>0</v>
      </c>
      <c r="I509" t="n">
        <v>0</v>
      </c>
      <c r="J509" t="n">
        <v>0</v>
      </c>
      <c r="K509" t="n">
        <v>0</v>
      </c>
      <c r="L509" t="n">
        <v>0</v>
      </c>
      <c r="M509" t="n">
        <v>0</v>
      </c>
      <c r="N509" t="n">
        <v>0</v>
      </c>
      <c r="O509" t="n">
        <v>0</v>
      </c>
      <c r="P509" t="n">
        <v>0</v>
      </c>
      <c r="Q509" t="n">
        <v>0</v>
      </c>
      <c r="R509" s="2" t="inlineStr"/>
    </row>
    <row r="510" ht="15" customHeight="1">
      <c r="A510" t="inlineStr">
        <is>
          <t>A 49654-2025</t>
        </is>
      </c>
      <c r="B510" s="1" t="n">
        <v>45938</v>
      </c>
      <c r="C510" s="1" t="n">
        <v>45975</v>
      </c>
      <c r="D510" t="inlineStr">
        <is>
          <t>ÖSTERGÖTLANDS LÄN</t>
        </is>
      </c>
      <c r="E510" t="inlineStr">
        <is>
          <t>LINKÖPING</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49647-2025</t>
        </is>
      </c>
      <c r="B511" s="1" t="n">
        <v>45938</v>
      </c>
      <c r="C511" s="1" t="n">
        <v>45975</v>
      </c>
      <c r="D511" t="inlineStr">
        <is>
          <t>ÖSTERGÖTLANDS LÄN</t>
        </is>
      </c>
      <c r="E511" t="inlineStr">
        <is>
          <t>LINKÖPING</t>
        </is>
      </c>
      <c r="F511" t="inlineStr">
        <is>
          <t>Övriga Aktiebolag</t>
        </is>
      </c>
      <c r="G511" t="n">
        <v>0.6</v>
      </c>
      <c r="H511" t="n">
        <v>0</v>
      </c>
      <c r="I511" t="n">
        <v>0</v>
      </c>
      <c r="J511" t="n">
        <v>0</v>
      </c>
      <c r="K511" t="n">
        <v>0</v>
      </c>
      <c r="L511" t="n">
        <v>0</v>
      </c>
      <c r="M511" t="n">
        <v>0</v>
      </c>
      <c r="N511" t="n">
        <v>0</v>
      </c>
      <c r="O511" t="n">
        <v>0</v>
      </c>
      <c r="P511" t="n">
        <v>0</v>
      </c>
      <c r="Q511" t="n">
        <v>0</v>
      </c>
      <c r="R511" s="2" t="inlineStr"/>
    </row>
    <row r="512" ht="15" customHeight="1">
      <c r="A512" t="inlineStr">
        <is>
          <t>A 13266-2025</t>
        </is>
      </c>
      <c r="B512" s="1" t="n">
        <v>45735.53318287037</v>
      </c>
      <c r="C512" s="1" t="n">
        <v>45975</v>
      </c>
      <c r="D512" t="inlineStr">
        <is>
          <t>ÖSTERGÖTLANDS LÄN</t>
        </is>
      </c>
      <c r="E512" t="inlineStr">
        <is>
          <t>LINKÖPING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49605-2025</t>
        </is>
      </c>
      <c r="B513" s="1" t="n">
        <v>45938</v>
      </c>
      <c r="C513" s="1" t="n">
        <v>45975</v>
      </c>
      <c r="D513" t="inlineStr">
        <is>
          <t>ÖSTERGÖTLANDS LÄN</t>
        </is>
      </c>
      <c r="E513" t="inlineStr">
        <is>
          <t>LINKÖPING</t>
        </is>
      </c>
      <c r="F513" t="inlineStr">
        <is>
          <t>Övriga Aktiebolag</t>
        </is>
      </c>
      <c r="G513" t="n">
        <v>3.3</v>
      </c>
      <c r="H513" t="n">
        <v>0</v>
      </c>
      <c r="I513" t="n">
        <v>0</v>
      </c>
      <c r="J513" t="n">
        <v>0</v>
      </c>
      <c r="K513" t="n">
        <v>0</v>
      </c>
      <c r="L513" t="n">
        <v>0</v>
      </c>
      <c r="M513" t="n">
        <v>0</v>
      </c>
      <c r="N513" t="n">
        <v>0</v>
      </c>
      <c r="O513" t="n">
        <v>0</v>
      </c>
      <c r="P513" t="n">
        <v>0</v>
      </c>
      <c r="Q513" t="n">
        <v>0</v>
      </c>
      <c r="R513" s="2" t="inlineStr"/>
    </row>
    <row r="514" ht="15" customHeight="1">
      <c r="A514" t="inlineStr">
        <is>
          <t>A 49663-2025</t>
        </is>
      </c>
      <c r="B514" s="1" t="n">
        <v>45938</v>
      </c>
      <c r="C514" s="1" t="n">
        <v>45975</v>
      </c>
      <c r="D514" t="inlineStr">
        <is>
          <t>ÖSTERGÖTLANDS LÄN</t>
        </is>
      </c>
      <c r="E514" t="inlineStr">
        <is>
          <t>LINKÖPING</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39219-2021</t>
        </is>
      </c>
      <c r="B515" s="1" t="n">
        <v>44413</v>
      </c>
      <c r="C515" s="1" t="n">
        <v>45975</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39224-2021</t>
        </is>
      </c>
      <c r="B516" s="1" t="n">
        <v>44413</v>
      </c>
      <c r="C516" s="1" t="n">
        <v>45975</v>
      </c>
      <c r="D516" t="inlineStr">
        <is>
          <t>ÖSTERGÖTLANDS LÄN</t>
        </is>
      </c>
      <c r="E516" t="inlineStr">
        <is>
          <t>LINKÖPING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40983-2025</t>
        </is>
      </c>
      <c r="B517" s="1" t="n">
        <v>45898</v>
      </c>
      <c r="C517" s="1" t="n">
        <v>45975</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41706-2025</t>
        </is>
      </c>
      <c r="B518" s="1" t="n">
        <v>45902.42209490741</v>
      </c>
      <c r="C518" s="1" t="n">
        <v>45975</v>
      </c>
      <c r="D518" t="inlineStr">
        <is>
          <t>ÖSTERGÖTLANDS LÄN</t>
        </is>
      </c>
      <c r="E518" t="inlineStr">
        <is>
          <t>LINKÖPING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60001-2022</t>
        </is>
      </c>
      <c r="B519" s="1" t="n">
        <v>44909.47087962963</v>
      </c>
      <c r="C519" s="1" t="n">
        <v>45975</v>
      </c>
      <c r="D519" t="inlineStr">
        <is>
          <t>ÖSTERGÖTLANDS LÄN</t>
        </is>
      </c>
      <c r="E519" t="inlineStr">
        <is>
          <t>LINKÖPING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39457-2023</t>
        </is>
      </c>
      <c r="B520" s="1" t="n">
        <v>45166</v>
      </c>
      <c r="C520" s="1" t="n">
        <v>45975</v>
      </c>
      <c r="D520" t="inlineStr">
        <is>
          <t>ÖSTERGÖTLANDS LÄN</t>
        </is>
      </c>
      <c r="E520" t="inlineStr">
        <is>
          <t>LINKÖPING</t>
        </is>
      </c>
      <c r="G520" t="n">
        <v>2.1</v>
      </c>
      <c r="H520" t="n">
        <v>0</v>
      </c>
      <c r="I520" t="n">
        <v>0</v>
      </c>
      <c r="J520" t="n">
        <v>0</v>
      </c>
      <c r="K520" t="n">
        <v>0</v>
      </c>
      <c r="L520" t="n">
        <v>0</v>
      </c>
      <c r="M520" t="n">
        <v>0</v>
      </c>
      <c r="N520" t="n">
        <v>0</v>
      </c>
      <c r="O520" t="n">
        <v>0</v>
      </c>
      <c r="P520" t="n">
        <v>0</v>
      </c>
      <c r="Q520" t="n">
        <v>0</v>
      </c>
      <c r="R520" s="2" t="inlineStr"/>
    </row>
    <row r="521" ht="15" customHeight="1">
      <c r="A521" t="inlineStr">
        <is>
          <t>A 43934-2023</t>
        </is>
      </c>
      <c r="B521" s="1" t="n">
        <v>45187</v>
      </c>
      <c r="C521" s="1" t="n">
        <v>45975</v>
      </c>
      <c r="D521" t="inlineStr">
        <is>
          <t>ÖSTERGÖTLANDS LÄN</t>
        </is>
      </c>
      <c r="E521" t="inlineStr">
        <is>
          <t>LINKÖPING</t>
        </is>
      </c>
      <c r="F521" t="inlineStr">
        <is>
          <t>Övriga Aktiebolag</t>
        </is>
      </c>
      <c r="G521" t="n">
        <v>3.8</v>
      </c>
      <c r="H521" t="n">
        <v>0</v>
      </c>
      <c r="I521" t="n">
        <v>0</v>
      </c>
      <c r="J521" t="n">
        <v>0</v>
      </c>
      <c r="K521" t="n">
        <v>0</v>
      </c>
      <c r="L521" t="n">
        <v>0</v>
      </c>
      <c r="M521" t="n">
        <v>0</v>
      </c>
      <c r="N521" t="n">
        <v>0</v>
      </c>
      <c r="O521" t="n">
        <v>0</v>
      </c>
      <c r="P521" t="n">
        <v>0</v>
      </c>
      <c r="Q521" t="n">
        <v>0</v>
      </c>
      <c r="R521" s="2" t="inlineStr"/>
    </row>
    <row r="522" ht="15" customHeight="1">
      <c r="A522" t="inlineStr">
        <is>
          <t>A 1657-2024</t>
        </is>
      </c>
      <c r="B522" s="1" t="n">
        <v>45306.82501157407</v>
      </c>
      <c r="C522" s="1" t="n">
        <v>45975</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41511-2025</t>
        </is>
      </c>
      <c r="B523" s="1" t="n">
        <v>45901.53839120371</v>
      </c>
      <c r="C523" s="1" t="n">
        <v>45975</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44280-2024</t>
        </is>
      </c>
      <c r="B524" s="1" t="n">
        <v>45573.49461805556</v>
      </c>
      <c r="C524" s="1" t="n">
        <v>45975</v>
      </c>
      <c r="D524" t="inlineStr">
        <is>
          <t>ÖSTERGÖTLANDS LÄN</t>
        </is>
      </c>
      <c r="E524" t="inlineStr">
        <is>
          <t>LINKÖPING</t>
        </is>
      </c>
      <c r="G524" t="n">
        <v>5.3</v>
      </c>
      <c r="H524" t="n">
        <v>0</v>
      </c>
      <c r="I524" t="n">
        <v>0</v>
      </c>
      <c r="J524" t="n">
        <v>0</v>
      </c>
      <c r="K524" t="n">
        <v>0</v>
      </c>
      <c r="L524" t="n">
        <v>0</v>
      </c>
      <c r="M524" t="n">
        <v>0</v>
      </c>
      <c r="N524" t="n">
        <v>0</v>
      </c>
      <c r="O524" t="n">
        <v>0</v>
      </c>
      <c r="P524" t="n">
        <v>0</v>
      </c>
      <c r="Q524" t="n">
        <v>0</v>
      </c>
      <c r="R524" s="2" t="inlineStr"/>
    </row>
    <row r="525" ht="15" customHeight="1">
      <c r="A525" t="inlineStr">
        <is>
          <t>A 3042-2024</t>
        </is>
      </c>
      <c r="B525" s="1" t="n">
        <v>45316.35028935185</v>
      </c>
      <c r="C525" s="1" t="n">
        <v>45975</v>
      </c>
      <c r="D525" t="inlineStr">
        <is>
          <t>ÖSTERGÖTLANDS LÄN</t>
        </is>
      </c>
      <c r="E525" t="inlineStr">
        <is>
          <t>LINKÖPING</t>
        </is>
      </c>
      <c r="G525" t="n">
        <v>3.1</v>
      </c>
      <c r="H525" t="n">
        <v>0</v>
      </c>
      <c r="I525" t="n">
        <v>0</v>
      </c>
      <c r="J525" t="n">
        <v>0</v>
      </c>
      <c r="K525" t="n">
        <v>0</v>
      </c>
      <c r="L525" t="n">
        <v>0</v>
      </c>
      <c r="M525" t="n">
        <v>0</v>
      </c>
      <c r="N525" t="n">
        <v>0</v>
      </c>
      <c r="O525" t="n">
        <v>0</v>
      </c>
      <c r="P525" t="n">
        <v>0</v>
      </c>
      <c r="Q525" t="n">
        <v>0</v>
      </c>
      <c r="R525" s="2" t="inlineStr"/>
    </row>
    <row r="526" ht="15" customHeight="1">
      <c r="A526" t="inlineStr">
        <is>
          <t>A 25996-2025</t>
        </is>
      </c>
      <c r="B526" s="1" t="n">
        <v>45804.65851851852</v>
      </c>
      <c r="C526" s="1" t="n">
        <v>45975</v>
      </c>
      <c r="D526" t="inlineStr">
        <is>
          <t>ÖSTERGÖTLANDS LÄN</t>
        </is>
      </c>
      <c r="E526" t="inlineStr">
        <is>
          <t>LINKÖPING</t>
        </is>
      </c>
      <c r="G526" t="n">
        <v>3.2</v>
      </c>
      <c r="H526" t="n">
        <v>0</v>
      </c>
      <c r="I526" t="n">
        <v>0</v>
      </c>
      <c r="J526" t="n">
        <v>0</v>
      </c>
      <c r="K526" t="n">
        <v>0</v>
      </c>
      <c r="L526" t="n">
        <v>0</v>
      </c>
      <c r="M526" t="n">
        <v>0</v>
      </c>
      <c r="N526" t="n">
        <v>0</v>
      </c>
      <c r="O526" t="n">
        <v>0</v>
      </c>
      <c r="P526" t="n">
        <v>0</v>
      </c>
      <c r="Q526" t="n">
        <v>0</v>
      </c>
      <c r="R526" s="2" t="inlineStr"/>
    </row>
    <row r="527" ht="15" customHeight="1">
      <c r="A527" t="inlineStr">
        <is>
          <t>A 29293-2025</t>
        </is>
      </c>
      <c r="B527" s="1" t="n">
        <v>45824</v>
      </c>
      <c r="C527" s="1" t="n">
        <v>45975</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7354-2025</t>
        </is>
      </c>
      <c r="B528" s="1" t="n">
        <v>45704.41174768518</v>
      </c>
      <c r="C528" s="1" t="n">
        <v>45975</v>
      </c>
      <c r="D528" t="inlineStr">
        <is>
          <t>ÖSTERGÖTLANDS LÄN</t>
        </is>
      </c>
      <c r="E528" t="inlineStr">
        <is>
          <t>LINKÖPING</t>
        </is>
      </c>
      <c r="G528" t="n">
        <v>4.8</v>
      </c>
      <c r="H528" t="n">
        <v>0</v>
      </c>
      <c r="I528" t="n">
        <v>0</v>
      </c>
      <c r="J528" t="n">
        <v>0</v>
      </c>
      <c r="K528" t="n">
        <v>0</v>
      </c>
      <c r="L528" t="n">
        <v>0</v>
      </c>
      <c r="M528" t="n">
        <v>0</v>
      </c>
      <c r="N528" t="n">
        <v>0</v>
      </c>
      <c r="O528" t="n">
        <v>0</v>
      </c>
      <c r="P528" t="n">
        <v>0</v>
      </c>
      <c r="Q528" t="n">
        <v>0</v>
      </c>
      <c r="R528" s="2" t="inlineStr"/>
    </row>
    <row r="529" ht="15" customHeight="1">
      <c r="A529" t="inlineStr">
        <is>
          <t>A 63935-2021</t>
        </is>
      </c>
      <c r="B529" s="1" t="n">
        <v>44509</v>
      </c>
      <c r="C529" s="1" t="n">
        <v>45975</v>
      </c>
      <c r="D529" t="inlineStr">
        <is>
          <t>ÖSTERGÖTLANDS LÄN</t>
        </is>
      </c>
      <c r="E529" t="inlineStr">
        <is>
          <t>LINKÖPING</t>
        </is>
      </c>
      <c r="F529" t="inlineStr">
        <is>
          <t>Övriga statliga verk och myndigheter</t>
        </is>
      </c>
      <c r="G529" t="n">
        <v>2.8</v>
      </c>
      <c r="H529" t="n">
        <v>0</v>
      </c>
      <c r="I529" t="n">
        <v>0</v>
      </c>
      <c r="J529" t="n">
        <v>0</v>
      </c>
      <c r="K529" t="n">
        <v>0</v>
      </c>
      <c r="L529" t="n">
        <v>0</v>
      </c>
      <c r="M529" t="n">
        <v>0</v>
      </c>
      <c r="N529" t="n">
        <v>0</v>
      </c>
      <c r="O529" t="n">
        <v>0</v>
      </c>
      <c r="P529" t="n">
        <v>0</v>
      </c>
      <c r="Q529" t="n">
        <v>0</v>
      </c>
      <c r="R529" s="2" t="inlineStr"/>
    </row>
    <row r="530" ht="15" customHeight="1">
      <c r="A530" t="inlineStr">
        <is>
          <t>A 30976-2022</t>
        </is>
      </c>
      <c r="B530" s="1" t="n">
        <v>44768</v>
      </c>
      <c r="C530" s="1" t="n">
        <v>45975</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26002-2025</t>
        </is>
      </c>
      <c r="B531" s="1" t="n">
        <v>45804.66534722222</v>
      </c>
      <c r="C531" s="1" t="n">
        <v>45975</v>
      </c>
      <c r="D531" t="inlineStr">
        <is>
          <t>ÖSTERGÖTLANDS LÄN</t>
        </is>
      </c>
      <c r="E531" t="inlineStr">
        <is>
          <t>LINKÖPING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30860-2022</t>
        </is>
      </c>
      <c r="B532" s="1" t="n">
        <v>44767</v>
      </c>
      <c r="C532" s="1" t="n">
        <v>45975</v>
      </c>
      <c r="D532" t="inlineStr">
        <is>
          <t>ÖSTERGÖTLANDS LÄN</t>
        </is>
      </c>
      <c r="E532" t="inlineStr">
        <is>
          <t>LINKÖPING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48186-2022</t>
        </is>
      </c>
      <c r="B533" s="1" t="n">
        <v>44858</v>
      </c>
      <c r="C533" s="1" t="n">
        <v>45975</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50667-2025</t>
        </is>
      </c>
      <c r="B534" s="1" t="n">
        <v>45945</v>
      </c>
      <c r="C534" s="1" t="n">
        <v>45975</v>
      </c>
      <c r="D534" t="inlineStr">
        <is>
          <t>ÖSTERGÖTLANDS LÄN</t>
        </is>
      </c>
      <c r="E534" t="inlineStr">
        <is>
          <t>LINKÖPING</t>
        </is>
      </c>
      <c r="G534" t="n">
        <v>3.3</v>
      </c>
      <c r="H534" t="n">
        <v>0</v>
      </c>
      <c r="I534" t="n">
        <v>0</v>
      </c>
      <c r="J534" t="n">
        <v>0</v>
      </c>
      <c r="K534" t="n">
        <v>0</v>
      </c>
      <c r="L534" t="n">
        <v>0</v>
      </c>
      <c r="M534" t="n">
        <v>0</v>
      </c>
      <c r="N534" t="n">
        <v>0</v>
      </c>
      <c r="O534" t="n">
        <v>0</v>
      </c>
      <c r="P534" t="n">
        <v>0</v>
      </c>
      <c r="Q534" t="n">
        <v>0</v>
      </c>
      <c r="R534" s="2" t="inlineStr"/>
    </row>
    <row r="535" ht="15" customHeight="1">
      <c r="A535" t="inlineStr">
        <is>
          <t>A 40810-2022</t>
        </is>
      </c>
      <c r="B535" s="1" t="n">
        <v>44824</v>
      </c>
      <c r="C535" s="1" t="n">
        <v>45975</v>
      </c>
      <c r="D535" t="inlineStr">
        <is>
          <t>ÖSTERGÖTLANDS LÄN</t>
        </is>
      </c>
      <c r="E535" t="inlineStr">
        <is>
          <t>LINKÖPING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28266-2024</t>
        </is>
      </c>
      <c r="B536" s="1" t="n">
        <v>45477.43600694444</v>
      </c>
      <c r="C536" s="1" t="n">
        <v>45975</v>
      </c>
      <c r="D536" t="inlineStr">
        <is>
          <t>ÖSTERGÖTLANDS LÄN</t>
        </is>
      </c>
      <c r="E536" t="inlineStr">
        <is>
          <t>LINKÖPING</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31548-2022</t>
        </is>
      </c>
      <c r="B537" s="1" t="n">
        <v>44775.39832175926</v>
      </c>
      <c r="C537" s="1" t="n">
        <v>45975</v>
      </c>
      <c r="D537" t="inlineStr">
        <is>
          <t>ÖSTERGÖTLANDS LÄN</t>
        </is>
      </c>
      <c r="E537" t="inlineStr">
        <is>
          <t>LINKÖPING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1211-2023</t>
        </is>
      </c>
      <c r="B538" s="1" t="n">
        <v>44930</v>
      </c>
      <c r="C538" s="1" t="n">
        <v>45975</v>
      </c>
      <c r="D538" t="inlineStr">
        <is>
          <t>ÖSTERGÖTLANDS LÄN</t>
        </is>
      </c>
      <c r="E538" t="inlineStr">
        <is>
          <t>LINKÖPING</t>
        </is>
      </c>
      <c r="F538" t="inlineStr">
        <is>
          <t>Övriga statliga verk och myndigheter</t>
        </is>
      </c>
      <c r="G538" t="n">
        <v>7.9</v>
      </c>
      <c r="H538" t="n">
        <v>0</v>
      </c>
      <c r="I538" t="n">
        <v>0</v>
      </c>
      <c r="J538" t="n">
        <v>0</v>
      </c>
      <c r="K538" t="n">
        <v>0</v>
      </c>
      <c r="L538" t="n">
        <v>0</v>
      </c>
      <c r="M538" t="n">
        <v>0</v>
      </c>
      <c r="N538" t="n">
        <v>0</v>
      </c>
      <c r="O538" t="n">
        <v>0</v>
      </c>
      <c r="P538" t="n">
        <v>0</v>
      </c>
      <c r="Q538" t="n">
        <v>0</v>
      </c>
      <c r="R538" s="2" t="inlineStr"/>
    </row>
    <row r="539" ht="15" customHeight="1">
      <c r="A539" t="inlineStr">
        <is>
          <t>A 20298-2025</t>
        </is>
      </c>
      <c r="B539" s="1" t="n">
        <v>45774.75024305555</v>
      </c>
      <c r="C539" s="1" t="n">
        <v>45975</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51191-2022</t>
        </is>
      </c>
      <c r="B540" s="1" t="n">
        <v>44865</v>
      </c>
      <c r="C540" s="1" t="n">
        <v>45975</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55632-2022</t>
        </is>
      </c>
      <c r="B541" s="1" t="n">
        <v>44888</v>
      </c>
      <c r="C541" s="1" t="n">
        <v>45975</v>
      </c>
      <c r="D541" t="inlineStr">
        <is>
          <t>ÖSTERGÖTLANDS LÄN</t>
        </is>
      </c>
      <c r="E541" t="inlineStr">
        <is>
          <t>LINKÖPING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42623-2025</t>
        </is>
      </c>
      <c r="B542" s="1" t="n">
        <v>45905</v>
      </c>
      <c r="C542" s="1" t="n">
        <v>45975</v>
      </c>
      <c r="D542" t="inlineStr">
        <is>
          <t>ÖSTERGÖTLANDS LÄN</t>
        </is>
      </c>
      <c r="E542" t="inlineStr">
        <is>
          <t>LINKÖPING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14576-2023</t>
        </is>
      </c>
      <c r="B543" s="1" t="n">
        <v>45013</v>
      </c>
      <c r="C543" s="1" t="n">
        <v>45975</v>
      </c>
      <c r="D543" t="inlineStr">
        <is>
          <t>ÖSTERGÖTLANDS LÄN</t>
        </is>
      </c>
      <c r="E543" t="inlineStr">
        <is>
          <t>LINKÖPING</t>
        </is>
      </c>
      <c r="G543" t="n">
        <v>3.2</v>
      </c>
      <c r="H543" t="n">
        <v>0</v>
      </c>
      <c r="I543" t="n">
        <v>0</v>
      </c>
      <c r="J543" t="n">
        <v>0</v>
      </c>
      <c r="K543" t="n">
        <v>0</v>
      </c>
      <c r="L543" t="n">
        <v>0</v>
      </c>
      <c r="M543" t="n">
        <v>0</v>
      </c>
      <c r="N543" t="n">
        <v>0</v>
      </c>
      <c r="O543" t="n">
        <v>0</v>
      </c>
      <c r="P543" t="n">
        <v>0</v>
      </c>
      <c r="Q543" t="n">
        <v>0</v>
      </c>
      <c r="R543" s="2" t="inlineStr"/>
    </row>
    <row r="544" ht="15" customHeight="1">
      <c r="A544" t="inlineStr">
        <is>
          <t>A 12089-2025</t>
        </is>
      </c>
      <c r="B544" s="1" t="n">
        <v>45729</v>
      </c>
      <c r="C544" s="1" t="n">
        <v>45975</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63669-2023</t>
        </is>
      </c>
      <c r="B545" s="1" t="n">
        <v>45275</v>
      </c>
      <c r="C545" s="1" t="n">
        <v>45975</v>
      </c>
      <c r="D545" t="inlineStr">
        <is>
          <t>ÖSTERGÖTLANDS LÄN</t>
        </is>
      </c>
      <c r="E545" t="inlineStr">
        <is>
          <t>LINKÖPING</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42624-2025</t>
        </is>
      </c>
      <c r="B546" s="1" t="n">
        <v>45905</v>
      </c>
      <c r="C546" s="1" t="n">
        <v>45975</v>
      </c>
      <c r="D546" t="inlineStr">
        <is>
          <t>ÖSTERGÖTLANDS LÄN</t>
        </is>
      </c>
      <c r="E546" t="inlineStr">
        <is>
          <t>LINKÖPING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42626-2025</t>
        </is>
      </c>
      <c r="B547" s="1" t="n">
        <v>45905</v>
      </c>
      <c r="C547" s="1" t="n">
        <v>45975</v>
      </c>
      <c r="D547" t="inlineStr">
        <is>
          <t>ÖSTERGÖTLANDS LÄN</t>
        </is>
      </c>
      <c r="E547" t="inlineStr">
        <is>
          <t>LINKÖPING</t>
        </is>
      </c>
      <c r="G547" t="n">
        <v>3.6</v>
      </c>
      <c r="H547" t="n">
        <v>0</v>
      </c>
      <c r="I547" t="n">
        <v>0</v>
      </c>
      <c r="J547" t="n">
        <v>0</v>
      </c>
      <c r="K547" t="n">
        <v>0</v>
      </c>
      <c r="L547" t="n">
        <v>0</v>
      </c>
      <c r="M547" t="n">
        <v>0</v>
      </c>
      <c r="N547" t="n">
        <v>0</v>
      </c>
      <c r="O547" t="n">
        <v>0</v>
      </c>
      <c r="P547" t="n">
        <v>0</v>
      </c>
      <c r="Q547" t="n">
        <v>0</v>
      </c>
      <c r="R547" s="2" t="inlineStr"/>
    </row>
    <row r="548" ht="15" customHeight="1">
      <c r="A548" t="inlineStr">
        <is>
          <t>A 10253-2022</t>
        </is>
      </c>
      <c r="B548" s="1" t="n">
        <v>44622</v>
      </c>
      <c r="C548" s="1" t="n">
        <v>45975</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59954-2020</t>
        </is>
      </c>
      <c r="B549" s="1" t="n">
        <v>44151</v>
      </c>
      <c r="C549" s="1" t="n">
        <v>45975</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59969-2020</t>
        </is>
      </c>
      <c r="B550" s="1" t="n">
        <v>44151</v>
      </c>
      <c r="C550" s="1" t="n">
        <v>45975</v>
      </c>
      <c r="D550" t="inlineStr">
        <is>
          <t>ÖSTERGÖTLANDS LÄN</t>
        </is>
      </c>
      <c r="E550" t="inlineStr">
        <is>
          <t>LINKÖPING</t>
        </is>
      </c>
      <c r="G550" t="n">
        <v>2.2</v>
      </c>
      <c r="H550" t="n">
        <v>0</v>
      </c>
      <c r="I550" t="n">
        <v>0</v>
      </c>
      <c r="J550" t="n">
        <v>0</v>
      </c>
      <c r="K550" t="n">
        <v>0</v>
      </c>
      <c r="L550" t="n">
        <v>0</v>
      </c>
      <c r="M550" t="n">
        <v>0</v>
      </c>
      <c r="N550" t="n">
        <v>0</v>
      </c>
      <c r="O550" t="n">
        <v>0</v>
      </c>
      <c r="P550" t="n">
        <v>0</v>
      </c>
      <c r="Q550" t="n">
        <v>0</v>
      </c>
      <c r="R550" s="2" t="inlineStr"/>
    </row>
    <row r="551" ht="15" customHeight="1">
      <c r="A551" t="inlineStr">
        <is>
          <t>A 12289-2025</t>
        </is>
      </c>
      <c r="B551" s="1" t="n">
        <v>45729</v>
      </c>
      <c r="C551" s="1" t="n">
        <v>45975</v>
      </c>
      <c r="D551" t="inlineStr">
        <is>
          <t>ÖSTERGÖTLANDS LÄN</t>
        </is>
      </c>
      <c r="E551" t="inlineStr">
        <is>
          <t>LINKÖPING</t>
        </is>
      </c>
      <c r="F551" t="inlineStr">
        <is>
          <t>Övriga statliga verk och myndigheter</t>
        </is>
      </c>
      <c r="G551" t="n">
        <v>6.5</v>
      </c>
      <c r="H551" t="n">
        <v>0</v>
      </c>
      <c r="I551" t="n">
        <v>0</v>
      </c>
      <c r="J551" t="n">
        <v>0</v>
      </c>
      <c r="K551" t="n">
        <v>0</v>
      </c>
      <c r="L551" t="n">
        <v>0</v>
      </c>
      <c r="M551" t="n">
        <v>0</v>
      </c>
      <c r="N551" t="n">
        <v>0</v>
      </c>
      <c r="O551" t="n">
        <v>0</v>
      </c>
      <c r="P551" t="n">
        <v>0</v>
      </c>
      <c r="Q551" t="n">
        <v>0</v>
      </c>
      <c r="R551" s="2" t="inlineStr"/>
    </row>
    <row r="552" ht="15" customHeight="1">
      <c r="A552" t="inlineStr">
        <is>
          <t>A 36657-2023</t>
        </is>
      </c>
      <c r="B552" s="1" t="n">
        <v>45153.5702662037</v>
      </c>
      <c r="C552" s="1" t="n">
        <v>45975</v>
      </c>
      <c r="D552" t="inlineStr">
        <is>
          <t>ÖSTERGÖTLANDS LÄN</t>
        </is>
      </c>
      <c r="E552" t="inlineStr">
        <is>
          <t>LINKÖPING</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19169-2023</t>
        </is>
      </c>
      <c r="B553" s="1" t="n">
        <v>45044</v>
      </c>
      <c r="C553" s="1" t="n">
        <v>45975</v>
      </c>
      <c r="D553" t="inlineStr">
        <is>
          <t>ÖSTERGÖTLANDS LÄN</t>
        </is>
      </c>
      <c r="E553" t="inlineStr">
        <is>
          <t>LINKÖPING</t>
        </is>
      </c>
      <c r="G553" t="n">
        <v>2.7</v>
      </c>
      <c r="H553" t="n">
        <v>0</v>
      </c>
      <c r="I553" t="n">
        <v>0</v>
      </c>
      <c r="J553" t="n">
        <v>0</v>
      </c>
      <c r="K553" t="n">
        <v>0</v>
      </c>
      <c r="L553" t="n">
        <v>0</v>
      </c>
      <c r="M553" t="n">
        <v>0</v>
      </c>
      <c r="N553" t="n">
        <v>0</v>
      </c>
      <c r="O553" t="n">
        <v>0</v>
      </c>
      <c r="P553" t="n">
        <v>0</v>
      </c>
      <c r="Q553" t="n">
        <v>0</v>
      </c>
      <c r="R553" s="2" t="inlineStr"/>
    </row>
    <row r="554" ht="15" customHeight="1">
      <c r="A554" t="inlineStr">
        <is>
          <t>A 1209-2023</t>
        </is>
      </c>
      <c r="B554" s="1" t="n">
        <v>44930</v>
      </c>
      <c r="C554" s="1" t="n">
        <v>45975</v>
      </c>
      <c r="D554" t="inlineStr">
        <is>
          <t>ÖSTERGÖTLANDS LÄN</t>
        </is>
      </c>
      <c r="E554" t="inlineStr">
        <is>
          <t>LINKÖPING</t>
        </is>
      </c>
      <c r="F554" t="inlineStr">
        <is>
          <t>Övriga statliga verk och myndigheter</t>
        </is>
      </c>
      <c r="G554" t="n">
        <v>25.8</v>
      </c>
      <c r="H554" t="n">
        <v>0</v>
      </c>
      <c r="I554" t="n">
        <v>0</v>
      </c>
      <c r="J554" t="n">
        <v>0</v>
      </c>
      <c r="K554" t="n">
        <v>0</v>
      </c>
      <c r="L554" t="n">
        <v>0</v>
      </c>
      <c r="M554" t="n">
        <v>0</v>
      </c>
      <c r="N554" t="n">
        <v>0</v>
      </c>
      <c r="O554" t="n">
        <v>0</v>
      </c>
      <c r="P554" t="n">
        <v>0</v>
      </c>
      <c r="Q554" t="n">
        <v>0</v>
      </c>
      <c r="R554" s="2" t="inlineStr"/>
    </row>
    <row r="555" ht="15" customHeight="1">
      <c r="A555" t="inlineStr">
        <is>
          <t>A 62321-2022</t>
        </is>
      </c>
      <c r="B555" s="1" t="n">
        <v>44916</v>
      </c>
      <c r="C555" s="1" t="n">
        <v>45975</v>
      </c>
      <c r="D555" t="inlineStr">
        <is>
          <t>ÖSTERGÖTLANDS LÄN</t>
        </is>
      </c>
      <c r="E555" t="inlineStr">
        <is>
          <t>LINKÖPING</t>
        </is>
      </c>
      <c r="F555" t="inlineStr">
        <is>
          <t>Kommuner</t>
        </is>
      </c>
      <c r="G555" t="n">
        <v>5.3</v>
      </c>
      <c r="H555" t="n">
        <v>0</v>
      </c>
      <c r="I555" t="n">
        <v>0</v>
      </c>
      <c r="J555" t="n">
        <v>0</v>
      </c>
      <c r="K555" t="n">
        <v>0</v>
      </c>
      <c r="L555" t="n">
        <v>0</v>
      </c>
      <c r="M555" t="n">
        <v>0</v>
      </c>
      <c r="N555" t="n">
        <v>0</v>
      </c>
      <c r="O555" t="n">
        <v>0</v>
      </c>
      <c r="P555" t="n">
        <v>0</v>
      </c>
      <c r="Q555" t="n">
        <v>0</v>
      </c>
      <c r="R555" s="2" t="inlineStr"/>
    </row>
    <row r="556" ht="15" customHeight="1">
      <c r="A556" t="inlineStr">
        <is>
          <t>A 43475-2024</t>
        </is>
      </c>
      <c r="B556" s="1" t="n">
        <v>45568</v>
      </c>
      <c r="C556" s="1" t="n">
        <v>45975</v>
      </c>
      <c r="D556" t="inlineStr">
        <is>
          <t>ÖSTERGÖTLANDS LÄN</t>
        </is>
      </c>
      <c r="E556" t="inlineStr">
        <is>
          <t>LINKÖPING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51802-2025</t>
        </is>
      </c>
      <c r="B557" s="1" t="n">
        <v>45950</v>
      </c>
      <c r="C557" s="1" t="n">
        <v>45975</v>
      </c>
      <c r="D557" t="inlineStr">
        <is>
          <t>ÖSTERGÖTLANDS LÄN</t>
        </is>
      </c>
      <c r="E557" t="inlineStr">
        <is>
          <t>LINKÖPING</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28200-2025</t>
        </is>
      </c>
      <c r="B558" s="1" t="n">
        <v>45818.4428125</v>
      </c>
      <c r="C558" s="1" t="n">
        <v>45975</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17103-2025</t>
        </is>
      </c>
      <c r="B559" s="1" t="n">
        <v>45755.66143518518</v>
      </c>
      <c r="C559" s="1" t="n">
        <v>45975</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30551-2023</t>
        </is>
      </c>
      <c r="B560" s="1" t="n">
        <v>45111</v>
      </c>
      <c r="C560" s="1" t="n">
        <v>45975</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50784-2022</t>
        </is>
      </c>
      <c r="B561" s="1" t="n">
        <v>44862</v>
      </c>
      <c r="C561" s="1" t="n">
        <v>45975</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2085-2024</t>
        </is>
      </c>
      <c r="B562" s="1" t="n">
        <v>45309</v>
      </c>
      <c r="C562" s="1" t="n">
        <v>45975</v>
      </c>
      <c r="D562" t="inlineStr">
        <is>
          <t>ÖSTERGÖTLANDS LÄN</t>
        </is>
      </c>
      <c r="E562" t="inlineStr">
        <is>
          <t>LINKÖPING</t>
        </is>
      </c>
      <c r="G562" t="n">
        <v>4.5</v>
      </c>
      <c r="H562" t="n">
        <v>0</v>
      </c>
      <c r="I562" t="n">
        <v>0</v>
      </c>
      <c r="J562" t="n">
        <v>0</v>
      </c>
      <c r="K562" t="n">
        <v>0</v>
      </c>
      <c r="L562" t="n">
        <v>0</v>
      </c>
      <c r="M562" t="n">
        <v>0</v>
      </c>
      <c r="N562" t="n">
        <v>0</v>
      </c>
      <c r="O562" t="n">
        <v>0</v>
      </c>
      <c r="P562" t="n">
        <v>0</v>
      </c>
      <c r="Q562" t="n">
        <v>0</v>
      </c>
      <c r="R562" s="2" t="inlineStr"/>
    </row>
    <row r="563" ht="15" customHeight="1">
      <c r="A563" t="inlineStr">
        <is>
          <t>A 22043-2023</t>
        </is>
      </c>
      <c r="B563" s="1" t="n">
        <v>45069.39050925926</v>
      </c>
      <c r="C563" s="1" t="n">
        <v>45975</v>
      </c>
      <c r="D563" t="inlineStr">
        <is>
          <t>ÖSTERGÖTLANDS LÄN</t>
        </is>
      </c>
      <c r="E563" t="inlineStr">
        <is>
          <t>LINKÖPING</t>
        </is>
      </c>
      <c r="G563" t="n">
        <v>5.9</v>
      </c>
      <c r="H563" t="n">
        <v>0</v>
      </c>
      <c r="I563" t="n">
        <v>0</v>
      </c>
      <c r="J563" t="n">
        <v>0</v>
      </c>
      <c r="K563" t="n">
        <v>0</v>
      </c>
      <c r="L563" t="n">
        <v>0</v>
      </c>
      <c r="M563" t="n">
        <v>0</v>
      </c>
      <c r="N563" t="n">
        <v>0</v>
      </c>
      <c r="O563" t="n">
        <v>0</v>
      </c>
      <c r="P563" t="n">
        <v>0</v>
      </c>
      <c r="Q563" t="n">
        <v>0</v>
      </c>
      <c r="R563" s="2" t="inlineStr"/>
    </row>
    <row r="564" ht="15" customHeight="1">
      <c r="A564" t="inlineStr">
        <is>
          <t>A 27950-2025</t>
        </is>
      </c>
      <c r="B564" s="1" t="n">
        <v>45817.52960648148</v>
      </c>
      <c r="C564" s="1" t="n">
        <v>45975</v>
      </c>
      <c r="D564" t="inlineStr">
        <is>
          <t>ÖSTERGÖTLANDS LÄN</t>
        </is>
      </c>
      <c r="E564" t="inlineStr">
        <is>
          <t>LINKÖPING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27797-2025</t>
        </is>
      </c>
      <c r="B565" s="1" t="n">
        <v>45816.80521990741</v>
      </c>
      <c r="C565" s="1" t="n">
        <v>45975</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27798-2025</t>
        </is>
      </c>
      <c r="B566" s="1" t="n">
        <v>45816.81532407407</v>
      </c>
      <c r="C566" s="1" t="n">
        <v>45975</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49656-2021</t>
        </is>
      </c>
      <c r="B567" s="1" t="n">
        <v>44454</v>
      </c>
      <c r="C567" s="1" t="n">
        <v>45975</v>
      </c>
      <c r="D567" t="inlineStr">
        <is>
          <t>ÖSTERGÖTLANDS LÄN</t>
        </is>
      </c>
      <c r="E567" t="inlineStr">
        <is>
          <t>LINKÖPING</t>
        </is>
      </c>
      <c r="G567" t="n">
        <v>2.3</v>
      </c>
      <c r="H567" t="n">
        <v>0</v>
      </c>
      <c r="I567" t="n">
        <v>0</v>
      </c>
      <c r="J567" t="n">
        <v>0</v>
      </c>
      <c r="K567" t="n">
        <v>0</v>
      </c>
      <c r="L567" t="n">
        <v>0</v>
      </c>
      <c r="M567" t="n">
        <v>0</v>
      </c>
      <c r="N567" t="n">
        <v>0</v>
      </c>
      <c r="O567" t="n">
        <v>0</v>
      </c>
      <c r="P567" t="n">
        <v>0</v>
      </c>
      <c r="Q567" t="n">
        <v>0</v>
      </c>
      <c r="R567" s="2" t="inlineStr"/>
    </row>
    <row r="568" ht="15" customHeight="1">
      <c r="A568" t="inlineStr">
        <is>
          <t>A 52111-2025</t>
        </is>
      </c>
      <c r="B568" s="1" t="n">
        <v>45952.69527777778</v>
      </c>
      <c r="C568" s="1" t="n">
        <v>45975</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28209-2025</t>
        </is>
      </c>
      <c r="B569" s="1" t="n">
        <v>45818.45112268518</v>
      </c>
      <c r="C569" s="1" t="n">
        <v>45975</v>
      </c>
      <c r="D569" t="inlineStr">
        <is>
          <t>ÖSTERGÖTLANDS LÄN</t>
        </is>
      </c>
      <c r="E569" t="inlineStr">
        <is>
          <t>LINKÖPING</t>
        </is>
      </c>
      <c r="G569" t="n">
        <v>4.2</v>
      </c>
      <c r="H569" t="n">
        <v>0</v>
      </c>
      <c r="I569" t="n">
        <v>0</v>
      </c>
      <c r="J569" t="n">
        <v>0</v>
      </c>
      <c r="K569" t="n">
        <v>0</v>
      </c>
      <c r="L569" t="n">
        <v>0</v>
      </c>
      <c r="M569" t="n">
        <v>0</v>
      </c>
      <c r="N569" t="n">
        <v>0</v>
      </c>
      <c r="O569" t="n">
        <v>0</v>
      </c>
      <c r="P569" t="n">
        <v>0</v>
      </c>
      <c r="Q569" t="n">
        <v>0</v>
      </c>
      <c r="R569" s="2" t="inlineStr"/>
    </row>
    <row r="570" ht="15" customHeight="1">
      <c r="A570" t="inlineStr">
        <is>
          <t>A 28204-2025</t>
        </is>
      </c>
      <c r="B570" s="1" t="n">
        <v>45818.4477662037</v>
      </c>
      <c r="C570" s="1" t="n">
        <v>45975</v>
      </c>
      <c r="D570" t="inlineStr">
        <is>
          <t>ÖSTERGÖTLANDS LÄN</t>
        </is>
      </c>
      <c r="E570" t="inlineStr">
        <is>
          <t>LINKÖPING</t>
        </is>
      </c>
      <c r="G570" t="n">
        <v>2.9</v>
      </c>
      <c r="H570" t="n">
        <v>0</v>
      </c>
      <c r="I570" t="n">
        <v>0</v>
      </c>
      <c r="J570" t="n">
        <v>0</v>
      </c>
      <c r="K570" t="n">
        <v>0</v>
      </c>
      <c r="L570" t="n">
        <v>0</v>
      </c>
      <c r="M570" t="n">
        <v>0</v>
      </c>
      <c r="N570" t="n">
        <v>0</v>
      </c>
      <c r="O570" t="n">
        <v>0</v>
      </c>
      <c r="P570" t="n">
        <v>0</v>
      </c>
      <c r="Q570" t="n">
        <v>0</v>
      </c>
      <c r="R570" s="2" t="inlineStr"/>
    </row>
    <row r="571" ht="15" customHeight="1">
      <c r="A571" t="inlineStr">
        <is>
          <t>A 30465-2023</t>
        </is>
      </c>
      <c r="B571" s="1" t="n">
        <v>45111</v>
      </c>
      <c r="C571" s="1" t="n">
        <v>45975</v>
      </c>
      <c r="D571" t="inlineStr">
        <is>
          <t>ÖSTERGÖTLANDS LÄN</t>
        </is>
      </c>
      <c r="E571" t="inlineStr">
        <is>
          <t>LINKÖPING</t>
        </is>
      </c>
      <c r="F571" t="inlineStr">
        <is>
          <t>Övriga Aktiebolag</t>
        </is>
      </c>
      <c r="G571" t="n">
        <v>0.7</v>
      </c>
      <c r="H571" t="n">
        <v>0</v>
      </c>
      <c r="I571" t="n">
        <v>0</v>
      </c>
      <c r="J571" t="n">
        <v>0</v>
      </c>
      <c r="K571" t="n">
        <v>0</v>
      </c>
      <c r="L571" t="n">
        <v>0</v>
      </c>
      <c r="M571" t="n">
        <v>0</v>
      </c>
      <c r="N571" t="n">
        <v>0</v>
      </c>
      <c r="O571" t="n">
        <v>0</v>
      </c>
      <c r="P571" t="n">
        <v>0</v>
      </c>
      <c r="Q571" t="n">
        <v>0</v>
      </c>
      <c r="R571" s="2" t="inlineStr"/>
    </row>
    <row r="572" ht="15" customHeight="1">
      <c r="A572" t="inlineStr">
        <is>
          <t>A 28398-2025</t>
        </is>
      </c>
      <c r="B572" s="1" t="n">
        <v>45819.34208333334</v>
      </c>
      <c r="C572" s="1" t="n">
        <v>45975</v>
      </c>
      <c r="D572" t="inlineStr">
        <is>
          <t>ÖSTERGÖTLANDS LÄN</t>
        </is>
      </c>
      <c r="E572" t="inlineStr">
        <is>
          <t>LINKÖPING</t>
        </is>
      </c>
      <c r="F572" t="inlineStr">
        <is>
          <t>Sveaskog</t>
        </is>
      </c>
      <c r="G572" t="n">
        <v>7.9</v>
      </c>
      <c r="H572" t="n">
        <v>0</v>
      </c>
      <c r="I572" t="n">
        <v>0</v>
      </c>
      <c r="J572" t="n">
        <v>0</v>
      </c>
      <c r="K572" t="n">
        <v>0</v>
      </c>
      <c r="L572" t="n">
        <v>0</v>
      </c>
      <c r="M572" t="n">
        <v>0</v>
      </c>
      <c r="N572" t="n">
        <v>0</v>
      </c>
      <c r="O572" t="n">
        <v>0</v>
      </c>
      <c r="P572" t="n">
        <v>0</v>
      </c>
      <c r="Q572" t="n">
        <v>0</v>
      </c>
      <c r="R572" s="2" t="inlineStr"/>
    </row>
    <row r="573" ht="15" customHeight="1">
      <c r="A573" t="inlineStr">
        <is>
          <t>A 30521-2024</t>
        </is>
      </c>
      <c r="B573" s="1" t="n">
        <v>45492</v>
      </c>
      <c r="C573" s="1" t="n">
        <v>45975</v>
      </c>
      <c r="D573" t="inlineStr">
        <is>
          <t>ÖSTERGÖTLANDS LÄN</t>
        </is>
      </c>
      <c r="E573" t="inlineStr">
        <is>
          <t>LINKÖPING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28416-2025</t>
        </is>
      </c>
      <c r="B574" s="1" t="n">
        <v>45819.35346064815</v>
      </c>
      <c r="C574" s="1" t="n">
        <v>45975</v>
      </c>
      <c r="D574" t="inlineStr">
        <is>
          <t>ÖSTERGÖTLANDS LÄN</t>
        </is>
      </c>
      <c r="E574" t="inlineStr">
        <is>
          <t>LINKÖPING</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48-2024</t>
        </is>
      </c>
      <c r="B575" s="1" t="n">
        <v>45293</v>
      </c>
      <c r="C575" s="1" t="n">
        <v>45975</v>
      </c>
      <c r="D575" t="inlineStr">
        <is>
          <t>ÖSTERGÖTLANDS LÄN</t>
        </is>
      </c>
      <c r="E575" t="inlineStr">
        <is>
          <t>LINKÖPING</t>
        </is>
      </c>
      <c r="G575" t="n">
        <v>4.6</v>
      </c>
      <c r="H575" t="n">
        <v>0</v>
      </c>
      <c r="I575" t="n">
        <v>0</v>
      </c>
      <c r="J575" t="n">
        <v>0</v>
      </c>
      <c r="K575" t="n">
        <v>0</v>
      </c>
      <c r="L575" t="n">
        <v>0</v>
      </c>
      <c r="M575" t="n">
        <v>0</v>
      </c>
      <c r="N575" t="n">
        <v>0</v>
      </c>
      <c r="O575" t="n">
        <v>0</v>
      </c>
      <c r="P575" t="n">
        <v>0</v>
      </c>
      <c r="Q575" t="n">
        <v>0</v>
      </c>
      <c r="R575" s="2" t="inlineStr"/>
    </row>
    <row r="576" ht="15" customHeight="1">
      <c r="A576" t="inlineStr">
        <is>
          <t>A 40618-2021</t>
        </is>
      </c>
      <c r="B576" s="1" t="n">
        <v>44420.49575231481</v>
      </c>
      <c r="C576" s="1" t="n">
        <v>45975</v>
      </c>
      <c r="D576" t="inlineStr">
        <is>
          <t>ÖSTERGÖTLANDS LÄN</t>
        </is>
      </c>
      <c r="E576" t="inlineStr">
        <is>
          <t>LINKÖPING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29027-2025</t>
        </is>
      </c>
      <c r="B577" s="1" t="n">
        <v>45821.4375462963</v>
      </c>
      <c r="C577" s="1" t="n">
        <v>45975</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62374-2020</t>
        </is>
      </c>
      <c r="B578" s="1" t="n">
        <v>44159</v>
      </c>
      <c r="C578" s="1" t="n">
        <v>45975</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23735-2023</t>
        </is>
      </c>
      <c r="B579" s="1" t="n">
        <v>45077</v>
      </c>
      <c r="C579" s="1" t="n">
        <v>45975</v>
      </c>
      <c r="D579" t="inlineStr">
        <is>
          <t>ÖSTERGÖTLANDS LÄN</t>
        </is>
      </c>
      <c r="E579" t="inlineStr">
        <is>
          <t>LINKÖPING</t>
        </is>
      </c>
      <c r="G579" t="n">
        <v>1.7</v>
      </c>
      <c r="H579" t="n">
        <v>0</v>
      </c>
      <c r="I579" t="n">
        <v>0</v>
      </c>
      <c r="J579" t="n">
        <v>0</v>
      </c>
      <c r="K579" t="n">
        <v>0</v>
      </c>
      <c r="L579" t="n">
        <v>0</v>
      </c>
      <c r="M579" t="n">
        <v>0</v>
      </c>
      <c r="N579" t="n">
        <v>0</v>
      </c>
      <c r="O579" t="n">
        <v>0</v>
      </c>
      <c r="P579" t="n">
        <v>0</v>
      </c>
      <c r="Q579" t="n">
        <v>0</v>
      </c>
      <c r="R579" s="2" t="inlineStr"/>
    </row>
    <row r="580" ht="15" customHeight="1">
      <c r="A580" t="inlineStr">
        <is>
          <t>A 29393-2025</t>
        </is>
      </c>
      <c r="B580" s="1" t="n">
        <v>45824.6057175926</v>
      </c>
      <c r="C580" s="1" t="n">
        <v>45975</v>
      </c>
      <c r="D580" t="inlineStr">
        <is>
          <t>ÖSTERGÖTLANDS LÄN</t>
        </is>
      </c>
      <c r="E580" t="inlineStr">
        <is>
          <t>LINKÖPING</t>
        </is>
      </c>
      <c r="F580" t="inlineStr">
        <is>
          <t>Sveaskog</t>
        </is>
      </c>
      <c r="G580" t="n">
        <v>24.6</v>
      </c>
      <c r="H580" t="n">
        <v>0</v>
      </c>
      <c r="I580" t="n">
        <v>0</v>
      </c>
      <c r="J580" t="n">
        <v>0</v>
      </c>
      <c r="K580" t="n">
        <v>0</v>
      </c>
      <c r="L580" t="n">
        <v>0</v>
      </c>
      <c r="M580" t="n">
        <v>0</v>
      </c>
      <c r="N580" t="n">
        <v>0</v>
      </c>
      <c r="O580" t="n">
        <v>0</v>
      </c>
      <c r="P580" t="n">
        <v>0</v>
      </c>
      <c r="Q580" t="n">
        <v>0</v>
      </c>
      <c r="R580" s="2" t="inlineStr"/>
    </row>
    <row r="581" ht="15" customHeight="1">
      <c r="A581" t="inlineStr">
        <is>
          <t>A 350-2022</t>
        </is>
      </c>
      <c r="B581" s="1" t="n">
        <v>44565</v>
      </c>
      <c r="C581" s="1" t="n">
        <v>45975</v>
      </c>
      <c r="D581" t="inlineStr">
        <is>
          <t>ÖSTERGÖTLANDS LÄN</t>
        </is>
      </c>
      <c r="E581" t="inlineStr">
        <is>
          <t>LINKÖPING</t>
        </is>
      </c>
      <c r="G581" t="n">
        <v>1.2</v>
      </c>
      <c r="H581" t="n">
        <v>0</v>
      </c>
      <c r="I581" t="n">
        <v>0</v>
      </c>
      <c r="J581" t="n">
        <v>0</v>
      </c>
      <c r="K581" t="n">
        <v>0</v>
      </c>
      <c r="L581" t="n">
        <v>0</v>
      </c>
      <c r="M581" t="n">
        <v>0</v>
      </c>
      <c r="N581" t="n">
        <v>0</v>
      </c>
      <c r="O581" t="n">
        <v>0</v>
      </c>
      <c r="P581" t="n">
        <v>0</v>
      </c>
      <c r="Q581" t="n">
        <v>0</v>
      </c>
      <c r="R581" s="2" t="inlineStr"/>
    </row>
    <row r="582" ht="15" customHeight="1">
      <c r="A582" t="inlineStr">
        <is>
          <t>A 4256-2022</t>
        </is>
      </c>
      <c r="B582" s="1" t="n">
        <v>44588</v>
      </c>
      <c r="C582" s="1" t="n">
        <v>45975</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29411-2025</t>
        </is>
      </c>
      <c r="B583" s="1" t="n">
        <v>45824.6219212963</v>
      </c>
      <c r="C583" s="1" t="n">
        <v>45975</v>
      </c>
      <c r="D583" t="inlineStr">
        <is>
          <t>ÖSTERGÖTLANDS LÄN</t>
        </is>
      </c>
      <c r="E583" t="inlineStr">
        <is>
          <t>LINKÖPING</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25948-2023</t>
        </is>
      </c>
      <c r="B584" s="1" t="n">
        <v>45090</v>
      </c>
      <c r="C584" s="1" t="n">
        <v>45975</v>
      </c>
      <c r="D584" t="inlineStr">
        <is>
          <t>ÖSTERGÖTLANDS LÄN</t>
        </is>
      </c>
      <c r="E584" t="inlineStr">
        <is>
          <t>LINKÖPING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43755-2025</t>
        </is>
      </c>
      <c r="B585" s="1" t="n">
        <v>45912.47329861111</v>
      </c>
      <c r="C585" s="1" t="n">
        <v>45975</v>
      </c>
      <c r="D585" t="inlineStr">
        <is>
          <t>ÖSTERGÖTLANDS LÄN</t>
        </is>
      </c>
      <c r="E585" t="inlineStr">
        <is>
          <t>LINKÖPING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56560-2023</t>
        </is>
      </c>
      <c r="B586" s="1" t="n">
        <v>45238</v>
      </c>
      <c r="C586" s="1" t="n">
        <v>45975</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43753-2025</t>
        </is>
      </c>
      <c r="B587" s="1" t="n">
        <v>45912.4715625</v>
      </c>
      <c r="C587" s="1" t="n">
        <v>45975</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43758-2025</t>
        </is>
      </c>
      <c r="B588" s="1" t="n">
        <v>45912.47711805555</v>
      </c>
      <c r="C588" s="1" t="n">
        <v>45975</v>
      </c>
      <c r="D588" t="inlineStr">
        <is>
          <t>ÖSTERGÖTLANDS LÄN</t>
        </is>
      </c>
      <c r="E588" t="inlineStr">
        <is>
          <t>LINKÖPING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29599-2025</t>
        </is>
      </c>
      <c r="B589" s="1" t="n">
        <v>45825.41101851852</v>
      </c>
      <c r="C589" s="1" t="n">
        <v>45975</v>
      </c>
      <c r="D589" t="inlineStr">
        <is>
          <t>ÖSTERGÖTLANDS LÄN</t>
        </is>
      </c>
      <c r="E589" t="inlineStr">
        <is>
          <t>LINKÖPING</t>
        </is>
      </c>
      <c r="G589" t="n">
        <v>0.9</v>
      </c>
      <c r="H589" t="n">
        <v>0</v>
      </c>
      <c r="I589" t="n">
        <v>0</v>
      </c>
      <c r="J589" t="n">
        <v>0</v>
      </c>
      <c r="K589" t="n">
        <v>0</v>
      </c>
      <c r="L589" t="n">
        <v>0</v>
      </c>
      <c r="M589" t="n">
        <v>0</v>
      </c>
      <c r="N589" t="n">
        <v>0</v>
      </c>
      <c r="O589" t="n">
        <v>0</v>
      </c>
      <c r="P589" t="n">
        <v>0</v>
      </c>
      <c r="Q589" t="n">
        <v>0</v>
      </c>
      <c r="R589" s="2" t="inlineStr"/>
    </row>
    <row r="590" ht="15" customHeight="1">
      <c r="A590" t="inlineStr">
        <is>
          <t>A 19132-2023</t>
        </is>
      </c>
      <c r="B590" s="1" t="n">
        <v>45048.54754629629</v>
      </c>
      <c r="C590" s="1" t="n">
        <v>45975</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33867-2023</t>
        </is>
      </c>
      <c r="B591" s="1" t="n">
        <v>45133.94640046296</v>
      </c>
      <c r="C591" s="1" t="n">
        <v>45975</v>
      </c>
      <c r="D591" t="inlineStr">
        <is>
          <t>ÖSTERGÖTLANDS LÄN</t>
        </is>
      </c>
      <c r="E591" t="inlineStr">
        <is>
          <t>LINKÖPING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44170-2025</t>
        </is>
      </c>
      <c r="B592" s="1" t="n">
        <v>45915.59864583334</v>
      </c>
      <c r="C592" s="1" t="n">
        <v>45975</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52412-2023</t>
        </is>
      </c>
      <c r="B593" s="1" t="n">
        <v>45225.27888888889</v>
      </c>
      <c r="C593" s="1" t="n">
        <v>45975</v>
      </c>
      <c r="D593" t="inlineStr">
        <is>
          <t>ÖSTERGÖTLANDS LÄN</t>
        </is>
      </c>
      <c r="E593" t="inlineStr">
        <is>
          <t>LINKÖPING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62492-2023</t>
        </is>
      </c>
      <c r="B594" s="1" t="n">
        <v>45268.58987268519</v>
      </c>
      <c r="C594" s="1" t="n">
        <v>45975</v>
      </c>
      <c r="D594" t="inlineStr">
        <is>
          <t>ÖSTERGÖTLANDS LÄN</t>
        </is>
      </c>
      <c r="E594" t="inlineStr">
        <is>
          <t>LINKÖPING</t>
        </is>
      </c>
      <c r="G594" t="n">
        <v>1.8</v>
      </c>
      <c r="H594" t="n">
        <v>0</v>
      </c>
      <c r="I594" t="n">
        <v>0</v>
      </c>
      <c r="J594" t="n">
        <v>0</v>
      </c>
      <c r="K594" t="n">
        <v>0</v>
      </c>
      <c r="L594" t="n">
        <v>0</v>
      </c>
      <c r="M594" t="n">
        <v>0</v>
      </c>
      <c r="N594" t="n">
        <v>0</v>
      </c>
      <c r="O594" t="n">
        <v>0</v>
      </c>
      <c r="P594" t="n">
        <v>0</v>
      </c>
      <c r="Q594" t="n">
        <v>0</v>
      </c>
      <c r="R594" s="2" t="inlineStr"/>
    </row>
    <row r="595" ht="15" customHeight="1">
      <c r="A595" t="inlineStr">
        <is>
          <t>A 52740-2025</t>
        </is>
      </c>
      <c r="B595" s="1" t="n">
        <v>45957.37747685185</v>
      </c>
      <c r="C595" s="1" t="n">
        <v>45975</v>
      </c>
      <c r="D595" t="inlineStr">
        <is>
          <t>ÖSTERGÖTLANDS LÄN</t>
        </is>
      </c>
      <c r="E595" t="inlineStr">
        <is>
          <t>LINKÖPING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38230-2023</t>
        </is>
      </c>
      <c r="B596" s="1" t="n">
        <v>45161.55373842592</v>
      </c>
      <c r="C596" s="1" t="n">
        <v>45975</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56756-2023</t>
        </is>
      </c>
      <c r="B597" s="1" t="n">
        <v>45244</v>
      </c>
      <c r="C597" s="1" t="n">
        <v>45975</v>
      </c>
      <c r="D597" t="inlineStr">
        <is>
          <t>ÖSTERGÖTLANDS LÄN</t>
        </is>
      </c>
      <c r="E597" t="inlineStr">
        <is>
          <t>LINKÖPING</t>
        </is>
      </c>
      <c r="F597" t="inlineStr">
        <is>
          <t>Övriga Aktiebolag</t>
        </is>
      </c>
      <c r="G597" t="n">
        <v>0.8</v>
      </c>
      <c r="H597" t="n">
        <v>0</v>
      </c>
      <c r="I597" t="n">
        <v>0</v>
      </c>
      <c r="J597" t="n">
        <v>0</v>
      </c>
      <c r="K597" t="n">
        <v>0</v>
      </c>
      <c r="L597" t="n">
        <v>0</v>
      </c>
      <c r="M597" t="n">
        <v>0</v>
      </c>
      <c r="N597" t="n">
        <v>0</v>
      </c>
      <c r="O597" t="n">
        <v>0</v>
      </c>
      <c r="P597" t="n">
        <v>0</v>
      </c>
      <c r="Q597" t="n">
        <v>0</v>
      </c>
      <c r="R597" s="2" t="inlineStr"/>
    </row>
    <row r="598" ht="15" customHeight="1">
      <c r="A598" t="inlineStr">
        <is>
          <t>A 52743-2025</t>
        </is>
      </c>
      <c r="B598" s="1" t="n">
        <v>45957.38039351852</v>
      </c>
      <c r="C598" s="1" t="n">
        <v>45975</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38886-2024</t>
        </is>
      </c>
      <c r="B599" s="1" t="n">
        <v>45547.66443287037</v>
      </c>
      <c r="C599" s="1" t="n">
        <v>45975</v>
      </c>
      <c r="D599" t="inlineStr">
        <is>
          <t>ÖSTERGÖTLANDS LÄN</t>
        </is>
      </c>
      <c r="E599" t="inlineStr">
        <is>
          <t>LINKÖPING</t>
        </is>
      </c>
      <c r="G599" t="n">
        <v>5.3</v>
      </c>
      <c r="H599" t="n">
        <v>0</v>
      </c>
      <c r="I599" t="n">
        <v>0</v>
      </c>
      <c r="J599" t="n">
        <v>0</v>
      </c>
      <c r="K599" t="n">
        <v>0</v>
      </c>
      <c r="L599" t="n">
        <v>0</v>
      </c>
      <c r="M599" t="n">
        <v>0</v>
      </c>
      <c r="N599" t="n">
        <v>0</v>
      </c>
      <c r="O599" t="n">
        <v>0</v>
      </c>
      <c r="P599" t="n">
        <v>0</v>
      </c>
      <c r="Q599" t="n">
        <v>0</v>
      </c>
      <c r="R599" s="2" t="inlineStr"/>
    </row>
    <row r="600" ht="15" customHeight="1">
      <c r="A600" t="inlineStr">
        <is>
          <t>A 11590-2023</t>
        </is>
      </c>
      <c r="B600" s="1" t="n">
        <v>44994.36689814815</v>
      </c>
      <c r="C600" s="1" t="n">
        <v>45975</v>
      </c>
      <c r="D600" t="inlineStr">
        <is>
          <t>ÖSTERGÖTLANDS LÄN</t>
        </is>
      </c>
      <c r="E600" t="inlineStr">
        <is>
          <t>LINKÖPING</t>
        </is>
      </c>
      <c r="G600" t="n">
        <v>3.1</v>
      </c>
      <c r="H600" t="n">
        <v>0</v>
      </c>
      <c r="I600" t="n">
        <v>0</v>
      </c>
      <c r="J600" t="n">
        <v>0</v>
      </c>
      <c r="K600" t="n">
        <v>0</v>
      </c>
      <c r="L600" t="n">
        <v>0</v>
      </c>
      <c r="M600" t="n">
        <v>0</v>
      </c>
      <c r="N600" t="n">
        <v>0</v>
      </c>
      <c r="O600" t="n">
        <v>0</v>
      </c>
      <c r="P600" t="n">
        <v>0</v>
      </c>
      <c r="Q600" t="n">
        <v>0</v>
      </c>
      <c r="R600" s="2" t="inlineStr"/>
    </row>
    <row r="601" ht="15" customHeight="1">
      <c r="A601" t="inlineStr">
        <is>
          <t>A 10461-2023</t>
        </is>
      </c>
      <c r="B601" s="1" t="n">
        <v>44987.5969212963</v>
      </c>
      <c r="C601" s="1" t="n">
        <v>45975</v>
      </c>
      <c r="D601" t="inlineStr">
        <is>
          <t>ÖSTERGÖTLANDS LÄN</t>
        </is>
      </c>
      <c r="E601" t="inlineStr">
        <is>
          <t>LINKÖPING</t>
        </is>
      </c>
      <c r="G601" t="n">
        <v>7.8</v>
      </c>
      <c r="H601" t="n">
        <v>0</v>
      </c>
      <c r="I601" t="n">
        <v>0</v>
      </c>
      <c r="J601" t="n">
        <v>0</v>
      </c>
      <c r="K601" t="n">
        <v>0</v>
      </c>
      <c r="L601" t="n">
        <v>0</v>
      </c>
      <c r="M601" t="n">
        <v>0</v>
      </c>
      <c r="N601" t="n">
        <v>0</v>
      </c>
      <c r="O601" t="n">
        <v>0</v>
      </c>
      <c r="P601" t="n">
        <v>0</v>
      </c>
      <c r="Q601" t="n">
        <v>0</v>
      </c>
      <c r="R601" s="2" t="inlineStr"/>
    </row>
    <row r="602" ht="15" customHeight="1">
      <c r="A602" t="inlineStr">
        <is>
          <t>A 41345-2021</t>
        </is>
      </c>
      <c r="B602" s="1" t="n">
        <v>44424.61851851852</v>
      </c>
      <c r="C602" s="1" t="n">
        <v>45975</v>
      </c>
      <c r="D602" t="inlineStr">
        <is>
          <t>ÖSTERGÖTLANDS LÄN</t>
        </is>
      </c>
      <c r="E602" t="inlineStr">
        <is>
          <t>LINKÖPING</t>
        </is>
      </c>
      <c r="F602" t="inlineStr">
        <is>
          <t>Sveaskog</t>
        </is>
      </c>
      <c r="G602" t="n">
        <v>6.3</v>
      </c>
      <c r="H602" t="n">
        <v>0</v>
      </c>
      <c r="I602" t="n">
        <v>0</v>
      </c>
      <c r="J602" t="n">
        <v>0</v>
      </c>
      <c r="K602" t="n">
        <v>0</v>
      </c>
      <c r="L602" t="n">
        <v>0</v>
      </c>
      <c r="M602" t="n">
        <v>0</v>
      </c>
      <c r="N602" t="n">
        <v>0</v>
      </c>
      <c r="O602" t="n">
        <v>0</v>
      </c>
      <c r="P602" t="n">
        <v>0</v>
      </c>
      <c r="Q602" t="n">
        <v>0</v>
      </c>
      <c r="R602" s="2" t="inlineStr"/>
    </row>
    <row r="603" ht="15" customHeight="1">
      <c r="A603" t="inlineStr">
        <is>
          <t>A 67129-2020</t>
        </is>
      </c>
      <c r="B603" s="1" t="n">
        <v>44180</v>
      </c>
      <c r="C603" s="1" t="n">
        <v>45975</v>
      </c>
      <c r="D603" t="inlineStr">
        <is>
          <t>ÖSTERGÖTLANDS LÄN</t>
        </is>
      </c>
      <c r="E603" t="inlineStr">
        <is>
          <t>LINKÖPING</t>
        </is>
      </c>
      <c r="F603" t="inlineStr">
        <is>
          <t>Övriga statliga verk och myndigheter</t>
        </is>
      </c>
      <c r="G603" t="n">
        <v>2.7</v>
      </c>
      <c r="H603" t="n">
        <v>0</v>
      </c>
      <c r="I603" t="n">
        <v>0</v>
      </c>
      <c r="J603" t="n">
        <v>0</v>
      </c>
      <c r="K603" t="n">
        <v>0</v>
      </c>
      <c r="L603" t="n">
        <v>0</v>
      </c>
      <c r="M603" t="n">
        <v>0</v>
      </c>
      <c r="N603" t="n">
        <v>0</v>
      </c>
      <c r="O603" t="n">
        <v>0</v>
      </c>
      <c r="P603" t="n">
        <v>0</v>
      </c>
      <c r="Q603" t="n">
        <v>0</v>
      </c>
      <c r="R603" s="2" t="inlineStr"/>
    </row>
    <row r="604" ht="15" customHeight="1">
      <c r="A604" t="inlineStr">
        <is>
          <t>A 52807-2025</t>
        </is>
      </c>
      <c r="B604" s="1" t="n">
        <v>45957.44837962963</v>
      </c>
      <c r="C604" s="1" t="n">
        <v>45975</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61307-2021</t>
        </is>
      </c>
      <c r="B605" s="1" t="n">
        <v>44498.63928240741</v>
      </c>
      <c r="C605" s="1" t="n">
        <v>45975</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61325-2021</t>
        </is>
      </c>
      <c r="B606" s="1" t="n">
        <v>44498.66814814815</v>
      </c>
      <c r="C606" s="1" t="n">
        <v>45975</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60010-2022</t>
        </is>
      </c>
      <c r="B607" s="1" t="n">
        <v>44909.4740625</v>
      </c>
      <c r="C607" s="1" t="n">
        <v>45975</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52800-2025</t>
        </is>
      </c>
      <c r="B608" s="1" t="n">
        <v>45957.44152777778</v>
      </c>
      <c r="C608" s="1" t="n">
        <v>45975</v>
      </c>
      <c r="D608" t="inlineStr">
        <is>
          <t>ÖSTERGÖTLANDS LÄN</t>
        </is>
      </c>
      <c r="E608" t="inlineStr">
        <is>
          <t>LINKÖPING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24462-2023</t>
        </is>
      </c>
      <c r="B609" s="1" t="n">
        <v>45082</v>
      </c>
      <c r="C609" s="1" t="n">
        <v>45975</v>
      </c>
      <c r="D609" t="inlineStr">
        <is>
          <t>ÖSTERGÖTLANDS LÄN</t>
        </is>
      </c>
      <c r="E609" t="inlineStr">
        <is>
          <t>LINKÖPING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30355-2025</t>
        </is>
      </c>
      <c r="B610" s="1" t="n">
        <v>45827</v>
      </c>
      <c r="C610" s="1" t="n">
        <v>45975</v>
      </c>
      <c r="D610" t="inlineStr">
        <is>
          <t>ÖSTERGÖTLANDS LÄN</t>
        </is>
      </c>
      <c r="E610" t="inlineStr">
        <is>
          <t>LINKÖPING</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30353-2025</t>
        </is>
      </c>
      <c r="B611" s="1" t="n">
        <v>45827</v>
      </c>
      <c r="C611" s="1" t="n">
        <v>45975</v>
      </c>
      <c r="D611" t="inlineStr">
        <is>
          <t>ÖSTERGÖTLANDS LÄN</t>
        </is>
      </c>
      <c r="E611" t="inlineStr">
        <is>
          <t>LINKÖPING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48829-2023</t>
        </is>
      </c>
      <c r="B612" s="1" t="n">
        <v>45209.38177083333</v>
      </c>
      <c r="C612" s="1" t="n">
        <v>45975</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30518-2024</t>
        </is>
      </c>
      <c r="B613" s="1" t="n">
        <v>45492</v>
      </c>
      <c r="C613" s="1" t="n">
        <v>45975</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52802-2025</t>
        </is>
      </c>
      <c r="B614" s="1" t="n">
        <v>45957.44295138889</v>
      </c>
      <c r="C614" s="1" t="n">
        <v>45975</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38231-2022</t>
        </is>
      </c>
      <c r="B615" s="1" t="n">
        <v>44812</v>
      </c>
      <c r="C615" s="1" t="n">
        <v>45975</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50799-2022</t>
        </is>
      </c>
      <c r="B616" s="1" t="n">
        <v>44862</v>
      </c>
      <c r="C616" s="1" t="n">
        <v>45975</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40431-2024</t>
        </is>
      </c>
      <c r="B617" s="1" t="n">
        <v>45555.47070601852</v>
      </c>
      <c r="C617" s="1" t="n">
        <v>45975</v>
      </c>
      <c r="D617" t="inlineStr">
        <is>
          <t>ÖSTERGÖTLANDS LÄN</t>
        </is>
      </c>
      <c r="E617" t="inlineStr">
        <is>
          <t>LINKÖPING</t>
        </is>
      </c>
      <c r="F617" t="inlineStr">
        <is>
          <t>Allmännings- och besparingsskogar</t>
        </is>
      </c>
      <c r="G617" t="n">
        <v>2.9</v>
      </c>
      <c r="H617" t="n">
        <v>0</v>
      </c>
      <c r="I617" t="n">
        <v>0</v>
      </c>
      <c r="J617" t="n">
        <v>0</v>
      </c>
      <c r="K617" t="n">
        <v>0</v>
      </c>
      <c r="L617" t="n">
        <v>0</v>
      </c>
      <c r="M617" t="n">
        <v>0</v>
      </c>
      <c r="N617" t="n">
        <v>0</v>
      </c>
      <c r="O617" t="n">
        <v>0</v>
      </c>
      <c r="P617" t="n">
        <v>0</v>
      </c>
      <c r="Q617" t="n">
        <v>0</v>
      </c>
      <c r="R617" s="2" t="inlineStr"/>
    </row>
    <row r="618" ht="15" customHeight="1">
      <c r="A618" t="inlineStr">
        <is>
          <t>A 267-2023</t>
        </is>
      </c>
      <c r="B618" s="1" t="n">
        <v>44928.80907407407</v>
      </c>
      <c r="C618" s="1" t="n">
        <v>45975</v>
      </c>
      <c r="D618" t="inlineStr">
        <is>
          <t>ÖSTERGÖTLANDS LÄN</t>
        </is>
      </c>
      <c r="E618" t="inlineStr">
        <is>
          <t>LINKÖPING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26618-2023</t>
        </is>
      </c>
      <c r="B619" s="1" t="n">
        <v>45092.70306712963</v>
      </c>
      <c r="C619" s="1" t="n">
        <v>45975</v>
      </c>
      <c r="D619" t="inlineStr">
        <is>
          <t>ÖSTERGÖTLANDS LÄN</t>
        </is>
      </c>
      <c r="E619" t="inlineStr">
        <is>
          <t>LINKÖPING</t>
        </is>
      </c>
      <c r="G619" t="n">
        <v>6.9</v>
      </c>
      <c r="H619" t="n">
        <v>0</v>
      </c>
      <c r="I619" t="n">
        <v>0</v>
      </c>
      <c r="J619" t="n">
        <v>0</v>
      </c>
      <c r="K619" t="n">
        <v>0</v>
      </c>
      <c r="L619" t="n">
        <v>0</v>
      </c>
      <c r="M619" t="n">
        <v>0</v>
      </c>
      <c r="N619" t="n">
        <v>0</v>
      </c>
      <c r="O619" t="n">
        <v>0</v>
      </c>
      <c r="P619" t="n">
        <v>0</v>
      </c>
      <c r="Q619" t="n">
        <v>0</v>
      </c>
      <c r="R619" s="2" t="inlineStr"/>
    </row>
    <row r="620" ht="15" customHeight="1">
      <c r="A620" t="inlineStr">
        <is>
          <t>A 4908-2023</t>
        </is>
      </c>
      <c r="B620" s="1" t="n">
        <v>44958</v>
      </c>
      <c r="C620" s="1" t="n">
        <v>45975</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63665-2023</t>
        </is>
      </c>
      <c r="B621" s="1" t="n">
        <v>45275</v>
      </c>
      <c r="C621" s="1" t="n">
        <v>45975</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37715-2022</t>
        </is>
      </c>
      <c r="B622" s="1" t="n">
        <v>44810</v>
      </c>
      <c r="C622" s="1" t="n">
        <v>45975</v>
      </c>
      <c r="D622" t="inlineStr">
        <is>
          <t>ÖSTERGÖTLANDS LÄN</t>
        </is>
      </c>
      <c r="E622" t="inlineStr">
        <is>
          <t>LINKÖPING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44759-2025</t>
        </is>
      </c>
      <c r="B623" s="1" t="n">
        <v>45917.7152662037</v>
      </c>
      <c r="C623" s="1" t="n">
        <v>45975</v>
      </c>
      <c r="D623" t="inlineStr">
        <is>
          <t>ÖSTERGÖTLANDS LÄN</t>
        </is>
      </c>
      <c r="E623" t="inlineStr">
        <is>
          <t>LINKÖPING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44764-2025</t>
        </is>
      </c>
      <c r="B624" s="1" t="n">
        <v>45917.72821759259</v>
      </c>
      <c r="C624" s="1" t="n">
        <v>45975</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31581-2025</t>
        </is>
      </c>
      <c r="B625" s="1" t="n">
        <v>45833.6840162037</v>
      </c>
      <c r="C625" s="1" t="n">
        <v>45975</v>
      </c>
      <c r="D625" t="inlineStr">
        <is>
          <t>ÖSTERGÖTLANDS LÄN</t>
        </is>
      </c>
      <c r="E625" t="inlineStr">
        <is>
          <t>LINKÖPING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31585-2025</t>
        </is>
      </c>
      <c r="B626" s="1" t="n">
        <v>45833.68815972222</v>
      </c>
      <c r="C626" s="1" t="n">
        <v>45975</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67123-2020</t>
        </is>
      </c>
      <c r="B627" s="1" t="n">
        <v>44180</v>
      </c>
      <c r="C627" s="1" t="n">
        <v>45975</v>
      </c>
      <c r="D627" t="inlineStr">
        <is>
          <t>ÖSTERGÖTLANDS LÄN</t>
        </is>
      </c>
      <c r="E627" t="inlineStr">
        <is>
          <t>LINKÖPING</t>
        </is>
      </c>
      <c r="F627" t="inlineStr">
        <is>
          <t>Övriga statliga verk och myndigheter</t>
        </is>
      </c>
      <c r="G627" t="n">
        <v>1.3</v>
      </c>
      <c r="H627" t="n">
        <v>0</v>
      </c>
      <c r="I627" t="n">
        <v>0</v>
      </c>
      <c r="J627" t="n">
        <v>0</v>
      </c>
      <c r="K627" t="n">
        <v>0</v>
      </c>
      <c r="L627" t="n">
        <v>0</v>
      </c>
      <c r="M627" t="n">
        <v>0</v>
      </c>
      <c r="N627" t="n">
        <v>0</v>
      </c>
      <c r="O627" t="n">
        <v>0</v>
      </c>
      <c r="P627" t="n">
        <v>0</v>
      </c>
      <c r="Q627" t="n">
        <v>0</v>
      </c>
      <c r="R627" s="2" t="inlineStr"/>
    </row>
    <row r="628" ht="15" customHeight="1">
      <c r="A628" t="inlineStr">
        <is>
          <t>A 3742-2021</t>
        </is>
      </c>
      <c r="B628" s="1" t="n">
        <v>44221</v>
      </c>
      <c r="C628" s="1" t="n">
        <v>45975</v>
      </c>
      <c r="D628" t="inlineStr">
        <is>
          <t>ÖSTERGÖTLANDS LÄN</t>
        </is>
      </c>
      <c r="E628" t="inlineStr">
        <is>
          <t>LINKÖPING</t>
        </is>
      </c>
      <c r="G628" t="n">
        <v>5.5</v>
      </c>
      <c r="H628" t="n">
        <v>0</v>
      </c>
      <c r="I628" t="n">
        <v>0</v>
      </c>
      <c r="J628" t="n">
        <v>0</v>
      </c>
      <c r="K628" t="n">
        <v>0</v>
      </c>
      <c r="L628" t="n">
        <v>0</v>
      </c>
      <c r="M628" t="n">
        <v>0</v>
      </c>
      <c r="N628" t="n">
        <v>0</v>
      </c>
      <c r="O628" t="n">
        <v>0</v>
      </c>
      <c r="P628" t="n">
        <v>0</v>
      </c>
      <c r="Q628" t="n">
        <v>0</v>
      </c>
      <c r="R628" s="2" t="inlineStr"/>
    </row>
    <row r="629" ht="15" customHeight="1">
      <c r="A629" t="inlineStr">
        <is>
          <t>A 30429-2024</t>
        </is>
      </c>
      <c r="B629" s="1" t="n">
        <v>45491.68972222223</v>
      </c>
      <c r="C629" s="1" t="n">
        <v>45975</v>
      </c>
      <c r="D629" t="inlineStr">
        <is>
          <t>ÖSTERGÖTLANDS LÄN</t>
        </is>
      </c>
      <c r="E629" t="inlineStr">
        <is>
          <t>LINKÖPING</t>
        </is>
      </c>
      <c r="G629" t="n">
        <v>2.2</v>
      </c>
      <c r="H629" t="n">
        <v>0</v>
      </c>
      <c r="I629" t="n">
        <v>0</v>
      </c>
      <c r="J629" t="n">
        <v>0</v>
      </c>
      <c r="K629" t="n">
        <v>0</v>
      </c>
      <c r="L629" t="n">
        <v>0</v>
      </c>
      <c r="M629" t="n">
        <v>0</v>
      </c>
      <c r="N629" t="n">
        <v>0</v>
      </c>
      <c r="O629" t="n">
        <v>0</v>
      </c>
      <c r="P629" t="n">
        <v>0</v>
      </c>
      <c r="Q629" t="n">
        <v>0</v>
      </c>
      <c r="R629" s="2" t="inlineStr"/>
    </row>
    <row r="630" ht="15" customHeight="1">
      <c r="A630" t="inlineStr">
        <is>
          <t>A 3011-2023</t>
        </is>
      </c>
      <c r="B630" s="1" t="n">
        <v>44945</v>
      </c>
      <c r="C630" s="1" t="n">
        <v>45975</v>
      </c>
      <c r="D630" t="inlineStr">
        <is>
          <t>ÖSTERGÖTLANDS LÄN</t>
        </is>
      </c>
      <c r="E630" t="inlineStr">
        <is>
          <t>LINKÖPING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32723-2025</t>
        </is>
      </c>
      <c r="B631" s="1" t="n">
        <v>45838</v>
      </c>
      <c r="C631" s="1" t="n">
        <v>45975</v>
      </c>
      <c r="D631" t="inlineStr">
        <is>
          <t>ÖSTERGÖTLANDS LÄN</t>
        </is>
      </c>
      <c r="E631" t="inlineStr">
        <is>
          <t>LINKÖPING</t>
        </is>
      </c>
      <c r="G631" t="n">
        <v>2.1</v>
      </c>
      <c r="H631" t="n">
        <v>0</v>
      </c>
      <c r="I631" t="n">
        <v>0</v>
      </c>
      <c r="J631" t="n">
        <v>0</v>
      </c>
      <c r="K631" t="n">
        <v>0</v>
      </c>
      <c r="L631" t="n">
        <v>0</v>
      </c>
      <c r="M631" t="n">
        <v>0</v>
      </c>
      <c r="N631" t="n">
        <v>0</v>
      </c>
      <c r="O631" t="n">
        <v>0</v>
      </c>
      <c r="P631" t="n">
        <v>0</v>
      </c>
      <c r="Q631" t="n">
        <v>0</v>
      </c>
      <c r="R631" s="2" t="inlineStr"/>
    </row>
    <row r="632" ht="15" customHeight="1">
      <c r="A632" t="inlineStr">
        <is>
          <t>A 30435-2024</t>
        </is>
      </c>
      <c r="B632" s="1" t="n">
        <v>45491.69962962963</v>
      </c>
      <c r="C632" s="1" t="n">
        <v>45975</v>
      </c>
      <c r="D632" t="inlineStr">
        <is>
          <t>ÖSTERGÖTLANDS LÄN</t>
        </is>
      </c>
      <c r="E632" t="inlineStr">
        <is>
          <t>LINKÖPING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45442-2024</t>
        </is>
      </c>
      <c r="B633" s="1" t="n">
        <v>45576.64189814815</v>
      </c>
      <c r="C633" s="1" t="n">
        <v>45975</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53816-2023</t>
        </is>
      </c>
      <c r="B634" s="1" t="n">
        <v>45231.40012731482</v>
      </c>
      <c r="C634" s="1" t="n">
        <v>45975</v>
      </c>
      <c r="D634" t="inlineStr">
        <is>
          <t>ÖSTERGÖTLANDS LÄN</t>
        </is>
      </c>
      <c r="E634" t="inlineStr">
        <is>
          <t>LINKÖPING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36557-2023</t>
        </is>
      </c>
      <c r="B635" s="1" t="n">
        <v>45153</v>
      </c>
      <c r="C635" s="1" t="n">
        <v>45975</v>
      </c>
      <c r="D635" t="inlineStr">
        <is>
          <t>ÖSTERGÖTLANDS LÄN</t>
        </is>
      </c>
      <c r="E635" t="inlineStr">
        <is>
          <t>LINKÖPING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6599-2023</t>
        </is>
      </c>
      <c r="B636" s="1" t="n">
        <v>44966.52603009259</v>
      </c>
      <c r="C636" s="1" t="n">
        <v>45975</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43473-2024</t>
        </is>
      </c>
      <c r="B637" s="1" t="n">
        <v>45568</v>
      </c>
      <c r="C637" s="1" t="n">
        <v>45975</v>
      </c>
      <c r="D637" t="inlineStr">
        <is>
          <t>ÖSTERGÖTLANDS LÄN</t>
        </is>
      </c>
      <c r="E637" t="inlineStr">
        <is>
          <t>LINKÖPING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3432-2023</t>
        </is>
      </c>
      <c r="B638" s="1" t="n">
        <v>44949</v>
      </c>
      <c r="C638" s="1" t="n">
        <v>45975</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1440-2021</t>
        </is>
      </c>
      <c r="B639" s="1" t="n">
        <v>44208</v>
      </c>
      <c r="C639" s="1" t="n">
        <v>45975</v>
      </c>
      <c r="D639" t="inlineStr">
        <is>
          <t>ÖSTERGÖTLANDS LÄN</t>
        </is>
      </c>
      <c r="E639" t="inlineStr">
        <is>
          <t>LINKÖPING</t>
        </is>
      </c>
      <c r="G639" t="n">
        <v>8.4</v>
      </c>
      <c r="H639" t="n">
        <v>0</v>
      </c>
      <c r="I639" t="n">
        <v>0</v>
      </c>
      <c r="J639" t="n">
        <v>0</v>
      </c>
      <c r="K639" t="n">
        <v>0</v>
      </c>
      <c r="L639" t="n">
        <v>0</v>
      </c>
      <c r="M639" t="n">
        <v>0</v>
      </c>
      <c r="N639" t="n">
        <v>0</v>
      </c>
      <c r="O639" t="n">
        <v>0</v>
      </c>
      <c r="P639" t="n">
        <v>0</v>
      </c>
      <c r="Q639" t="n">
        <v>0</v>
      </c>
      <c r="R639" s="2" t="inlineStr"/>
    </row>
    <row r="640" ht="15" customHeight="1">
      <c r="A640" t="inlineStr">
        <is>
          <t>A 60472-2022</t>
        </is>
      </c>
      <c r="B640" s="1" t="n">
        <v>44911.41037037037</v>
      </c>
      <c r="C640" s="1" t="n">
        <v>45975</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12720-2022</t>
        </is>
      </c>
      <c r="B641" s="1" t="n">
        <v>44641</v>
      </c>
      <c r="C641" s="1" t="n">
        <v>45975</v>
      </c>
      <c r="D641" t="inlineStr">
        <is>
          <t>ÖSTERGÖTLANDS LÄN</t>
        </is>
      </c>
      <c r="E641" t="inlineStr">
        <is>
          <t>LINKÖPING</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45112-2025</t>
        </is>
      </c>
      <c r="B642" s="1" t="n">
        <v>45919</v>
      </c>
      <c r="C642" s="1" t="n">
        <v>45975</v>
      </c>
      <c r="D642" t="inlineStr">
        <is>
          <t>ÖSTERGÖTLANDS LÄN</t>
        </is>
      </c>
      <c r="E642" t="inlineStr">
        <is>
          <t>LINKÖPING</t>
        </is>
      </c>
      <c r="G642" t="n">
        <v>3.5</v>
      </c>
      <c r="H642" t="n">
        <v>0</v>
      </c>
      <c r="I642" t="n">
        <v>0</v>
      </c>
      <c r="J642" t="n">
        <v>0</v>
      </c>
      <c r="K642" t="n">
        <v>0</v>
      </c>
      <c r="L642" t="n">
        <v>0</v>
      </c>
      <c r="M642" t="n">
        <v>0</v>
      </c>
      <c r="N642" t="n">
        <v>0</v>
      </c>
      <c r="O642" t="n">
        <v>0</v>
      </c>
      <c r="P642" t="n">
        <v>0</v>
      </c>
      <c r="Q642" t="n">
        <v>0</v>
      </c>
      <c r="R642" s="2" t="inlineStr"/>
    </row>
    <row r="643" ht="15" customHeight="1">
      <c r="A643" t="inlineStr">
        <is>
          <t>A 55132-2025</t>
        </is>
      </c>
      <c r="B643" s="1" t="n">
        <v>45968.41912037037</v>
      </c>
      <c r="C643" s="1" t="n">
        <v>45975</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50056-2025</t>
        </is>
      </c>
      <c r="B644" s="1" t="n">
        <v>45941</v>
      </c>
      <c r="C644" s="1" t="n">
        <v>45975</v>
      </c>
      <c r="D644" t="inlineStr">
        <is>
          <t>ÖSTERGÖTLANDS LÄN</t>
        </is>
      </c>
      <c r="E644" t="inlineStr">
        <is>
          <t>LINKÖPING</t>
        </is>
      </c>
      <c r="G644" t="n">
        <v>0.3</v>
      </c>
      <c r="H644" t="n">
        <v>0</v>
      </c>
      <c r="I644" t="n">
        <v>0</v>
      </c>
      <c r="J644" t="n">
        <v>0</v>
      </c>
      <c r="K644" t="n">
        <v>0</v>
      </c>
      <c r="L644" t="n">
        <v>0</v>
      </c>
      <c r="M644" t="n">
        <v>0</v>
      </c>
      <c r="N644" t="n">
        <v>0</v>
      </c>
      <c r="O644" t="n">
        <v>0</v>
      </c>
      <c r="P644" t="n">
        <v>0</v>
      </c>
      <c r="Q644" t="n">
        <v>0</v>
      </c>
      <c r="R644" s="2" t="inlineStr"/>
    </row>
    <row r="645" ht="15" customHeight="1">
      <c r="A645" t="inlineStr">
        <is>
          <t>A 45831-2024</t>
        </is>
      </c>
      <c r="B645" s="1" t="n">
        <v>45579.90508101852</v>
      </c>
      <c r="C645" s="1" t="n">
        <v>45975</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46428-2025</t>
        </is>
      </c>
      <c r="B646" s="1" t="n">
        <v>45925.60758101852</v>
      </c>
      <c r="C646" s="1" t="n">
        <v>45975</v>
      </c>
      <c r="D646" t="inlineStr">
        <is>
          <t>ÖSTERGÖTLANDS LÄN</t>
        </is>
      </c>
      <c r="E646" t="inlineStr">
        <is>
          <t>LINKÖPING</t>
        </is>
      </c>
      <c r="G646" t="n">
        <v>3</v>
      </c>
      <c r="H646" t="n">
        <v>0</v>
      </c>
      <c r="I646" t="n">
        <v>0</v>
      </c>
      <c r="J646" t="n">
        <v>0</v>
      </c>
      <c r="K646" t="n">
        <v>0</v>
      </c>
      <c r="L646" t="n">
        <v>0</v>
      </c>
      <c r="M646" t="n">
        <v>0</v>
      </c>
      <c r="N646" t="n">
        <v>0</v>
      </c>
      <c r="O646" t="n">
        <v>0</v>
      </c>
      <c r="P646" t="n">
        <v>0</v>
      </c>
      <c r="Q646" t="n">
        <v>0</v>
      </c>
      <c r="R646" s="2" t="inlineStr"/>
    </row>
    <row r="647" ht="15" customHeight="1">
      <c r="A647" t="inlineStr">
        <is>
          <t>A 46426-2025</t>
        </is>
      </c>
      <c r="B647" s="1" t="n">
        <v>45925.6012962963</v>
      </c>
      <c r="C647" s="1" t="n">
        <v>45975</v>
      </c>
      <c r="D647" t="inlineStr">
        <is>
          <t>ÖSTERGÖTLANDS LÄN</t>
        </is>
      </c>
      <c r="E647" t="inlineStr">
        <is>
          <t>LINKÖPING</t>
        </is>
      </c>
      <c r="G647" t="n">
        <v>4.4</v>
      </c>
      <c r="H647" t="n">
        <v>0</v>
      </c>
      <c r="I647" t="n">
        <v>0</v>
      </c>
      <c r="J647" t="n">
        <v>0</v>
      </c>
      <c r="K647" t="n">
        <v>0</v>
      </c>
      <c r="L647" t="n">
        <v>0</v>
      </c>
      <c r="M647" t="n">
        <v>0</v>
      </c>
      <c r="N647" t="n">
        <v>0</v>
      </c>
      <c r="O647" t="n">
        <v>0</v>
      </c>
      <c r="P647" t="n">
        <v>0</v>
      </c>
      <c r="Q647" t="n">
        <v>0</v>
      </c>
      <c r="R647" s="2" t="inlineStr"/>
    </row>
    <row r="648" ht="15" customHeight="1">
      <c r="A648" t="inlineStr">
        <is>
          <t>A 54332-2025</t>
        </is>
      </c>
      <c r="B648" s="1" t="n">
        <v>45965.34915509259</v>
      </c>
      <c r="C648" s="1" t="n">
        <v>45975</v>
      </c>
      <c r="D648" t="inlineStr">
        <is>
          <t>ÖSTERGÖTLANDS LÄN</t>
        </is>
      </c>
      <c r="E648" t="inlineStr">
        <is>
          <t>LINKÖPING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33947-2025</t>
        </is>
      </c>
      <c r="B649" s="1" t="n">
        <v>45842.65444444444</v>
      </c>
      <c r="C649" s="1" t="n">
        <v>45975</v>
      </c>
      <c r="D649" t="inlineStr">
        <is>
          <t>ÖSTERGÖTLANDS LÄN</t>
        </is>
      </c>
      <c r="E649" t="inlineStr">
        <is>
          <t>LINKÖPING</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55102-2025</t>
        </is>
      </c>
      <c r="B650" s="1" t="n">
        <v>45968.35410879629</v>
      </c>
      <c r="C650" s="1" t="n">
        <v>45975</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55109-2025</t>
        </is>
      </c>
      <c r="B651" s="1" t="n">
        <v>45968.37731481482</v>
      </c>
      <c r="C651" s="1" t="n">
        <v>45975</v>
      </c>
      <c r="D651" t="inlineStr">
        <is>
          <t>ÖSTERGÖTLANDS LÄN</t>
        </is>
      </c>
      <c r="E651" t="inlineStr">
        <is>
          <t>LINKÖPING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46377-2025</t>
        </is>
      </c>
      <c r="B652" s="1" t="n">
        <v>45925.51773148148</v>
      </c>
      <c r="C652" s="1" t="n">
        <v>45975</v>
      </c>
      <c r="D652" t="inlineStr">
        <is>
          <t>ÖSTERGÖTLANDS LÄN</t>
        </is>
      </c>
      <c r="E652" t="inlineStr">
        <is>
          <t>LINKÖPING</t>
        </is>
      </c>
      <c r="G652" t="n">
        <v>3.1</v>
      </c>
      <c r="H652" t="n">
        <v>0</v>
      </c>
      <c r="I652" t="n">
        <v>0</v>
      </c>
      <c r="J652" t="n">
        <v>0</v>
      </c>
      <c r="K652" t="n">
        <v>0</v>
      </c>
      <c r="L652" t="n">
        <v>0</v>
      </c>
      <c r="M652" t="n">
        <v>0</v>
      </c>
      <c r="N652" t="n">
        <v>0</v>
      </c>
      <c r="O652" t="n">
        <v>0</v>
      </c>
      <c r="P652" t="n">
        <v>0</v>
      </c>
      <c r="Q652" t="n">
        <v>0</v>
      </c>
      <c r="R652" s="2" t="inlineStr"/>
    </row>
    <row r="653" ht="15" customHeight="1">
      <c r="A653" t="inlineStr">
        <is>
          <t>A 54333-2025</t>
        </is>
      </c>
      <c r="B653" s="1" t="n">
        <v>45965.35090277778</v>
      </c>
      <c r="C653" s="1" t="n">
        <v>45975</v>
      </c>
      <c r="D653" t="inlineStr">
        <is>
          <t>ÖSTERGÖTLANDS LÄN</t>
        </is>
      </c>
      <c r="E653" t="inlineStr">
        <is>
          <t>LINKÖPING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45634-2025</t>
        </is>
      </c>
      <c r="B654" s="1" t="n">
        <v>45922.85089120371</v>
      </c>
      <c r="C654" s="1" t="n">
        <v>45975</v>
      </c>
      <c r="D654" t="inlineStr">
        <is>
          <t>ÖSTERGÖTLANDS LÄN</t>
        </is>
      </c>
      <c r="E654" t="inlineStr">
        <is>
          <t>LINKÖPING</t>
        </is>
      </c>
      <c r="F654" t="inlineStr">
        <is>
          <t>Övriga Aktiebolag</t>
        </is>
      </c>
      <c r="G654" t="n">
        <v>0.3</v>
      </c>
      <c r="H654" t="n">
        <v>0</v>
      </c>
      <c r="I654" t="n">
        <v>0</v>
      </c>
      <c r="J654" t="n">
        <v>0</v>
      </c>
      <c r="K654" t="n">
        <v>0</v>
      </c>
      <c r="L654" t="n">
        <v>0</v>
      </c>
      <c r="M654" t="n">
        <v>0</v>
      </c>
      <c r="N654" t="n">
        <v>0</v>
      </c>
      <c r="O654" t="n">
        <v>0</v>
      </c>
      <c r="P654" t="n">
        <v>0</v>
      </c>
      <c r="Q654" t="n">
        <v>0</v>
      </c>
      <c r="R654" s="2" t="inlineStr"/>
    </row>
    <row r="655" ht="15" customHeight="1">
      <c r="A655" t="inlineStr">
        <is>
          <t>A 55165-2025</t>
        </is>
      </c>
      <c r="B655" s="1" t="n">
        <v>45968.48194444444</v>
      </c>
      <c r="C655" s="1" t="n">
        <v>45975</v>
      </c>
      <c r="D655" t="inlineStr">
        <is>
          <t>ÖSTERGÖTLANDS LÄN</t>
        </is>
      </c>
      <c r="E655" t="inlineStr">
        <is>
          <t>LINKÖPING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45792-2025</t>
        </is>
      </c>
      <c r="B656" s="1" t="n">
        <v>45923.56998842592</v>
      </c>
      <c r="C656" s="1" t="n">
        <v>45975</v>
      </c>
      <c r="D656" t="inlineStr">
        <is>
          <t>ÖSTERGÖTLANDS LÄN</t>
        </is>
      </c>
      <c r="E656" t="inlineStr">
        <is>
          <t>LINKÖPING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54329-2025</t>
        </is>
      </c>
      <c r="B657" s="1" t="n">
        <v>45965.34706018519</v>
      </c>
      <c r="C657" s="1" t="n">
        <v>45975</v>
      </c>
      <c r="D657" t="inlineStr">
        <is>
          <t>ÖSTERGÖTLANDS LÄN</t>
        </is>
      </c>
      <c r="E657" t="inlineStr">
        <is>
          <t>LINKÖPING</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62012-2024</t>
        </is>
      </c>
      <c r="B658" s="1" t="n">
        <v>45655.79679398148</v>
      </c>
      <c r="C658" s="1" t="n">
        <v>45975</v>
      </c>
      <c r="D658" t="inlineStr">
        <is>
          <t>ÖSTERGÖTLANDS LÄN</t>
        </is>
      </c>
      <c r="E658" t="inlineStr">
        <is>
          <t>LINKÖPING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57396-2021</t>
        </is>
      </c>
      <c r="B659" s="1" t="n">
        <v>44483.56151620371</v>
      </c>
      <c r="C659" s="1" t="n">
        <v>45975</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45804-2025</t>
        </is>
      </c>
      <c r="B660" s="1" t="n">
        <v>45923.5819675926</v>
      </c>
      <c r="C660" s="1" t="n">
        <v>45975</v>
      </c>
      <c r="D660" t="inlineStr">
        <is>
          <t>ÖSTERGÖTLANDS LÄN</t>
        </is>
      </c>
      <c r="E660" t="inlineStr">
        <is>
          <t>LINKÖPING</t>
        </is>
      </c>
      <c r="G660" t="n">
        <v>3.3</v>
      </c>
      <c r="H660" t="n">
        <v>0</v>
      </c>
      <c r="I660" t="n">
        <v>0</v>
      </c>
      <c r="J660" t="n">
        <v>0</v>
      </c>
      <c r="K660" t="n">
        <v>0</v>
      </c>
      <c r="L660" t="n">
        <v>0</v>
      </c>
      <c r="M660" t="n">
        <v>0</v>
      </c>
      <c r="N660" t="n">
        <v>0</v>
      </c>
      <c r="O660" t="n">
        <v>0</v>
      </c>
      <c r="P660" t="n">
        <v>0</v>
      </c>
      <c r="Q660" t="n">
        <v>0</v>
      </c>
      <c r="R660" s="2" t="inlineStr"/>
    </row>
    <row r="661" ht="15" customHeight="1">
      <c r="A661" t="inlineStr">
        <is>
          <t>A 47304-2025</t>
        </is>
      </c>
      <c r="B661" s="1" t="n">
        <v>45930.52037037037</v>
      </c>
      <c r="C661" s="1" t="n">
        <v>45975</v>
      </c>
      <c r="D661" t="inlineStr">
        <is>
          <t>ÖSTERGÖTLANDS LÄN</t>
        </is>
      </c>
      <c r="E661" t="inlineStr">
        <is>
          <t>LINKÖPING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22842-2023</t>
        </is>
      </c>
      <c r="B662" s="1" t="n">
        <v>45071</v>
      </c>
      <c r="C662" s="1" t="n">
        <v>45975</v>
      </c>
      <c r="D662" t="inlineStr">
        <is>
          <t>ÖSTERGÖTLANDS LÄN</t>
        </is>
      </c>
      <c r="E662" t="inlineStr">
        <is>
          <t>LINKÖPING</t>
        </is>
      </c>
      <c r="F662" t="inlineStr">
        <is>
          <t>Kommuner</t>
        </is>
      </c>
      <c r="G662" t="n">
        <v>1.3</v>
      </c>
      <c r="H662" t="n">
        <v>0</v>
      </c>
      <c r="I662" t="n">
        <v>0</v>
      </c>
      <c r="J662" t="n">
        <v>0</v>
      </c>
      <c r="K662" t="n">
        <v>0</v>
      </c>
      <c r="L662" t="n">
        <v>0</v>
      </c>
      <c r="M662" t="n">
        <v>0</v>
      </c>
      <c r="N662" t="n">
        <v>0</v>
      </c>
      <c r="O662" t="n">
        <v>0</v>
      </c>
      <c r="P662" t="n">
        <v>0</v>
      </c>
      <c r="Q662" t="n">
        <v>0</v>
      </c>
      <c r="R662" s="2" t="inlineStr"/>
    </row>
    <row r="663" ht="15" customHeight="1">
      <c r="A663" t="inlineStr">
        <is>
          <t>A 53529-2024</t>
        </is>
      </c>
      <c r="B663" s="1" t="n">
        <v>45614</v>
      </c>
      <c r="C663" s="1" t="n">
        <v>45975</v>
      </c>
      <c r="D663" t="inlineStr">
        <is>
          <t>ÖSTERGÖTLANDS LÄN</t>
        </is>
      </c>
      <c r="E663" t="inlineStr">
        <is>
          <t>LINKÖPING</t>
        </is>
      </c>
      <c r="G663" t="n">
        <v>6.7</v>
      </c>
      <c r="H663" t="n">
        <v>0</v>
      </c>
      <c r="I663" t="n">
        <v>0</v>
      </c>
      <c r="J663" t="n">
        <v>0</v>
      </c>
      <c r="K663" t="n">
        <v>0</v>
      </c>
      <c r="L663" t="n">
        <v>0</v>
      </c>
      <c r="M663" t="n">
        <v>0</v>
      </c>
      <c r="N663" t="n">
        <v>0</v>
      </c>
      <c r="O663" t="n">
        <v>0</v>
      </c>
      <c r="P663" t="n">
        <v>0</v>
      </c>
      <c r="Q663" t="n">
        <v>0</v>
      </c>
      <c r="R663" s="2" t="inlineStr"/>
    </row>
    <row r="664" ht="15" customHeight="1">
      <c r="A664" t="inlineStr">
        <is>
          <t>A 47233-2025</t>
        </is>
      </c>
      <c r="B664" s="1" t="n">
        <v>45930.40612268518</v>
      </c>
      <c r="C664" s="1" t="n">
        <v>45975</v>
      </c>
      <c r="D664" t="inlineStr">
        <is>
          <t>ÖSTERGÖTLANDS LÄN</t>
        </is>
      </c>
      <c r="E664" t="inlineStr">
        <is>
          <t>LINKÖPING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50386-2021</t>
        </is>
      </c>
      <c r="B665" s="1" t="n">
        <v>44459</v>
      </c>
      <c r="C665" s="1" t="n">
        <v>45975</v>
      </c>
      <c r="D665" t="inlineStr">
        <is>
          <t>ÖSTERGÖTLANDS LÄN</t>
        </is>
      </c>
      <c r="E665" t="inlineStr">
        <is>
          <t>LINKÖPING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35781-2023</t>
        </is>
      </c>
      <c r="B666" s="1" t="n">
        <v>45147</v>
      </c>
      <c r="C666" s="1" t="n">
        <v>45975</v>
      </c>
      <c r="D666" t="inlineStr">
        <is>
          <t>ÖSTERGÖTLANDS LÄN</t>
        </is>
      </c>
      <c r="E666" t="inlineStr">
        <is>
          <t>LINKÖPING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55683-2025</t>
        </is>
      </c>
      <c r="B667" s="1" t="n">
        <v>45972.4255324074</v>
      </c>
      <c r="C667" s="1" t="n">
        <v>45975</v>
      </c>
      <c r="D667" t="inlineStr">
        <is>
          <t>ÖSTERGÖTLANDS LÄN</t>
        </is>
      </c>
      <c r="E667" t="inlineStr">
        <is>
          <t>LINKÖPING</t>
        </is>
      </c>
      <c r="G667" t="n">
        <v>3.3</v>
      </c>
      <c r="H667" t="n">
        <v>0</v>
      </c>
      <c r="I667" t="n">
        <v>0</v>
      </c>
      <c r="J667" t="n">
        <v>0</v>
      </c>
      <c r="K667" t="n">
        <v>0</v>
      </c>
      <c r="L667" t="n">
        <v>0</v>
      </c>
      <c r="M667" t="n">
        <v>0</v>
      </c>
      <c r="N667" t="n">
        <v>0</v>
      </c>
      <c r="O667" t="n">
        <v>0</v>
      </c>
      <c r="P667" t="n">
        <v>0</v>
      </c>
      <c r="Q667" t="n">
        <v>0</v>
      </c>
      <c r="R667" s="2" t="inlineStr"/>
    </row>
    <row r="668" ht="15" customHeight="1">
      <c r="A668" t="inlineStr">
        <is>
          <t>A 22770-2024</t>
        </is>
      </c>
      <c r="B668" s="1" t="n">
        <v>45448.4634375</v>
      </c>
      <c r="C668" s="1" t="n">
        <v>45975</v>
      </c>
      <c r="D668" t="inlineStr">
        <is>
          <t>ÖSTERGÖTLANDS LÄN</t>
        </is>
      </c>
      <c r="E668" t="inlineStr">
        <is>
          <t>LINKÖPING</t>
        </is>
      </c>
      <c r="F668" t="inlineStr">
        <is>
          <t>Sveaskog</t>
        </is>
      </c>
      <c r="G668" t="n">
        <v>3.4</v>
      </c>
      <c r="H668" t="n">
        <v>0</v>
      </c>
      <c r="I668" t="n">
        <v>0</v>
      </c>
      <c r="J668" t="n">
        <v>0</v>
      </c>
      <c r="K668" t="n">
        <v>0</v>
      </c>
      <c r="L668" t="n">
        <v>0</v>
      </c>
      <c r="M668" t="n">
        <v>0</v>
      </c>
      <c r="N668" t="n">
        <v>0</v>
      </c>
      <c r="O668" t="n">
        <v>0</v>
      </c>
      <c r="P668" t="n">
        <v>0</v>
      </c>
      <c r="Q668" t="n">
        <v>0</v>
      </c>
      <c r="R668" s="2" t="inlineStr"/>
    </row>
    <row r="669" ht="15" customHeight="1">
      <c r="A669" t="inlineStr">
        <is>
          <t>A 20469-2025</t>
        </is>
      </c>
      <c r="B669" s="1" t="n">
        <v>45775</v>
      </c>
      <c r="C669" s="1" t="n">
        <v>45975</v>
      </c>
      <c r="D669" t="inlineStr">
        <is>
          <t>ÖSTERGÖTLANDS LÄN</t>
        </is>
      </c>
      <c r="E669" t="inlineStr">
        <is>
          <t>LINKÖPING</t>
        </is>
      </c>
      <c r="F669" t="inlineStr">
        <is>
          <t>Kyrkan</t>
        </is>
      </c>
      <c r="G669" t="n">
        <v>6.1</v>
      </c>
      <c r="H669" t="n">
        <v>0</v>
      </c>
      <c r="I669" t="n">
        <v>0</v>
      </c>
      <c r="J669" t="n">
        <v>0</v>
      </c>
      <c r="K669" t="n">
        <v>0</v>
      </c>
      <c r="L669" t="n">
        <v>0</v>
      </c>
      <c r="M669" t="n">
        <v>0</v>
      </c>
      <c r="N669" t="n">
        <v>0</v>
      </c>
      <c r="O669" t="n">
        <v>0</v>
      </c>
      <c r="P669" t="n">
        <v>0</v>
      </c>
      <c r="Q669" t="n">
        <v>0</v>
      </c>
      <c r="R669" s="2" t="inlineStr"/>
    </row>
    <row r="670" ht="15" customHeight="1">
      <c r="A670" t="inlineStr">
        <is>
          <t>A 46847-2025</t>
        </is>
      </c>
      <c r="B670" s="1" t="n">
        <v>45928.69971064815</v>
      </c>
      <c r="C670" s="1" t="n">
        <v>45975</v>
      </c>
      <c r="D670" t="inlineStr">
        <is>
          <t>ÖSTERGÖTLANDS LÄN</t>
        </is>
      </c>
      <c r="E670" t="inlineStr">
        <is>
          <t>LINKÖPING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33800-2023</t>
        </is>
      </c>
      <c r="B671" s="1" t="n">
        <v>45121</v>
      </c>
      <c r="C671" s="1" t="n">
        <v>45975</v>
      </c>
      <c r="D671" t="inlineStr">
        <is>
          <t>ÖSTERGÖTLANDS LÄN</t>
        </is>
      </c>
      <c r="E671" t="inlineStr">
        <is>
          <t>LINKÖPING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47991-2023</t>
        </is>
      </c>
      <c r="B672" s="1" t="n">
        <v>45204.62655092592</v>
      </c>
      <c r="C672" s="1" t="n">
        <v>45975</v>
      </c>
      <c r="D672" t="inlineStr">
        <is>
          <t>ÖSTERGÖTLANDS LÄN</t>
        </is>
      </c>
      <c r="E672" t="inlineStr">
        <is>
          <t>LINKÖPING</t>
        </is>
      </c>
      <c r="F672" t="inlineStr">
        <is>
          <t>Allmännings- och besparingsskogar</t>
        </is>
      </c>
      <c r="G672" t="n">
        <v>7.3</v>
      </c>
      <c r="H672" t="n">
        <v>0</v>
      </c>
      <c r="I672" t="n">
        <v>0</v>
      </c>
      <c r="J672" t="n">
        <v>0</v>
      </c>
      <c r="K672" t="n">
        <v>0</v>
      </c>
      <c r="L672" t="n">
        <v>0</v>
      </c>
      <c r="M672" t="n">
        <v>0</v>
      </c>
      <c r="N672" t="n">
        <v>0</v>
      </c>
      <c r="O672" t="n">
        <v>0</v>
      </c>
      <c r="P672" t="n">
        <v>0</v>
      </c>
      <c r="Q672" t="n">
        <v>0</v>
      </c>
      <c r="R672" s="2" t="inlineStr"/>
    </row>
    <row r="673" ht="15" customHeight="1">
      <c r="A673" t="inlineStr">
        <is>
          <t>A 11671-2023</t>
        </is>
      </c>
      <c r="B673" s="1" t="n">
        <v>44994.48125</v>
      </c>
      <c r="C673" s="1" t="n">
        <v>45975</v>
      </c>
      <c r="D673" t="inlineStr">
        <is>
          <t>ÖSTERGÖTLANDS LÄN</t>
        </is>
      </c>
      <c r="E673" t="inlineStr">
        <is>
          <t>LINKÖPING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56113-2025</t>
        </is>
      </c>
      <c r="B674" s="1" t="n">
        <v>45973.73924768518</v>
      </c>
      <c r="C674" s="1" t="n">
        <v>45975</v>
      </c>
      <c r="D674" t="inlineStr">
        <is>
          <t>ÖSTERGÖTLANDS LÄN</t>
        </is>
      </c>
      <c r="E674" t="inlineStr">
        <is>
          <t>LINKÖPING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48343-2025</t>
        </is>
      </c>
      <c r="B675" s="1" t="n">
        <v>45932</v>
      </c>
      <c r="C675" s="1" t="n">
        <v>45975</v>
      </c>
      <c r="D675" t="inlineStr">
        <is>
          <t>ÖSTERGÖTLANDS LÄN</t>
        </is>
      </c>
      <c r="E675" t="inlineStr">
        <is>
          <t>LINKÖPING</t>
        </is>
      </c>
      <c r="F675" t="inlineStr">
        <is>
          <t>Övriga Aktiebolag</t>
        </is>
      </c>
      <c r="G675" t="n">
        <v>2</v>
      </c>
      <c r="H675" t="n">
        <v>0</v>
      </c>
      <c r="I675" t="n">
        <v>0</v>
      </c>
      <c r="J675" t="n">
        <v>0</v>
      </c>
      <c r="K675" t="n">
        <v>0</v>
      </c>
      <c r="L675" t="n">
        <v>0</v>
      </c>
      <c r="M675" t="n">
        <v>0</v>
      </c>
      <c r="N675" t="n">
        <v>0</v>
      </c>
      <c r="O675" t="n">
        <v>0</v>
      </c>
      <c r="P675" t="n">
        <v>0</v>
      </c>
      <c r="Q675" t="n">
        <v>0</v>
      </c>
      <c r="R675" s="2" t="inlineStr"/>
    </row>
    <row r="676" ht="15" customHeight="1">
      <c r="A676" t="inlineStr">
        <is>
          <t>A 35178-2025</t>
        </is>
      </c>
      <c r="B676" s="1" t="n">
        <v>45852.91939814815</v>
      </c>
      <c r="C676" s="1" t="n">
        <v>45975</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35174-2025</t>
        </is>
      </c>
      <c r="B677" s="1" t="n">
        <v>45852.90648148148</v>
      </c>
      <c r="C677" s="1" t="n">
        <v>45975</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26007-2025</t>
        </is>
      </c>
      <c r="B678" s="1" t="n">
        <v>45804.67081018518</v>
      </c>
      <c r="C678" s="1" t="n">
        <v>45975</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35179-2025</t>
        </is>
      </c>
      <c r="B679" s="1" t="n">
        <v>45852.93737268518</v>
      </c>
      <c r="C679" s="1" t="n">
        <v>45975</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35180-2025</t>
        </is>
      </c>
      <c r="B680" s="1" t="n">
        <v>45852.9413425926</v>
      </c>
      <c r="C680" s="1" t="n">
        <v>45975</v>
      </c>
      <c r="D680" t="inlineStr">
        <is>
          <t>ÖSTERGÖTLANDS LÄN</t>
        </is>
      </c>
      <c r="E680" t="inlineStr">
        <is>
          <t>LINKÖPING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47606-2025</t>
        </is>
      </c>
      <c r="B681" s="1" t="n">
        <v>45931.46402777778</v>
      </c>
      <c r="C681" s="1" t="n">
        <v>45975</v>
      </c>
      <c r="D681" t="inlineStr">
        <is>
          <t>ÖSTERGÖTLANDS LÄN</t>
        </is>
      </c>
      <c r="E681" t="inlineStr">
        <is>
          <t>LINKÖPING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35747-2025</t>
        </is>
      </c>
      <c r="B682" s="1" t="n">
        <v>45860.56385416666</v>
      </c>
      <c r="C682" s="1" t="n">
        <v>45975</v>
      </c>
      <c r="D682" t="inlineStr">
        <is>
          <t>ÖSTERGÖTLANDS LÄN</t>
        </is>
      </c>
      <c r="E682" t="inlineStr">
        <is>
          <t>LINKÖPING</t>
        </is>
      </c>
      <c r="G682" t="n">
        <v>2.4</v>
      </c>
      <c r="H682" t="n">
        <v>0</v>
      </c>
      <c r="I682" t="n">
        <v>0</v>
      </c>
      <c r="J682" t="n">
        <v>0</v>
      </c>
      <c r="K682" t="n">
        <v>0</v>
      </c>
      <c r="L682" t="n">
        <v>0</v>
      </c>
      <c r="M682" t="n">
        <v>0</v>
      </c>
      <c r="N682" t="n">
        <v>0</v>
      </c>
      <c r="O682" t="n">
        <v>0</v>
      </c>
      <c r="P682" t="n">
        <v>0</v>
      </c>
      <c r="Q682" t="n">
        <v>0</v>
      </c>
      <c r="R682" s="2" t="inlineStr"/>
    </row>
    <row r="683" ht="15" customHeight="1">
      <c r="A683" t="inlineStr">
        <is>
          <t>A 35745-2025</t>
        </is>
      </c>
      <c r="B683" s="1" t="n">
        <v>45860.54739583333</v>
      </c>
      <c r="C683" s="1" t="n">
        <v>45975</v>
      </c>
      <c r="D683" t="inlineStr">
        <is>
          <t>ÖSTERGÖTLANDS LÄN</t>
        </is>
      </c>
      <c r="E683" t="inlineStr">
        <is>
          <t>LINKÖPING</t>
        </is>
      </c>
      <c r="G683" t="n">
        <v>4.4</v>
      </c>
      <c r="H683" t="n">
        <v>0</v>
      </c>
      <c r="I683" t="n">
        <v>0</v>
      </c>
      <c r="J683" t="n">
        <v>0</v>
      </c>
      <c r="K683" t="n">
        <v>0</v>
      </c>
      <c r="L683" t="n">
        <v>0</v>
      </c>
      <c r="M683" t="n">
        <v>0</v>
      </c>
      <c r="N683" t="n">
        <v>0</v>
      </c>
      <c r="O683" t="n">
        <v>0</v>
      </c>
      <c r="P683" t="n">
        <v>0</v>
      </c>
      <c r="Q683" t="n">
        <v>0</v>
      </c>
      <c r="R683" s="2" t="inlineStr"/>
    </row>
    <row r="684" ht="15" customHeight="1">
      <c r="A684" t="inlineStr">
        <is>
          <t>A 35757-2025</t>
        </is>
      </c>
      <c r="B684" s="1" t="n">
        <v>45860.59876157407</v>
      </c>
      <c r="C684" s="1" t="n">
        <v>45975</v>
      </c>
      <c r="D684" t="inlineStr">
        <is>
          <t>ÖSTERGÖTLANDS LÄN</t>
        </is>
      </c>
      <c r="E684" t="inlineStr">
        <is>
          <t>LINKÖPING</t>
        </is>
      </c>
      <c r="G684" t="n">
        <v>5.7</v>
      </c>
      <c r="H684" t="n">
        <v>0</v>
      </c>
      <c r="I684" t="n">
        <v>0</v>
      </c>
      <c r="J684" t="n">
        <v>0</v>
      </c>
      <c r="K684" t="n">
        <v>0</v>
      </c>
      <c r="L684" t="n">
        <v>0</v>
      </c>
      <c r="M684" t="n">
        <v>0</v>
      </c>
      <c r="N684" t="n">
        <v>0</v>
      </c>
      <c r="O684" t="n">
        <v>0</v>
      </c>
      <c r="P684" t="n">
        <v>0</v>
      </c>
      <c r="Q684" t="n">
        <v>0</v>
      </c>
      <c r="R684" s="2" t="inlineStr"/>
    </row>
    <row r="685" ht="15" customHeight="1">
      <c r="A685" t="inlineStr">
        <is>
          <t>A 48254-2025</t>
        </is>
      </c>
      <c r="B685" s="1" t="n">
        <v>45932</v>
      </c>
      <c r="C685" s="1" t="n">
        <v>45975</v>
      </c>
      <c r="D685" t="inlineStr">
        <is>
          <t>ÖSTERGÖTLANDS LÄN</t>
        </is>
      </c>
      <c r="E685" t="inlineStr">
        <is>
          <t>LINKÖPING</t>
        </is>
      </c>
      <c r="F685" t="inlineStr">
        <is>
          <t>Övriga Aktiebolag</t>
        </is>
      </c>
      <c r="G685" t="n">
        <v>0.8</v>
      </c>
      <c r="H685" t="n">
        <v>0</v>
      </c>
      <c r="I685" t="n">
        <v>0</v>
      </c>
      <c r="J685" t="n">
        <v>0</v>
      </c>
      <c r="K685" t="n">
        <v>0</v>
      </c>
      <c r="L685" t="n">
        <v>0</v>
      </c>
      <c r="M685" t="n">
        <v>0</v>
      </c>
      <c r="N685" t="n">
        <v>0</v>
      </c>
      <c r="O685" t="n">
        <v>0</v>
      </c>
      <c r="P685" t="n">
        <v>0</v>
      </c>
      <c r="Q685" t="n">
        <v>0</v>
      </c>
      <c r="R685" s="2" t="inlineStr"/>
    </row>
    <row r="686" ht="15" customHeight="1">
      <c r="A686" t="inlineStr">
        <is>
          <t>A 48266-2025</t>
        </is>
      </c>
      <c r="B686" s="1" t="n">
        <v>45932</v>
      </c>
      <c r="C686" s="1" t="n">
        <v>45975</v>
      </c>
      <c r="D686" t="inlineStr">
        <is>
          <t>ÖSTERGÖTLANDS LÄN</t>
        </is>
      </c>
      <c r="E686" t="inlineStr">
        <is>
          <t>LINKÖPING</t>
        </is>
      </c>
      <c r="F686" t="inlineStr">
        <is>
          <t>Övriga Aktiebolag</t>
        </is>
      </c>
      <c r="G686" t="n">
        <v>0.5</v>
      </c>
      <c r="H686" t="n">
        <v>0</v>
      </c>
      <c r="I686" t="n">
        <v>0</v>
      </c>
      <c r="J686" t="n">
        <v>0</v>
      </c>
      <c r="K686" t="n">
        <v>0</v>
      </c>
      <c r="L686" t="n">
        <v>0</v>
      </c>
      <c r="M686" t="n">
        <v>0</v>
      </c>
      <c r="N686" t="n">
        <v>0</v>
      </c>
      <c r="O686" t="n">
        <v>0</v>
      </c>
      <c r="P686" t="n">
        <v>0</v>
      </c>
      <c r="Q686" t="n">
        <v>0</v>
      </c>
      <c r="R686" s="2" t="inlineStr"/>
    </row>
    <row r="687" ht="15" customHeight="1">
      <c r="A687" t="inlineStr">
        <is>
          <t>A 54425-2022</t>
        </is>
      </c>
      <c r="B687" s="1" t="n">
        <v>44882.57453703704</v>
      </c>
      <c r="C687" s="1" t="n">
        <v>45975</v>
      </c>
      <c r="D687" t="inlineStr">
        <is>
          <t>ÖSTERGÖTLANDS LÄN</t>
        </is>
      </c>
      <c r="E687" t="inlineStr">
        <is>
          <t>LINKÖPING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35759-2025</t>
        </is>
      </c>
      <c r="B688" s="1" t="n">
        <v>45860</v>
      </c>
      <c r="C688" s="1" t="n">
        <v>45975</v>
      </c>
      <c r="D688" t="inlineStr">
        <is>
          <t>ÖSTERGÖTLANDS LÄN</t>
        </is>
      </c>
      <c r="E688" t="inlineStr">
        <is>
          <t>LINKÖPING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56105-2025</t>
        </is>
      </c>
      <c r="B689" s="1" t="n">
        <v>45973.72855324074</v>
      </c>
      <c r="C689" s="1" t="n">
        <v>45975</v>
      </c>
      <c r="D689" t="inlineStr">
        <is>
          <t>ÖSTERGÖTLANDS LÄN</t>
        </is>
      </c>
      <c r="E689" t="inlineStr">
        <is>
          <t>LINKÖPING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4927-2021</t>
        </is>
      </c>
      <c r="B690" s="1" t="n">
        <v>44227.57215277778</v>
      </c>
      <c r="C690" s="1" t="n">
        <v>45975</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30547-2023</t>
        </is>
      </c>
      <c r="B691" s="1" t="n">
        <v>45111.75905092592</v>
      </c>
      <c r="C691" s="1" t="n">
        <v>45975</v>
      </c>
      <c r="D691" t="inlineStr">
        <is>
          <t>ÖSTERGÖTLANDS LÄN</t>
        </is>
      </c>
      <c r="E691" t="inlineStr">
        <is>
          <t>LINKÖPING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24904-2024</t>
        </is>
      </c>
      <c r="B692" s="1" t="n">
        <v>45461</v>
      </c>
      <c r="C692" s="1" t="n">
        <v>45975</v>
      </c>
      <c r="D692" t="inlineStr">
        <is>
          <t>ÖSTERGÖTLANDS LÄN</t>
        </is>
      </c>
      <c r="E692" t="inlineStr">
        <is>
          <t>LINKÖPING</t>
        </is>
      </c>
      <c r="G692" t="n">
        <v>3.8</v>
      </c>
      <c r="H692" t="n">
        <v>0</v>
      </c>
      <c r="I692" t="n">
        <v>0</v>
      </c>
      <c r="J692" t="n">
        <v>0</v>
      </c>
      <c r="K692" t="n">
        <v>0</v>
      </c>
      <c r="L692" t="n">
        <v>0</v>
      </c>
      <c r="M692" t="n">
        <v>0</v>
      </c>
      <c r="N692" t="n">
        <v>0</v>
      </c>
      <c r="O692" t="n">
        <v>0</v>
      </c>
      <c r="P692" t="n">
        <v>0</v>
      </c>
      <c r="Q692" t="n">
        <v>0</v>
      </c>
      <c r="R692" s="2" t="inlineStr"/>
    </row>
    <row r="693" ht="15" customHeight="1">
      <c r="A693" t="inlineStr">
        <is>
          <t>A 26788-2022</t>
        </is>
      </c>
      <c r="B693" s="1" t="n">
        <v>44740</v>
      </c>
      <c r="C693" s="1" t="n">
        <v>45975</v>
      </c>
      <c r="D693" t="inlineStr">
        <is>
          <t>ÖSTERGÖTLANDS LÄN</t>
        </is>
      </c>
      <c r="E693" t="inlineStr">
        <is>
          <t>LINKÖPING</t>
        </is>
      </c>
      <c r="G693" t="n">
        <v>3.2</v>
      </c>
      <c r="H693" t="n">
        <v>0</v>
      </c>
      <c r="I693" t="n">
        <v>0</v>
      </c>
      <c r="J693" t="n">
        <v>0</v>
      </c>
      <c r="K693" t="n">
        <v>0</v>
      </c>
      <c r="L693" t="n">
        <v>0</v>
      </c>
      <c r="M693" t="n">
        <v>0</v>
      </c>
      <c r="N693" t="n">
        <v>0</v>
      </c>
      <c r="O693" t="n">
        <v>0</v>
      </c>
      <c r="P693" t="n">
        <v>0</v>
      </c>
      <c r="Q693" t="n">
        <v>0</v>
      </c>
      <c r="R693" s="2" t="inlineStr"/>
    </row>
    <row r="694" ht="15" customHeight="1">
      <c r="A694" t="inlineStr">
        <is>
          <t>A 15121-2022</t>
        </is>
      </c>
      <c r="B694" s="1" t="n">
        <v>44658</v>
      </c>
      <c r="C694" s="1" t="n">
        <v>45975</v>
      </c>
      <c r="D694" t="inlineStr">
        <is>
          <t>ÖSTERGÖTLANDS LÄN</t>
        </is>
      </c>
      <c r="E694" t="inlineStr">
        <is>
          <t>LINKÖPING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51919-2024</t>
        </is>
      </c>
      <c r="B695" s="1" t="n">
        <v>45607.60791666667</v>
      </c>
      <c r="C695" s="1" t="n">
        <v>45975</v>
      </c>
      <c r="D695" t="inlineStr">
        <is>
          <t>ÖSTERGÖTLANDS LÄN</t>
        </is>
      </c>
      <c r="E695" t="inlineStr">
        <is>
          <t>LINKÖPING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55009-2023</t>
        </is>
      </c>
      <c r="B696" s="1" t="n">
        <v>45237</v>
      </c>
      <c r="C696" s="1" t="n">
        <v>45975</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20291-2025</t>
        </is>
      </c>
      <c r="B697" s="1" t="n">
        <v>45774.74288194445</v>
      </c>
      <c r="C697" s="1" t="n">
        <v>45975</v>
      </c>
      <c r="D697" t="inlineStr">
        <is>
          <t>ÖSTERGÖTLANDS LÄN</t>
        </is>
      </c>
      <c r="E697" t="inlineStr">
        <is>
          <t>LINKÖPING</t>
        </is>
      </c>
      <c r="G697" t="n">
        <v>2.3</v>
      </c>
      <c r="H697" t="n">
        <v>0</v>
      </c>
      <c r="I697" t="n">
        <v>0</v>
      </c>
      <c r="J697" t="n">
        <v>0</v>
      </c>
      <c r="K697" t="n">
        <v>0</v>
      </c>
      <c r="L697" t="n">
        <v>0</v>
      </c>
      <c r="M697" t="n">
        <v>0</v>
      </c>
      <c r="N697" t="n">
        <v>0</v>
      </c>
      <c r="O697" t="n">
        <v>0</v>
      </c>
      <c r="P697" t="n">
        <v>0</v>
      </c>
      <c r="Q697" t="n">
        <v>0</v>
      </c>
      <c r="R697" s="2" t="inlineStr"/>
    </row>
    <row r="698" ht="15" customHeight="1">
      <c r="A698" t="inlineStr">
        <is>
          <t>A 20293-2025</t>
        </is>
      </c>
      <c r="B698" s="1" t="n">
        <v>45774.74611111111</v>
      </c>
      <c r="C698" s="1" t="n">
        <v>45975</v>
      </c>
      <c r="D698" t="inlineStr">
        <is>
          <t>ÖSTERGÖTLANDS LÄN</t>
        </is>
      </c>
      <c r="E698" t="inlineStr">
        <is>
          <t>LINKÖPING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660-2023</t>
        </is>
      </c>
      <c r="B699" s="1" t="n">
        <v>44930</v>
      </c>
      <c r="C699" s="1" t="n">
        <v>45975</v>
      </c>
      <c r="D699" t="inlineStr">
        <is>
          <t>ÖSTERGÖTLANDS LÄN</t>
        </is>
      </c>
      <c r="E699" t="inlineStr">
        <is>
          <t>LINKÖPING</t>
        </is>
      </c>
      <c r="F699" t="inlineStr">
        <is>
          <t>Kyrkan</t>
        </is>
      </c>
      <c r="G699" t="n">
        <v>1.6</v>
      </c>
      <c r="H699" t="n">
        <v>0</v>
      </c>
      <c r="I699" t="n">
        <v>0</v>
      </c>
      <c r="J699" t="n">
        <v>0</v>
      </c>
      <c r="K699" t="n">
        <v>0</v>
      </c>
      <c r="L699" t="n">
        <v>0</v>
      </c>
      <c r="M699" t="n">
        <v>0</v>
      </c>
      <c r="N699" t="n">
        <v>0</v>
      </c>
      <c r="O699" t="n">
        <v>0</v>
      </c>
      <c r="P699" t="n">
        <v>0</v>
      </c>
      <c r="Q699" t="n">
        <v>0</v>
      </c>
      <c r="R699" s="2" t="inlineStr"/>
    </row>
    <row r="700" ht="15" customHeight="1">
      <c r="A700" t="inlineStr">
        <is>
          <t>A 64694-2023</t>
        </is>
      </c>
      <c r="B700" s="1" t="n">
        <v>45281</v>
      </c>
      <c r="C700" s="1" t="n">
        <v>45975</v>
      </c>
      <c r="D700" t="inlineStr">
        <is>
          <t>ÖSTERGÖTLANDS LÄN</t>
        </is>
      </c>
      <c r="E700" t="inlineStr">
        <is>
          <t>LINKÖPING</t>
        </is>
      </c>
      <c r="F700" t="inlineStr">
        <is>
          <t>Övriga statliga verk och myndigheter</t>
        </is>
      </c>
      <c r="G700" t="n">
        <v>4.9</v>
      </c>
      <c r="H700" t="n">
        <v>0</v>
      </c>
      <c r="I700" t="n">
        <v>0</v>
      </c>
      <c r="J700" t="n">
        <v>0</v>
      </c>
      <c r="K700" t="n">
        <v>0</v>
      </c>
      <c r="L700" t="n">
        <v>0</v>
      </c>
      <c r="M700" t="n">
        <v>0</v>
      </c>
      <c r="N700" t="n">
        <v>0</v>
      </c>
      <c r="O700" t="n">
        <v>0</v>
      </c>
      <c r="P700" t="n">
        <v>0</v>
      </c>
      <c r="Q700" t="n">
        <v>0</v>
      </c>
      <c r="R700" s="2" t="inlineStr"/>
    </row>
    <row r="701" ht="15" customHeight="1">
      <c r="A701" t="inlineStr">
        <is>
          <t>A 63487-2023</t>
        </is>
      </c>
      <c r="B701" s="1" t="n">
        <v>45274.66712962963</v>
      </c>
      <c r="C701" s="1" t="n">
        <v>45975</v>
      </c>
      <c r="D701" t="inlineStr">
        <is>
          <t>ÖSTERGÖTLANDS LÄN</t>
        </is>
      </c>
      <c r="E701" t="inlineStr">
        <is>
          <t>LINKÖPING</t>
        </is>
      </c>
      <c r="G701" t="n">
        <v>1.4</v>
      </c>
      <c r="H701" t="n">
        <v>0</v>
      </c>
      <c r="I701" t="n">
        <v>0</v>
      </c>
      <c r="J701" t="n">
        <v>0</v>
      </c>
      <c r="K701" t="n">
        <v>0</v>
      </c>
      <c r="L701" t="n">
        <v>0</v>
      </c>
      <c r="M701" t="n">
        <v>0</v>
      </c>
      <c r="N701" t="n">
        <v>0</v>
      </c>
      <c r="O701" t="n">
        <v>0</v>
      </c>
      <c r="P701" t="n">
        <v>0</v>
      </c>
      <c r="Q701" t="n">
        <v>0</v>
      </c>
      <c r="R701" s="2" t="inlineStr"/>
    </row>
    <row r="702" ht="15" customHeight="1">
      <c r="A702" t="inlineStr">
        <is>
          <t>A 20455-2024</t>
        </is>
      </c>
      <c r="B702" s="1" t="n">
        <v>45435.65314814815</v>
      </c>
      <c r="C702" s="1" t="n">
        <v>45975</v>
      </c>
      <c r="D702" t="inlineStr">
        <is>
          <t>ÖSTERGÖTLANDS LÄN</t>
        </is>
      </c>
      <c r="E702" t="inlineStr">
        <is>
          <t>LINKÖPING</t>
        </is>
      </c>
      <c r="G702" t="n">
        <v>2.6</v>
      </c>
      <c r="H702" t="n">
        <v>0</v>
      </c>
      <c r="I702" t="n">
        <v>0</v>
      </c>
      <c r="J702" t="n">
        <v>0</v>
      </c>
      <c r="K702" t="n">
        <v>0</v>
      </c>
      <c r="L702" t="n">
        <v>0</v>
      </c>
      <c r="M702" t="n">
        <v>0</v>
      </c>
      <c r="N702" t="n">
        <v>0</v>
      </c>
      <c r="O702" t="n">
        <v>0</v>
      </c>
      <c r="P702" t="n">
        <v>0</v>
      </c>
      <c r="Q702" t="n">
        <v>0</v>
      </c>
      <c r="R702" s="2" t="inlineStr"/>
    </row>
    <row r="703" ht="15" customHeight="1">
      <c r="A703" t="inlineStr">
        <is>
          <t>A 30471-2023</t>
        </is>
      </c>
      <c r="B703" s="1" t="n">
        <v>45111.58931712963</v>
      </c>
      <c r="C703" s="1" t="n">
        <v>45975</v>
      </c>
      <c r="D703" t="inlineStr">
        <is>
          <t>ÖSTERGÖTLANDS LÄN</t>
        </is>
      </c>
      <c r="E703" t="inlineStr">
        <is>
          <t>LINKÖPING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14093-2024</t>
        </is>
      </c>
      <c r="B704" s="1" t="n">
        <v>45392.60278935185</v>
      </c>
      <c r="C704" s="1" t="n">
        <v>45975</v>
      </c>
      <c r="D704" t="inlineStr">
        <is>
          <t>ÖSTERGÖTLANDS LÄN</t>
        </is>
      </c>
      <c r="E704" t="inlineStr">
        <is>
          <t>LINKÖPING</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63304-2021</t>
        </is>
      </c>
      <c r="B705" s="1" t="n">
        <v>44508.4396412037</v>
      </c>
      <c r="C705" s="1" t="n">
        <v>45975</v>
      </c>
      <c r="D705" t="inlineStr">
        <is>
          <t>ÖSTERGÖTLANDS LÄN</t>
        </is>
      </c>
      <c r="E705" t="inlineStr">
        <is>
          <t>LINKÖPING</t>
        </is>
      </c>
      <c r="G705" t="n">
        <v>1</v>
      </c>
      <c r="H705" t="n">
        <v>0</v>
      </c>
      <c r="I705" t="n">
        <v>0</v>
      </c>
      <c r="J705" t="n">
        <v>0</v>
      </c>
      <c r="K705" t="n">
        <v>0</v>
      </c>
      <c r="L705" t="n">
        <v>0</v>
      </c>
      <c r="M705" t="n">
        <v>0</v>
      </c>
      <c r="N705" t="n">
        <v>0</v>
      </c>
      <c r="O705" t="n">
        <v>0</v>
      </c>
      <c r="P705" t="n">
        <v>0</v>
      </c>
      <c r="Q705" t="n">
        <v>0</v>
      </c>
      <c r="R705" s="2" t="inlineStr"/>
    </row>
    <row r="706" ht="15" customHeight="1">
      <c r="A706" t="inlineStr">
        <is>
          <t>A 19362-2023</t>
        </is>
      </c>
      <c r="B706" s="1" t="n">
        <v>45049</v>
      </c>
      <c r="C706" s="1" t="n">
        <v>45975</v>
      </c>
      <c r="D706" t="inlineStr">
        <is>
          <t>ÖSTERGÖTLANDS LÄN</t>
        </is>
      </c>
      <c r="E706" t="inlineStr">
        <is>
          <t>LINKÖPING</t>
        </is>
      </c>
      <c r="G706" t="n">
        <v>0.1</v>
      </c>
      <c r="H706" t="n">
        <v>0</v>
      </c>
      <c r="I706" t="n">
        <v>0</v>
      </c>
      <c r="J706" t="n">
        <v>0</v>
      </c>
      <c r="K706" t="n">
        <v>0</v>
      </c>
      <c r="L706" t="n">
        <v>0</v>
      </c>
      <c r="M706" t="n">
        <v>0</v>
      </c>
      <c r="N706" t="n">
        <v>0</v>
      </c>
      <c r="O706" t="n">
        <v>0</v>
      </c>
      <c r="P706" t="n">
        <v>0</v>
      </c>
      <c r="Q706" t="n">
        <v>0</v>
      </c>
      <c r="R706" s="2" t="inlineStr"/>
    </row>
    <row r="707" ht="15" customHeight="1">
      <c r="A707" t="inlineStr">
        <is>
          <t>A 35463-2023</t>
        </is>
      </c>
      <c r="B707" s="1" t="n">
        <v>45146</v>
      </c>
      <c r="C707" s="1" t="n">
        <v>45975</v>
      </c>
      <c r="D707" t="inlineStr">
        <is>
          <t>ÖSTERGÖTLANDS LÄN</t>
        </is>
      </c>
      <c r="E707" t="inlineStr">
        <is>
          <t>LINKÖPING</t>
        </is>
      </c>
      <c r="F707" t="inlineStr">
        <is>
          <t>Övriga Aktiebolag</t>
        </is>
      </c>
      <c r="G707" t="n">
        <v>1.8</v>
      </c>
      <c r="H707" t="n">
        <v>0</v>
      </c>
      <c r="I707" t="n">
        <v>0</v>
      </c>
      <c r="J707" t="n">
        <v>0</v>
      </c>
      <c r="K707" t="n">
        <v>0</v>
      </c>
      <c r="L707" t="n">
        <v>0</v>
      </c>
      <c r="M707" t="n">
        <v>0</v>
      </c>
      <c r="N707" t="n">
        <v>0</v>
      </c>
      <c r="O707" t="n">
        <v>0</v>
      </c>
      <c r="P707" t="n">
        <v>0</v>
      </c>
      <c r="Q707" t="n">
        <v>0</v>
      </c>
      <c r="R707" s="2" t="inlineStr"/>
    </row>
    <row r="708" ht="15" customHeight="1">
      <c r="A708" t="inlineStr">
        <is>
          <t>A 16111-2022</t>
        </is>
      </c>
      <c r="B708" s="1" t="n">
        <v>44665</v>
      </c>
      <c r="C708" s="1" t="n">
        <v>45975</v>
      </c>
      <c r="D708" t="inlineStr">
        <is>
          <t>ÖSTERGÖTLANDS LÄN</t>
        </is>
      </c>
      <c r="E708" t="inlineStr">
        <is>
          <t>LINKÖPING</t>
        </is>
      </c>
      <c r="F708" t="inlineStr">
        <is>
          <t>Övriga Aktiebolag</t>
        </is>
      </c>
      <c r="G708" t="n">
        <v>2.9</v>
      </c>
      <c r="H708" t="n">
        <v>0</v>
      </c>
      <c r="I708" t="n">
        <v>0</v>
      </c>
      <c r="J708" t="n">
        <v>0</v>
      </c>
      <c r="K708" t="n">
        <v>0</v>
      </c>
      <c r="L708" t="n">
        <v>0</v>
      </c>
      <c r="M708" t="n">
        <v>0</v>
      </c>
      <c r="N708" t="n">
        <v>0</v>
      </c>
      <c r="O708" t="n">
        <v>0</v>
      </c>
      <c r="P708" t="n">
        <v>0</v>
      </c>
      <c r="Q708" t="n">
        <v>0</v>
      </c>
      <c r="R708" s="2" t="inlineStr"/>
    </row>
    <row r="709" ht="15" customHeight="1">
      <c r="A709" t="inlineStr">
        <is>
          <t>A 31635-2023</t>
        </is>
      </c>
      <c r="B709" s="1" t="n">
        <v>45105</v>
      </c>
      <c r="C709" s="1" t="n">
        <v>45975</v>
      </c>
      <c r="D709" t="inlineStr">
        <is>
          <t>ÖSTERGÖTLANDS LÄN</t>
        </is>
      </c>
      <c r="E709" t="inlineStr">
        <is>
          <t>LINKÖPING</t>
        </is>
      </c>
      <c r="F709" t="inlineStr">
        <is>
          <t>Övriga statliga verk och myndigheter</t>
        </is>
      </c>
      <c r="G709" t="n">
        <v>4.6</v>
      </c>
      <c r="H709" t="n">
        <v>0</v>
      </c>
      <c r="I709" t="n">
        <v>0</v>
      </c>
      <c r="J709" t="n">
        <v>0</v>
      </c>
      <c r="K709" t="n">
        <v>0</v>
      </c>
      <c r="L709" t="n">
        <v>0</v>
      </c>
      <c r="M709" t="n">
        <v>0</v>
      </c>
      <c r="N709" t="n">
        <v>0</v>
      </c>
      <c r="O709" t="n">
        <v>0</v>
      </c>
      <c r="P709" t="n">
        <v>0</v>
      </c>
      <c r="Q709" t="n">
        <v>0</v>
      </c>
      <c r="R709" s="2" t="inlineStr"/>
    </row>
    <row r="710" ht="15" customHeight="1">
      <c r="A710" t="inlineStr">
        <is>
          <t>A 49928-2024</t>
        </is>
      </c>
      <c r="B710" s="1" t="n">
        <v>45597.57811342592</v>
      </c>
      <c r="C710" s="1" t="n">
        <v>45975</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54845-2023</t>
        </is>
      </c>
      <c r="B711" s="1" t="n">
        <v>45236</v>
      </c>
      <c r="C711" s="1" t="n">
        <v>45975</v>
      </c>
      <c r="D711" t="inlineStr">
        <is>
          <t>ÖSTERGÖTLANDS LÄN</t>
        </is>
      </c>
      <c r="E711" t="inlineStr">
        <is>
          <t>LINKÖPING</t>
        </is>
      </c>
      <c r="F711" t="inlineStr">
        <is>
          <t>Övriga Aktiebolag</t>
        </is>
      </c>
      <c r="G711" t="n">
        <v>5.7</v>
      </c>
      <c r="H711" t="n">
        <v>0</v>
      </c>
      <c r="I711" t="n">
        <v>0</v>
      </c>
      <c r="J711" t="n">
        <v>0</v>
      </c>
      <c r="K711" t="n">
        <v>0</v>
      </c>
      <c r="L711" t="n">
        <v>0</v>
      </c>
      <c r="M711" t="n">
        <v>0</v>
      </c>
      <c r="N711" t="n">
        <v>0</v>
      </c>
      <c r="O711" t="n">
        <v>0</v>
      </c>
      <c r="P711" t="n">
        <v>0</v>
      </c>
      <c r="Q711" t="n">
        <v>0</v>
      </c>
      <c r="R711" s="2" t="inlineStr"/>
    </row>
    <row r="712" ht="15" customHeight="1">
      <c r="A712" t="inlineStr">
        <is>
          <t>A 46687-2021</t>
        </is>
      </c>
      <c r="B712" s="1" t="n">
        <v>44445</v>
      </c>
      <c r="C712" s="1" t="n">
        <v>45975</v>
      </c>
      <c r="D712" t="inlineStr">
        <is>
          <t>ÖSTERGÖTLANDS LÄN</t>
        </is>
      </c>
      <c r="E712" t="inlineStr">
        <is>
          <t>LINKÖPING</t>
        </is>
      </c>
      <c r="F712" t="inlineStr">
        <is>
          <t>Övriga statliga verk och myndigheter</t>
        </is>
      </c>
      <c r="G712" t="n">
        <v>2.3</v>
      </c>
      <c r="H712" t="n">
        <v>0</v>
      </c>
      <c r="I712" t="n">
        <v>0</v>
      </c>
      <c r="J712" t="n">
        <v>0</v>
      </c>
      <c r="K712" t="n">
        <v>0</v>
      </c>
      <c r="L712" t="n">
        <v>0</v>
      </c>
      <c r="M712" t="n">
        <v>0</v>
      </c>
      <c r="N712" t="n">
        <v>0</v>
      </c>
      <c r="O712" t="n">
        <v>0</v>
      </c>
      <c r="P712" t="n">
        <v>0</v>
      </c>
      <c r="Q712" t="n">
        <v>0</v>
      </c>
      <c r="R712" s="2" t="inlineStr"/>
    </row>
    <row r="713" ht="15" customHeight="1">
      <c r="A713" t="inlineStr">
        <is>
          <t>A 30855-2022</t>
        </is>
      </c>
      <c r="B713" s="1" t="n">
        <v>44767</v>
      </c>
      <c r="C713" s="1" t="n">
        <v>45975</v>
      </c>
      <c r="D713" t="inlineStr">
        <is>
          <t>ÖSTERGÖTLANDS LÄN</t>
        </is>
      </c>
      <c r="E713" t="inlineStr">
        <is>
          <t>LINKÖPING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1355-2023</t>
        </is>
      </c>
      <c r="B714" s="1" t="n">
        <v>44931</v>
      </c>
      <c r="C714" s="1" t="n">
        <v>45975</v>
      </c>
      <c r="D714" t="inlineStr">
        <is>
          <t>ÖSTERGÖTLANDS LÄN</t>
        </is>
      </c>
      <c r="E714" t="inlineStr">
        <is>
          <t>LINKÖPING</t>
        </is>
      </c>
      <c r="G714" t="n">
        <v>4</v>
      </c>
      <c r="H714" t="n">
        <v>0</v>
      </c>
      <c r="I714" t="n">
        <v>0</v>
      </c>
      <c r="J714" t="n">
        <v>0</v>
      </c>
      <c r="K714" t="n">
        <v>0</v>
      </c>
      <c r="L714" t="n">
        <v>0</v>
      </c>
      <c r="M714" t="n">
        <v>0</v>
      </c>
      <c r="N714" t="n">
        <v>0</v>
      </c>
      <c r="O714" t="n">
        <v>0</v>
      </c>
      <c r="P714" t="n">
        <v>0</v>
      </c>
      <c r="Q714" t="n">
        <v>0</v>
      </c>
      <c r="R714" s="2" t="inlineStr"/>
    </row>
    <row r="715" ht="15" customHeight="1">
      <c r="A715" t="inlineStr">
        <is>
          <t>A 27844-2024</t>
        </is>
      </c>
      <c r="B715" s="1" t="n">
        <v>45475.63047453704</v>
      </c>
      <c r="C715" s="1" t="n">
        <v>45975</v>
      </c>
      <c r="D715" t="inlineStr">
        <is>
          <t>ÖSTERGÖTLANDS LÄN</t>
        </is>
      </c>
      <c r="E715" t="inlineStr">
        <is>
          <t>LINKÖPING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10741-2023</t>
        </is>
      </c>
      <c r="B716" s="1" t="n">
        <v>44988.70084490741</v>
      </c>
      <c r="C716" s="1" t="n">
        <v>45975</v>
      </c>
      <c r="D716" t="inlineStr">
        <is>
          <t>ÖSTERGÖTLANDS LÄN</t>
        </is>
      </c>
      <c r="E716" t="inlineStr">
        <is>
          <t>LINKÖPING</t>
        </is>
      </c>
      <c r="F716" t="inlineStr">
        <is>
          <t>Allmännings- och besparingsskogar</t>
        </is>
      </c>
      <c r="G716" t="n">
        <v>11.2</v>
      </c>
      <c r="H716" t="n">
        <v>0</v>
      </c>
      <c r="I716" t="n">
        <v>0</v>
      </c>
      <c r="J716" t="n">
        <v>0</v>
      </c>
      <c r="K716" t="n">
        <v>0</v>
      </c>
      <c r="L716" t="n">
        <v>0</v>
      </c>
      <c r="M716" t="n">
        <v>0</v>
      </c>
      <c r="N716" t="n">
        <v>0</v>
      </c>
      <c r="O716" t="n">
        <v>0</v>
      </c>
      <c r="P716" t="n">
        <v>0</v>
      </c>
      <c r="Q716" t="n">
        <v>0</v>
      </c>
      <c r="R716" s="2" t="inlineStr"/>
    </row>
    <row r="717">
      <c r="A717" t="inlineStr">
        <is>
          <t>A 50963-2021</t>
        </is>
      </c>
      <c r="B717" s="1" t="n">
        <v>44460</v>
      </c>
      <c r="C717" s="1" t="n">
        <v>45975</v>
      </c>
      <c r="D717" t="inlineStr">
        <is>
          <t>ÖSTERGÖTLANDS LÄN</t>
        </is>
      </c>
      <c r="E717" t="inlineStr">
        <is>
          <t>LINKÖPING</t>
        </is>
      </c>
      <c r="G717" t="n">
        <v>4.4</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2025-11-14T10:14:13Z</dcterms:created>
  <dcterms:modified xmlns:dcterms="http://purl.org/dc/terms/" xmlns:xsi="http://www.w3.org/2001/XMLSchema-instance" xsi:type="dcterms:W3CDTF">2025-11-14T10:14:13Z</dcterms:modified>
</cp:coreProperties>
</file>