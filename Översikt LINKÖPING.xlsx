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46121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46121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46121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46121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7186-2026</t>
        </is>
      </c>
      <c r="B7" s="1" t="n">
        <v>46058.49090277778</v>
      </c>
      <c r="C7" s="1" t="n">
        <v>46121</v>
      </c>
      <c r="D7" t="inlineStr">
        <is>
          <t>ÖSTERGÖTLANDS LÄN</t>
        </is>
      </c>
      <c r="E7" t="inlineStr">
        <is>
          <t>LINKÖPING</t>
        </is>
      </c>
      <c r="G7" t="n">
        <v>5.5</v>
      </c>
      <c r="H7" t="n">
        <v>5</v>
      </c>
      <c r="I7" t="n">
        <v>1</v>
      </c>
      <c r="J7" t="n">
        <v>4</v>
      </c>
      <c r="K7" t="n">
        <v>1</v>
      </c>
      <c r="L7" t="n">
        <v>0</v>
      </c>
      <c r="M7" t="n">
        <v>0</v>
      </c>
      <c r="N7" t="n">
        <v>0</v>
      </c>
      <c r="O7" t="n">
        <v>5</v>
      </c>
      <c r="P7" t="n">
        <v>1</v>
      </c>
      <c r="Q7" t="n">
        <v>8</v>
      </c>
      <c r="R7" s="2" t="inlineStr">
        <is>
          <t>Knärot
Entita
Spillkråka
Tallticka
Vedskivlav
Grönpyrola
Blåsippa
Revlummer</t>
        </is>
      </c>
      <c r="S7">
        <f>HYPERLINK("https://klasma.github.io/Logging_0580/artfynd/A 7186-2026 artfynd.xlsx", "A 7186-2026")</f>
        <v/>
      </c>
      <c r="T7">
        <f>HYPERLINK("https://klasma.github.io/Logging_0580/kartor/A 7186-2026 karta.png", "A 7186-2026")</f>
        <v/>
      </c>
      <c r="U7">
        <f>HYPERLINK("https://klasma.github.io/Logging_0580/knärot/A 7186-2026 karta knärot.png", "A 7186-2026")</f>
        <v/>
      </c>
      <c r="V7">
        <f>HYPERLINK("https://klasma.github.io/Logging_0580/klagomål/A 7186-2026 FSC-klagomål.docx", "A 7186-2026")</f>
        <v/>
      </c>
      <c r="W7">
        <f>HYPERLINK("https://klasma.github.io/Logging_0580/klagomålsmail/A 7186-2026 FSC-klagomål mail.docx", "A 7186-2026")</f>
        <v/>
      </c>
      <c r="X7">
        <f>HYPERLINK("https://klasma.github.io/Logging_0580/tillsyn/A 7186-2026 tillsynsbegäran.docx", "A 7186-2026")</f>
        <v/>
      </c>
      <c r="Y7">
        <f>HYPERLINK("https://klasma.github.io/Logging_0580/tillsynsmail/A 7186-2026 tillsynsbegäran mail.docx", "A 7186-2026")</f>
        <v/>
      </c>
      <c r="Z7">
        <f>HYPERLINK("https://klasma.github.io/Logging_0580/fåglar/A 7186-2026 prioriterade fågelarter.docx", "A 7186-2026")</f>
        <v/>
      </c>
    </row>
    <row r="8" ht="15" customHeight="1">
      <c r="A8" t="inlineStr">
        <is>
          <t>A 10406-2025</t>
        </is>
      </c>
      <c r="B8" s="1" t="n">
        <v>45720.62849537037</v>
      </c>
      <c r="C8" s="1" t="n">
        <v>46121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55683-2025</t>
        </is>
      </c>
      <c r="B9" s="1" t="n">
        <v>45972.4255324074</v>
      </c>
      <c r="C9" s="1" t="n">
        <v>46121</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46121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46121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46121</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46121</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46121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46121</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46121</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46121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46121</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11048-2026</t>
        </is>
      </c>
      <c r="B19" s="1" t="n">
        <v>46079.58841435185</v>
      </c>
      <c r="C19" s="1" t="n">
        <v>46121</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46121</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6353-2026</t>
        </is>
      </c>
      <c r="B21" s="1" t="n">
        <v>46055.61385416667</v>
      </c>
      <c r="C21" s="1" t="n">
        <v>46121</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46121</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46121</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38137-2021</t>
        </is>
      </c>
      <c r="B24" s="1" t="n">
        <v>44405.38357638889</v>
      </c>
      <c r="C24" s="1" t="n">
        <v>46121</v>
      </c>
      <c r="D24" t="inlineStr">
        <is>
          <t>ÖSTERGÖTLANDS LÄN</t>
        </is>
      </c>
      <c r="E24" t="inlineStr">
        <is>
          <t>LINKÖPING</t>
        </is>
      </c>
      <c r="G24" t="n">
        <v>2</v>
      </c>
      <c r="H24" t="n">
        <v>0</v>
      </c>
      <c r="I24" t="n">
        <v>2</v>
      </c>
      <c r="J24" t="n">
        <v>0</v>
      </c>
      <c r="K24" t="n">
        <v>0</v>
      </c>
      <c r="L24" t="n">
        <v>0</v>
      </c>
      <c r="M24" t="n">
        <v>0</v>
      </c>
      <c r="N24" t="n">
        <v>0</v>
      </c>
      <c r="O24" t="n">
        <v>0</v>
      </c>
      <c r="P24" t="n">
        <v>0</v>
      </c>
      <c r="Q24" t="n">
        <v>2</v>
      </c>
      <c r="R24" s="2" t="inlineStr">
        <is>
          <t>Blomkålssvamp
Mandelriska</t>
        </is>
      </c>
      <c r="S24">
        <f>HYPERLINK("https://klasma.github.io/Logging_0580/artfynd/A 38137-2021 artfynd.xlsx", "A 38137-2021")</f>
        <v/>
      </c>
      <c r="T24">
        <f>HYPERLINK("https://klasma.github.io/Logging_0580/kartor/A 38137-2021 karta.png", "A 38137-2021")</f>
        <v/>
      </c>
      <c r="V24">
        <f>HYPERLINK("https://klasma.github.io/Logging_0580/klagomål/A 38137-2021 FSC-klagomål.docx", "A 38137-2021")</f>
        <v/>
      </c>
      <c r="W24">
        <f>HYPERLINK("https://klasma.github.io/Logging_0580/klagomålsmail/A 38137-2021 FSC-klagomål mail.docx", "A 38137-2021")</f>
        <v/>
      </c>
      <c r="X24">
        <f>HYPERLINK("https://klasma.github.io/Logging_0580/tillsyn/A 38137-2021 tillsynsbegäran.docx", "A 38137-2021")</f>
        <v/>
      </c>
      <c r="Y24">
        <f>HYPERLINK("https://klasma.github.io/Logging_0580/tillsynsmail/A 38137-2021 tillsynsbegäran mail.docx", "A 38137-2021")</f>
        <v/>
      </c>
    </row>
    <row r="25" ht="15" customHeight="1">
      <c r="A25" t="inlineStr">
        <is>
          <t>A 17520-2022</t>
        </is>
      </c>
      <c r="B25" s="1" t="n">
        <v>44679</v>
      </c>
      <c r="C25" s="1" t="n">
        <v>46121</v>
      </c>
      <c r="D25" t="inlineStr">
        <is>
          <t>ÖSTERGÖTLANDS LÄN</t>
        </is>
      </c>
      <c r="E25" t="inlineStr">
        <is>
          <t>LINKÖPING</t>
        </is>
      </c>
      <c r="F25" t="inlineStr">
        <is>
          <t>Kommuner</t>
        </is>
      </c>
      <c r="G25" t="n">
        <v>4.6</v>
      </c>
      <c r="H25" t="n">
        <v>0</v>
      </c>
      <c r="I25" t="n">
        <v>2</v>
      </c>
      <c r="J25" t="n">
        <v>0</v>
      </c>
      <c r="K25" t="n">
        <v>0</v>
      </c>
      <c r="L25" t="n">
        <v>0</v>
      </c>
      <c r="M25" t="n">
        <v>0</v>
      </c>
      <c r="N25" t="n">
        <v>0</v>
      </c>
      <c r="O25" t="n">
        <v>0</v>
      </c>
      <c r="P25" t="n">
        <v>0</v>
      </c>
      <c r="Q25" t="n">
        <v>2</v>
      </c>
      <c r="R25" s="2" t="inlineStr">
        <is>
          <t>Blåmossa
Trådticka</t>
        </is>
      </c>
      <c r="S25">
        <f>HYPERLINK("https://klasma.github.io/Logging_0580/artfynd/A 17520-2022 artfynd.xlsx", "A 17520-2022")</f>
        <v/>
      </c>
      <c r="T25">
        <f>HYPERLINK("https://klasma.github.io/Logging_0580/kartor/A 17520-2022 karta.png", "A 17520-2022")</f>
        <v/>
      </c>
      <c r="V25">
        <f>HYPERLINK("https://klasma.github.io/Logging_0580/klagomål/A 17520-2022 FSC-klagomål.docx", "A 17520-2022")</f>
        <v/>
      </c>
      <c r="W25">
        <f>HYPERLINK("https://klasma.github.io/Logging_0580/klagomålsmail/A 17520-2022 FSC-klagomål mail.docx", "A 17520-2022")</f>
        <v/>
      </c>
      <c r="X25">
        <f>HYPERLINK("https://klasma.github.io/Logging_0580/tillsyn/A 17520-2022 tillsynsbegäran.docx", "A 17520-2022")</f>
        <v/>
      </c>
      <c r="Y25">
        <f>HYPERLINK("https://klasma.github.io/Logging_0580/tillsynsmail/A 17520-2022 tillsynsbegäran mail.docx", "A 17520-2022")</f>
        <v/>
      </c>
    </row>
    <row r="26" ht="15" customHeight="1">
      <c r="A26" t="inlineStr">
        <is>
          <t>A 27981-2022</t>
        </is>
      </c>
      <c r="B26" s="1" t="n">
        <v>44745</v>
      </c>
      <c r="C26" s="1" t="n">
        <v>46121</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58068-2021</t>
        </is>
      </c>
      <c r="B27" s="1" t="n">
        <v>44487</v>
      </c>
      <c r="C27" s="1" t="n">
        <v>46121</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50404-2023</t>
        </is>
      </c>
      <c r="B28" s="1" t="n">
        <v>45216</v>
      </c>
      <c r="C28" s="1" t="n">
        <v>46121</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27795-2025</t>
        </is>
      </c>
      <c r="B29" s="1" t="n">
        <v>45816.7908912037</v>
      </c>
      <c r="C29" s="1" t="n">
        <v>46121</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14879-2024</t>
        </is>
      </c>
      <c r="B30" s="1" t="n">
        <v>45398</v>
      </c>
      <c r="C30" s="1" t="n">
        <v>46121</v>
      </c>
      <c r="D30" t="inlineStr">
        <is>
          <t>ÖSTERGÖTLANDS LÄN</t>
        </is>
      </c>
      <c r="E30" t="inlineStr">
        <is>
          <t>LINKÖPING</t>
        </is>
      </c>
      <c r="F30" t="inlineStr">
        <is>
          <t>Övriga Aktiebolag</t>
        </is>
      </c>
      <c r="G30" t="n">
        <v>1.7</v>
      </c>
      <c r="H30" t="n">
        <v>1</v>
      </c>
      <c r="I30" t="n">
        <v>1</v>
      </c>
      <c r="J30" t="n">
        <v>0</v>
      </c>
      <c r="K30" t="n">
        <v>0</v>
      </c>
      <c r="L30" t="n">
        <v>0</v>
      </c>
      <c r="M30" t="n">
        <v>0</v>
      </c>
      <c r="N30" t="n">
        <v>0</v>
      </c>
      <c r="O30" t="n">
        <v>0</v>
      </c>
      <c r="P30" t="n">
        <v>0</v>
      </c>
      <c r="Q30" t="n">
        <v>2</v>
      </c>
      <c r="R30" s="2" t="inlineStr">
        <is>
          <t>Svart trolldruva
Grönvit nattviol</t>
        </is>
      </c>
      <c r="S30">
        <f>HYPERLINK("https://klasma.github.io/Logging_0580/artfynd/A 14879-2024 artfynd.xlsx", "A 14879-2024")</f>
        <v/>
      </c>
      <c r="T30">
        <f>HYPERLINK("https://klasma.github.io/Logging_0580/kartor/A 14879-2024 karta.png", "A 14879-2024")</f>
        <v/>
      </c>
      <c r="V30">
        <f>HYPERLINK("https://klasma.github.io/Logging_0580/klagomål/A 14879-2024 FSC-klagomål.docx", "A 14879-2024")</f>
        <v/>
      </c>
      <c r="W30">
        <f>HYPERLINK("https://klasma.github.io/Logging_0580/klagomålsmail/A 14879-2024 FSC-klagomål mail.docx", "A 14879-2024")</f>
        <v/>
      </c>
      <c r="X30">
        <f>HYPERLINK("https://klasma.github.io/Logging_0580/tillsyn/A 14879-2024 tillsynsbegäran.docx", "A 14879-2024")</f>
        <v/>
      </c>
      <c r="Y30">
        <f>HYPERLINK("https://klasma.github.io/Logging_0580/tillsynsmail/A 14879-2024 tillsynsbegäran mail.docx", "A 14879-2024")</f>
        <v/>
      </c>
    </row>
    <row r="31" ht="15" customHeight="1">
      <c r="A31" t="inlineStr">
        <is>
          <t>A 8818-2025</t>
        </is>
      </c>
      <c r="B31" s="1" t="n">
        <v>45712</v>
      </c>
      <c r="C31" s="1" t="n">
        <v>46121</v>
      </c>
      <c r="D31" t="inlineStr">
        <is>
          <t>ÖSTERGÖTLANDS LÄN</t>
        </is>
      </c>
      <c r="E31" t="inlineStr">
        <is>
          <t>LINKÖPING</t>
        </is>
      </c>
      <c r="F31" t="inlineStr">
        <is>
          <t>Kommuner</t>
        </is>
      </c>
      <c r="G31" t="n">
        <v>0.6</v>
      </c>
      <c r="H31" t="n">
        <v>0</v>
      </c>
      <c r="I31" t="n">
        <v>0</v>
      </c>
      <c r="J31" t="n">
        <v>1</v>
      </c>
      <c r="K31" t="n">
        <v>1</v>
      </c>
      <c r="L31" t="n">
        <v>0</v>
      </c>
      <c r="M31" t="n">
        <v>0</v>
      </c>
      <c r="N31" t="n">
        <v>0</v>
      </c>
      <c r="O31" t="n">
        <v>2</v>
      </c>
      <c r="P31" t="n">
        <v>1</v>
      </c>
      <c r="Q31" t="n">
        <v>2</v>
      </c>
      <c r="R31" s="2" t="inlineStr">
        <is>
          <t>Luddvicker
Klubbsprötad bastardsvärmare</t>
        </is>
      </c>
      <c r="S31">
        <f>HYPERLINK("https://klasma.github.io/Logging_0580/artfynd/A 8818-2025 artfynd.xlsx", "A 8818-2025")</f>
        <v/>
      </c>
      <c r="T31">
        <f>HYPERLINK("https://klasma.github.io/Logging_0580/kartor/A 8818-2025 karta.png", "A 8818-2025")</f>
        <v/>
      </c>
      <c r="V31">
        <f>HYPERLINK("https://klasma.github.io/Logging_0580/klagomål/A 8818-2025 FSC-klagomål.docx", "A 8818-2025")</f>
        <v/>
      </c>
      <c r="W31">
        <f>HYPERLINK("https://klasma.github.io/Logging_0580/klagomålsmail/A 8818-2025 FSC-klagomål mail.docx", "A 8818-2025")</f>
        <v/>
      </c>
      <c r="X31">
        <f>HYPERLINK("https://klasma.github.io/Logging_0580/tillsyn/A 8818-2025 tillsynsbegäran.docx", "A 8818-2025")</f>
        <v/>
      </c>
      <c r="Y31">
        <f>HYPERLINK("https://klasma.github.io/Logging_0580/tillsynsmail/A 8818-2025 tillsynsbegäran mail.docx", "A 8818-2025")</f>
        <v/>
      </c>
    </row>
    <row r="32" ht="15" customHeight="1">
      <c r="A32" t="inlineStr">
        <is>
          <t>A 50048-2025</t>
        </is>
      </c>
      <c r="B32" s="1" t="n">
        <v>45941</v>
      </c>
      <c r="C32" s="1" t="n">
        <v>46121</v>
      </c>
      <c r="D32" t="inlineStr">
        <is>
          <t>ÖSTERGÖTLANDS LÄN</t>
        </is>
      </c>
      <c r="E32" t="inlineStr">
        <is>
          <t>LINKÖPING</t>
        </is>
      </c>
      <c r="G32" t="n">
        <v>2.4</v>
      </c>
      <c r="H32" t="n">
        <v>2</v>
      </c>
      <c r="I32" t="n">
        <v>0</v>
      </c>
      <c r="J32" t="n">
        <v>1</v>
      </c>
      <c r="K32" t="n">
        <v>0</v>
      </c>
      <c r="L32" t="n">
        <v>0</v>
      </c>
      <c r="M32" t="n">
        <v>0</v>
      </c>
      <c r="N32" t="n">
        <v>0</v>
      </c>
      <c r="O32" t="n">
        <v>1</v>
      </c>
      <c r="P32" t="n">
        <v>0</v>
      </c>
      <c r="Q32" t="n">
        <v>2</v>
      </c>
      <c r="R32" s="2" t="inlineStr">
        <is>
          <t>Gulsparv
Trädlärka</t>
        </is>
      </c>
      <c r="S32">
        <f>HYPERLINK("https://klasma.github.io/Logging_0580/artfynd/A 50048-2025 artfynd.xlsx", "A 50048-2025")</f>
        <v/>
      </c>
      <c r="T32">
        <f>HYPERLINK("https://klasma.github.io/Logging_0580/kartor/A 50048-2025 karta.png", "A 50048-2025")</f>
        <v/>
      </c>
      <c r="V32">
        <f>HYPERLINK("https://klasma.github.io/Logging_0580/klagomål/A 50048-2025 FSC-klagomål.docx", "A 50048-2025")</f>
        <v/>
      </c>
      <c r="W32">
        <f>HYPERLINK("https://klasma.github.io/Logging_0580/klagomålsmail/A 50048-2025 FSC-klagomål mail.docx", "A 50048-2025")</f>
        <v/>
      </c>
      <c r="X32">
        <f>HYPERLINK("https://klasma.github.io/Logging_0580/tillsyn/A 50048-2025 tillsynsbegäran.docx", "A 50048-2025")</f>
        <v/>
      </c>
      <c r="Y32">
        <f>HYPERLINK("https://klasma.github.io/Logging_0580/tillsynsmail/A 50048-2025 tillsynsbegäran mail.docx", "A 50048-2025")</f>
        <v/>
      </c>
      <c r="Z32">
        <f>HYPERLINK("https://klasma.github.io/Logging_0580/fåglar/A 50048-2025 prioriterade fågelarter.docx", "A 50048-2025")</f>
        <v/>
      </c>
    </row>
    <row r="33" ht="15" customHeight="1">
      <c r="A33" t="inlineStr">
        <is>
          <t>A 25985-2025</t>
        </is>
      </c>
      <c r="B33" s="1" t="n">
        <v>45804.64479166667</v>
      </c>
      <c r="C33" s="1" t="n">
        <v>46121</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46121</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22040-2023</t>
        </is>
      </c>
      <c r="B35" s="1" t="n">
        <v>45068</v>
      </c>
      <c r="C35" s="1" t="n">
        <v>46121</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49188-2024</t>
        </is>
      </c>
      <c r="B36" s="1" t="n">
        <v>45595</v>
      </c>
      <c r="C36" s="1" t="n">
        <v>46121</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46121</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3912-2026</t>
        </is>
      </c>
      <c r="B38" s="1" t="n">
        <v>46043.71958333333</v>
      </c>
      <c r="C38" s="1" t="n">
        <v>46121</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12494-2026</t>
        </is>
      </c>
      <c r="B39" s="1" t="n">
        <v>46090.56896990741</v>
      </c>
      <c r="C39" s="1" t="n">
        <v>46121</v>
      </c>
      <c r="D39" t="inlineStr">
        <is>
          <t>ÖSTERGÖTLANDS LÄN</t>
        </is>
      </c>
      <c r="E39" t="inlineStr">
        <is>
          <t>LINKÖPING</t>
        </is>
      </c>
      <c r="G39" t="n">
        <v>3.4</v>
      </c>
      <c r="H39" t="n">
        <v>0</v>
      </c>
      <c r="I39" t="n">
        <v>0</v>
      </c>
      <c r="J39" t="n">
        <v>1</v>
      </c>
      <c r="K39" t="n">
        <v>1</v>
      </c>
      <c r="L39" t="n">
        <v>0</v>
      </c>
      <c r="M39" t="n">
        <v>0</v>
      </c>
      <c r="N39" t="n">
        <v>0</v>
      </c>
      <c r="O39" t="n">
        <v>2</v>
      </c>
      <c r="P39" t="n">
        <v>1</v>
      </c>
      <c r="Q39" t="n">
        <v>2</v>
      </c>
      <c r="R39" s="2" t="inlineStr">
        <is>
          <t>Slåttergubbe
Svinrot</t>
        </is>
      </c>
      <c r="S39">
        <f>HYPERLINK("https://klasma.github.io/Logging_0580/artfynd/A 12494-2026 artfynd.xlsx", "A 12494-2026")</f>
        <v/>
      </c>
      <c r="T39">
        <f>HYPERLINK("https://klasma.github.io/Logging_0580/kartor/A 12494-2026 karta.png", "A 12494-2026")</f>
        <v/>
      </c>
      <c r="V39">
        <f>HYPERLINK("https://klasma.github.io/Logging_0580/klagomål/A 12494-2026 FSC-klagomål.docx", "A 12494-2026")</f>
        <v/>
      </c>
      <c r="W39">
        <f>HYPERLINK("https://klasma.github.io/Logging_0580/klagomålsmail/A 12494-2026 FSC-klagomål mail.docx", "A 12494-2026")</f>
        <v/>
      </c>
      <c r="X39">
        <f>HYPERLINK("https://klasma.github.io/Logging_0580/tillsyn/A 12494-2026 tillsynsbegäran.docx", "A 12494-2026")</f>
        <v/>
      </c>
      <c r="Y39">
        <f>HYPERLINK("https://klasma.github.io/Logging_0580/tillsynsmail/A 12494-2026 tillsynsbegäran mail.docx", "A 12494-2026")</f>
        <v/>
      </c>
    </row>
    <row r="40" ht="15" customHeight="1">
      <c r="A40" t="inlineStr">
        <is>
          <t>A 20292-2025</t>
        </is>
      </c>
      <c r="B40" s="1" t="n">
        <v>45774.7449537037</v>
      </c>
      <c r="C40" s="1" t="n">
        <v>46121</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20297-2025</t>
        </is>
      </c>
      <c r="B41" s="1" t="n">
        <v>45774.74971064815</v>
      </c>
      <c r="C41" s="1" t="n">
        <v>46121</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15856-2026</t>
        </is>
      </c>
      <c r="B42" s="1" t="n">
        <v>46107.57620370371</v>
      </c>
      <c r="C42" s="1" t="n">
        <v>46121</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46121</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41751-2023</t>
        </is>
      </c>
      <c r="B44" s="1" t="n">
        <v>45176</v>
      </c>
      <c r="C44" s="1" t="n">
        <v>46121</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46121</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46121</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46121</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46121</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46121</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46121</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46121</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46121</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46121</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1716-2023</t>
        </is>
      </c>
      <c r="B54" s="1" t="n">
        <v>44938</v>
      </c>
      <c r="C54" s="1" t="n">
        <v>46121</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1716-2023 artfynd.xlsx", "A 1716-2023")</f>
        <v/>
      </c>
      <c r="T54">
        <f>HYPERLINK("https://klasma.github.io/Logging_0580/kartor/A 1716-2023 karta.png", "A 1716-2023")</f>
        <v/>
      </c>
      <c r="V54">
        <f>HYPERLINK("https://klasma.github.io/Logging_0580/klagomål/A 1716-2023 FSC-klagomål.docx", "A 1716-2023")</f>
        <v/>
      </c>
      <c r="W54">
        <f>HYPERLINK("https://klasma.github.io/Logging_0580/klagomålsmail/A 1716-2023 FSC-klagomål mail.docx", "A 1716-2023")</f>
        <v/>
      </c>
      <c r="X54">
        <f>HYPERLINK("https://klasma.github.io/Logging_0580/tillsyn/A 1716-2023 tillsynsbegäran.docx", "A 1716-2023")</f>
        <v/>
      </c>
      <c r="Y54">
        <f>HYPERLINK("https://klasma.github.io/Logging_0580/tillsynsmail/A 1716-2023 tillsynsbegäran mail.docx", "A 1716-2023")</f>
        <v/>
      </c>
    </row>
    <row r="55" ht="15" customHeight="1">
      <c r="A55" t="inlineStr">
        <is>
          <t>A 931-2025</t>
        </is>
      </c>
      <c r="B55" s="1" t="n">
        <v>45665.88498842593</v>
      </c>
      <c r="C55" s="1" t="n">
        <v>46121</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1213-2023</t>
        </is>
      </c>
      <c r="B56" s="1" t="n">
        <v>44930</v>
      </c>
      <c r="C56" s="1" t="n">
        <v>46121</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46121</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56112-2025</t>
        </is>
      </c>
      <c r="B58" s="1" t="n">
        <v>45973.73625</v>
      </c>
      <c r="C58" s="1" t="n">
        <v>46121</v>
      </c>
      <c r="D58" t="inlineStr">
        <is>
          <t>ÖSTERGÖTLANDS LÄN</t>
        </is>
      </c>
      <c r="E58" t="inlineStr">
        <is>
          <t>LINKÖPING</t>
        </is>
      </c>
      <c r="G58" t="n">
        <v>0.6</v>
      </c>
      <c r="H58" t="n">
        <v>0</v>
      </c>
      <c r="I58" t="n">
        <v>0</v>
      </c>
      <c r="J58" t="n">
        <v>1</v>
      </c>
      <c r="K58" t="n">
        <v>0</v>
      </c>
      <c r="L58" t="n">
        <v>0</v>
      </c>
      <c r="M58" t="n">
        <v>0</v>
      </c>
      <c r="N58" t="n">
        <v>0</v>
      </c>
      <c r="O58" t="n">
        <v>1</v>
      </c>
      <c r="P58" t="n">
        <v>0</v>
      </c>
      <c r="Q58" t="n">
        <v>1</v>
      </c>
      <c r="R58" s="2" t="inlineStr">
        <is>
          <t>Solvända</t>
        </is>
      </c>
      <c r="S58">
        <f>HYPERLINK("https://klasma.github.io/Logging_0580/artfynd/A 56112-2025 artfynd.xlsx", "A 56112-2025")</f>
        <v/>
      </c>
      <c r="T58">
        <f>HYPERLINK("https://klasma.github.io/Logging_0580/kartor/A 56112-2025 karta.png", "A 56112-2025")</f>
        <v/>
      </c>
      <c r="V58">
        <f>HYPERLINK("https://klasma.github.io/Logging_0580/klagomål/A 56112-2025 FSC-klagomål.docx", "A 56112-2025")</f>
        <v/>
      </c>
      <c r="W58">
        <f>HYPERLINK("https://klasma.github.io/Logging_0580/klagomålsmail/A 56112-2025 FSC-klagomål mail.docx", "A 56112-2025")</f>
        <v/>
      </c>
      <c r="X58">
        <f>HYPERLINK("https://klasma.github.io/Logging_0580/tillsyn/A 56112-2025 tillsynsbegäran.docx", "A 56112-2025")</f>
        <v/>
      </c>
      <c r="Y58">
        <f>HYPERLINK("https://klasma.github.io/Logging_0580/tillsynsmail/A 56112-2025 tillsynsbegäran mail.docx", "A 56112-2025")</f>
        <v/>
      </c>
    </row>
    <row r="59" ht="15" customHeight="1">
      <c r="A59" t="inlineStr">
        <is>
          <t>A 41749-2023</t>
        </is>
      </c>
      <c r="B59" s="1" t="n">
        <v>45176</v>
      </c>
      <c r="C59" s="1" t="n">
        <v>46121</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22526-2025</t>
        </is>
      </c>
      <c r="B60" s="1" t="n">
        <v>45786.78096064815</v>
      </c>
      <c r="C60" s="1" t="n">
        <v>46121</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59948-2022</t>
        </is>
      </c>
      <c r="B61" s="1" t="n">
        <v>44909</v>
      </c>
      <c r="C61" s="1" t="n">
        <v>46121</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27403-2025</t>
        </is>
      </c>
      <c r="B62" s="1" t="n">
        <v>45812.72518518518</v>
      </c>
      <c r="C62" s="1" t="n">
        <v>46121</v>
      </c>
      <c r="D62" t="inlineStr">
        <is>
          <t>ÖSTERGÖTLANDS LÄN</t>
        </is>
      </c>
      <c r="E62" t="inlineStr">
        <is>
          <t>LINKÖPING</t>
        </is>
      </c>
      <c r="G62" t="n">
        <v>1.4</v>
      </c>
      <c r="H62" t="n">
        <v>0</v>
      </c>
      <c r="I62" t="n">
        <v>0</v>
      </c>
      <c r="J62" t="n">
        <v>1</v>
      </c>
      <c r="K62" t="n">
        <v>0</v>
      </c>
      <c r="L62" t="n">
        <v>0</v>
      </c>
      <c r="M62" t="n">
        <v>0</v>
      </c>
      <c r="N62" t="n">
        <v>0</v>
      </c>
      <c r="O62" t="n">
        <v>1</v>
      </c>
      <c r="P62" t="n">
        <v>0</v>
      </c>
      <c r="Q62" t="n">
        <v>1</v>
      </c>
      <c r="R62" s="2" t="inlineStr">
        <is>
          <t>Tallticka</t>
        </is>
      </c>
      <c r="S62">
        <f>HYPERLINK("https://klasma.github.io/Logging_0580/artfynd/A 27403-2025 artfynd.xlsx", "A 27403-2025")</f>
        <v/>
      </c>
      <c r="T62">
        <f>HYPERLINK("https://klasma.github.io/Logging_0580/kartor/A 27403-2025 karta.png", "A 27403-2025")</f>
        <v/>
      </c>
      <c r="V62">
        <f>HYPERLINK("https://klasma.github.io/Logging_0580/klagomål/A 27403-2025 FSC-klagomål.docx", "A 27403-2025")</f>
        <v/>
      </c>
      <c r="W62">
        <f>HYPERLINK("https://klasma.github.io/Logging_0580/klagomålsmail/A 27403-2025 FSC-klagomål mail.docx", "A 27403-2025")</f>
        <v/>
      </c>
      <c r="X62">
        <f>HYPERLINK("https://klasma.github.io/Logging_0580/tillsyn/A 27403-2025 tillsynsbegäran.docx", "A 27403-2025")</f>
        <v/>
      </c>
      <c r="Y62">
        <f>HYPERLINK("https://klasma.github.io/Logging_0580/tillsynsmail/A 27403-2025 tillsynsbegäran mail.docx", "A 27403-2025")</f>
        <v/>
      </c>
    </row>
    <row r="63" ht="15" customHeight="1">
      <c r="A63" t="inlineStr">
        <is>
          <t>A 43989-2025</t>
        </is>
      </c>
      <c r="B63" s="1" t="n">
        <v>45915.44128472222</v>
      </c>
      <c r="C63" s="1" t="n">
        <v>46121</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46121</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29393-2025</t>
        </is>
      </c>
      <c r="B65" s="1" t="n">
        <v>45824.6057175926</v>
      </c>
      <c r="C65" s="1" t="n">
        <v>46121</v>
      </c>
      <c r="D65" t="inlineStr">
        <is>
          <t>ÖSTERGÖTLANDS LÄN</t>
        </is>
      </c>
      <c r="E65" t="inlineStr">
        <is>
          <t>LINKÖPING</t>
        </is>
      </c>
      <c r="F65" t="inlineStr">
        <is>
          <t>Sveaskog</t>
        </is>
      </c>
      <c r="G65" t="n">
        <v>24.6</v>
      </c>
      <c r="H65" t="n">
        <v>1</v>
      </c>
      <c r="I65" t="n">
        <v>0</v>
      </c>
      <c r="J65" t="n">
        <v>0</v>
      </c>
      <c r="K65" t="n">
        <v>1</v>
      </c>
      <c r="L65" t="n">
        <v>0</v>
      </c>
      <c r="M65" t="n">
        <v>0</v>
      </c>
      <c r="N65" t="n">
        <v>0</v>
      </c>
      <c r="O65" t="n">
        <v>1</v>
      </c>
      <c r="P65" t="n">
        <v>1</v>
      </c>
      <c r="Q65" t="n">
        <v>1</v>
      </c>
      <c r="R65" s="2" t="inlineStr">
        <is>
          <t>Skogsgås</t>
        </is>
      </c>
      <c r="S65">
        <f>HYPERLINK("https://klasma.github.io/Logging_0580/artfynd/A 29393-2025 artfynd.xlsx", "A 29393-2025")</f>
        <v/>
      </c>
      <c r="T65">
        <f>HYPERLINK("https://klasma.github.io/Logging_0580/kartor/A 29393-2025 karta.png", "A 29393-2025")</f>
        <v/>
      </c>
      <c r="V65">
        <f>HYPERLINK("https://klasma.github.io/Logging_0580/klagomål/A 29393-2025 FSC-klagomål.docx", "A 29393-2025")</f>
        <v/>
      </c>
      <c r="W65">
        <f>HYPERLINK("https://klasma.github.io/Logging_0580/klagomålsmail/A 29393-2025 FSC-klagomål mail.docx", "A 29393-2025")</f>
        <v/>
      </c>
      <c r="X65">
        <f>HYPERLINK("https://klasma.github.io/Logging_0580/tillsyn/A 29393-2025 tillsynsbegäran.docx", "A 29393-2025")</f>
        <v/>
      </c>
      <c r="Y65">
        <f>HYPERLINK("https://klasma.github.io/Logging_0580/tillsynsmail/A 29393-2025 tillsynsbegäran mail.docx", "A 29393-2025")</f>
        <v/>
      </c>
      <c r="Z65">
        <f>HYPERLINK("https://klasma.github.io/Logging_0580/fåglar/A 29393-2025 prioriterade fågelarter.docx", "A 29393-2025")</f>
        <v/>
      </c>
    </row>
    <row r="66" ht="15" customHeight="1">
      <c r="A66" t="inlineStr">
        <is>
          <t>A 37683-2024</t>
        </is>
      </c>
      <c r="B66" s="1" t="n">
        <v>45541.59120370371</v>
      </c>
      <c r="C66" s="1" t="n">
        <v>46121</v>
      </c>
      <c r="D66" t="inlineStr">
        <is>
          <t>ÖSTERGÖTLANDS LÄN</t>
        </is>
      </c>
      <c r="E66" t="inlineStr">
        <is>
          <t>LINKÖPING</t>
        </is>
      </c>
      <c r="G66" t="n">
        <v>0.6</v>
      </c>
      <c r="H66" t="n">
        <v>0</v>
      </c>
      <c r="I66" t="n">
        <v>1</v>
      </c>
      <c r="J66" t="n">
        <v>0</v>
      </c>
      <c r="K66" t="n">
        <v>0</v>
      </c>
      <c r="L66" t="n">
        <v>0</v>
      </c>
      <c r="M66" t="n">
        <v>0</v>
      </c>
      <c r="N66" t="n">
        <v>0</v>
      </c>
      <c r="O66" t="n">
        <v>0</v>
      </c>
      <c r="P66" t="n">
        <v>0</v>
      </c>
      <c r="Q66" t="n">
        <v>1</v>
      </c>
      <c r="R66" s="2" t="inlineStr">
        <is>
          <t>Tibast</t>
        </is>
      </c>
      <c r="S66">
        <f>HYPERLINK("https://klasma.github.io/Logging_0580/artfynd/A 37683-2024 artfynd.xlsx", "A 37683-2024")</f>
        <v/>
      </c>
      <c r="T66">
        <f>HYPERLINK("https://klasma.github.io/Logging_0580/kartor/A 37683-2024 karta.png", "A 37683-2024")</f>
        <v/>
      </c>
      <c r="V66">
        <f>HYPERLINK("https://klasma.github.io/Logging_0580/klagomål/A 37683-2024 FSC-klagomål.docx", "A 37683-2024")</f>
        <v/>
      </c>
      <c r="W66">
        <f>HYPERLINK("https://klasma.github.io/Logging_0580/klagomålsmail/A 37683-2024 FSC-klagomål mail.docx", "A 37683-2024")</f>
        <v/>
      </c>
      <c r="X66">
        <f>HYPERLINK("https://klasma.github.io/Logging_0580/tillsyn/A 37683-2024 tillsynsbegäran.docx", "A 37683-2024")</f>
        <v/>
      </c>
      <c r="Y66">
        <f>HYPERLINK("https://klasma.github.io/Logging_0580/tillsynsmail/A 37683-2024 tillsynsbegäran mail.docx", "A 37683-2024")</f>
        <v/>
      </c>
    </row>
    <row r="67" ht="15" customHeight="1">
      <c r="A67" t="inlineStr">
        <is>
          <t>A 59474-2025</t>
        </is>
      </c>
      <c r="B67" s="1" t="n">
        <v>45989.58512731481</v>
      </c>
      <c r="C67" s="1" t="n">
        <v>46121</v>
      </c>
      <c r="D67" t="inlineStr">
        <is>
          <t>ÖSTERGÖTLANDS LÄN</t>
        </is>
      </c>
      <c r="E67" t="inlineStr">
        <is>
          <t>LINKÖPING</t>
        </is>
      </c>
      <c r="G67" t="n">
        <v>8</v>
      </c>
      <c r="H67" t="n">
        <v>0</v>
      </c>
      <c r="I67" t="n">
        <v>1</v>
      </c>
      <c r="J67" t="n">
        <v>0</v>
      </c>
      <c r="K67" t="n">
        <v>0</v>
      </c>
      <c r="L67" t="n">
        <v>0</v>
      </c>
      <c r="M67" t="n">
        <v>0</v>
      </c>
      <c r="N67" t="n">
        <v>0</v>
      </c>
      <c r="O67" t="n">
        <v>0</v>
      </c>
      <c r="P67" t="n">
        <v>0</v>
      </c>
      <c r="Q67" t="n">
        <v>1</v>
      </c>
      <c r="R67" s="2" t="inlineStr">
        <is>
          <t>Fällmossa</t>
        </is>
      </c>
      <c r="S67">
        <f>HYPERLINK("https://klasma.github.io/Logging_0580/artfynd/A 59474-2025 artfynd.xlsx", "A 59474-2025")</f>
        <v/>
      </c>
      <c r="T67">
        <f>HYPERLINK("https://klasma.github.io/Logging_0580/kartor/A 59474-2025 karta.png", "A 59474-2025")</f>
        <v/>
      </c>
      <c r="V67">
        <f>HYPERLINK("https://klasma.github.io/Logging_0580/klagomål/A 59474-2025 FSC-klagomål.docx", "A 59474-2025")</f>
        <v/>
      </c>
      <c r="W67">
        <f>HYPERLINK("https://klasma.github.io/Logging_0580/klagomålsmail/A 59474-2025 FSC-klagomål mail.docx", "A 59474-2025")</f>
        <v/>
      </c>
      <c r="X67">
        <f>HYPERLINK("https://klasma.github.io/Logging_0580/tillsyn/A 59474-2025 tillsynsbegäran.docx", "A 59474-2025")</f>
        <v/>
      </c>
      <c r="Y67">
        <f>HYPERLINK("https://klasma.github.io/Logging_0580/tillsynsmail/A 59474-2025 tillsynsbegäran mail.docx", "A 59474-2025")</f>
        <v/>
      </c>
    </row>
    <row r="68" ht="15" customHeight="1">
      <c r="A68" t="inlineStr">
        <is>
          <t>A 48347-2025</t>
        </is>
      </c>
      <c r="B68" s="1" t="n">
        <v>45932</v>
      </c>
      <c r="C68" s="1" t="n">
        <v>46121</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48353-2025</t>
        </is>
      </c>
      <c r="B69" s="1" t="n">
        <v>45932</v>
      </c>
      <c r="C69" s="1" t="n">
        <v>46121</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48273-2025</t>
        </is>
      </c>
      <c r="B70" s="1" t="n">
        <v>45932</v>
      </c>
      <c r="C70" s="1" t="n">
        <v>46121</v>
      </c>
      <c r="D70" t="inlineStr">
        <is>
          <t>ÖSTERGÖTLANDS LÄN</t>
        </is>
      </c>
      <c r="E70" t="inlineStr">
        <is>
          <t>LINKÖPING</t>
        </is>
      </c>
      <c r="F70" t="inlineStr">
        <is>
          <t>Övriga Aktiebolag</t>
        </is>
      </c>
      <c r="G70" t="n">
        <v>4.6</v>
      </c>
      <c r="H70" t="n">
        <v>0</v>
      </c>
      <c r="I70" t="n">
        <v>0</v>
      </c>
      <c r="J70" t="n">
        <v>1</v>
      </c>
      <c r="K70" t="n">
        <v>0</v>
      </c>
      <c r="L70" t="n">
        <v>0</v>
      </c>
      <c r="M70" t="n">
        <v>0</v>
      </c>
      <c r="N70" t="n">
        <v>0</v>
      </c>
      <c r="O70" t="n">
        <v>1</v>
      </c>
      <c r="P70" t="n">
        <v>0</v>
      </c>
      <c r="Q70" t="n">
        <v>1</v>
      </c>
      <c r="R70" s="2" t="inlineStr">
        <is>
          <t>Barrviolspindling</t>
        </is>
      </c>
      <c r="S70">
        <f>HYPERLINK("https://klasma.github.io/Logging_0580/artfynd/A 48273-2025 artfynd.xlsx", "A 48273-2025")</f>
        <v/>
      </c>
      <c r="T70">
        <f>HYPERLINK("https://klasma.github.io/Logging_0580/kartor/A 48273-2025 karta.png", "A 48273-2025")</f>
        <v/>
      </c>
      <c r="V70">
        <f>HYPERLINK("https://klasma.github.io/Logging_0580/klagomål/A 48273-2025 FSC-klagomål.docx", "A 48273-2025")</f>
        <v/>
      </c>
      <c r="W70">
        <f>HYPERLINK("https://klasma.github.io/Logging_0580/klagomålsmail/A 48273-2025 FSC-klagomål mail.docx", "A 48273-2025")</f>
        <v/>
      </c>
      <c r="X70">
        <f>HYPERLINK("https://klasma.github.io/Logging_0580/tillsyn/A 48273-2025 tillsynsbegäran.docx", "A 48273-2025")</f>
        <v/>
      </c>
      <c r="Y70">
        <f>HYPERLINK("https://klasma.github.io/Logging_0580/tillsynsmail/A 48273-2025 tillsynsbegäran mail.docx", "A 48273-2025")</f>
        <v/>
      </c>
    </row>
    <row r="71" ht="15" customHeight="1">
      <c r="A71" t="inlineStr">
        <is>
          <t>A 48298-2025</t>
        </is>
      </c>
      <c r="B71" s="1" t="n">
        <v>45932</v>
      </c>
      <c r="C71" s="1" t="n">
        <v>46121</v>
      </c>
      <c r="D71" t="inlineStr">
        <is>
          <t>ÖSTERGÖTLANDS LÄN</t>
        </is>
      </c>
      <c r="E71" t="inlineStr">
        <is>
          <t>LINKÖPING</t>
        </is>
      </c>
      <c r="F71" t="inlineStr">
        <is>
          <t>Övriga Aktiebolag</t>
        </is>
      </c>
      <c r="G71" t="n">
        <v>1.7</v>
      </c>
      <c r="H71" t="n">
        <v>0</v>
      </c>
      <c r="I71" t="n">
        <v>1</v>
      </c>
      <c r="J71" t="n">
        <v>0</v>
      </c>
      <c r="K71" t="n">
        <v>0</v>
      </c>
      <c r="L71" t="n">
        <v>0</v>
      </c>
      <c r="M71" t="n">
        <v>0</v>
      </c>
      <c r="N71" t="n">
        <v>0</v>
      </c>
      <c r="O71" t="n">
        <v>0</v>
      </c>
      <c r="P71" t="n">
        <v>0</v>
      </c>
      <c r="Q71" t="n">
        <v>1</v>
      </c>
      <c r="R71" s="2" t="inlineStr">
        <is>
          <t>Västlig hakmossa</t>
        </is>
      </c>
      <c r="S71">
        <f>HYPERLINK("https://klasma.github.io/Logging_0580/artfynd/A 48298-2025 artfynd.xlsx", "A 48298-2025")</f>
        <v/>
      </c>
      <c r="T71">
        <f>HYPERLINK("https://klasma.github.io/Logging_0580/kartor/A 48298-2025 karta.png", "A 48298-2025")</f>
        <v/>
      </c>
      <c r="V71">
        <f>HYPERLINK("https://klasma.github.io/Logging_0580/klagomål/A 48298-2025 FSC-klagomål.docx", "A 48298-2025")</f>
        <v/>
      </c>
      <c r="W71">
        <f>HYPERLINK("https://klasma.github.io/Logging_0580/klagomålsmail/A 48298-2025 FSC-klagomål mail.docx", "A 48298-2025")</f>
        <v/>
      </c>
      <c r="X71">
        <f>HYPERLINK("https://klasma.github.io/Logging_0580/tillsyn/A 48298-2025 tillsynsbegäran.docx", "A 48298-2025")</f>
        <v/>
      </c>
      <c r="Y71">
        <f>HYPERLINK("https://klasma.github.io/Logging_0580/tillsynsmail/A 48298-2025 tillsynsbegäran mail.docx", "A 48298-2025")</f>
        <v/>
      </c>
    </row>
    <row r="72" ht="15" customHeight="1">
      <c r="A72" t="inlineStr">
        <is>
          <t>A 50034-2025</t>
        </is>
      </c>
      <c r="B72" s="1" t="n">
        <v>45941</v>
      </c>
      <c r="C72" s="1" t="n">
        <v>46121</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56651-2023</t>
        </is>
      </c>
      <c r="B73" s="1" t="n">
        <v>45243</v>
      </c>
      <c r="C73" s="1" t="n">
        <v>46121</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36723-2023</t>
        </is>
      </c>
      <c r="B74" s="1" t="n">
        <v>45153</v>
      </c>
      <c r="C74" s="1" t="n">
        <v>46121</v>
      </c>
      <c r="D74" t="inlineStr">
        <is>
          <t>ÖSTERGÖTLANDS LÄN</t>
        </is>
      </c>
      <c r="E74" t="inlineStr">
        <is>
          <t>LINKÖPING</t>
        </is>
      </c>
      <c r="F74" t="inlineStr">
        <is>
          <t>Allmännings- och besparingsskogar</t>
        </is>
      </c>
      <c r="G74" t="n">
        <v>9.9</v>
      </c>
      <c r="H74" t="n">
        <v>0</v>
      </c>
      <c r="I74" t="n">
        <v>0</v>
      </c>
      <c r="J74" t="n">
        <v>0</v>
      </c>
      <c r="K74" t="n">
        <v>1</v>
      </c>
      <c r="L74" t="n">
        <v>0</v>
      </c>
      <c r="M74" t="n">
        <v>0</v>
      </c>
      <c r="N74" t="n">
        <v>0</v>
      </c>
      <c r="O74" t="n">
        <v>1</v>
      </c>
      <c r="P74" t="n">
        <v>1</v>
      </c>
      <c r="Q74" t="n">
        <v>1</v>
      </c>
      <c r="R74" s="2" t="inlineStr">
        <is>
          <t>Bitter taggsvamp</t>
        </is>
      </c>
      <c r="S74">
        <f>HYPERLINK("https://klasma.github.io/Logging_0580/artfynd/A 36723-2023 artfynd.xlsx", "A 36723-2023")</f>
        <v/>
      </c>
      <c r="T74">
        <f>HYPERLINK("https://klasma.github.io/Logging_0580/kartor/A 36723-2023 karta.png", "A 36723-2023")</f>
        <v/>
      </c>
      <c r="V74">
        <f>HYPERLINK("https://klasma.github.io/Logging_0580/klagomål/A 36723-2023 FSC-klagomål.docx", "A 36723-2023")</f>
        <v/>
      </c>
      <c r="W74">
        <f>HYPERLINK("https://klasma.github.io/Logging_0580/klagomålsmail/A 36723-2023 FSC-klagomål mail.docx", "A 36723-2023")</f>
        <v/>
      </c>
      <c r="X74">
        <f>HYPERLINK("https://klasma.github.io/Logging_0580/tillsyn/A 36723-2023 tillsynsbegäran.docx", "A 36723-2023")</f>
        <v/>
      </c>
      <c r="Y74">
        <f>HYPERLINK("https://klasma.github.io/Logging_0580/tillsynsmail/A 36723-2023 tillsynsbegäran mail.docx", "A 36723-2023")</f>
        <v/>
      </c>
    </row>
    <row r="75" ht="15" customHeight="1">
      <c r="A75" t="inlineStr">
        <is>
          <t>A 17444-2025</t>
        </is>
      </c>
      <c r="B75" s="1" t="n">
        <v>45757.43452546297</v>
      </c>
      <c r="C75" s="1" t="n">
        <v>46121</v>
      </c>
      <c r="D75" t="inlineStr">
        <is>
          <t>ÖSTERGÖTLANDS LÄN</t>
        </is>
      </c>
      <c r="E75" t="inlineStr">
        <is>
          <t>LINKÖPING</t>
        </is>
      </c>
      <c r="G75" t="n">
        <v>1.3</v>
      </c>
      <c r="H75" t="n">
        <v>1</v>
      </c>
      <c r="I75" t="n">
        <v>0</v>
      </c>
      <c r="J75" t="n">
        <v>1</v>
      </c>
      <c r="K75" t="n">
        <v>0</v>
      </c>
      <c r="L75" t="n">
        <v>0</v>
      </c>
      <c r="M75" t="n">
        <v>0</v>
      </c>
      <c r="N75" t="n">
        <v>0</v>
      </c>
      <c r="O75" t="n">
        <v>1</v>
      </c>
      <c r="P75" t="n">
        <v>0</v>
      </c>
      <c r="Q75" t="n">
        <v>1</v>
      </c>
      <c r="R75" s="2" t="inlineStr">
        <is>
          <t>Dårgräsfjäril</t>
        </is>
      </c>
      <c r="S75">
        <f>HYPERLINK("https://klasma.github.io/Logging_0580/artfynd/A 17444-2025 artfynd.xlsx", "A 17444-2025")</f>
        <v/>
      </c>
      <c r="T75">
        <f>HYPERLINK("https://klasma.github.io/Logging_0580/kartor/A 17444-2025 karta.png", "A 17444-2025")</f>
        <v/>
      </c>
      <c r="V75">
        <f>HYPERLINK("https://klasma.github.io/Logging_0580/klagomål/A 17444-2025 FSC-klagomål.docx", "A 17444-2025")</f>
        <v/>
      </c>
      <c r="W75">
        <f>HYPERLINK("https://klasma.github.io/Logging_0580/klagomålsmail/A 17444-2025 FSC-klagomål mail.docx", "A 17444-2025")</f>
        <v/>
      </c>
      <c r="X75">
        <f>HYPERLINK("https://klasma.github.io/Logging_0580/tillsyn/A 17444-2025 tillsynsbegäran.docx", "A 17444-2025")</f>
        <v/>
      </c>
      <c r="Y75">
        <f>HYPERLINK("https://klasma.github.io/Logging_0580/tillsynsmail/A 17444-2025 tillsynsbegäran mail.docx", "A 17444-2025")</f>
        <v/>
      </c>
    </row>
    <row r="76" ht="15" customHeight="1">
      <c r="A76" t="inlineStr">
        <is>
          <t>A 42054-2022</t>
        </is>
      </c>
      <c r="B76" s="1" t="n">
        <v>44830</v>
      </c>
      <c r="C76" s="1" t="n">
        <v>46121</v>
      </c>
      <c r="D76" t="inlineStr">
        <is>
          <t>ÖSTERGÖTLANDS LÄN</t>
        </is>
      </c>
      <c r="E76" t="inlineStr">
        <is>
          <t>LINKÖPING</t>
        </is>
      </c>
      <c r="G76" t="n">
        <v>1.7</v>
      </c>
      <c r="H76" t="n">
        <v>0</v>
      </c>
      <c r="I76" t="n">
        <v>0</v>
      </c>
      <c r="J76" t="n">
        <v>1</v>
      </c>
      <c r="K76" t="n">
        <v>0</v>
      </c>
      <c r="L76" t="n">
        <v>0</v>
      </c>
      <c r="M76" t="n">
        <v>0</v>
      </c>
      <c r="N76" t="n">
        <v>0</v>
      </c>
      <c r="O76" t="n">
        <v>1</v>
      </c>
      <c r="P76" t="n">
        <v>0</v>
      </c>
      <c r="Q76" t="n">
        <v>1</v>
      </c>
      <c r="R76" s="2" t="inlineStr">
        <is>
          <t>Tallticka</t>
        </is>
      </c>
      <c r="S76">
        <f>HYPERLINK("https://klasma.github.io/Logging_0580/artfynd/A 42054-2022 artfynd.xlsx", "A 42054-2022")</f>
        <v/>
      </c>
      <c r="T76">
        <f>HYPERLINK("https://klasma.github.io/Logging_0580/kartor/A 42054-2022 karta.png", "A 42054-2022")</f>
        <v/>
      </c>
      <c r="V76">
        <f>HYPERLINK("https://klasma.github.io/Logging_0580/klagomål/A 42054-2022 FSC-klagomål.docx", "A 42054-2022")</f>
        <v/>
      </c>
      <c r="W76">
        <f>HYPERLINK("https://klasma.github.io/Logging_0580/klagomålsmail/A 42054-2022 FSC-klagomål mail.docx", "A 42054-2022")</f>
        <v/>
      </c>
      <c r="X76">
        <f>HYPERLINK("https://klasma.github.io/Logging_0580/tillsyn/A 42054-2022 tillsynsbegäran.docx", "A 42054-2022")</f>
        <v/>
      </c>
      <c r="Y76">
        <f>HYPERLINK("https://klasma.github.io/Logging_0580/tillsynsmail/A 42054-2022 tillsynsbegäran mail.docx", "A 42054-2022")</f>
        <v/>
      </c>
    </row>
    <row r="77" ht="15" customHeight="1">
      <c r="A77" t="inlineStr">
        <is>
          <t>A 5911-2022</t>
        </is>
      </c>
      <c r="B77" s="1" t="n">
        <v>44597</v>
      </c>
      <c r="C77" s="1" t="n">
        <v>46121</v>
      </c>
      <c r="D77" t="inlineStr">
        <is>
          <t>ÖSTERGÖTLANDS LÄN</t>
        </is>
      </c>
      <c r="E77" t="inlineStr">
        <is>
          <t>LINKÖPING</t>
        </is>
      </c>
      <c r="G77" t="n">
        <v>3.5</v>
      </c>
      <c r="H77" t="n">
        <v>0</v>
      </c>
      <c r="I77" t="n">
        <v>0</v>
      </c>
      <c r="J77" t="n">
        <v>1</v>
      </c>
      <c r="K77" t="n">
        <v>0</v>
      </c>
      <c r="L77" t="n">
        <v>0</v>
      </c>
      <c r="M77" t="n">
        <v>0</v>
      </c>
      <c r="N77" t="n">
        <v>0</v>
      </c>
      <c r="O77" t="n">
        <v>1</v>
      </c>
      <c r="P77" t="n">
        <v>0</v>
      </c>
      <c r="Q77" t="n">
        <v>1</v>
      </c>
      <c r="R77" s="2" t="inlineStr">
        <is>
          <t>Spindelört</t>
        </is>
      </c>
      <c r="S77">
        <f>HYPERLINK("https://klasma.github.io/Logging_0580/artfynd/A 5911-2022 artfynd.xlsx", "A 5911-2022")</f>
        <v/>
      </c>
      <c r="T77">
        <f>HYPERLINK("https://klasma.github.io/Logging_0580/kartor/A 5911-2022 karta.png", "A 5911-2022")</f>
        <v/>
      </c>
      <c r="V77">
        <f>HYPERLINK("https://klasma.github.io/Logging_0580/klagomål/A 5911-2022 FSC-klagomål.docx", "A 5911-2022")</f>
        <v/>
      </c>
      <c r="W77">
        <f>HYPERLINK("https://klasma.github.io/Logging_0580/klagomålsmail/A 5911-2022 FSC-klagomål mail.docx", "A 5911-2022")</f>
        <v/>
      </c>
      <c r="X77">
        <f>HYPERLINK("https://klasma.github.io/Logging_0580/tillsyn/A 5911-2022 tillsynsbegäran.docx", "A 5911-2022")</f>
        <v/>
      </c>
      <c r="Y77">
        <f>HYPERLINK("https://klasma.github.io/Logging_0580/tillsynsmail/A 5911-2022 tillsynsbegäran mail.docx", "A 5911-2022")</f>
        <v/>
      </c>
    </row>
    <row r="78" ht="15" customHeight="1">
      <c r="A78" t="inlineStr">
        <is>
          <t>A 60311-2025</t>
        </is>
      </c>
      <c r="B78" s="1" t="n">
        <v>45994</v>
      </c>
      <c r="C78" s="1" t="n">
        <v>46121</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Gammelekslav</t>
        </is>
      </c>
      <c r="S78">
        <f>HYPERLINK("https://klasma.github.io/Logging_0580/artfynd/A 60311-2025 artfynd.xlsx", "A 60311-2025")</f>
        <v/>
      </c>
      <c r="T78">
        <f>HYPERLINK("https://klasma.github.io/Logging_0580/kartor/A 60311-2025 karta.png", "A 60311-2025")</f>
        <v/>
      </c>
      <c r="V78">
        <f>HYPERLINK("https://klasma.github.io/Logging_0580/klagomål/A 60311-2025 FSC-klagomål.docx", "A 60311-2025")</f>
        <v/>
      </c>
      <c r="W78">
        <f>HYPERLINK("https://klasma.github.io/Logging_0580/klagomålsmail/A 60311-2025 FSC-klagomål mail.docx", "A 60311-2025")</f>
        <v/>
      </c>
      <c r="X78">
        <f>HYPERLINK("https://klasma.github.io/Logging_0580/tillsyn/A 60311-2025 tillsynsbegäran.docx", "A 60311-2025")</f>
        <v/>
      </c>
      <c r="Y78">
        <f>HYPERLINK("https://klasma.github.io/Logging_0580/tillsynsmail/A 60311-2025 tillsynsbegäran mail.docx", "A 60311-2025")</f>
        <v/>
      </c>
    </row>
    <row r="79" ht="15" customHeight="1">
      <c r="A79" t="inlineStr">
        <is>
          <t>A 90-2024</t>
        </is>
      </c>
      <c r="B79" s="1" t="n">
        <v>45293</v>
      </c>
      <c r="C79" s="1" t="n">
        <v>46121</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40315-2024</t>
        </is>
      </c>
      <c r="B80" s="1" t="n">
        <v>45554.7571875</v>
      </c>
      <c r="C80" s="1" t="n">
        <v>46121</v>
      </c>
      <c r="D80" t="inlineStr">
        <is>
          <t>ÖSTERGÖTLANDS LÄN</t>
        </is>
      </c>
      <c r="E80" t="inlineStr">
        <is>
          <t>LINKÖPING</t>
        </is>
      </c>
      <c r="F80" t="inlineStr">
        <is>
          <t>Allmännings- och besparingsskogar</t>
        </is>
      </c>
      <c r="G80" t="n">
        <v>15.8</v>
      </c>
      <c r="H80" t="n">
        <v>0</v>
      </c>
      <c r="I80" t="n">
        <v>0</v>
      </c>
      <c r="J80" t="n">
        <v>0</v>
      </c>
      <c r="K80" t="n">
        <v>0</v>
      </c>
      <c r="L80" t="n">
        <v>0</v>
      </c>
      <c r="M80" t="n">
        <v>1</v>
      </c>
      <c r="N80" t="n">
        <v>0</v>
      </c>
      <c r="O80" t="n">
        <v>1</v>
      </c>
      <c r="P80" t="n">
        <v>1</v>
      </c>
      <c r="Q80" t="n">
        <v>1</v>
      </c>
      <c r="R80" s="2" t="inlineStr">
        <is>
          <t>Skogsalm</t>
        </is>
      </c>
      <c r="S80">
        <f>HYPERLINK("https://klasma.github.io/Logging_0580/artfynd/A 40315-2024 artfynd.xlsx", "A 40315-2024")</f>
        <v/>
      </c>
      <c r="T80">
        <f>HYPERLINK("https://klasma.github.io/Logging_0580/kartor/A 40315-2024 karta.png", "A 40315-2024")</f>
        <v/>
      </c>
      <c r="V80">
        <f>HYPERLINK("https://klasma.github.io/Logging_0580/klagomål/A 40315-2024 FSC-klagomål.docx", "A 40315-2024")</f>
        <v/>
      </c>
      <c r="W80">
        <f>HYPERLINK("https://klasma.github.io/Logging_0580/klagomålsmail/A 40315-2024 FSC-klagomål mail.docx", "A 40315-2024")</f>
        <v/>
      </c>
      <c r="X80">
        <f>HYPERLINK("https://klasma.github.io/Logging_0580/tillsyn/A 40315-2024 tillsynsbegäran.docx", "A 40315-2024")</f>
        <v/>
      </c>
      <c r="Y80">
        <f>HYPERLINK("https://klasma.github.io/Logging_0580/tillsynsmail/A 40315-2024 tillsynsbegäran mail.docx", "A 40315-2024")</f>
        <v/>
      </c>
    </row>
    <row r="81" ht="15" customHeight="1">
      <c r="A81" t="inlineStr">
        <is>
          <t>A 15290-2025</t>
        </is>
      </c>
      <c r="B81" s="1" t="n">
        <v>45745.45288194445</v>
      </c>
      <c r="C81" s="1" t="n">
        <v>46121</v>
      </c>
      <c r="D81" t="inlineStr">
        <is>
          <t>ÖSTERGÖTLANDS LÄN</t>
        </is>
      </c>
      <c r="E81" t="inlineStr">
        <is>
          <t>LINKÖPING</t>
        </is>
      </c>
      <c r="G81" t="n">
        <v>18.4</v>
      </c>
      <c r="H81" t="n">
        <v>1</v>
      </c>
      <c r="I81" t="n">
        <v>0</v>
      </c>
      <c r="J81" t="n">
        <v>1</v>
      </c>
      <c r="K81" t="n">
        <v>0</v>
      </c>
      <c r="L81" t="n">
        <v>0</v>
      </c>
      <c r="M81" t="n">
        <v>0</v>
      </c>
      <c r="N81" t="n">
        <v>0</v>
      </c>
      <c r="O81" t="n">
        <v>1</v>
      </c>
      <c r="P81" t="n">
        <v>0</v>
      </c>
      <c r="Q81" t="n">
        <v>1</v>
      </c>
      <c r="R81" s="2" t="inlineStr">
        <is>
          <t>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34881-2023</t>
        </is>
      </c>
      <c r="B82" s="1" t="n">
        <v>45140</v>
      </c>
      <c r="C82" s="1" t="n">
        <v>46121</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Tallticka</t>
        </is>
      </c>
      <c r="S82">
        <f>HYPERLINK("https://klasma.github.io/Logging_0580/artfynd/A 34881-2023 artfynd.xlsx", "A 34881-2023")</f>
        <v/>
      </c>
      <c r="T82">
        <f>HYPERLINK("https://klasma.github.io/Logging_0580/kartor/A 34881-2023 karta.png", "A 34881-2023")</f>
        <v/>
      </c>
      <c r="U82">
        <f>HYPERLINK("https://klasma.github.io/Logging_0580/knärot/A 34881-2023 karta knärot.png", "A 34881-2023")</f>
        <v/>
      </c>
      <c r="V82">
        <f>HYPERLINK("https://klasma.github.io/Logging_0580/klagomål/A 34881-2023 FSC-klagomål.docx", "A 34881-2023")</f>
        <v/>
      </c>
      <c r="W82">
        <f>HYPERLINK("https://klasma.github.io/Logging_0580/klagomålsmail/A 34881-2023 FSC-klagomål mail.docx", "A 34881-2023")</f>
        <v/>
      </c>
      <c r="X82">
        <f>HYPERLINK("https://klasma.github.io/Logging_0580/tillsyn/A 34881-2023 tillsynsbegäran.docx", "A 34881-2023")</f>
        <v/>
      </c>
      <c r="Y82">
        <f>HYPERLINK("https://klasma.github.io/Logging_0580/tillsynsmail/A 34881-2023 tillsynsbegäran mail.docx", "A 34881-2023")</f>
        <v/>
      </c>
    </row>
    <row r="83" ht="15" customHeight="1">
      <c r="A83" t="inlineStr">
        <is>
          <t>A 50471-2024</t>
        </is>
      </c>
      <c r="B83" s="1" t="n">
        <v>45601.47166666666</v>
      </c>
      <c r="C83" s="1" t="n">
        <v>46121</v>
      </c>
      <c r="D83" t="inlineStr">
        <is>
          <t>ÖSTERGÖTLANDS LÄN</t>
        </is>
      </c>
      <c r="E83" t="inlineStr">
        <is>
          <t>LINKÖPING</t>
        </is>
      </c>
      <c r="F83" t="inlineStr">
        <is>
          <t>Övriga Aktiebolag</t>
        </is>
      </c>
      <c r="G83" t="n">
        <v>2</v>
      </c>
      <c r="H83" t="n">
        <v>0</v>
      </c>
      <c r="I83" t="n">
        <v>1</v>
      </c>
      <c r="J83" t="n">
        <v>0</v>
      </c>
      <c r="K83" t="n">
        <v>0</v>
      </c>
      <c r="L83" t="n">
        <v>0</v>
      </c>
      <c r="M83" t="n">
        <v>0</v>
      </c>
      <c r="N83" t="n">
        <v>0</v>
      </c>
      <c r="O83" t="n">
        <v>0</v>
      </c>
      <c r="P83" t="n">
        <v>0</v>
      </c>
      <c r="Q83" t="n">
        <v>1</v>
      </c>
      <c r="R83" s="2" t="inlineStr">
        <is>
          <t>Västlig hakmossa</t>
        </is>
      </c>
      <c r="S83">
        <f>HYPERLINK("https://klasma.github.io/Logging_0580/artfynd/A 50471-2024 artfynd.xlsx", "A 50471-2024")</f>
        <v/>
      </c>
      <c r="T83">
        <f>HYPERLINK("https://klasma.github.io/Logging_0580/kartor/A 50471-2024 karta.png", "A 50471-2024")</f>
        <v/>
      </c>
      <c r="V83">
        <f>HYPERLINK("https://klasma.github.io/Logging_0580/klagomål/A 50471-2024 FSC-klagomål.docx", "A 50471-2024")</f>
        <v/>
      </c>
      <c r="W83">
        <f>HYPERLINK("https://klasma.github.io/Logging_0580/klagomålsmail/A 50471-2024 FSC-klagomål mail.docx", "A 50471-2024")</f>
        <v/>
      </c>
      <c r="X83">
        <f>HYPERLINK("https://klasma.github.io/Logging_0580/tillsyn/A 50471-2024 tillsynsbegäran.docx", "A 50471-2024")</f>
        <v/>
      </c>
      <c r="Y83">
        <f>HYPERLINK("https://klasma.github.io/Logging_0580/tillsynsmail/A 50471-2024 tillsynsbegäran mail.docx", "A 50471-2024")</f>
        <v/>
      </c>
    </row>
    <row r="84" ht="15" customHeight="1">
      <c r="A84" t="inlineStr">
        <is>
          <t>A 17389-2021</t>
        </is>
      </c>
      <c r="B84" s="1" t="n">
        <v>44298.96792824074</v>
      </c>
      <c r="C84" s="1" t="n">
        <v>46121</v>
      </c>
      <c r="D84" t="inlineStr">
        <is>
          <t>ÖSTERGÖTLANDS LÄN</t>
        </is>
      </c>
      <c r="E84" t="inlineStr">
        <is>
          <t>LINKÖPING</t>
        </is>
      </c>
      <c r="G84" t="n">
        <v>5.1</v>
      </c>
      <c r="H84" t="n">
        <v>0</v>
      </c>
      <c r="I84" t="n">
        <v>1</v>
      </c>
      <c r="J84" t="n">
        <v>0</v>
      </c>
      <c r="K84" t="n">
        <v>0</v>
      </c>
      <c r="L84" t="n">
        <v>0</v>
      </c>
      <c r="M84" t="n">
        <v>0</v>
      </c>
      <c r="N84" t="n">
        <v>0</v>
      </c>
      <c r="O84" t="n">
        <v>0</v>
      </c>
      <c r="P84" t="n">
        <v>0</v>
      </c>
      <c r="Q84" t="n">
        <v>1</v>
      </c>
      <c r="R84" s="2" t="inlineStr">
        <is>
          <t>Blomkålssvamp</t>
        </is>
      </c>
      <c r="S84">
        <f>HYPERLINK("https://klasma.github.io/Logging_0580/artfynd/A 17389-2021 artfynd.xlsx", "A 17389-2021")</f>
        <v/>
      </c>
      <c r="T84">
        <f>HYPERLINK("https://klasma.github.io/Logging_0580/kartor/A 17389-2021 karta.png", "A 17389-2021")</f>
        <v/>
      </c>
      <c r="V84">
        <f>HYPERLINK("https://klasma.github.io/Logging_0580/klagomål/A 17389-2021 FSC-klagomål.docx", "A 17389-2021")</f>
        <v/>
      </c>
      <c r="W84">
        <f>HYPERLINK("https://klasma.github.io/Logging_0580/klagomålsmail/A 17389-2021 FSC-klagomål mail.docx", "A 17389-2021")</f>
        <v/>
      </c>
      <c r="X84">
        <f>HYPERLINK("https://klasma.github.io/Logging_0580/tillsyn/A 17389-2021 tillsynsbegäran.docx", "A 17389-2021")</f>
        <v/>
      </c>
      <c r="Y84">
        <f>HYPERLINK("https://klasma.github.io/Logging_0580/tillsynsmail/A 17389-2021 tillsynsbegäran mail.docx", "A 17389-2021")</f>
        <v/>
      </c>
    </row>
    <row r="85" ht="15" customHeight="1">
      <c r="A85" t="inlineStr">
        <is>
          <t>A 56128-2022</t>
        </is>
      </c>
      <c r="B85" s="1" t="n">
        <v>44889</v>
      </c>
      <c r="C85" s="1" t="n">
        <v>46121</v>
      </c>
      <c r="D85" t="inlineStr">
        <is>
          <t>ÖSTERGÖTLANDS LÄN</t>
        </is>
      </c>
      <c r="E85" t="inlineStr">
        <is>
          <t>LINKÖPING</t>
        </is>
      </c>
      <c r="G85" t="n">
        <v>2</v>
      </c>
      <c r="H85" t="n">
        <v>0</v>
      </c>
      <c r="I85" t="n">
        <v>1</v>
      </c>
      <c r="J85" t="n">
        <v>0</v>
      </c>
      <c r="K85" t="n">
        <v>0</v>
      </c>
      <c r="L85" t="n">
        <v>0</v>
      </c>
      <c r="M85" t="n">
        <v>0</v>
      </c>
      <c r="N85" t="n">
        <v>0</v>
      </c>
      <c r="O85" t="n">
        <v>0</v>
      </c>
      <c r="P85" t="n">
        <v>0</v>
      </c>
      <c r="Q85" t="n">
        <v>1</v>
      </c>
      <c r="R85" s="2" t="inlineStr">
        <is>
          <t>Tibast</t>
        </is>
      </c>
      <c r="S85">
        <f>HYPERLINK("https://klasma.github.io/Logging_0580/artfynd/A 56128-2022 artfynd.xlsx", "A 56128-2022")</f>
        <v/>
      </c>
      <c r="T85">
        <f>HYPERLINK("https://klasma.github.io/Logging_0580/kartor/A 56128-2022 karta.png", "A 56128-2022")</f>
        <v/>
      </c>
      <c r="V85">
        <f>HYPERLINK("https://klasma.github.io/Logging_0580/klagomål/A 56128-2022 FSC-klagomål.docx", "A 56128-2022")</f>
        <v/>
      </c>
      <c r="W85">
        <f>HYPERLINK("https://klasma.github.io/Logging_0580/klagomålsmail/A 56128-2022 FSC-klagomål mail.docx", "A 56128-2022")</f>
        <v/>
      </c>
      <c r="X85">
        <f>HYPERLINK("https://klasma.github.io/Logging_0580/tillsyn/A 56128-2022 tillsynsbegäran.docx", "A 56128-2022")</f>
        <v/>
      </c>
      <c r="Y85">
        <f>HYPERLINK("https://klasma.github.io/Logging_0580/tillsynsmail/A 56128-2022 tillsynsbegäran mail.docx", "A 56128-2022")</f>
        <v/>
      </c>
    </row>
    <row r="86" ht="15" customHeight="1">
      <c r="A86" t="inlineStr">
        <is>
          <t>A 40309-2024</t>
        </is>
      </c>
      <c r="B86" s="1" t="n">
        <v>45554.724375</v>
      </c>
      <c r="C86" s="1" t="n">
        <v>46121</v>
      </c>
      <c r="D86" t="inlineStr">
        <is>
          <t>ÖSTERGÖTLANDS LÄN</t>
        </is>
      </c>
      <c r="E86" t="inlineStr">
        <is>
          <t>LINKÖPING</t>
        </is>
      </c>
      <c r="F86" t="inlineStr">
        <is>
          <t>Allmännings- och besparingsskogar</t>
        </is>
      </c>
      <c r="G86" t="n">
        <v>6</v>
      </c>
      <c r="H86" t="n">
        <v>0</v>
      </c>
      <c r="I86" t="n">
        <v>0</v>
      </c>
      <c r="J86" t="n">
        <v>1</v>
      </c>
      <c r="K86" t="n">
        <v>0</v>
      </c>
      <c r="L86" t="n">
        <v>0</v>
      </c>
      <c r="M86" t="n">
        <v>0</v>
      </c>
      <c r="N86" t="n">
        <v>0</v>
      </c>
      <c r="O86" t="n">
        <v>1</v>
      </c>
      <c r="P86" t="n">
        <v>0</v>
      </c>
      <c r="Q86" t="n">
        <v>1</v>
      </c>
      <c r="R86" s="2" t="inlineStr">
        <is>
          <t>Garnlav</t>
        </is>
      </c>
      <c r="S86">
        <f>HYPERLINK("https://klasma.github.io/Logging_0580/artfynd/A 40309-2024 artfynd.xlsx", "A 40309-2024")</f>
        <v/>
      </c>
      <c r="T86">
        <f>HYPERLINK("https://klasma.github.io/Logging_0580/kartor/A 40309-2024 karta.png", "A 40309-2024")</f>
        <v/>
      </c>
      <c r="V86">
        <f>HYPERLINK("https://klasma.github.io/Logging_0580/klagomål/A 40309-2024 FSC-klagomål.docx", "A 40309-2024")</f>
        <v/>
      </c>
      <c r="W86">
        <f>HYPERLINK("https://klasma.github.io/Logging_0580/klagomålsmail/A 40309-2024 FSC-klagomål mail.docx", "A 40309-2024")</f>
        <v/>
      </c>
      <c r="X86">
        <f>HYPERLINK("https://klasma.github.io/Logging_0580/tillsyn/A 40309-2024 tillsynsbegäran.docx", "A 40309-2024")</f>
        <v/>
      </c>
      <c r="Y86">
        <f>HYPERLINK("https://klasma.github.io/Logging_0580/tillsynsmail/A 40309-2024 tillsynsbegäran mail.docx", "A 40309-2024")</f>
        <v/>
      </c>
    </row>
    <row r="87" ht="15" customHeight="1">
      <c r="A87" t="inlineStr">
        <is>
          <t>A 54835-2023</t>
        </is>
      </c>
      <c r="B87" s="1" t="n">
        <v>45236</v>
      </c>
      <c r="C87" s="1" t="n">
        <v>46121</v>
      </c>
      <c r="D87" t="inlineStr">
        <is>
          <t>ÖSTERGÖTLANDS LÄN</t>
        </is>
      </c>
      <c r="E87" t="inlineStr">
        <is>
          <t>LINKÖPING</t>
        </is>
      </c>
      <c r="G87" t="n">
        <v>2</v>
      </c>
      <c r="H87" t="n">
        <v>1</v>
      </c>
      <c r="I87" t="n">
        <v>0</v>
      </c>
      <c r="J87" t="n">
        <v>0</v>
      </c>
      <c r="K87" t="n">
        <v>0</v>
      </c>
      <c r="L87" t="n">
        <v>0</v>
      </c>
      <c r="M87" t="n">
        <v>0</v>
      </c>
      <c r="N87" t="n">
        <v>0</v>
      </c>
      <c r="O87" t="n">
        <v>0</v>
      </c>
      <c r="P87" t="n">
        <v>0</v>
      </c>
      <c r="Q87" t="n">
        <v>1</v>
      </c>
      <c r="R87" s="2" t="inlineStr">
        <is>
          <t>Sparvuggla</t>
        </is>
      </c>
      <c r="S87">
        <f>HYPERLINK("https://klasma.github.io/Logging_0580/artfynd/A 54835-2023 artfynd.xlsx", "A 54835-2023")</f>
        <v/>
      </c>
      <c r="T87">
        <f>HYPERLINK("https://klasma.github.io/Logging_0580/kartor/A 54835-2023 karta.png", "A 54835-2023")</f>
        <v/>
      </c>
      <c r="V87">
        <f>HYPERLINK("https://klasma.github.io/Logging_0580/klagomål/A 54835-2023 FSC-klagomål.docx", "A 54835-2023")</f>
        <v/>
      </c>
      <c r="W87">
        <f>HYPERLINK("https://klasma.github.io/Logging_0580/klagomålsmail/A 54835-2023 FSC-klagomål mail.docx", "A 54835-2023")</f>
        <v/>
      </c>
      <c r="X87">
        <f>HYPERLINK("https://klasma.github.io/Logging_0580/tillsyn/A 54835-2023 tillsynsbegäran.docx", "A 54835-2023")</f>
        <v/>
      </c>
      <c r="Y87">
        <f>HYPERLINK("https://klasma.github.io/Logging_0580/tillsynsmail/A 54835-2023 tillsynsbegäran mail.docx", "A 54835-2023")</f>
        <v/>
      </c>
      <c r="Z87">
        <f>HYPERLINK("https://klasma.github.io/Logging_0580/fåglar/A 54835-2023 prioriterade fågelarter.docx", "A 54835-2023")</f>
        <v/>
      </c>
    </row>
    <row r="88" ht="15" customHeight="1">
      <c r="A88" t="inlineStr">
        <is>
          <t>A 126-2024</t>
        </is>
      </c>
      <c r="B88" s="1" t="n">
        <v>45294</v>
      </c>
      <c r="C88" s="1" t="n">
        <v>46121</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46121</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19103-2021</t>
        </is>
      </c>
      <c r="B90" s="1" t="n">
        <v>44308</v>
      </c>
      <c r="C90" s="1" t="n">
        <v>46121</v>
      </c>
      <c r="D90" t="inlineStr">
        <is>
          <t>ÖSTERGÖTLANDS LÄN</t>
        </is>
      </c>
      <c r="E90" t="inlineStr">
        <is>
          <t>LINKÖPING</t>
        </is>
      </c>
      <c r="G90" t="n">
        <v>4.7</v>
      </c>
      <c r="H90" t="n">
        <v>0</v>
      </c>
      <c r="I90" t="n">
        <v>0</v>
      </c>
      <c r="J90" t="n">
        <v>1</v>
      </c>
      <c r="K90" t="n">
        <v>0</v>
      </c>
      <c r="L90" t="n">
        <v>0</v>
      </c>
      <c r="M90" t="n">
        <v>0</v>
      </c>
      <c r="N90" t="n">
        <v>0</v>
      </c>
      <c r="O90" t="n">
        <v>1</v>
      </c>
      <c r="P90" t="n">
        <v>0</v>
      </c>
      <c r="Q90" t="n">
        <v>1</v>
      </c>
      <c r="R90" s="2" t="inlineStr">
        <is>
          <t>Tallticka</t>
        </is>
      </c>
      <c r="S90">
        <f>HYPERLINK("https://klasma.github.io/Logging_0580/artfynd/A 19103-2021 artfynd.xlsx", "A 19103-2021")</f>
        <v/>
      </c>
      <c r="T90">
        <f>HYPERLINK("https://klasma.github.io/Logging_0580/kartor/A 19103-2021 karta.png", "A 19103-2021")</f>
        <v/>
      </c>
      <c r="V90">
        <f>HYPERLINK("https://klasma.github.io/Logging_0580/klagomål/A 19103-2021 FSC-klagomål.docx", "A 19103-2021")</f>
        <v/>
      </c>
      <c r="W90">
        <f>HYPERLINK("https://klasma.github.io/Logging_0580/klagomålsmail/A 19103-2021 FSC-klagomål mail.docx", "A 19103-2021")</f>
        <v/>
      </c>
      <c r="X90">
        <f>HYPERLINK("https://klasma.github.io/Logging_0580/tillsyn/A 19103-2021 tillsynsbegäran.docx", "A 19103-2021")</f>
        <v/>
      </c>
      <c r="Y90">
        <f>HYPERLINK("https://klasma.github.io/Logging_0580/tillsynsmail/A 19103-2021 tillsynsbegäran mail.docx", "A 19103-2021")</f>
        <v/>
      </c>
    </row>
    <row r="91" ht="15" customHeight="1">
      <c r="A91" t="inlineStr">
        <is>
          <t>A 50806-2023</t>
        </is>
      </c>
      <c r="B91" s="1" t="n">
        <v>45217</v>
      </c>
      <c r="C91" s="1" t="n">
        <v>46121</v>
      </c>
      <c r="D91" t="inlineStr">
        <is>
          <t>ÖSTERGÖTLANDS LÄN</t>
        </is>
      </c>
      <c r="E91" t="inlineStr">
        <is>
          <t>LINKÖPING</t>
        </is>
      </c>
      <c r="F91" t="inlineStr">
        <is>
          <t>Övriga Aktiebolag</t>
        </is>
      </c>
      <c r="G91" t="n">
        <v>0.7</v>
      </c>
      <c r="H91" t="n">
        <v>1</v>
      </c>
      <c r="I91" t="n">
        <v>0</v>
      </c>
      <c r="J91" t="n">
        <v>0</v>
      </c>
      <c r="K91" t="n">
        <v>0</v>
      </c>
      <c r="L91" t="n">
        <v>0</v>
      </c>
      <c r="M91" t="n">
        <v>0</v>
      </c>
      <c r="N91" t="n">
        <v>0</v>
      </c>
      <c r="O91" t="n">
        <v>0</v>
      </c>
      <c r="P91" t="n">
        <v>0</v>
      </c>
      <c r="Q91" t="n">
        <v>1</v>
      </c>
      <c r="R91" s="2" t="inlineStr">
        <is>
          <t>Gullviva</t>
        </is>
      </c>
      <c r="S91">
        <f>HYPERLINK("https://klasma.github.io/Logging_0580/artfynd/A 50806-2023 artfynd.xlsx", "A 50806-2023")</f>
        <v/>
      </c>
      <c r="T91">
        <f>HYPERLINK("https://klasma.github.io/Logging_0580/kartor/A 50806-2023 karta.png", "A 50806-2023")</f>
        <v/>
      </c>
      <c r="V91">
        <f>HYPERLINK("https://klasma.github.io/Logging_0580/klagomål/A 50806-2023 FSC-klagomål.docx", "A 50806-2023")</f>
        <v/>
      </c>
      <c r="W91">
        <f>HYPERLINK("https://klasma.github.io/Logging_0580/klagomålsmail/A 50806-2023 FSC-klagomål mail.docx", "A 50806-2023")</f>
        <v/>
      </c>
      <c r="X91">
        <f>HYPERLINK("https://klasma.github.io/Logging_0580/tillsyn/A 50806-2023 tillsynsbegäran.docx", "A 50806-2023")</f>
        <v/>
      </c>
      <c r="Y91">
        <f>HYPERLINK("https://klasma.github.io/Logging_0580/tillsynsmail/A 50806-2023 tillsynsbegäran mail.docx", "A 50806-2023")</f>
        <v/>
      </c>
    </row>
    <row r="92" ht="15" customHeight="1">
      <c r="A92" t="inlineStr">
        <is>
          <t>A 39457-2023</t>
        </is>
      </c>
      <c r="B92" s="1" t="n">
        <v>45166</v>
      </c>
      <c r="C92" s="1" t="n">
        <v>46121</v>
      </c>
      <c r="D92" t="inlineStr">
        <is>
          <t>ÖSTERGÖTLANDS LÄN</t>
        </is>
      </c>
      <c r="E92" t="inlineStr">
        <is>
          <t>LINKÖPING</t>
        </is>
      </c>
      <c r="G92" t="n">
        <v>2.1</v>
      </c>
      <c r="H92" t="n">
        <v>1</v>
      </c>
      <c r="I92" t="n">
        <v>0</v>
      </c>
      <c r="J92" t="n">
        <v>0</v>
      </c>
      <c r="K92" t="n">
        <v>0</v>
      </c>
      <c r="L92" t="n">
        <v>0</v>
      </c>
      <c r="M92" t="n">
        <v>0</v>
      </c>
      <c r="N92" t="n">
        <v>0</v>
      </c>
      <c r="O92" t="n">
        <v>0</v>
      </c>
      <c r="P92" t="n">
        <v>0</v>
      </c>
      <c r="Q92" t="n">
        <v>1</v>
      </c>
      <c r="R92" s="2" t="inlineStr">
        <is>
          <t>Sparvuggla</t>
        </is>
      </c>
      <c r="S92">
        <f>HYPERLINK("https://klasma.github.io/Logging_0580/artfynd/A 39457-2023 artfynd.xlsx", "A 39457-2023")</f>
        <v/>
      </c>
      <c r="T92">
        <f>HYPERLINK("https://klasma.github.io/Logging_0580/kartor/A 39457-2023 karta.png", "A 39457-2023")</f>
        <v/>
      </c>
      <c r="V92">
        <f>HYPERLINK("https://klasma.github.io/Logging_0580/klagomål/A 39457-2023 FSC-klagomål.docx", "A 39457-2023")</f>
        <v/>
      </c>
      <c r="W92">
        <f>HYPERLINK("https://klasma.github.io/Logging_0580/klagomålsmail/A 39457-2023 FSC-klagomål mail.docx", "A 39457-2023")</f>
        <v/>
      </c>
      <c r="X92">
        <f>HYPERLINK("https://klasma.github.io/Logging_0580/tillsyn/A 39457-2023 tillsynsbegäran.docx", "A 39457-2023")</f>
        <v/>
      </c>
      <c r="Y92">
        <f>HYPERLINK("https://klasma.github.io/Logging_0580/tillsynsmail/A 39457-2023 tillsynsbegäran mail.docx", "A 39457-2023")</f>
        <v/>
      </c>
      <c r="Z92">
        <f>HYPERLINK("https://klasma.github.io/Logging_0580/fåglar/A 39457-2023 prioriterade fågelarter.docx", "A 39457-2023")</f>
        <v/>
      </c>
    </row>
    <row r="93" ht="15" customHeight="1">
      <c r="A93" t="inlineStr">
        <is>
          <t>A 35948-2023</t>
        </is>
      </c>
      <c r="B93" s="1" t="n">
        <v>45148</v>
      </c>
      <c r="C93" s="1" t="n">
        <v>46121</v>
      </c>
      <c r="D93" t="inlineStr">
        <is>
          <t>ÖSTERGÖTLANDS LÄN</t>
        </is>
      </c>
      <c r="E93" t="inlineStr">
        <is>
          <t>LINKÖPING</t>
        </is>
      </c>
      <c r="G93" t="n">
        <v>1.9</v>
      </c>
      <c r="H93" t="n">
        <v>0</v>
      </c>
      <c r="I93" t="n">
        <v>1</v>
      </c>
      <c r="J93" t="n">
        <v>0</v>
      </c>
      <c r="K93" t="n">
        <v>0</v>
      </c>
      <c r="L93" t="n">
        <v>0</v>
      </c>
      <c r="M93" t="n">
        <v>0</v>
      </c>
      <c r="N93" t="n">
        <v>0</v>
      </c>
      <c r="O93" t="n">
        <v>0</v>
      </c>
      <c r="P93" t="n">
        <v>0</v>
      </c>
      <c r="Q93" t="n">
        <v>1</v>
      </c>
      <c r="R93" s="2" t="inlineStr">
        <is>
          <t>Brun nållav</t>
        </is>
      </c>
      <c r="S93">
        <f>HYPERLINK("https://klasma.github.io/Logging_0580/artfynd/A 35948-2023 artfynd.xlsx", "A 35948-2023")</f>
        <v/>
      </c>
      <c r="T93">
        <f>HYPERLINK("https://klasma.github.io/Logging_0580/kartor/A 35948-2023 karta.png", "A 35948-2023")</f>
        <v/>
      </c>
      <c r="V93">
        <f>HYPERLINK("https://klasma.github.io/Logging_0580/klagomål/A 35948-2023 FSC-klagomål.docx", "A 35948-2023")</f>
        <v/>
      </c>
      <c r="W93">
        <f>HYPERLINK("https://klasma.github.io/Logging_0580/klagomålsmail/A 35948-2023 FSC-klagomål mail.docx", "A 35948-2023")</f>
        <v/>
      </c>
      <c r="X93">
        <f>HYPERLINK("https://klasma.github.io/Logging_0580/tillsyn/A 35948-2023 tillsynsbegäran.docx", "A 35948-2023")</f>
        <v/>
      </c>
      <c r="Y93">
        <f>HYPERLINK("https://klasma.github.io/Logging_0580/tillsynsmail/A 35948-2023 tillsynsbegäran mail.docx", "A 35948-2023")</f>
        <v/>
      </c>
    </row>
    <row r="94" ht="15" customHeight="1">
      <c r="A94" t="inlineStr">
        <is>
          <t>A 62071-2023</t>
        </is>
      </c>
      <c r="B94" s="1" t="n">
        <v>45266.73542824074</v>
      </c>
      <c r="C94" s="1" t="n">
        <v>46121</v>
      </c>
      <c r="D94" t="inlineStr">
        <is>
          <t>ÖSTERGÖTLANDS LÄN</t>
        </is>
      </c>
      <c r="E94" t="inlineStr">
        <is>
          <t>LINKÖPING</t>
        </is>
      </c>
      <c r="G94" t="n">
        <v>6.5</v>
      </c>
      <c r="H94" t="n">
        <v>0</v>
      </c>
      <c r="I94" t="n">
        <v>0</v>
      </c>
      <c r="J94" t="n">
        <v>1</v>
      </c>
      <c r="K94" t="n">
        <v>0</v>
      </c>
      <c r="L94" t="n">
        <v>0</v>
      </c>
      <c r="M94" t="n">
        <v>0</v>
      </c>
      <c r="N94" t="n">
        <v>0</v>
      </c>
      <c r="O94" t="n">
        <v>1</v>
      </c>
      <c r="P94" t="n">
        <v>0</v>
      </c>
      <c r="Q94" t="n">
        <v>1</v>
      </c>
      <c r="R94" s="2" t="inlineStr">
        <is>
          <t>Svinrot</t>
        </is>
      </c>
      <c r="S94">
        <f>HYPERLINK("https://klasma.github.io/Logging_0580/artfynd/A 62071-2023 artfynd.xlsx", "A 62071-2023")</f>
        <v/>
      </c>
      <c r="T94">
        <f>HYPERLINK("https://klasma.github.io/Logging_0580/kartor/A 62071-2023 karta.png", "A 62071-2023")</f>
        <v/>
      </c>
      <c r="V94">
        <f>HYPERLINK("https://klasma.github.io/Logging_0580/klagomål/A 62071-2023 FSC-klagomål.docx", "A 62071-2023")</f>
        <v/>
      </c>
      <c r="W94">
        <f>HYPERLINK("https://klasma.github.io/Logging_0580/klagomålsmail/A 62071-2023 FSC-klagomål mail.docx", "A 62071-2023")</f>
        <v/>
      </c>
      <c r="X94">
        <f>HYPERLINK("https://klasma.github.io/Logging_0580/tillsyn/A 62071-2023 tillsynsbegäran.docx", "A 62071-2023")</f>
        <v/>
      </c>
      <c r="Y94">
        <f>HYPERLINK("https://klasma.github.io/Logging_0580/tillsynsmail/A 62071-2023 tillsynsbegäran mail.docx", "A 62071-2023")</f>
        <v/>
      </c>
    </row>
    <row r="95" ht="15" customHeight="1">
      <c r="A95" t="inlineStr">
        <is>
          <t>A 3397-2023</t>
        </is>
      </c>
      <c r="B95" s="1" t="n">
        <v>44949</v>
      </c>
      <c r="C95" s="1" t="n">
        <v>46121</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20295-2025</t>
        </is>
      </c>
      <c r="B96" s="1" t="n">
        <v>45774.74846064814</v>
      </c>
      <c r="C96" s="1" t="n">
        <v>46121</v>
      </c>
      <c r="D96" t="inlineStr">
        <is>
          <t>ÖSTERGÖTLANDS LÄN</t>
        </is>
      </c>
      <c r="E96" t="inlineStr">
        <is>
          <t>LINKÖPING</t>
        </is>
      </c>
      <c r="G96" t="n">
        <v>3</v>
      </c>
      <c r="H96" t="n">
        <v>0</v>
      </c>
      <c r="I96" t="n">
        <v>0</v>
      </c>
      <c r="J96" t="n">
        <v>1</v>
      </c>
      <c r="K96" t="n">
        <v>0</v>
      </c>
      <c r="L96" t="n">
        <v>0</v>
      </c>
      <c r="M96" t="n">
        <v>0</v>
      </c>
      <c r="N96" t="n">
        <v>0</v>
      </c>
      <c r="O96" t="n">
        <v>1</v>
      </c>
      <c r="P96" t="n">
        <v>0</v>
      </c>
      <c r="Q96" t="n">
        <v>1</v>
      </c>
      <c r="R96" s="2" t="inlineStr">
        <is>
          <t>Tallticka</t>
        </is>
      </c>
      <c r="S96">
        <f>HYPERLINK("https://klasma.github.io/Logging_0580/artfynd/A 20295-2025 artfynd.xlsx", "A 20295-2025")</f>
        <v/>
      </c>
      <c r="T96">
        <f>HYPERLINK("https://klasma.github.io/Logging_0580/kartor/A 20295-2025 karta.png", "A 20295-2025")</f>
        <v/>
      </c>
      <c r="V96">
        <f>HYPERLINK("https://klasma.github.io/Logging_0580/klagomål/A 20295-2025 FSC-klagomål.docx", "A 20295-2025")</f>
        <v/>
      </c>
      <c r="W96">
        <f>HYPERLINK("https://klasma.github.io/Logging_0580/klagomålsmail/A 20295-2025 FSC-klagomål mail.docx", "A 20295-2025")</f>
        <v/>
      </c>
      <c r="X96">
        <f>HYPERLINK("https://klasma.github.io/Logging_0580/tillsyn/A 20295-2025 tillsynsbegäran.docx", "A 20295-2025")</f>
        <v/>
      </c>
      <c r="Y96">
        <f>HYPERLINK("https://klasma.github.io/Logging_0580/tillsynsmail/A 20295-2025 tillsynsbegäran mail.docx", "A 20295-2025")</f>
        <v/>
      </c>
    </row>
    <row r="97" ht="15" customHeight="1">
      <c r="A97" t="inlineStr">
        <is>
          <t>A 60573-2021</t>
        </is>
      </c>
      <c r="B97" s="1" t="n">
        <v>44496</v>
      </c>
      <c r="C97" s="1" t="n">
        <v>46121</v>
      </c>
      <c r="D97" t="inlineStr">
        <is>
          <t>ÖSTERGÖTLANDS LÄN</t>
        </is>
      </c>
      <c r="E97" t="inlineStr">
        <is>
          <t>LINKÖPING</t>
        </is>
      </c>
      <c r="F97" t="inlineStr">
        <is>
          <t>Övriga Aktiebolag</t>
        </is>
      </c>
      <c r="G97" t="n">
        <v>5.6</v>
      </c>
      <c r="H97" t="n">
        <v>0</v>
      </c>
      <c r="I97" t="n">
        <v>0</v>
      </c>
      <c r="J97" t="n">
        <v>1</v>
      </c>
      <c r="K97" t="n">
        <v>0</v>
      </c>
      <c r="L97" t="n">
        <v>0</v>
      </c>
      <c r="M97" t="n">
        <v>0</v>
      </c>
      <c r="N97" t="n">
        <v>0</v>
      </c>
      <c r="O97" t="n">
        <v>1</v>
      </c>
      <c r="P97" t="n">
        <v>0</v>
      </c>
      <c r="Q97" t="n">
        <v>1</v>
      </c>
      <c r="R97" s="2" t="inlineStr">
        <is>
          <t>Sommarfibbla</t>
        </is>
      </c>
      <c r="S97">
        <f>HYPERLINK("https://klasma.github.io/Logging_0580/artfynd/A 60573-2021 artfynd.xlsx", "A 60573-2021")</f>
        <v/>
      </c>
      <c r="T97">
        <f>HYPERLINK("https://klasma.github.io/Logging_0580/kartor/A 60573-2021 karta.png", "A 60573-2021")</f>
        <v/>
      </c>
      <c r="V97">
        <f>HYPERLINK("https://klasma.github.io/Logging_0580/klagomål/A 60573-2021 FSC-klagomål.docx", "A 60573-2021")</f>
        <v/>
      </c>
      <c r="W97">
        <f>HYPERLINK("https://klasma.github.io/Logging_0580/klagomålsmail/A 60573-2021 FSC-klagomål mail.docx", "A 60573-2021")</f>
        <v/>
      </c>
      <c r="X97">
        <f>HYPERLINK("https://klasma.github.io/Logging_0580/tillsyn/A 60573-2021 tillsynsbegäran.docx", "A 60573-2021")</f>
        <v/>
      </c>
      <c r="Y97">
        <f>HYPERLINK("https://klasma.github.io/Logging_0580/tillsynsmail/A 60573-2021 tillsynsbegäran mail.docx", "A 60573-2021")</f>
        <v/>
      </c>
    </row>
    <row r="98" ht="15" customHeight="1">
      <c r="A98" t="inlineStr">
        <is>
          <t>A 38881-2021</t>
        </is>
      </c>
      <c r="B98" s="1" t="n">
        <v>44411.46893518518</v>
      </c>
      <c r="C98" s="1" t="n">
        <v>46121</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46121</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46121</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46121</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46121</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46121</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46121</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46121</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46121</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46121</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46121</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46121</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46121</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46121</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46121</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46121</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46121</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46121</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46121</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46121</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46121</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46121</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46121</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46121</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46121</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46121</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46121</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46121</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46121</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46121</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46121</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46121</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46121</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46121</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46121</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46121</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46121</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46121</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46121</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46121</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46121</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46121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46121</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46121</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46121</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46121</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46121</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46121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46121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46121</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46121</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46121</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46121</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46121</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46121</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46121</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46121</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46121</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46121</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46121</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46121</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46121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46121</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46121</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46121</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46121</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46121</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46121</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46121</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46121</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20901-2021</t>
        </is>
      </c>
      <c r="B168" s="1" t="n">
        <v>44319</v>
      </c>
      <c r="C168" s="1" t="n">
        <v>46121</v>
      </c>
      <c r="D168" t="inlineStr">
        <is>
          <t>ÖSTERGÖTLANDS LÄN</t>
        </is>
      </c>
      <c r="E168" t="inlineStr">
        <is>
          <t>LINKÖPING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46121</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46121</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46121</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46121</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46121</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46121</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46121</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46121</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46121</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46121</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46121</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19254-2021</t>
        </is>
      </c>
      <c r="B180" s="1" t="n">
        <v>44309.38962962963</v>
      </c>
      <c r="C180" s="1" t="n">
        <v>46121</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61153-2021</t>
        </is>
      </c>
      <c r="B181" s="1" t="n">
        <v>44497</v>
      </c>
      <c r="C181" s="1" t="n">
        <v>46121</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46121</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46121</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46490-2022</t>
        </is>
      </c>
      <c r="B184" s="1" t="n">
        <v>44848</v>
      </c>
      <c r="C184" s="1" t="n">
        <v>46121</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34486-2021</t>
        </is>
      </c>
      <c r="B185" s="1" t="n">
        <v>44382.29295138889</v>
      </c>
      <c r="C185" s="1" t="n">
        <v>46121</v>
      </c>
      <c r="D185" t="inlineStr">
        <is>
          <t>ÖSTERGÖTLANDS LÄN</t>
        </is>
      </c>
      <c r="E185" t="inlineStr">
        <is>
          <t>LINKÖPING</t>
        </is>
      </c>
      <c r="G185" t="n">
        <v>4.4</v>
      </c>
      <c r="H185" t="n">
        <v>0</v>
      </c>
      <c r="I185" t="n">
        <v>0</v>
      </c>
      <c r="J185" t="n">
        <v>0</v>
      </c>
      <c r="K185" t="n">
        <v>0</v>
      </c>
      <c r="L185" t="n">
        <v>0</v>
      </c>
      <c r="M185" t="n">
        <v>0</v>
      </c>
      <c r="N185" t="n">
        <v>0</v>
      </c>
      <c r="O185" t="n">
        <v>0</v>
      </c>
      <c r="P185" t="n">
        <v>0</v>
      </c>
      <c r="Q185" t="n">
        <v>0</v>
      </c>
      <c r="R185" s="2" t="inlineStr"/>
    </row>
    <row r="186" ht="15" customHeight="1">
      <c r="A186" t="inlineStr">
        <is>
          <t>A 31732-2022</t>
        </is>
      </c>
      <c r="B186" s="1" t="n">
        <v>44776.49267361111</v>
      </c>
      <c r="C186" s="1" t="n">
        <v>46121</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61302-2021</t>
        </is>
      </c>
      <c r="B187" s="1" t="n">
        <v>44498.63189814815</v>
      </c>
      <c r="C187" s="1" t="n">
        <v>46121</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41426-2022</t>
        </is>
      </c>
      <c r="B188" s="1" t="n">
        <v>44826</v>
      </c>
      <c r="C188" s="1" t="n">
        <v>46121</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34162-2022</t>
        </is>
      </c>
      <c r="B189" s="1" t="n">
        <v>44791</v>
      </c>
      <c r="C189" s="1" t="n">
        <v>46121</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61298-2021</t>
        </is>
      </c>
      <c r="B190" s="1" t="n">
        <v>44498.62533564815</v>
      </c>
      <c r="C190" s="1" t="n">
        <v>46121</v>
      </c>
      <c r="D190" t="inlineStr">
        <is>
          <t>ÖSTERGÖTLANDS LÄN</t>
        </is>
      </c>
      <c r="E190" t="inlineStr">
        <is>
          <t>LINKÖPING</t>
        </is>
      </c>
      <c r="G190" t="n">
        <v>4.3</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46121</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46121</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32255-2021</t>
        </is>
      </c>
      <c r="B193" s="1" t="n">
        <v>44371.45949074074</v>
      </c>
      <c r="C193" s="1" t="n">
        <v>46121</v>
      </c>
      <c r="D193" t="inlineStr">
        <is>
          <t>ÖSTERGÖTLANDS LÄN</t>
        </is>
      </c>
      <c r="E193" t="inlineStr">
        <is>
          <t>LINKÖPING</t>
        </is>
      </c>
      <c r="F193" t="inlineStr">
        <is>
          <t>Övriga Aktiebolag</t>
        </is>
      </c>
      <c r="G193" t="n">
        <v>1.1</v>
      </c>
      <c r="H193" t="n">
        <v>0</v>
      </c>
      <c r="I193" t="n">
        <v>0</v>
      </c>
      <c r="J193" t="n">
        <v>0</v>
      </c>
      <c r="K193" t="n">
        <v>0</v>
      </c>
      <c r="L193" t="n">
        <v>0</v>
      </c>
      <c r="M193" t="n">
        <v>0</v>
      </c>
      <c r="N193" t="n">
        <v>0</v>
      </c>
      <c r="O193" t="n">
        <v>0</v>
      </c>
      <c r="P193" t="n">
        <v>0</v>
      </c>
      <c r="Q193" t="n">
        <v>0</v>
      </c>
      <c r="R193" s="2" t="inlineStr"/>
    </row>
    <row r="194" ht="15" customHeight="1">
      <c r="A194" t="inlineStr">
        <is>
          <t>A 38235-2022</t>
        </is>
      </c>
      <c r="B194" s="1" t="n">
        <v>44812</v>
      </c>
      <c r="C194" s="1" t="n">
        <v>46121</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34880-2022</t>
        </is>
      </c>
      <c r="B195" s="1" t="n">
        <v>44796</v>
      </c>
      <c r="C195" s="1" t="n">
        <v>46121</v>
      </c>
      <c r="D195" t="inlineStr">
        <is>
          <t>ÖSTERGÖTLANDS LÄN</t>
        </is>
      </c>
      <c r="E195" t="inlineStr">
        <is>
          <t>LINKÖPING</t>
        </is>
      </c>
      <c r="F195" t="inlineStr">
        <is>
          <t>Övriga statliga verk och myndigheter</t>
        </is>
      </c>
      <c r="G195" t="n">
        <v>4</v>
      </c>
      <c r="H195" t="n">
        <v>0</v>
      </c>
      <c r="I195" t="n">
        <v>0</v>
      </c>
      <c r="J195" t="n">
        <v>0</v>
      </c>
      <c r="K195" t="n">
        <v>0</v>
      </c>
      <c r="L195" t="n">
        <v>0</v>
      </c>
      <c r="M195" t="n">
        <v>0</v>
      </c>
      <c r="N195" t="n">
        <v>0</v>
      </c>
      <c r="O195" t="n">
        <v>0</v>
      </c>
      <c r="P195" t="n">
        <v>0</v>
      </c>
      <c r="Q195" t="n">
        <v>0</v>
      </c>
      <c r="R195" s="2" t="inlineStr"/>
    </row>
    <row r="196" ht="15" customHeight="1">
      <c r="A196" t="inlineStr">
        <is>
          <t>A 48042-2022</t>
        </is>
      </c>
      <c r="B196" s="1" t="n">
        <v>44855</v>
      </c>
      <c r="C196" s="1" t="n">
        <v>46121</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34558-2022</t>
        </is>
      </c>
      <c r="B197" s="1" t="n">
        <v>44794.57594907407</v>
      </c>
      <c r="C197" s="1" t="n">
        <v>46121</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63489-2023</t>
        </is>
      </c>
      <c r="B198" s="1" t="n">
        <v>45274.66761574074</v>
      </c>
      <c r="C198" s="1" t="n">
        <v>46121</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54845-2023</t>
        </is>
      </c>
      <c r="B199" s="1" t="n">
        <v>45236</v>
      </c>
      <c r="C199" s="1" t="n">
        <v>46121</v>
      </c>
      <c r="D199" t="inlineStr">
        <is>
          <t>ÖSTERGÖTLANDS LÄN</t>
        </is>
      </c>
      <c r="E199" t="inlineStr">
        <is>
          <t>LINKÖPING</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22772-2024</t>
        </is>
      </c>
      <c r="B200" s="1" t="n">
        <v>45448.46712962963</v>
      </c>
      <c r="C200" s="1" t="n">
        <v>46121</v>
      </c>
      <c r="D200" t="inlineStr">
        <is>
          <t>ÖSTERGÖTLANDS LÄN</t>
        </is>
      </c>
      <c r="E200" t="inlineStr">
        <is>
          <t>LINKÖPING</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28266-2024</t>
        </is>
      </c>
      <c r="B201" s="1" t="n">
        <v>45477.43600694444</v>
      </c>
      <c r="C201" s="1" t="n">
        <v>46121</v>
      </c>
      <c r="D201" t="inlineStr">
        <is>
          <t>ÖSTERGÖTLANDS LÄN</t>
        </is>
      </c>
      <c r="E201" t="inlineStr">
        <is>
          <t>LINKÖPING</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3008-2023</t>
        </is>
      </c>
      <c r="B202" s="1" t="n">
        <v>44945.79784722222</v>
      </c>
      <c r="C202" s="1" t="n">
        <v>46121</v>
      </c>
      <c r="D202" t="inlineStr">
        <is>
          <t>ÖSTERGÖTLANDS LÄN</t>
        </is>
      </c>
      <c r="E202" t="inlineStr">
        <is>
          <t>LINKÖPING</t>
        </is>
      </c>
      <c r="G202" t="n">
        <v>19.3</v>
      </c>
      <c r="H202" t="n">
        <v>0</v>
      </c>
      <c r="I202" t="n">
        <v>0</v>
      </c>
      <c r="J202" t="n">
        <v>0</v>
      </c>
      <c r="K202" t="n">
        <v>0</v>
      </c>
      <c r="L202" t="n">
        <v>0</v>
      </c>
      <c r="M202" t="n">
        <v>0</v>
      </c>
      <c r="N202" t="n">
        <v>0</v>
      </c>
      <c r="O202" t="n">
        <v>0</v>
      </c>
      <c r="P202" t="n">
        <v>0</v>
      </c>
      <c r="Q202" t="n">
        <v>0</v>
      </c>
      <c r="R202" s="2" t="inlineStr"/>
    </row>
    <row r="203" ht="15" customHeight="1">
      <c r="A203" t="inlineStr">
        <is>
          <t>A 62488-2023</t>
        </is>
      </c>
      <c r="B203" s="1" t="n">
        <v>45268.5847337963</v>
      </c>
      <c r="C203" s="1" t="n">
        <v>46121</v>
      </c>
      <c r="D203" t="inlineStr">
        <is>
          <t>ÖSTERGÖTLANDS LÄN</t>
        </is>
      </c>
      <c r="E203" t="inlineStr">
        <is>
          <t>LINKÖPING</t>
        </is>
      </c>
      <c r="G203" t="n">
        <v>4.1</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46121</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20455-2024</t>
        </is>
      </c>
      <c r="B205" s="1" t="n">
        <v>45435.65314814815</v>
      </c>
      <c r="C205" s="1" t="n">
        <v>46121</v>
      </c>
      <c r="D205" t="inlineStr">
        <is>
          <t>ÖSTERGÖTLANDS LÄN</t>
        </is>
      </c>
      <c r="E205" t="inlineStr">
        <is>
          <t>LINKÖPING</t>
        </is>
      </c>
      <c r="G205" t="n">
        <v>2.6</v>
      </c>
      <c r="H205" t="n">
        <v>0</v>
      </c>
      <c r="I205" t="n">
        <v>0</v>
      </c>
      <c r="J205" t="n">
        <v>0</v>
      </c>
      <c r="K205" t="n">
        <v>0</v>
      </c>
      <c r="L205" t="n">
        <v>0</v>
      </c>
      <c r="M205" t="n">
        <v>0</v>
      </c>
      <c r="N205" t="n">
        <v>0</v>
      </c>
      <c r="O205" t="n">
        <v>0</v>
      </c>
      <c r="P205" t="n">
        <v>0</v>
      </c>
      <c r="Q205" t="n">
        <v>0</v>
      </c>
      <c r="R205" s="2" t="inlineStr"/>
    </row>
    <row r="206" ht="15" customHeight="1">
      <c r="A206" t="inlineStr">
        <is>
          <t>A 24351-2024</t>
        </is>
      </c>
      <c r="B206" s="1" t="n">
        <v>45457.59011574074</v>
      </c>
      <c r="C206" s="1" t="n">
        <v>46121</v>
      </c>
      <c r="D206" t="inlineStr">
        <is>
          <t>ÖSTERGÖTLANDS LÄN</t>
        </is>
      </c>
      <c r="E206" t="inlineStr">
        <is>
          <t>LINKÖPING</t>
        </is>
      </c>
      <c r="G206" t="n">
        <v>11.9</v>
      </c>
      <c r="H206" t="n">
        <v>0</v>
      </c>
      <c r="I206" t="n">
        <v>0</v>
      </c>
      <c r="J206" t="n">
        <v>0</v>
      </c>
      <c r="K206" t="n">
        <v>0</v>
      </c>
      <c r="L206" t="n">
        <v>0</v>
      </c>
      <c r="M206" t="n">
        <v>0</v>
      </c>
      <c r="N206" t="n">
        <v>0</v>
      </c>
      <c r="O206" t="n">
        <v>0</v>
      </c>
      <c r="P206" t="n">
        <v>0</v>
      </c>
      <c r="Q206" t="n">
        <v>0</v>
      </c>
      <c r="R206" s="2" t="inlineStr"/>
    </row>
    <row r="207" ht="15" customHeight="1">
      <c r="A207" t="inlineStr">
        <is>
          <t>A 224-2024</t>
        </is>
      </c>
      <c r="B207" s="1" t="n">
        <v>45294</v>
      </c>
      <c r="C207" s="1" t="n">
        <v>46121</v>
      </c>
      <c r="D207" t="inlineStr">
        <is>
          <t>ÖSTERGÖTLANDS LÄN</t>
        </is>
      </c>
      <c r="E207" t="inlineStr">
        <is>
          <t>LINKÖPING</t>
        </is>
      </c>
      <c r="G207" t="n">
        <v>2.8</v>
      </c>
      <c r="H207" t="n">
        <v>0</v>
      </c>
      <c r="I207" t="n">
        <v>0</v>
      </c>
      <c r="J207" t="n">
        <v>0</v>
      </c>
      <c r="K207" t="n">
        <v>0</v>
      </c>
      <c r="L207" t="n">
        <v>0</v>
      </c>
      <c r="M207" t="n">
        <v>0</v>
      </c>
      <c r="N207" t="n">
        <v>0</v>
      </c>
      <c r="O207" t="n">
        <v>0</v>
      </c>
      <c r="P207" t="n">
        <v>0</v>
      </c>
      <c r="Q207" t="n">
        <v>0</v>
      </c>
      <c r="R207" s="2" t="inlineStr"/>
    </row>
    <row r="208" ht="15" customHeight="1">
      <c r="A208" t="inlineStr">
        <is>
          <t>A 25418-2023</t>
        </is>
      </c>
      <c r="B208" s="1" t="n">
        <v>45089</v>
      </c>
      <c r="C208" s="1" t="n">
        <v>46121</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46121</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46121</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30856-2022</t>
        </is>
      </c>
      <c r="B211" s="1" t="n">
        <v>44767</v>
      </c>
      <c r="C211" s="1" t="n">
        <v>46121</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46121</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46121</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1993-2023</t>
        </is>
      </c>
      <c r="B214" s="1" t="n">
        <v>44939</v>
      </c>
      <c r="C214" s="1" t="n">
        <v>46121</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46121</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22771-2024</t>
        </is>
      </c>
      <c r="B216" s="1" t="n">
        <v>45448.46574074074</v>
      </c>
      <c r="C216" s="1" t="n">
        <v>46121</v>
      </c>
      <c r="D216" t="inlineStr">
        <is>
          <t>ÖSTERGÖTLANDS LÄN</t>
        </is>
      </c>
      <c r="E216" t="inlineStr">
        <is>
          <t>LINKÖPING</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52220-2023</t>
        </is>
      </c>
      <c r="B217" s="1" t="n">
        <v>45217</v>
      </c>
      <c r="C217" s="1" t="n">
        <v>46121</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52225-2023</t>
        </is>
      </c>
      <c r="B218" s="1" t="n">
        <v>45217</v>
      </c>
      <c r="C218" s="1" t="n">
        <v>46121</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46121</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46121</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52412-2023</t>
        </is>
      </c>
      <c r="B221" s="1" t="n">
        <v>45225.27888888889</v>
      </c>
      <c r="C221" s="1" t="n">
        <v>46121</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52413-2023</t>
        </is>
      </c>
      <c r="B222" s="1" t="n">
        <v>45225.27950231481</v>
      </c>
      <c r="C222" s="1" t="n">
        <v>46121</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7354-2025</t>
        </is>
      </c>
      <c r="B223" s="1" t="n">
        <v>45704.41174768518</v>
      </c>
      <c r="C223" s="1" t="n">
        <v>46121</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55165-2025</t>
        </is>
      </c>
      <c r="B224" s="1" t="n">
        <v>45968.48194444444</v>
      </c>
      <c r="C224" s="1" t="n">
        <v>46121</v>
      </c>
      <c r="D224" t="inlineStr">
        <is>
          <t>ÖSTERGÖTLANDS LÄN</t>
        </is>
      </c>
      <c r="E224" t="inlineStr">
        <is>
          <t>LINKÖPING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9473-2024</t>
        </is>
      </c>
      <c r="B225" s="1" t="n">
        <v>45359.55474537037</v>
      </c>
      <c r="C225" s="1" t="n">
        <v>46121</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55945-2024</t>
        </is>
      </c>
      <c r="B226" s="1" t="n">
        <v>45623.61754629629</v>
      </c>
      <c r="C226" s="1" t="n">
        <v>46121</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6859-2024</t>
        </is>
      </c>
      <c r="B227" s="1" t="n">
        <v>45342</v>
      </c>
      <c r="C227" s="1" t="n">
        <v>46121</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44287-2024</t>
        </is>
      </c>
      <c r="B228" s="1" t="n">
        <v>45573.50582175926</v>
      </c>
      <c r="C228" s="1" t="n">
        <v>46121</v>
      </c>
      <c r="D228" t="inlineStr">
        <is>
          <t>ÖSTERGÖTLANDS LÄN</t>
        </is>
      </c>
      <c r="E228" t="inlineStr">
        <is>
          <t>LINKÖPING</t>
        </is>
      </c>
      <c r="G228" t="n">
        <v>12.7</v>
      </c>
      <c r="H228" t="n">
        <v>0</v>
      </c>
      <c r="I228" t="n">
        <v>0</v>
      </c>
      <c r="J228" t="n">
        <v>0</v>
      </c>
      <c r="K228" t="n">
        <v>0</v>
      </c>
      <c r="L228" t="n">
        <v>0</v>
      </c>
      <c r="M228" t="n">
        <v>0</v>
      </c>
      <c r="N228" t="n">
        <v>0</v>
      </c>
      <c r="O228" t="n">
        <v>0</v>
      </c>
      <c r="P228" t="n">
        <v>0</v>
      </c>
      <c r="Q228" t="n">
        <v>0</v>
      </c>
      <c r="R228" s="2" t="inlineStr"/>
    </row>
    <row r="229" ht="15" customHeight="1">
      <c r="A229" t="inlineStr">
        <is>
          <t>A 34928-2023</t>
        </is>
      </c>
      <c r="B229" s="1" t="n">
        <v>45142</v>
      </c>
      <c r="C229" s="1" t="n">
        <v>46121</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1263-2024</t>
        </is>
      </c>
      <c r="B230" s="1" t="n">
        <v>45302</v>
      </c>
      <c r="C230" s="1" t="n">
        <v>46121</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52531-2023</t>
        </is>
      </c>
      <c r="B231" s="1" t="n">
        <v>45225</v>
      </c>
      <c r="C231" s="1" t="n">
        <v>46121</v>
      </c>
      <c r="D231" t="inlineStr">
        <is>
          <t>ÖSTERGÖTLANDS LÄN</t>
        </is>
      </c>
      <c r="E231" t="inlineStr">
        <is>
          <t>LINKÖPING</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22364-2025</t>
        </is>
      </c>
      <c r="B232" s="1" t="n">
        <v>45786.46930555555</v>
      </c>
      <c r="C232" s="1" t="n">
        <v>46121</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20291-2025</t>
        </is>
      </c>
      <c r="B233" s="1" t="n">
        <v>45774.74288194445</v>
      </c>
      <c r="C233" s="1" t="n">
        <v>46121</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20293-2025</t>
        </is>
      </c>
      <c r="B234" s="1" t="n">
        <v>45774.74611111111</v>
      </c>
      <c r="C234" s="1" t="n">
        <v>46121</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572-2025</t>
        </is>
      </c>
      <c r="B235" s="1" t="n">
        <v>45664.56349537037</v>
      </c>
      <c r="C235" s="1" t="n">
        <v>46121</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10797-2024</t>
        </is>
      </c>
      <c r="B236" s="1" t="n">
        <v>45369.6190162037</v>
      </c>
      <c r="C236" s="1" t="n">
        <v>46121</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56113-2025</t>
        </is>
      </c>
      <c r="B237" s="1" t="n">
        <v>45973.73924768518</v>
      </c>
      <c r="C237" s="1" t="n">
        <v>46121</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38580-2024</t>
        </is>
      </c>
      <c r="B238" s="1" t="n">
        <v>45546.64825231482</v>
      </c>
      <c r="C238" s="1" t="n">
        <v>46121</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57752-2023</t>
        </is>
      </c>
      <c r="B239" s="1" t="n">
        <v>45246.78474537037</v>
      </c>
      <c r="C239" s="1" t="n">
        <v>46121</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56105-2025</t>
        </is>
      </c>
      <c r="B240" s="1" t="n">
        <v>45973.72855324074</v>
      </c>
      <c r="C240" s="1" t="n">
        <v>46121</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56403-2025</t>
        </is>
      </c>
      <c r="B241" s="1" t="n">
        <v>45974</v>
      </c>
      <c r="C241" s="1" t="n">
        <v>46121</v>
      </c>
      <c r="D241" t="inlineStr">
        <is>
          <t>ÖSTERGÖTLANDS LÄN</t>
        </is>
      </c>
      <c r="E241" t="inlineStr">
        <is>
          <t>LINKÖPING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29312-2024</t>
        </is>
      </c>
      <c r="B242" s="1" t="n">
        <v>45483</v>
      </c>
      <c r="C242" s="1" t="n">
        <v>46121</v>
      </c>
      <c r="D242" t="inlineStr">
        <is>
          <t>ÖSTERGÖTLANDS LÄN</t>
        </is>
      </c>
      <c r="E242" t="inlineStr">
        <is>
          <t>LINKÖPING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3041-2024</t>
        </is>
      </c>
      <c r="B243" s="1" t="n">
        <v>45316.34875</v>
      </c>
      <c r="C243" s="1" t="n">
        <v>46121</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23120-2025</t>
        </is>
      </c>
      <c r="B244" s="1" t="n">
        <v>45791.37481481482</v>
      </c>
      <c r="C244" s="1" t="n">
        <v>46121</v>
      </c>
      <c r="D244" t="inlineStr">
        <is>
          <t>ÖSTERGÖTLANDS LÄN</t>
        </is>
      </c>
      <c r="E244" t="inlineStr">
        <is>
          <t>LINKÖPING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50963-2021</t>
        </is>
      </c>
      <c r="B245" s="1" t="n">
        <v>44460</v>
      </c>
      <c r="C245" s="1" t="n">
        <v>46121</v>
      </c>
      <c r="D245" t="inlineStr">
        <is>
          <t>ÖSTERGÖTLANDS LÄN</t>
        </is>
      </c>
      <c r="E245" t="inlineStr">
        <is>
          <t>LINKÖPING</t>
        </is>
      </c>
      <c r="G245" t="n">
        <v>4.4</v>
      </c>
      <c r="H245" t="n">
        <v>0</v>
      </c>
      <c r="I245" t="n">
        <v>0</v>
      </c>
      <c r="J245" t="n">
        <v>0</v>
      </c>
      <c r="K245" t="n">
        <v>0</v>
      </c>
      <c r="L245" t="n">
        <v>0</v>
      </c>
      <c r="M245" t="n">
        <v>0</v>
      </c>
      <c r="N245" t="n">
        <v>0</v>
      </c>
      <c r="O245" t="n">
        <v>0</v>
      </c>
      <c r="P245" t="n">
        <v>0</v>
      </c>
      <c r="Q245" t="n">
        <v>0</v>
      </c>
      <c r="R245" s="2" t="inlineStr"/>
    </row>
    <row r="246" ht="15" customHeight="1">
      <c r="A246" t="inlineStr">
        <is>
          <t>A 61307-2021</t>
        </is>
      </c>
      <c r="B246" s="1" t="n">
        <v>44498.63928240741</v>
      </c>
      <c r="C246" s="1" t="n">
        <v>46121</v>
      </c>
      <c r="D246" t="inlineStr">
        <is>
          <t>ÖSTERGÖTLANDS LÄN</t>
        </is>
      </c>
      <c r="E246" t="inlineStr">
        <is>
          <t>LINKÖPING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61325-2021</t>
        </is>
      </c>
      <c r="B247" s="1" t="n">
        <v>44498.66814814815</v>
      </c>
      <c r="C247" s="1" t="n">
        <v>46121</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3008-2023</t>
        </is>
      </c>
      <c r="B248" s="1" t="n">
        <v>44945.79784722222</v>
      </c>
      <c r="C248" s="1" t="n">
        <v>46121</v>
      </c>
      <c r="D248" t="inlineStr">
        <is>
          <t>ÖSTERGÖTLANDS LÄN</t>
        </is>
      </c>
      <c r="E248" t="inlineStr">
        <is>
          <t>LINKÖPING</t>
        </is>
      </c>
      <c r="G248" t="n">
        <v>19.3</v>
      </c>
      <c r="H248" t="n">
        <v>0</v>
      </c>
      <c r="I248" t="n">
        <v>0</v>
      </c>
      <c r="J248" t="n">
        <v>0</v>
      </c>
      <c r="K248" t="n">
        <v>0</v>
      </c>
      <c r="L248" t="n">
        <v>0</v>
      </c>
      <c r="M248" t="n">
        <v>0</v>
      </c>
      <c r="N248" t="n">
        <v>0</v>
      </c>
      <c r="O248" t="n">
        <v>0</v>
      </c>
      <c r="P248" t="n">
        <v>0</v>
      </c>
      <c r="Q248" t="n">
        <v>0</v>
      </c>
      <c r="R248" s="2" t="inlineStr"/>
    </row>
    <row r="249" ht="15" customHeight="1">
      <c r="A249" t="inlineStr">
        <is>
          <t>A 63665-2023</t>
        </is>
      </c>
      <c r="B249" s="1" t="n">
        <v>45275</v>
      </c>
      <c r="C249" s="1" t="n">
        <v>46121</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33867-2023</t>
        </is>
      </c>
      <c r="B250" s="1" t="n">
        <v>45133.94640046296</v>
      </c>
      <c r="C250" s="1" t="n">
        <v>46121</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23768-2025</t>
        </is>
      </c>
      <c r="B251" s="1" t="n">
        <v>45793.47493055555</v>
      </c>
      <c r="C251" s="1" t="n">
        <v>46121</v>
      </c>
      <c r="D251" t="inlineStr">
        <is>
          <t>ÖSTERGÖTLANDS LÄN</t>
        </is>
      </c>
      <c r="E251" t="inlineStr">
        <is>
          <t>LINKÖPING</t>
        </is>
      </c>
      <c r="G251" t="n">
        <v>3.4</v>
      </c>
      <c r="H251" t="n">
        <v>0</v>
      </c>
      <c r="I251" t="n">
        <v>0</v>
      </c>
      <c r="J251" t="n">
        <v>0</v>
      </c>
      <c r="K251" t="n">
        <v>0</v>
      </c>
      <c r="L251" t="n">
        <v>0</v>
      </c>
      <c r="M251" t="n">
        <v>0</v>
      </c>
      <c r="N251" t="n">
        <v>0</v>
      </c>
      <c r="O251" t="n">
        <v>0</v>
      </c>
      <c r="P251" t="n">
        <v>0</v>
      </c>
      <c r="Q251" t="n">
        <v>0</v>
      </c>
      <c r="R251" s="2" t="inlineStr"/>
    </row>
    <row r="252" ht="15" customHeight="1">
      <c r="A252" t="inlineStr">
        <is>
          <t>A 39438-2025</t>
        </is>
      </c>
      <c r="B252" s="1" t="n">
        <v>45889.68641203704</v>
      </c>
      <c r="C252" s="1" t="n">
        <v>46121</v>
      </c>
      <c r="D252" t="inlineStr">
        <is>
          <t>ÖSTERGÖTLANDS LÄN</t>
        </is>
      </c>
      <c r="E252" t="inlineStr">
        <is>
          <t>LINKÖPING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27264-2025</t>
        </is>
      </c>
      <c r="B253" s="1" t="n">
        <v>45812.4794212963</v>
      </c>
      <c r="C253" s="1" t="n">
        <v>46121</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56704-2025</t>
        </is>
      </c>
      <c r="B254" s="1" t="n">
        <v>45977.50608796296</v>
      </c>
      <c r="C254" s="1" t="n">
        <v>46121</v>
      </c>
      <c r="D254" t="inlineStr">
        <is>
          <t>ÖSTERGÖTLANDS LÄN</t>
        </is>
      </c>
      <c r="E254" t="inlineStr">
        <is>
          <t>LINKÖPING</t>
        </is>
      </c>
      <c r="F254" t="inlineStr">
        <is>
          <t>Övriga Aktiebolag</t>
        </is>
      </c>
      <c r="G254" t="n">
        <v>0.6</v>
      </c>
      <c r="H254" t="n">
        <v>0</v>
      </c>
      <c r="I254" t="n">
        <v>0</v>
      </c>
      <c r="J254" t="n">
        <v>0</v>
      </c>
      <c r="K254" t="n">
        <v>0</v>
      </c>
      <c r="L254" t="n">
        <v>0</v>
      </c>
      <c r="M254" t="n">
        <v>0</v>
      </c>
      <c r="N254" t="n">
        <v>0</v>
      </c>
      <c r="O254" t="n">
        <v>0</v>
      </c>
      <c r="P254" t="n">
        <v>0</v>
      </c>
      <c r="Q254" t="n">
        <v>0</v>
      </c>
      <c r="R254" s="2" t="inlineStr"/>
    </row>
    <row r="255" ht="15" customHeight="1">
      <c r="A255" t="inlineStr">
        <is>
          <t>A 39074-2025</t>
        </is>
      </c>
      <c r="B255" s="1" t="n">
        <v>45888</v>
      </c>
      <c r="C255" s="1" t="n">
        <v>46121</v>
      </c>
      <c r="D255" t="inlineStr">
        <is>
          <t>ÖSTERGÖTLANDS LÄN</t>
        </is>
      </c>
      <c r="E255" t="inlineStr">
        <is>
          <t>LINKÖPING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72567-2021</t>
        </is>
      </c>
      <c r="B256" s="1" t="n">
        <v>44546.45023148148</v>
      </c>
      <c r="C256" s="1" t="n">
        <v>46121</v>
      </c>
      <c r="D256" t="inlineStr">
        <is>
          <t>ÖSTERGÖTLANDS LÄN</t>
        </is>
      </c>
      <c r="E256" t="inlineStr">
        <is>
          <t>LINKÖPING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30985-2022</t>
        </is>
      </c>
      <c r="B257" s="1" t="n">
        <v>44768</v>
      </c>
      <c r="C257" s="1" t="n">
        <v>46121</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38317-2024</t>
        </is>
      </c>
      <c r="B258" s="1" t="n">
        <v>45545.65766203704</v>
      </c>
      <c r="C258" s="1" t="n">
        <v>46121</v>
      </c>
      <c r="D258" t="inlineStr">
        <is>
          <t>ÖSTERGÖTLANDS LÄN</t>
        </is>
      </c>
      <c r="E258" t="inlineStr">
        <is>
          <t>LINKÖPING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48699-2024</t>
        </is>
      </c>
      <c r="B259" s="1" t="n">
        <v>45593.52091435185</v>
      </c>
      <c r="C259" s="1" t="n">
        <v>46121</v>
      </c>
      <c r="D259" t="inlineStr">
        <is>
          <t>ÖSTERGÖTLANDS LÄN</t>
        </is>
      </c>
      <c r="E259" t="inlineStr">
        <is>
          <t>LINKÖPING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40169-2025</t>
        </is>
      </c>
      <c r="B260" s="1" t="n">
        <v>45894.62824074074</v>
      </c>
      <c r="C260" s="1" t="n">
        <v>46121</v>
      </c>
      <c r="D260" t="inlineStr">
        <is>
          <t>ÖSTERGÖTLANDS LÄN</t>
        </is>
      </c>
      <c r="E260" t="inlineStr">
        <is>
          <t>LINKÖPING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58947-2022</t>
        </is>
      </c>
      <c r="B261" s="1" t="n">
        <v>44903.64769675926</v>
      </c>
      <c r="C261" s="1" t="n">
        <v>46121</v>
      </c>
      <c r="D261" t="inlineStr">
        <is>
          <t>ÖSTERGÖTLANDS LÄN</t>
        </is>
      </c>
      <c r="E261" t="inlineStr">
        <is>
          <t>LINKÖPING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13911-2025</t>
        </is>
      </c>
      <c r="B262" s="1" t="n">
        <v>45737.64784722222</v>
      </c>
      <c r="C262" s="1" t="n">
        <v>46121</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16665-2023</t>
        </is>
      </c>
      <c r="B263" s="1" t="n">
        <v>45030.5583912037</v>
      </c>
      <c r="C263" s="1" t="n">
        <v>46121</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44280-2024</t>
        </is>
      </c>
      <c r="B264" s="1" t="n">
        <v>45573.49461805556</v>
      </c>
      <c r="C264" s="1" t="n">
        <v>46121</v>
      </c>
      <c r="D264" t="inlineStr">
        <is>
          <t>ÖSTERGÖTLANDS LÄN</t>
        </is>
      </c>
      <c r="E264" t="inlineStr">
        <is>
          <t>LINKÖPING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60001-2022</t>
        </is>
      </c>
      <c r="B265" s="1" t="n">
        <v>44909.47087962963</v>
      </c>
      <c r="C265" s="1" t="n">
        <v>46121</v>
      </c>
      <c r="D265" t="inlineStr">
        <is>
          <t>ÖSTERGÖTLANDS LÄN</t>
        </is>
      </c>
      <c r="E265" t="inlineStr">
        <is>
          <t>LINKÖPING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60013-2022</t>
        </is>
      </c>
      <c r="B266" s="1" t="n">
        <v>44909.47482638889</v>
      </c>
      <c r="C266" s="1" t="n">
        <v>46121</v>
      </c>
      <c r="D266" t="inlineStr">
        <is>
          <t>ÖSTERGÖTLANDS LÄN</t>
        </is>
      </c>
      <c r="E266" t="inlineStr">
        <is>
          <t>LINKÖPING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1211-2023</t>
        </is>
      </c>
      <c r="B267" s="1" t="n">
        <v>44930</v>
      </c>
      <c r="C267" s="1" t="n">
        <v>46121</v>
      </c>
      <c r="D267" t="inlineStr">
        <is>
          <t>ÖSTERGÖTLANDS LÄN</t>
        </is>
      </c>
      <c r="E267" t="inlineStr">
        <is>
          <t>LINKÖPING</t>
        </is>
      </c>
      <c r="F267" t="inlineStr">
        <is>
          <t>Övriga statliga verk och myndigheter</t>
        </is>
      </c>
      <c r="G267" t="n">
        <v>7.9</v>
      </c>
      <c r="H267" t="n">
        <v>0</v>
      </c>
      <c r="I267" t="n">
        <v>0</v>
      </c>
      <c r="J267" t="n">
        <v>0</v>
      </c>
      <c r="K267" t="n">
        <v>0</v>
      </c>
      <c r="L267" t="n">
        <v>0</v>
      </c>
      <c r="M267" t="n">
        <v>0</v>
      </c>
      <c r="N267" t="n">
        <v>0</v>
      </c>
      <c r="O267" t="n">
        <v>0</v>
      </c>
      <c r="P267" t="n">
        <v>0</v>
      </c>
      <c r="Q267" t="n">
        <v>0</v>
      </c>
      <c r="R267" s="2" t="inlineStr"/>
    </row>
    <row r="268" ht="15" customHeight="1">
      <c r="A268" t="inlineStr">
        <is>
          <t>A 38136-2023</t>
        </is>
      </c>
      <c r="B268" s="1" t="n">
        <v>45161.37310185185</v>
      </c>
      <c r="C268" s="1" t="n">
        <v>46121</v>
      </c>
      <c r="D268" t="inlineStr">
        <is>
          <t>ÖSTERGÖTLANDS LÄN</t>
        </is>
      </c>
      <c r="E268" t="inlineStr">
        <is>
          <t>LINKÖPING</t>
        </is>
      </c>
      <c r="G268" t="n">
        <v>5.6</v>
      </c>
      <c r="H268" t="n">
        <v>0</v>
      </c>
      <c r="I268" t="n">
        <v>0</v>
      </c>
      <c r="J268" t="n">
        <v>0</v>
      </c>
      <c r="K268" t="n">
        <v>0</v>
      </c>
      <c r="L268" t="n">
        <v>0</v>
      </c>
      <c r="M268" t="n">
        <v>0</v>
      </c>
      <c r="N268" t="n">
        <v>0</v>
      </c>
      <c r="O268" t="n">
        <v>0</v>
      </c>
      <c r="P268" t="n">
        <v>0</v>
      </c>
      <c r="Q268" t="n">
        <v>0</v>
      </c>
      <c r="R268" s="2" t="inlineStr"/>
    </row>
    <row r="269" ht="15" customHeight="1">
      <c r="A269" t="inlineStr">
        <is>
          <t>A 12317-2025</t>
        </is>
      </c>
      <c r="B269" s="1" t="n">
        <v>45729.8487037037</v>
      </c>
      <c r="C269" s="1" t="n">
        <v>46121</v>
      </c>
      <c r="D269" t="inlineStr">
        <is>
          <t>ÖSTERGÖTLANDS LÄN</t>
        </is>
      </c>
      <c r="E269" t="inlineStr">
        <is>
          <t>LINKÖPING</t>
        </is>
      </c>
      <c r="G269" t="n">
        <v>8</v>
      </c>
      <c r="H269" t="n">
        <v>0</v>
      </c>
      <c r="I269" t="n">
        <v>0</v>
      </c>
      <c r="J269" t="n">
        <v>0</v>
      </c>
      <c r="K269" t="n">
        <v>0</v>
      </c>
      <c r="L269" t="n">
        <v>0</v>
      </c>
      <c r="M269" t="n">
        <v>0</v>
      </c>
      <c r="N269" t="n">
        <v>0</v>
      </c>
      <c r="O269" t="n">
        <v>0</v>
      </c>
      <c r="P269" t="n">
        <v>0</v>
      </c>
      <c r="Q269" t="n">
        <v>0</v>
      </c>
      <c r="R269" s="2" t="inlineStr"/>
    </row>
    <row r="270" ht="15" customHeight="1">
      <c r="A270" t="inlineStr">
        <is>
          <t>A 41511-2025</t>
        </is>
      </c>
      <c r="B270" s="1" t="n">
        <v>45901.53839120371</v>
      </c>
      <c r="C270" s="1" t="n">
        <v>46121</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36557-2023</t>
        </is>
      </c>
      <c r="B271" s="1" t="n">
        <v>45153</v>
      </c>
      <c r="C271" s="1" t="n">
        <v>46121</v>
      </c>
      <c r="D271" t="inlineStr">
        <is>
          <t>ÖSTERGÖTLANDS LÄN</t>
        </is>
      </c>
      <c r="E271" t="inlineStr">
        <is>
          <t>LINKÖPING</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2085-2024</t>
        </is>
      </c>
      <c r="B272" s="1" t="n">
        <v>45309</v>
      </c>
      <c r="C272" s="1" t="n">
        <v>46121</v>
      </c>
      <c r="D272" t="inlineStr">
        <is>
          <t>ÖSTERGÖTLANDS LÄN</t>
        </is>
      </c>
      <c r="E272" t="inlineStr">
        <is>
          <t>LINKÖPING</t>
        </is>
      </c>
      <c r="G272" t="n">
        <v>4.5</v>
      </c>
      <c r="H272" t="n">
        <v>0</v>
      </c>
      <c r="I272" t="n">
        <v>0</v>
      </c>
      <c r="J272" t="n">
        <v>0</v>
      </c>
      <c r="K272" t="n">
        <v>0</v>
      </c>
      <c r="L272" t="n">
        <v>0</v>
      </c>
      <c r="M272" t="n">
        <v>0</v>
      </c>
      <c r="N272" t="n">
        <v>0</v>
      </c>
      <c r="O272" t="n">
        <v>0</v>
      </c>
      <c r="P272" t="n">
        <v>0</v>
      </c>
      <c r="Q272" t="n">
        <v>0</v>
      </c>
      <c r="R272" s="2" t="inlineStr"/>
    </row>
    <row r="273" ht="15" customHeight="1">
      <c r="A273" t="inlineStr">
        <is>
          <t>A 26002-2025</t>
        </is>
      </c>
      <c r="B273" s="1" t="n">
        <v>45804.66534722222</v>
      </c>
      <c r="C273" s="1" t="n">
        <v>46121</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30468-2023</t>
        </is>
      </c>
      <c r="B274" s="1" t="n">
        <v>45111.58732638889</v>
      </c>
      <c r="C274" s="1" t="n">
        <v>46121</v>
      </c>
      <c r="D274" t="inlineStr">
        <is>
          <t>ÖSTERGÖTLANDS LÄN</t>
        </is>
      </c>
      <c r="E274" t="inlineStr">
        <is>
          <t>LINKÖPING</t>
        </is>
      </c>
      <c r="G274" t="n">
        <v>10.1</v>
      </c>
      <c r="H274" t="n">
        <v>0</v>
      </c>
      <c r="I274" t="n">
        <v>0</v>
      </c>
      <c r="J274" t="n">
        <v>0</v>
      </c>
      <c r="K274" t="n">
        <v>0</v>
      </c>
      <c r="L274" t="n">
        <v>0</v>
      </c>
      <c r="M274" t="n">
        <v>0</v>
      </c>
      <c r="N274" t="n">
        <v>0</v>
      </c>
      <c r="O274" t="n">
        <v>0</v>
      </c>
      <c r="P274" t="n">
        <v>0</v>
      </c>
      <c r="Q274" t="n">
        <v>0</v>
      </c>
      <c r="R274" s="2" t="inlineStr"/>
    </row>
    <row r="275" ht="15" customHeight="1">
      <c r="A275" t="inlineStr">
        <is>
          <t>A 41706-2025</t>
        </is>
      </c>
      <c r="B275" s="1" t="n">
        <v>45902.42209490741</v>
      </c>
      <c r="C275" s="1" t="n">
        <v>46121</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25996-2025</t>
        </is>
      </c>
      <c r="B276" s="1" t="n">
        <v>45804.65851851852</v>
      </c>
      <c r="C276" s="1" t="n">
        <v>46121</v>
      </c>
      <c r="D276" t="inlineStr">
        <is>
          <t>ÖSTERGÖTLANDS LÄN</t>
        </is>
      </c>
      <c r="E276" t="inlineStr">
        <is>
          <t>LINKÖPING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38715-2023</t>
        </is>
      </c>
      <c r="B277" s="1" t="n">
        <v>45160</v>
      </c>
      <c r="C277" s="1" t="n">
        <v>46121</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3042-2024</t>
        </is>
      </c>
      <c r="B278" s="1" t="n">
        <v>45316.35028935185</v>
      </c>
      <c r="C278" s="1" t="n">
        <v>46121</v>
      </c>
      <c r="D278" t="inlineStr">
        <is>
          <t>ÖSTERGÖTLANDS LÄN</t>
        </is>
      </c>
      <c r="E278" t="inlineStr">
        <is>
          <t>LINKÖPING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34864-2023</t>
        </is>
      </c>
      <c r="B279" s="1" t="n">
        <v>45141</v>
      </c>
      <c r="C279" s="1" t="n">
        <v>46121</v>
      </c>
      <c r="D279" t="inlineStr">
        <is>
          <t>ÖSTERGÖTLANDS LÄN</t>
        </is>
      </c>
      <c r="E279" t="inlineStr">
        <is>
          <t>LINKÖPING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29293-2025</t>
        </is>
      </c>
      <c r="B280" s="1" t="n">
        <v>45824</v>
      </c>
      <c r="C280" s="1" t="n">
        <v>46121</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42624-2025</t>
        </is>
      </c>
      <c r="B281" s="1" t="n">
        <v>45905</v>
      </c>
      <c r="C281" s="1" t="n">
        <v>46121</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42626-2025</t>
        </is>
      </c>
      <c r="B282" s="1" t="n">
        <v>45905</v>
      </c>
      <c r="C282" s="1" t="n">
        <v>46121</v>
      </c>
      <c r="D282" t="inlineStr">
        <is>
          <t>ÖSTERGÖTLANDS LÄN</t>
        </is>
      </c>
      <c r="E282" t="inlineStr">
        <is>
          <t>LINKÖPING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46687-2021</t>
        </is>
      </c>
      <c r="B283" s="1" t="n">
        <v>44445</v>
      </c>
      <c r="C283" s="1" t="n">
        <v>46121</v>
      </c>
      <c r="D283" t="inlineStr">
        <is>
          <t>ÖSTERGÖTLANDS LÄN</t>
        </is>
      </c>
      <c r="E283" t="inlineStr">
        <is>
          <t>LINKÖPING</t>
        </is>
      </c>
      <c r="F283" t="inlineStr">
        <is>
          <t>Övriga statliga verk och myndigheter</t>
        </is>
      </c>
      <c r="G283" t="n">
        <v>2.3</v>
      </c>
      <c r="H283" t="n">
        <v>0</v>
      </c>
      <c r="I283" t="n">
        <v>0</v>
      </c>
      <c r="J283" t="n">
        <v>0</v>
      </c>
      <c r="K283" t="n">
        <v>0</v>
      </c>
      <c r="L283" t="n">
        <v>0</v>
      </c>
      <c r="M283" t="n">
        <v>0</v>
      </c>
      <c r="N283" t="n">
        <v>0</v>
      </c>
      <c r="O283" t="n">
        <v>0</v>
      </c>
      <c r="P283" t="n">
        <v>0</v>
      </c>
      <c r="Q283" t="n">
        <v>0</v>
      </c>
      <c r="R283" s="2" t="inlineStr"/>
    </row>
    <row r="284" ht="15" customHeight="1">
      <c r="A284" t="inlineStr">
        <is>
          <t>A 42623-2025</t>
        </is>
      </c>
      <c r="B284" s="1" t="n">
        <v>45905</v>
      </c>
      <c r="C284" s="1" t="n">
        <v>46121</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17103-2025</t>
        </is>
      </c>
      <c r="B285" s="1" t="n">
        <v>45755.66143518518</v>
      </c>
      <c r="C285" s="1" t="n">
        <v>46121</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40618-2021</t>
        </is>
      </c>
      <c r="B286" s="1" t="n">
        <v>44420.49575231481</v>
      </c>
      <c r="C286" s="1" t="n">
        <v>46121</v>
      </c>
      <c r="D286" t="inlineStr">
        <is>
          <t>ÖSTERGÖTLANDS LÄN</t>
        </is>
      </c>
      <c r="E286" t="inlineStr">
        <is>
          <t>LINKÖPING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56180-2024</t>
        </is>
      </c>
      <c r="B287" s="1" t="n">
        <v>45624.56611111111</v>
      </c>
      <c r="C287" s="1" t="n">
        <v>46121</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30471-2023</t>
        </is>
      </c>
      <c r="B288" s="1" t="n">
        <v>45111.58931712963</v>
      </c>
      <c r="C288" s="1" t="n">
        <v>46121</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227-2024</t>
        </is>
      </c>
      <c r="B289" s="1" t="n">
        <v>45294.73603009259</v>
      </c>
      <c r="C289" s="1" t="n">
        <v>46121</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44155-2024</t>
        </is>
      </c>
      <c r="B290" s="1" t="n">
        <v>45572.68226851852</v>
      </c>
      <c r="C290" s="1" t="n">
        <v>46121</v>
      </c>
      <c r="D290" t="inlineStr">
        <is>
          <t>ÖSTERGÖTLANDS LÄN</t>
        </is>
      </c>
      <c r="E290" t="inlineStr">
        <is>
          <t>LINKÖPING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27950-2025</t>
        </is>
      </c>
      <c r="B291" s="1" t="n">
        <v>45817.52960648148</v>
      </c>
      <c r="C291" s="1" t="n">
        <v>46121</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44170-2025</t>
        </is>
      </c>
      <c r="B292" s="1" t="n">
        <v>45915.59864583334</v>
      </c>
      <c r="C292" s="1" t="n">
        <v>46121</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30434-2024</t>
        </is>
      </c>
      <c r="B293" s="1" t="n">
        <v>45491.69811342593</v>
      </c>
      <c r="C293" s="1" t="n">
        <v>46121</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56917-2022</t>
        </is>
      </c>
      <c r="B294" s="1" t="n">
        <v>44894</v>
      </c>
      <c r="C294" s="1" t="n">
        <v>46121</v>
      </c>
      <c r="D294" t="inlineStr">
        <is>
          <t>ÖSTERGÖTLANDS LÄN</t>
        </is>
      </c>
      <c r="E294" t="inlineStr">
        <is>
          <t>LINKÖPING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57766-2023</t>
        </is>
      </c>
      <c r="B295" s="1" t="n">
        <v>45246</v>
      </c>
      <c r="C295" s="1" t="n">
        <v>46121</v>
      </c>
      <c r="D295" t="inlineStr">
        <is>
          <t>ÖSTERGÖTLANDS LÄN</t>
        </is>
      </c>
      <c r="E295" t="inlineStr">
        <is>
          <t>LINKÖPING</t>
        </is>
      </c>
      <c r="F295" t="inlineStr">
        <is>
          <t>Allmännings- och besparingsskogar</t>
        </is>
      </c>
      <c r="G295" t="n">
        <v>12.8</v>
      </c>
      <c r="H295" t="n">
        <v>0</v>
      </c>
      <c r="I295" t="n">
        <v>0</v>
      </c>
      <c r="J295" t="n">
        <v>0</v>
      </c>
      <c r="K295" t="n">
        <v>0</v>
      </c>
      <c r="L295" t="n">
        <v>0</v>
      </c>
      <c r="M295" t="n">
        <v>0</v>
      </c>
      <c r="N295" t="n">
        <v>0</v>
      </c>
      <c r="O295" t="n">
        <v>0</v>
      </c>
      <c r="P295" t="n">
        <v>0</v>
      </c>
      <c r="Q295" t="n">
        <v>0</v>
      </c>
      <c r="R295" s="2" t="inlineStr"/>
    </row>
    <row r="296" ht="15" customHeight="1">
      <c r="A296" t="inlineStr">
        <is>
          <t>A 43755-2025</t>
        </is>
      </c>
      <c r="B296" s="1" t="n">
        <v>45912.47329861111</v>
      </c>
      <c r="C296" s="1" t="n">
        <v>46121</v>
      </c>
      <c r="D296" t="inlineStr">
        <is>
          <t>ÖSTERGÖTLANDS LÄN</t>
        </is>
      </c>
      <c r="E296" t="inlineStr">
        <is>
          <t>LINKÖPING</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43758-2025</t>
        </is>
      </c>
      <c r="B297" s="1" t="n">
        <v>45912.47711805555</v>
      </c>
      <c r="C297" s="1" t="n">
        <v>46121</v>
      </c>
      <c r="D297" t="inlineStr">
        <is>
          <t>ÖSTERGÖTLANDS LÄN</t>
        </is>
      </c>
      <c r="E297" t="inlineStr">
        <is>
          <t>LINKÖPING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27797-2025</t>
        </is>
      </c>
      <c r="B298" s="1" t="n">
        <v>45816.80521990741</v>
      </c>
      <c r="C298" s="1" t="n">
        <v>46121</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27798-2025</t>
        </is>
      </c>
      <c r="B299" s="1" t="n">
        <v>45816.81532407407</v>
      </c>
      <c r="C299" s="1" t="n">
        <v>46121</v>
      </c>
      <c r="D299" t="inlineStr">
        <is>
          <t>ÖSTERGÖTLANDS LÄN</t>
        </is>
      </c>
      <c r="E299" t="inlineStr">
        <is>
          <t>LINKÖPING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43753-2025</t>
        </is>
      </c>
      <c r="B300" s="1" t="n">
        <v>45912.4715625</v>
      </c>
      <c r="C300" s="1" t="n">
        <v>46121</v>
      </c>
      <c r="D300" t="inlineStr">
        <is>
          <t>ÖSTERGÖTLANDS LÄN</t>
        </is>
      </c>
      <c r="E300" t="inlineStr">
        <is>
          <t>LINKÖPING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28200-2025</t>
        </is>
      </c>
      <c r="B301" s="1" t="n">
        <v>45818.4428125</v>
      </c>
      <c r="C301" s="1" t="n">
        <v>46121</v>
      </c>
      <c r="D301" t="inlineStr">
        <is>
          <t>ÖSTERGÖTLANDS LÄN</t>
        </is>
      </c>
      <c r="E301" t="inlineStr">
        <is>
          <t>LINKÖPING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28204-2025</t>
        </is>
      </c>
      <c r="B302" s="1" t="n">
        <v>45818.4477662037</v>
      </c>
      <c r="C302" s="1" t="n">
        <v>46121</v>
      </c>
      <c r="D302" t="inlineStr">
        <is>
          <t>ÖSTERGÖTLANDS LÄN</t>
        </is>
      </c>
      <c r="E302" t="inlineStr">
        <is>
          <t>LINKÖPING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28416-2025</t>
        </is>
      </c>
      <c r="B303" s="1" t="n">
        <v>45819.35346064815</v>
      </c>
      <c r="C303" s="1" t="n">
        <v>46121</v>
      </c>
      <c r="D303" t="inlineStr">
        <is>
          <t>ÖSTERGÖTLANDS LÄN</t>
        </is>
      </c>
      <c r="E303" t="inlineStr">
        <is>
          <t>LINKÖPING</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44759-2025</t>
        </is>
      </c>
      <c r="B304" s="1" t="n">
        <v>45917.7152662037</v>
      </c>
      <c r="C304" s="1" t="n">
        <v>46121</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58802-2025</t>
        </is>
      </c>
      <c r="B305" s="1" t="n">
        <v>45986.8768287037</v>
      </c>
      <c r="C305" s="1" t="n">
        <v>46121</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44764-2025</t>
        </is>
      </c>
      <c r="B306" s="1" t="n">
        <v>45917.72821759259</v>
      </c>
      <c r="C306" s="1" t="n">
        <v>46121</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28398-2025</t>
        </is>
      </c>
      <c r="B307" s="1" t="n">
        <v>45819.34208333334</v>
      </c>
      <c r="C307" s="1" t="n">
        <v>46121</v>
      </c>
      <c r="D307" t="inlineStr">
        <is>
          <t>ÖSTERGÖTLANDS LÄN</t>
        </is>
      </c>
      <c r="E307" t="inlineStr">
        <is>
          <t>LINKÖPING</t>
        </is>
      </c>
      <c r="F307" t="inlineStr">
        <is>
          <t>Sveaskog</t>
        </is>
      </c>
      <c r="G307" t="n">
        <v>7.9</v>
      </c>
      <c r="H307" t="n">
        <v>0</v>
      </c>
      <c r="I307" t="n">
        <v>0</v>
      </c>
      <c r="J307" t="n">
        <v>0</v>
      </c>
      <c r="K307" t="n">
        <v>0</v>
      </c>
      <c r="L307" t="n">
        <v>0</v>
      </c>
      <c r="M307" t="n">
        <v>0</v>
      </c>
      <c r="N307" t="n">
        <v>0</v>
      </c>
      <c r="O307" t="n">
        <v>0</v>
      </c>
      <c r="P307" t="n">
        <v>0</v>
      </c>
      <c r="Q307" t="n">
        <v>0</v>
      </c>
      <c r="R307" s="2" t="inlineStr"/>
    </row>
    <row r="308" ht="15" customHeight="1">
      <c r="A308" t="inlineStr">
        <is>
          <t>A 28209-2025</t>
        </is>
      </c>
      <c r="B308" s="1" t="n">
        <v>45818.45112268518</v>
      </c>
      <c r="C308" s="1" t="n">
        <v>46121</v>
      </c>
      <c r="D308" t="inlineStr">
        <is>
          <t>ÖSTERGÖTLANDS LÄN</t>
        </is>
      </c>
      <c r="E308" t="inlineStr">
        <is>
          <t>LINKÖPING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25568-2024</t>
        </is>
      </c>
      <c r="B309" s="1" t="n">
        <v>45463.58699074074</v>
      </c>
      <c r="C309" s="1" t="n">
        <v>46121</v>
      </c>
      <c r="D309" t="inlineStr">
        <is>
          <t>ÖSTERGÖTLANDS LÄN</t>
        </is>
      </c>
      <c r="E309" t="inlineStr">
        <is>
          <t>LINKÖPING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45112-2025</t>
        </is>
      </c>
      <c r="B310" s="1" t="n">
        <v>45919</v>
      </c>
      <c r="C310" s="1" t="n">
        <v>46121</v>
      </c>
      <c r="D310" t="inlineStr">
        <is>
          <t>ÖSTERGÖTLANDS LÄN</t>
        </is>
      </c>
      <c r="E310" t="inlineStr">
        <is>
          <t>LINKÖPING</t>
        </is>
      </c>
      <c r="G310" t="n">
        <v>3.5</v>
      </c>
      <c r="H310" t="n">
        <v>0</v>
      </c>
      <c r="I310" t="n">
        <v>0</v>
      </c>
      <c r="J310" t="n">
        <v>0</v>
      </c>
      <c r="K310" t="n">
        <v>0</v>
      </c>
      <c r="L310" t="n">
        <v>0</v>
      </c>
      <c r="M310" t="n">
        <v>0</v>
      </c>
      <c r="N310" t="n">
        <v>0</v>
      </c>
      <c r="O310" t="n">
        <v>0</v>
      </c>
      <c r="P310" t="n">
        <v>0</v>
      </c>
      <c r="Q310" t="n">
        <v>0</v>
      </c>
      <c r="R310" s="2" t="inlineStr"/>
    </row>
    <row r="311" ht="15" customHeight="1">
      <c r="A311" t="inlineStr">
        <is>
          <t>A 55004-2025</t>
        </is>
      </c>
      <c r="B311" s="1" t="n">
        <v>45967</v>
      </c>
      <c r="C311" s="1" t="n">
        <v>46121</v>
      </c>
      <c r="D311" t="inlineStr">
        <is>
          <t>ÖSTERGÖTLANDS LÄN</t>
        </is>
      </c>
      <c r="E311" t="inlineStr">
        <is>
          <t>LINKÖPING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22833-2023</t>
        </is>
      </c>
      <c r="B312" s="1" t="n">
        <v>45071</v>
      </c>
      <c r="C312" s="1" t="n">
        <v>46121</v>
      </c>
      <c r="D312" t="inlineStr">
        <is>
          <t>ÖSTERGÖTLANDS LÄN</t>
        </is>
      </c>
      <c r="E312" t="inlineStr">
        <is>
          <t>LINKÖPING</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29027-2025</t>
        </is>
      </c>
      <c r="B313" s="1" t="n">
        <v>45821.4375462963</v>
      </c>
      <c r="C313" s="1" t="n">
        <v>46121</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29411-2025</t>
        </is>
      </c>
      <c r="B314" s="1" t="n">
        <v>45824.6219212963</v>
      </c>
      <c r="C314" s="1" t="n">
        <v>46121</v>
      </c>
      <c r="D314" t="inlineStr">
        <is>
          <t>ÖSTERGÖTLANDS LÄN</t>
        </is>
      </c>
      <c r="E314" t="inlineStr">
        <is>
          <t>LINKÖPING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45634-2025</t>
        </is>
      </c>
      <c r="B315" s="1" t="n">
        <v>45922.85089120371</v>
      </c>
      <c r="C315" s="1" t="n">
        <v>46121</v>
      </c>
      <c r="D315" t="inlineStr">
        <is>
          <t>ÖSTERGÖTLANDS LÄN</t>
        </is>
      </c>
      <c r="E315" t="inlineStr">
        <is>
          <t>LINKÖPING</t>
        </is>
      </c>
      <c r="F315" t="inlineStr">
        <is>
          <t>Övriga Aktiebolag</t>
        </is>
      </c>
      <c r="G315" t="n">
        <v>0.3</v>
      </c>
      <c r="H315" t="n">
        <v>0</v>
      </c>
      <c r="I315" t="n">
        <v>0</v>
      </c>
      <c r="J315" t="n">
        <v>0</v>
      </c>
      <c r="K315" t="n">
        <v>0</v>
      </c>
      <c r="L315" t="n">
        <v>0</v>
      </c>
      <c r="M315" t="n">
        <v>0</v>
      </c>
      <c r="N315" t="n">
        <v>0</v>
      </c>
      <c r="O315" t="n">
        <v>0</v>
      </c>
      <c r="P315" t="n">
        <v>0</v>
      </c>
      <c r="Q315" t="n">
        <v>0</v>
      </c>
      <c r="R315" s="2" t="inlineStr"/>
    </row>
    <row r="316" ht="15" customHeight="1">
      <c r="A316" t="inlineStr">
        <is>
          <t>A 2997-2025</t>
        </is>
      </c>
      <c r="B316" s="1" t="n">
        <v>45678.54631944445</v>
      </c>
      <c r="C316" s="1" t="n">
        <v>46121</v>
      </c>
      <c r="D316" t="inlineStr">
        <is>
          <t>ÖSTERGÖTLANDS LÄN</t>
        </is>
      </c>
      <c r="E316" t="inlineStr">
        <is>
          <t>LINKÖPING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29599-2025</t>
        </is>
      </c>
      <c r="B317" s="1" t="n">
        <v>45825.41101851852</v>
      </c>
      <c r="C317" s="1" t="n">
        <v>46121</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41345-2021</t>
        </is>
      </c>
      <c r="B318" s="1" t="n">
        <v>44424.61851851852</v>
      </c>
      <c r="C318" s="1" t="n">
        <v>46121</v>
      </c>
      <c r="D318" t="inlineStr">
        <is>
          <t>ÖSTERGÖTLANDS LÄN</t>
        </is>
      </c>
      <c r="E318" t="inlineStr">
        <is>
          <t>LINKÖPING</t>
        </is>
      </c>
      <c r="F318" t="inlineStr">
        <is>
          <t>Sveaskog</t>
        </is>
      </c>
      <c r="G318" t="n">
        <v>6.3</v>
      </c>
      <c r="H318" t="n">
        <v>0</v>
      </c>
      <c r="I318" t="n">
        <v>0</v>
      </c>
      <c r="J318" t="n">
        <v>0</v>
      </c>
      <c r="K318" t="n">
        <v>0</v>
      </c>
      <c r="L318" t="n">
        <v>0</v>
      </c>
      <c r="M318" t="n">
        <v>0</v>
      </c>
      <c r="N318" t="n">
        <v>0</v>
      </c>
      <c r="O318" t="n">
        <v>0</v>
      </c>
      <c r="P318" t="n">
        <v>0</v>
      </c>
      <c r="Q318" t="n">
        <v>0</v>
      </c>
      <c r="R318" s="2" t="inlineStr"/>
    </row>
    <row r="319" ht="15" customHeight="1">
      <c r="A319" t="inlineStr">
        <is>
          <t>A 13266-2025</t>
        </is>
      </c>
      <c r="B319" s="1" t="n">
        <v>45735.53318287037</v>
      </c>
      <c r="C319" s="1" t="n">
        <v>46121</v>
      </c>
      <c r="D319" t="inlineStr">
        <is>
          <t>ÖSTERGÖTLANDS LÄN</t>
        </is>
      </c>
      <c r="E319" t="inlineStr">
        <is>
          <t>LINKÖPING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16213-2025</t>
        </is>
      </c>
      <c r="B320" s="1" t="n">
        <v>45750.62740740741</v>
      </c>
      <c r="C320" s="1" t="n">
        <v>46121</v>
      </c>
      <c r="D320" t="inlineStr">
        <is>
          <t>ÖSTERGÖTLANDS LÄN</t>
        </is>
      </c>
      <c r="E320" t="inlineStr">
        <is>
          <t>LINKÖPING</t>
        </is>
      </c>
      <c r="G320" t="n">
        <v>3.4</v>
      </c>
      <c r="H320" t="n">
        <v>0</v>
      </c>
      <c r="I320" t="n">
        <v>0</v>
      </c>
      <c r="J320" t="n">
        <v>0</v>
      </c>
      <c r="K320" t="n">
        <v>0</v>
      </c>
      <c r="L320" t="n">
        <v>0</v>
      </c>
      <c r="M320" t="n">
        <v>0</v>
      </c>
      <c r="N320" t="n">
        <v>0</v>
      </c>
      <c r="O320" t="n">
        <v>0</v>
      </c>
      <c r="P320" t="n">
        <v>0</v>
      </c>
      <c r="Q320" t="n">
        <v>0</v>
      </c>
      <c r="R320" s="2" t="inlineStr"/>
    </row>
    <row r="321" ht="15" customHeight="1">
      <c r="A321" t="inlineStr">
        <is>
          <t>A 45792-2025</t>
        </is>
      </c>
      <c r="B321" s="1" t="n">
        <v>45923.56998842592</v>
      </c>
      <c r="C321" s="1" t="n">
        <v>46121</v>
      </c>
      <c r="D321" t="inlineStr">
        <is>
          <t>ÖSTERGÖTLANDS LÄN</t>
        </is>
      </c>
      <c r="E321" t="inlineStr">
        <is>
          <t>LINKÖPING</t>
        </is>
      </c>
      <c r="G321" t="n">
        <v>2.6</v>
      </c>
      <c r="H321" t="n">
        <v>0</v>
      </c>
      <c r="I321" t="n">
        <v>0</v>
      </c>
      <c r="J321" t="n">
        <v>0</v>
      </c>
      <c r="K321" t="n">
        <v>0</v>
      </c>
      <c r="L321" t="n">
        <v>0</v>
      </c>
      <c r="M321" t="n">
        <v>0</v>
      </c>
      <c r="N321" t="n">
        <v>0</v>
      </c>
      <c r="O321" t="n">
        <v>0</v>
      </c>
      <c r="P321" t="n">
        <v>0</v>
      </c>
      <c r="Q321" t="n">
        <v>0</v>
      </c>
      <c r="R321" s="2" t="inlineStr"/>
    </row>
    <row r="322" ht="15" customHeight="1">
      <c r="A322" t="inlineStr">
        <is>
          <t>A 45804-2025</t>
        </is>
      </c>
      <c r="B322" s="1" t="n">
        <v>45923.5819675926</v>
      </c>
      <c r="C322" s="1" t="n">
        <v>46121</v>
      </c>
      <c r="D322" t="inlineStr">
        <is>
          <t>ÖSTERGÖTLANDS LÄN</t>
        </is>
      </c>
      <c r="E322" t="inlineStr">
        <is>
          <t>LINKÖPING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46426-2025</t>
        </is>
      </c>
      <c r="B323" s="1" t="n">
        <v>45925.6012962963</v>
      </c>
      <c r="C323" s="1" t="n">
        <v>46121</v>
      </c>
      <c r="D323" t="inlineStr">
        <is>
          <t>ÖSTERGÖTLANDS LÄN</t>
        </is>
      </c>
      <c r="E323" t="inlineStr">
        <is>
          <t>LINKÖPING</t>
        </is>
      </c>
      <c r="G323" t="n">
        <v>4.4</v>
      </c>
      <c r="H323" t="n">
        <v>0</v>
      </c>
      <c r="I323" t="n">
        <v>0</v>
      </c>
      <c r="J323" t="n">
        <v>0</v>
      </c>
      <c r="K323" t="n">
        <v>0</v>
      </c>
      <c r="L323" t="n">
        <v>0</v>
      </c>
      <c r="M323" t="n">
        <v>0</v>
      </c>
      <c r="N323" t="n">
        <v>0</v>
      </c>
      <c r="O323" t="n">
        <v>0</v>
      </c>
      <c r="P323" t="n">
        <v>0</v>
      </c>
      <c r="Q323" t="n">
        <v>0</v>
      </c>
      <c r="R323" s="2" t="inlineStr"/>
    </row>
    <row r="324" ht="15" customHeight="1">
      <c r="A324" t="inlineStr">
        <is>
          <t>A 30355-2025</t>
        </is>
      </c>
      <c r="B324" s="1" t="n">
        <v>45827</v>
      </c>
      <c r="C324" s="1" t="n">
        <v>46121</v>
      </c>
      <c r="D324" t="inlineStr">
        <is>
          <t>ÖSTERGÖTLANDS LÄN</t>
        </is>
      </c>
      <c r="E324" t="inlineStr">
        <is>
          <t>LINKÖPING</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30353-2025</t>
        </is>
      </c>
      <c r="B325" s="1" t="n">
        <v>45827</v>
      </c>
      <c r="C325" s="1" t="n">
        <v>46121</v>
      </c>
      <c r="D325" t="inlineStr">
        <is>
          <t>ÖSTERGÖTLANDS LÄN</t>
        </is>
      </c>
      <c r="E325" t="inlineStr">
        <is>
          <t>LINKÖPING</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46428-2025</t>
        </is>
      </c>
      <c r="B326" s="1" t="n">
        <v>45925.60758101852</v>
      </c>
      <c r="C326" s="1" t="n">
        <v>46121</v>
      </c>
      <c r="D326" t="inlineStr">
        <is>
          <t>ÖSTERGÖTLANDS LÄN</t>
        </is>
      </c>
      <c r="E326" t="inlineStr">
        <is>
          <t>LINKÖPING</t>
        </is>
      </c>
      <c r="G326" t="n">
        <v>3</v>
      </c>
      <c r="H326" t="n">
        <v>0</v>
      </c>
      <c r="I326" t="n">
        <v>0</v>
      </c>
      <c r="J326" t="n">
        <v>0</v>
      </c>
      <c r="K326" t="n">
        <v>0</v>
      </c>
      <c r="L326" t="n">
        <v>0</v>
      </c>
      <c r="M326" t="n">
        <v>0</v>
      </c>
      <c r="N326" t="n">
        <v>0</v>
      </c>
      <c r="O326" t="n">
        <v>0</v>
      </c>
      <c r="P326" t="n">
        <v>0</v>
      </c>
      <c r="Q326" t="n">
        <v>0</v>
      </c>
      <c r="R326" s="2" t="inlineStr"/>
    </row>
    <row r="327" ht="15" customHeight="1">
      <c r="A327" t="inlineStr">
        <is>
          <t>A 46377-2025</t>
        </is>
      </c>
      <c r="B327" s="1" t="n">
        <v>45925.51773148148</v>
      </c>
      <c r="C327" s="1" t="n">
        <v>46121</v>
      </c>
      <c r="D327" t="inlineStr">
        <is>
          <t>ÖSTERGÖTLANDS LÄN</t>
        </is>
      </c>
      <c r="E327" t="inlineStr">
        <is>
          <t>LINKÖPING</t>
        </is>
      </c>
      <c r="G327" t="n">
        <v>3.1</v>
      </c>
      <c r="H327" t="n">
        <v>0</v>
      </c>
      <c r="I327" t="n">
        <v>0</v>
      </c>
      <c r="J327" t="n">
        <v>0</v>
      </c>
      <c r="K327" t="n">
        <v>0</v>
      </c>
      <c r="L327" t="n">
        <v>0</v>
      </c>
      <c r="M327" t="n">
        <v>0</v>
      </c>
      <c r="N327" t="n">
        <v>0</v>
      </c>
      <c r="O327" t="n">
        <v>0</v>
      </c>
      <c r="P327" t="n">
        <v>0</v>
      </c>
      <c r="Q327" t="n">
        <v>0</v>
      </c>
      <c r="R327" s="2" t="inlineStr"/>
    </row>
    <row r="328" ht="15" customHeight="1">
      <c r="A328" t="inlineStr">
        <is>
          <t>A 46225-2021</t>
        </is>
      </c>
      <c r="B328" s="1" t="n">
        <v>44442</v>
      </c>
      <c r="C328" s="1" t="n">
        <v>46121</v>
      </c>
      <c r="D328" t="inlineStr">
        <is>
          <t>ÖSTERGÖTLANDS LÄN</t>
        </is>
      </c>
      <c r="E328" t="inlineStr">
        <is>
          <t>LINKÖPING</t>
        </is>
      </c>
      <c r="G328" t="n">
        <v>2.9</v>
      </c>
      <c r="H328" t="n">
        <v>0</v>
      </c>
      <c r="I328" t="n">
        <v>0</v>
      </c>
      <c r="J328" t="n">
        <v>0</v>
      </c>
      <c r="K328" t="n">
        <v>0</v>
      </c>
      <c r="L328" t="n">
        <v>0</v>
      </c>
      <c r="M328" t="n">
        <v>0</v>
      </c>
      <c r="N328" t="n">
        <v>0</v>
      </c>
      <c r="O328" t="n">
        <v>0</v>
      </c>
      <c r="P328" t="n">
        <v>0</v>
      </c>
      <c r="Q328" t="n">
        <v>0</v>
      </c>
      <c r="R328" s="2" t="inlineStr"/>
    </row>
    <row r="329" ht="15" customHeight="1">
      <c r="A329" t="inlineStr">
        <is>
          <t>A 25776-2021</t>
        </is>
      </c>
      <c r="B329" s="1" t="n">
        <v>44343</v>
      </c>
      <c r="C329" s="1" t="n">
        <v>46121</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51484-2023</t>
        </is>
      </c>
      <c r="B330" s="1" t="n">
        <v>45222</v>
      </c>
      <c r="C330" s="1" t="n">
        <v>46121</v>
      </c>
      <c r="D330" t="inlineStr">
        <is>
          <t>ÖSTERGÖTLANDS LÄN</t>
        </is>
      </c>
      <c r="E330" t="inlineStr">
        <is>
          <t>LINKÖPING</t>
        </is>
      </c>
      <c r="F330" t="inlineStr">
        <is>
          <t>Övriga Aktiebolag</t>
        </is>
      </c>
      <c r="G330" t="n">
        <v>7.7</v>
      </c>
      <c r="H330" t="n">
        <v>0</v>
      </c>
      <c r="I330" t="n">
        <v>0</v>
      </c>
      <c r="J330" t="n">
        <v>0</v>
      </c>
      <c r="K330" t="n">
        <v>0</v>
      </c>
      <c r="L330" t="n">
        <v>0</v>
      </c>
      <c r="M330" t="n">
        <v>0</v>
      </c>
      <c r="N330" t="n">
        <v>0</v>
      </c>
      <c r="O330" t="n">
        <v>0</v>
      </c>
      <c r="P330" t="n">
        <v>0</v>
      </c>
      <c r="Q330" t="n">
        <v>0</v>
      </c>
      <c r="R330" s="2" t="inlineStr"/>
    </row>
    <row r="331" ht="15" customHeight="1">
      <c r="A331" t="inlineStr">
        <is>
          <t>A 59205-2025</t>
        </is>
      </c>
      <c r="B331" s="1" t="n">
        <v>45988.60721064815</v>
      </c>
      <c r="C331" s="1" t="n">
        <v>46121</v>
      </c>
      <c r="D331" t="inlineStr">
        <is>
          <t>ÖSTERGÖTLANDS LÄN</t>
        </is>
      </c>
      <c r="E331" t="inlineStr">
        <is>
          <t>LINKÖPING</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46847-2025</t>
        </is>
      </c>
      <c r="B332" s="1" t="n">
        <v>45928.69971064815</v>
      </c>
      <c r="C332" s="1" t="n">
        <v>46121</v>
      </c>
      <c r="D332" t="inlineStr">
        <is>
          <t>ÖSTERGÖTLANDS LÄN</t>
        </is>
      </c>
      <c r="E332" t="inlineStr">
        <is>
          <t>LINKÖPING</t>
        </is>
      </c>
      <c r="G332" t="n">
        <v>4.6</v>
      </c>
      <c r="H332" t="n">
        <v>0</v>
      </c>
      <c r="I332" t="n">
        <v>0</v>
      </c>
      <c r="J332" t="n">
        <v>0</v>
      </c>
      <c r="K332" t="n">
        <v>0</v>
      </c>
      <c r="L332" t="n">
        <v>0</v>
      </c>
      <c r="M332" t="n">
        <v>0</v>
      </c>
      <c r="N332" t="n">
        <v>0</v>
      </c>
      <c r="O332" t="n">
        <v>0</v>
      </c>
      <c r="P332" t="n">
        <v>0</v>
      </c>
      <c r="Q332" t="n">
        <v>0</v>
      </c>
      <c r="R332" s="2" t="inlineStr"/>
    </row>
    <row r="333" ht="15" customHeight="1">
      <c r="A333" t="inlineStr">
        <is>
          <t>A 17898-2022</t>
        </is>
      </c>
      <c r="B333" s="1" t="n">
        <v>44683</v>
      </c>
      <c r="C333" s="1" t="n">
        <v>46121</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59472-2025</t>
        </is>
      </c>
      <c r="B334" s="1" t="n">
        <v>45989.58321759259</v>
      </c>
      <c r="C334" s="1" t="n">
        <v>46121</v>
      </c>
      <c r="D334" t="inlineStr">
        <is>
          <t>ÖSTERGÖTLANDS LÄN</t>
        </is>
      </c>
      <c r="E334" t="inlineStr">
        <is>
          <t>LINKÖPING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47233-2025</t>
        </is>
      </c>
      <c r="B335" s="1" t="n">
        <v>45930.40612268518</v>
      </c>
      <c r="C335" s="1" t="n">
        <v>46121</v>
      </c>
      <c r="D335" t="inlineStr">
        <is>
          <t>ÖSTERGÖTLANDS LÄN</t>
        </is>
      </c>
      <c r="E335" t="inlineStr">
        <is>
          <t>LINKÖPING</t>
        </is>
      </c>
      <c r="G335" t="n">
        <v>4.3</v>
      </c>
      <c r="H335" t="n">
        <v>0</v>
      </c>
      <c r="I335" t="n">
        <v>0</v>
      </c>
      <c r="J335" t="n">
        <v>0</v>
      </c>
      <c r="K335" t="n">
        <v>0</v>
      </c>
      <c r="L335" t="n">
        <v>0</v>
      </c>
      <c r="M335" t="n">
        <v>0</v>
      </c>
      <c r="N335" t="n">
        <v>0</v>
      </c>
      <c r="O335" t="n">
        <v>0</v>
      </c>
      <c r="P335" t="n">
        <v>0</v>
      </c>
      <c r="Q335" t="n">
        <v>0</v>
      </c>
      <c r="R335" s="2" t="inlineStr"/>
    </row>
    <row r="336" ht="15" customHeight="1">
      <c r="A336" t="inlineStr">
        <is>
          <t>A 31581-2025</t>
        </is>
      </c>
      <c r="B336" s="1" t="n">
        <v>45833.6840162037</v>
      </c>
      <c r="C336" s="1" t="n">
        <v>46121</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31585-2025</t>
        </is>
      </c>
      <c r="B337" s="1" t="n">
        <v>45833.68815972222</v>
      </c>
      <c r="C337" s="1" t="n">
        <v>46121</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47606-2025</t>
        </is>
      </c>
      <c r="B338" s="1" t="n">
        <v>45931.46402777778</v>
      </c>
      <c r="C338" s="1" t="n">
        <v>46121</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63487-2023</t>
        </is>
      </c>
      <c r="B339" s="1" t="n">
        <v>45274.66712962963</v>
      </c>
      <c r="C339" s="1" t="n">
        <v>46121</v>
      </c>
      <c r="D339" t="inlineStr">
        <is>
          <t>ÖSTERGÖTLANDS LÄN</t>
        </is>
      </c>
      <c r="E339" t="inlineStr">
        <is>
          <t>LINKÖPING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35463-2023</t>
        </is>
      </c>
      <c r="B340" s="1" t="n">
        <v>45146</v>
      </c>
      <c r="C340" s="1" t="n">
        <v>46121</v>
      </c>
      <c r="D340" t="inlineStr">
        <is>
          <t>ÖSTERGÖTLANDS LÄN</t>
        </is>
      </c>
      <c r="E340" t="inlineStr">
        <is>
          <t>LINKÖPING</t>
        </is>
      </c>
      <c r="F340" t="inlineStr">
        <is>
          <t>Övriga Aktiebolag</t>
        </is>
      </c>
      <c r="G340" t="n">
        <v>1.8</v>
      </c>
      <c r="H340" t="n">
        <v>0</v>
      </c>
      <c r="I340" t="n">
        <v>0</v>
      </c>
      <c r="J340" t="n">
        <v>0</v>
      </c>
      <c r="K340" t="n">
        <v>0</v>
      </c>
      <c r="L340" t="n">
        <v>0</v>
      </c>
      <c r="M340" t="n">
        <v>0</v>
      </c>
      <c r="N340" t="n">
        <v>0</v>
      </c>
      <c r="O340" t="n">
        <v>0</v>
      </c>
      <c r="P340" t="n">
        <v>0</v>
      </c>
      <c r="Q340" t="n">
        <v>0</v>
      </c>
      <c r="R340" s="2" t="inlineStr"/>
    </row>
    <row r="341" ht="15" customHeight="1">
      <c r="A341" t="inlineStr">
        <is>
          <t>A 47304-2025</t>
        </is>
      </c>
      <c r="B341" s="1" t="n">
        <v>45930.52037037037</v>
      </c>
      <c r="C341" s="1" t="n">
        <v>46121</v>
      </c>
      <c r="D341" t="inlineStr">
        <is>
          <t>ÖSTERGÖTLANDS LÄN</t>
        </is>
      </c>
      <c r="E341" t="inlineStr">
        <is>
          <t>LINKÖPING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55632-2022</t>
        </is>
      </c>
      <c r="B342" s="1" t="n">
        <v>44888</v>
      </c>
      <c r="C342" s="1" t="n">
        <v>46121</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63559-2023</t>
        </is>
      </c>
      <c r="B343" s="1" t="n">
        <v>45275.35924768518</v>
      </c>
      <c r="C343" s="1" t="n">
        <v>46121</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58114-2021</t>
        </is>
      </c>
      <c r="B344" s="1" t="n">
        <v>44487</v>
      </c>
      <c r="C344" s="1" t="n">
        <v>46121</v>
      </c>
      <c r="D344" t="inlineStr">
        <is>
          <t>ÖSTERGÖTLANDS LÄN</t>
        </is>
      </c>
      <c r="E344" t="inlineStr">
        <is>
          <t>LINKÖPING</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48343-2025</t>
        </is>
      </c>
      <c r="B345" s="1" t="n">
        <v>45932</v>
      </c>
      <c r="C345" s="1" t="n">
        <v>46121</v>
      </c>
      <c r="D345" t="inlineStr">
        <is>
          <t>ÖSTERGÖTLANDS LÄN</t>
        </is>
      </c>
      <c r="E345" t="inlineStr">
        <is>
          <t>LINKÖPING</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48266-2025</t>
        </is>
      </c>
      <c r="B346" s="1" t="n">
        <v>45932</v>
      </c>
      <c r="C346" s="1" t="n">
        <v>46121</v>
      </c>
      <c r="D346" t="inlineStr">
        <is>
          <t>ÖSTERGÖTLANDS LÄN</t>
        </is>
      </c>
      <c r="E346" t="inlineStr">
        <is>
          <t>LINKÖPING</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48254-2025</t>
        </is>
      </c>
      <c r="B347" s="1" t="n">
        <v>45932</v>
      </c>
      <c r="C347" s="1" t="n">
        <v>46121</v>
      </c>
      <c r="D347" t="inlineStr">
        <is>
          <t>ÖSTERGÖTLANDS LÄN</t>
        </is>
      </c>
      <c r="E347" t="inlineStr">
        <is>
          <t>LINKÖPING</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32723-2025</t>
        </is>
      </c>
      <c r="B348" s="1" t="n">
        <v>45838</v>
      </c>
      <c r="C348" s="1" t="n">
        <v>46121</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55944-2024</t>
        </is>
      </c>
      <c r="B349" s="1" t="n">
        <v>45623.61640046296</v>
      </c>
      <c r="C349" s="1" t="n">
        <v>46121</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55947-2024</t>
        </is>
      </c>
      <c r="B350" s="1" t="n">
        <v>45623</v>
      </c>
      <c r="C350" s="1" t="n">
        <v>46121</v>
      </c>
      <c r="D350" t="inlineStr">
        <is>
          <t>ÖSTERGÖTLANDS LÄN</t>
        </is>
      </c>
      <c r="E350" t="inlineStr">
        <is>
          <t>LINKÖPING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3374-2023</t>
        </is>
      </c>
      <c r="B351" s="1" t="n">
        <v>44949</v>
      </c>
      <c r="C351" s="1" t="n">
        <v>46121</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24151-2024</t>
        </is>
      </c>
      <c r="B352" s="1" t="n">
        <v>45456.67717592593</v>
      </c>
      <c r="C352" s="1" t="n">
        <v>46121</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49455-2025</t>
        </is>
      </c>
      <c r="B353" s="1" t="n">
        <v>45938</v>
      </c>
      <c r="C353" s="1" t="n">
        <v>46121</v>
      </c>
      <c r="D353" t="inlineStr">
        <is>
          <t>ÖSTERGÖTLANDS LÄN</t>
        </is>
      </c>
      <c r="E353" t="inlineStr">
        <is>
          <t>LINKÖPING</t>
        </is>
      </c>
      <c r="F353" t="inlineStr">
        <is>
          <t>Övriga Aktiebolag</t>
        </is>
      </c>
      <c r="G353" t="n">
        <v>5.9</v>
      </c>
      <c r="H353" t="n">
        <v>0</v>
      </c>
      <c r="I353" t="n">
        <v>0</v>
      </c>
      <c r="J353" t="n">
        <v>0</v>
      </c>
      <c r="K353" t="n">
        <v>0</v>
      </c>
      <c r="L353" t="n">
        <v>0</v>
      </c>
      <c r="M353" t="n">
        <v>0</v>
      </c>
      <c r="N353" t="n">
        <v>0</v>
      </c>
      <c r="O353" t="n">
        <v>0</v>
      </c>
      <c r="P353" t="n">
        <v>0</v>
      </c>
      <c r="Q353" t="n">
        <v>0</v>
      </c>
      <c r="R353" s="2" t="inlineStr"/>
    </row>
    <row r="354" ht="15" customHeight="1">
      <c r="A354" t="inlineStr">
        <is>
          <t>A 14576-2023</t>
        </is>
      </c>
      <c r="B354" s="1" t="n">
        <v>45013</v>
      </c>
      <c r="C354" s="1" t="n">
        <v>46121</v>
      </c>
      <c r="D354" t="inlineStr">
        <is>
          <t>ÖSTERGÖTLANDS LÄN</t>
        </is>
      </c>
      <c r="E354" t="inlineStr">
        <is>
          <t>LINKÖPING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49605-2025</t>
        </is>
      </c>
      <c r="B355" s="1" t="n">
        <v>45938</v>
      </c>
      <c r="C355" s="1" t="n">
        <v>46121</v>
      </c>
      <c r="D355" t="inlineStr">
        <is>
          <t>ÖSTERGÖTLANDS LÄN</t>
        </is>
      </c>
      <c r="E355" t="inlineStr">
        <is>
          <t>LINKÖPING</t>
        </is>
      </c>
      <c r="F355" t="inlineStr">
        <is>
          <t>Övriga Aktiebolag</t>
        </is>
      </c>
      <c r="G355" t="n">
        <v>3.3</v>
      </c>
      <c r="H355" t="n">
        <v>0</v>
      </c>
      <c r="I355" t="n">
        <v>0</v>
      </c>
      <c r="J355" t="n">
        <v>0</v>
      </c>
      <c r="K355" t="n">
        <v>0</v>
      </c>
      <c r="L355" t="n">
        <v>0</v>
      </c>
      <c r="M355" t="n">
        <v>0</v>
      </c>
      <c r="N355" t="n">
        <v>0</v>
      </c>
      <c r="O355" t="n">
        <v>0</v>
      </c>
      <c r="P355" t="n">
        <v>0</v>
      </c>
      <c r="Q355" t="n">
        <v>0</v>
      </c>
      <c r="R355" s="2" t="inlineStr"/>
    </row>
    <row r="356" ht="15" customHeight="1">
      <c r="A356" t="inlineStr">
        <is>
          <t>A 49663-2025</t>
        </is>
      </c>
      <c r="B356" s="1" t="n">
        <v>45938</v>
      </c>
      <c r="C356" s="1" t="n">
        <v>46121</v>
      </c>
      <c r="D356" t="inlineStr">
        <is>
          <t>ÖSTERGÖTLANDS LÄN</t>
        </is>
      </c>
      <c r="E356" t="inlineStr">
        <is>
          <t>LINKÖPING</t>
        </is>
      </c>
      <c r="F356" t="inlineStr">
        <is>
          <t>Övriga Aktiebolag</t>
        </is>
      </c>
      <c r="G356" t="n">
        <v>1.2</v>
      </c>
      <c r="H356" t="n">
        <v>0</v>
      </c>
      <c r="I356" t="n">
        <v>0</v>
      </c>
      <c r="J356" t="n">
        <v>0</v>
      </c>
      <c r="K356" t="n">
        <v>0</v>
      </c>
      <c r="L356" t="n">
        <v>0</v>
      </c>
      <c r="M356" t="n">
        <v>0</v>
      </c>
      <c r="N356" t="n">
        <v>0</v>
      </c>
      <c r="O356" t="n">
        <v>0</v>
      </c>
      <c r="P356" t="n">
        <v>0</v>
      </c>
      <c r="Q356" t="n">
        <v>0</v>
      </c>
      <c r="R356" s="2" t="inlineStr"/>
    </row>
    <row r="357" ht="15" customHeight="1">
      <c r="A357" t="inlineStr">
        <is>
          <t>A 60087-2025</t>
        </is>
      </c>
      <c r="B357" s="1" t="n">
        <v>45993.71726851852</v>
      </c>
      <c r="C357" s="1" t="n">
        <v>46121</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33947-2025</t>
        </is>
      </c>
      <c r="B358" s="1" t="n">
        <v>45842.65444444444</v>
      </c>
      <c r="C358" s="1" t="n">
        <v>46121</v>
      </c>
      <c r="D358" t="inlineStr">
        <is>
          <t>ÖSTERGÖTLANDS LÄN</t>
        </is>
      </c>
      <c r="E358" t="inlineStr">
        <is>
          <t>LINKÖPING</t>
        </is>
      </c>
      <c r="F358" t="inlineStr">
        <is>
          <t>Sveaskog</t>
        </is>
      </c>
      <c r="G358" t="n">
        <v>0.6</v>
      </c>
      <c r="H358" t="n">
        <v>0</v>
      </c>
      <c r="I358" t="n">
        <v>0</v>
      </c>
      <c r="J358" t="n">
        <v>0</v>
      </c>
      <c r="K358" t="n">
        <v>0</v>
      </c>
      <c r="L358" t="n">
        <v>0</v>
      </c>
      <c r="M358" t="n">
        <v>0</v>
      </c>
      <c r="N358" t="n">
        <v>0</v>
      </c>
      <c r="O358" t="n">
        <v>0</v>
      </c>
      <c r="P358" t="n">
        <v>0</v>
      </c>
      <c r="Q358" t="n">
        <v>0</v>
      </c>
      <c r="R358" s="2" t="inlineStr"/>
    </row>
    <row r="359" ht="15" customHeight="1">
      <c r="A359" t="inlineStr">
        <is>
          <t>A 53529-2024</t>
        </is>
      </c>
      <c r="B359" s="1" t="n">
        <v>45614</v>
      </c>
      <c r="C359" s="1" t="n">
        <v>46121</v>
      </c>
      <c r="D359" t="inlineStr">
        <is>
          <t>ÖSTERGÖTLANDS LÄN</t>
        </is>
      </c>
      <c r="E359" t="inlineStr">
        <is>
          <t>LINKÖPING</t>
        </is>
      </c>
      <c r="G359" t="n">
        <v>6.7</v>
      </c>
      <c r="H359" t="n">
        <v>0</v>
      </c>
      <c r="I359" t="n">
        <v>0</v>
      </c>
      <c r="J359" t="n">
        <v>0</v>
      </c>
      <c r="K359" t="n">
        <v>0</v>
      </c>
      <c r="L359" t="n">
        <v>0</v>
      </c>
      <c r="M359" t="n">
        <v>0</v>
      </c>
      <c r="N359" t="n">
        <v>0</v>
      </c>
      <c r="O359" t="n">
        <v>0</v>
      </c>
      <c r="P359" t="n">
        <v>0</v>
      </c>
      <c r="Q359" t="n">
        <v>0</v>
      </c>
      <c r="R359" s="2" t="inlineStr"/>
    </row>
    <row r="360" ht="15" customHeight="1">
      <c r="A360" t="inlineStr">
        <is>
          <t>A 62012-2024</t>
        </is>
      </c>
      <c r="B360" s="1" t="n">
        <v>45655.79679398148</v>
      </c>
      <c r="C360" s="1" t="n">
        <v>46121</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49632-2025</t>
        </is>
      </c>
      <c r="B361" s="1" t="n">
        <v>45938</v>
      </c>
      <c r="C361" s="1" t="n">
        <v>46121</v>
      </c>
      <c r="D361" t="inlineStr">
        <is>
          <t>ÖSTERGÖTLANDS LÄN</t>
        </is>
      </c>
      <c r="E361" t="inlineStr">
        <is>
          <t>LINKÖPING</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49647-2025</t>
        </is>
      </c>
      <c r="B362" s="1" t="n">
        <v>45938</v>
      </c>
      <c r="C362" s="1" t="n">
        <v>46121</v>
      </c>
      <c r="D362" t="inlineStr">
        <is>
          <t>ÖSTERGÖTLANDS LÄN</t>
        </is>
      </c>
      <c r="E362" t="inlineStr">
        <is>
          <t>LINKÖPING</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49652-2025</t>
        </is>
      </c>
      <c r="B363" s="1" t="n">
        <v>45938</v>
      </c>
      <c r="C363" s="1" t="n">
        <v>46121</v>
      </c>
      <c r="D363" t="inlineStr">
        <is>
          <t>ÖSTERGÖTLANDS LÄN</t>
        </is>
      </c>
      <c r="E363" t="inlineStr">
        <is>
          <t>LINKÖPING</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49654-2025</t>
        </is>
      </c>
      <c r="B364" s="1" t="n">
        <v>45938</v>
      </c>
      <c r="C364" s="1" t="n">
        <v>46121</v>
      </c>
      <c r="D364" t="inlineStr">
        <is>
          <t>ÖSTERGÖTLANDS LÄN</t>
        </is>
      </c>
      <c r="E364" t="inlineStr">
        <is>
          <t>LINKÖPING</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74160-2021</t>
        </is>
      </c>
      <c r="B365" s="1" t="n">
        <v>44558</v>
      </c>
      <c r="C365" s="1" t="n">
        <v>46121</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49615-2025</t>
        </is>
      </c>
      <c r="B366" s="1" t="n">
        <v>45938</v>
      </c>
      <c r="C366" s="1" t="n">
        <v>46121</v>
      </c>
      <c r="D366" t="inlineStr">
        <is>
          <t>ÖSTERGÖTLANDS LÄN</t>
        </is>
      </c>
      <c r="E366" t="inlineStr">
        <is>
          <t>LINKÖPING</t>
        </is>
      </c>
      <c r="F366" t="inlineStr">
        <is>
          <t>Övriga Aktiebolag</t>
        </is>
      </c>
      <c r="G366" t="n">
        <v>1.6</v>
      </c>
      <c r="H366" t="n">
        <v>0</v>
      </c>
      <c r="I366" t="n">
        <v>0</v>
      </c>
      <c r="J366" t="n">
        <v>0</v>
      </c>
      <c r="K366" t="n">
        <v>0</v>
      </c>
      <c r="L366" t="n">
        <v>0</v>
      </c>
      <c r="M366" t="n">
        <v>0</v>
      </c>
      <c r="N366" t="n">
        <v>0</v>
      </c>
      <c r="O366" t="n">
        <v>0</v>
      </c>
      <c r="P366" t="n">
        <v>0</v>
      </c>
      <c r="Q366" t="n">
        <v>0</v>
      </c>
      <c r="R366" s="2" t="inlineStr"/>
    </row>
    <row r="367" ht="15" customHeight="1">
      <c r="A367" t="inlineStr">
        <is>
          <t>A 49619-2025</t>
        </is>
      </c>
      <c r="B367" s="1" t="n">
        <v>45938</v>
      </c>
      <c r="C367" s="1" t="n">
        <v>46121</v>
      </c>
      <c r="D367" t="inlineStr">
        <is>
          <t>ÖSTERGÖTLANDS LÄN</t>
        </is>
      </c>
      <c r="E367" t="inlineStr">
        <is>
          <t>LINKÖPING</t>
        </is>
      </c>
      <c r="F367" t="inlineStr">
        <is>
          <t>Övriga Aktiebolag</t>
        </is>
      </c>
      <c r="G367" t="n">
        <v>2.3</v>
      </c>
      <c r="H367" t="n">
        <v>0</v>
      </c>
      <c r="I367" t="n">
        <v>0</v>
      </c>
      <c r="J367" t="n">
        <v>0</v>
      </c>
      <c r="K367" t="n">
        <v>0</v>
      </c>
      <c r="L367" t="n">
        <v>0</v>
      </c>
      <c r="M367" t="n">
        <v>0</v>
      </c>
      <c r="N367" t="n">
        <v>0</v>
      </c>
      <c r="O367" t="n">
        <v>0</v>
      </c>
      <c r="P367" t="n">
        <v>0</v>
      </c>
      <c r="Q367" t="n">
        <v>0</v>
      </c>
      <c r="R367" s="2" t="inlineStr"/>
    </row>
    <row r="368" ht="15" customHeight="1">
      <c r="A368" t="inlineStr">
        <is>
          <t>A 49629-2025</t>
        </is>
      </c>
      <c r="B368" s="1" t="n">
        <v>45938</v>
      </c>
      <c r="C368" s="1" t="n">
        <v>46121</v>
      </c>
      <c r="D368" t="inlineStr">
        <is>
          <t>ÖSTERGÖTLANDS LÄN</t>
        </is>
      </c>
      <c r="E368" t="inlineStr">
        <is>
          <t>LINKÖPING</t>
        </is>
      </c>
      <c r="F368" t="inlineStr">
        <is>
          <t>Övriga Aktiebolag</t>
        </is>
      </c>
      <c r="G368" t="n">
        <v>4.5</v>
      </c>
      <c r="H368" t="n">
        <v>0</v>
      </c>
      <c r="I368" t="n">
        <v>0</v>
      </c>
      <c r="J368" t="n">
        <v>0</v>
      </c>
      <c r="K368" t="n">
        <v>0</v>
      </c>
      <c r="L368" t="n">
        <v>0</v>
      </c>
      <c r="M368" t="n">
        <v>0</v>
      </c>
      <c r="N368" t="n">
        <v>0</v>
      </c>
      <c r="O368" t="n">
        <v>0</v>
      </c>
      <c r="P368" t="n">
        <v>0</v>
      </c>
      <c r="Q368" t="n">
        <v>0</v>
      </c>
      <c r="R368" s="2" t="inlineStr"/>
    </row>
    <row r="369" ht="15" customHeight="1">
      <c r="A369" t="inlineStr">
        <is>
          <t>A 49650-2025</t>
        </is>
      </c>
      <c r="B369" s="1" t="n">
        <v>45938</v>
      </c>
      <c r="C369" s="1" t="n">
        <v>46121</v>
      </c>
      <c r="D369" t="inlineStr">
        <is>
          <t>ÖSTERGÖTLANDS LÄN</t>
        </is>
      </c>
      <c r="E369" t="inlineStr">
        <is>
          <t>LINKÖPING</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49633-2025</t>
        </is>
      </c>
      <c r="B370" s="1" t="n">
        <v>45938</v>
      </c>
      <c r="C370" s="1" t="n">
        <v>46121</v>
      </c>
      <c r="D370" t="inlineStr">
        <is>
          <t>ÖSTERGÖTLANDS LÄN</t>
        </is>
      </c>
      <c r="E370" t="inlineStr">
        <is>
          <t>LINKÖPING</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20469-2025</t>
        </is>
      </c>
      <c r="B371" s="1" t="n">
        <v>45775</v>
      </c>
      <c r="C371" s="1" t="n">
        <v>46121</v>
      </c>
      <c r="D371" t="inlineStr">
        <is>
          <t>ÖSTERGÖTLANDS LÄN</t>
        </is>
      </c>
      <c r="E371" t="inlineStr">
        <is>
          <t>LINKÖPING</t>
        </is>
      </c>
      <c r="F371" t="inlineStr">
        <is>
          <t>Kyrkan</t>
        </is>
      </c>
      <c r="G371" t="n">
        <v>6.1</v>
      </c>
      <c r="H371" t="n">
        <v>0</v>
      </c>
      <c r="I371" t="n">
        <v>0</v>
      </c>
      <c r="J371" t="n">
        <v>0</v>
      </c>
      <c r="K371" t="n">
        <v>0</v>
      </c>
      <c r="L371" t="n">
        <v>0</v>
      </c>
      <c r="M371" t="n">
        <v>0</v>
      </c>
      <c r="N371" t="n">
        <v>0</v>
      </c>
      <c r="O371" t="n">
        <v>0</v>
      </c>
      <c r="P371" t="n">
        <v>0</v>
      </c>
      <c r="Q371" t="n">
        <v>0</v>
      </c>
      <c r="R371" s="2" t="inlineStr"/>
    </row>
    <row r="372" ht="15" customHeight="1">
      <c r="A372" t="inlineStr">
        <is>
          <t>A 40983-2025</t>
        </is>
      </c>
      <c r="B372" s="1" t="n">
        <v>45898</v>
      </c>
      <c r="C372" s="1" t="n">
        <v>46121</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50056-2025</t>
        </is>
      </c>
      <c r="B373" s="1" t="n">
        <v>45941</v>
      </c>
      <c r="C373" s="1" t="n">
        <v>46121</v>
      </c>
      <c r="D373" t="inlineStr">
        <is>
          <t>ÖSTERGÖTLANDS LÄN</t>
        </is>
      </c>
      <c r="E373" t="inlineStr">
        <is>
          <t>LINKÖPING</t>
        </is>
      </c>
      <c r="G373" t="n">
        <v>0.3</v>
      </c>
      <c r="H373" t="n">
        <v>0</v>
      </c>
      <c r="I373" t="n">
        <v>0</v>
      </c>
      <c r="J373" t="n">
        <v>0</v>
      </c>
      <c r="K373" t="n">
        <v>0</v>
      </c>
      <c r="L373" t="n">
        <v>0</v>
      </c>
      <c r="M373" t="n">
        <v>0</v>
      </c>
      <c r="N373" t="n">
        <v>0</v>
      </c>
      <c r="O373" t="n">
        <v>0</v>
      </c>
      <c r="P373" t="n">
        <v>0</v>
      </c>
      <c r="Q373" t="n">
        <v>0</v>
      </c>
      <c r="R373" s="2" t="inlineStr"/>
    </row>
    <row r="374" ht="15" customHeight="1">
      <c r="A374" t="inlineStr">
        <is>
          <t>A 27766-2022</t>
        </is>
      </c>
      <c r="B374" s="1" t="n">
        <v>44743.53112268518</v>
      </c>
      <c r="C374" s="1" t="n">
        <v>46121</v>
      </c>
      <c r="D374" t="inlineStr">
        <is>
          <t>ÖSTERGÖTLANDS LÄN</t>
        </is>
      </c>
      <c r="E374" t="inlineStr">
        <is>
          <t>LINKÖPING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50667-2025</t>
        </is>
      </c>
      <c r="B375" s="1" t="n">
        <v>45945</v>
      </c>
      <c r="C375" s="1" t="n">
        <v>46121</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33800-2023</t>
        </is>
      </c>
      <c r="B376" s="1" t="n">
        <v>45121</v>
      </c>
      <c r="C376" s="1" t="n">
        <v>46121</v>
      </c>
      <c r="D376" t="inlineStr">
        <is>
          <t>ÖSTERGÖTLANDS LÄN</t>
        </is>
      </c>
      <c r="E376" t="inlineStr">
        <is>
          <t>LINKÖPING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53641-2023</t>
        </is>
      </c>
      <c r="B377" s="1" t="n">
        <v>45230</v>
      </c>
      <c r="C377" s="1" t="n">
        <v>46121</v>
      </c>
      <c r="D377" t="inlineStr">
        <is>
          <t>ÖSTERGÖTLANDS LÄN</t>
        </is>
      </c>
      <c r="E377" t="inlineStr">
        <is>
          <t>LINKÖPING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26007-2025</t>
        </is>
      </c>
      <c r="B378" s="1" t="n">
        <v>45804.67081018518</v>
      </c>
      <c r="C378" s="1" t="n">
        <v>46121</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35174-2025</t>
        </is>
      </c>
      <c r="B379" s="1" t="n">
        <v>45852.90648148148</v>
      </c>
      <c r="C379" s="1" t="n">
        <v>46121</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33000-2023</t>
        </is>
      </c>
      <c r="B380" s="1" t="n">
        <v>45125</v>
      </c>
      <c r="C380" s="1" t="n">
        <v>46121</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52892-2024</t>
        </is>
      </c>
      <c r="B381" s="1" t="n">
        <v>45610</v>
      </c>
      <c r="C381" s="1" t="n">
        <v>46121</v>
      </c>
      <c r="D381" t="inlineStr">
        <is>
          <t>ÖSTERGÖTLANDS LÄN</t>
        </is>
      </c>
      <c r="E381" t="inlineStr">
        <is>
          <t>LINKÖPING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47991-2023</t>
        </is>
      </c>
      <c r="B382" s="1" t="n">
        <v>45204.62655092592</v>
      </c>
      <c r="C382" s="1" t="n">
        <v>46121</v>
      </c>
      <c r="D382" t="inlineStr">
        <is>
          <t>ÖSTERGÖTLANDS LÄN</t>
        </is>
      </c>
      <c r="E382" t="inlineStr">
        <is>
          <t>LINKÖPING</t>
        </is>
      </c>
      <c r="F382" t="inlineStr">
        <is>
          <t>Allmännings- och besparingsskogar</t>
        </is>
      </c>
      <c r="G382" t="n">
        <v>7.3</v>
      </c>
      <c r="H382" t="n">
        <v>0</v>
      </c>
      <c r="I382" t="n">
        <v>0</v>
      </c>
      <c r="J382" t="n">
        <v>0</v>
      </c>
      <c r="K382" t="n">
        <v>0</v>
      </c>
      <c r="L382" t="n">
        <v>0</v>
      </c>
      <c r="M382" t="n">
        <v>0</v>
      </c>
      <c r="N382" t="n">
        <v>0</v>
      </c>
      <c r="O382" t="n">
        <v>0</v>
      </c>
      <c r="P382" t="n">
        <v>0</v>
      </c>
      <c r="Q382" t="n">
        <v>0</v>
      </c>
      <c r="R382" s="2" t="inlineStr"/>
    </row>
    <row r="383" ht="15" customHeight="1">
      <c r="A383" t="inlineStr">
        <is>
          <t>A 35179-2025</t>
        </is>
      </c>
      <c r="B383" s="1" t="n">
        <v>45852.93737268518</v>
      </c>
      <c r="C383" s="1" t="n">
        <v>46121</v>
      </c>
      <c r="D383" t="inlineStr">
        <is>
          <t>ÖSTERGÖTLANDS LÄN</t>
        </is>
      </c>
      <c r="E383" t="inlineStr">
        <is>
          <t>LINKÖPING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35180-2025</t>
        </is>
      </c>
      <c r="B384" s="1" t="n">
        <v>45852.9413425926</v>
      </c>
      <c r="C384" s="1" t="n">
        <v>46121</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35178-2025</t>
        </is>
      </c>
      <c r="B385" s="1" t="n">
        <v>45852.91939814815</v>
      </c>
      <c r="C385" s="1" t="n">
        <v>46121</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30521-2024</t>
        </is>
      </c>
      <c r="B386" s="1" t="n">
        <v>45492</v>
      </c>
      <c r="C386" s="1" t="n">
        <v>46121</v>
      </c>
      <c r="D386" t="inlineStr">
        <is>
          <t>ÖSTERGÖTLANDS LÄN</t>
        </is>
      </c>
      <c r="E386" t="inlineStr">
        <is>
          <t>LINKÖPING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51191-2022</t>
        </is>
      </c>
      <c r="B387" s="1" t="n">
        <v>44865</v>
      </c>
      <c r="C387" s="1" t="n">
        <v>46121</v>
      </c>
      <c r="D387" t="inlineStr">
        <is>
          <t>ÖSTERGÖTLANDS LÄN</t>
        </is>
      </c>
      <c r="E387" t="inlineStr">
        <is>
          <t>LINKÖPING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12289-2025</t>
        </is>
      </c>
      <c r="B388" s="1" t="n">
        <v>45729</v>
      </c>
      <c r="C388" s="1" t="n">
        <v>46121</v>
      </c>
      <c r="D388" t="inlineStr">
        <is>
          <t>ÖSTERGÖTLANDS LÄN</t>
        </is>
      </c>
      <c r="E388" t="inlineStr">
        <is>
          <t>LINKÖPING</t>
        </is>
      </c>
      <c r="F388" t="inlineStr">
        <is>
          <t>Övriga statliga verk och myndigheter</t>
        </is>
      </c>
      <c r="G388" t="n">
        <v>6.5</v>
      </c>
      <c r="H388" t="n">
        <v>0</v>
      </c>
      <c r="I388" t="n">
        <v>0</v>
      </c>
      <c r="J388" t="n">
        <v>0</v>
      </c>
      <c r="K388" t="n">
        <v>0</v>
      </c>
      <c r="L388" t="n">
        <v>0</v>
      </c>
      <c r="M388" t="n">
        <v>0</v>
      </c>
      <c r="N388" t="n">
        <v>0</v>
      </c>
      <c r="O388" t="n">
        <v>0</v>
      </c>
      <c r="P388" t="n">
        <v>0</v>
      </c>
      <c r="Q388" t="n">
        <v>0</v>
      </c>
      <c r="R388" s="2" t="inlineStr"/>
    </row>
    <row r="389" ht="15" customHeight="1">
      <c r="A389" t="inlineStr">
        <is>
          <t>A 9434-2024</t>
        </is>
      </c>
      <c r="B389" s="1" t="n">
        <v>45359</v>
      </c>
      <c r="C389" s="1" t="n">
        <v>46121</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35757-2025</t>
        </is>
      </c>
      <c r="B390" s="1" t="n">
        <v>45860.59876157407</v>
      </c>
      <c r="C390" s="1" t="n">
        <v>46121</v>
      </c>
      <c r="D390" t="inlineStr">
        <is>
          <t>ÖSTERGÖTLANDS LÄN</t>
        </is>
      </c>
      <c r="E390" t="inlineStr">
        <is>
          <t>LINKÖPING</t>
        </is>
      </c>
      <c r="G390" t="n">
        <v>5.7</v>
      </c>
      <c r="H390" t="n">
        <v>0</v>
      </c>
      <c r="I390" t="n">
        <v>0</v>
      </c>
      <c r="J390" t="n">
        <v>0</v>
      </c>
      <c r="K390" t="n">
        <v>0</v>
      </c>
      <c r="L390" t="n">
        <v>0</v>
      </c>
      <c r="M390" t="n">
        <v>0</v>
      </c>
      <c r="N390" t="n">
        <v>0</v>
      </c>
      <c r="O390" t="n">
        <v>0</v>
      </c>
      <c r="P390" t="n">
        <v>0</v>
      </c>
      <c r="Q390" t="n">
        <v>0</v>
      </c>
      <c r="R390" s="2" t="inlineStr"/>
    </row>
    <row r="391" ht="15" customHeight="1">
      <c r="A391" t="inlineStr">
        <is>
          <t>A 35745-2025</t>
        </is>
      </c>
      <c r="B391" s="1" t="n">
        <v>45860.54739583333</v>
      </c>
      <c r="C391" s="1" t="n">
        <v>46121</v>
      </c>
      <c r="D391" t="inlineStr">
        <is>
          <t>ÖSTERGÖTLANDS LÄN</t>
        </is>
      </c>
      <c r="E391" t="inlineStr">
        <is>
          <t>LINKÖPING</t>
        </is>
      </c>
      <c r="G391" t="n">
        <v>4.4</v>
      </c>
      <c r="H391" t="n">
        <v>0</v>
      </c>
      <c r="I391" t="n">
        <v>0</v>
      </c>
      <c r="J391" t="n">
        <v>0</v>
      </c>
      <c r="K391" t="n">
        <v>0</v>
      </c>
      <c r="L391" t="n">
        <v>0</v>
      </c>
      <c r="M391" t="n">
        <v>0</v>
      </c>
      <c r="N391" t="n">
        <v>0</v>
      </c>
      <c r="O391" t="n">
        <v>0</v>
      </c>
      <c r="P391" t="n">
        <v>0</v>
      </c>
      <c r="Q391" t="n">
        <v>0</v>
      </c>
      <c r="R391" s="2" t="inlineStr"/>
    </row>
    <row r="392" ht="15" customHeight="1">
      <c r="A392" t="inlineStr">
        <is>
          <t>A 50182-2023</t>
        </is>
      </c>
      <c r="B392" s="1" t="n">
        <v>45208</v>
      </c>
      <c r="C392" s="1" t="n">
        <v>46121</v>
      </c>
      <c r="D392" t="inlineStr">
        <is>
          <t>ÖSTERGÖTLANDS LÄN</t>
        </is>
      </c>
      <c r="E392" t="inlineStr">
        <is>
          <t>LINKÖPING</t>
        </is>
      </c>
      <c r="G392" t="n">
        <v>2.5</v>
      </c>
      <c r="H392" t="n">
        <v>0</v>
      </c>
      <c r="I392" t="n">
        <v>0</v>
      </c>
      <c r="J392" t="n">
        <v>0</v>
      </c>
      <c r="K392" t="n">
        <v>0</v>
      </c>
      <c r="L392" t="n">
        <v>0</v>
      </c>
      <c r="M392" t="n">
        <v>0</v>
      </c>
      <c r="N392" t="n">
        <v>0</v>
      </c>
      <c r="O392" t="n">
        <v>0</v>
      </c>
      <c r="P392" t="n">
        <v>0</v>
      </c>
      <c r="Q392" t="n">
        <v>0</v>
      </c>
      <c r="R392" s="2" t="inlineStr"/>
    </row>
    <row r="393" ht="15" customHeight="1">
      <c r="A393" t="inlineStr">
        <is>
          <t>A 35747-2025</t>
        </is>
      </c>
      <c r="B393" s="1" t="n">
        <v>45860.56385416666</v>
      </c>
      <c r="C393" s="1" t="n">
        <v>46121</v>
      </c>
      <c r="D393" t="inlineStr">
        <is>
          <t>ÖSTERGÖTLANDS LÄN</t>
        </is>
      </c>
      <c r="E393" t="inlineStr">
        <is>
          <t>LINKÖPING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35759-2025</t>
        </is>
      </c>
      <c r="B394" s="1" t="n">
        <v>45860</v>
      </c>
      <c r="C394" s="1" t="n">
        <v>46121</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35781-2023</t>
        </is>
      </c>
      <c r="B395" s="1" t="n">
        <v>45147</v>
      </c>
      <c r="C395" s="1" t="n">
        <v>46121</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51802-2025</t>
        </is>
      </c>
      <c r="B396" s="1" t="n">
        <v>45950</v>
      </c>
      <c r="C396" s="1" t="n">
        <v>46121</v>
      </c>
      <c r="D396" t="inlineStr">
        <is>
          <t>ÖSTERGÖTLANDS LÄN</t>
        </is>
      </c>
      <c r="E396" t="inlineStr">
        <is>
          <t>LINKÖPING</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60306-2025</t>
        </is>
      </c>
      <c r="B397" s="1" t="n">
        <v>45994.68326388889</v>
      </c>
      <c r="C397" s="1" t="n">
        <v>46121</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6387-2022</t>
        </is>
      </c>
      <c r="B398" s="1" t="n">
        <v>44600</v>
      </c>
      <c r="C398" s="1" t="n">
        <v>46121</v>
      </c>
      <c r="D398" t="inlineStr">
        <is>
          <t>ÖSTERGÖTLANDS LÄN</t>
        </is>
      </c>
      <c r="E398" t="inlineStr">
        <is>
          <t>LINKÖPING</t>
        </is>
      </c>
      <c r="G398" t="n">
        <v>1</v>
      </c>
      <c r="H398" t="n">
        <v>0</v>
      </c>
      <c r="I398" t="n">
        <v>0</v>
      </c>
      <c r="J398" t="n">
        <v>0</v>
      </c>
      <c r="K398" t="n">
        <v>0</v>
      </c>
      <c r="L398" t="n">
        <v>0</v>
      </c>
      <c r="M398" t="n">
        <v>0</v>
      </c>
      <c r="N398" t="n">
        <v>0</v>
      </c>
      <c r="O398" t="n">
        <v>0</v>
      </c>
      <c r="P398" t="n">
        <v>0</v>
      </c>
      <c r="Q398" t="n">
        <v>0</v>
      </c>
      <c r="R398" s="2" t="inlineStr"/>
    </row>
    <row r="399" ht="15" customHeight="1">
      <c r="A399" t="inlineStr">
        <is>
          <t>A 48707-2023</t>
        </is>
      </c>
      <c r="B399" s="1" t="n">
        <v>45202</v>
      </c>
      <c r="C399" s="1" t="n">
        <v>46121</v>
      </c>
      <c r="D399" t="inlineStr">
        <is>
          <t>ÖSTERGÖTLANDS LÄN</t>
        </is>
      </c>
      <c r="E399" t="inlineStr">
        <is>
          <t>LINKÖPING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52111-2025</t>
        </is>
      </c>
      <c r="B400" s="1" t="n">
        <v>45952.69527777778</v>
      </c>
      <c r="C400" s="1" t="n">
        <v>46121</v>
      </c>
      <c r="D400" t="inlineStr">
        <is>
          <t>ÖSTERGÖTLANDS LÄN</t>
        </is>
      </c>
      <c r="E400" t="inlineStr">
        <is>
          <t>LINKÖPING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12089-2025</t>
        </is>
      </c>
      <c r="B401" s="1" t="n">
        <v>45729</v>
      </c>
      <c r="C401" s="1" t="n">
        <v>46121</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15658-2023</t>
        </is>
      </c>
      <c r="B402" s="1" t="n">
        <v>45021.41194444444</v>
      </c>
      <c r="C402" s="1" t="n">
        <v>46121</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60284-2025</t>
        </is>
      </c>
      <c r="B403" s="1" t="n">
        <v>45994.64373842593</v>
      </c>
      <c r="C403" s="1" t="n">
        <v>46121</v>
      </c>
      <c r="D403" t="inlineStr">
        <is>
          <t>ÖSTERGÖTLANDS LÄN</t>
        </is>
      </c>
      <c r="E403" t="inlineStr">
        <is>
          <t>LINKÖPING</t>
        </is>
      </c>
      <c r="G403" t="n">
        <v>3.5</v>
      </c>
      <c r="H403" t="n">
        <v>0</v>
      </c>
      <c r="I403" t="n">
        <v>0</v>
      </c>
      <c r="J403" t="n">
        <v>0</v>
      </c>
      <c r="K403" t="n">
        <v>0</v>
      </c>
      <c r="L403" t="n">
        <v>0</v>
      </c>
      <c r="M403" t="n">
        <v>0</v>
      </c>
      <c r="N403" t="n">
        <v>0</v>
      </c>
      <c r="O403" t="n">
        <v>0</v>
      </c>
      <c r="P403" t="n">
        <v>0</v>
      </c>
      <c r="Q403" t="n">
        <v>0</v>
      </c>
      <c r="R403" s="2" t="inlineStr"/>
    </row>
    <row r="404" ht="15" customHeight="1">
      <c r="A404" t="inlineStr">
        <is>
          <t>A 52740-2025</t>
        </is>
      </c>
      <c r="B404" s="1" t="n">
        <v>45957.37747685185</v>
      </c>
      <c r="C404" s="1" t="n">
        <v>46121</v>
      </c>
      <c r="D404" t="inlineStr">
        <is>
          <t>ÖSTERGÖTLANDS LÄN</t>
        </is>
      </c>
      <c r="E404" t="inlineStr">
        <is>
          <t>LINKÖPING</t>
        </is>
      </c>
      <c r="G404" t="n">
        <v>3.7</v>
      </c>
      <c r="H404" t="n">
        <v>0</v>
      </c>
      <c r="I404" t="n">
        <v>0</v>
      </c>
      <c r="J404" t="n">
        <v>0</v>
      </c>
      <c r="K404" t="n">
        <v>0</v>
      </c>
      <c r="L404" t="n">
        <v>0</v>
      </c>
      <c r="M404" t="n">
        <v>0</v>
      </c>
      <c r="N404" t="n">
        <v>0</v>
      </c>
      <c r="O404" t="n">
        <v>0</v>
      </c>
      <c r="P404" t="n">
        <v>0</v>
      </c>
      <c r="Q404" t="n">
        <v>0</v>
      </c>
      <c r="R404" s="2" t="inlineStr"/>
    </row>
    <row r="405" ht="15" customHeight="1">
      <c r="A405" t="inlineStr">
        <is>
          <t>A 51583-2024</t>
        </is>
      </c>
      <c r="B405" s="1" t="n">
        <v>45604.6397337963</v>
      </c>
      <c r="C405" s="1" t="n">
        <v>46121</v>
      </c>
      <c r="D405" t="inlineStr">
        <is>
          <t>ÖSTERGÖTLANDS LÄN</t>
        </is>
      </c>
      <c r="E405" t="inlineStr">
        <is>
          <t>LINKÖPING</t>
        </is>
      </c>
      <c r="F405" t="inlineStr">
        <is>
          <t>Övriga Aktiebolag</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52800-2025</t>
        </is>
      </c>
      <c r="B406" s="1" t="n">
        <v>45957.44152777778</v>
      </c>
      <c r="C406" s="1" t="n">
        <v>46121</v>
      </c>
      <c r="D406" t="inlineStr">
        <is>
          <t>ÖSTERGÖTLANDS LÄN</t>
        </is>
      </c>
      <c r="E406" t="inlineStr">
        <is>
          <t>LINKÖPING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52802-2025</t>
        </is>
      </c>
      <c r="B407" s="1" t="n">
        <v>45957.44295138889</v>
      </c>
      <c r="C407" s="1" t="n">
        <v>46121</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64694-2023</t>
        </is>
      </c>
      <c r="B408" s="1" t="n">
        <v>45281</v>
      </c>
      <c r="C408" s="1" t="n">
        <v>46121</v>
      </c>
      <c r="D408" t="inlineStr">
        <is>
          <t>ÖSTERGÖTLANDS LÄN</t>
        </is>
      </c>
      <c r="E408" t="inlineStr">
        <is>
          <t>LINKÖPING</t>
        </is>
      </c>
      <c r="F408" t="inlineStr">
        <is>
          <t>Övriga statliga verk och myndigheter</t>
        </is>
      </c>
      <c r="G408" t="n">
        <v>4.9</v>
      </c>
      <c r="H408" t="n">
        <v>0</v>
      </c>
      <c r="I408" t="n">
        <v>0</v>
      </c>
      <c r="J408" t="n">
        <v>0</v>
      </c>
      <c r="K408" t="n">
        <v>0</v>
      </c>
      <c r="L408" t="n">
        <v>0</v>
      </c>
      <c r="M408" t="n">
        <v>0</v>
      </c>
      <c r="N408" t="n">
        <v>0</v>
      </c>
      <c r="O408" t="n">
        <v>0</v>
      </c>
      <c r="P408" t="n">
        <v>0</v>
      </c>
      <c r="Q408" t="n">
        <v>0</v>
      </c>
      <c r="R408" s="2" t="inlineStr"/>
    </row>
    <row r="409" ht="15" customHeight="1">
      <c r="A409" t="inlineStr">
        <is>
          <t>A 32602-2022</t>
        </is>
      </c>
      <c r="B409" s="1" t="n">
        <v>44783.43192129629</v>
      </c>
      <c r="C409" s="1" t="n">
        <v>46121</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52743-2025</t>
        </is>
      </c>
      <c r="B410" s="1" t="n">
        <v>45957.38039351852</v>
      </c>
      <c r="C410" s="1" t="n">
        <v>46121</v>
      </c>
      <c r="D410" t="inlineStr">
        <is>
          <t>ÖSTERGÖTLANDS LÄN</t>
        </is>
      </c>
      <c r="E410" t="inlineStr">
        <is>
          <t>LINKÖPING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52807-2025</t>
        </is>
      </c>
      <c r="B411" s="1" t="n">
        <v>45957.44837962963</v>
      </c>
      <c r="C411" s="1" t="n">
        <v>46121</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37057-2025</t>
        </is>
      </c>
      <c r="B412" s="1" t="n">
        <v>45875.37489583333</v>
      </c>
      <c r="C412" s="1" t="n">
        <v>46121</v>
      </c>
      <c r="D412" t="inlineStr">
        <is>
          <t>ÖSTERGÖTLANDS LÄN</t>
        </is>
      </c>
      <c r="E412" t="inlineStr">
        <is>
          <t>LINKÖPING</t>
        </is>
      </c>
      <c r="G412" t="n">
        <v>3.3</v>
      </c>
      <c r="H412" t="n">
        <v>0</v>
      </c>
      <c r="I412" t="n">
        <v>0</v>
      </c>
      <c r="J412" t="n">
        <v>0</v>
      </c>
      <c r="K412" t="n">
        <v>0</v>
      </c>
      <c r="L412" t="n">
        <v>0</v>
      </c>
      <c r="M412" t="n">
        <v>0</v>
      </c>
      <c r="N412" t="n">
        <v>0</v>
      </c>
      <c r="O412" t="n">
        <v>0</v>
      </c>
      <c r="P412" t="n">
        <v>0</v>
      </c>
      <c r="Q412" t="n">
        <v>0</v>
      </c>
      <c r="R412" s="2" t="inlineStr"/>
    </row>
    <row r="413" ht="15" customHeight="1">
      <c r="A413" t="inlineStr">
        <is>
          <t>A 62321-2022</t>
        </is>
      </c>
      <c r="B413" s="1" t="n">
        <v>44916</v>
      </c>
      <c r="C413" s="1" t="n">
        <v>46121</v>
      </c>
      <c r="D413" t="inlineStr">
        <is>
          <t>ÖSTERGÖTLANDS LÄN</t>
        </is>
      </c>
      <c r="E413" t="inlineStr">
        <is>
          <t>LINKÖPING</t>
        </is>
      </c>
      <c r="F413" t="inlineStr">
        <is>
          <t>Kommuner</t>
        </is>
      </c>
      <c r="G413" t="n">
        <v>5.3</v>
      </c>
      <c r="H413" t="n">
        <v>0</v>
      </c>
      <c r="I413" t="n">
        <v>0</v>
      </c>
      <c r="J413" t="n">
        <v>0</v>
      </c>
      <c r="K413" t="n">
        <v>0</v>
      </c>
      <c r="L413" t="n">
        <v>0</v>
      </c>
      <c r="M413" t="n">
        <v>0</v>
      </c>
      <c r="N413" t="n">
        <v>0</v>
      </c>
      <c r="O413" t="n">
        <v>0</v>
      </c>
      <c r="P413" t="n">
        <v>0</v>
      </c>
      <c r="Q413" t="n">
        <v>0</v>
      </c>
      <c r="R413" s="2" t="inlineStr"/>
    </row>
    <row r="414" ht="15" customHeight="1">
      <c r="A414" t="inlineStr">
        <is>
          <t>A 1084-2023</t>
        </is>
      </c>
      <c r="B414" s="1" t="n">
        <v>44929</v>
      </c>
      <c r="C414" s="1" t="n">
        <v>46121</v>
      </c>
      <c r="D414" t="inlineStr">
        <is>
          <t>ÖSTERGÖTLANDS LÄN</t>
        </is>
      </c>
      <c r="E414" t="inlineStr">
        <is>
          <t>LINKÖPING</t>
        </is>
      </c>
      <c r="G414" t="n">
        <v>10.4</v>
      </c>
      <c r="H414" t="n">
        <v>0</v>
      </c>
      <c r="I414" t="n">
        <v>0</v>
      </c>
      <c r="J414" t="n">
        <v>0</v>
      </c>
      <c r="K414" t="n">
        <v>0</v>
      </c>
      <c r="L414" t="n">
        <v>0</v>
      </c>
      <c r="M414" t="n">
        <v>0</v>
      </c>
      <c r="N414" t="n">
        <v>0</v>
      </c>
      <c r="O414" t="n">
        <v>0</v>
      </c>
      <c r="P414" t="n">
        <v>0</v>
      </c>
      <c r="Q414" t="n">
        <v>0</v>
      </c>
      <c r="R414" s="2" t="inlineStr"/>
    </row>
    <row r="415" ht="15" customHeight="1">
      <c r="A415" t="inlineStr">
        <is>
          <t>A 267-2023</t>
        </is>
      </c>
      <c r="B415" s="1" t="n">
        <v>44928.80907407407</v>
      </c>
      <c r="C415" s="1" t="n">
        <v>46121</v>
      </c>
      <c r="D415" t="inlineStr">
        <is>
          <t>ÖSTERGÖTLANDS LÄN</t>
        </is>
      </c>
      <c r="E415" t="inlineStr">
        <is>
          <t>LINKÖPING</t>
        </is>
      </c>
      <c r="G415" t="n">
        <v>2.7</v>
      </c>
      <c r="H415" t="n">
        <v>0</v>
      </c>
      <c r="I415" t="n">
        <v>0</v>
      </c>
      <c r="J415" t="n">
        <v>0</v>
      </c>
      <c r="K415" t="n">
        <v>0</v>
      </c>
      <c r="L415" t="n">
        <v>0</v>
      </c>
      <c r="M415" t="n">
        <v>0</v>
      </c>
      <c r="N415" t="n">
        <v>0</v>
      </c>
      <c r="O415" t="n">
        <v>0</v>
      </c>
      <c r="P415" t="n">
        <v>0</v>
      </c>
      <c r="Q415" t="n">
        <v>0</v>
      </c>
      <c r="R415" s="2" t="inlineStr"/>
    </row>
    <row r="416" ht="15" customHeight="1">
      <c r="A416" t="inlineStr">
        <is>
          <t>A 940-2023</t>
        </is>
      </c>
      <c r="B416" s="1" t="n">
        <v>44933</v>
      </c>
      <c r="C416" s="1" t="n">
        <v>46121</v>
      </c>
      <c r="D416" t="inlineStr">
        <is>
          <t>ÖSTERGÖTLANDS LÄN</t>
        </is>
      </c>
      <c r="E416" t="inlineStr">
        <is>
          <t>LINKÖPING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54332-2025</t>
        </is>
      </c>
      <c r="B417" s="1" t="n">
        <v>45965.34915509259</v>
      </c>
      <c r="C417" s="1" t="n">
        <v>46121</v>
      </c>
      <c r="D417" t="inlineStr">
        <is>
          <t>ÖSTERGÖTLANDS LÄN</t>
        </is>
      </c>
      <c r="E417" t="inlineStr">
        <is>
          <t>LINKÖPING</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6369-2023</t>
        </is>
      </c>
      <c r="B418" s="1" t="n">
        <v>44965.61106481482</v>
      </c>
      <c r="C418" s="1" t="n">
        <v>46121</v>
      </c>
      <c r="D418" t="inlineStr">
        <is>
          <t>ÖSTERGÖTLANDS LÄN</t>
        </is>
      </c>
      <c r="E418" t="inlineStr">
        <is>
          <t>LINKÖPING</t>
        </is>
      </c>
      <c r="G418" t="n">
        <v>4</v>
      </c>
      <c r="H418" t="n">
        <v>0</v>
      </c>
      <c r="I418" t="n">
        <v>0</v>
      </c>
      <c r="J418" t="n">
        <v>0</v>
      </c>
      <c r="K418" t="n">
        <v>0</v>
      </c>
      <c r="L418" t="n">
        <v>0</v>
      </c>
      <c r="M418" t="n">
        <v>0</v>
      </c>
      <c r="N418" t="n">
        <v>0</v>
      </c>
      <c r="O418" t="n">
        <v>0</v>
      </c>
      <c r="P418" t="n">
        <v>0</v>
      </c>
      <c r="Q418" t="n">
        <v>0</v>
      </c>
      <c r="R418" s="2" t="inlineStr"/>
    </row>
    <row r="419" ht="15" customHeight="1">
      <c r="A419" t="inlineStr">
        <is>
          <t>A 54329-2025</t>
        </is>
      </c>
      <c r="B419" s="1" t="n">
        <v>45965.34706018519</v>
      </c>
      <c r="C419" s="1" t="n">
        <v>46121</v>
      </c>
      <c r="D419" t="inlineStr">
        <is>
          <t>ÖSTERGÖTLANDS LÄN</t>
        </is>
      </c>
      <c r="E419" t="inlineStr">
        <is>
          <t>LINKÖPING</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30980-2022</t>
        </is>
      </c>
      <c r="B420" s="1" t="n">
        <v>44768</v>
      </c>
      <c r="C420" s="1" t="n">
        <v>46121</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60007-2022</t>
        </is>
      </c>
      <c r="B421" s="1" t="n">
        <v>44909.47282407407</v>
      </c>
      <c r="C421" s="1" t="n">
        <v>46121</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50799-2022</t>
        </is>
      </c>
      <c r="B422" s="1" t="n">
        <v>44862</v>
      </c>
      <c r="C422" s="1" t="n">
        <v>46121</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56064-2022</t>
        </is>
      </c>
      <c r="B423" s="1" t="n">
        <v>44889.59107638889</v>
      </c>
      <c r="C423" s="1" t="n">
        <v>46121</v>
      </c>
      <c r="D423" t="inlineStr">
        <is>
          <t>ÖSTERGÖTLANDS LÄN</t>
        </is>
      </c>
      <c r="E423" t="inlineStr">
        <is>
          <t>LINKÖPING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54333-2025</t>
        </is>
      </c>
      <c r="B424" s="1" t="n">
        <v>45965.35090277778</v>
      </c>
      <c r="C424" s="1" t="n">
        <v>46121</v>
      </c>
      <c r="D424" t="inlineStr">
        <is>
          <t>ÖSTERGÖTLANDS LÄN</t>
        </is>
      </c>
      <c r="E424" t="inlineStr">
        <is>
          <t>LINKÖPING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47703-2023</t>
        </is>
      </c>
      <c r="B425" s="1" t="n">
        <v>45203</v>
      </c>
      <c r="C425" s="1" t="n">
        <v>46121</v>
      </c>
      <c r="D425" t="inlineStr">
        <is>
          <t>ÖSTERGÖTLANDS LÄN</t>
        </is>
      </c>
      <c r="E425" t="inlineStr">
        <is>
          <t>LINKÖPING</t>
        </is>
      </c>
      <c r="G425" t="n">
        <v>4.1</v>
      </c>
      <c r="H425" t="n">
        <v>0</v>
      </c>
      <c r="I425" t="n">
        <v>0</v>
      </c>
      <c r="J425" t="n">
        <v>0</v>
      </c>
      <c r="K425" t="n">
        <v>0</v>
      </c>
      <c r="L425" t="n">
        <v>0</v>
      </c>
      <c r="M425" t="n">
        <v>0</v>
      </c>
      <c r="N425" t="n">
        <v>0</v>
      </c>
      <c r="O425" t="n">
        <v>0</v>
      </c>
      <c r="P425" t="n">
        <v>0</v>
      </c>
      <c r="Q425" t="n">
        <v>0</v>
      </c>
      <c r="R425" s="2" t="inlineStr"/>
    </row>
    <row r="426" ht="15" customHeight="1">
      <c r="A426" t="inlineStr">
        <is>
          <t>A 16111-2022</t>
        </is>
      </c>
      <c r="B426" s="1" t="n">
        <v>44665</v>
      </c>
      <c r="C426" s="1" t="n">
        <v>46121</v>
      </c>
      <c r="D426" t="inlineStr">
        <is>
          <t>ÖSTERGÖTLANDS LÄN</t>
        </is>
      </c>
      <c r="E426" t="inlineStr">
        <is>
          <t>LINKÖPING</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25829-2025</t>
        </is>
      </c>
      <c r="B427" s="1" t="n">
        <v>45804.44505787037</v>
      </c>
      <c r="C427" s="1" t="n">
        <v>46121</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38046-2025</t>
        </is>
      </c>
      <c r="B428" s="1" t="n">
        <v>45882.39939814815</v>
      </c>
      <c r="C428" s="1" t="n">
        <v>46121</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48962-2022</t>
        </is>
      </c>
      <c r="B429" s="1" t="n">
        <v>44860.31635416667</v>
      </c>
      <c r="C429" s="1" t="n">
        <v>46121</v>
      </c>
      <c r="D429" t="inlineStr">
        <is>
          <t>ÖSTERGÖTLANDS LÄN</t>
        </is>
      </c>
      <c r="E429" t="inlineStr">
        <is>
          <t>LINKÖPING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27891-2021</t>
        </is>
      </c>
      <c r="B430" s="1" t="n">
        <v>44354.65108796296</v>
      </c>
      <c r="C430" s="1" t="n">
        <v>46121</v>
      </c>
      <c r="D430" t="inlineStr">
        <is>
          <t>ÖSTERGÖTLANDS LÄN</t>
        </is>
      </c>
      <c r="E430" t="inlineStr">
        <is>
          <t>LINKÖPING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55102-2025</t>
        </is>
      </c>
      <c r="B431" s="1" t="n">
        <v>45968.35410879629</v>
      </c>
      <c r="C431" s="1" t="n">
        <v>46121</v>
      </c>
      <c r="D431" t="inlineStr">
        <is>
          <t>ÖSTERGÖTLANDS LÄN</t>
        </is>
      </c>
      <c r="E431" t="inlineStr">
        <is>
          <t>LINKÖPING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55132-2025</t>
        </is>
      </c>
      <c r="B432" s="1" t="n">
        <v>45968.41912037037</v>
      </c>
      <c r="C432" s="1" t="n">
        <v>46121</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55109-2025</t>
        </is>
      </c>
      <c r="B433" s="1" t="n">
        <v>45968.37731481482</v>
      </c>
      <c r="C433" s="1" t="n">
        <v>46121</v>
      </c>
      <c r="D433" t="inlineStr">
        <is>
          <t>ÖSTERGÖTLANDS LÄN</t>
        </is>
      </c>
      <c r="E433" t="inlineStr">
        <is>
          <t>LINKÖPING</t>
        </is>
      </c>
      <c r="G433" t="n">
        <v>3.2</v>
      </c>
      <c r="H433" t="n">
        <v>0</v>
      </c>
      <c r="I433" t="n">
        <v>0</v>
      </c>
      <c r="J433" t="n">
        <v>0</v>
      </c>
      <c r="K433" t="n">
        <v>0</v>
      </c>
      <c r="L433" t="n">
        <v>0</v>
      </c>
      <c r="M433" t="n">
        <v>0</v>
      </c>
      <c r="N433" t="n">
        <v>0</v>
      </c>
      <c r="O433" t="n">
        <v>0</v>
      </c>
      <c r="P433" t="n">
        <v>0</v>
      </c>
      <c r="Q433" t="n">
        <v>0</v>
      </c>
      <c r="R433" s="2" t="inlineStr"/>
    </row>
    <row r="434" ht="15" customHeight="1">
      <c r="A434" t="inlineStr">
        <is>
          <t>A 60703-2025</t>
        </is>
      </c>
      <c r="B434" s="1" t="n">
        <v>45996.6052662037</v>
      </c>
      <c r="C434" s="1" t="n">
        <v>46121</v>
      </c>
      <c r="D434" t="inlineStr">
        <is>
          <t>ÖSTERGÖTLANDS LÄN</t>
        </is>
      </c>
      <c r="E434" t="inlineStr">
        <is>
          <t>LINKÖPING</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1268-2023</t>
        </is>
      </c>
      <c r="B435" s="1" t="n">
        <v>44936</v>
      </c>
      <c r="C435" s="1" t="n">
        <v>46121</v>
      </c>
      <c r="D435" t="inlineStr">
        <is>
          <t>ÖSTERGÖTLANDS LÄN</t>
        </is>
      </c>
      <c r="E435" t="inlineStr">
        <is>
          <t>LINKÖPING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60866-2025</t>
        </is>
      </c>
      <c r="B436" s="1" t="n">
        <v>45999</v>
      </c>
      <c r="C436" s="1" t="n">
        <v>46121</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62687-2023</t>
        </is>
      </c>
      <c r="B437" s="1" t="n">
        <v>45271</v>
      </c>
      <c r="C437" s="1" t="n">
        <v>46121</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34641-2022</t>
        </is>
      </c>
      <c r="B438" s="1" t="n">
        <v>44795</v>
      </c>
      <c r="C438" s="1" t="n">
        <v>46121</v>
      </c>
      <c r="D438" t="inlineStr">
        <is>
          <t>ÖSTERGÖTLANDS LÄN</t>
        </is>
      </c>
      <c r="E438" t="inlineStr">
        <is>
          <t>LINKÖPING</t>
        </is>
      </c>
      <c r="G438" t="n">
        <v>2.4</v>
      </c>
      <c r="H438" t="n">
        <v>0</v>
      </c>
      <c r="I438" t="n">
        <v>0</v>
      </c>
      <c r="J438" t="n">
        <v>0</v>
      </c>
      <c r="K438" t="n">
        <v>0</v>
      </c>
      <c r="L438" t="n">
        <v>0</v>
      </c>
      <c r="M438" t="n">
        <v>0</v>
      </c>
      <c r="N438" t="n">
        <v>0</v>
      </c>
      <c r="O438" t="n">
        <v>0</v>
      </c>
      <c r="P438" t="n">
        <v>0</v>
      </c>
      <c r="Q438" t="n">
        <v>0</v>
      </c>
      <c r="R438" s="2" t="inlineStr"/>
    </row>
    <row r="439" ht="15" customHeight="1">
      <c r="A439" t="inlineStr">
        <is>
          <t>A 938-2023</t>
        </is>
      </c>
      <c r="B439" s="1" t="n">
        <v>44933</v>
      </c>
      <c r="C439" s="1" t="n">
        <v>46121</v>
      </c>
      <c r="D439" t="inlineStr">
        <is>
          <t>ÖSTERGÖTLANDS LÄN</t>
        </is>
      </c>
      <c r="E439" t="inlineStr">
        <is>
          <t>LINKÖPING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61230-2025</t>
        </is>
      </c>
      <c r="B440" s="1" t="n">
        <v>46000.63111111111</v>
      </c>
      <c r="C440" s="1" t="n">
        <v>46121</v>
      </c>
      <c r="D440" t="inlineStr">
        <is>
          <t>ÖSTERGÖTLANDS LÄN</t>
        </is>
      </c>
      <c r="E440" t="inlineStr">
        <is>
          <t>LINKÖPING</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2389-2023</t>
        </is>
      </c>
      <c r="B441" s="1" t="n">
        <v>44942</v>
      </c>
      <c r="C441" s="1" t="n">
        <v>46121</v>
      </c>
      <c r="D441" t="inlineStr">
        <is>
          <t>ÖSTERGÖTLANDS LÄN</t>
        </is>
      </c>
      <c r="E441" t="inlineStr">
        <is>
          <t>LINKÖPING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48-2024</t>
        </is>
      </c>
      <c r="B442" s="1" t="n">
        <v>45293</v>
      </c>
      <c r="C442" s="1" t="n">
        <v>46121</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45771-2023</t>
        </is>
      </c>
      <c r="B443" s="1" t="n">
        <v>45195.4384375</v>
      </c>
      <c r="C443" s="1" t="n">
        <v>46121</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30547-2023</t>
        </is>
      </c>
      <c r="B444" s="1" t="n">
        <v>45111.75905092592</v>
      </c>
      <c r="C444" s="1" t="n">
        <v>46121</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40502-2024</t>
        </is>
      </c>
      <c r="B445" s="1" t="n">
        <v>45555.57263888889</v>
      </c>
      <c r="C445" s="1" t="n">
        <v>46121</v>
      </c>
      <c r="D445" t="inlineStr">
        <is>
          <t>ÖSTERGÖTLANDS LÄN</t>
        </is>
      </c>
      <c r="E445" t="inlineStr">
        <is>
          <t>LINKÖPING</t>
        </is>
      </c>
      <c r="F445" t="inlineStr">
        <is>
          <t>Allmännings- och besparingsskogar</t>
        </is>
      </c>
      <c r="G445" t="n">
        <v>17.5</v>
      </c>
      <c r="H445" t="n">
        <v>0</v>
      </c>
      <c r="I445" t="n">
        <v>0</v>
      </c>
      <c r="J445" t="n">
        <v>0</v>
      </c>
      <c r="K445" t="n">
        <v>0</v>
      </c>
      <c r="L445" t="n">
        <v>0</v>
      </c>
      <c r="M445" t="n">
        <v>0</v>
      </c>
      <c r="N445" t="n">
        <v>0</v>
      </c>
      <c r="O445" t="n">
        <v>0</v>
      </c>
      <c r="P445" t="n">
        <v>0</v>
      </c>
      <c r="Q445" t="n">
        <v>0</v>
      </c>
      <c r="R445" s="2" t="inlineStr"/>
    </row>
    <row r="446" ht="15" customHeight="1">
      <c r="A446" t="inlineStr">
        <is>
          <t>A 61281-2021</t>
        </is>
      </c>
      <c r="B446" s="1" t="n">
        <v>44498.60736111111</v>
      </c>
      <c r="C446" s="1" t="n">
        <v>46121</v>
      </c>
      <c r="D446" t="inlineStr">
        <is>
          <t>ÖSTERGÖTLANDS LÄN</t>
        </is>
      </c>
      <c r="E446" t="inlineStr">
        <is>
          <t>LINKÖPING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25292-2021</t>
        </is>
      </c>
      <c r="B447" s="1" t="n">
        <v>44342</v>
      </c>
      <c r="C447" s="1" t="n">
        <v>46121</v>
      </c>
      <c r="D447" t="inlineStr">
        <is>
          <t>ÖSTERGÖTLANDS LÄN</t>
        </is>
      </c>
      <c r="E447" t="inlineStr">
        <is>
          <t>LINKÖPING</t>
        </is>
      </c>
      <c r="F447" t="inlineStr">
        <is>
          <t>Övriga Aktiebolag</t>
        </is>
      </c>
      <c r="G447" t="n">
        <v>12.8</v>
      </c>
      <c r="H447" t="n">
        <v>0</v>
      </c>
      <c r="I447" t="n">
        <v>0</v>
      </c>
      <c r="J447" t="n">
        <v>0</v>
      </c>
      <c r="K447" t="n">
        <v>0</v>
      </c>
      <c r="L447" t="n">
        <v>0</v>
      </c>
      <c r="M447" t="n">
        <v>0</v>
      </c>
      <c r="N447" t="n">
        <v>0</v>
      </c>
      <c r="O447" t="n">
        <v>0</v>
      </c>
      <c r="P447" t="n">
        <v>0</v>
      </c>
      <c r="Q447" t="n">
        <v>0</v>
      </c>
      <c r="R447" s="2" t="inlineStr"/>
    </row>
    <row r="448" ht="15" customHeight="1">
      <c r="A448" t="inlineStr">
        <is>
          <t>A 63935-2021</t>
        </is>
      </c>
      <c r="B448" s="1" t="n">
        <v>44509</v>
      </c>
      <c r="C448" s="1" t="n">
        <v>46121</v>
      </c>
      <c r="D448" t="inlineStr">
        <is>
          <t>ÖSTERGÖTLANDS LÄN</t>
        </is>
      </c>
      <c r="E448" t="inlineStr">
        <is>
          <t>LINKÖPING</t>
        </is>
      </c>
      <c r="F448" t="inlineStr">
        <is>
          <t>Övriga statliga verk och myndigheter</t>
        </is>
      </c>
      <c r="G448" t="n">
        <v>2.8</v>
      </c>
      <c r="H448" t="n">
        <v>0</v>
      </c>
      <c r="I448" t="n">
        <v>0</v>
      </c>
      <c r="J448" t="n">
        <v>0</v>
      </c>
      <c r="K448" t="n">
        <v>0</v>
      </c>
      <c r="L448" t="n">
        <v>0</v>
      </c>
      <c r="M448" t="n">
        <v>0</v>
      </c>
      <c r="N448" t="n">
        <v>0</v>
      </c>
      <c r="O448" t="n">
        <v>0</v>
      </c>
      <c r="P448" t="n">
        <v>0</v>
      </c>
      <c r="Q448" t="n">
        <v>0</v>
      </c>
      <c r="R448" s="2" t="inlineStr"/>
    </row>
    <row r="449" ht="15" customHeight="1">
      <c r="A449" t="inlineStr">
        <is>
          <t>A 24464-2023</t>
        </is>
      </c>
      <c r="B449" s="1" t="n">
        <v>45082.58068287037</v>
      </c>
      <c r="C449" s="1" t="n">
        <v>46121</v>
      </c>
      <c r="D449" t="inlineStr">
        <is>
          <t>ÖSTERGÖTLANDS LÄN</t>
        </is>
      </c>
      <c r="E449" t="inlineStr">
        <is>
          <t>LINKÖPING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24467-2023</t>
        </is>
      </c>
      <c r="B450" s="1" t="n">
        <v>45082</v>
      </c>
      <c r="C450" s="1" t="n">
        <v>46121</v>
      </c>
      <c r="D450" t="inlineStr">
        <is>
          <t>ÖSTERGÖTLANDS LÄN</t>
        </is>
      </c>
      <c r="E450" t="inlineStr">
        <is>
          <t>LINKÖPING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38971-2025</t>
        </is>
      </c>
      <c r="B451" s="1" t="n">
        <v>45887.71827546296</v>
      </c>
      <c r="C451" s="1" t="n">
        <v>46121</v>
      </c>
      <c r="D451" t="inlineStr">
        <is>
          <t>ÖSTERGÖTLANDS LÄN</t>
        </is>
      </c>
      <c r="E451" t="inlineStr">
        <is>
          <t>LINKÖPING</t>
        </is>
      </c>
      <c r="G451" t="n">
        <v>3.9</v>
      </c>
      <c r="H451" t="n">
        <v>0</v>
      </c>
      <c r="I451" t="n">
        <v>0</v>
      </c>
      <c r="J451" t="n">
        <v>0</v>
      </c>
      <c r="K451" t="n">
        <v>0</v>
      </c>
      <c r="L451" t="n">
        <v>0</v>
      </c>
      <c r="M451" t="n">
        <v>0</v>
      </c>
      <c r="N451" t="n">
        <v>0</v>
      </c>
      <c r="O451" t="n">
        <v>0</v>
      </c>
      <c r="P451" t="n">
        <v>0</v>
      </c>
      <c r="Q451" t="n">
        <v>0</v>
      </c>
      <c r="R451" s="2" t="inlineStr"/>
    </row>
    <row r="452" ht="15" customHeight="1">
      <c r="A452" t="inlineStr">
        <is>
          <t>A 61447-2025</t>
        </is>
      </c>
      <c r="B452" s="1" t="n">
        <v>46001.57554398148</v>
      </c>
      <c r="C452" s="1" t="n">
        <v>46121</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55345-2021</t>
        </is>
      </c>
      <c r="B453" s="1" t="n">
        <v>44475</v>
      </c>
      <c r="C453" s="1" t="n">
        <v>46121</v>
      </c>
      <c r="D453" t="inlineStr">
        <is>
          <t>ÖSTERGÖTLANDS LÄN</t>
        </is>
      </c>
      <c r="E453" t="inlineStr">
        <is>
          <t>LINKÖPING</t>
        </is>
      </c>
      <c r="G453" t="n">
        <v>5.7</v>
      </c>
      <c r="H453" t="n">
        <v>0</v>
      </c>
      <c r="I453" t="n">
        <v>0</v>
      </c>
      <c r="J453" t="n">
        <v>0</v>
      </c>
      <c r="K453" t="n">
        <v>0</v>
      </c>
      <c r="L453" t="n">
        <v>0</v>
      </c>
      <c r="M453" t="n">
        <v>0</v>
      </c>
      <c r="N453" t="n">
        <v>0</v>
      </c>
      <c r="O453" t="n">
        <v>0</v>
      </c>
      <c r="P453" t="n">
        <v>0</v>
      </c>
      <c r="Q453" t="n">
        <v>0</v>
      </c>
      <c r="R453" s="2" t="inlineStr"/>
    </row>
    <row r="454" ht="15" customHeight="1">
      <c r="A454" t="inlineStr">
        <is>
          <t>A 48389-2024</t>
        </is>
      </c>
      <c r="B454" s="1" t="n">
        <v>45590.59991898148</v>
      </c>
      <c r="C454" s="1" t="n">
        <v>46121</v>
      </c>
      <c r="D454" t="inlineStr">
        <is>
          <t>ÖSTERGÖTLANDS LÄN</t>
        </is>
      </c>
      <c r="E454" t="inlineStr">
        <is>
          <t>LINKÖPING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56792-2023</t>
        </is>
      </c>
      <c r="B455" s="1" t="n">
        <v>45244</v>
      </c>
      <c r="C455" s="1" t="n">
        <v>46121</v>
      </c>
      <c r="D455" t="inlineStr">
        <is>
          <t>ÖSTERGÖTLANDS LÄN</t>
        </is>
      </c>
      <c r="E455" t="inlineStr">
        <is>
          <t>LINKÖPING</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61899-2025</t>
        </is>
      </c>
      <c r="B456" s="1" t="n">
        <v>46003.46635416667</v>
      </c>
      <c r="C456" s="1" t="n">
        <v>46121</v>
      </c>
      <c r="D456" t="inlineStr">
        <is>
          <t>ÖSTERGÖTLANDS LÄN</t>
        </is>
      </c>
      <c r="E456" t="inlineStr">
        <is>
          <t>LINKÖPING</t>
        </is>
      </c>
      <c r="G456" t="n">
        <v>2.4</v>
      </c>
      <c r="H456" t="n">
        <v>0</v>
      </c>
      <c r="I456" t="n">
        <v>0</v>
      </c>
      <c r="J456" t="n">
        <v>0</v>
      </c>
      <c r="K456" t="n">
        <v>0</v>
      </c>
      <c r="L456" t="n">
        <v>0</v>
      </c>
      <c r="M456" t="n">
        <v>0</v>
      </c>
      <c r="N456" t="n">
        <v>0</v>
      </c>
      <c r="O456" t="n">
        <v>0</v>
      </c>
      <c r="P456" t="n">
        <v>0</v>
      </c>
      <c r="Q456" t="n">
        <v>0</v>
      </c>
      <c r="R456" s="2" t="inlineStr"/>
    </row>
    <row r="457" ht="15" customHeight="1">
      <c r="A457" t="inlineStr">
        <is>
          <t>A 39017-2021</t>
        </is>
      </c>
      <c r="B457" s="1" t="n">
        <v>44412</v>
      </c>
      <c r="C457" s="1" t="n">
        <v>46121</v>
      </c>
      <c r="D457" t="inlineStr">
        <is>
          <t>ÖSTERGÖTLANDS LÄN</t>
        </is>
      </c>
      <c r="E457" t="inlineStr">
        <is>
          <t>LINKÖPING</t>
        </is>
      </c>
      <c r="F457" t="inlineStr">
        <is>
          <t>Övriga statliga verk och myndigheter</t>
        </is>
      </c>
      <c r="G457" t="n">
        <v>0.8</v>
      </c>
      <c r="H457" t="n">
        <v>0</v>
      </c>
      <c r="I457" t="n">
        <v>0</v>
      </c>
      <c r="J457" t="n">
        <v>0</v>
      </c>
      <c r="K457" t="n">
        <v>0</v>
      </c>
      <c r="L457" t="n">
        <v>0</v>
      </c>
      <c r="M457" t="n">
        <v>0</v>
      </c>
      <c r="N457" t="n">
        <v>0</v>
      </c>
      <c r="O457" t="n">
        <v>0</v>
      </c>
      <c r="P457" t="n">
        <v>0</v>
      </c>
      <c r="Q457" t="n">
        <v>0</v>
      </c>
      <c r="R457" s="2" t="inlineStr"/>
    </row>
    <row r="458" ht="15" customHeight="1">
      <c r="A458" t="inlineStr">
        <is>
          <t>A 61643-2025</t>
        </is>
      </c>
      <c r="B458" s="1" t="n">
        <v>46002.43575231481</v>
      </c>
      <c r="C458" s="1" t="n">
        <v>46121</v>
      </c>
      <c r="D458" t="inlineStr">
        <is>
          <t>ÖSTERGÖTLANDS LÄN</t>
        </is>
      </c>
      <c r="E458" t="inlineStr">
        <is>
          <t>LINKÖPING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61645-2025</t>
        </is>
      </c>
      <c r="B459" s="1" t="n">
        <v>46002.43697916667</v>
      </c>
      <c r="C459" s="1" t="n">
        <v>46121</v>
      </c>
      <c r="D459" t="inlineStr">
        <is>
          <t>ÖSTERGÖTLANDS LÄN</t>
        </is>
      </c>
      <c r="E459" t="inlineStr">
        <is>
          <t>LINKÖPING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1260-2023</t>
        </is>
      </c>
      <c r="B460" s="1" t="n">
        <v>44936</v>
      </c>
      <c r="C460" s="1" t="n">
        <v>46121</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1355-2023</t>
        </is>
      </c>
      <c r="B461" s="1" t="n">
        <v>44931</v>
      </c>
      <c r="C461" s="1" t="n">
        <v>46121</v>
      </c>
      <c r="D461" t="inlineStr">
        <is>
          <t>ÖSTERGÖTLANDS LÄN</t>
        </is>
      </c>
      <c r="E461" t="inlineStr">
        <is>
          <t>LINKÖPING</t>
        </is>
      </c>
      <c r="G461" t="n">
        <v>4</v>
      </c>
      <c r="H461" t="n">
        <v>0</v>
      </c>
      <c r="I461" t="n">
        <v>0</v>
      </c>
      <c r="J461" t="n">
        <v>0</v>
      </c>
      <c r="K461" t="n">
        <v>0</v>
      </c>
      <c r="L461" t="n">
        <v>0</v>
      </c>
      <c r="M461" t="n">
        <v>0</v>
      </c>
      <c r="N461" t="n">
        <v>0</v>
      </c>
      <c r="O461" t="n">
        <v>0</v>
      </c>
      <c r="P461" t="n">
        <v>0</v>
      </c>
      <c r="Q461" t="n">
        <v>0</v>
      </c>
      <c r="R461" s="2" t="inlineStr"/>
    </row>
    <row r="462" ht="15" customHeight="1">
      <c r="A462" t="inlineStr">
        <is>
          <t>A 3007-2025</t>
        </is>
      </c>
      <c r="B462" s="1" t="n">
        <v>45678.56328703704</v>
      </c>
      <c r="C462" s="1" t="n">
        <v>46121</v>
      </c>
      <c r="D462" t="inlineStr">
        <is>
          <t>ÖSTERGÖTLANDS LÄN</t>
        </is>
      </c>
      <c r="E462" t="inlineStr">
        <is>
          <t>LINKÖPING</t>
        </is>
      </c>
      <c r="G462" t="n">
        <v>3.1</v>
      </c>
      <c r="H462" t="n">
        <v>0</v>
      </c>
      <c r="I462" t="n">
        <v>0</v>
      </c>
      <c r="J462" t="n">
        <v>0</v>
      </c>
      <c r="K462" t="n">
        <v>0</v>
      </c>
      <c r="L462" t="n">
        <v>0</v>
      </c>
      <c r="M462" t="n">
        <v>0</v>
      </c>
      <c r="N462" t="n">
        <v>0</v>
      </c>
      <c r="O462" t="n">
        <v>0</v>
      </c>
      <c r="P462" t="n">
        <v>0</v>
      </c>
      <c r="Q462" t="n">
        <v>0</v>
      </c>
      <c r="R462" s="2" t="inlineStr"/>
    </row>
    <row r="463" ht="15" customHeight="1">
      <c r="A463" t="inlineStr">
        <is>
          <t>A 10492-2022</t>
        </is>
      </c>
      <c r="B463" s="1" t="n">
        <v>44623.6377199074</v>
      </c>
      <c r="C463" s="1" t="n">
        <v>46121</v>
      </c>
      <c r="D463" t="inlineStr">
        <is>
          <t>ÖSTERGÖTLANDS LÄN</t>
        </is>
      </c>
      <c r="E463" t="inlineStr">
        <is>
          <t>LINKÖPING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30465-2023</t>
        </is>
      </c>
      <c r="B464" s="1" t="n">
        <v>45111</v>
      </c>
      <c r="C464" s="1" t="n">
        <v>46121</v>
      </c>
      <c r="D464" t="inlineStr">
        <is>
          <t>ÖSTERGÖTLANDS LÄN</t>
        </is>
      </c>
      <c r="E464" t="inlineStr">
        <is>
          <t>LINKÖPING</t>
        </is>
      </c>
      <c r="F464" t="inlineStr">
        <is>
          <t>Övriga Aktiebolag</t>
        </is>
      </c>
      <c r="G464" t="n">
        <v>0.7</v>
      </c>
      <c r="H464" t="n">
        <v>0</v>
      </c>
      <c r="I464" t="n">
        <v>0</v>
      </c>
      <c r="J464" t="n">
        <v>0</v>
      </c>
      <c r="K464" t="n">
        <v>0</v>
      </c>
      <c r="L464" t="n">
        <v>0</v>
      </c>
      <c r="M464" t="n">
        <v>0</v>
      </c>
      <c r="N464" t="n">
        <v>0</v>
      </c>
      <c r="O464" t="n">
        <v>0</v>
      </c>
      <c r="P464" t="n">
        <v>0</v>
      </c>
      <c r="Q464" t="n">
        <v>0</v>
      </c>
      <c r="R464" s="2" t="inlineStr"/>
    </row>
    <row r="465" ht="15" customHeight="1">
      <c r="A465" t="inlineStr">
        <is>
          <t>A 62515-2025</t>
        </is>
      </c>
      <c r="B465" s="1" t="n">
        <v>46007.60548611111</v>
      </c>
      <c r="C465" s="1" t="n">
        <v>46121</v>
      </c>
      <c r="D465" t="inlineStr">
        <is>
          <t>ÖSTERGÖTLANDS LÄN</t>
        </is>
      </c>
      <c r="E465" t="inlineStr">
        <is>
          <t>LINKÖPING</t>
        </is>
      </c>
      <c r="G465" t="n">
        <v>2.2</v>
      </c>
      <c r="H465" t="n">
        <v>0</v>
      </c>
      <c r="I465" t="n">
        <v>0</v>
      </c>
      <c r="J465" t="n">
        <v>0</v>
      </c>
      <c r="K465" t="n">
        <v>0</v>
      </c>
      <c r="L465" t="n">
        <v>0</v>
      </c>
      <c r="M465" t="n">
        <v>0</v>
      </c>
      <c r="N465" t="n">
        <v>0</v>
      </c>
      <c r="O465" t="n">
        <v>0</v>
      </c>
      <c r="P465" t="n">
        <v>0</v>
      </c>
      <c r="Q465" t="n">
        <v>0</v>
      </c>
      <c r="R465" s="2" t="inlineStr"/>
    </row>
    <row r="466" ht="15" customHeight="1">
      <c r="A466" t="inlineStr">
        <is>
          <t>A 39021-2021</t>
        </is>
      </c>
      <c r="B466" s="1" t="n">
        <v>44412</v>
      </c>
      <c r="C466" s="1" t="n">
        <v>46121</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62353-2022</t>
        </is>
      </c>
      <c r="B467" s="1" t="n">
        <v>44923</v>
      </c>
      <c r="C467" s="1" t="n">
        <v>46121</v>
      </c>
      <c r="D467" t="inlineStr">
        <is>
          <t>ÖSTERGÖTLANDS LÄN</t>
        </is>
      </c>
      <c r="E467" t="inlineStr">
        <is>
          <t>LINKÖPING</t>
        </is>
      </c>
      <c r="F467" t="inlineStr">
        <is>
          <t>Allmännings- och besparingsskogar</t>
        </is>
      </c>
      <c r="G467" t="n">
        <v>1.7</v>
      </c>
      <c r="H467" t="n">
        <v>0</v>
      </c>
      <c r="I467" t="n">
        <v>0</v>
      </c>
      <c r="J467" t="n">
        <v>0</v>
      </c>
      <c r="K467" t="n">
        <v>0</v>
      </c>
      <c r="L467" t="n">
        <v>0</v>
      </c>
      <c r="M467" t="n">
        <v>0</v>
      </c>
      <c r="N467" t="n">
        <v>0</v>
      </c>
      <c r="O467" t="n">
        <v>0</v>
      </c>
      <c r="P467" t="n">
        <v>0</v>
      </c>
      <c r="Q467" t="n">
        <v>0</v>
      </c>
      <c r="R467" s="2" t="inlineStr"/>
    </row>
    <row r="468" ht="15" customHeight="1">
      <c r="A468" t="inlineStr">
        <is>
          <t>A 30111-2024</t>
        </is>
      </c>
      <c r="B468" s="1" t="n">
        <v>45489.46947916667</v>
      </c>
      <c r="C468" s="1" t="n">
        <v>46121</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30119-2024</t>
        </is>
      </c>
      <c r="B469" s="1" t="n">
        <v>45489</v>
      </c>
      <c r="C469" s="1" t="n">
        <v>46121</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29411-2023</t>
        </is>
      </c>
      <c r="B470" s="1" t="n">
        <v>45106.46225694445</v>
      </c>
      <c r="C470" s="1" t="n">
        <v>46121</v>
      </c>
      <c r="D470" t="inlineStr">
        <is>
          <t>ÖSTERGÖTLANDS LÄN</t>
        </is>
      </c>
      <c r="E470" t="inlineStr">
        <is>
          <t>LINKÖPING</t>
        </is>
      </c>
      <c r="G470" t="n">
        <v>2.5</v>
      </c>
      <c r="H470" t="n">
        <v>0</v>
      </c>
      <c r="I470" t="n">
        <v>0</v>
      </c>
      <c r="J470" t="n">
        <v>0</v>
      </c>
      <c r="K470" t="n">
        <v>0</v>
      </c>
      <c r="L470" t="n">
        <v>0</v>
      </c>
      <c r="M470" t="n">
        <v>0</v>
      </c>
      <c r="N470" t="n">
        <v>0</v>
      </c>
      <c r="O470" t="n">
        <v>0</v>
      </c>
      <c r="P470" t="n">
        <v>0</v>
      </c>
      <c r="Q470" t="n">
        <v>0</v>
      </c>
      <c r="R470" s="2" t="inlineStr"/>
    </row>
    <row r="471" ht="15" customHeight="1">
      <c r="A471" t="inlineStr">
        <is>
          <t>A 29412-2023</t>
        </is>
      </c>
      <c r="B471" s="1" t="n">
        <v>45106.46359953703</v>
      </c>
      <c r="C471" s="1" t="n">
        <v>46121</v>
      </c>
      <c r="D471" t="inlineStr">
        <is>
          <t>ÖSTERGÖTLANDS LÄN</t>
        </is>
      </c>
      <c r="E471" t="inlineStr">
        <is>
          <t>LINKÖPING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31792-2021</t>
        </is>
      </c>
      <c r="B472" s="1" t="n">
        <v>44369</v>
      </c>
      <c r="C472" s="1" t="n">
        <v>46121</v>
      </c>
      <c r="D472" t="inlineStr">
        <is>
          <t>ÖSTERGÖTLANDS LÄN</t>
        </is>
      </c>
      <c r="E472" t="inlineStr">
        <is>
          <t>LINKÖPING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421-2024</t>
        </is>
      </c>
      <c r="B473" s="1" t="n">
        <v>45296.51877314815</v>
      </c>
      <c r="C473" s="1" t="n">
        <v>46121</v>
      </c>
      <c r="D473" t="inlineStr">
        <is>
          <t>ÖSTERGÖTLANDS LÄN</t>
        </is>
      </c>
      <c r="E473" t="inlineStr">
        <is>
          <t>LINKÖPING</t>
        </is>
      </c>
      <c r="G473" t="n">
        <v>3.7</v>
      </c>
      <c r="H473" t="n">
        <v>0</v>
      </c>
      <c r="I473" t="n">
        <v>0</v>
      </c>
      <c r="J473" t="n">
        <v>0</v>
      </c>
      <c r="K473" t="n">
        <v>0</v>
      </c>
      <c r="L473" t="n">
        <v>0</v>
      </c>
      <c r="M473" t="n">
        <v>0</v>
      </c>
      <c r="N473" t="n">
        <v>0</v>
      </c>
      <c r="O473" t="n">
        <v>0</v>
      </c>
      <c r="P473" t="n">
        <v>0</v>
      </c>
      <c r="Q473" t="n">
        <v>0</v>
      </c>
      <c r="R473" s="2" t="inlineStr"/>
    </row>
    <row r="474" ht="15" customHeight="1">
      <c r="A474" t="inlineStr">
        <is>
          <t>A 22043-2023</t>
        </is>
      </c>
      <c r="B474" s="1" t="n">
        <v>45069.39050925926</v>
      </c>
      <c r="C474" s="1" t="n">
        <v>46121</v>
      </c>
      <c r="D474" t="inlineStr">
        <is>
          <t>ÖSTERGÖTLANDS LÄN</t>
        </is>
      </c>
      <c r="E474" t="inlineStr">
        <is>
          <t>LINKÖPING</t>
        </is>
      </c>
      <c r="G474" t="n">
        <v>5.9</v>
      </c>
      <c r="H474" t="n">
        <v>0</v>
      </c>
      <c r="I474" t="n">
        <v>0</v>
      </c>
      <c r="J474" t="n">
        <v>0</v>
      </c>
      <c r="K474" t="n">
        <v>0</v>
      </c>
      <c r="L474" t="n">
        <v>0</v>
      </c>
      <c r="M474" t="n">
        <v>0</v>
      </c>
      <c r="N474" t="n">
        <v>0</v>
      </c>
      <c r="O474" t="n">
        <v>0</v>
      </c>
      <c r="P474" t="n">
        <v>0</v>
      </c>
      <c r="Q474" t="n">
        <v>0</v>
      </c>
      <c r="R474" s="2" t="inlineStr"/>
    </row>
    <row r="475" ht="15" customHeight="1">
      <c r="A475" t="inlineStr">
        <is>
          <t>A 62791-2025</t>
        </is>
      </c>
      <c r="B475" s="1" t="n">
        <v>46008.63266203704</v>
      </c>
      <c r="C475" s="1" t="n">
        <v>46121</v>
      </c>
      <c r="D475" t="inlineStr">
        <is>
          <t>ÖSTERGÖTLANDS LÄN</t>
        </is>
      </c>
      <c r="E475" t="inlineStr">
        <is>
          <t>LINKÖPING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62686-2025</t>
        </is>
      </c>
      <c r="B476" s="1" t="n">
        <v>46008.46769675926</v>
      </c>
      <c r="C476" s="1" t="n">
        <v>46121</v>
      </c>
      <c r="D476" t="inlineStr">
        <is>
          <t>ÖSTERGÖTLANDS LÄN</t>
        </is>
      </c>
      <c r="E476" t="inlineStr">
        <is>
          <t>LINKÖPING</t>
        </is>
      </c>
      <c r="G476" t="n">
        <v>7.6</v>
      </c>
      <c r="H476" t="n">
        <v>0</v>
      </c>
      <c r="I476" t="n">
        <v>0</v>
      </c>
      <c r="J476" t="n">
        <v>0</v>
      </c>
      <c r="K476" t="n">
        <v>0</v>
      </c>
      <c r="L476" t="n">
        <v>0</v>
      </c>
      <c r="M476" t="n">
        <v>0</v>
      </c>
      <c r="N476" t="n">
        <v>0</v>
      </c>
      <c r="O476" t="n">
        <v>0</v>
      </c>
      <c r="P476" t="n">
        <v>0</v>
      </c>
      <c r="Q476" t="n">
        <v>0</v>
      </c>
      <c r="R476" s="2" t="inlineStr"/>
    </row>
    <row r="477" ht="15" customHeight="1">
      <c r="A477" t="inlineStr">
        <is>
          <t>A 61532-2021</t>
        </is>
      </c>
      <c r="B477" s="1" t="n">
        <v>44501</v>
      </c>
      <c r="C477" s="1" t="n">
        <v>46121</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14028-2024</t>
        </is>
      </c>
      <c r="B478" s="1" t="n">
        <v>45392</v>
      </c>
      <c r="C478" s="1" t="n">
        <v>46121</v>
      </c>
      <c r="D478" t="inlineStr">
        <is>
          <t>ÖSTERGÖTLANDS LÄN</t>
        </is>
      </c>
      <c r="E478" t="inlineStr">
        <is>
          <t>LINKÖPING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40431-2024</t>
        </is>
      </c>
      <c r="B479" s="1" t="n">
        <v>45555.47070601852</v>
      </c>
      <c r="C479" s="1" t="n">
        <v>46121</v>
      </c>
      <c r="D479" t="inlineStr">
        <is>
          <t>ÖSTERGÖTLANDS LÄN</t>
        </is>
      </c>
      <c r="E479" t="inlineStr">
        <is>
          <t>LINKÖPING</t>
        </is>
      </c>
      <c r="F479" t="inlineStr">
        <is>
          <t>Allmännings- och besparingsskogar</t>
        </is>
      </c>
      <c r="G479" t="n">
        <v>2.9</v>
      </c>
      <c r="H479" t="n">
        <v>0</v>
      </c>
      <c r="I479" t="n">
        <v>0</v>
      </c>
      <c r="J479" t="n">
        <v>0</v>
      </c>
      <c r="K479" t="n">
        <v>0</v>
      </c>
      <c r="L479" t="n">
        <v>0</v>
      </c>
      <c r="M479" t="n">
        <v>0</v>
      </c>
      <c r="N479" t="n">
        <v>0</v>
      </c>
      <c r="O479" t="n">
        <v>0</v>
      </c>
      <c r="P479" t="n">
        <v>0</v>
      </c>
      <c r="Q479" t="n">
        <v>0</v>
      </c>
      <c r="R479" s="2" t="inlineStr"/>
    </row>
    <row r="480" ht="15" customHeight="1">
      <c r="A480" t="inlineStr">
        <is>
          <t>A 63147-2025</t>
        </is>
      </c>
      <c r="B480" s="1" t="n">
        <v>46010.35003472222</v>
      </c>
      <c r="C480" s="1" t="n">
        <v>46121</v>
      </c>
      <c r="D480" t="inlineStr">
        <is>
          <t>ÖSTERGÖTLANDS LÄN</t>
        </is>
      </c>
      <c r="E480" t="inlineStr">
        <is>
          <t>LINKÖPING</t>
        </is>
      </c>
      <c r="G480" t="n">
        <v>4</v>
      </c>
      <c r="H480" t="n">
        <v>0</v>
      </c>
      <c r="I480" t="n">
        <v>0</v>
      </c>
      <c r="J480" t="n">
        <v>0</v>
      </c>
      <c r="K480" t="n">
        <v>0</v>
      </c>
      <c r="L480" t="n">
        <v>0</v>
      </c>
      <c r="M480" t="n">
        <v>0</v>
      </c>
      <c r="N480" t="n">
        <v>0</v>
      </c>
      <c r="O480" t="n">
        <v>0</v>
      </c>
      <c r="P480" t="n">
        <v>0</v>
      </c>
      <c r="Q480" t="n">
        <v>0</v>
      </c>
      <c r="R480" s="2" t="inlineStr"/>
    </row>
    <row r="481" ht="15" customHeight="1">
      <c r="A481" t="inlineStr">
        <is>
          <t>A 60860-2024</t>
        </is>
      </c>
      <c r="B481" s="1" t="n">
        <v>45644.6893287037</v>
      </c>
      <c r="C481" s="1" t="n">
        <v>46121</v>
      </c>
      <c r="D481" t="inlineStr">
        <is>
          <t>ÖSTERGÖTLANDS LÄN</t>
        </is>
      </c>
      <c r="E481" t="inlineStr">
        <is>
          <t>LINKÖPING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2697-2023</t>
        </is>
      </c>
      <c r="B482" s="1" t="n">
        <v>44944</v>
      </c>
      <c r="C482" s="1" t="n">
        <v>46121</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45806-2024</t>
        </is>
      </c>
      <c r="B483" s="1" t="n">
        <v>45579.69619212963</v>
      </c>
      <c r="C483" s="1" t="n">
        <v>46121</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63144-2025</t>
        </is>
      </c>
      <c r="B484" s="1" t="n">
        <v>46010.34716435185</v>
      </c>
      <c r="C484" s="1" t="n">
        <v>46121</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56756-2023</t>
        </is>
      </c>
      <c r="B485" s="1" t="n">
        <v>45244</v>
      </c>
      <c r="C485" s="1" t="n">
        <v>46121</v>
      </c>
      <c r="D485" t="inlineStr">
        <is>
          <t>ÖSTERGÖTLANDS LÄN</t>
        </is>
      </c>
      <c r="E485" t="inlineStr">
        <is>
          <t>LINKÖPING</t>
        </is>
      </c>
      <c r="F485" t="inlineStr">
        <is>
          <t>Övriga Aktiebolag</t>
        </is>
      </c>
      <c r="G485" t="n">
        <v>0.8</v>
      </c>
      <c r="H485" t="n">
        <v>0</v>
      </c>
      <c r="I485" t="n">
        <v>0</v>
      </c>
      <c r="J485" t="n">
        <v>0</v>
      </c>
      <c r="K485" t="n">
        <v>0</v>
      </c>
      <c r="L485" t="n">
        <v>0</v>
      </c>
      <c r="M485" t="n">
        <v>0</v>
      </c>
      <c r="N485" t="n">
        <v>0</v>
      </c>
      <c r="O485" t="n">
        <v>0</v>
      </c>
      <c r="P485" t="n">
        <v>0</v>
      </c>
      <c r="Q485" t="n">
        <v>0</v>
      </c>
      <c r="R485" s="2" t="inlineStr"/>
    </row>
    <row r="486" ht="15" customHeight="1">
      <c r="A486" t="inlineStr">
        <is>
          <t>A 60985-2023</t>
        </is>
      </c>
      <c r="B486" s="1" t="n">
        <v>45261.48429398148</v>
      </c>
      <c r="C486" s="1" t="n">
        <v>46121</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24904-2024</t>
        </is>
      </c>
      <c r="B487" s="1" t="n">
        <v>45461</v>
      </c>
      <c r="C487" s="1" t="n">
        <v>46121</v>
      </c>
      <c r="D487" t="inlineStr">
        <is>
          <t>ÖSTERGÖTLANDS LÄN</t>
        </is>
      </c>
      <c r="E487" t="inlineStr">
        <is>
          <t>LINKÖPING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55009-2023</t>
        </is>
      </c>
      <c r="B488" s="1" t="n">
        <v>45237</v>
      </c>
      <c r="C488" s="1" t="n">
        <v>46121</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34872-2023</t>
        </is>
      </c>
      <c r="B489" s="1" t="n">
        <v>45140</v>
      </c>
      <c r="C489" s="1" t="n">
        <v>46121</v>
      </c>
      <c r="D489" t="inlineStr">
        <is>
          <t>ÖSTERGÖTLANDS LÄN</t>
        </is>
      </c>
      <c r="E489" t="inlineStr">
        <is>
          <t>LINKÖPING</t>
        </is>
      </c>
      <c r="G489" t="n">
        <v>4.8</v>
      </c>
      <c r="H489" t="n">
        <v>0</v>
      </c>
      <c r="I489" t="n">
        <v>0</v>
      </c>
      <c r="J489" t="n">
        <v>0</v>
      </c>
      <c r="K489" t="n">
        <v>0</v>
      </c>
      <c r="L489" t="n">
        <v>0</v>
      </c>
      <c r="M489" t="n">
        <v>0</v>
      </c>
      <c r="N489" t="n">
        <v>0</v>
      </c>
      <c r="O489" t="n">
        <v>0</v>
      </c>
      <c r="P489" t="n">
        <v>0</v>
      </c>
      <c r="Q489" t="n">
        <v>0</v>
      </c>
      <c r="R489" s="2" t="inlineStr"/>
    </row>
    <row r="490" ht="15" customHeight="1">
      <c r="A490" t="inlineStr">
        <is>
          <t>A 36336-2022</t>
        </is>
      </c>
      <c r="B490" s="1" t="n">
        <v>44803</v>
      </c>
      <c r="C490" s="1" t="n">
        <v>46121</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25097-2023</t>
        </is>
      </c>
      <c r="B491" s="1" t="n">
        <v>45086</v>
      </c>
      <c r="C491" s="1" t="n">
        <v>46121</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10461-2023</t>
        </is>
      </c>
      <c r="B492" s="1" t="n">
        <v>44987.5969212963</v>
      </c>
      <c r="C492" s="1" t="n">
        <v>46121</v>
      </c>
      <c r="D492" t="inlineStr">
        <is>
          <t>ÖSTERGÖTLANDS LÄN</t>
        </is>
      </c>
      <c r="E492" t="inlineStr">
        <is>
          <t>LINKÖPING</t>
        </is>
      </c>
      <c r="G492" t="n">
        <v>7.8</v>
      </c>
      <c r="H492" t="n">
        <v>0</v>
      </c>
      <c r="I492" t="n">
        <v>0</v>
      </c>
      <c r="J492" t="n">
        <v>0</v>
      </c>
      <c r="K492" t="n">
        <v>0</v>
      </c>
      <c r="L492" t="n">
        <v>0</v>
      </c>
      <c r="M492" t="n">
        <v>0</v>
      </c>
      <c r="N492" t="n">
        <v>0</v>
      </c>
      <c r="O492" t="n">
        <v>0</v>
      </c>
      <c r="P492" t="n">
        <v>0</v>
      </c>
      <c r="Q492" t="n">
        <v>0</v>
      </c>
      <c r="R492" s="2" t="inlineStr"/>
    </row>
    <row r="493" ht="15" customHeight="1">
      <c r="A493" t="inlineStr">
        <is>
          <t>A 50386-2021</t>
        </is>
      </c>
      <c r="B493" s="1" t="n">
        <v>44459</v>
      </c>
      <c r="C493" s="1" t="n">
        <v>46121</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1223-2026</t>
        </is>
      </c>
      <c r="B494" s="1" t="n">
        <v>46031.40233796297</v>
      </c>
      <c r="C494" s="1" t="n">
        <v>46121</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350-2022</t>
        </is>
      </c>
      <c r="B495" s="1" t="n">
        <v>44565</v>
      </c>
      <c r="C495" s="1" t="n">
        <v>46121</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858-2026</t>
        </is>
      </c>
      <c r="B496" s="1" t="n">
        <v>46030.41200231481</v>
      </c>
      <c r="C496" s="1" t="n">
        <v>46121</v>
      </c>
      <c r="D496" t="inlineStr">
        <is>
          <t>ÖSTERGÖTLANDS LÄN</t>
        </is>
      </c>
      <c r="E496" t="inlineStr">
        <is>
          <t>LINKÖPING</t>
        </is>
      </c>
      <c r="G496" t="n">
        <v>1.9</v>
      </c>
      <c r="H496" t="n">
        <v>0</v>
      </c>
      <c r="I496" t="n">
        <v>0</v>
      </c>
      <c r="J496" t="n">
        <v>0</v>
      </c>
      <c r="K496" t="n">
        <v>0</v>
      </c>
      <c r="L496" t="n">
        <v>0</v>
      </c>
      <c r="M496" t="n">
        <v>0</v>
      </c>
      <c r="N496" t="n">
        <v>0</v>
      </c>
      <c r="O496" t="n">
        <v>0</v>
      </c>
      <c r="P496" t="n">
        <v>0</v>
      </c>
      <c r="Q496" t="n">
        <v>0</v>
      </c>
      <c r="R496" s="2" t="inlineStr"/>
    </row>
    <row r="497" ht="15" customHeight="1">
      <c r="A497" t="inlineStr">
        <is>
          <t>A 873-2026</t>
        </is>
      </c>
      <c r="B497" s="1" t="n">
        <v>46030.43818287037</v>
      </c>
      <c r="C497" s="1" t="n">
        <v>46121</v>
      </c>
      <c r="D497" t="inlineStr">
        <is>
          <t>ÖSTERGÖTLANDS LÄN</t>
        </is>
      </c>
      <c r="E497" t="inlineStr">
        <is>
          <t>LINKÖPING</t>
        </is>
      </c>
      <c r="G497" t="n">
        <v>4.1</v>
      </c>
      <c r="H497" t="n">
        <v>0</v>
      </c>
      <c r="I497" t="n">
        <v>0</v>
      </c>
      <c r="J497" t="n">
        <v>0</v>
      </c>
      <c r="K497" t="n">
        <v>0</v>
      </c>
      <c r="L497" t="n">
        <v>0</v>
      </c>
      <c r="M497" t="n">
        <v>0</v>
      </c>
      <c r="N497" t="n">
        <v>0</v>
      </c>
      <c r="O497" t="n">
        <v>0</v>
      </c>
      <c r="P497" t="n">
        <v>0</v>
      </c>
      <c r="Q497" t="n">
        <v>0</v>
      </c>
      <c r="R497" s="2" t="inlineStr"/>
    </row>
    <row r="498" ht="15" customHeight="1">
      <c r="A498" t="inlineStr">
        <is>
          <t>A 856-2026</t>
        </is>
      </c>
      <c r="B498" s="1" t="n">
        <v>46030.40644675926</v>
      </c>
      <c r="C498" s="1" t="n">
        <v>46121</v>
      </c>
      <c r="D498" t="inlineStr">
        <is>
          <t>ÖSTERGÖTLANDS LÄN</t>
        </is>
      </c>
      <c r="E498" t="inlineStr">
        <is>
          <t>LINKÖPING</t>
        </is>
      </c>
      <c r="G498" t="n">
        <v>6.4</v>
      </c>
      <c r="H498" t="n">
        <v>0</v>
      </c>
      <c r="I498" t="n">
        <v>0</v>
      </c>
      <c r="J498" t="n">
        <v>0</v>
      </c>
      <c r="K498" t="n">
        <v>0</v>
      </c>
      <c r="L498" t="n">
        <v>0</v>
      </c>
      <c r="M498" t="n">
        <v>0</v>
      </c>
      <c r="N498" t="n">
        <v>0</v>
      </c>
      <c r="O498" t="n">
        <v>0</v>
      </c>
      <c r="P498" t="n">
        <v>0</v>
      </c>
      <c r="Q498" t="n">
        <v>0</v>
      </c>
      <c r="R498" s="2" t="inlineStr"/>
    </row>
    <row r="499" ht="15" customHeight="1">
      <c r="A499" t="inlineStr">
        <is>
          <t>A 18891-2022</t>
        </is>
      </c>
      <c r="B499" s="1" t="n">
        <v>44690</v>
      </c>
      <c r="C499" s="1" t="n">
        <v>46121</v>
      </c>
      <c r="D499" t="inlineStr">
        <is>
          <t>ÖSTERGÖTLANDS LÄN</t>
        </is>
      </c>
      <c r="E499" t="inlineStr">
        <is>
          <t>LINKÖPING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860-2026</t>
        </is>
      </c>
      <c r="B500" s="1" t="n">
        <v>46030.41974537037</v>
      </c>
      <c r="C500" s="1" t="n">
        <v>46121</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940-2026</t>
        </is>
      </c>
      <c r="B501" s="1" t="n">
        <v>46030.53052083333</v>
      </c>
      <c r="C501" s="1" t="n">
        <v>46121</v>
      </c>
      <c r="D501" t="inlineStr">
        <is>
          <t>ÖSTERGÖTLANDS LÄN</t>
        </is>
      </c>
      <c r="E501" t="inlineStr">
        <is>
          <t>LINKÖPING</t>
        </is>
      </c>
      <c r="F501" t="inlineStr">
        <is>
          <t>Allmännings- och besparingsskogar</t>
        </is>
      </c>
      <c r="G501" t="n">
        <v>2.9</v>
      </c>
      <c r="H501" t="n">
        <v>0</v>
      </c>
      <c r="I501" t="n">
        <v>0</v>
      </c>
      <c r="J501" t="n">
        <v>0</v>
      </c>
      <c r="K501" t="n">
        <v>0</v>
      </c>
      <c r="L501" t="n">
        <v>0</v>
      </c>
      <c r="M501" t="n">
        <v>0</v>
      </c>
      <c r="N501" t="n">
        <v>0</v>
      </c>
      <c r="O501" t="n">
        <v>0</v>
      </c>
      <c r="P501" t="n">
        <v>0</v>
      </c>
      <c r="Q501" t="n">
        <v>0</v>
      </c>
      <c r="R501" s="2" t="inlineStr"/>
    </row>
    <row r="502" ht="15" customHeight="1">
      <c r="A502" t="inlineStr">
        <is>
          <t>A 944-2026</t>
        </is>
      </c>
      <c r="B502" s="1" t="n">
        <v>46030.53461805556</v>
      </c>
      <c r="C502" s="1" t="n">
        <v>46121</v>
      </c>
      <c r="D502" t="inlineStr">
        <is>
          <t>ÖSTERGÖTLANDS LÄN</t>
        </is>
      </c>
      <c r="E502" t="inlineStr">
        <is>
          <t>LINKÖPING</t>
        </is>
      </c>
      <c r="F502" t="inlineStr">
        <is>
          <t>Allmännings- och besparingsskogar</t>
        </is>
      </c>
      <c r="G502" t="n">
        <v>0.9</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46121</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927-2026</t>
        </is>
      </c>
      <c r="B504" s="1" t="n">
        <v>46030.50560185185</v>
      </c>
      <c r="C504" s="1" t="n">
        <v>46121</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859-2026</t>
        </is>
      </c>
      <c r="B505" s="1" t="n">
        <v>46030.41450231482</v>
      </c>
      <c r="C505" s="1" t="n">
        <v>46121</v>
      </c>
      <c r="D505" t="inlineStr">
        <is>
          <t>ÖSTERGÖTLANDS LÄN</t>
        </is>
      </c>
      <c r="E505" t="inlineStr">
        <is>
          <t>LINKÖPING</t>
        </is>
      </c>
      <c r="G505" t="n">
        <v>0.2</v>
      </c>
      <c r="H505" t="n">
        <v>0</v>
      </c>
      <c r="I505" t="n">
        <v>0</v>
      </c>
      <c r="J505" t="n">
        <v>0</v>
      </c>
      <c r="K505" t="n">
        <v>0</v>
      </c>
      <c r="L505" t="n">
        <v>0</v>
      </c>
      <c r="M505" t="n">
        <v>0</v>
      </c>
      <c r="N505" t="n">
        <v>0</v>
      </c>
      <c r="O505" t="n">
        <v>0</v>
      </c>
      <c r="P505" t="n">
        <v>0</v>
      </c>
      <c r="Q505" t="n">
        <v>0</v>
      </c>
      <c r="R505" s="2" t="inlineStr"/>
    </row>
    <row r="506" ht="15" customHeight="1">
      <c r="A506" t="inlineStr">
        <is>
          <t>A 55736-2022</t>
        </is>
      </c>
      <c r="B506" s="1" t="n">
        <v>44888</v>
      </c>
      <c r="C506" s="1" t="n">
        <v>46121</v>
      </c>
      <c r="D506" t="inlineStr">
        <is>
          <t>ÖSTERGÖTLANDS LÄN</t>
        </is>
      </c>
      <c r="E506" t="inlineStr">
        <is>
          <t>LINKÖPING</t>
        </is>
      </c>
      <c r="G506" t="n">
        <v>5.5</v>
      </c>
      <c r="H506" t="n">
        <v>0</v>
      </c>
      <c r="I506" t="n">
        <v>0</v>
      </c>
      <c r="J506" t="n">
        <v>0</v>
      </c>
      <c r="K506" t="n">
        <v>0</v>
      </c>
      <c r="L506" t="n">
        <v>0</v>
      </c>
      <c r="M506" t="n">
        <v>0</v>
      </c>
      <c r="N506" t="n">
        <v>0</v>
      </c>
      <c r="O506" t="n">
        <v>0</v>
      </c>
      <c r="P506" t="n">
        <v>0</v>
      </c>
      <c r="Q506" t="n">
        <v>0</v>
      </c>
      <c r="R506" s="2" t="inlineStr"/>
    </row>
    <row r="507" ht="15" customHeight="1">
      <c r="A507" t="inlineStr">
        <is>
          <t>A 2030-2026</t>
        </is>
      </c>
      <c r="B507" s="1" t="n">
        <v>46035.73590277778</v>
      </c>
      <c r="C507" s="1" t="n">
        <v>46121</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10194-2023</t>
        </is>
      </c>
      <c r="B508" s="1" t="n">
        <v>44986.52277777778</v>
      </c>
      <c r="C508" s="1" t="n">
        <v>46121</v>
      </c>
      <c r="D508" t="inlineStr">
        <is>
          <t>ÖSTERGÖTLANDS LÄN</t>
        </is>
      </c>
      <c r="E508" t="inlineStr">
        <is>
          <t>LINKÖPING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2031-2026</t>
        </is>
      </c>
      <c r="B509" s="1" t="n">
        <v>46035.74182870371</v>
      </c>
      <c r="C509" s="1" t="n">
        <v>46121</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11033-2026</t>
        </is>
      </c>
      <c r="B510" s="1" t="n">
        <v>46079.57361111111</v>
      </c>
      <c r="C510" s="1" t="n">
        <v>46121</v>
      </c>
      <c r="D510" t="inlineStr">
        <is>
          <t>ÖSTERGÖTLANDS LÄN</t>
        </is>
      </c>
      <c r="E510" t="inlineStr">
        <is>
          <t>LINKÖPING</t>
        </is>
      </c>
      <c r="G510" t="n">
        <v>7.9</v>
      </c>
      <c r="H510" t="n">
        <v>0</v>
      </c>
      <c r="I510" t="n">
        <v>0</v>
      </c>
      <c r="J510" t="n">
        <v>0</v>
      </c>
      <c r="K510" t="n">
        <v>0</v>
      </c>
      <c r="L510" t="n">
        <v>0</v>
      </c>
      <c r="M510" t="n">
        <v>0</v>
      </c>
      <c r="N510" t="n">
        <v>0</v>
      </c>
      <c r="O510" t="n">
        <v>0</v>
      </c>
      <c r="P510" t="n">
        <v>0</v>
      </c>
      <c r="Q510" t="n">
        <v>0</v>
      </c>
      <c r="R510" s="2" t="inlineStr"/>
    </row>
    <row r="511" ht="15" customHeight="1">
      <c r="A511" t="inlineStr">
        <is>
          <t>A 11057-2026</t>
        </is>
      </c>
      <c r="B511" s="1" t="n">
        <v>46079.59515046296</v>
      </c>
      <c r="C511" s="1" t="n">
        <v>46121</v>
      </c>
      <c r="D511" t="inlineStr">
        <is>
          <t>ÖSTERGÖTLANDS LÄN</t>
        </is>
      </c>
      <c r="E511" t="inlineStr">
        <is>
          <t>LINKÖPING</t>
        </is>
      </c>
      <c r="G511" t="n">
        <v>2.9</v>
      </c>
      <c r="H511" t="n">
        <v>0</v>
      </c>
      <c r="I511" t="n">
        <v>0</v>
      </c>
      <c r="J511" t="n">
        <v>0</v>
      </c>
      <c r="K511" t="n">
        <v>0</v>
      </c>
      <c r="L511" t="n">
        <v>0</v>
      </c>
      <c r="M511" t="n">
        <v>0</v>
      </c>
      <c r="N511" t="n">
        <v>0</v>
      </c>
      <c r="O511" t="n">
        <v>0</v>
      </c>
      <c r="P511" t="n">
        <v>0</v>
      </c>
      <c r="Q511" t="n">
        <v>0</v>
      </c>
      <c r="R511" s="2" t="inlineStr"/>
    </row>
    <row r="512" ht="15" customHeight="1">
      <c r="A512" t="inlineStr">
        <is>
          <t>A 7702-2023</t>
        </is>
      </c>
      <c r="B512" s="1" t="n">
        <v>44967</v>
      </c>
      <c r="C512" s="1" t="n">
        <v>46121</v>
      </c>
      <c r="D512" t="inlineStr">
        <is>
          <t>ÖSTERGÖTLANDS LÄN</t>
        </is>
      </c>
      <c r="E512" t="inlineStr">
        <is>
          <t>LINKÖPING</t>
        </is>
      </c>
      <c r="F512" t="inlineStr">
        <is>
          <t>Övriga statliga verk och myndigheter</t>
        </is>
      </c>
      <c r="G512" t="n">
        <v>8</v>
      </c>
      <c r="H512" t="n">
        <v>0</v>
      </c>
      <c r="I512" t="n">
        <v>0</v>
      </c>
      <c r="J512" t="n">
        <v>0</v>
      </c>
      <c r="K512" t="n">
        <v>0</v>
      </c>
      <c r="L512" t="n">
        <v>0</v>
      </c>
      <c r="M512" t="n">
        <v>0</v>
      </c>
      <c r="N512" t="n">
        <v>0</v>
      </c>
      <c r="O512" t="n">
        <v>0</v>
      </c>
      <c r="P512" t="n">
        <v>0</v>
      </c>
      <c r="Q512" t="n">
        <v>0</v>
      </c>
      <c r="R512" s="2" t="inlineStr"/>
    </row>
    <row r="513" ht="15" customHeight="1">
      <c r="A513" t="inlineStr">
        <is>
          <t>A 11036-2026</t>
        </is>
      </c>
      <c r="B513" s="1" t="n">
        <v>46079.57836805555</v>
      </c>
      <c r="C513" s="1" t="n">
        <v>46121</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3045-2026</t>
        </is>
      </c>
      <c r="B514" s="1" t="n">
        <v>46038.74047453704</v>
      </c>
      <c r="C514" s="1" t="n">
        <v>46121</v>
      </c>
      <c r="D514" t="inlineStr">
        <is>
          <t>ÖSTERGÖTLANDS LÄN</t>
        </is>
      </c>
      <c r="E514" t="inlineStr">
        <is>
          <t>LINKÖPING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42000-2023</t>
        </is>
      </c>
      <c r="B515" s="1" t="n">
        <v>45177</v>
      </c>
      <c r="C515" s="1" t="n">
        <v>46121</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11169-2026</t>
        </is>
      </c>
      <c r="B516" s="1" t="n">
        <v>46080.37020833333</v>
      </c>
      <c r="C516" s="1" t="n">
        <v>46121</v>
      </c>
      <c r="D516" t="inlineStr">
        <is>
          <t>ÖSTERGÖTLANDS LÄN</t>
        </is>
      </c>
      <c r="E516" t="inlineStr">
        <is>
          <t>LINKÖPING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31534-2023</t>
        </is>
      </c>
      <c r="B517" s="1" t="n">
        <v>45116</v>
      </c>
      <c r="C517" s="1" t="n">
        <v>46121</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35427-2023</t>
        </is>
      </c>
      <c r="B518" s="1" t="n">
        <v>45146</v>
      </c>
      <c r="C518" s="1" t="n">
        <v>46121</v>
      </c>
      <c r="D518" t="inlineStr">
        <is>
          <t>ÖSTERGÖTLANDS LÄN</t>
        </is>
      </c>
      <c r="E518" t="inlineStr">
        <is>
          <t>LINKÖPING</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3043-2026</t>
        </is>
      </c>
      <c r="B519" s="1" t="n">
        <v>46038.73675925926</v>
      </c>
      <c r="C519" s="1" t="n">
        <v>46121</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36725-2023</t>
        </is>
      </c>
      <c r="B520" s="1" t="n">
        <v>45153.68471064815</v>
      </c>
      <c r="C520" s="1" t="n">
        <v>46121</v>
      </c>
      <c r="D520" t="inlineStr">
        <is>
          <t>ÖSTERGÖTLANDS LÄN</t>
        </is>
      </c>
      <c r="E520" t="inlineStr">
        <is>
          <t>LINKÖPING</t>
        </is>
      </c>
      <c r="F520" t="inlineStr">
        <is>
          <t>Allmännings- och besparingsskogar</t>
        </is>
      </c>
      <c r="G520" t="n">
        <v>2.6</v>
      </c>
      <c r="H520" t="n">
        <v>0</v>
      </c>
      <c r="I520" t="n">
        <v>0</v>
      </c>
      <c r="J520" t="n">
        <v>0</v>
      </c>
      <c r="K520" t="n">
        <v>0</v>
      </c>
      <c r="L520" t="n">
        <v>0</v>
      </c>
      <c r="M520" t="n">
        <v>0</v>
      </c>
      <c r="N520" t="n">
        <v>0</v>
      </c>
      <c r="O520" t="n">
        <v>0</v>
      </c>
      <c r="P520" t="n">
        <v>0</v>
      </c>
      <c r="Q520" t="n">
        <v>0</v>
      </c>
      <c r="R520" s="2" t="inlineStr"/>
    </row>
    <row r="521" ht="15" customHeight="1">
      <c r="A521" t="inlineStr">
        <is>
          <t>A 3044-2026</t>
        </is>
      </c>
      <c r="B521" s="1" t="n">
        <v>46038.73855324074</v>
      </c>
      <c r="C521" s="1" t="n">
        <v>46121</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53639-2023</t>
        </is>
      </c>
      <c r="B522" s="1" t="n">
        <v>45230.59686342593</v>
      </c>
      <c r="C522" s="1" t="n">
        <v>46121</v>
      </c>
      <c r="D522" t="inlineStr">
        <is>
          <t>ÖSTERGÖTLANDS LÄN</t>
        </is>
      </c>
      <c r="E522" t="inlineStr">
        <is>
          <t>LINKÖPING</t>
        </is>
      </c>
      <c r="G522" t="n">
        <v>2.3</v>
      </c>
      <c r="H522" t="n">
        <v>0</v>
      </c>
      <c r="I522" t="n">
        <v>0</v>
      </c>
      <c r="J522" t="n">
        <v>0</v>
      </c>
      <c r="K522" t="n">
        <v>0</v>
      </c>
      <c r="L522" t="n">
        <v>0</v>
      </c>
      <c r="M522" t="n">
        <v>0</v>
      </c>
      <c r="N522" t="n">
        <v>0</v>
      </c>
      <c r="O522" t="n">
        <v>0</v>
      </c>
      <c r="P522" t="n">
        <v>0</v>
      </c>
      <c r="Q522" t="n">
        <v>0</v>
      </c>
      <c r="R522" s="2" t="inlineStr"/>
    </row>
    <row r="523" ht="15" customHeight="1">
      <c r="A523" t="inlineStr">
        <is>
          <t>A 1657-2024</t>
        </is>
      </c>
      <c r="B523" s="1" t="n">
        <v>45306.82501157407</v>
      </c>
      <c r="C523" s="1" t="n">
        <v>46121</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50784-2022</t>
        </is>
      </c>
      <c r="B524" s="1" t="n">
        <v>44862</v>
      </c>
      <c r="C524" s="1" t="n">
        <v>46121</v>
      </c>
      <c r="D524" t="inlineStr">
        <is>
          <t>ÖSTERGÖTLANDS LÄN</t>
        </is>
      </c>
      <c r="E524" t="inlineStr">
        <is>
          <t>LINKÖPING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26803-2024</t>
        </is>
      </c>
      <c r="B525" s="1" t="n">
        <v>45470</v>
      </c>
      <c r="C525" s="1" t="n">
        <v>46121</v>
      </c>
      <c r="D525" t="inlineStr">
        <is>
          <t>ÖSTERGÖTLANDS LÄN</t>
        </is>
      </c>
      <c r="E525" t="inlineStr">
        <is>
          <t>LINKÖPING</t>
        </is>
      </c>
      <c r="F525" t="inlineStr">
        <is>
          <t>Allmännings- och besparingsskogar</t>
        </is>
      </c>
      <c r="G525" t="n">
        <v>4.5</v>
      </c>
      <c r="H525" t="n">
        <v>0</v>
      </c>
      <c r="I525" t="n">
        <v>0</v>
      </c>
      <c r="J525" t="n">
        <v>0</v>
      </c>
      <c r="K525" t="n">
        <v>0</v>
      </c>
      <c r="L525" t="n">
        <v>0</v>
      </c>
      <c r="M525" t="n">
        <v>0</v>
      </c>
      <c r="N525" t="n">
        <v>0</v>
      </c>
      <c r="O525" t="n">
        <v>0</v>
      </c>
      <c r="P525" t="n">
        <v>0</v>
      </c>
      <c r="Q525" t="n">
        <v>0</v>
      </c>
      <c r="R525" s="2" t="inlineStr"/>
    </row>
    <row r="526" ht="15" customHeight="1">
      <c r="A526" t="inlineStr">
        <is>
          <t>A 3046-2026</t>
        </is>
      </c>
      <c r="B526" s="1" t="n">
        <v>46038.74182870371</v>
      </c>
      <c r="C526" s="1" t="n">
        <v>46121</v>
      </c>
      <c r="D526" t="inlineStr">
        <is>
          <t>ÖSTERGÖTLANDS LÄN</t>
        </is>
      </c>
      <c r="E526" t="inlineStr">
        <is>
          <t>LINKÖPING</t>
        </is>
      </c>
      <c r="G526" t="n">
        <v>1.9</v>
      </c>
      <c r="H526" t="n">
        <v>0</v>
      </c>
      <c r="I526" t="n">
        <v>0</v>
      </c>
      <c r="J526" t="n">
        <v>0</v>
      </c>
      <c r="K526" t="n">
        <v>0</v>
      </c>
      <c r="L526" t="n">
        <v>0</v>
      </c>
      <c r="M526" t="n">
        <v>0</v>
      </c>
      <c r="N526" t="n">
        <v>0</v>
      </c>
      <c r="O526" t="n">
        <v>0</v>
      </c>
      <c r="P526" t="n">
        <v>0</v>
      </c>
      <c r="Q526" t="n">
        <v>0</v>
      </c>
      <c r="R526" s="2" t="inlineStr"/>
    </row>
    <row r="527" ht="15" customHeight="1">
      <c r="A527" t="inlineStr">
        <is>
          <t>A 11888-2026</t>
        </is>
      </c>
      <c r="B527" s="1" t="n">
        <v>46085.51813657407</v>
      </c>
      <c r="C527" s="1" t="n">
        <v>46121</v>
      </c>
      <c r="D527" t="inlineStr">
        <is>
          <t>ÖSTERGÖTLANDS LÄN</t>
        </is>
      </c>
      <c r="E527" t="inlineStr">
        <is>
          <t>LINKÖPING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19187-2021</t>
        </is>
      </c>
      <c r="B528" s="1" t="n">
        <v>44308</v>
      </c>
      <c r="C528" s="1" t="n">
        <v>46121</v>
      </c>
      <c r="D528" t="inlineStr">
        <is>
          <t>ÖSTERGÖTLANDS LÄN</t>
        </is>
      </c>
      <c r="E528" t="inlineStr">
        <is>
          <t>LINKÖPING</t>
        </is>
      </c>
      <c r="F528" t="inlineStr">
        <is>
          <t>Allmännings- och besparingsskogar</t>
        </is>
      </c>
      <c r="G528" t="n">
        <v>20</v>
      </c>
      <c r="H528" t="n">
        <v>0</v>
      </c>
      <c r="I528" t="n">
        <v>0</v>
      </c>
      <c r="J528" t="n">
        <v>0</v>
      </c>
      <c r="K528" t="n">
        <v>0</v>
      </c>
      <c r="L528" t="n">
        <v>0</v>
      </c>
      <c r="M528" t="n">
        <v>0</v>
      </c>
      <c r="N528" t="n">
        <v>0</v>
      </c>
      <c r="O528" t="n">
        <v>0</v>
      </c>
      <c r="P528" t="n">
        <v>0</v>
      </c>
      <c r="Q528" t="n">
        <v>0</v>
      </c>
      <c r="R528" s="2" t="inlineStr"/>
    </row>
    <row r="529" ht="15" customHeight="1">
      <c r="A529" t="inlineStr">
        <is>
          <t>A 60472-2022</t>
        </is>
      </c>
      <c r="B529" s="1" t="n">
        <v>44911.41037037037</v>
      </c>
      <c r="C529" s="1" t="n">
        <v>46121</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11891-2026</t>
        </is>
      </c>
      <c r="B530" s="1" t="n">
        <v>46085.5197800926</v>
      </c>
      <c r="C530" s="1" t="n">
        <v>46121</v>
      </c>
      <c r="D530" t="inlineStr">
        <is>
          <t>ÖSTERGÖTLANDS LÄN</t>
        </is>
      </c>
      <c r="E530" t="inlineStr">
        <is>
          <t>LINKÖPING</t>
        </is>
      </c>
      <c r="G530" t="n">
        <v>2.8</v>
      </c>
      <c r="H530" t="n">
        <v>0</v>
      </c>
      <c r="I530" t="n">
        <v>0</v>
      </c>
      <c r="J530" t="n">
        <v>0</v>
      </c>
      <c r="K530" t="n">
        <v>0</v>
      </c>
      <c r="L530" t="n">
        <v>0</v>
      </c>
      <c r="M530" t="n">
        <v>0</v>
      </c>
      <c r="N530" t="n">
        <v>0</v>
      </c>
      <c r="O530" t="n">
        <v>0</v>
      </c>
      <c r="P530" t="n">
        <v>0</v>
      </c>
      <c r="Q530" t="n">
        <v>0</v>
      </c>
      <c r="R530" s="2" t="inlineStr"/>
    </row>
    <row r="531" ht="15" customHeight="1">
      <c r="A531" t="inlineStr">
        <is>
          <t>A 43934-2023</t>
        </is>
      </c>
      <c r="B531" s="1" t="n">
        <v>45187</v>
      </c>
      <c r="C531" s="1" t="n">
        <v>46121</v>
      </c>
      <c r="D531" t="inlineStr">
        <is>
          <t>ÖSTERGÖTLANDS LÄN</t>
        </is>
      </c>
      <c r="E531" t="inlineStr">
        <is>
          <t>LINKÖPING</t>
        </is>
      </c>
      <c r="F531" t="inlineStr">
        <is>
          <t>Övriga Aktiebolag</t>
        </is>
      </c>
      <c r="G531" t="n">
        <v>3.8</v>
      </c>
      <c r="H531" t="n">
        <v>0</v>
      </c>
      <c r="I531" t="n">
        <v>0</v>
      </c>
      <c r="J531" t="n">
        <v>0</v>
      </c>
      <c r="K531" t="n">
        <v>0</v>
      </c>
      <c r="L531" t="n">
        <v>0</v>
      </c>
      <c r="M531" t="n">
        <v>0</v>
      </c>
      <c r="N531" t="n">
        <v>0</v>
      </c>
      <c r="O531" t="n">
        <v>0</v>
      </c>
      <c r="P531" t="n">
        <v>0</v>
      </c>
      <c r="Q531" t="n">
        <v>0</v>
      </c>
      <c r="R531" s="2" t="inlineStr"/>
    </row>
    <row r="532" ht="15" customHeight="1">
      <c r="A532" t="inlineStr">
        <is>
          <t>A 22774-2024</t>
        </is>
      </c>
      <c r="B532" s="1" t="n">
        <v>45448.46924768519</v>
      </c>
      <c r="C532" s="1" t="n">
        <v>46121</v>
      </c>
      <c r="D532" t="inlineStr">
        <is>
          <t>ÖSTERGÖTLANDS LÄN</t>
        </is>
      </c>
      <c r="E532" t="inlineStr">
        <is>
          <t>LINKÖPING</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22778-2024</t>
        </is>
      </c>
      <c r="B533" s="1" t="n">
        <v>45448.47233796296</v>
      </c>
      <c r="C533" s="1" t="n">
        <v>46121</v>
      </c>
      <c r="D533" t="inlineStr">
        <is>
          <t>ÖSTERGÖTLANDS LÄN</t>
        </is>
      </c>
      <c r="E533" t="inlineStr">
        <is>
          <t>LINKÖPING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1209-2023</t>
        </is>
      </c>
      <c r="B534" s="1" t="n">
        <v>44930</v>
      </c>
      <c r="C534" s="1" t="n">
        <v>46121</v>
      </c>
      <c r="D534" t="inlineStr">
        <is>
          <t>ÖSTERGÖTLANDS LÄN</t>
        </is>
      </c>
      <c r="E534" t="inlineStr">
        <is>
          <t>LINKÖPING</t>
        </is>
      </c>
      <c r="F534" t="inlineStr">
        <is>
          <t>Övriga statliga verk och myndigheter</t>
        </is>
      </c>
      <c r="G534" t="n">
        <v>25.8</v>
      </c>
      <c r="H534" t="n">
        <v>0</v>
      </c>
      <c r="I534" t="n">
        <v>0</v>
      </c>
      <c r="J534" t="n">
        <v>0</v>
      </c>
      <c r="K534" t="n">
        <v>0</v>
      </c>
      <c r="L534" t="n">
        <v>0</v>
      </c>
      <c r="M534" t="n">
        <v>0</v>
      </c>
      <c r="N534" t="n">
        <v>0</v>
      </c>
      <c r="O534" t="n">
        <v>0</v>
      </c>
      <c r="P534" t="n">
        <v>0</v>
      </c>
      <c r="Q534" t="n">
        <v>0</v>
      </c>
      <c r="R534" s="2" t="inlineStr"/>
    </row>
    <row r="535" ht="15" customHeight="1">
      <c r="A535" t="inlineStr">
        <is>
          <t>A 10407-2025</t>
        </is>
      </c>
      <c r="B535" s="1" t="n">
        <v>45720.62863425926</v>
      </c>
      <c r="C535" s="1" t="n">
        <v>46121</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11590-2023</t>
        </is>
      </c>
      <c r="B536" s="1" t="n">
        <v>44994.36689814815</v>
      </c>
      <c r="C536" s="1" t="n">
        <v>46121</v>
      </c>
      <c r="D536" t="inlineStr">
        <is>
          <t>ÖSTERGÖTLANDS LÄN</t>
        </is>
      </c>
      <c r="E536" t="inlineStr">
        <is>
          <t>LINKÖPING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19169-2023</t>
        </is>
      </c>
      <c r="B537" s="1" t="n">
        <v>45044</v>
      </c>
      <c r="C537" s="1" t="n">
        <v>46121</v>
      </c>
      <c r="D537" t="inlineStr">
        <is>
          <t>ÖSTERGÖTLANDS LÄN</t>
        </is>
      </c>
      <c r="E537" t="inlineStr">
        <is>
          <t>LINKÖPING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12251-2026</t>
        </is>
      </c>
      <c r="B538" s="1" t="n">
        <v>46087.45278935185</v>
      </c>
      <c r="C538" s="1" t="n">
        <v>46121</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12254-2026</t>
        </is>
      </c>
      <c r="B539" s="1" t="n">
        <v>46087.46196759259</v>
      </c>
      <c r="C539" s="1" t="n">
        <v>46121</v>
      </c>
      <c r="D539" t="inlineStr">
        <is>
          <t>ÖSTERGÖTLANDS LÄN</t>
        </is>
      </c>
      <c r="E539" t="inlineStr">
        <is>
          <t>LINKÖPING</t>
        </is>
      </c>
      <c r="G539" t="n">
        <v>10.4</v>
      </c>
      <c r="H539" t="n">
        <v>0</v>
      </c>
      <c r="I539" t="n">
        <v>0</v>
      </c>
      <c r="J539" t="n">
        <v>0</v>
      </c>
      <c r="K539" t="n">
        <v>0</v>
      </c>
      <c r="L539" t="n">
        <v>0</v>
      </c>
      <c r="M539" t="n">
        <v>0</v>
      </c>
      <c r="N539" t="n">
        <v>0</v>
      </c>
      <c r="O539" t="n">
        <v>0</v>
      </c>
      <c r="P539" t="n">
        <v>0</v>
      </c>
      <c r="Q539" t="n">
        <v>0</v>
      </c>
      <c r="R539" s="2" t="inlineStr"/>
    </row>
    <row r="540" ht="15" customHeight="1">
      <c r="A540" t="inlineStr">
        <is>
          <t>A 672-2024</t>
        </is>
      </c>
      <c r="B540" s="1" t="n">
        <v>45300</v>
      </c>
      <c r="C540" s="1" t="n">
        <v>46121</v>
      </c>
      <c r="D540" t="inlineStr">
        <is>
          <t>ÖSTERGÖTLANDS LÄN</t>
        </is>
      </c>
      <c r="E540" t="inlineStr">
        <is>
          <t>LINKÖPING</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55493-2021</t>
        </is>
      </c>
      <c r="B541" s="1" t="n">
        <v>44475.61988425926</v>
      </c>
      <c r="C541" s="1" t="n">
        <v>46121</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4469-2026</t>
        </is>
      </c>
      <c r="B542" s="1" t="n">
        <v>46045.65662037037</v>
      </c>
      <c r="C542" s="1" t="n">
        <v>46121</v>
      </c>
      <c r="D542" t="inlineStr">
        <is>
          <t>ÖSTERGÖTLANDS LÄN</t>
        </is>
      </c>
      <c r="E542" t="inlineStr">
        <is>
          <t>LINKÖPING</t>
        </is>
      </c>
      <c r="F542" t="inlineStr">
        <is>
          <t>Övriga Aktiebolag</t>
        </is>
      </c>
      <c r="G542" t="n">
        <v>3.8</v>
      </c>
      <c r="H542" t="n">
        <v>0</v>
      </c>
      <c r="I542" t="n">
        <v>0</v>
      </c>
      <c r="J542" t="n">
        <v>0</v>
      </c>
      <c r="K542" t="n">
        <v>0</v>
      </c>
      <c r="L542" t="n">
        <v>0</v>
      </c>
      <c r="M542" t="n">
        <v>0</v>
      </c>
      <c r="N542" t="n">
        <v>0</v>
      </c>
      <c r="O542" t="n">
        <v>0</v>
      </c>
      <c r="P542" t="n">
        <v>0</v>
      </c>
      <c r="Q542" t="n">
        <v>0</v>
      </c>
      <c r="R542" s="2" t="inlineStr"/>
    </row>
    <row r="543" ht="15" customHeight="1">
      <c r="A543" t="inlineStr">
        <is>
          <t>A 12247-2026</t>
        </is>
      </c>
      <c r="B543" s="1" t="n">
        <v>46087.44436342592</v>
      </c>
      <c r="C543" s="1" t="n">
        <v>46121</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12255-2026</t>
        </is>
      </c>
      <c r="B544" s="1" t="n">
        <v>46087.46630787037</v>
      </c>
      <c r="C544" s="1" t="n">
        <v>46121</v>
      </c>
      <c r="D544" t="inlineStr">
        <is>
          <t>ÖSTERGÖTLANDS LÄN</t>
        </is>
      </c>
      <c r="E544" t="inlineStr">
        <is>
          <t>LINKÖPING</t>
        </is>
      </c>
      <c r="F544" t="inlineStr">
        <is>
          <t>Övriga Aktiebolag</t>
        </is>
      </c>
      <c r="G544" t="n">
        <v>3.2</v>
      </c>
      <c r="H544" t="n">
        <v>0</v>
      </c>
      <c r="I544" t="n">
        <v>0</v>
      </c>
      <c r="J544" t="n">
        <v>0</v>
      </c>
      <c r="K544" t="n">
        <v>0</v>
      </c>
      <c r="L544" t="n">
        <v>0</v>
      </c>
      <c r="M544" t="n">
        <v>0</v>
      </c>
      <c r="N544" t="n">
        <v>0</v>
      </c>
      <c r="O544" t="n">
        <v>0</v>
      </c>
      <c r="P544" t="n">
        <v>0</v>
      </c>
      <c r="Q544" t="n">
        <v>0</v>
      </c>
      <c r="R544" s="2" t="inlineStr"/>
    </row>
    <row r="545" ht="15" customHeight="1">
      <c r="A545" t="inlineStr">
        <is>
          <t>A 14093-2024</t>
        </is>
      </c>
      <c r="B545" s="1" t="n">
        <v>45392.60278935185</v>
      </c>
      <c r="C545" s="1" t="n">
        <v>46121</v>
      </c>
      <c r="D545" t="inlineStr">
        <is>
          <t>ÖSTERGÖTLANDS LÄN</t>
        </is>
      </c>
      <c r="E545" t="inlineStr">
        <is>
          <t>LINKÖPING</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62019-2024</t>
        </is>
      </c>
      <c r="B546" s="1" t="n">
        <v>45655.82</v>
      </c>
      <c r="C546" s="1" t="n">
        <v>46121</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25119-2023</t>
        </is>
      </c>
      <c r="B547" s="1" t="n">
        <v>45086.42326388889</v>
      </c>
      <c r="C547" s="1" t="n">
        <v>46121</v>
      </c>
      <c r="D547" t="inlineStr">
        <is>
          <t>ÖSTERGÖTLANDS LÄN</t>
        </is>
      </c>
      <c r="E547" t="inlineStr">
        <is>
          <t>LINKÖPING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38886-2024</t>
        </is>
      </c>
      <c r="B548" s="1" t="n">
        <v>45547.66443287037</v>
      </c>
      <c r="C548" s="1" t="n">
        <v>46121</v>
      </c>
      <c r="D548" t="inlineStr">
        <is>
          <t>ÖSTERGÖTLANDS LÄN</t>
        </is>
      </c>
      <c r="E548" t="inlineStr">
        <is>
          <t>LINKÖPING</t>
        </is>
      </c>
      <c r="G548" t="n">
        <v>5.3</v>
      </c>
      <c r="H548" t="n">
        <v>0</v>
      </c>
      <c r="I548" t="n">
        <v>0</v>
      </c>
      <c r="J548" t="n">
        <v>0</v>
      </c>
      <c r="K548" t="n">
        <v>0</v>
      </c>
      <c r="L548" t="n">
        <v>0</v>
      </c>
      <c r="M548" t="n">
        <v>0</v>
      </c>
      <c r="N548" t="n">
        <v>0</v>
      </c>
      <c r="O548" t="n">
        <v>0</v>
      </c>
      <c r="P548" t="n">
        <v>0</v>
      </c>
      <c r="Q548" t="n">
        <v>0</v>
      </c>
      <c r="R548" s="2" t="inlineStr"/>
    </row>
    <row r="549" ht="15" customHeight="1">
      <c r="A549" t="inlineStr">
        <is>
          <t>A 12486-2026</t>
        </is>
      </c>
      <c r="B549" s="1" t="n">
        <v>46090.56501157407</v>
      </c>
      <c r="C549" s="1" t="n">
        <v>46121</v>
      </c>
      <c r="D549" t="inlineStr">
        <is>
          <t>ÖSTERGÖTLANDS LÄN</t>
        </is>
      </c>
      <c r="E549" t="inlineStr">
        <is>
          <t>LINKÖPING</t>
        </is>
      </c>
      <c r="G549" t="n">
        <v>2.6</v>
      </c>
      <c r="H549" t="n">
        <v>0</v>
      </c>
      <c r="I549" t="n">
        <v>0</v>
      </c>
      <c r="J549" t="n">
        <v>0</v>
      </c>
      <c r="K549" t="n">
        <v>0</v>
      </c>
      <c r="L549" t="n">
        <v>0</v>
      </c>
      <c r="M549" t="n">
        <v>0</v>
      </c>
      <c r="N549" t="n">
        <v>0</v>
      </c>
      <c r="O549" t="n">
        <v>0</v>
      </c>
      <c r="P549" t="n">
        <v>0</v>
      </c>
      <c r="Q549" t="n">
        <v>0</v>
      </c>
      <c r="R549" s="2" t="inlineStr"/>
    </row>
    <row r="550" ht="15" customHeight="1">
      <c r="A550" t="inlineStr">
        <is>
          <t>A 57396-2021</t>
        </is>
      </c>
      <c r="B550" s="1" t="n">
        <v>44483.56151620371</v>
      </c>
      <c r="C550" s="1" t="n">
        <v>46121</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51571-2024</t>
        </is>
      </c>
      <c r="B551" s="1" t="n">
        <v>45604</v>
      </c>
      <c r="C551" s="1" t="n">
        <v>46121</v>
      </c>
      <c r="D551" t="inlineStr">
        <is>
          <t>ÖSTERGÖTLANDS LÄN</t>
        </is>
      </c>
      <c r="E551" t="inlineStr">
        <is>
          <t>LINKÖPING</t>
        </is>
      </c>
      <c r="F551" t="inlineStr">
        <is>
          <t>Övriga Aktiebolag</t>
        </is>
      </c>
      <c r="G551" t="n">
        <v>1.4</v>
      </c>
      <c r="H551" t="n">
        <v>0</v>
      </c>
      <c r="I551" t="n">
        <v>0</v>
      </c>
      <c r="J551" t="n">
        <v>0</v>
      </c>
      <c r="K551" t="n">
        <v>0</v>
      </c>
      <c r="L551" t="n">
        <v>0</v>
      </c>
      <c r="M551" t="n">
        <v>0</v>
      </c>
      <c r="N551" t="n">
        <v>0</v>
      </c>
      <c r="O551" t="n">
        <v>0</v>
      </c>
      <c r="P551" t="n">
        <v>0</v>
      </c>
      <c r="Q551" t="n">
        <v>0</v>
      </c>
      <c r="R551" s="2" t="inlineStr"/>
    </row>
    <row r="552" ht="15" customHeight="1">
      <c r="A552" t="inlineStr">
        <is>
          <t>A 17143-2025</t>
        </is>
      </c>
      <c r="B552" s="1" t="n">
        <v>45755.92731481481</v>
      </c>
      <c r="C552" s="1" t="n">
        <v>46121</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17124-2025</t>
        </is>
      </c>
      <c r="B553" s="1" t="n">
        <v>45755.69678240741</v>
      </c>
      <c r="C553" s="1" t="n">
        <v>46121</v>
      </c>
      <c r="D553" t="inlineStr">
        <is>
          <t>ÖSTERGÖTLANDS LÄN</t>
        </is>
      </c>
      <c r="E553" t="inlineStr">
        <is>
          <t>LINKÖPING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17126-2025</t>
        </is>
      </c>
      <c r="B554" s="1" t="n">
        <v>45755.70814814815</v>
      </c>
      <c r="C554" s="1" t="n">
        <v>46121</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5099-2026</t>
        </is>
      </c>
      <c r="B555" s="1" t="n">
        <v>46049.56158564815</v>
      </c>
      <c r="C555" s="1" t="n">
        <v>46121</v>
      </c>
      <c r="D555" t="inlineStr">
        <is>
          <t>ÖSTERGÖTLANDS LÄN</t>
        </is>
      </c>
      <c r="E555" t="inlineStr">
        <is>
          <t>LINKÖPING</t>
        </is>
      </c>
      <c r="G555" t="n">
        <v>5</v>
      </c>
      <c r="H555" t="n">
        <v>0</v>
      </c>
      <c r="I555" t="n">
        <v>0</v>
      </c>
      <c r="J555" t="n">
        <v>0</v>
      </c>
      <c r="K555" t="n">
        <v>0</v>
      </c>
      <c r="L555" t="n">
        <v>0</v>
      </c>
      <c r="M555" t="n">
        <v>0</v>
      </c>
      <c r="N555" t="n">
        <v>0</v>
      </c>
      <c r="O555" t="n">
        <v>0</v>
      </c>
      <c r="P555" t="n">
        <v>0</v>
      </c>
      <c r="Q555" t="n">
        <v>0</v>
      </c>
      <c r="R555" s="2" t="inlineStr"/>
    </row>
    <row r="556" ht="15" customHeight="1">
      <c r="A556" t="inlineStr">
        <is>
          <t>A 12482-2026</t>
        </is>
      </c>
      <c r="B556" s="1" t="n">
        <v>46090.56292824074</v>
      </c>
      <c r="C556" s="1" t="n">
        <v>46121</v>
      </c>
      <c r="D556" t="inlineStr">
        <is>
          <t>ÖSTERGÖTLANDS LÄN</t>
        </is>
      </c>
      <c r="E556" t="inlineStr">
        <is>
          <t>LINKÖPING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31640-2023</t>
        </is>
      </c>
      <c r="B557" s="1" t="n">
        <v>45117</v>
      </c>
      <c r="C557" s="1" t="n">
        <v>46121</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5545-2026</t>
        </is>
      </c>
      <c r="B558" s="1" t="n">
        <v>46050.70089120371</v>
      </c>
      <c r="C558" s="1" t="n">
        <v>46121</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11790-2024</t>
        </is>
      </c>
      <c r="B559" s="1" t="n">
        <v>45374</v>
      </c>
      <c r="C559" s="1" t="n">
        <v>46121</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61281-2021</t>
        </is>
      </c>
      <c r="B560" s="1" t="n">
        <v>44498.60736111111</v>
      </c>
      <c r="C560" s="1" t="n">
        <v>46121</v>
      </c>
      <c r="D560" t="inlineStr">
        <is>
          <t>ÖSTERGÖTLANDS LÄN</t>
        </is>
      </c>
      <c r="E560" t="inlineStr">
        <is>
          <t>LINKÖPING</t>
        </is>
      </c>
      <c r="G560" t="n">
        <v>4.5</v>
      </c>
      <c r="H560" t="n">
        <v>0</v>
      </c>
      <c r="I560" t="n">
        <v>0</v>
      </c>
      <c r="J560" t="n">
        <v>0</v>
      </c>
      <c r="K560" t="n">
        <v>0</v>
      </c>
      <c r="L560" t="n">
        <v>0</v>
      </c>
      <c r="M560" t="n">
        <v>0</v>
      </c>
      <c r="N560" t="n">
        <v>0</v>
      </c>
      <c r="O560" t="n">
        <v>0</v>
      </c>
      <c r="P560" t="n">
        <v>0</v>
      </c>
      <c r="Q560" t="n">
        <v>0</v>
      </c>
      <c r="R560" s="2" t="inlineStr"/>
    </row>
    <row r="561" ht="15" customHeight="1">
      <c r="A561" t="inlineStr">
        <is>
          <t>A 6206-2024</t>
        </is>
      </c>
      <c r="B561" s="1" t="n">
        <v>45337.5977662037</v>
      </c>
      <c r="C561" s="1" t="n">
        <v>46121</v>
      </c>
      <c r="D561" t="inlineStr">
        <is>
          <t>ÖSTERGÖTLANDS LÄN</t>
        </is>
      </c>
      <c r="E561" t="inlineStr">
        <is>
          <t>LINKÖPING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168-2024</t>
        </is>
      </c>
      <c r="B562" s="1" t="n">
        <v>45294</v>
      </c>
      <c r="C562" s="1" t="n">
        <v>46121</v>
      </c>
      <c r="D562" t="inlineStr">
        <is>
          <t>ÖSTERGÖTLANDS LÄN</t>
        </is>
      </c>
      <c r="E562" t="inlineStr">
        <is>
          <t>LINKÖPING</t>
        </is>
      </c>
      <c r="F562" t="inlineStr">
        <is>
          <t>Allmännings- och besparingsskogar</t>
        </is>
      </c>
      <c r="G562" t="n">
        <v>8.9</v>
      </c>
      <c r="H562" t="n">
        <v>0</v>
      </c>
      <c r="I562" t="n">
        <v>0</v>
      </c>
      <c r="J562" t="n">
        <v>0</v>
      </c>
      <c r="K562" t="n">
        <v>0</v>
      </c>
      <c r="L562" t="n">
        <v>0</v>
      </c>
      <c r="M562" t="n">
        <v>0</v>
      </c>
      <c r="N562" t="n">
        <v>0</v>
      </c>
      <c r="O562" t="n">
        <v>0</v>
      </c>
      <c r="P562" t="n">
        <v>0</v>
      </c>
      <c r="Q562" t="n">
        <v>0</v>
      </c>
      <c r="R562" s="2" t="inlineStr"/>
    </row>
    <row r="563" ht="15" customHeight="1">
      <c r="A563" t="inlineStr">
        <is>
          <t>A 51919-2024</t>
        </is>
      </c>
      <c r="B563" s="1" t="n">
        <v>45607.60791666667</v>
      </c>
      <c r="C563" s="1" t="n">
        <v>46121</v>
      </c>
      <c r="D563" t="inlineStr">
        <is>
          <t>ÖSTERGÖTLANDS LÄN</t>
        </is>
      </c>
      <c r="E563" t="inlineStr">
        <is>
          <t>LINKÖPING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56623-2024</t>
        </is>
      </c>
      <c r="B564" s="1" t="n">
        <v>45625</v>
      </c>
      <c r="C564" s="1" t="n">
        <v>46121</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11330-2023</t>
        </is>
      </c>
      <c r="B565" s="1" t="n">
        <v>44993.24648148148</v>
      </c>
      <c r="C565" s="1" t="n">
        <v>46121</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63304-2021</t>
        </is>
      </c>
      <c r="B566" s="1" t="n">
        <v>44508.4396412037</v>
      </c>
      <c r="C566" s="1" t="n">
        <v>46121</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14528-2025</t>
        </is>
      </c>
      <c r="B567" s="1" t="n">
        <v>45741</v>
      </c>
      <c r="C567" s="1" t="n">
        <v>46121</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3530-2024</t>
        </is>
      </c>
      <c r="B568" s="1" t="n">
        <v>45320.54717592592</v>
      </c>
      <c r="C568" s="1" t="n">
        <v>46121</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62073-2023</t>
        </is>
      </c>
      <c r="B569" s="1" t="n">
        <v>45266.73844907407</v>
      </c>
      <c r="C569" s="1" t="n">
        <v>46121</v>
      </c>
      <c r="D569" t="inlineStr">
        <is>
          <t>ÖSTERGÖTLANDS LÄN</t>
        </is>
      </c>
      <c r="E569" t="inlineStr">
        <is>
          <t>LINKÖPING</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5872-2025</t>
        </is>
      </c>
      <c r="B570" s="1" t="n">
        <v>45695.36659722222</v>
      </c>
      <c r="C570" s="1" t="n">
        <v>46121</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53814-2023</t>
        </is>
      </c>
      <c r="B571" s="1" t="n">
        <v>45231</v>
      </c>
      <c r="C571" s="1" t="n">
        <v>46121</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3432-2023</t>
        </is>
      </c>
      <c r="B572" s="1" t="n">
        <v>44949</v>
      </c>
      <c r="C572" s="1" t="n">
        <v>46121</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54425-2022</t>
        </is>
      </c>
      <c r="B573" s="1" t="n">
        <v>44882.57453703704</v>
      </c>
      <c r="C573" s="1" t="n">
        <v>46121</v>
      </c>
      <c r="D573" t="inlineStr">
        <is>
          <t>ÖSTERGÖTLANDS LÄN</t>
        </is>
      </c>
      <c r="E573" t="inlineStr">
        <is>
          <t>LINKÖPING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54428-2022</t>
        </is>
      </c>
      <c r="B574" s="1" t="n">
        <v>44882.57643518518</v>
      </c>
      <c r="C574" s="1" t="n">
        <v>46121</v>
      </c>
      <c r="D574" t="inlineStr">
        <is>
          <t>ÖSTERGÖTLANDS LÄN</t>
        </is>
      </c>
      <c r="E574" t="inlineStr">
        <is>
          <t>LINKÖPING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13565-2026</t>
        </is>
      </c>
      <c r="B575" s="1" t="n">
        <v>46094.80006944444</v>
      </c>
      <c r="C575" s="1" t="n">
        <v>46121</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6384-2026</t>
        </is>
      </c>
      <c r="B576" s="1" t="n">
        <v>46055.63732638889</v>
      </c>
      <c r="C576" s="1" t="n">
        <v>46121</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6164-2026</t>
        </is>
      </c>
      <c r="B577" s="1" t="n">
        <v>46055.32596064815</v>
      </c>
      <c r="C577" s="1" t="n">
        <v>46121</v>
      </c>
      <c r="D577" t="inlineStr">
        <is>
          <t>ÖSTERGÖTLANDS LÄN</t>
        </is>
      </c>
      <c r="E577" t="inlineStr">
        <is>
          <t>LINKÖPING</t>
        </is>
      </c>
      <c r="G577" t="n">
        <v>0.4</v>
      </c>
      <c r="H577" t="n">
        <v>0</v>
      </c>
      <c r="I577" t="n">
        <v>0</v>
      </c>
      <c r="J577" t="n">
        <v>0</v>
      </c>
      <c r="K577" t="n">
        <v>0</v>
      </c>
      <c r="L577" t="n">
        <v>0</v>
      </c>
      <c r="M577" t="n">
        <v>0</v>
      </c>
      <c r="N577" t="n">
        <v>0</v>
      </c>
      <c r="O577" t="n">
        <v>0</v>
      </c>
      <c r="P577" t="n">
        <v>0</v>
      </c>
      <c r="Q577" t="n">
        <v>0</v>
      </c>
      <c r="R577" s="2" t="inlineStr"/>
    </row>
    <row r="578" ht="15" customHeight="1">
      <c r="A578" t="inlineStr">
        <is>
          <t>A 660-2023</t>
        </is>
      </c>
      <c r="B578" s="1" t="n">
        <v>44930</v>
      </c>
      <c r="C578" s="1" t="n">
        <v>46121</v>
      </c>
      <c r="D578" t="inlineStr">
        <is>
          <t>ÖSTERGÖTLANDS LÄN</t>
        </is>
      </c>
      <c r="E578" t="inlineStr">
        <is>
          <t>LINKÖPING</t>
        </is>
      </c>
      <c r="F578" t="inlineStr">
        <is>
          <t>Kyrkan</t>
        </is>
      </c>
      <c r="G578" t="n">
        <v>1.6</v>
      </c>
      <c r="H578" t="n">
        <v>0</v>
      </c>
      <c r="I578" t="n">
        <v>0</v>
      </c>
      <c r="J578" t="n">
        <v>0</v>
      </c>
      <c r="K578" t="n">
        <v>0</v>
      </c>
      <c r="L578" t="n">
        <v>0</v>
      </c>
      <c r="M578" t="n">
        <v>0</v>
      </c>
      <c r="N578" t="n">
        <v>0</v>
      </c>
      <c r="O578" t="n">
        <v>0</v>
      </c>
      <c r="P578" t="n">
        <v>0</v>
      </c>
      <c r="Q578" t="n">
        <v>0</v>
      </c>
      <c r="R578" s="2" t="inlineStr"/>
    </row>
    <row r="579" ht="15" customHeight="1">
      <c r="A579" t="inlineStr">
        <is>
          <t>A 62501-2023</t>
        </is>
      </c>
      <c r="B579" s="1" t="n">
        <v>45268</v>
      </c>
      <c r="C579" s="1" t="n">
        <v>46121</v>
      </c>
      <c r="D579" t="inlineStr">
        <is>
          <t>ÖSTERGÖTLANDS LÄN</t>
        </is>
      </c>
      <c r="E579" t="inlineStr">
        <is>
          <t>LINKÖPING</t>
        </is>
      </c>
      <c r="G579" t="n">
        <v>7.4</v>
      </c>
      <c r="H579" t="n">
        <v>0</v>
      </c>
      <c r="I579" t="n">
        <v>0</v>
      </c>
      <c r="J579" t="n">
        <v>0</v>
      </c>
      <c r="K579" t="n">
        <v>0</v>
      </c>
      <c r="L579" t="n">
        <v>0</v>
      </c>
      <c r="M579" t="n">
        <v>0</v>
      </c>
      <c r="N579" t="n">
        <v>0</v>
      </c>
      <c r="O579" t="n">
        <v>0</v>
      </c>
      <c r="P579" t="n">
        <v>0</v>
      </c>
      <c r="Q579" t="n">
        <v>0</v>
      </c>
      <c r="R579" s="2" t="inlineStr"/>
    </row>
    <row r="580" ht="15" customHeight="1">
      <c r="A580" t="inlineStr">
        <is>
          <t>A 13413-2023</t>
        </is>
      </c>
      <c r="B580" s="1" t="n">
        <v>45005.58341435185</v>
      </c>
      <c r="C580" s="1" t="n">
        <v>46121</v>
      </c>
      <c r="D580" t="inlineStr">
        <is>
          <t>ÖSTERGÖTLANDS LÄN</t>
        </is>
      </c>
      <c r="E580" t="inlineStr">
        <is>
          <t>LINKÖPING</t>
        </is>
      </c>
      <c r="G580" t="n">
        <v>2.4</v>
      </c>
      <c r="H580" t="n">
        <v>0</v>
      </c>
      <c r="I580" t="n">
        <v>0</v>
      </c>
      <c r="J580" t="n">
        <v>0</v>
      </c>
      <c r="K580" t="n">
        <v>0</v>
      </c>
      <c r="L580" t="n">
        <v>0</v>
      </c>
      <c r="M580" t="n">
        <v>0</v>
      </c>
      <c r="N580" t="n">
        <v>0</v>
      </c>
      <c r="O580" t="n">
        <v>0</v>
      </c>
      <c r="P580" t="n">
        <v>0</v>
      </c>
      <c r="Q580" t="n">
        <v>0</v>
      </c>
      <c r="R580" s="2" t="inlineStr"/>
    </row>
    <row r="581" ht="15" customHeight="1">
      <c r="A581" t="inlineStr">
        <is>
          <t>A 26620-2023</t>
        </is>
      </c>
      <c r="B581" s="1" t="n">
        <v>45092.70390046296</v>
      </c>
      <c r="C581" s="1" t="n">
        <v>46121</v>
      </c>
      <c r="D581" t="inlineStr">
        <is>
          <t>ÖSTERGÖTLANDS LÄN</t>
        </is>
      </c>
      <c r="E581" t="inlineStr">
        <is>
          <t>LINKÖPING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13927-2026</t>
        </is>
      </c>
      <c r="B582" s="1" t="n">
        <v>46098</v>
      </c>
      <c r="C582" s="1" t="n">
        <v>46121</v>
      </c>
      <c r="D582" t="inlineStr">
        <is>
          <t>ÖSTERGÖTLANDS LÄN</t>
        </is>
      </c>
      <c r="E582" t="inlineStr">
        <is>
          <t>LINKÖPING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14157-2026</t>
        </is>
      </c>
      <c r="B583" s="1" t="n">
        <v>46099.46829861111</v>
      </c>
      <c r="C583" s="1" t="n">
        <v>46121</v>
      </c>
      <c r="D583" t="inlineStr">
        <is>
          <t>ÖSTERGÖTLANDS LÄN</t>
        </is>
      </c>
      <c r="E583" t="inlineStr">
        <is>
          <t>LINKÖPING</t>
        </is>
      </c>
      <c r="F583" t="inlineStr">
        <is>
          <t>Allmännings- och besparingsskogar</t>
        </is>
      </c>
      <c r="G583" t="n">
        <v>1.6</v>
      </c>
      <c r="H583" t="n">
        <v>0</v>
      </c>
      <c r="I583" t="n">
        <v>0</v>
      </c>
      <c r="J583" t="n">
        <v>0</v>
      </c>
      <c r="K583" t="n">
        <v>0</v>
      </c>
      <c r="L583" t="n">
        <v>0</v>
      </c>
      <c r="M583" t="n">
        <v>0</v>
      </c>
      <c r="N583" t="n">
        <v>0</v>
      </c>
      <c r="O583" t="n">
        <v>0</v>
      </c>
      <c r="P583" t="n">
        <v>0</v>
      </c>
      <c r="Q583" t="n">
        <v>0</v>
      </c>
      <c r="R583" s="2" t="inlineStr"/>
    </row>
    <row r="584" ht="15" customHeight="1">
      <c r="A584" t="inlineStr">
        <is>
          <t>A 7133-2026</t>
        </is>
      </c>
      <c r="B584" s="1" t="n">
        <v>46057</v>
      </c>
      <c r="C584" s="1" t="n">
        <v>46121</v>
      </c>
      <c r="D584" t="inlineStr">
        <is>
          <t>ÖSTERGÖTLANDS LÄN</t>
        </is>
      </c>
      <c r="E584" t="inlineStr">
        <is>
          <t>LINKÖPING</t>
        </is>
      </c>
      <c r="G584" t="n">
        <v>2.4</v>
      </c>
      <c r="H584" t="n">
        <v>0</v>
      </c>
      <c r="I584" t="n">
        <v>0</v>
      </c>
      <c r="J584" t="n">
        <v>0</v>
      </c>
      <c r="K584" t="n">
        <v>0</v>
      </c>
      <c r="L584" t="n">
        <v>0</v>
      </c>
      <c r="M584" t="n">
        <v>0</v>
      </c>
      <c r="N584" t="n">
        <v>0</v>
      </c>
      <c r="O584" t="n">
        <v>0</v>
      </c>
      <c r="P584" t="n">
        <v>0</v>
      </c>
      <c r="Q584" t="n">
        <v>0</v>
      </c>
      <c r="R584" s="2" t="inlineStr"/>
    </row>
    <row r="585" ht="15" customHeight="1">
      <c r="A585" t="inlineStr">
        <is>
          <t>A 63554-2023</t>
        </is>
      </c>
      <c r="B585" s="1" t="n">
        <v>45275</v>
      </c>
      <c r="C585" s="1" t="n">
        <v>46121</v>
      </c>
      <c r="D585" t="inlineStr">
        <is>
          <t>ÖSTERGÖTLANDS LÄN</t>
        </is>
      </c>
      <c r="E585" t="inlineStr">
        <is>
          <t>LINKÖPING</t>
        </is>
      </c>
      <c r="G585" t="n">
        <v>4.3</v>
      </c>
      <c r="H585" t="n">
        <v>0</v>
      </c>
      <c r="I585" t="n">
        <v>0</v>
      </c>
      <c r="J585" t="n">
        <v>0</v>
      </c>
      <c r="K585" t="n">
        <v>0</v>
      </c>
      <c r="L585" t="n">
        <v>0</v>
      </c>
      <c r="M585" t="n">
        <v>0</v>
      </c>
      <c r="N585" t="n">
        <v>0</v>
      </c>
      <c r="O585" t="n">
        <v>0</v>
      </c>
      <c r="P585" t="n">
        <v>0</v>
      </c>
      <c r="Q585" t="n">
        <v>0</v>
      </c>
      <c r="R585" s="2" t="inlineStr"/>
    </row>
    <row r="586" ht="15" customHeight="1">
      <c r="A586" t="inlineStr">
        <is>
          <t>A 63638-2023</t>
        </is>
      </c>
      <c r="B586" s="1" t="n">
        <v>45275</v>
      </c>
      <c r="C586" s="1" t="n">
        <v>46121</v>
      </c>
      <c r="D586" t="inlineStr">
        <is>
          <t>ÖSTERGÖTLANDS LÄN</t>
        </is>
      </c>
      <c r="E586" t="inlineStr">
        <is>
          <t>LINKÖPING</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63658-2023</t>
        </is>
      </c>
      <c r="B587" s="1" t="n">
        <v>45275</v>
      </c>
      <c r="C587" s="1" t="n">
        <v>46121</v>
      </c>
      <c r="D587" t="inlineStr">
        <is>
          <t>ÖSTERGÖTLANDS LÄN</t>
        </is>
      </c>
      <c r="E587" t="inlineStr">
        <is>
          <t>LINKÖPING</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16820-2024</t>
        </is>
      </c>
      <c r="B588" s="1" t="n">
        <v>45411.46809027778</v>
      </c>
      <c r="C588" s="1" t="n">
        <v>46121</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4456-2024</t>
        </is>
      </c>
      <c r="B589" s="1" t="n">
        <v>45327.52847222222</v>
      </c>
      <c r="C589" s="1" t="n">
        <v>46121</v>
      </c>
      <c r="D589" t="inlineStr">
        <is>
          <t>ÖSTERGÖTLANDS LÄN</t>
        </is>
      </c>
      <c r="E589" t="inlineStr">
        <is>
          <t>LINKÖPING</t>
        </is>
      </c>
      <c r="G589" t="n">
        <v>2.7</v>
      </c>
      <c r="H589" t="n">
        <v>0</v>
      </c>
      <c r="I589" t="n">
        <v>0</v>
      </c>
      <c r="J589" t="n">
        <v>0</v>
      </c>
      <c r="K589" t="n">
        <v>0</v>
      </c>
      <c r="L589" t="n">
        <v>0</v>
      </c>
      <c r="M589" t="n">
        <v>0</v>
      </c>
      <c r="N589" t="n">
        <v>0</v>
      </c>
      <c r="O589" t="n">
        <v>0</v>
      </c>
      <c r="P589" t="n">
        <v>0</v>
      </c>
      <c r="Q589" t="n">
        <v>0</v>
      </c>
      <c r="R589" s="2" t="inlineStr"/>
    </row>
    <row r="590" ht="15" customHeight="1">
      <c r="A590" t="inlineStr">
        <is>
          <t>A 20298-2025</t>
        </is>
      </c>
      <c r="B590" s="1" t="n">
        <v>45774.75024305555</v>
      </c>
      <c r="C590" s="1" t="n">
        <v>46121</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15121-2022</t>
        </is>
      </c>
      <c r="B591" s="1" t="n">
        <v>44658</v>
      </c>
      <c r="C591" s="1" t="n">
        <v>46121</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50743-2023</t>
        </is>
      </c>
      <c r="B592" s="1" t="n">
        <v>45217</v>
      </c>
      <c r="C592" s="1" t="n">
        <v>46121</v>
      </c>
      <c r="D592" t="inlineStr">
        <is>
          <t>ÖSTERGÖTLANDS LÄN</t>
        </is>
      </c>
      <c r="E592" t="inlineStr">
        <is>
          <t>LINKÖPING</t>
        </is>
      </c>
      <c r="G592" t="n">
        <v>2.7</v>
      </c>
      <c r="H592" t="n">
        <v>0</v>
      </c>
      <c r="I592" t="n">
        <v>0</v>
      </c>
      <c r="J592" t="n">
        <v>0</v>
      </c>
      <c r="K592" t="n">
        <v>0</v>
      </c>
      <c r="L592" t="n">
        <v>0</v>
      </c>
      <c r="M592" t="n">
        <v>0</v>
      </c>
      <c r="N592" t="n">
        <v>0</v>
      </c>
      <c r="O592" t="n">
        <v>0</v>
      </c>
      <c r="P592" t="n">
        <v>0</v>
      </c>
      <c r="Q592" t="n">
        <v>0</v>
      </c>
      <c r="R592" s="2" t="inlineStr"/>
    </row>
    <row r="593" ht="15" customHeight="1">
      <c r="A593" t="inlineStr">
        <is>
          <t>A 13687-2025</t>
        </is>
      </c>
      <c r="B593" s="1" t="n">
        <v>45737.31425925926</v>
      </c>
      <c r="C593" s="1" t="n">
        <v>46121</v>
      </c>
      <c r="D593" t="inlineStr">
        <is>
          <t>ÖSTERGÖTLANDS LÄN</t>
        </is>
      </c>
      <c r="E593" t="inlineStr">
        <is>
          <t>LINKÖPING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13695-2025</t>
        </is>
      </c>
      <c r="B594" s="1" t="n">
        <v>45737.32219907407</v>
      </c>
      <c r="C594" s="1" t="n">
        <v>46121</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20294-2025</t>
        </is>
      </c>
      <c r="B595" s="1" t="n">
        <v>45774.74667824074</v>
      </c>
      <c r="C595" s="1" t="n">
        <v>46121</v>
      </c>
      <c r="D595" t="inlineStr">
        <is>
          <t>ÖSTERGÖTLANDS LÄN</t>
        </is>
      </c>
      <c r="E595" t="inlineStr">
        <is>
          <t>LINKÖPING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17128-2025</t>
        </is>
      </c>
      <c r="B596" s="1" t="n">
        <v>45755.72622685185</v>
      </c>
      <c r="C596" s="1" t="n">
        <v>46121</v>
      </c>
      <c r="D596" t="inlineStr">
        <is>
          <t>ÖSTERGÖTLANDS LÄN</t>
        </is>
      </c>
      <c r="E596" t="inlineStr">
        <is>
          <t>LINKÖPING</t>
        </is>
      </c>
      <c r="G596" t="n">
        <v>2.9</v>
      </c>
      <c r="H596" t="n">
        <v>0</v>
      </c>
      <c r="I596" t="n">
        <v>0</v>
      </c>
      <c r="J596" t="n">
        <v>0</v>
      </c>
      <c r="K596" t="n">
        <v>0</v>
      </c>
      <c r="L596" t="n">
        <v>0</v>
      </c>
      <c r="M596" t="n">
        <v>0</v>
      </c>
      <c r="N596" t="n">
        <v>0</v>
      </c>
      <c r="O596" t="n">
        <v>0</v>
      </c>
      <c r="P596" t="n">
        <v>0</v>
      </c>
      <c r="Q596" t="n">
        <v>0</v>
      </c>
      <c r="R596" s="2" t="inlineStr"/>
    </row>
    <row r="597" ht="15" customHeight="1">
      <c r="A597" t="inlineStr">
        <is>
          <t>A 52125-2022</t>
        </is>
      </c>
      <c r="B597" s="1" t="n">
        <v>44873</v>
      </c>
      <c r="C597" s="1" t="n">
        <v>46121</v>
      </c>
      <c r="D597" t="inlineStr">
        <is>
          <t>ÖSTERGÖTLANDS LÄN</t>
        </is>
      </c>
      <c r="E597" t="inlineStr">
        <is>
          <t>LINKÖPING</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27343-2023</t>
        </is>
      </c>
      <c r="B598" s="1" t="n">
        <v>45096</v>
      </c>
      <c r="C598" s="1" t="n">
        <v>46121</v>
      </c>
      <c r="D598" t="inlineStr">
        <is>
          <t>ÖSTERGÖTLANDS LÄN</t>
        </is>
      </c>
      <c r="E598" t="inlineStr">
        <is>
          <t>LINKÖPING</t>
        </is>
      </c>
      <c r="F598" t="inlineStr">
        <is>
          <t>Allmännings- och besparingsskogar</t>
        </is>
      </c>
      <c r="G598" t="n">
        <v>6.9</v>
      </c>
      <c r="H598" t="n">
        <v>0</v>
      </c>
      <c r="I598" t="n">
        <v>0</v>
      </c>
      <c r="J598" t="n">
        <v>0</v>
      </c>
      <c r="K598" t="n">
        <v>0</v>
      </c>
      <c r="L598" t="n">
        <v>0</v>
      </c>
      <c r="M598" t="n">
        <v>0</v>
      </c>
      <c r="N598" t="n">
        <v>0</v>
      </c>
      <c r="O598" t="n">
        <v>0</v>
      </c>
      <c r="P598" t="n">
        <v>0</v>
      </c>
      <c r="Q598" t="n">
        <v>0</v>
      </c>
      <c r="R598" s="2" t="inlineStr"/>
    </row>
    <row r="599" ht="15" customHeight="1">
      <c r="A599" t="inlineStr">
        <is>
          <t>A 22842-2023</t>
        </is>
      </c>
      <c r="B599" s="1" t="n">
        <v>45071</v>
      </c>
      <c r="C599" s="1" t="n">
        <v>46121</v>
      </c>
      <c r="D599" t="inlineStr">
        <is>
          <t>ÖSTERGÖTLANDS LÄN</t>
        </is>
      </c>
      <c r="E599" t="inlineStr">
        <is>
          <t>LINKÖPING</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14520-2025</t>
        </is>
      </c>
      <c r="B600" s="1" t="n">
        <v>45741</v>
      </c>
      <c r="C600" s="1" t="n">
        <v>46121</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31548-2022</t>
        </is>
      </c>
      <c r="B601" s="1" t="n">
        <v>44775.39832175926</v>
      </c>
      <c r="C601" s="1" t="n">
        <v>46121</v>
      </c>
      <c r="D601" t="inlineStr">
        <is>
          <t>ÖSTERGÖTLANDS LÄN</t>
        </is>
      </c>
      <c r="E601" t="inlineStr">
        <is>
          <t>LINKÖPING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62017-2024</t>
        </is>
      </c>
      <c r="B602" s="1" t="n">
        <v>45655.81140046296</v>
      </c>
      <c r="C602" s="1" t="n">
        <v>46121</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15850-2026</t>
        </is>
      </c>
      <c r="B603" s="1" t="n">
        <v>46107.57224537037</v>
      </c>
      <c r="C603" s="1" t="n">
        <v>46121</v>
      </c>
      <c r="D603" t="inlineStr">
        <is>
          <t>ÖSTERGÖTLANDS LÄN</t>
        </is>
      </c>
      <c r="E603" t="inlineStr">
        <is>
          <t>LINKÖPING</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17785-2023</t>
        </is>
      </c>
      <c r="B604" s="1" t="n">
        <v>45037.55094907407</v>
      </c>
      <c r="C604" s="1" t="n">
        <v>46121</v>
      </c>
      <c r="D604" t="inlineStr">
        <is>
          <t>ÖSTERGÖTLANDS LÄN</t>
        </is>
      </c>
      <c r="E604" t="inlineStr">
        <is>
          <t>LINKÖPING</t>
        </is>
      </c>
      <c r="F604" t="inlineStr">
        <is>
          <t>Allmännings- och besparingsskogar</t>
        </is>
      </c>
      <c r="G604" t="n">
        <v>3.1</v>
      </c>
      <c r="H604" t="n">
        <v>0</v>
      </c>
      <c r="I604" t="n">
        <v>0</v>
      </c>
      <c r="J604" t="n">
        <v>0</v>
      </c>
      <c r="K604" t="n">
        <v>0</v>
      </c>
      <c r="L604" t="n">
        <v>0</v>
      </c>
      <c r="M604" t="n">
        <v>0</v>
      </c>
      <c r="N604" t="n">
        <v>0</v>
      </c>
      <c r="O604" t="n">
        <v>0</v>
      </c>
      <c r="P604" t="n">
        <v>0</v>
      </c>
      <c r="Q604" t="n">
        <v>0</v>
      </c>
      <c r="R604" s="2" t="inlineStr"/>
    </row>
    <row r="605" ht="15" customHeight="1">
      <c r="A605" t="inlineStr">
        <is>
          <t>A 62686-2023</t>
        </is>
      </c>
      <c r="B605" s="1" t="n">
        <v>45271</v>
      </c>
      <c r="C605" s="1" t="n">
        <v>46121</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42044-2023</t>
        </is>
      </c>
      <c r="B606" s="1" t="n">
        <v>45177</v>
      </c>
      <c r="C606" s="1" t="n">
        <v>46121</v>
      </c>
      <c r="D606" t="inlineStr">
        <is>
          <t>ÖSTERGÖTLANDS LÄN</t>
        </is>
      </c>
      <c r="E606" t="inlineStr">
        <is>
          <t>LINKÖPING</t>
        </is>
      </c>
      <c r="G606" t="n">
        <v>3.9</v>
      </c>
      <c r="H606" t="n">
        <v>0</v>
      </c>
      <c r="I606" t="n">
        <v>0</v>
      </c>
      <c r="J606" t="n">
        <v>0</v>
      </c>
      <c r="K606" t="n">
        <v>0</v>
      </c>
      <c r="L606" t="n">
        <v>0</v>
      </c>
      <c r="M606" t="n">
        <v>0</v>
      </c>
      <c r="N606" t="n">
        <v>0</v>
      </c>
      <c r="O606" t="n">
        <v>0</v>
      </c>
      <c r="P606" t="n">
        <v>0</v>
      </c>
      <c r="Q606" t="n">
        <v>0</v>
      </c>
      <c r="R606" s="2" t="inlineStr"/>
    </row>
    <row r="607" ht="15" customHeight="1">
      <c r="A607" t="inlineStr">
        <is>
          <t>A 49656-2021</t>
        </is>
      </c>
      <c r="B607" s="1" t="n">
        <v>44454</v>
      </c>
      <c r="C607" s="1" t="n">
        <v>46121</v>
      </c>
      <c r="D607" t="inlineStr">
        <is>
          <t>ÖSTERGÖTLANDS LÄN</t>
        </is>
      </c>
      <c r="E607" t="inlineStr">
        <is>
          <t>LINKÖPING</t>
        </is>
      </c>
      <c r="G607" t="n">
        <v>2.3</v>
      </c>
      <c r="H607" t="n">
        <v>0</v>
      </c>
      <c r="I607" t="n">
        <v>0</v>
      </c>
      <c r="J607" t="n">
        <v>0</v>
      </c>
      <c r="K607" t="n">
        <v>0</v>
      </c>
      <c r="L607" t="n">
        <v>0</v>
      </c>
      <c r="M607" t="n">
        <v>0</v>
      </c>
      <c r="N607" t="n">
        <v>0</v>
      </c>
      <c r="O607" t="n">
        <v>0</v>
      </c>
      <c r="P607" t="n">
        <v>0</v>
      </c>
      <c r="Q607" t="n">
        <v>0</v>
      </c>
      <c r="R607" s="2" t="inlineStr"/>
    </row>
    <row r="608" ht="15" customHeight="1">
      <c r="A608" t="inlineStr">
        <is>
          <t>A 38230-2023</t>
        </is>
      </c>
      <c r="B608" s="1" t="n">
        <v>45161.55373842592</v>
      </c>
      <c r="C608" s="1" t="n">
        <v>46121</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45442-2024</t>
        </is>
      </c>
      <c r="B609" s="1" t="n">
        <v>45576.64189814815</v>
      </c>
      <c r="C609" s="1" t="n">
        <v>46121</v>
      </c>
      <c r="D609" t="inlineStr">
        <is>
          <t>ÖSTERGÖTLANDS LÄN</t>
        </is>
      </c>
      <c r="E609" t="inlineStr">
        <is>
          <t>LINKÖPING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46121</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1265-2023</t>
        </is>
      </c>
      <c r="B611" s="1" t="n">
        <v>44936</v>
      </c>
      <c r="C611" s="1" t="n">
        <v>46121</v>
      </c>
      <c r="D611" t="inlineStr">
        <is>
          <t>ÖSTERGÖTLANDS LÄN</t>
        </is>
      </c>
      <c r="E611" t="inlineStr">
        <is>
          <t>LINKÖPING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12411-2022</t>
        </is>
      </c>
      <c r="B612" s="1" t="n">
        <v>44638.21601851852</v>
      </c>
      <c r="C612" s="1" t="n">
        <v>46121</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23491-2024</t>
        </is>
      </c>
      <c r="B613" s="1" t="n">
        <v>45453</v>
      </c>
      <c r="C613" s="1" t="n">
        <v>46121</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70-2024</t>
        </is>
      </c>
      <c r="B614" s="1" t="n">
        <v>45293</v>
      </c>
      <c r="C614" s="1" t="n">
        <v>46121</v>
      </c>
      <c r="D614" t="inlineStr">
        <is>
          <t>ÖSTERGÖTLANDS LÄN</t>
        </is>
      </c>
      <c r="E614" t="inlineStr">
        <is>
          <t>LINKÖPING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6054-2022</t>
        </is>
      </c>
      <c r="B615" s="1" t="n">
        <v>44599.53623842593</v>
      </c>
      <c r="C615" s="1" t="n">
        <v>46121</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31725-2022</t>
        </is>
      </c>
      <c r="B616" s="1" t="n">
        <v>44776.48541666667</v>
      </c>
      <c r="C616" s="1" t="n">
        <v>46121</v>
      </c>
      <c r="D616" t="inlineStr">
        <is>
          <t>ÖSTERGÖTLANDS LÄN</t>
        </is>
      </c>
      <c r="E616" t="inlineStr">
        <is>
          <t>LINKÖPING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57391-2023</t>
        </is>
      </c>
      <c r="B617" s="1" t="n">
        <v>45245</v>
      </c>
      <c r="C617" s="1" t="n">
        <v>46121</v>
      </c>
      <c r="D617" t="inlineStr">
        <is>
          <t>ÖSTERGÖTLANDS LÄN</t>
        </is>
      </c>
      <c r="E617" t="inlineStr">
        <is>
          <t>LINKÖPING</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7992-2023</t>
        </is>
      </c>
      <c r="B618" s="1" t="n">
        <v>44970</v>
      </c>
      <c r="C618" s="1" t="n">
        <v>46121</v>
      </c>
      <c r="D618" t="inlineStr">
        <is>
          <t>ÖSTERGÖTLANDS LÄN</t>
        </is>
      </c>
      <c r="E618" t="inlineStr">
        <is>
          <t>LINKÖPING</t>
        </is>
      </c>
      <c r="F618" t="inlineStr">
        <is>
          <t>Kommuner</t>
        </is>
      </c>
      <c r="G618" t="n">
        <v>1</v>
      </c>
      <c r="H618" t="n">
        <v>0</v>
      </c>
      <c r="I618" t="n">
        <v>0</v>
      </c>
      <c r="J618" t="n">
        <v>0</v>
      </c>
      <c r="K618" t="n">
        <v>0</v>
      </c>
      <c r="L618" t="n">
        <v>0</v>
      </c>
      <c r="M618" t="n">
        <v>0</v>
      </c>
      <c r="N618" t="n">
        <v>0</v>
      </c>
      <c r="O618" t="n">
        <v>0</v>
      </c>
      <c r="P618" t="n">
        <v>0</v>
      </c>
      <c r="Q618" t="n">
        <v>0</v>
      </c>
      <c r="R618" s="2" t="inlineStr"/>
    </row>
    <row r="619" ht="15" customHeight="1">
      <c r="A619" t="inlineStr">
        <is>
          <t>A 16967-2026</t>
        </is>
      </c>
      <c r="B619" s="1" t="n">
        <v>46114.36207175926</v>
      </c>
      <c r="C619" s="1" t="n">
        <v>46121</v>
      </c>
      <c r="D619" t="inlineStr">
        <is>
          <t>ÖSTERGÖTLANDS LÄN</t>
        </is>
      </c>
      <c r="E619" t="inlineStr">
        <is>
          <t>LINKÖPING</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13689-2025</t>
        </is>
      </c>
      <c r="B620" s="1" t="n">
        <v>45737.31590277778</v>
      </c>
      <c r="C620" s="1" t="n">
        <v>46121</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13696-2025</t>
        </is>
      </c>
      <c r="B621" s="1" t="n">
        <v>45737.32273148148</v>
      </c>
      <c r="C621" s="1" t="n">
        <v>46121</v>
      </c>
      <c r="D621" t="inlineStr">
        <is>
          <t>ÖSTERGÖTLANDS LÄN</t>
        </is>
      </c>
      <c r="E621" t="inlineStr">
        <is>
          <t>LINKÖPING</t>
        </is>
      </c>
      <c r="G621" t="n">
        <v>3.5</v>
      </c>
      <c r="H621" t="n">
        <v>0</v>
      </c>
      <c r="I621" t="n">
        <v>0</v>
      </c>
      <c r="J621" t="n">
        <v>0</v>
      </c>
      <c r="K621" t="n">
        <v>0</v>
      </c>
      <c r="L621" t="n">
        <v>0</v>
      </c>
      <c r="M621" t="n">
        <v>0</v>
      </c>
      <c r="N621" t="n">
        <v>0</v>
      </c>
      <c r="O621" t="n">
        <v>0</v>
      </c>
      <c r="P621" t="n">
        <v>0</v>
      </c>
      <c r="Q621" t="n">
        <v>0</v>
      </c>
      <c r="R621" s="2" t="inlineStr"/>
    </row>
    <row r="622" ht="15" customHeight="1">
      <c r="A622" t="inlineStr">
        <is>
          <t>A 1924-2024</t>
        </is>
      </c>
      <c r="B622" s="1" t="n">
        <v>45308</v>
      </c>
      <c r="C622" s="1" t="n">
        <v>46121</v>
      </c>
      <c r="D622" t="inlineStr">
        <is>
          <t>ÖSTERGÖTLANDS LÄN</t>
        </is>
      </c>
      <c r="E622" t="inlineStr">
        <is>
          <t>LINKÖPING</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32346-2023</t>
        </is>
      </c>
      <c r="B623" s="1" t="n">
        <v>45120</v>
      </c>
      <c r="C623" s="1" t="n">
        <v>46121</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50508-2024</t>
        </is>
      </c>
      <c r="B624" s="1" t="n">
        <v>45601.53907407408</v>
      </c>
      <c r="C624" s="1" t="n">
        <v>46121</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7808-2022</t>
        </is>
      </c>
      <c r="B625" s="1" t="n">
        <v>44608</v>
      </c>
      <c r="C625" s="1" t="n">
        <v>46121</v>
      </c>
      <c r="D625" t="inlineStr">
        <is>
          <t>ÖSTERGÖTLANDS LÄN</t>
        </is>
      </c>
      <c r="E625" t="inlineStr">
        <is>
          <t>LINKÖPING</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27844-2024</t>
        </is>
      </c>
      <c r="B626" s="1" t="n">
        <v>45475.63047453704</v>
      </c>
      <c r="C626" s="1" t="n">
        <v>46121</v>
      </c>
      <c r="D626" t="inlineStr">
        <is>
          <t>ÖSTERGÖTLANDS LÄN</t>
        </is>
      </c>
      <c r="E626" t="inlineStr">
        <is>
          <t>LINKÖPING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40810-2022</t>
        </is>
      </c>
      <c r="B627" s="1" t="n">
        <v>44824</v>
      </c>
      <c r="C627" s="1" t="n">
        <v>46121</v>
      </c>
      <c r="D627" t="inlineStr">
        <is>
          <t>ÖSTERGÖTLANDS LÄN</t>
        </is>
      </c>
      <c r="E627" t="inlineStr">
        <is>
          <t>LINKÖPING</t>
        </is>
      </c>
      <c r="G627" t="n">
        <v>2.8</v>
      </c>
      <c r="H627" t="n">
        <v>0</v>
      </c>
      <c r="I627" t="n">
        <v>0</v>
      </c>
      <c r="J627" t="n">
        <v>0</v>
      </c>
      <c r="K627" t="n">
        <v>0</v>
      </c>
      <c r="L627" t="n">
        <v>0</v>
      </c>
      <c r="M627" t="n">
        <v>0</v>
      </c>
      <c r="N627" t="n">
        <v>0</v>
      </c>
      <c r="O627" t="n">
        <v>0</v>
      </c>
      <c r="P627" t="n">
        <v>0</v>
      </c>
      <c r="Q627" t="n">
        <v>0</v>
      </c>
      <c r="R627" s="2" t="inlineStr"/>
    </row>
    <row r="628" ht="15" customHeight="1">
      <c r="A628" t="inlineStr">
        <is>
          <t>A 51559-2024</t>
        </is>
      </c>
      <c r="B628" s="1" t="n">
        <v>45604.61431712963</v>
      </c>
      <c r="C628" s="1" t="n">
        <v>46121</v>
      </c>
      <c r="D628" t="inlineStr">
        <is>
          <t>ÖSTERGÖTLANDS LÄN</t>
        </is>
      </c>
      <c r="E628" t="inlineStr">
        <is>
          <t>LINKÖPING</t>
        </is>
      </c>
      <c r="F628" t="inlineStr">
        <is>
          <t>Övriga Aktiebolag</t>
        </is>
      </c>
      <c r="G628" t="n">
        <v>2.4</v>
      </c>
      <c r="H628" t="n">
        <v>0</v>
      </c>
      <c r="I628" t="n">
        <v>0</v>
      </c>
      <c r="J628" t="n">
        <v>0</v>
      </c>
      <c r="K628" t="n">
        <v>0</v>
      </c>
      <c r="L628" t="n">
        <v>0</v>
      </c>
      <c r="M628" t="n">
        <v>0</v>
      </c>
      <c r="N628" t="n">
        <v>0</v>
      </c>
      <c r="O628" t="n">
        <v>0</v>
      </c>
      <c r="P628" t="n">
        <v>0</v>
      </c>
      <c r="Q628" t="n">
        <v>0</v>
      </c>
      <c r="R628" s="2" t="inlineStr"/>
    </row>
    <row r="629" ht="15" customHeight="1">
      <c r="A629" t="inlineStr">
        <is>
          <t>A 49979-2022</t>
        </is>
      </c>
      <c r="B629" s="1" t="n">
        <v>44865</v>
      </c>
      <c r="C629" s="1" t="n">
        <v>46121</v>
      </c>
      <c r="D629" t="inlineStr">
        <is>
          <t>ÖSTERGÖTLANDS LÄN</t>
        </is>
      </c>
      <c r="E629" t="inlineStr">
        <is>
          <t>LINKÖPING</t>
        </is>
      </c>
      <c r="F629" t="inlineStr">
        <is>
          <t>Övriga Aktiebolag</t>
        </is>
      </c>
      <c r="G629" t="n">
        <v>11.4</v>
      </c>
      <c r="H629" t="n">
        <v>0</v>
      </c>
      <c r="I629" t="n">
        <v>0</v>
      </c>
      <c r="J629" t="n">
        <v>0</v>
      </c>
      <c r="K629" t="n">
        <v>0</v>
      </c>
      <c r="L629" t="n">
        <v>0</v>
      </c>
      <c r="M629" t="n">
        <v>0</v>
      </c>
      <c r="N629" t="n">
        <v>0</v>
      </c>
      <c r="O629" t="n">
        <v>0</v>
      </c>
      <c r="P629" t="n">
        <v>0</v>
      </c>
      <c r="Q629" t="n">
        <v>0</v>
      </c>
      <c r="R629" s="2" t="inlineStr"/>
    </row>
    <row r="630" ht="15" customHeight="1">
      <c r="A630" t="inlineStr">
        <is>
          <t>A 39219-2021</t>
        </is>
      </c>
      <c r="B630" s="1" t="n">
        <v>44413</v>
      </c>
      <c r="C630" s="1" t="n">
        <v>46121</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39224-2021</t>
        </is>
      </c>
      <c r="B631" s="1" t="n">
        <v>44413</v>
      </c>
      <c r="C631" s="1" t="n">
        <v>46121</v>
      </c>
      <c r="D631" t="inlineStr">
        <is>
          <t>ÖSTERGÖTLANDS LÄN</t>
        </is>
      </c>
      <c r="E631" t="inlineStr">
        <is>
          <t>LINKÖPING</t>
        </is>
      </c>
      <c r="G631" t="n">
        <v>2.1</v>
      </c>
      <c r="H631" t="n">
        <v>0</v>
      </c>
      <c r="I631" t="n">
        <v>0</v>
      </c>
      <c r="J631" t="n">
        <v>0</v>
      </c>
      <c r="K631" t="n">
        <v>0</v>
      </c>
      <c r="L631" t="n">
        <v>0</v>
      </c>
      <c r="M631" t="n">
        <v>0</v>
      </c>
      <c r="N631" t="n">
        <v>0</v>
      </c>
      <c r="O631" t="n">
        <v>0</v>
      </c>
      <c r="P631" t="n">
        <v>0</v>
      </c>
      <c r="Q631" t="n">
        <v>0</v>
      </c>
      <c r="R631" s="2" t="inlineStr"/>
    </row>
    <row r="632" ht="15" customHeight="1">
      <c r="A632" t="inlineStr">
        <is>
          <t>A 62495-2023</t>
        </is>
      </c>
      <c r="B632" s="1" t="n">
        <v>45268.59717592593</v>
      </c>
      <c r="C632" s="1" t="n">
        <v>46121</v>
      </c>
      <c r="D632" t="inlineStr">
        <is>
          <t>ÖSTERGÖTLANDS LÄN</t>
        </is>
      </c>
      <c r="E632" t="inlineStr">
        <is>
          <t>LINKÖPING</t>
        </is>
      </c>
      <c r="G632" t="n">
        <v>4.1</v>
      </c>
      <c r="H632" t="n">
        <v>0</v>
      </c>
      <c r="I632" t="n">
        <v>0</v>
      </c>
      <c r="J632" t="n">
        <v>0</v>
      </c>
      <c r="K632" t="n">
        <v>0</v>
      </c>
      <c r="L632" t="n">
        <v>0</v>
      </c>
      <c r="M632" t="n">
        <v>0</v>
      </c>
      <c r="N632" t="n">
        <v>0</v>
      </c>
      <c r="O632" t="n">
        <v>0</v>
      </c>
      <c r="P632" t="n">
        <v>0</v>
      </c>
      <c r="Q632" t="n">
        <v>0</v>
      </c>
      <c r="R632" s="2" t="inlineStr"/>
    </row>
    <row r="633" ht="15" customHeight="1">
      <c r="A633" t="inlineStr">
        <is>
          <t>A 10479-2026</t>
        </is>
      </c>
      <c r="B633" s="1" t="n">
        <v>46077.49231481482</v>
      </c>
      <c r="C633" s="1" t="n">
        <v>46121</v>
      </c>
      <c r="D633" t="inlineStr">
        <is>
          <t>ÖSTERGÖTLANDS LÄN</t>
        </is>
      </c>
      <c r="E633" t="inlineStr">
        <is>
          <t>LINKÖPING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29413-2023</t>
        </is>
      </c>
      <c r="B634" s="1" t="n">
        <v>45106.46465277778</v>
      </c>
      <c r="C634" s="1" t="n">
        <v>46121</v>
      </c>
      <c r="D634" t="inlineStr">
        <is>
          <t>ÖSTERGÖTLANDS LÄN</t>
        </is>
      </c>
      <c r="E634" t="inlineStr">
        <is>
          <t>LINKÖPING</t>
        </is>
      </c>
      <c r="G634" t="n">
        <v>8</v>
      </c>
      <c r="H634" t="n">
        <v>0</v>
      </c>
      <c r="I634" t="n">
        <v>0</v>
      </c>
      <c r="J634" t="n">
        <v>0</v>
      </c>
      <c r="K634" t="n">
        <v>0</v>
      </c>
      <c r="L634" t="n">
        <v>0</v>
      </c>
      <c r="M634" t="n">
        <v>0</v>
      </c>
      <c r="N634" t="n">
        <v>0</v>
      </c>
      <c r="O634" t="n">
        <v>0</v>
      </c>
      <c r="P634" t="n">
        <v>0</v>
      </c>
      <c r="Q634" t="n">
        <v>0</v>
      </c>
      <c r="R634" s="2" t="inlineStr"/>
    </row>
    <row r="635" ht="15" customHeight="1">
      <c r="A635" t="inlineStr">
        <is>
          <t>A 25948-2023</t>
        </is>
      </c>
      <c r="B635" s="1" t="n">
        <v>45090</v>
      </c>
      <c r="C635" s="1" t="n">
        <v>46121</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1627-2023</t>
        </is>
      </c>
      <c r="B636" s="1" t="n">
        <v>44937</v>
      </c>
      <c r="C636" s="1" t="n">
        <v>46121</v>
      </c>
      <c r="D636" t="inlineStr">
        <is>
          <t>ÖSTERGÖTLANDS LÄN</t>
        </is>
      </c>
      <c r="E636" t="inlineStr">
        <is>
          <t>LINKÖPING</t>
        </is>
      </c>
      <c r="G636" t="n">
        <v>10.8</v>
      </c>
      <c r="H636" t="n">
        <v>0</v>
      </c>
      <c r="I636" t="n">
        <v>0</v>
      </c>
      <c r="J636" t="n">
        <v>0</v>
      </c>
      <c r="K636" t="n">
        <v>0</v>
      </c>
      <c r="L636" t="n">
        <v>0</v>
      </c>
      <c r="M636" t="n">
        <v>0</v>
      </c>
      <c r="N636" t="n">
        <v>0</v>
      </c>
      <c r="O636" t="n">
        <v>0</v>
      </c>
      <c r="P636" t="n">
        <v>0</v>
      </c>
      <c r="Q636" t="n">
        <v>0</v>
      </c>
      <c r="R636" s="2" t="inlineStr"/>
    </row>
    <row r="637" ht="15" customHeight="1">
      <c r="A637" t="inlineStr">
        <is>
          <t>A 10756-2026</t>
        </is>
      </c>
      <c r="B637" s="1" t="n">
        <v>46078.55412037037</v>
      </c>
      <c r="C637" s="1" t="n">
        <v>46121</v>
      </c>
      <c r="D637" t="inlineStr">
        <is>
          <t>ÖSTERGÖTLANDS LÄN</t>
        </is>
      </c>
      <c r="E637" t="inlineStr">
        <is>
          <t>LINKÖPING</t>
        </is>
      </c>
      <c r="F637" t="inlineStr">
        <is>
          <t>Övriga Aktiebolag</t>
        </is>
      </c>
      <c r="G637" t="n">
        <v>1.2</v>
      </c>
      <c r="H637" t="n">
        <v>0</v>
      </c>
      <c r="I637" t="n">
        <v>0</v>
      </c>
      <c r="J637" t="n">
        <v>0</v>
      </c>
      <c r="K637" t="n">
        <v>0</v>
      </c>
      <c r="L637" t="n">
        <v>0</v>
      </c>
      <c r="M637" t="n">
        <v>0</v>
      </c>
      <c r="N637" t="n">
        <v>0</v>
      </c>
      <c r="O637" t="n">
        <v>0</v>
      </c>
      <c r="P637" t="n">
        <v>0</v>
      </c>
      <c r="Q637" t="n">
        <v>0</v>
      </c>
      <c r="R637" s="2" t="inlineStr"/>
    </row>
    <row r="638" ht="15" customHeight="1">
      <c r="A638" t="inlineStr">
        <is>
          <t>A 10764-2026</t>
        </is>
      </c>
      <c r="B638" s="1" t="n">
        <v>46078</v>
      </c>
      <c r="C638" s="1" t="n">
        <v>46121</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10477-2026</t>
        </is>
      </c>
      <c r="B639" s="1" t="n">
        <v>46077.4871875</v>
      </c>
      <c r="C639" s="1" t="n">
        <v>46121</v>
      </c>
      <c r="D639" t="inlineStr">
        <is>
          <t>ÖSTERGÖTLANDS LÄN</t>
        </is>
      </c>
      <c r="E639" t="inlineStr">
        <is>
          <t>LINKÖPING</t>
        </is>
      </c>
      <c r="G639" t="n">
        <v>9.6</v>
      </c>
      <c r="H639" t="n">
        <v>0</v>
      </c>
      <c r="I639" t="n">
        <v>0</v>
      </c>
      <c r="J639" t="n">
        <v>0</v>
      </c>
      <c r="K639" t="n">
        <v>0</v>
      </c>
      <c r="L639" t="n">
        <v>0</v>
      </c>
      <c r="M639" t="n">
        <v>0</v>
      </c>
      <c r="N639" t="n">
        <v>0</v>
      </c>
      <c r="O639" t="n">
        <v>0</v>
      </c>
      <c r="P639" t="n">
        <v>0</v>
      </c>
      <c r="Q639" t="n">
        <v>0</v>
      </c>
      <c r="R639" s="2" t="inlineStr"/>
    </row>
    <row r="640" ht="15" customHeight="1">
      <c r="A640" t="inlineStr">
        <is>
          <t>A 30481-2023</t>
        </is>
      </c>
      <c r="B640" s="1" t="n">
        <v>45111</v>
      </c>
      <c r="C640" s="1" t="n">
        <v>46121</v>
      </c>
      <c r="D640" t="inlineStr">
        <is>
          <t>ÖSTERGÖTLANDS LÄN</t>
        </is>
      </c>
      <c r="E640" t="inlineStr">
        <is>
          <t>LINKÖPING</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21782-2024</t>
        </is>
      </c>
      <c r="B641" s="1" t="n">
        <v>45442.63368055555</v>
      </c>
      <c r="C641" s="1" t="n">
        <v>46121</v>
      </c>
      <c r="D641" t="inlineStr">
        <is>
          <t>ÖSTERGÖTLANDS LÄN</t>
        </is>
      </c>
      <c r="E641" t="inlineStr">
        <is>
          <t>LINKÖPING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11671-2023</t>
        </is>
      </c>
      <c r="B642" s="1" t="n">
        <v>44994.48125</v>
      </c>
      <c r="C642" s="1" t="n">
        <v>46121</v>
      </c>
      <c r="D642" t="inlineStr">
        <is>
          <t>ÖSTERGÖTLANDS LÄN</t>
        </is>
      </c>
      <c r="E642" t="inlineStr">
        <is>
          <t>LINKÖPING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3013-2023</t>
        </is>
      </c>
      <c r="B643" s="1" t="n">
        <v>44945.8092824074</v>
      </c>
      <c r="C643" s="1" t="n">
        <v>46121</v>
      </c>
      <c r="D643" t="inlineStr">
        <is>
          <t>ÖSTERGÖTLANDS LÄN</t>
        </is>
      </c>
      <c r="E643" t="inlineStr">
        <is>
          <t>LINKÖPING</t>
        </is>
      </c>
      <c r="G643" t="n">
        <v>5.2</v>
      </c>
      <c r="H643" t="n">
        <v>0</v>
      </c>
      <c r="I643" t="n">
        <v>0</v>
      </c>
      <c r="J643" t="n">
        <v>0</v>
      </c>
      <c r="K643" t="n">
        <v>0</v>
      </c>
      <c r="L643" t="n">
        <v>0</v>
      </c>
      <c r="M643" t="n">
        <v>0</v>
      </c>
      <c r="N643" t="n">
        <v>0</v>
      </c>
      <c r="O643" t="n">
        <v>0</v>
      </c>
      <c r="P643" t="n">
        <v>0</v>
      </c>
      <c r="Q643" t="n">
        <v>0</v>
      </c>
      <c r="R643" s="2" t="inlineStr"/>
    </row>
    <row r="644" ht="15" customHeight="1">
      <c r="A644" t="inlineStr">
        <is>
          <t>A 49747-2024</t>
        </is>
      </c>
      <c r="B644" s="1" t="n">
        <v>45596</v>
      </c>
      <c r="C644" s="1" t="n">
        <v>46121</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42997-2021</t>
        </is>
      </c>
      <c r="B645" s="1" t="n">
        <v>44431.45556712963</v>
      </c>
      <c r="C645" s="1" t="n">
        <v>46121</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3011-2023</t>
        </is>
      </c>
      <c r="B646" s="1" t="n">
        <v>44945</v>
      </c>
      <c r="C646" s="1" t="n">
        <v>46121</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23735-2023</t>
        </is>
      </c>
      <c r="B647" s="1" t="n">
        <v>45077</v>
      </c>
      <c r="C647" s="1" t="n">
        <v>46121</v>
      </c>
      <c r="D647" t="inlineStr">
        <is>
          <t>ÖSTERGÖTLANDS LÄN</t>
        </is>
      </c>
      <c r="E647" t="inlineStr">
        <is>
          <t>LINKÖPING</t>
        </is>
      </c>
      <c r="G647" t="n">
        <v>1.7</v>
      </c>
      <c r="H647" t="n">
        <v>0</v>
      </c>
      <c r="I647" t="n">
        <v>0</v>
      </c>
      <c r="J647" t="n">
        <v>0</v>
      </c>
      <c r="K647" t="n">
        <v>0</v>
      </c>
      <c r="L647" t="n">
        <v>0</v>
      </c>
      <c r="M647" t="n">
        <v>0</v>
      </c>
      <c r="N647" t="n">
        <v>0</v>
      </c>
      <c r="O647" t="n">
        <v>0</v>
      </c>
      <c r="P647" t="n">
        <v>0</v>
      </c>
      <c r="Q647" t="n">
        <v>0</v>
      </c>
      <c r="R647" s="2" t="inlineStr"/>
    </row>
    <row r="648" ht="15" customHeight="1">
      <c r="A648" t="inlineStr">
        <is>
          <t>A 45821-2024</t>
        </is>
      </c>
      <c r="B648" s="1" t="n">
        <v>45579.75803240741</v>
      </c>
      <c r="C648" s="1" t="n">
        <v>46121</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53647-2021</t>
        </is>
      </c>
      <c r="B649" s="1" t="n">
        <v>44469</v>
      </c>
      <c r="C649" s="1" t="n">
        <v>46121</v>
      </c>
      <c r="D649" t="inlineStr">
        <is>
          <t>ÖSTERGÖTLANDS LÄN</t>
        </is>
      </c>
      <c r="E649" t="inlineStr">
        <is>
          <t>LINKÖPING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6599-2023</t>
        </is>
      </c>
      <c r="B650" s="1" t="n">
        <v>44966.52603009259</v>
      </c>
      <c r="C650" s="1" t="n">
        <v>46121</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35735-2023</t>
        </is>
      </c>
      <c r="B651" s="1" t="n">
        <v>45147</v>
      </c>
      <c r="C651" s="1" t="n">
        <v>46121</v>
      </c>
      <c r="D651" t="inlineStr">
        <is>
          <t>ÖSTERGÖTLANDS LÄN</t>
        </is>
      </c>
      <c r="E651" t="inlineStr">
        <is>
          <t>LINKÖPING</t>
        </is>
      </c>
      <c r="G651" t="n">
        <v>2.8</v>
      </c>
      <c r="H651" t="n">
        <v>0</v>
      </c>
      <c r="I651" t="n">
        <v>0</v>
      </c>
      <c r="J651" t="n">
        <v>0</v>
      </c>
      <c r="K651" t="n">
        <v>0</v>
      </c>
      <c r="L651" t="n">
        <v>0</v>
      </c>
      <c r="M651" t="n">
        <v>0</v>
      </c>
      <c r="N651" t="n">
        <v>0</v>
      </c>
      <c r="O651" t="n">
        <v>0</v>
      </c>
      <c r="P651" t="n">
        <v>0</v>
      </c>
      <c r="Q651" t="n">
        <v>0</v>
      </c>
      <c r="R651" s="2" t="inlineStr"/>
    </row>
    <row r="652" ht="15" customHeight="1">
      <c r="A652" t="inlineStr">
        <is>
          <t>A 45831-2024</t>
        </is>
      </c>
      <c r="B652" s="1" t="n">
        <v>45579.90508101852</v>
      </c>
      <c r="C652" s="1" t="n">
        <v>46121</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17157-2024</t>
        </is>
      </c>
      <c r="B653" s="1" t="n">
        <v>45412.70567129629</v>
      </c>
      <c r="C653" s="1" t="n">
        <v>46121</v>
      </c>
      <c r="D653" t="inlineStr">
        <is>
          <t>ÖSTERGÖTLANDS LÄN</t>
        </is>
      </c>
      <c r="E653" t="inlineStr">
        <is>
          <t>LINKÖPING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37154-2023</t>
        </is>
      </c>
      <c r="B654" s="1" t="n">
        <v>45155</v>
      </c>
      <c r="C654" s="1" t="n">
        <v>46121</v>
      </c>
      <c r="D654" t="inlineStr">
        <is>
          <t>ÖSTERGÖTLANDS LÄN</t>
        </is>
      </c>
      <c r="E654" t="inlineStr">
        <is>
          <t>LINKÖPING</t>
        </is>
      </c>
      <c r="G654" t="n">
        <v>1.7</v>
      </c>
      <c r="H654" t="n">
        <v>0</v>
      </c>
      <c r="I654" t="n">
        <v>0</v>
      </c>
      <c r="J654" t="n">
        <v>0</v>
      </c>
      <c r="K654" t="n">
        <v>0</v>
      </c>
      <c r="L654" t="n">
        <v>0</v>
      </c>
      <c r="M654" t="n">
        <v>0</v>
      </c>
      <c r="N654" t="n">
        <v>0</v>
      </c>
      <c r="O654" t="n">
        <v>0</v>
      </c>
      <c r="P654" t="n">
        <v>0</v>
      </c>
      <c r="Q654" t="n">
        <v>0</v>
      </c>
      <c r="R654" s="2" t="inlineStr"/>
    </row>
    <row r="655" ht="15" customHeight="1">
      <c r="A655" t="inlineStr">
        <is>
          <t>A 53812-2023</t>
        </is>
      </c>
      <c r="B655" s="1" t="n">
        <v>45231.39583333334</v>
      </c>
      <c r="C655" s="1" t="n">
        <v>46121</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53830-2023</t>
        </is>
      </c>
      <c r="B656" s="1" t="n">
        <v>45230</v>
      </c>
      <c r="C656" s="1" t="n">
        <v>46121</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56841-2023</t>
        </is>
      </c>
      <c r="B657" s="1" t="n">
        <v>45244</v>
      </c>
      <c r="C657" s="1" t="n">
        <v>46121</v>
      </c>
      <c r="D657" t="inlineStr">
        <is>
          <t>ÖSTERGÖTLANDS LÄN</t>
        </is>
      </c>
      <c r="E657" t="inlineStr">
        <is>
          <t>LINKÖPING</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56741-2023</t>
        </is>
      </c>
      <c r="B658" s="1" t="n">
        <v>45244</v>
      </c>
      <c r="C658" s="1" t="n">
        <v>46121</v>
      </c>
      <c r="D658" t="inlineStr">
        <is>
          <t>ÖSTERGÖTLANDS LÄN</t>
        </is>
      </c>
      <c r="E658" t="inlineStr">
        <is>
          <t>LINKÖPING</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53816-2023</t>
        </is>
      </c>
      <c r="B659" s="1" t="n">
        <v>45231.40012731482</v>
      </c>
      <c r="C659" s="1" t="n">
        <v>46121</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63935-2021</t>
        </is>
      </c>
      <c r="B660" s="1" t="n">
        <v>44509</v>
      </c>
      <c r="C660" s="1" t="n">
        <v>46121</v>
      </c>
      <c r="D660" t="inlineStr">
        <is>
          <t>ÖSTERGÖTLANDS LÄN</t>
        </is>
      </c>
      <c r="E660" t="inlineStr">
        <is>
          <t>LINKÖPING</t>
        </is>
      </c>
      <c r="F660" t="inlineStr">
        <is>
          <t>Övriga statliga verk och myndigheter</t>
        </is>
      </c>
      <c r="G660" t="n">
        <v>2.8</v>
      </c>
      <c r="H660" t="n">
        <v>0</v>
      </c>
      <c r="I660" t="n">
        <v>0</v>
      </c>
      <c r="J660" t="n">
        <v>0</v>
      </c>
      <c r="K660" t="n">
        <v>0</v>
      </c>
      <c r="L660" t="n">
        <v>0</v>
      </c>
      <c r="M660" t="n">
        <v>0</v>
      </c>
      <c r="N660" t="n">
        <v>0</v>
      </c>
      <c r="O660" t="n">
        <v>0</v>
      </c>
      <c r="P660" t="n">
        <v>0</v>
      </c>
      <c r="Q660" t="n">
        <v>0</v>
      </c>
      <c r="R660" s="2" t="inlineStr"/>
    </row>
    <row r="661" ht="15" customHeight="1">
      <c r="A661" t="inlineStr">
        <is>
          <t>A 6726-2024</t>
        </is>
      </c>
      <c r="B661" s="1" t="n">
        <v>45341</v>
      </c>
      <c r="C661" s="1" t="n">
        <v>46121</v>
      </c>
      <c r="D661" t="inlineStr">
        <is>
          <t>ÖSTERGÖTLANDS LÄN</t>
        </is>
      </c>
      <c r="E661" t="inlineStr">
        <is>
          <t>LINKÖPING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3007-2023</t>
        </is>
      </c>
      <c r="B662" s="1" t="n">
        <v>44945</v>
      </c>
      <c r="C662" s="1" t="n">
        <v>46121</v>
      </c>
      <c r="D662" t="inlineStr">
        <is>
          <t>ÖSTERGÖTLANDS LÄN</t>
        </is>
      </c>
      <c r="E662" t="inlineStr">
        <is>
          <t>LINKÖPING</t>
        </is>
      </c>
      <c r="G662" t="n">
        <v>2.6</v>
      </c>
      <c r="H662" t="n">
        <v>0</v>
      </c>
      <c r="I662" t="n">
        <v>0</v>
      </c>
      <c r="J662" t="n">
        <v>0</v>
      </c>
      <c r="K662" t="n">
        <v>0</v>
      </c>
      <c r="L662" t="n">
        <v>0</v>
      </c>
      <c r="M662" t="n">
        <v>0</v>
      </c>
      <c r="N662" t="n">
        <v>0</v>
      </c>
      <c r="O662" t="n">
        <v>0</v>
      </c>
      <c r="P662" t="n">
        <v>0</v>
      </c>
      <c r="Q662" t="n">
        <v>0</v>
      </c>
      <c r="R662" s="2" t="inlineStr"/>
    </row>
    <row r="663" ht="15" customHeight="1">
      <c r="A663" t="inlineStr">
        <is>
          <t>A 18145-2021</t>
        </is>
      </c>
      <c r="B663" s="1" t="n">
        <v>44302</v>
      </c>
      <c r="C663" s="1" t="n">
        <v>46121</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29309-2024</t>
        </is>
      </c>
      <c r="B664" s="1" t="n">
        <v>45483</v>
      </c>
      <c r="C664" s="1" t="n">
        <v>46121</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53411-2023</t>
        </is>
      </c>
      <c r="B665" s="1" t="n">
        <v>45229.81049768518</v>
      </c>
      <c r="C665" s="1" t="n">
        <v>46121</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26788-2022</t>
        </is>
      </c>
      <c r="B666" s="1" t="n">
        <v>44740</v>
      </c>
      <c r="C666" s="1" t="n">
        <v>46121</v>
      </c>
      <c r="D666" t="inlineStr">
        <is>
          <t>ÖSTERGÖTLANDS LÄN</t>
        </is>
      </c>
      <c r="E666" t="inlineStr">
        <is>
          <t>LINKÖPING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24462-2023</t>
        </is>
      </c>
      <c r="B667" s="1" t="n">
        <v>45082</v>
      </c>
      <c r="C667" s="1" t="n">
        <v>46121</v>
      </c>
      <c r="D667" t="inlineStr">
        <is>
          <t>ÖSTERGÖTLANDS LÄN</t>
        </is>
      </c>
      <c r="E667" t="inlineStr">
        <is>
          <t>LINKÖPING</t>
        </is>
      </c>
      <c r="G667" t="n">
        <v>3.5</v>
      </c>
      <c r="H667" t="n">
        <v>0</v>
      </c>
      <c r="I667" t="n">
        <v>0</v>
      </c>
      <c r="J667" t="n">
        <v>0</v>
      </c>
      <c r="K667" t="n">
        <v>0</v>
      </c>
      <c r="L667" t="n">
        <v>0</v>
      </c>
      <c r="M667" t="n">
        <v>0</v>
      </c>
      <c r="N667" t="n">
        <v>0</v>
      </c>
      <c r="O667" t="n">
        <v>0</v>
      </c>
      <c r="P667" t="n">
        <v>0</v>
      </c>
      <c r="Q667" t="n">
        <v>0</v>
      </c>
      <c r="R667" s="2" t="inlineStr"/>
    </row>
    <row r="668" ht="15" customHeight="1">
      <c r="A668" t="inlineStr">
        <is>
          <t>A 62015-2024</t>
        </is>
      </c>
      <c r="B668" s="1" t="n">
        <v>45655.80457175926</v>
      </c>
      <c r="C668" s="1" t="n">
        <v>46121</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10741-2023</t>
        </is>
      </c>
      <c r="B669" s="1" t="n">
        <v>44988.70084490741</v>
      </c>
      <c r="C669" s="1" t="n">
        <v>46121</v>
      </c>
      <c r="D669" t="inlineStr">
        <is>
          <t>ÖSTERGÖTLANDS LÄN</t>
        </is>
      </c>
      <c r="E669" t="inlineStr">
        <is>
          <t>LINKÖPING</t>
        </is>
      </c>
      <c r="F669" t="inlineStr">
        <is>
          <t>Allmännings- och besparingsskogar</t>
        </is>
      </c>
      <c r="G669" t="n">
        <v>11.2</v>
      </c>
      <c r="H669" t="n">
        <v>0</v>
      </c>
      <c r="I669" t="n">
        <v>0</v>
      </c>
      <c r="J669" t="n">
        <v>0</v>
      </c>
      <c r="K669" t="n">
        <v>0</v>
      </c>
      <c r="L669" t="n">
        <v>0</v>
      </c>
      <c r="M669" t="n">
        <v>0</v>
      </c>
      <c r="N669" t="n">
        <v>0</v>
      </c>
      <c r="O669" t="n">
        <v>0</v>
      </c>
      <c r="P669" t="n">
        <v>0</v>
      </c>
      <c r="Q669" t="n">
        <v>0</v>
      </c>
      <c r="R669" s="2" t="inlineStr"/>
    </row>
    <row r="670" ht="15" customHeight="1">
      <c r="A670" t="inlineStr">
        <is>
          <t>A 43473-2024</t>
        </is>
      </c>
      <c r="B670" s="1" t="n">
        <v>45568</v>
      </c>
      <c r="C670" s="1" t="n">
        <v>46121</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43475-2024</t>
        </is>
      </c>
      <c r="B671" s="1" t="n">
        <v>45568</v>
      </c>
      <c r="C671" s="1" t="n">
        <v>46121</v>
      </c>
      <c r="D671" t="inlineStr">
        <is>
          <t>ÖSTERGÖTLANDS LÄN</t>
        </is>
      </c>
      <c r="E671" t="inlineStr">
        <is>
          <t>LINKÖPING</t>
        </is>
      </c>
      <c r="G671" t="n">
        <v>3.2</v>
      </c>
      <c r="H671" t="n">
        <v>0</v>
      </c>
      <c r="I671" t="n">
        <v>0</v>
      </c>
      <c r="J671" t="n">
        <v>0</v>
      </c>
      <c r="K671" t="n">
        <v>0</v>
      </c>
      <c r="L671" t="n">
        <v>0</v>
      </c>
      <c r="M671" t="n">
        <v>0</v>
      </c>
      <c r="N671" t="n">
        <v>0</v>
      </c>
      <c r="O671" t="n">
        <v>0</v>
      </c>
      <c r="P671" t="n">
        <v>0</v>
      </c>
      <c r="Q671" t="n">
        <v>0</v>
      </c>
      <c r="R671" s="2" t="inlineStr"/>
    </row>
    <row r="672" ht="15" customHeight="1">
      <c r="A672" t="inlineStr">
        <is>
          <t>A 1207-2023</t>
        </is>
      </c>
      <c r="B672" s="1" t="n">
        <v>44930</v>
      </c>
      <c r="C672" s="1" t="n">
        <v>46121</v>
      </c>
      <c r="D672" t="inlineStr">
        <is>
          <t>ÖSTERGÖTLANDS LÄN</t>
        </is>
      </c>
      <c r="E672" t="inlineStr">
        <is>
          <t>LINKÖPING</t>
        </is>
      </c>
      <c r="F672" t="inlineStr">
        <is>
          <t>Övriga statliga verk och myndigheter</t>
        </is>
      </c>
      <c r="G672" t="n">
        <v>32.8</v>
      </c>
      <c r="H672" t="n">
        <v>0</v>
      </c>
      <c r="I672" t="n">
        <v>0</v>
      </c>
      <c r="J672" t="n">
        <v>0</v>
      </c>
      <c r="K672" t="n">
        <v>0</v>
      </c>
      <c r="L672" t="n">
        <v>0</v>
      </c>
      <c r="M672" t="n">
        <v>0</v>
      </c>
      <c r="N672" t="n">
        <v>0</v>
      </c>
      <c r="O672" t="n">
        <v>0</v>
      </c>
      <c r="P672" t="n">
        <v>0</v>
      </c>
      <c r="Q672" t="n">
        <v>0</v>
      </c>
      <c r="R672" s="2" t="inlineStr"/>
    </row>
    <row r="673" ht="15" customHeight="1">
      <c r="A673" t="inlineStr">
        <is>
          <t>A 29859-2024</t>
        </is>
      </c>
      <c r="B673" s="1" t="n">
        <v>45485.6846412037</v>
      </c>
      <c r="C673" s="1" t="n">
        <v>46121</v>
      </c>
      <c r="D673" t="inlineStr">
        <is>
          <t>ÖSTERGÖTLANDS LÄN</t>
        </is>
      </c>
      <c r="E673" t="inlineStr">
        <is>
          <t>LINKÖPING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45819-2024</t>
        </is>
      </c>
      <c r="B674" s="1" t="n">
        <v>45579.7454050926</v>
      </c>
      <c r="C674" s="1" t="n">
        <v>46121</v>
      </c>
      <c r="D674" t="inlineStr">
        <is>
          <t>ÖSTERGÖTLANDS LÄN</t>
        </is>
      </c>
      <c r="E674" t="inlineStr">
        <is>
          <t>LINKÖPING</t>
        </is>
      </c>
      <c r="G674" t="n">
        <v>5</v>
      </c>
      <c r="H674" t="n">
        <v>0</v>
      </c>
      <c r="I674" t="n">
        <v>0</v>
      </c>
      <c r="J674" t="n">
        <v>0</v>
      </c>
      <c r="K674" t="n">
        <v>0</v>
      </c>
      <c r="L674" t="n">
        <v>0</v>
      </c>
      <c r="M674" t="n">
        <v>0</v>
      </c>
      <c r="N674" t="n">
        <v>0</v>
      </c>
      <c r="O674" t="n">
        <v>0</v>
      </c>
      <c r="P674" t="n">
        <v>0</v>
      </c>
      <c r="Q674" t="n">
        <v>0</v>
      </c>
      <c r="R674" s="2" t="inlineStr"/>
    </row>
    <row r="675" ht="15" customHeight="1">
      <c r="A675" t="inlineStr">
        <is>
          <t>A 15748-2025</t>
        </is>
      </c>
      <c r="B675" s="1" t="n">
        <v>45748.55282407408</v>
      </c>
      <c r="C675" s="1" t="n">
        <v>46121</v>
      </c>
      <c r="D675" t="inlineStr">
        <is>
          <t>ÖSTERGÖTLANDS LÄN</t>
        </is>
      </c>
      <c r="E675" t="inlineStr">
        <is>
          <t>LINKÖPING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15754-2025</t>
        </is>
      </c>
      <c r="B676" s="1" t="n">
        <v>45748.56105324074</v>
      </c>
      <c r="C676" s="1" t="n">
        <v>46121</v>
      </c>
      <c r="D676" t="inlineStr">
        <is>
          <t>ÖSTERGÖTLANDS LÄN</t>
        </is>
      </c>
      <c r="E676" t="inlineStr">
        <is>
          <t>LINKÖPING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30518-2024</t>
        </is>
      </c>
      <c r="B677" s="1" t="n">
        <v>45492</v>
      </c>
      <c r="C677" s="1" t="n">
        <v>46121</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53797-2023</t>
        </is>
      </c>
      <c r="B678" s="1" t="n">
        <v>45230</v>
      </c>
      <c r="C678" s="1" t="n">
        <v>46121</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55345-2021</t>
        </is>
      </c>
      <c r="B679" s="1" t="n">
        <v>44475</v>
      </c>
      <c r="C679" s="1" t="n">
        <v>46121</v>
      </c>
      <c r="D679" t="inlineStr">
        <is>
          <t>ÖSTERGÖTLANDS LÄN</t>
        </is>
      </c>
      <c r="E679" t="inlineStr">
        <is>
          <t>LINKÖPING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10198-2023</t>
        </is>
      </c>
      <c r="B680" s="1" t="n">
        <v>44986.54665509259</v>
      </c>
      <c r="C680" s="1" t="n">
        <v>46121</v>
      </c>
      <c r="D680" t="inlineStr">
        <is>
          <t>ÖSTERGÖTLANDS LÄN</t>
        </is>
      </c>
      <c r="E680" t="inlineStr">
        <is>
          <t>LINKÖPING</t>
        </is>
      </c>
      <c r="G680" t="n">
        <v>4.6</v>
      </c>
      <c r="H680" t="n">
        <v>0</v>
      </c>
      <c r="I680" t="n">
        <v>0</v>
      </c>
      <c r="J680" t="n">
        <v>0</v>
      </c>
      <c r="K680" t="n">
        <v>0</v>
      </c>
      <c r="L680" t="n">
        <v>0</v>
      </c>
      <c r="M680" t="n">
        <v>0</v>
      </c>
      <c r="N680" t="n">
        <v>0</v>
      </c>
      <c r="O680" t="n">
        <v>0</v>
      </c>
      <c r="P680" t="n">
        <v>0</v>
      </c>
      <c r="Q680" t="n">
        <v>0</v>
      </c>
      <c r="R680" s="2" t="inlineStr"/>
    </row>
    <row r="681" ht="15" customHeight="1">
      <c r="A681" t="inlineStr">
        <is>
          <t>A 4298-2023</t>
        </is>
      </c>
      <c r="B681" s="1" t="n">
        <v>44953</v>
      </c>
      <c r="C681" s="1" t="n">
        <v>46121</v>
      </c>
      <c r="D681" t="inlineStr">
        <is>
          <t>ÖSTERGÖTLANDS LÄN</t>
        </is>
      </c>
      <c r="E681" t="inlineStr">
        <is>
          <t>LINKÖPING</t>
        </is>
      </c>
      <c r="G681" t="n">
        <v>2.8</v>
      </c>
      <c r="H681" t="n">
        <v>0</v>
      </c>
      <c r="I681" t="n">
        <v>0</v>
      </c>
      <c r="J681" t="n">
        <v>0</v>
      </c>
      <c r="K681" t="n">
        <v>0</v>
      </c>
      <c r="L681" t="n">
        <v>0</v>
      </c>
      <c r="M681" t="n">
        <v>0</v>
      </c>
      <c r="N681" t="n">
        <v>0</v>
      </c>
      <c r="O681" t="n">
        <v>0</v>
      </c>
      <c r="P681" t="n">
        <v>0</v>
      </c>
      <c r="Q681" t="n">
        <v>0</v>
      </c>
      <c r="R681" s="2" t="inlineStr"/>
    </row>
    <row r="682" ht="15" customHeight="1">
      <c r="A682" t="inlineStr">
        <is>
          <t>A 12428-2024</t>
        </is>
      </c>
      <c r="B682" s="1" t="n">
        <v>45379</v>
      </c>
      <c r="C682" s="1" t="n">
        <v>46121</v>
      </c>
      <c r="D682" t="inlineStr">
        <is>
          <t>ÖSTERGÖTLANDS LÄN</t>
        </is>
      </c>
      <c r="E682" t="inlineStr">
        <is>
          <t>LINKÖPING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26618-2023</t>
        </is>
      </c>
      <c r="B683" s="1" t="n">
        <v>45092.70306712963</v>
      </c>
      <c r="C683" s="1" t="n">
        <v>46121</v>
      </c>
      <c r="D683" t="inlineStr">
        <is>
          <t>ÖSTERGÖTLANDS LÄN</t>
        </is>
      </c>
      <c r="E683" t="inlineStr">
        <is>
          <t>LINKÖPING</t>
        </is>
      </c>
      <c r="G683" t="n">
        <v>6.9</v>
      </c>
      <c r="H683" t="n">
        <v>0</v>
      </c>
      <c r="I683" t="n">
        <v>0</v>
      </c>
      <c r="J683" t="n">
        <v>0</v>
      </c>
      <c r="K683" t="n">
        <v>0</v>
      </c>
      <c r="L683" t="n">
        <v>0</v>
      </c>
      <c r="M683" t="n">
        <v>0</v>
      </c>
      <c r="N683" t="n">
        <v>0</v>
      </c>
      <c r="O683" t="n">
        <v>0</v>
      </c>
      <c r="P683" t="n">
        <v>0</v>
      </c>
      <c r="Q683" t="n">
        <v>0</v>
      </c>
      <c r="R683" s="2" t="inlineStr"/>
    </row>
    <row r="684" ht="15" customHeight="1">
      <c r="A684" t="inlineStr">
        <is>
          <t>A 34930-2023</t>
        </is>
      </c>
      <c r="B684" s="1" t="n">
        <v>45142</v>
      </c>
      <c r="C684" s="1" t="n">
        <v>46121</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670-2024</t>
        </is>
      </c>
      <c r="B685" s="1" t="n">
        <v>45300.3408912037</v>
      </c>
      <c r="C685" s="1" t="n">
        <v>46121</v>
      </c>
      <c r="D685" t="inlineStr">
        <is>
          <t>ÖSTERGÖTLANDS LÄN</t>
        </is>
      </c>
      <c r="E685" t="inlineStr">
        <is>
          <t>LINKÖPING</t>
        </is>
      </c>
      <c r="F685" t="inlineStr">
        <is>
          <t>Sveaskog</t>
        </is>
      </c>
      <c r="G685" t="n">
        <v>2.3</v>
      </c>
      <c r="H685" t="n">
        <v>0</v>
      </c>
      <c r="I685" t="n">
        <v>0</v>
      </c>
      <c r="J685" t="n">
        <v>0</v>
      </c>
      <c r="K685" t="n">
        <v>0</v>
      </c>
      <c r="L685" t="n">
        <v>0</v>
      </c>
      <c r="M685" t="n">
        <v>0</v>
      </c>
      <c r="N685" t="n">
        <v>0</v>
      </c>
      <c r="O685" t="n">
        <v>0</v>
      </c>
      <c r="P685" t="n">
        <v>0</v>
      </c>
      <c r="Q685" t="n">
        <v>0</v>
      </c>
      <c r="R685" s="2" t="inlineStr"/>
    </row>
    <row r="686" ht="15" customHeight="1">
      <c r="A686" t="inlineStr">
        <is>
          <t>A 63845-2021</t>
        </is>
      </c>
      <c r="B686" s="1" t="n">
        <v>44509</v>
      </c>
      <c r="C686" s="1" t="n">
        <v>46121</v>
      </c>
      <c r="D686" t="inlineStr">
        <is>
          <t>ÖSTERGÖTLANDS LÄN</t>
        </is>
      </c>
      <c r="E686" t="inlineStr">
        <is>
          <t>LINKÖPING</t>
        </is>
      </c>
      <c r="G686" t="n">
        <v>5</v>
      </c>
      <c r="H686" t="n">
        <v>0</v>
      </c>
      <c r="I686" t="n">
        <v>0</v>
      </c>
      <c r="J686" t="n">
        <v>0</v>
      </c>
      <c r="K686" t="n">
        <v>0</v>
      </c>
      <c r="L686" t="n">
        <v>0</v>
      </c>
      <c r="M686" t="n">
        <v>0</v>
      </c>
      <c r="N686" t="n">
        <v>0</v>
      </c>
      <c r="O686" t="n">
        <v>0</v>
      </c>
      <c r="P686" t="n">
        <v>0</v>
      </c>
      <c r="Q686" t="n">
        <v>0</v>
      </c>
      <c r="R686" s="2" t="inlineStr"/>
    </row>
    <row r="687" ht="15" customHeight="1">
      <c r="A687" t="inlineStr">
        <is>
          <t>A 54034-2022</t>
        </is>
      </c>
      <c r="B687" s="1" t="n">
        <v>44881</v>
      </c>
      <c r="C687" s="1" t="n">
        <v>46121</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36336-2023</t>
        </is>
      </c>
      <c r="B688" s="1" t="n">
        <v>45152.45078703704</v>
      </c>
      <c r="C688" s="1" t="n">
        <v>46121</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48829-2023</t>
        </is>
      </c>
      <c r="B689" s="1" t="n">
        <v>45209.38177083333</v>
      </c>
      <c r="C689" s="1" t="n">
        <v>46121</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48186-2022</t>
        </is>
      </c>
      <c r="B690" s="1" t="n">
        <v>44858</v>
      </c>
      <c r="C690" s="1" t="n">
        <v>46121</v>
      </c>
      <c r="D690" t="inlineStr">
        <is>
          <t>ÖSTERGÖTLANDS LÄN</t>
        </is>
      </c>
      <c r="E690" t="inlineStr">
        <is>
          <t>LINKÖPING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63669-2023</t>
        </is>
      </c>
      <c r="B691" s="1" t="n">
        <v>45275</v>
      </c>
      <c r="C691" s="1" t="n">
        <v>46121</v>
      </c>
      <c r="D691" t="inlineStr">
        <is>
          <t>ÖSTERGÖTLANDS LÄN</t>
        </is>
      </c>
      <c r="E691" t="inlineStr">
        <is>
          <t>LINKÖPING</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24586-2024</t>
        </is>
      </c>
      <c r="B692" s="1" t="n">
        <v>45460.46664351852</v>
      </c>
      <c r="C692" s="1" t="n">
        <v>46121</v>
      </c>
      <c r="D692" t="inlineStr">
        <is>
          <t>ÖSTERGÖTLANDS LÄN</t>
        </is>
      </c>
      <c r="E692" t="inlineStr">
        <is>
          <t>LINKÖPING</t>
        </is>
      </c>
      <c r="G692" t="n">
        <v>4</v>
      </c>
      <c r="H692" t="n">
        <v>0</v>
      </c>
      <c r="I692" t="n">
        <v>0</v>
      </c>
      <c r="J692" t="n">
        <v>0</v>
      </c>
      <c r="K692" t="n">
        <v>0</v>
      </c>
      <c r="L692" t="n">
        <v>0</v>
      </c>
      <c r="M692" t="n">
        <v>0</v>
      </c>
      <c r="N692" t="n">
        <v>0</v>
      </c>
      <c r="O692" t="n">
        <v>0</v>
      </c>
      <c r="P692" t="n">
        <v>0</v>
      </c>
      <c r="Q692" t="n">
        <v>0</v>
      </c>
      <c r="R692" s="2" t="inlineStr"/>
    </row>
    <row r="693" ht="15" customHeight="1">
      <c r="A693" t="inlineStr">
        <is>
          <t>A 59576-2024</t>
        </is>
      </c>
      <c r="B693" s="1" t="n">
        <v>45638.66378472222</v>
      </c>
      <c r="C693" s="1" t="n">
        <v>46121</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59642-2024</t>
        </is>
      </c>
      <c r="B694" s="1" t="n">
        <v>45639.31511574074</v>
      </c>
      <c r="C694" s="1" t="n">
        <v>46121</v>
      </c>
      <c r="D694" t="inlineStr">
        <is>
          <t>ÖSTERGÖTLANDS LÄN</t>
        </is>
      </c>
      <c r="E694" t="inlineStr">
        <is>
          <t>LINKÖPING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59674-2024</t>
        </is>
      </c>
      <c r="B695" s="1" t="n">
        <v>45639</v>
      </c>
      <c r="C695" s="1" t="n">
        <v>46121</v>
      </c>
      <c r="D695" t="inlineStr">
        <is>
          <t>ÖSTERGÖTLANDS LÄN</t>
        </is>
      </c>
      <c r="E695" t="inlineStr">
        <is>
          <t>LINKÖPING</t>
        </is>
      </c>
      <c r="G695" t="n">
        <v>6.3</v>
      </c>
      <c r="H695" t="n">
        <v>0</v>
      </c>
      <c r="I695" t="n">
        <v>0</v>
      </c>
      <c r="J695" t="n">
        <v>0</v>
      </c>
      <c r="K695" t="n">
        <v>0</v>
      </c>
      <c r="L695" t="n">
        <v>0</v>
      </c>
      <c r="M695" t="n">
        <v>0</v>
      </c>
      <c r="N695" t="n">
        <v>0</v>
      </c>
      <c r="O695" t="n">
        <v>0</v>
      </c>
      <c r="P695" t="n">
        <v>0</v>
      </c>
      <c r="Q695" t="n">
        <v>0</v>
      </c>
      <c r="R695" s="2" t="inlineStr"/>
    </row>
    <row r="696" ht="15" customHeight="1">
      <c r="A696" t="inlineStr">
        <is>
          <t>A 18916-2024</t>
        </is>
      </c>
      <c r="B696" s="1" t="n">
        <v>45427.39541666667</v>
      </c>
      <c r="C696" s="1" t="n">
        <v>46121</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11084-2022</t>
        </is>
      </c>
      <c r="B697" s="1" t="n">
        <v>44628</v>
      </c>
      <c r="C697" s="1" t="n">
        <v>46121</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10203-2023</t>
        </is>
      </c>
      <c r="B698" s="1" t="n">
        <v>44986.55711805556</v>
      </c>
      <c r="C698" s="1" t="n">
        <v>46121</v>
      </c>
      <c r="D698" t="inlineStr">
        <is>
          <t>ÖSTERGÖTLANDS LÄN</t>
        </is>
      </c>
      <c r="E698" t="inlineStr">
        <is>
          <t>LINKÖPING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2618-2023</t>
        </is>
      </c>
      <c r="B699" s="1" t="n">
        <v>44944.35847222222</v>
      </c>
      <c r="C699" s="1" t="n">
        <v>46121</v>
      </c>
      <c r="D699" t="inlineStr">
        <is>
          <t>ÖSTERGÖTLANDS LÄN</t>
        </is>
      </c>
      <c r="E699" t="inlineStr">
        <is>
          <t>LINKÖPING</t>
        </is>
      </c>
      <c r="G699" t="n">
        <v>4.3</v>
      </c>
      <c r="H699" t="n">
        <v>0</v>
      </c>
      <c r="I699" t="n">
        <v>0</v>
      </c>
      <c r="J699" t="n">
        <v>0</v>
      </c>
      <c r="K699" t="n">
        <v>0</v>
      </c>
      <c r="L699" t="n">
        <v>0</v>
      </c>
      <c r="M699" t="n">
        <v>0</v>
      </c>
      <c r="N699" t="n">
        <v>0</v>
      </c>
      <c r="O699" t="n">
        <v>0</v>
      </c>
      <c r="P699" t="n">
        <v>0</v>
      </c>
      <c r="Q699" t="n">
        <v>0</v>
      </c>
      <c r="R699" s="2" t="inlineStr"/>
    </row>
    <row r="700" ht="15" customHeight="1">
      <c r="A700" t="inlineStr">
        <is>
          <t>A 62020-2024</t>
        </is>
      </c>
      <c r="B700" s="1" t="n">
        <v>45655.83563657408</v>
      </c>
      <c r="C700" s="1" t="n">
        <v>46121</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62021-2024</t>
        </is>
      </c>
      <c r="B701" s="1" t="n">
        <v>45655.84232638889</v>
      </c>
      <c r="C701" s="1" t="n">
        <v>46121</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1362-2023</t>
        </is>
      </c>
      <c r="B702" s="1" t="n">
        <v>44931</v>
      </c>
      <c r="C702" s="1" t="n">
        <v>46121</v>
      </c>
      <c r="D702" t="inlineStr">
        <is>
          <t>ÖSTERGÖTLANDS LÄN</t>
        </is>
      </c>
      <c r="E702" t="inlineStr">
        <is>
          <t>LINKÖPING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49928-2024</t>
        </is>
      </c>
      <c r="B703" s="1" t="n">
        <v>45597.57811342592</v>
      </c>
      <c r="C703" s="1" t="n">
        <v>46121</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3627-2023</t>
        </is>
      </c>
      <c r="B704" s="1" t="n">
        <v>44950.64782407408</v>
      </c>
      <c r="C704" s="1" t="n">
        <v>46121</v>
      </c>
      <c r="D704" t="inlineStr">
        <is>
          <t>ÖSTERGÖTLANDS LÄN</t>
        </is>
      </c>
      <c r="E704" t="inlineStr">
        <is>
          <t>LINKÖPING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51405-2023</t>
        </is>
      </c>
      <c r="B705" s="1" t="n">
        <v>45219</v>
      </c>
      <c r="C705" s="1" t="n">
        <v>46121</v>
      </c>
      <c r="D705" t="inlineStr">
        <is>
          <t>ÖSTERGÖTLANDS LÄN</t>
        </is>
      </c>
      <c r="E705" t="inlineStr">
        <is>
          <t>LINKÖPING</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11601-2023</t>
        </is>
      </c>
      <c r="B706" s="1" t="n">
        <v>44994</v>
      </c>
      <c r="C706" s="1" t="n">
        <v>46121</v>
      </c>
      <c r="D706" t="inlineStr">
        <is>
          <t>ÖSTERGÖTLANDS LÄN</t>
        </is>
      </c>
      <c r="E706" t="inlineStr">
        <is>
          <t>LINKÖPING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40338-2024</t>
        </is>
      </c>
      <c r="B707" s="1" t="n">
        <v>45555.32940972222</v>
      </c>
      <c r="C707" s="1" t="n">
        <v>46121</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167-2024</t>
        </is>
      </c>
      <c r="B708" s="1" t="n">
        <v>45294</v>
      </c>
      <c r="C708" s="1" t="n">
        <v>46121</v>
      </c>
      <c r="D708" t="inlineStr">
        <is>
          <t>ÖSTERGÖTLANDS LÄN</t>
        </is>
      </c>
      <c r="E708" t="inlineStr">
        <is>
          <t>LINKÖPING</t>
        </is>
      </c>
      <c r="F708" t="inlineStr">
        <is>
          <t>Allmännings- och besparingsskogar</t>
        </is>
      </c>
      <c r="G708" t="n">
        <v>11.6</v>
      </c>
      <c r="H708" t="n">
        <v>0</v>
      </c>
      <c r="I708" t="n">
        <v>0</v>
      </c>
      <c r="J708" t="n">
        <v>0</v>
      </c>
      <c r="K708" t="n">
        <v>0</v>
      </c>
      <c r="L708" t="n">
        <v>0</v>
      </c>
      <c r="M708" t="n">
        <v>0</v>
      </c>
      <c r="N708" t="n">
        <v>0</v>
      </c>
      <c r="O708" t="n">
        <v>0</v>
      </c>
      <c r="P708" t="n">
        <v>0</v>
      </c>
      <c r="Q708" t="n">
        <v>0</v>
      </c>
      <c r="R708" s="2" t="inlineStr"/>
    </row>
    <row r="709" ht="15" customHeight="1">
      <c r="A709" t="inlineStr">
        <is>
          <t>A 27186-2021</t>
        </is>
      </c>
      <c r="B709" s="1" t="n">
        <v>44350.67715277777</v>
      </c>
      <c r="C709" s="1" t="n">
        <v>46121</v>
      </c>
      <c r="D709" t="inlineStr">
        <is>
          <t>ÖSTERGÖTLANDS LÄN</t>
        </is>
      </c>
      <c r="E709" t="inlineStr">
        <is>
          <t>LINKÖPING</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7343-2025</t>
        </is>
      </c>
      <c r="B710" s="1" t="n">
        <v>45703.67853009259</v>
      </c>
      <c r="C710" s="1" t="n">
        <v>46121</v>
      </c>
      <c r="D710" t="inlineStr">
        <is>
          <t>ÖSTERGÖTLANDS LÄN</t>
        </is>
      </c>
      <c r="E710" t="inlineStr">
        <is>
          <t>LINKÖPING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48271-2023</t>
        </is>
      </c>
      <c r="B711" s="1" t="n">
        <v>45205</v>
      </c>
      <c r="C711" s="1" t="n">
        <v>46121</v>
      </c>
      <c r="D711" t="inlineStr">
        <is>
          <t>ÖSTERGÖTLANDS LÄN</t>
        </is>
      </c>
      <c r="E711" t="inlineStr">
        <is>
          <t>LINKÖPING</t>
        </is>
      </c>
      <c r="G711" t="n">
        <v>3</v>
      </c>
      <c r="H711" t="n">
        <v>0</v>
      </c>
      <c r="I711" t="n">
        <v>0</v>
      </c>
      <c r="J711" t="n">
        <v>0</v>
      </c>
      <c r="K711" t="n">
        <v>0</v>
      </c>
      <c r="L711" t="n">
        <v>0</v>
      </c>
      <c r="M711" t="n">
        <v>0</v>
      </c>
      <c r="N711" t="n">
        <v>0</v>
      </c>
      <c r="O711" t="n">
        <v>0</v>
      </c>
      <c r="P711" t="n">
        <v>0</v>
      </c>
      <c r="Q711" t="n">
        <v>0</v>
      </c>
      <c r="R711" s="2" t="inlineStr"/>
    </row>
    <row r="712" ht="15" customHeight="1">
      <c r="A712" t="inlineStr">
        <is>
          <t>A 12720-2022</t>
        </is>
      </c>
      <c r="B712" s="1" t="n">
        <v>44641</v>
      </c>
      <c r="C712" s="1" t="n">
        <v>46121</v>
      </c>
      <c r="D712" t="inlineStr">
        <is>
          <t>ÖSTERGÖTLANDS LÄN</t>
        </is>
      </c>
      <c r="E712" t="inlineStr">
        <is>
          <t>LINKÖPING</t>
        </is>
      </c>
      <c r="F712" t="inlineStr">
        <is>
          <t>Övriga Aktiebolag</t>
        </is>
      </c>
      <c r="G712" t="n">
        <v>2</v>
      </c>
      <c r="H712" t="n">
        <v>0</v>
      </c>
      <c r="I712" t="n">
        <v>0</v>
      </c>
      <c r="J712" t="n">
        <v>0</v>
      </c>
      <c r="K712" t="n">
        <v>0</v>
      </c>
      <c r="L712" t="n">
        <v>0</v>
      </c>
      <c r="M712" t="n">
        <v>0</v>
      </c>
      <c r="N712" t="n">
        <v>0</v>
      </c>
      <c r="O712" t="n">
        <v>0</v>
      </c>
      <c r="P712" t="n">
        <v>0</v>
      </c>
      <c r="Q712" t="n">
        <v>0</v>
      </c>
      <c r="R712" s="2" t="inlineStr"/>
    </row>
    <row r="713" ht="15" customHeight="1">
      <c r="A713" t="inlineStr">
        <is>
          <t>A 62018-2024</t>
        </is>
      </c>
      <c r="B713" s="1" t="n">
        <v>45655.81387731482</v>
      </c>
      <c r="C713" s="1" t="n">
        <v>46121</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30551-2023</t>
        </is>
      </c>
      <c r="B714" s="1" t="n">
        <v>45111</v>
      </c>
      <c r="C714" s="1" t="n">
        <v>46121</v>
      </c>
      <c r="D714" t="inlineStr">
        <is>
          <t>ÖSTERGÖTLANDS LÄN</t>
        </is>
      </c>
      <c r="E714" t="inlineStr">
        <is>
          <t>LINKÖPING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30860-2022</t>
        </is>
      </c>
      <c r="B715" s="1" t="n">
        <v>44767</v>
      </c>
      <c r="C715" s="1" t="n">
        <v>46121</v>
      </c>
      <c r="D715" t="inlineStr">
        <is>
          <t>ÖSTERGÖTLANDS LÄN</t>
        </is>
      </c>
      <c r="E715" t="inlineStr">
        <is>
          <t>LINKÖPING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60004-2022</t>
        </is>
      </c>
      <c r="B716" s="1" t="n">
        <v>44909.47206018519</v>
      </c>
      <c r="C716" s="1" t="n">
        <v>46121</v>
      </c>
      <c r="D716" t="inlineStr">
        <is>
          <t>ÖSTERGÖTLANDS LÄN</t>
        </is>
      </c>
      <c r="E716" t="inlineStr">
        <is>
          <t>LINKÖPING</t>
        </is>
      </c>
      <c r="G716" t="n">
        <v>2.2</v>
      </c>
      <c r="H716" t="n">
        <v>0</v>
      </c>
      <c r="I716" t="n">
        <v>0</v>
      </c>
      <c r="J716" t="n">
        <v>0</v>
      </c>
      <c r="K716" t="n">
        <v>0</v>
      </c>
      <c r="L716" t="n">
        <v>0</v>
      </c>
      <c r="M716" t="n">
        <v>0</v>
      </c>
      <c r="N716" t="n">
        <v>0</v>
      </c>
      <c r="O716" t="n">
        <v>0</v>
      </c>
      <c r="P716" t="n">
        <v>0</v>
      </c>
      <c r="Q716" t="n">
        <v>0</v>
      </c>
      <c r="R716" s="2" t="inlineStr"/>
    </row>
    <row r="717" ht="15" customHeight="1">
      <c r="A717" t="inlineStr">
        <is>
          <t>A 60010-2022</t>
        </is>
      </c>
      <c r="B717" s="1" t="n">
        <v>44909.4740625</v>
      </c>
      <c r="C717" s="1" t="n">
        <v>46121</v>
      </c>
      <c r="D717" t="inlineStr">
        <is>
          <t>ÖSTERGÖTLANDS LÄN</t>
        </is>
      </c>
      <c r="E717" t="inlineStr">
        <is>
          <t>LINKÖPING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53827-2023</t>
        </is>
      </c>
      <c r="B718" s="1" t="n">
        <v>45230</v>
      </c>
      <c r="C718" s="1" t="n">
        <v>46121</v>
      </c>
      <c r="D718" t="inlineStr">
        <is>
          <t>ÖSTERGÖTLANDS LÄN</t>
        </is>
      </c>
      <c r="E718" t="inlineStr">
        <is>
          <t>LINKÖPING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4256-2022</t>
        </is>
      </c>
      <c r="B719" s="1" t="n">
        <v>44588</v>
      </c>
      <c r="C719" s="1" t="n">
        <v>46121</v>
      </c>
      <c r="D719" t="inlineStr">
        <is>
          <t>ÖSTERGÖTLANDS LÄN</t>
        </is>
      </c>
      <c r="E719" t="inlineStr">
        <is>
          <t>LINKÖPING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61649-2023</t>
        </is>
      </c>
      <c r="B720" s="1" t="n">
        <v>45265</v>
      </c>
      <c r="C720" s="1" t="n">
        <v>46121</v>
      </c>
      <c r="D720" t="inlineStr">
        <is>
          <t>ÖSTERGÖTLANDS LÄN</t>
        </is>
      </c>
      <c r="E720" t="inlineStr">
        <is>
          <t>LINKÖPING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223-2024</t>
        </is>
      </c>
      <c r="B721" s="1" t="n">
        <v>45294.72739583333</v>
      </c>
      <c r="C721" s="1" t="n">
        <v>46121</v>
      </c>
      <c r="D721" t="inlineStr">
        <is>
          <t>ÖSTERGÖTLANDS LÄN</t>
        </is>
      </c>
      <c r="E721" t="inlineStr">
        <is>
          <t>LINKÖPING</t>
        </is>
      </c>
      <c r="G721" t="n">
        <v>2.2</v>
      </c>
      <c r="H721" t="n">
        <v>0</v>
      </c>
      <c r="I721" t="n">
        <v>0</v>
      </c>
      <c r="J721" t="n">
        <v>0</v>
      </c>
      <c r="K721" t="n">
        <v>0</v>
      </c>
      <c r="L721" t="n">
        <v>0</v>
      </c>
      <c r="M721" t="n">
        <v>0</v>
      </c>
      <c r="N721" t="n">
        <v>0</v>
      </c>
      <c r="O721" t="n">
        <v>0</v>
      </c>
      <c r="P721" t="n">
        <v>0</v>
      </c>
      <c r="Q721" t="n">
        <v>0</v>
      </c>
      <c r="R721" s="2" t="inlineStr"/>
    </row>
    <row r="722" ht="15" customHeight="1">
      <c r="A722" t="inlineStr">
        <is>
          <t>A 19464-2024</t>
        </is>
      </c>
      <c r="B722" s="1" t="n">
        <v>45429</v>
      </c>
      <c r="C722" s="1" t="n">
        <v>46121</v>
      </c>
      <c r="D722" t="inlineStr">
        <is>
          <t>ÖSTERGÖTLANDS LÄN</t>
        </is>
      </c>
      <c r="E722" t="inlineStr">
        <is>
          <t>LINKÖPING</t>
        </is>
      </c>
      <c r="G722" t="n">
        <v>2.7</v>
      </c>
      <c r="H722" t="n">
        <v>0</v>
      </c>
      <c r="I722" t="n">
        <v>0</v>
      </c>
      <c r="J722" t="n">
        <v>0</v>
      </c>
      <c r="K722" t="n">
        <v>0</v>
      </c>
      <c r="L722" t="n">
        <v>0</v>
      </c>
      <c r="M722" t="n">
        <v>0</v>
      </c>
      <c r="N722" t="n">
        <v>0</v>
      </c>
      <c r="O722" t="n">
        <v>0</v>
      </c>
      <c r="P722" t="n">
        <v>0</v>
      </c>
      <c r="Q722" t="n">
        <v>0</v>
      </c>
      <c r="R722" s="2" t="inlineStr"/>
    </row>
    <row r="723" ht="15" customHeight="1">
      <c r="A723" t="inlineStr">
        <is>
          <t>A 630-2024</t>
        </is>
      </c>
      <c r="B723" s="1" t="n">
        <v>45299.67736111111</v>
      </c>
      <c r="C723" s="1" t="n">
        <v>46121</v>
      </c>
      <c r="D723" t="inlineStr">
        <is>
          <t>ÖSTERGÖTLANDS LÄN</t>
        </is>
      </c>
      <c r="E723" t="inlineStr">
        <is>
          <t>LINKÖPING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30433-2024</t>
        </is>
      </c>
      <c r="B724" s="1" t="n">
        <v>45491.69741898148</v>
      </c>
      <c r="C724" s="1" t="n">
        <v>46121</v>
      </c>
      <c r="D724" t="inlineStr">
        <is>
          <t>ÖSTERGÖTLANDS LÄN</t>
        </is>
      </c>
      <c r="E724" t="inlineStr">
        <is>
          <t>LINKÖPING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63528-2023</t>
        </is>
      </c>
      <c r="B725" s="1" t="n">
        <v>45274.94810185185</v>
      </c>
      <c r="C725" s="1" t="n">
        <v>46121</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61936-2023</t>
        </is>
      </c>
      <c r="B726" s="1" t="n">
        <v>45266.54534722222</v>
      </c>
      <c r="C726" s="1" t="n">
        <v>46121</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62492-2023</t>
        </is>
      </c>
      <c r="B727" s="1" t="n">
        <v>45268.58987268519</v>
      </c>
      <c r="C727" s="1" t="n">
        <v>46121</v>
      </c>
      <c r="D727" t="inlineStr">
        <is>
          <t>ÖSTERGÖTLANDS LÄN</t>
        </is>
      </c>
      <c r="E727" t="inlineStr">
        <is>
          <t>LINKÖPING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674-2024</t>
        </is>
      </c>
      <c r="B728" s="1" t="n">
        <v>45300.34408564815</v>
      </c>
      <c r="C728" s="1" t="n">
        <v>46121</v>
      </c>
      <c r="D728" t="inlineStr">
        <is>
          <t>ÖSTERGÖTLANDS LÄN</t>
        </is>
      </c>
      <c r="E728" t="inlineStr">
        <is>
          <t>LINKÖPING</t>
        </is>
      </c>
      <c r="F728" t="inlineStr">
        <is>
          <t>Sveaskog</t>
        </is>
      </c>
      <c r="G728" t="n">
        <v>2.9</v>
      </c>
      <c r="H728" t="n">
        <v>0</v>
      </c>
      <c r="I728" t="n">
        <v>0</v>
      </c>
      <c r="J728" t="n">
        <v>0</v>
      </c>
      <c r="K728" t="n">
        <v>0</v>
      </c>
      <c r="L728" t="n">
        <v>0</v>
      </c>
      <c r="M728" t="n">
        <v>0</v>
      </c>
      <c r="N728" t="n">
        <v>0</v>
      </c>
      <c r="O728" t="n">
        <v>0</v>
      </c>
      <c r="P728" t="n">
        <v>0</v>
      </c>
      <c r="Q728" t="n">
        <v>0</v>
      </c>
      <c r="R728" s="2" t="inlineStr"/>
    </row>
    <row r="729" ht="15" customHeight="1">
      <c r="A729" t="inlineStr">
        <is>
          <t>A 6782-2024</t>
        </is>
      </c>
      <c r="B729" s="1" t="n">
        <v>45342</v>
      </c>
      <c r="C729" s="1" t="n">
        <v>46121</v>
      </c>
      <c r="D729" t="inlineStr">
        <is>
          <t>ÖSTERGÖTLANDS LÄN</t>
        </is>
      </c>
      <c r="E729" t="inlineStr">
        <is>
          <t>LINKÖPING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10094-2024</t>
        </is>
      </c>
      <c r="B730" s="1" t="n">
        <v>45364</v>
      </c>
      <c r="C730" s="1" t="n">
        <v>46121</v>
      </c>
      <c r="D730" t="inlineStr">
        <is>
          <t>ÖSTERGÖTLANDS LÄN</t>
        </is>
      </c>
      <c r="E730" t="inlineStr">
        <is>
          <t>LINKÖPING</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63684-2023</t>
        </is>
      </c>
      <c r="B731" s="1" t="n">
        <v>45275</v>
      </c>
      <c r="C731" s="1" t="n">
        <v>46121</v>
      </c>
      <c r="D731" t="inlineStr">
        <is>
          <t>ÖSTERGÖTLANDS LÄN</t>
        </is>
      </c>
      <c r="E731" t="inlineStr">
        <is>
          <t>LINKÖPING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63688-2023</t>
        </is>
      </c>
      <c r="B732" s="1" t="n">
        <v>45275</v>
      </c>
      <c r="C732" s="1" t="n">
        <v>46121</v>
      </c>
      <c r="D732" t="inlineStr">
        <is>
          <t>ÖSTERGÖTLANDS LÄN</t>
        </is>
      </c>
      <c r="E732" t="inlineStr">
        <is>
          <t>LINKÖPING</t>
        </is>
      </c>
      <c r="F732" t="inlineStr">
        <is>
          <t>Övriga Aktiebolag</t>
        </is>
      </c>
      <c r="G732" t="n">
        <v>2.4</v>
      </c>
      <c r="H732" t="n">
        <v>0</v>
      </c>
      <c r="I732" t="n">
        <v>0</v>
      </c>
      <c r="J732" t="n">
        <v>0</v>
      </c>
      <c r="K732" t="n">
        <v>0</v>
      </c>
      <c r="L732" t="n">
        <v>0</v>
      </c>
      <c r="M732" t="n">
        <v>0</v>
      </c>
      <c r="N732" t="n">
        <v>0</v>
      </c>
      <c r="O732" t="n">
        <v>0</v>
      </c>
      <c r="P732" t="n">
        <v>0</v>
      </c>
      <c r="Q732" t="n">
        <v>0</v>
      </c>
      <c r="R732" s="2" t="inlineStr"/>
    </row>
    <row r="733" ht="15" customHeight="1">
      <c r="A733" t="inlineStr">
        <is>
          <t>A 63691-2023</t>
        </is>
      </c>
      <c r="B733" s="1" t="n">
        <v>45275</v>
      </c>
      <c r="C733" s="1" t="n">
        <v>46121</v>
      </c>
      <c r="D733" t="inlineStr">
        <is>
          <t>ÖSTERGÖTLANDS LÄN</t>
        </is>
      </c>
      <c r="E733" t="inlineStr">
        <is>
          <t>LINKÖPING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36657-2023</t>
        </is>
      </c>
      <c r="B734" s="1" t="n">
        <v>45153.5702662037</v>
      </c>
      <c r="C734" s="1" t="n">
        <v>46121</v>
      </c>
      <c r="D734" t="inlineStr">
        <is>
          <t>ÖSTERGÖTLANDS LÄN</t>
        </is>
      </c>
      <c r="E734" t="inlineStr">
        <is>
          <t>LINKÖPING</t>
        </is>
      </c>
      <c r="F734" t="inlineStr">
        <is>
          <t>Allmännings- och besparingsskogar</t>
        </is>
      </c>
      <c r="G734" t="n">
        <v>2</v>
      </c>
      <c r="H734" t="n">
        <v>0</v>
      </c>
      <c r="I734" t="n">
        <v>0</v>
      </c>
      <c r="J734" t="n">
        <v>0</v>
      </c>
      <c r="K734" t="n">
        <v>0</v>
      </c>
      <c r="L734" t="n">
        <v>0</v>
      </c>
      <c r="M734" t="n">
        <v>0</v>
      </c>
      <c r="N734" t="n">
        <v>0</v>
      </c>
      <c r="O734" t="n">
        <v>0</v>
      </c>
      <c r="P734" t="n">
        <v>0</v>
      </c>
      <c r="Q734" t="n">
        <v>0</v>
      </c>
      <c r="R734" s="2" t="inlineStr"/>
    </row>
    <row r="735" ht="15" customHeight="1">
      <c r="A735" t="inlineStr">
        <is>
          <t>A 14667-2024</t>
        </is>
      </c>
      <c r="B735" s="1" t="n">
        <v>45397.42005787037</v>
      </c>
      <c r="C735" s="1" t="n">
        <v>46121</v>
      </c>
      <c r="D735" t="inlineStr">
        <is>
          <t>ÖSTERGÖTLANDS LÄN</t>
        </is>
      </c>
      <c r="E735" t="inlineStr">
        <is>
          <t>LINKÖPING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15714-2024</t>
        </is>
      </c>
      <c r="B736" s="1" t="n">
        <v>45404.48288194444</v>
      </c>
      <c r="C736" s="1" t="n">
        <v>46121</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37715-2022</t>
        </is>
      </c>
      <c r="B737" s="1" t="n">
        <v>44810</v>
      </c>
      <c r="C737" s="1" t="n">
        <v>46121</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30429-2024</t>
        </is>
      </c>
      <c r="B738" s="1" t="n">
        <v>45491.68972222223</v>
      </c>
      <c r="C738" s="1" t="n">
        <v>46121</v>
      </c>
      <c r="D738" t="inlineStr">
        <is>
          <t>ÖSTERGÖTLANDS LÄN</t>
        </is>
      </c>
      <c r="E738" t="inlineStr">
        <is>
          <t>LINKÖPING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30435-2024</t>
        </is>
      </c>
      <c r="B739" s="1" t="n">
        <v>45491.69962962963</v>
      </c>
      <c r="C739" s="1" t="n">
        <v>46121</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row r="740" ht="15" customHeight="1">
      <c r="A740" t="inlineStr">
        <is>
          <t>A 38231-2022</t>
        </is>
      </c>
      <c r="B740" s="1" t="n">
        <v>44812</v>
      </c>
      <c r="C740" s="1" t="n">
        <v>46121</v>
      </c>
      <c r="D740" t="inlineStr">
        <is>
          <t>ÖSTERGÖTLANDS LÄN</t>
        </is>
      </c>
      <c r="E740" t="inlineStr">
        <is>
          <t>LINKÖPING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34557-2022</t>
        </is>
      </c>
      <c r="B741" s="1" t="n">
        <v>44794.57074074074</v>
      </c>
      <c r="C741" s="1" t="n">
        <v>46121</v>
      </c>
      <c r="D741" t="inlineStr">
        <is>
          <t>ÖSTERGÖTLANDS LÄN</t>
        </is>
      </c>
      <c r="E741" t="inlineStr">
        <is>
          <t>LINKÖPING</t>
        </is>
      </c>
      <c r="G741" t="n">
        <v>1.8</v>
      </c>
      <c r="H741" t="n">
        <v>0</v>
      </c>
      <c r="I741" t="n">
        <v>0</v>
      </c>
      <c r="J741" t="n">
        <v>0</v>
      </c>
      <c r="K741" t="n">
        <v>0</v>
      </c>
      <c r="L741" t="n">
        <v>0</v>
      </c>
      <c r="M741" t="n">
        <v>0</v>
      </c>
      <c r="N741" t="n">
        <v>0</v>
      </c>
      <c r="O741" t="n">
        <v>0</v>
      </c>
      <c r="P741" t="n">
        <v>0</v>
      </c>
      <c r="Q741" t="n">
        <v>0</v>
      </c>
      <c r="R741" s="2" t="inlineStr"/>
    </row>
    <row r="742" ht="15" customHeight="1">
      <c r="A742" t="inlineStr">
        <is>
          <t>A 13011-2022</t>
        </is>
      </c>
      <c r="B742" s="1" t="n">
        <v>44643</v>
      </c>
      <c r="C742" s="1" t="n">
        <v>46121</v>
      </c>
      <c r="D742" t="inlineStr">
        <is>
          <t>ÖSTERGÖTLANDS LÄN</t>
        </is>
      </c>
      <c r="E742" t="inlineStr">
        <is>
          <t>LINKÖPING</t>
        </is>
      </c>
      <c r="G742" t="n">
        <v>3.7</v>
      </c>
      <c r="H742" t="n">
        <v>0</v>
      </c>
      <c r="I742" t="n">
        <v>0</v>
      </c>
      <c r="J742" t="n">
        <v>0</v>
      </c>
      <c r="K742" t="n">
        <v>0</v>
      </c>
      <c r="L742" t="n">
        <v>0</v>
      </c>
      <c r="M742" t="n">
        <v>0</v>
      </c>
      <c r="N742" t="n">
        <v>0</v>
      </c>
      <c r="O742" t="n">
        <v>0</v>
      </c>
      <c r="P742" t="n">
        <v>0</v>
      </c>
      <c r="Q742" t="n">
        <v>0</v>
      </c>
      <c r="R742" s="2" t="inlineStr"/>
    </row>
    <row r="743" ht="15" customHeight="1">
      <c r="A743" t="inlineStr">
        <is>
          <t>A 617-2024</t>
        </is>
      </c>
      <c r="B743" s="1" t="n">
        <v>45299.66028935185</v>
      </c>
      <c r="C743" s="1" t="n">
        <v>46121</v>
      </c>
      <c r="D743" t="inlineStr">
        <is>
          <t>ÖSTERGÖTLANDS LÄN</t>
        </is>
      </c>
      <c r="E743" t="inlineStr">
        <is>
          <t>LINKÖPING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19362-2023</t>
        </is>
      </c>
      <c r="B744" s="1" t="n">
        <v>45049</v>
      </c>
      <c r="C744" s="1" t="n">
        <v>46121</v>
      </c>
      <c r="D744" t="inlineStr">
        <is>
          <t>ÖSTERGÖTLANDS LÄN</t>
        </is>
      </c>
      <c r="E744" t="inlineStr">
        <is>
          <t>LINKÖPING</t>
        </is>
      </c>
      <c r="G744" t="n">
        <v>0.1</v>
      </c>
      <c r="H744" t="n">
        <v>0</v>
      </c>
      <c r="I744" t="n">
        <v>0</v>
      </c>
      <c r="J744" t="n">
        <v>0</v>
      </c>
      <c r="K744" t="n">
        <v>0</v>
      </c>
      <c r="L744" t="n">
        <v>0</v>
      </c>
      <c r="M744" t="n">
        <v>0</v>
      </c>
      <c r="N744" t="n">
        <v>0</v>
      </c>
      <c r="O744" t="n">
        <v>0</v>
      </c>
      <c r="P744" t="n">
        <v>0</v>
      </c>
      <c r="Q744" t="n">
        <v>0</v>
      </c>
      <c r="R744" s="2" t="inlineStr"/>
    </row>
    <row r="745" ht="15" customHeight="1">
      <c r="A745" t="inlineStr">
        <is>
          <t>A 19132-2023</t>
        </is>
      </c>
      <c r="B745" s="1" t="n">
        <v>45048.54754629629</v>
      </c>
      <c r="C745" s="1" t="n">
        <v>46121</v>
      </c>
      <c r="D745" t="inlineStr">
        <is>
          <t>ÖSTERGÖTLANDS LÄN</t>
        </is>
      </c>
      <c r="E745" t="inlineStr">
        <is>
          <t>LINKÖPING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31635-2023</t>
        </is>
      </c>
      <c r="B746" s="1" t="n">
        <v>45105</v>
      </c>
      <c r="C746" s="1" t="n">
        <v>46121</v>
      </c>
      <c r="D746" t="inlineStr">
        <is>
          <t>ÖSTERGÖTLANDS LÄN</t>
        </is>
      </c>
      <c r="E746" t="inlineStr">
        <is>
          <t>LINKÖPING</t>
        </is>
      </c>
      <c r="F746" t="inlineStr">
        <is>
          <t>Övriga statliga verk och myndigheter</t>
        </is>
      </c>
      <c r="G746" t="n">
        <v>4.6</v>
      </c>
      <c r="H746" t="n">
        <v>0</v>
      </c>
      <c r="I746" t="n">
        <v>0</v>
      </c>
      <c r="J746" t="n">
        <v>0</v>
      </c>
      <c r="K746" t="n">
        <v>0</v>
      </c>
      <c r="L746" t="n">
        <v>0</v>
      </c>
      <c r="M746" t="n">
        <v>0</v>
      </c>
      <c r="N746" t="n">
        <v>0</v>
      </c>
      <c r="O746" t="n">
        <v>0</v>
      </c>
      <c r="P746" t="n">
        <v>0</v>
      </c>
      <c r="Q746" t="n">
        <v>0</v>
      </c>
      <c r="R746" s="2" t="inlineStr"/>
    </row>
    <row r="747" ht="15" customHeight="1">
      <c r="A747" t="inlineStr">
        <is>
          <t>A 20296-2025</t>
        </is>
      </c>
      <c r="B747" s="1" t="n">
        <v>45774.74922453704</v>
      </c>
      <c r="C747" s="1" t="n">
        <v>46121</v>
      </c>
      <c r="D747" t="inlineStr">
        <is>
          <t>ÖSTERGÖTLANDS LÄN</t>
        </is>
      </c>
      <c r="E747" t="inlineStr">
        <is>
          <t>LINKÖPING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22770-2024</t>
        </is>
      </c>
      <c r="B748" s="1" t="n">
        <v>45448.4634375</v>
      </c>
      <c r="C748" s="1" t="n">
        <v>46121</v>
      </c>
      <c r="D748" t="inlineStr">
        <is>
          <t>ÖSTERGÖTLANDS LÄN</t>
        </is>
      </c>
      <c r="E748" t="inlineStr">
        <is>
          <t>LINKÖPING</t>
        </is>
      </c>
      <c r="F748" t="inlineStr">
        <is>
          <t>Sveaskog</t>
        </is>
      </c>
      <c r="G748" t="n">
        <v>3.4</v>
      </c>
      <c r="H748" t="n">
        <v>0</v>
      </c>
      <c r="I748" t="n">
        <v>0</v>
      </c>
      <c r="J748" t="n">
        <v>0</v>
      </c>
      <c r="K748" t="n">
        <v>0</v>
      </c>
      <c r="L748" t="n">
        <v>0</v>
      </c>
      <c r="M748" t="n">
        <v>0</v>
      </c>
      <c r="N748" t="n">
        <v>0</v>
      </c>
      <c r="O748" t="n">
        <v>0</v>
      </c>
      <c r="P748" t="n">
        <v>0</v>
      </c>
      <c r="Q748" t="n">
        <v>0</v>
      </c>
      <c r="R748" s="2" t="inlineStr"/>
    </row>
    <row r="749" ht="15" customHeight="1">
      <c r="A749" t="inlineStr">
        <is>
          <t>A 11595-2025</t>
        </is>
      </c>
      <c r="B749" s="1" t="n">
        <v>45727.41893518518</v>
      </c>
      <c r="C749" s="1" t="n">
        <v>46121</v>
      </c>
      <c r="D749" t="inlineStr">
        <is>
          <t>ÖSTERGÖTLANDS LÄN</t>
        </is>
      </c>
      <c r="E749" t="inlineStr">
        <is>
          <t>LINKÖPING</t>
        </is>
      </c>
      <c r="G749" t="n">
        <v>6.6</v>
      </c>
      <c r="H749" t="n">
        <v>0</v>
      </c>
      <c r="I749" t="n">
        <v>0</v>
      </c>
      <c r="J749" t="n">
        <v>0</v>
      </c>
      <c r="K749" t="n">
        <v>0</v>
      </c>
      <c r="L749" t="n">
        <v>0</v>
      </c>
      <c r="M749" t="n">
        <v>0</v>
      </c>
      <c r="N749" t="n">
        <v>0</v>
      </c>
      <c r="O749" t="n">
        <v>0</v>
      </c>
      <c r="P749" t="n">
        <v>0</v>
      </c>
      <c r="Q749" t="n">
        <v>0</v>
      </c>
      <c r="R749" s="2" t="inlineStr"/>
    </row>
    <row r="750" ht="15" customHeight="1">
      <c r="A750" t="inlineStr">
        <is>
          <t>A 48839-2022</t>
        </is>
      </c>
      <c r="B750" s="1" t="n">
        <v>44859</v>
      </c>
      <c r="C750" s="1" t="n">
        <v>46121</v>
      </c>
      <c r="D750" t="inlineStr">
        <is>
          <t>ÖSTERGÖTLANDS LÄN</t>
        </is>
      </c>
      <c r="E750" t="inlineStr">
        <is>
          <t>LINKÖPING</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8967-2025</t>
        </is>
      </c>
      <c r="B751" s="1" t="n">
        <v>45712</v>
      </c>
      <c r="C751" s="1" t="n">
        <v>46121</v>
      </c>
      <c r="D751" t="inlineStr">
        <is>
          <t>ÖSTERGÖTLANDS LÄN</t>
        </is>
      </c>
      <c r="E751" t="inlineStr">
        <is>
          <t>LINKÖPING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63678-2023</t>
        </is>
      </c>
      <c r="B752" s="1" t="n">
        <v>45275.64769675926</v>
      </c>
      <c r="C752" s="1" t="n">
        <v>46121</v>
      </c>
      <c r="D752" t="inlineStr">
        <is>
          <t>ÖSTERGÖTLANDS LÄN</t>
        </is>
      </c>
      <c r="E752" t="inlineStr">
        <is>
          <t>LINKÖPING</t>
        </is>
      </c>
      <c r="F752" t="inlineStr">
        <is>
          <t>Övriga Aktiebolag</t>
        </is>
      </c>
      <c r="G752" t="n">
        <v>0.4</v>
      </c>
      <c r="H752" t="n">
        <v>0</v>
      </c>
      <c r="I752" t="n">
        <v>0</v>
      </c>
      <c r="J752" t="n">
        <v>0</v>
      </c>
      <c r="K752" t="n">
        <v>0</v>
      </c>
      <c r="L752" t="n">
        <v>0</v>
      </c>
      <c r="M752" t="n">
        <v>0</v>
      </c>
      <c r="N752" t="n">
        <v>0</v>
      </c>
      <c r="O752" t="n">
        <v>0</v>
      </c>
      <c r="P752" t="n">
        <v>0</v>
      </c>
      <c r="Q752" t="n">
        <v>0</v>
      </c>
      <c r="R752" s="2" t="inlineStr"/>
    </row>
    <row r="753" ht="15" customHeight="1">
      <c r="A753" t="inlineStr">
        <is>
          <t>A 1844-2025</t>
        </is>
      </c>
      <c r="B753" s="1" t="n">
        <v>45671.57730324074</v>
      </c>
      <c r="C753" s="1" t="n">
        <v>46121</v>
      </c>
      <c r="D753" t="inlineStr">
        <is>
          <t>ÖSTERGÖTLANDS LÄN</t>
        </is>
      </c>
      <c r="E753" t="inlineStr">
        <is>
          <t>LINKÖPING</t>
        </is>
      </c>
      <c r="G753" t="n">
        <v>2</v>
      </c>
      <c r="H753" t="n">
        <v>0</v>
      </c>
      <c r="I753" t="n">
        <v>0</v>
      </c>
      <c r="J753" t="n">
        <v>0</v>
      </c>
      <c r="K753" t="n">
        <v>0</v>
      </c>
      <c r="L753" t="n">
        <v>0</v>
      </c>
      <c r="M753" t="n">
        <v>0</v>
      </c>
      <c r="N753" t="n">
        <v>0</v>
      </c>
      <c r="O753" t="n">
        <v>0</v>
      </c>
      <c r="P753" t="n">
        <v>0</v>
      </c>
      <c r="Q753" t="n">
        <v>0</v>
      </c>
      <c r="R753" s="2" t="inlineStr"/>
    </row>
    <row r="754" ht="15" customHeight="1">
      <c r="A754" t="inlineStr">
        <is>
          <t>A 21165-2025</t>
        </is>
      </c>
      <c r="B754" s="1" t="n">
        <v>45779.39417824074</v>
      </c>
      <c r="C754" s="1" t="n">
        <v>46121</v>
      </c>
      <c r="D754" t="inlineStr">
        <is>
          <t>ÖSTERGÖTLANDS LÄN</t>
        </is>
      </c>
      <c r="E754" t="inlineStr">
        <is>
          <t>LINKÖPING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21155-2025</t>
        </is>
      </c>
      <c r="B755" s="1" t="n">
        <v>45779.37586805555</v>
      </c>
      <c r="C755" s="1" t="n">
        <v>46121</v>
      </c>
      <c r="D755" t="inlineStr">
        <is>
          <t>ÖSTERGÖTLANDS LÄN</t>
        </is>
      </c>
      <c r="E755" t="inlineStr">
        <is>
          <t>LINKÖPING</t>
        </is>
      </c>
      <c r="G755" t="n">
        <v>0.5</v>
      </c>
      <c r="H755" t="n">
        <v>0</v>
      </c>
      <c r="I755" t="n">
        <v>0</v>
      </c>
      <c r="J755" t="n">
        <v>0</v>
      </c>
      <c r="K755" t="n">
        <v>0</v>
      </c>
      <c r="L755" t="n">
        <v>0</v>
      </c>
      <c r="M755" t="n">
        <v>0</v>
      </c>
      <c r="N755" t="n">
        <v>0</v>
      </c>
      <c r="O755" t="n">
        <v>0</v>
      </c>
      <c r="P755" t="n">
        <v>0</v>
      </c>
      <c r="Q755" t="n">
        <v>0</v>
      </c>
      <c r="R755" s="2" t="inlineStr"/>
    </row>
    <row r="756">
      <c r="A756" t="inlineStr">
        <is>
          <t>A 22264-2025</t>
        </is>
      </c>
      <c r="B756" s="1" t="n">
        <v>45785</v>
      </c>
      <c r="C756" s="1" t="n">
        <v>46121</v>
      </c>
      <c r="D756" t="inlineStr">
        <is>
          <t>ÖSTERGÖTLANDS LÄN</t>
        </is>
      </c>
      <c r="E756" t="inlineStr">
        <is>
          <t>LINKÖPING</t>
        </is>
      </c>
      <c r="G756" t="n">
        <v>1.1</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2026-04-09T10:48:21Z</dcterms:created>
  <dcterms:modified xmlns:dcterms="http://purl.org/dc/terms/" xmlns:xsi="http://www.w3.org/2001/XMLSchema-instance" xsi:type="dcterms:W3CDTF">2026-04-09T10:48:22Z</dcterms:modified>
</cp:coreProperties>
</file>