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45841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45841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45841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45841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45841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45841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45841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45841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45841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45841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45841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45841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45841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45841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45841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45841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45841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45841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45841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45841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45841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45841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45841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45841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45841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45841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45841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45841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45841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45841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45841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45841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45841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17275-2025</t>
        </is>
      </c>
      <c r="B35" s="1" t="n">
        <v>45756</v>
      </c>
      <c r="C35" s="1" t="n">
        <v>45841</v>
      </c>
      <c r="D35" t="inlineStr">
        <is>
          <t>ÖSTERGÖTLANDS LÄN</t>
        </is>
      </c>
      <c r="E35" t="inlineStr">
        <is>
          <t>LINKÖPING</t>
        </is>
      </c>
      <c r="G35" t="n">
        <v>2.9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Fällmossa
Platt fjädermossa</t>
        </is>
      </c>
      <c r="S35">
        <f>HYPERLINK("https://klasma.github.io/Logging_050580/artfynd/A 17275-2025 artfynd.xlsx", "A 17275-2025")</f>
        <v/>
      </c>
      <c r="T35">
        <f>HYPERLINK("https://klasma.github.io/Logging_050580/kartor/A 17275-2025 karta.png", "A 17275-2025")</f>
        <v/>
      </c>
      <c r="V35">
        <f>HYPERLINK("https://klasma.github.io/Logging_050580/klagomål/A 17275-2025 FSC-klagomål.docx", "A 17275-2025")</f>
        <v/>
      </c>
      <c r="W35">
        <f>HYPERLINK("https://klasma.github.io/Logging_050580/klagomålsmail/A 17275-2025 FSC-klagomål mail.docx", "A 17275-2025")</f>
        <v/>
      </c>
      <c r="X35">
        <f>HYPERLINK("https://klasma.github.io/Logging_050580/tillsyn/A 17275-2025 tillsynsbegäran.docx", "A 17275-2025")</f>
        <v/>
      </c>
      <c r="Y35">
        <f>HYPERLINK("https://klasma.github.io/Logging_050580/tillsynsmail/A 17275-2025 tillsynsbegäran mail.docx", "A 17275-2025")</f>
        <v/>
      </c>
      <c r="Z35">
        <f>HYPERLINK("https://klasma.github.io/Logging_050580/fåglar/A 17275-2025 prioriterade fågelarter.docx", "A 17275-2025")</f>
        <v/>
      </c>
    </row>
    <row r="36" ht="15" customHeight="1">
      <c r="A36" t="inlineStr">
        <is>
          <t>A 39326-2019</t>
        </is>
      </c>
      <c r="B36" s="1" t="n">
        <v>43690</v>
      </c>
      <c r="C36" s="1" t="n">
        <v>45841</v>
      </c>
      <c r="D36" t="inlineStr">
        <is>
          <t>ÖSTERGÖTLANDS LÄN</t>
        </is>
      </c>
      <c r="E36" t="inlineStr">
        <is>
          <t>LINKÖPING</t>
        </is>
      </c>
      <c r="G36" t="n">
        <v>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Säfferot</t>
        </is>
      </c>
      <c r="S36">
        <f>HYPERLINK("https://klasma.github.io/Logging_0580/artfynd/A 39326-2019 artfynd.xlsx", "A 39326-2019")</f>
        <v/>
      </c>
      <c r="T36">
        <f>HYPERLINK("https://klasma.github.io/Logging_0580/kartor/A 39326-2019 karta.png", "A 39326-2019")</f>
        <v/>
      </c>
      <c r="V36">
        <f>HYPERLINK("https://klasma.github.io/Logging_0580/klagomål/A 39326-2019 FSC-klagomål.docx", "A 39326-2019")</f>
        <v/>
      </c>
      <c r="W36">
        <f>HYPERLINK("https://klasma.github.io/Logging_0580/klagomålsmail/A 39326-2019 FSC-klagomål mail.docx", "A 39326-2019")</f>
        <v/>
      </c>
      <c r="X36">
        <f>HYPERLINK("https://klasma.github.io/Logging_0580/tillsyn/A 39326-2019 tillsynsbegäran.docx", "A 39326-2019")</f>
        <v/>
      </c>
      <c r="Y36">
        <f>HYPERLINK("https://klasma.github.io/Logging_0580/tillsynsmail/A 39326-2019 tillsynsbegäran mail.docx", "A 39326-2019")</f>
        <v/>
      </c>
    </row>
    <row r="37" ht="15" customHeight="1">
      <c r="A37" t="inlineStr">
        <is>
          <t>A 45531-2019</t>
        </is>
      </c>
      <c r="B37" s="1" t="n">
        <v>43714</v>
      </c>
      <c r="C37" s="1" t="n">
        <v>45841</v>
      </c>
      <c r="D37" t="inlineStr">
        <is>
          <t>ÖSTERGÖTLANDS LÄN</t>
        </is>
      </c>
      <c r="E37" t="inlineStr">
        <is>
          <t>LINKÖPING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Grönvit nattviol</t>
        </is>
      </c>
      <c r="S37">
        <f>HYPERLINK("https://klasma.github.io/Logging_0580/artfynd/A 45531-2019 artfynd.xlsx", "A 45531-2019")</f>
        <v/>
      </c>
      <c r="T37">
        <f>HYPERLINK("https://klasma.github.io/Logging_0580/kartor/A 45531-2019 karta.png", "A 45531-2019")</f>
        <v/>
      </c>
      <c r="V37">
        <f>HYPERLINK("https://klasma.github.io/Logging_0580/klagomål/A 45531-2019 FSC-klagomål.docx", "A 45531-2019")</f>
        <v/>
      </c>
      <c r="W37">
        <f>HYPERLINK("https://klasma.github.io/Logging_0580/klagomålsmail/A 45531-2019 FSC-klagomål mail.docx", "A 45531-2019")</f>
        <v/>
      </c>
      <c r="X37">
        <f>HYPERLINK("https://klasma.github.io/Logging_0580/tillsyn/A 45531-2019 tillsynsbegäran.docx", "A 45531-2019")</f>
        <v/>
      </c>
      <c r="Y37">
        <f>HYPERLINK("https://klasma.github.io/Logging_0580/tillsynsmail/A 45531-2019 tillsynsbegäran mail.docx", "A 45531-2019")</f>
        <v/>
      </c>
    </row>
    <row r="38" ht="15" customHeight="1">
      <c r="A38" t="inlineStr">
        <is>
          <t>A 55928-2019</t>
        </is>
      </c>
      <c r="B38" s="1" t="n">
        <v>43761</v>
      </c>
      <c r="C38" s="1" t="n">
        <v>45841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Gulpudrad spiklav</t>
        </is>
      </c>
      <c r="S38">
        <f>HYPERLINK("https://klasma.github.io/Logging_0580/artfynd/A 55928-2019 artfynd.xlsx", "A 55928-2019")</f>
        <v/>
      </c>
      <c r="T38">
        <f>HYPERLINK("https://klasma.github.io/Logging_0580/kartor/A 55928-2019 karta.png", "A 55928-2019")</f>
        <v/>
      </c>
      <c r="V38">
        <f>HYPERLINK("https://klasma.github.io/Logging_0580/klagomål/A 55928-2019 FSC-klagomål.docx", "A 55928-2019")</f>
        <v/>
      </c>
      <c r="W38">
        <f>HYPERLINK("https://klasma.github.io/Logging_0580/klagomålsmail/A 55928-2019 FSC-klagomål mail.docx", "A 55928-2019")</f>
        <v/>
      </c>
      <c r="X38">
        <f>HYPERLINK("https://klasma.github.io/Logging_0580/tillsyn/A 55928-2019 tillsynsbegäran.docx", "A 55928-2019")</f>
        <v/>
      </c>
      <c r="Y38">
        <f>HYPERLINK("https://klasma.github.io/Logging_0580/tillsynsmail/A 55928-2019 tillsynsbegäran mail.docx", "A 55928-2019")</f>
        <v/>
      </c>
    </row>
    <row r="39" ht="15" customHeight="1">
      <c r="A39" t="inlineStr">
        <is>
          <t>A 9820-2020</t>
        </is>
      </c>
      <c r="B39" s="1" t="n">
        <v>43881</v>
      </c>
      <c r="C39" s="1" t="n">
        <v>45841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24.8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Ekoxe</t>
        </is>
      </c>
      <c r="S39">
        <f>HYPERLINK("https://klasma.github.io/Logging_0580/artfynd/A 9820-2020 artfynd.xlsx", "A 9820-2020")</f>
        <v/>
      </c>
      <c r="T39">
        <f>HYPERLINK("https://klasma.github.io/Logging_0580/kartor/A 9820-2020 karta.png", "A 9820-2020")</f>
        <v/>
      </c>
      <c r="V39">
        <f>HYPERLINK("https://klasma.github.io/Logging_0580/klagomål/A 9820-2020 FSC-klagomål.docx", "A 9820-2020")</f>
        <v/>
      </c>
      <c r="W39">
        <f>HYPERLINK("https://klasma.github.io/Logging_0580/klagomålsmail/A 9820-2020 FSC-klagomål mail.docx", "A 9820-2020")</f>
        <v/>
      </c>
      <c r="X39">
        <f>HYPERLINK("https://klasma.github.io/Logging_0580/tillsyn/A 9820-2020 tillsynsbegäran.docx", "A 9820-2020")</f>
        <v/>
      </c>
      <c r="Y39">
        <f>HYPERLINK("https://klasma.github.io/Logging_0580/tillsynsmail/A 9820-2020 tillsynsbegäran mail.docx", "A 9820-2020")</f>
        <v/>
      </c>
    </row>
    <row r="40" ht="15" customHeight="1">
      <c r="A40" t="inlineStr">
        <is>
          <t>A 22939-2020</t>
        </is>
      </c>
      <c r="B40" s="1" t="n">
        <v>43965</v>
      </c>
      <c r="C40" s="1" t="n">
        <v>45841</v>
      </c>
      <c r="D40" t="inlineStr">
        <is>
          <t>ÖSTERGÖTLANDS LÄN</t>
        </is>
      </c>
      <c r="E40" t="inlineStr">
        <is>
          <t>LINKÖPING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Rödlånke
Svartvit flugsnappare</t>
        </is>
      </c>
      <c r="S40">
        <f>HYPERLINK("https://klasma.github.io/Logging_0580/artfynd/A 22939-2020 artfynd.xlsx", "A 22939-2020")</f>
        <v/>
      </c>
      <c r="T40">
        <f>HYPERLINK("https://klasma.github.io/Logging_0580/kartor/A 22939-2020 karta.png", "A 22939-2020")</f>
        <v/>
      </c>
      <c r="V40">
        <f>HYPERLINK("https://klasma.github.io/Logging_0580/klagomål/A 22939-2020 FSC-klagomål.docx", "A 22939-2020")</f>
        <v/>
      </c>
      <c r="W40">
        <f>HYPERLINK("https://klasma.github.io/Logging_0580/klagomålsmail/A 22939-2020 FSC-klagomål mail.docx", "A 22939-2020")</f>
        <v/>
      </c>
      <c r="X40">
        <f>HYPERLINK("https://klasma.github.io/Logging_0580/tillsyn/A 22939-2020 tillsynsbegäran.docx", "A 22939-2020")</f>
        <v/>
      </c>
      <c r="Y40">
        <f>HYPERLINK("https://klasma.github.io/Logging_0580/tillsynsmail/A 22939-2020 tillsynsbegäran mail.docx", "A 22939-2020")</f>
        <v/>
      </c>
      <c r="Z40">
        <f>HYPERLINK("https://klasma.github.io/Logging_0580/fåglar/A 22939-2020 prioriterade fågelarter.docx", "A 22939-2020")</f>
        <v/>
      </c>
    </row>
    <row r="41" ht="15" customHeight="1">
      <c r="A41" t="inlineStr">
        <is>
          <t>A 16760-2021</t>
        </is>
      </c>
      <c r="B41" s="1" t="n">
        <v>44294</v>
      </c>
      <c r="C41" s="1" t="n">
        <v>45841</v>
      </c>
      <c r="D41" t="inlineStr">
        <is>
          <t>ÖSTERGÖTLANDS LÄN</t>
        </is>
      </c>
      <c r="E41" t="inlineStr">
        <is>
          <t>LINKÖPING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Blekticka
Skuggorangelav</t>
        </is>
      </c>
      <c r="S41">
        <f>HYPERLINK("https://klasma.github.io/Logging_0580/artfynd/A 16760-2021 artfynd.xlsx", "A 16760-2021")</f>
        <v/>
      </c>
      <c r="T41">
        <f>HYPERLINK("https://klasma.github.io/Logging_0580/kartor/A 16760-2021 karta.png", "A 16760-2021")</f>
        <v/>
      </c>
      <c r="V41">
        <f>HYPERLINK("https://klasma.github.io/Logging_0580/klagomål/A 16760-2021 FSC-klagomål.docx", "A 16760-2021")</f>
        <v/>
      </c>
      <c r="W41">
        <f>HYPERLINK("https://klasma.github.io/Logging_0580/klagomålsmail/A 16760-2021 FSC-klagomål mail.docx", "A 16760-2021")</f>
        <v/>
      </c>
      <c r="X41">
        <f>HYPERLINK("https://klasma.github.io/Logging_0580/tillsyn/A 16760-2021 tillsynsbegäran.docx", "A 16760-2021")</f>
        <v/>
      </c>
      <c r="Y41">
        <f>HYPERLINK("https://klasma.github.io/Logging_0580/tillsynsmail/A 16760-2021 tillsynsbegäran mail.docx", "A 16760-2021")</f>
        <v/>
      </c>
    </row>
    <row r="42" ht="15" customHeight="1">
      <c r="A42" t="inlineStr">
        <is>
          <t>A 38137-2021</t>
        </is>
      </c>
      <c r="B42" s="1" t="n">
        <v>44405</v>
      </c>
      <c r="C42" s="1" t="n">
        <v>45841</v>
      </c>
      <c r="D42" t="inlineStr">
        <is>
          <t>ÖSTERGÖTLANDS LÄN</t>
        </is>
      </c>
      <c r="E42" t="inlineStr">
        <is>
          <t>LINKÖPING</t>
        </is>
      </c>
      <c r="G42" t="n">
        <v>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Mandelriska</t>
        </is>
      </c>
      <c r="S42">
        <f>HYPERLINK("https://klasma.github.io/Logging_0580/artfynd/A 38137-2021 artfynd.xlsx", "A 38137-2021")</f>
        <v/>
      </c>
      <c r="T42">
        <f>HYPERLINK("https://klasma.github.io/Logging_0580/kartor/A 38137-2021 karta.png", "A 38137-2021")</f>
        <v/>
      </c>
      <c r="V42">
        <f>HYPERLINK("https://klasma.github.io/Logging_0580/klagomål/A 38137-2021 FSC-klagomål.docx", "A 38137-2021")</f>
        <v/>
      </c>
      <c r="W42">
        <f>HYPERLINK("https://klasma.github.io/Logging_0580/klagomålsmail/A 38137-2021 FSC-klagomål mail.docx", "A 38137-2021")</f>
        <v/>
      </c>
      <c r="X42">
        <f>HYPERLINK("https://klasma.github.io/Logging_0580/tillsyn/A 38137-2021 tillsynsbegäran.docx", "A 38137-2021")</f>
        <v/>
      </c>
      <c r="Y42">
        <f>HYPERLINK("https://klasma.github.io/Logging_0580/tillsynsmail/A 38137-2021 tillsynsbegäran mail.docx", "A 38137-2021")</f>
        <v/>
      </c>
    </row>
    <row r="43" ht="15" customHeight="1">
      <c r="A43" t="inlineStr">
        <is>
          <t>A 58068-2021</t>
        </is>
      </c>
      <c r="B43" s="1" t="n">
        <v>44487</v>
      </c>
      <c r="C43" s="1" t="n">
        <v>45841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Rödbrun blekspik
Skuggorangelav</t>
        </is>
      </c>
      <c r="S43">
        <f>HYPERLINK("https://klasma.github.io/Logging_0580/artfynd/A 58068-2021 artfynd.xlsx", "A 58068-2021")</f>
        <v/>
      </c>
      <c r="T43">
        <f>HYPERLINK("https://klasma.github.io/Logging_0580/kartor/A 58068-2021 karta.png", "A 58068-2021")</f>
        <v/>
      </c>
      <c r="V43">
        <f>HYPERLINK("https://klasma.github.io/Logging_0580/klagomål/A 58068-2021 FSC-klagomål.docx", "A 58068-2021")</f>
        <v/>
      </c>
      <c r="W43">
        <f>HYPERLINK("https://klasma.github.io/Logging_0580/klagomålsmail/A 58068-2021 FSC-klagomål mail.docx", "A 58068-2021")</f>
        <v/>
      </c>
      <c r="X43">
        <f>HYPERLINK("https://klasma.github.io/Logging_0580/tillsyn/A 58068-2021 tillsynsbegäran.docx", "A 58068-2021")</f>
        <v/>
      </c>
      <c r="Y43">
        <f>HYPERLINK("https://klasma.github.io/Logging_0580/tillsynsmail/A 58068-2021 tillsynsbegäran mail.docx", "A 58068-2021")</f>
        <v/>
      </c>
    </row>
    <row r="44" ht="15" customHeight="1">
      <c r="A44" t="inlineStr">
        <is>
          <t>A 17520-2022</t>
        </is>
      </c>
      <c r="B44" s="1" t="n">
        <v>44679</v>
      </c>
      <c r="C44" s="1" t="n">
        <v>45841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4.6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Trådticka</t>
        </is>
      </c>
      <c r="S44">
        <f>HYPERLINK("https://klasma.github.io/Logging_0580/artfynd/A 17520-2022 artfynd.xlsx", "A 17520-2022")</f>
        <v/>
      </c>
      <c r="T44">
        <f>HYPERLINK("https://klasma.github.io/Logging_0580/kartor/A 17520-2022 karta.png", "A 17520-2022")</f>
        <v/>
      </c>
      <c r="V44">
        <f>HYPERLINK("https://klasma.github.io/Logging_0580/klagomål/A 17520-2022 FSC-klagomål.docx", "A 17520-2022")</f>
        <v/>
      </c>
      <c r="W44">
        <f>HYPERLINK("https://klasma.github.io/Logging_0580/klagomålsmail/A 17520-2022 FSC-klagomål mail.docx", "A 17520-2022")</f>
        <v/>
      </c>
      <c r="X44">
        <f>HYPERLINK("https://klasma.github.io/Logging_0580/tillsyn/A 17520-2022 tillsynsbegäran.docx", "A 17520-2022")</f>
        <v/>
      </c>
      <c r="Y44">
        <f>HYPERLINK("https://klasma.github.io/Logging_0580/tillsynsmail/A 17520-2022 tillsynsbegäran mail.docx", "A 17520-2022")</f>
        <v/>
      </c>
    </row>
    <row r="45" ht="15" customHeight="1">
      <c r="A45" t="inlineStr">
        <is>
          <t>A 27981-2022</t>
        </is>
      </c>
      <c r="B45" s="1" t="n">
        <v>44745</v>
      </c>
      <c r="C45" s="1" t="n">
        <v>45841</v>
      </c>
      <c r="D45" t="inlineStr">
        <is>
          <t>ÖSTERGÖTLANDS LÄN</t>
        </is>
      </c>
      <c r="E45" t="inlineStr">
        <is>
          <t>LINKÖPING</t>
        </is>
      </c>
      <c r="G45" t="n">
        <v>8.4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Solvända
Svinrot</t>
        </is>
      </c>
      <c r="S45">
        <f>HYPERLINK("https://klasma.github.io/Logging_0580/artfynd/A 27981-2022 artfynd.xlsx", "A 27981-2022")</f>
        <v/>
      </c>
      <c r="T45">
        <f>HYPERLINK("https://klasma.github.io/Logging_0580/kartor/A 27981-2022 karta.png", "A 27981-2022")</f>
        <v/>
      </c>
      <c r="V45">
        <f>HYPERLINK("https://klasma.github.io/Logging_0580/klagomål/A 27981-2022 FSC-klagomål.docx", "A 27981-2022")</f>
        <v/>
      </c>
      <c r="W45">
        <f>HYPERLINK("https://klasma.github.io/Logging_0580/klagomålsmail/A 27981-2022 FSC-klagomål mail.docx", "A 27981-2022")</f>
        <v/>
      </c>
      <c r="X45">
        <f>HYPERLINK("https://klasma.github.io/Logging_0580/tillsyn/A 27981-2022 tillsynsbegäran.docx", "A 27981-2022")</f>
        <v/>
      </c>
      <c r="Y45">
        <f>HYPERLINK("https://klasma.github.io/Logging_0580/tillsynsmail/A 27981-2022 tillsynsbegäran mail.docx", "A 27981-2022")</f>
        <v/>
      </c>
    </row>
    <row r="46" ht="15" customHeight="1">
      <c r="A46" t="inlineStr">
        <is>
          <t>A 8446-2023</t>
        </is>
      </c>
      <c r="B46" s="1" t="n">
        <v>44977</v>
      </c>
      <c r="C46" s="1" t="n">
        <v>45841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Sveaskog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Tibast</t>
        </is>
      </c>
      <c r="S46">
        <f>HYPERLINK("https://klasma.github.io/Logging_0580/artfynd/A 8446-2023 artfynd.xlsx", "A 8446-2023")</f>
        <v/>
      </c>
      <c r="T46">
        <f>HYPERLINK("https://klasma.github.io/Logging_0580/kartor/A 8446-2023 karta.png", "A 8446-2023")</f>
        <v/>
      </c>
      <c r="V46">
        <f>HYPERLINK("https://klasma.github.io/Logging_0580/klagomål/A 8446-2023 FSC-klagomål.docx", "A 8446-2023")</f>
        <v/>
      </c>
      <c r="W46">
        <f>HYPERLINK("https://klasma.github.io/Logging_0580/klagomålsmail/A 8446-2023 FSC-klagomål mail.docx", "A 8446-2023")</f>
        <v/>
      </c>
      <c r="X46">
        <f>HYPERLINK("https://klasma.github.io/Logging_0580/tillsyn/A 8446-2023 tillsynsbegäran.docx", "A 8446-2023")</f>
        <v/>
      </c>
      <c r="Y46">
        <f>HYPERLINK("https://klasma.github.io/Logging_0580/tillsynsmail/A 8446-2023 tillsynsbegäran mail.docx", "A 8446-2023")</f>
        <v/>
      </c>
    </row>
    <row r="47" ht="15" customHeight="1">
      <c r="A47" t="inlineStr">
        <is>
          <t>A 11362-2023</t>
        </is>
      </c>
      <c r="B47" s="1" t="n">
        <v>44993</v>
      </c>
      <c r="C47" s="1" t="n">
        <v>45841</v>
      </c>
      <c r="D47" t="inlineStr">
        <is>
          <t>ÖSTERGÖTLANDS LÄN</t>
        </is>
      </c>
      <c r="E47" t="inlineStr">
        <is>
          <t>LINKÖPING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Gulbrunt nejlikfly
Glimfältmätare</t>
        </is>
      </c>
      <c r="S47">
        <f>HYPERLINK("https://klasma.github.io/Logging_0580/artfynd/A 11362-2023 artfynd.xlsx", "A 11362-2023")</f>
        <v/>
      </c>
      <c r="T47">
        <f>HYPERLINK("https://klasma.github.io/Logging_0580/kartor/A 11362-2023 karta.png", "A 11362-2023")</f>
        <v/>
      </c>
      <c r="V47">
        <f>HYPERLINK("https://klasma.github.io/Logging_0580/klagomål/A 11362-2023 FSC-klagomål.docx", "A 11362-2023")</f>
        <v/>
      </c>
      <c r="W47">
        <f>HYPERLINK("https://klasma.github.io/Logging_0580/klagomålsmail/A 11362-2023 FSC-klagomål mail.docx", "A 11362-2023")</f>
        <v/>
      </c>
      <c r="X47">
        <f>HYPERLINK("https://klasma.github.io/Logging_0580/tillsyn/A 11362-2023 tillsynsbegäran.docx", "A 11362-2023")</f>
        <v/>
      </c>
      <c r="Y47">
        <f>HYPERLINK("https://klasma.github.io/Logging_0580/tillsynsmail/A 11362-2023 tillsynsbegäran mail.docx", "A 11362-2023")</f>
        <v/>
      </c>
    </row>
    <row r="48" ht="15" customHeight="1">
      <c r="A48" t="inlineStr">
        <is>
          <t>A 38913-2023</t>
        </is>
      </c>
      <c r="B48" s="1" t="n">
        <v>45163</v>
      </c>
      <c r="C48" s="1" t="n">
        <v>45841</v>
      </c>
      <c r="D48" t="inlineStr">
        <is>
          <t>ÖSTERGÖTLANDS LÄN</t>
        </is>
      </c>
      <c r="E48" t="inlineStr">
        <is>
          <t>LINKÖPING</t>
        </is>
      </c>
      <c r="G48" t="n">
        <v>2.7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Skogsbräsma
Revlummer</t>
        </is>
      </c>
      <c r="S48">
        <f>HYPERLINK("https://klasma.github.io/Logging_0580/artfynd/A 38913-2023 artfynd.xlsx", "A 38913-2023")</f>
        <v/>
      </c>
      <c r="T48">
        <f>HYPERLINK("https://klasma.github.io/Logging_0580/kartor/A 38913-2023 karta.png", "A 38913-2023")</f>
        <v/>
      </c>
      <c r="V48">
        <f>HYPERLINK("https://klasma.github.io/Logging_0580/klagomål/A 38913-2023 FSC-klagomål.docx", "A 38913-2023")</f>
        <v/>
      </c>
      <c r="W48">
        <f>HYPERLINK("https://klasma.github.io/Logging_0580/klagomålsmail/A 38913-2023 FSC-klagomål mail.docx", "A 38913-2023")</f>
        <v/>
      </c>
      <c r="X48">
        <f>HYPERLINK("https://klasma.github.io/Logging_0580/tillsyn/A 38913-2023 tillsynsbegäran.docx", "A 38913-2023")</f>
        <v/>
      </c>
      <c r="Y48">
        <f>HYPERLINK("https://klasma.github.io/Logging_0580/tillsynsmail/A 38913-2023 tillsynsbegäran mail.docx", "A 38913-2023")</f>
        <v/>
      </c>
    </row>
    <row r="49" ht="15" customHeight="1">
      <c r="A49" t="inlineStr">
        <is>
          <t>A 41751-2023</t>
        </is>
      </c>
      <c r="B49" s="1" t="n">
        <v>45176</v>
      </c>
      <c r="C49" s="1" t="n">
        <v>45841</v>
      </c>
      <c r="D49" t="inlineStr">
        <is>
          <t>ÖSTERGÖTLANDS LÄN</t>
        </is>
      </c>
      <c r="E49" t="inlineStr">
        <is>
          <t>LINKÖPING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Grönvit nattviol</t>
        </is>
      </c>
      <c r="S49">
        <f>HYPERLINK("https://klasma.github.io/Logging_0580/artfynd/A 41751-2023 artfynd.xlsx", "A 41751-2023")</f>
        <v/>
      </c>
      <c r="T49">
        <f>HYPERLINK("https://klasma.github.io/Logging_0580/kartor/A 41751-2023 karta.png", "A 41751-2023")</f>
        <v/>
      </c>
      <c r="V49">
        <f>HYPERLINK("https://klasma.github.io/Logging_0580/klagomål/A 41751-2023 FSC-klagomål.docx", "A 41751-2023")</f>
        <v/>
      </c>
      <c r="W49">
        <f>HYPERLINK("https://klasma.github.io/Logging_0580/klagomålsmail/A 41751-2023 FSC-klagomål mail.docx", "A 41751-2023")</f>
        <v/>
      </c>
      <c r="X49">
        <f>HYPERLINK("https://klasma.github.io/Logging_0580/tillsyn/A 41751-2023 tillsynsbegäran.docx", "A 41751-2023")</f>
        <v/>
      </c>
      <c r="Y49">
        <f>HYPERLINK("https://klasma.github.io/Logging_0580/tillsynsmail/A 41751-2023 tillsynsbegäran mail.docx", "A 41751-2023")</f>
        <v/>
      </c>
    </row>
    <row r="50" ht="15" customHeight="1">
      <c r="A50" t="inlineStr">
        <is>
          <t>A 42858-2023</t>
        </is>
      </c>
      <c r="B50" s="1" t="n">
        <v>45177</v>
      </c>
      <c r="C50" s="1" t="n">
        <v>45841</v>
      </c>
      <c r="D50" t="inlineStr">
        <is>
          <t>ÖSTERGÖTLANDS LÄN</t>
        </is>
      </c>
      <c r="E50" t="inlineStr">
        <is>
          <t>LINKÖPING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Skogsödla</t>
        </is>
      </c>
      <c r="S50">
        <f>HYPERLINK("https://klasma.github.io/Logging_0580/artfynd/A 42858-2023 artfynd.xlsx", "A 42858-2023")</f>
        <v/>
      </c>
      <c r="T50">
        <f>HYPERLINK("https://klasma.github.io/Logging_0580/kartor/A 42858-2023 karta.png", "A 42858-2023")</f>
        <v/>
      </c>
      <c r="V50">
        <f>HYPERLINK("https://klasma.github.io/Logging_0580/klagomål/A 42858-2023 FSC-klagomål.docx", "A 42858-2023")</f>
        <v/>
      </c>
      <c r="W50">
        <f>HYPERLINK("https://klasma.github.io/Logging_0580/klagomålsmail/A 42858-2023 FSC-klagomål mail.docx", "A 42858-2023")</f>
        <v/>
      </c>
      <c r="X50">
        <f>HYPERLINK("https://klasma.github.io/Logging_0580/tillsyn/A 42858-2023 tillsynsbegäran.docx", "A 42858-2023")</f>
        <v/>
      </c>
      <c r="Y50">
        <f>HYPERLINK("https://klasma.github.io/Logging_0580/tillsynsmail/A 42858-2023 tillsynsbegäran mail.docx", "A 42858-2023")</f>
        <v/>
      </c>
    </row>
    <row r="51" ht="15" customHeight="1">
      <c r="A51" t="inlineStr">
        <is>
          <t>A 50404-2023</t>
        </is>
      </c>
      <c r="B51" s="1" t="n">
        <v>45216</v>
      </c>
      <c r="C51" s="1" t="n">
        <v>45841</v>
      </c>
      <c r="D51" t="inlineStr">
        <is>
          <t>ÖSTERGÖTLANDS LÄN</t>
        </is>
      </c>
      <c r="E51" t="inlineStr">
        <is>
          <t>LINKÖPING</t>
        </is>
      </c>
      <c r="G51" t="n">
        <v>1.2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Hasselticka
Gullviva</t>
        </is>
      </c>
      <c r="S51">
        <f>HYPERLINK("https://klasma.github.io/Logging_0580/artfynd/A 50404-2023 artfynd.xlsx", "A 50404-2023")</f>
        <v/>
      </c>
      <c r="T51">
        <f>HYPERLINK("https://klasma.github.io/Logging_0580/kartor/A 50404-2023 karta.png", "A 50404-2023")</f>
        <v/>
      </c>
      <c r="V51">
        <f>HYPERLINK("https://klasma.github.io/Logging_0580/klagomål/A 50404-2023 FSC-klagomål.docx", "A 50404-2023")</f>
        <v/>
      </c>
      <c r="W51">
        <f>HYPERLINK("https://klasma.github.io/Logging_0580/klagomålsmail/A 50404-2023 FSC-klagomål mail.docx", "A 50404-2023")</f>
        <v/>
      </c>
      <c r="X51">
        <f>HYPERLINK("https://klasma.github.io/Logging_0580/tillsyn/A 50404-2023 tillsynsbegäran.docx", "A 50404-2023")</f>
        <v/>
      </c>
      <c r="Y51">
        <f>HYPERLINK("https://klasma.github.io/Logging_0580/tillsynsmail/A 50404-2023 tillsynsbegäran mail.docx", "A 50404-2023")</f>
        <v/>
      </c>
    </row>
    <row r="52" ht="15" customHeight="1">
      <c r="A52" t="inlineStr">
        <is>
          <t>A 3078-2024</t>
        </is>
      </c>
      <c r="B52" s="1" t="n">
        <v>45316</v>
      </c>
      <c r="C52" s="1" t="n">
        <v>45841</v>
      </c>
      <c r="D52" t="inlineStr">
        <is>
          <t>ÖSTERGÖTLANDS LÄN</t>
        </is>
      </c>
      <c r="E52" t="inlineStr">
        <is>
          <t>LINKÖPING</t>
        </is>
      </c>
      <c r="G52" t="n">
        <v>12.6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Fällmossa</t>
        </is>
      </c>
      <c r="S52">
        <f>HYPERLINK("https://klasma.github.io/Logging_0580/artfynd/A 3078-2024 artfynd.xlsx", "A 3078-2024")</f>
        <v/>
      </c>
      <c r="T52">
        <f>HYPERLINK("https://klasma.github.io/Logging_0580/kartor/A 3078-2024 karta.png", "A 3078-2024")</f>
        <v/>
      </c>
      <c r="V52">
        <f>HYPERLINK("https://klasma.github.io/Logging_0580/klagomål/A 3078-2024 FSC-klagomål.docx", "A 3078-2024")</f>
        <v/>
      </c>
      <c r="W52">
        <f>HYPERLINK("https://klasma.github.io/Logging_0580/klagomålsmail/A 3078-2024 FSC-klagomål mail.docx", "A 3078-2024")</f>
        <v/>
      </c>
      <c r="X52">
        <f>HYPERLINK("https://klasma.github.io/Logging_0580/tillsyn/A 3078-2024 tillsynsbegäran.docx", "A 3078-2024")</f>
        <v/>
      </c>
      <c r="Y52">
        <f>HYPERLINK("https://klasma.github.io/Logging_0580/tillsynsmail/A 3078-2024 tillsynsbegäran mail.docx", "A 3078-2024")</f>
        <v/>
      </c>
    </row>
    <row r="53" ht="15" customHeight="1">
      <c r="A53" t="inlineStr">
        <is>
          <t>A 14879-2024</t>
        </is>
      </c>
      <c r="B53" s="1" t="n">
        <v>45398</v>
      </c>
      <c r="C53" s="1" t="n">
        <v>45841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1.7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trolldruva
Grönvit nattviol</t>
        </is>
      </c>
      <c r="S53">
        <f>HYPERLINK("https://klasma.github.io/Logging_0580/artfynd/A 14879-2024 artfynd.xlsx", "A 14879-2024")</f>
        <v/>
      </c>
      <c r="T53">
        <f>HYPERLINK("https://klasma.github.io/Logging_0580/kartor/A 14879-2024 karta.png", "A 14879-2024")</f>
        <v/>
      </c>
      <c r="V53">
        <f>HYPERLINK("https://klasma.github.io/Logging_0580/klagomål/A 14879-2024 FSC-klagomål.docx", "A 14879-2024")</f>
        <v/>
      </c>
      <c r="W53">
        <f>HYPERLINK("https://klasma.github.io/Logging_0580/klagomålsmail/A 14879-2024 FSC-klagomål mail.docx", "A 14879-2024")</f>
        <v/>
      </c>
      <c r="X53">
        <f>HYPERLINK("https://klasma.github.io/Logging_0580/tillsyn/A 14879-2024 tillsynsbegäran.docx", "A 14879-2024")</f>
        <v/>
      </c>
      <c r="Y53">
        <f>HYPERLINK("https://klasma.github.io/Logging_0580/tillsynsmail/A 14879-2024 tillsynsbegäran mail.docx", "A 14879-2024")</f>
        <v/>
      </c>
    </row>
    <row r="54" ht="15" customHeight="1">
      <c r="A54" t="inlineStr">
        <is>
          <t>A 49188-2024</t>
        </is>
      </c>
      <c r="B54" s="1" t="n">
        <v>45595</v>
      </c>
      <c r="C54" s="1" t="n">
        <v>45841</v>
      </c>
      <c r="D54" t="inlineStr">
        <is>
          <t>ÖSTERGÖTLANDS LÄN</t>
        </is>
      </c>
      <c r="E54" t="inlineStr">
        <is>
          <t>LINKÖPING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Skogsalm
Ask</t>
        </is>
      </c>
      <c r="S54">
        <f>HYPERLINK("https://klasma.github.io/Logging_0580/artfynd/A 49188-2024 artfynd.xlsx", "A 49188-2024")</f>
        <v/>
      </c>
      <c r="T54">
        <f>HYPERLINK("https://klasma.github.io/Logging_0580/kartor/A 49188-2024 karta.png", "A 49188-2024")</f>
        <v/>
      </c>
      <c r="V54">
        <f>HYPERLINK("https://klasma.github.io/Logging_0580/klagomål/A 49188-2024 FSC-klagomål.docx", "A 49188-2024")</f>
        <v/>
      </c>
      <c r="W54">
        <f>HYPERLINK("https://klasma.github.io/Logging_0580/klagomålsmail/A 49188-2024 FSC-klagomål mail.docx", "A 49188-2024")</f>
        <v/>
      </c>
      <c r="X54">
        <f>HYPERLINK("https://klasma.github.io/Logging_0580/tillsyn/A 49188-2024 tillsynsbegäran.docx", "A 49188-2024")</f>
        <v/>
      </c>
      <c r="Y54">
        <f>HYPERLINK("https://klasma.github.io/Logging_0580/tillsynsmail/A 49188-2024 tillsynsbegäran mail.docx", "A 49188-2024")</f>
        <v/>
      </c>
    </row>
    <row r="55" ht="15" customHeight="1">
      <c r="A55" t="inlineStr">
        <is>
          <t>A 55344-2024</t>
        </is>
      </c>
      <c r="B55" s="1" t="n">
        <v>45621</v>
      </c>
      <c r="C55" s="1" t="n">
        <v>45841</v>
      </c>
      <c r="D55" t="inlineStr">
        <is>
          <t>ÖSTERGÖTLANDS LÄN</t>
        </is>
      </c>
      <c r="E55" t="inlineStr">
        <is>
          <t>LINKÖPING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Kandelabersvamp
Stjärnnästing</t>
        </is>
      </c>
      <c r="S55">
        <f>HYPERLINK("https://klasma.github.io/Logging_0580/artfynd/A 55344-2024 artfynd.xlsx", "A 55344-2024")</f>
        <v/>
      </c>
      <c r="T55">
        <f>HYPERLINK("https://klasma.github.io/Logging_0580/kartor/A 55344-2024 karta.png", "A 55344-2024")</f>
        <v/>
      </c>
      <c r="V55">
        <f>HYPERLINK("https://klasma.github.io/Logging_0580/klagomål/A 55344-2024 FSC-klagomål.docx", "A 55344-2024")</f>
        <v/>
      </c>
      <c r="W55">
        <f>HYPERLINK("https://klasma.github.io/Logging_0580/klagomålsmail/A 55344-2024 FSC-klagomål mail.docx", "A 55344-2024")</f>
        <v/>
      </c>
      <c r="X55">
        <f>HYPERLINK("https://klasma.github.io/Logging_0580/tillsyn/A 55344-2024 tillsynsbegäran.docx", "A 55344-2024")</f>
        <v/>
      </c>
      <c r="Y55">
        <f>HYPERLINK("https://klasma.github.io/Logging_0580/tillsynsmail/A 55344-2024 tillsynsbegäran mail.docx", "A 55344-2024")</f>
        <v/>
      </c>
    </row>
    <row r="56" ht="15" customHeight="1">
      <c r="A56" t="inlineStr">
        <is>
          <t>A 594-2025</t>
        </is>
      </c>
      <c r="B56" s="1" t="n">
        <v>45664</v>
      </c>
      <c r="C56" s="1" t="n">
        <v>45841</v>
      </c>
      <c r="D56" t="inlineStr">
        <is>
          <t>ÖSTERGÖTLANDS LÄN</t>
        </is>
      </c>
      <c r="E56" t="inlineStr">
        <is>
          <t>LINKÖPING</t>
        </is>
      </c>
      <c r="G56" t="n">
        <v>11.7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Blekticka
Veckticka</t>
        </is>
      </c>
      <c r="S56">
        <f>HYPERLINK("https://klasma.github.io/Logging_0580/artfynd/A 594-2025 artfynd.xlsx", "A 594-2025")</f>
        <v/>
      </c>
      <c r="T56">
        <f>HYPERLINK("https://klasma.github.io/Logging_0580/kartor/A 594-2025 karta.png", "A 594-2025")</f>
        <v/>
      </c>
      <c r="V56">
        <f>HYPERLINK("https://klasma.github.io/Logging_0580/klagomål/A 594-2025 FSC-klagomål.docx", "A 594-2025")</f>
        <v/>
      </c>
      <c r="W56">
        <f>HYPERLINK("https://klasma.github.io/Logging_0580/klagomålsmail/A 594-2025 FSC-klagomål mail.docx", "A 594-2025")</f>
        <v/>
      </c>
      <c r="X56">
        <f>HYPERLINK("https://klasma.github.io/Logging_0580/tillsyn/A 594-2025 tillsynsbegäran.docx", "A 594-2025")</f>
        <v/>
      </c>
      <c r="Y56">
        <f>HYPERLINK("https://klasma.github.io/Logging_0580/tillsynsmail/A 594-2025 tillsynsbegäran mail.docx", "A 594-2025")</f>
        <v/>
      </c>
    </row>
    <row r="57" ht="15" customHeight="1">
      <c r="A57" t="inlineStr">
        <is>
          <t>A 8818-2025</t>
        </is>
      </c>
      <c r="B57" s="1" t="n">
        <v>45712</v>
      </c>
      <c r="C57" s="1" t="n">
        <v>45841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Luddvicker
Klubbsprötad bastardsvärmare</t>
        </is>
      </c>
      <c r="S57">
        <f>HYPERLINK("https://klasma.github.io/Logging_0580/artfynd/A 8818-2025 artfynd.xlsx", "A 8818-2025")</f>
        <v/>
      </c>
      <c r="T57">
        <f>HYPERLINK("https://klasma.github.io/Logging_0580/kartor/A 8818-2025 karta.png", "A 8818-2025")</f>
        <v/>
      </c>
      <c r="V57">
        <f>HYPERLINK("https://klasma.github.io/Logging_0580/klagomål/A 8818-2025 FSC-klagomål.docx", "A 8818-2025")</f>
        <v/>
      </c>
      <c r="W57">
        <f>HYPERLINK("https://klasma.github.io/Logging_0580/klagomålsmail/A 8818-2025 FSC-klagomål mail.docx", "A 8818-2025")</f>
        <v/>
      </c>
      <c r="X57">
        <f>HYPERLINK("https://klasma.github.io/Logging_0580/tillsyn/A 8818-2025 tillsynsbegäran.docx", "A 8818-2025")</f>
        <v/>
      </c>
      <c r="Y57">
        <f>HYPERLINK("https://klasma.github.io/Logging_0580/tillsynsmail/A 8818-2025 tillsynsbegäran mail.docx", "A 8818-2025")</f>
        <v/>
      </c>
    </row>
    <row r="58" ht="15" customHeight="1">
      <c r="A58" t="inlineStr">
        <is>
          <t>A 9192-2025</t>
        </is>
      </c>
      <c r="B58" s="1" t="n">
        <v>45714</v>
      </c>
      <c r="C58" s="1" t="n">
        <v>45841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Allmännings- och besparingsskogar</t>
        </is>
      </c>
      <c r="G58" t="n">
        <v>17.4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jordtunga
Fläcknycklar</t>
        </is>
      </c>
      <c r="S58">
        <f>HYPERLINK("https://klasma.github.io/Logging_0580/artfynd/A 9192-2025 artfynd.xlsx", "A 9192-2025")</f>
        <v/>
      </c>
      <c r="T58">
        <f>HYPERLINK("https://klasma.github.io/Logging_0580/kartor/A 9192-2025 karta.png", "A 9192-2025")</f>
        <v/>
      </c>
      <c r="V58">
        <f>HYPERLINK("https://klasma.github.io/Logging_0580/klagomål/A 9192-2025 FSC-klagomål.docx", "A 9192-2025")</f>
        <v/>
      </c>
      <c r="W58">
        <f>HYPERLINK("https://klasma.github.io/Logging_0580/klagomålsmail/A 9192-2025 FSC-klagomål mail.docx", "A 9192-2025")</f>
        <v/>
      </c>
      <c r="X58">
        <f>HYPERLINK("https://klasma.github.io/Logging_0580/tillsyn/A 9192-2025 tillsynsbegäran.docx", "A 9192-2025")</f>
        <v/>
      </c>
      <c r="Y58">
        <f>HYPERLINK("https://klasma.github.io/Logging_0580/tillsynsmail/A 9192-2025 tillsynsbegäran mail.docx", "A 9192-2025")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45841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45841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45841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45841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45841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45841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45841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45841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45841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45841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45841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45841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45841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45841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45841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45841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45841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45841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45841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45841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45841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45841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45841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45841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45841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45841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45841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45841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45841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45841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45841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45841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45841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45841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45841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45841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45841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45841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45841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45841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45841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45841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45841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45841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45841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45841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45841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45841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45841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45841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45841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45841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45841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45841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45841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45841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45841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45841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45841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45841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45841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45841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45841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45841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45841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45841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45841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45841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45841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45841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45841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45841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45841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45841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45841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45841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45841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45841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45841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45841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45841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45841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45841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45841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45841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45841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45841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45841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45841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45841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45841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45841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45841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45841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45841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45841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45841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45841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45841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45841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45841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45841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45841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45841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45841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45841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45841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45841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45841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45841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45841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45841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45841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45841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45841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45841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45841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45841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45841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45841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45841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45841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45841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45841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45841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45841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45841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45841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45841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45841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45841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45841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45841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45841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45841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45841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45841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45841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45841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45841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45841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45841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45841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45841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45841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45841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45841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45841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45841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45841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45841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45841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45841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45841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45841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45841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45841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45841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45841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45841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45841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45841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45841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45841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45841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45841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45841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45841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45841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45841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45841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45841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45841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45841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45841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45841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45841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45841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45841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45841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45841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45841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45841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45841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45841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45841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45841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45841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45841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45841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45841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45841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45841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45841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45841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45841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45841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45841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45841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45841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45841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45841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45841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45841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45841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45841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45841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45841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45841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45841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45841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45841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45841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45841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45841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45841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45841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45841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45841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45841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45841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45841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45841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45841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45841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45841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45841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45841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45841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45841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45841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45841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45841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45841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45841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45841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45841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45841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45841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45841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45841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45841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45841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45841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45841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45841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45841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45841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45841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45841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45841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45841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45841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45841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45841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45841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45841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45841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45841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45841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45841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45841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45841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45841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45841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45841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45841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45841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45841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45841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45841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45841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45841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45841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45841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45841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45841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45841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45841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45841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45841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45841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45841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45841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45841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45841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45841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45841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45841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45841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45841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45841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45841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45841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45841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45841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45841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45841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45841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45841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45841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45841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45841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45841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45841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45841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45841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45841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45841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45841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45841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45841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45841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45841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45841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45841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45841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45841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45841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45841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45841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45841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45841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45841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45841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45841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45841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45841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45841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45841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45841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45841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45841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45841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45841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45841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45841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45841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45841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45841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45841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45841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45841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45841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45841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45841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45841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45841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45841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45841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45841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45841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45841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45841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45841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45841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45841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45841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45841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45841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45841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45841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45841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45841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45841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45841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45841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45841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45841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45841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45841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45841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45841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45841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45841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45841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45841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45841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45841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45841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45841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45841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45841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45841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45841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45841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45841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45841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45841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45841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45841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45841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45841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45841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45841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45841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45841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45841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45841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45841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45841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45841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45841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45841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45841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45841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45841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45841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45841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45841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45841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45841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45841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45841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45841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45841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45841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45841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45841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45841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45841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45841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45841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45841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45841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45841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45841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45841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45841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45841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45841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45841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45841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45841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45841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45841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45841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45841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45841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45841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45841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45841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45841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45841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45841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45841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45841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45841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45841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45841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45841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45841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45841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45841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45841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45841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45841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45841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45841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45841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45841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45841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45841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45841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45841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45841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45841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45841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45841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45841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45841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45841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45841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45841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45841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45841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45841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45841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45841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45841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45841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45841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45841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45841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45841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45841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45841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45841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45841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45841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45841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45841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45841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45841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45841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45841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45841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45841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45841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45841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45841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45841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45841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45841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45841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45841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45841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45841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45841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45841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45841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45841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45841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45841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45841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45841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45841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45841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45841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45841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45841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45841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45841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45841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45841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45841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45841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45841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45841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45841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45841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45841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45841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45841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45841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45841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45841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45841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45841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45841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45841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45841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45841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45841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45841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45841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45841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45841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45841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45841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45841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45841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45841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45841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45841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45841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45841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45841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45841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45841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45841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45841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45841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45841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45841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45841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45841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45841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45841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45841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45841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45841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45841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45841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45841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45841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45841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45841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45841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45841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45841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45841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45841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45841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45841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45841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45841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45841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45841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45841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45841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45841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45841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45841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45841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45841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45841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45841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45841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45841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45841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45841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45841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45841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45841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45841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45841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45841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45841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45841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45841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45841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45841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45841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45841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45841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45841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45841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45841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45841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45841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45841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45841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45841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45841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45841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45841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45841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45841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45841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45841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45841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45841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45841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45841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45841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45841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45841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45841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45841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45841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45841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45841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45841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45841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45841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45841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45841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45841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45841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45841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45841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45841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45841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45841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45841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45841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45841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45841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45841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45841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45841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45841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45841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45841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45841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45841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45841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45841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45841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45841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45841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45841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45841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45841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45841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45841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45841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45841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45841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45841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45841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45841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45841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45841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45841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45841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45841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45841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45841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45841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45841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45841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45841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45841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45841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45841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45841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45841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45841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45841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45841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45841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45841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45841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45841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45841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45841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45841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45841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45841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45841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45841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45841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45841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45841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45841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45841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45841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45841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45841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45841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45841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45841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45841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45841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45841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45841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45841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45841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45841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45841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45841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45841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45841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45841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45841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45841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45841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45841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45841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45841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45841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45841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45841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45841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45841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45841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45841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45841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45841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45841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45841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45841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45841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45841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45841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45841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45841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45841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45841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45841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45841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45841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45841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45841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45841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45841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45841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45841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45841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45841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45841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45841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45841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45841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45841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45841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45841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45841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45841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45841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45841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45841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45841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45841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45841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45841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45841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45841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45841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45841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45841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45841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45841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45841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45841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45841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45841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45841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45841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45841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45841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45841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45841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45841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45841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45841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45841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45841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45841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45841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45841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45841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45841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45841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45841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45841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45841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45841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45841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45841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45841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45841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45841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45841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45841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45841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45841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45841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45841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45841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45841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45841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45841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45841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45841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45841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45841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45841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45841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45841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45841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45841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45841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45841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45841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45841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45841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45841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45841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45841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45841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45841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45841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45841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45841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45841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45841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45841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45841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45841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45841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45841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45841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45841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45841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45841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45841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45841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45841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45841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45841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45841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45841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45841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45841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45841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45841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45841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45841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45841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45841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45841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45841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45841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45841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45841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45841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45841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45841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45841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45841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45841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45841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45841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45841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45841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45841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45841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45841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45841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45841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45841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45841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45841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45841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45841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45841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45841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45841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45841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45841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45841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45841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45841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45841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45841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45841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45841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45841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45841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45841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45841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45841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45841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45841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45841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45841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45841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45841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45841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45841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45841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45841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45841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45841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45841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45841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45841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45841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45841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45841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45841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45841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45841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45841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45841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45841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45841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45841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45841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45841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45841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45841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45841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45841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45841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45841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45841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45841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45841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45841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45841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45841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45841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45841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45841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45841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45841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45841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45841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45841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45841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45841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45841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45841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45841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45841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45841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45841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45841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45841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45841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45841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45841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45841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45841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45841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45841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45841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45841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45841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45841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45841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45841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45841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45841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45841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45841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45841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45841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45841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45841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45841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45841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45841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45841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45841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45841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45841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45841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45841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45841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45841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45841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45841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45841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45841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45841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45841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45841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45841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45841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45841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45841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45841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45841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45841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45841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45841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45841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45841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45841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45841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45841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45841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45841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45841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45841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45841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45841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45841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45841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45841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45841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45841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45841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45841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45841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45841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45841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45841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45841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45841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45841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45841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45841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45841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45841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45841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45841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45841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45841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45841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45841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45841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45841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45841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45841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45841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45841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45841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45841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45841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45841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45841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45841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45841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45841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45841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45841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45841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45841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45841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45841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45841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45841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45841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45841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45841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45841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45841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45841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45841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45841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45841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45841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45841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45841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45841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45841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45841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45841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45841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45841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45841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45841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45841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45841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45841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45841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45841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45841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45841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45841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45841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45841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45841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45841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45841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45841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45841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45841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45841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45841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45841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45841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45841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45841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45841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45841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45841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45841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45841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45841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45841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45841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45841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45841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45841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45841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45841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45841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45841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45841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45841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45841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45841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45841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45841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45841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45841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45841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45841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45841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45841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45841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45841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45841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45841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45841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45841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45841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45841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45841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45841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45841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45841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45841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45841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45841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45841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45841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45841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45841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45841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45841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45841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45841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45841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45841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45841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45841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45841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45841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45841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45841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45841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45841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45841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45841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45841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45841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45841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45841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45841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45841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45841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45841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45841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45841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45841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45841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45841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45841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45841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45841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45841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45841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45841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45841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45841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45841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45841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45841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45841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45841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45841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45841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45841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45841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45841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45841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45841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45841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45841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45841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45841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45841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45841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45841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45841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45841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45841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45841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45841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45841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45841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45841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45841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45841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45841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45841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45841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45841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45841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45841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45841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45841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45841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45841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45841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45841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45841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45841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45841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45841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45841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45841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45841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45841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45841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45841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45841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45841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45841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45841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45841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45841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45841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45841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45841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45841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45841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45841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45841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45841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45841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45841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45841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45841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45841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45841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45841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45841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45841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45841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45841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45841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45841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45841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45841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45841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45841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45841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45841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45841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45841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45841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45841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45841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45841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45841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45841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45841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45841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45841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45841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45841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45841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45841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45841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45841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45841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45841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45841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45841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45841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45841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45841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45841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45841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45841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45841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45841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45841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45841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45841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45841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45841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45841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45841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45841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45841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45841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45841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45841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45841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45841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45841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45841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45841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45841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45841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45841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45841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45841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45841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45841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45841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45841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45841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45841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45841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45841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45841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45841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45841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45841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45841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28204-2025</t>
        </is>
      </c>
      <c r="B1420" s="1" t="n">
        <v>45818</v>
      </c>
      <c r="C1420" s="1" t="n">
        <v>45841</v>
      </c>
      <c r="D1420" t="inlineStr">
        <is>
          <t>ÖSTERGÖTLANDS LÄN</t>
        </is>
      </c>
      <c r="E1420" t="inlineStr">
        <is>
          <t>LINKÖPING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45841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28200-2025</t>
        </is>
      </c>
      <c r="B1422" s="1" t="n">
        <v>45818</v>
      </c>
      <c r="C1422" s="1" t="n">
        <v>45841</v>
      </c>
      <c r="D1422" t="inlineStr">
        <is>
          <t>ÖSTERGÖTLANDS LÄN</t>
        </is>
      </c>
      <c r="E1422" t="inlineStr">
        <is>
          <t>LINKÖPING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45841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45841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45841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45841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45841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45841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45841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45841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45841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45841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45841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45841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32723-2025</t>
        </is>
      </c>
      <c r="B1435" s="1" t="n">
        <v>45838</v>
      </c>
      <c r="C1435" s="1" t="n">
        <v>45841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2025-07-03T19:32:01Z</dcterms:created>
  <dcterms:modified xmlns:dcterms="http://purl.org/dc/terms/" xmlns:xsi="http://www.w3.org/2001/XMLSchema-instance" xsi:type="dcterms:W3CDTF">2025-07-03T19:32:02Z</dcterms:modified>
</cp:coreProperties>
</file>