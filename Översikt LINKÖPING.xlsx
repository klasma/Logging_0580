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45901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45901</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45901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45901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45901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45901</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45901</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45901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45901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45901</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45901</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45901</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45901</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45901</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45901</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45901</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45901</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45901</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45901</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45901</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50404-2023</t>
        </is>
      </c>
      <c r="B23" s="1" t="n">
        <v>45216</v>
      </c>
      <c r="C23" s="1" t="n">
        <v>45901</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49188-2024</t>
        </is>
      </c>
      <c r="B24" s="1" t="n">
        <v>45595</v>
      </c>
      <c r="C24" s="1" t="n">
        <v>45901</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21326-2025</t>
        </is>
      </c>
      <c r="B25" s="1" t="n">
        <v>45782.35407407407</v>
      </c>
      <c r="C25" s="1" t="n">
        <v>45901</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45901</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58068-2021</t>
        </is>
      </c>
      <c r="B27" s="1" t="n">
        <v>44487</v>
      </c>
      <c r="C27" s="1" t="n">
        <v>45901</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25985-2025</t>
        </is>
      </c>
      <c r="B28" s="1" t="n">
        <v>45804.64479166667</v>
      </c>
      <c r="C28" s="1" t="n">
        <v>45901</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27795-2025</t>
        </is>
      </c>
      <c r="B29" s="1" t="n">
        <v>45816.7908912037</v>
      </c>
      <c r="C29" s="1" t="n">
        <v>45901</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27981-2022</t>
        </is>
      </c>
      <c r="B30" s="1" t="n">
        <v>44745</v>
      </c>
      <c r="C30" s="1" t="n">
        <v>45901</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42858-2023</t>
        </is>
      </c>
      <c r="B31" s="1" t="n">
        <v>45177</v>
      </c>
      <c r="C31" s="1" t="n">
        <v>45901</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45901</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45901</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45901</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45901</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45901</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45901</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22040-2023</t>
        </is>
      </c>
      <c r="B38" s="1" t="n">
        <v>45068</v>
      </c>
      <c r="C38" s="1" t="n">
        <v>45901</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38129-2021</t>
        </is>
      </c>
      <c r="B39" s="1" t="n">
        <v>44405.37199074074</v>
      </c>
      <c r="C39" s="1" t="n">
        <v>45901</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56250-2021</t>
        </is>
      </c>
      <c r="B40" s="1" t="n">
        <v>44479</v>
      </c>
      <c r="C40" s="1" t="n">
        <v>45901</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45901</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45901</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45901</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45901</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45901</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17389-2021</t>
        </is>
      </c>
      <c r="B46" s="1" t="n">
        <v>44298.96792824074</v>
      </c>
      <c r="C46" s="1" t="n">
        <v>45901</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45901</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22526-2025</t>
        </is>
      </c>
      <c r="B48" s="1" t="n">
        <v>45786.78096064815</v>
      </c>
      <c r="C48" s="1" t="n">
        <v>45901</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41749-2023</t>
        </is>
      </c>
      <c r="B49" s="1" t="n">
        <v>45176</v>
      </c>
      <c r="C49" s="1" t="n">
        <v>45901</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41749-2023 artfynd.xlsx", "A 41749-2023")</f>
        <v/>
      </c>
      <c r="T49">
        <f>HYPERLINK("https://klasma.github.io/Logging_0580/kartor/A 41749-2023 karta.png", "A 41749-2023")</f>
        <v/>
      </c>
      <c r="V49">
        <f>HYPERLINK("https://klasma.github.io/Logging_0580/klagomål/A 41749-2023 FSC-klagomål.docx", "A 41749-2023")</f>
        <v/>
      </c>
      <c r="W49">
        <f>HYPERLINK("https://klasma.github.io/Logging_0580/klagomålsmail/A 41749-2023 FSC-klagomål mail.docx", "A 41749-2023")</f>
        <v/>
      </c>
      <c r="X49">
        <f>HYPERLINK("https://klasma.github.io/Logging_0580/tillsyn/A 41749-2023 tillsynsbegäran.docx", "A 41749-2023")</f>
        <v/>
      </c>
      <c r="Y49">
        <f>HYPERLINK("https://klasma.github.io/Logging_0580/tillsynsmail/A 41749-2023 tillsynsbegäran mail.docx", "A 41749-2023")</f>
        <v/>
      </c>
    </row>
    <row r="50" ht="15" customHeight="1">
      <c r="A50" t="inlineStr">
        <is>
          <t>A 54835-2023</t>
        </is>
      </c>
      <c r="B50" s="1" t="n">
        <v>45236</v>
      </c>
      <c r="C50" s="1" t="n">
        <v>45901</v>
      </c>
      <c r="D50" t="inlineStr">
        <is>
          <t>ÖSTERGÖTLANDS LÄN</t>
        </is>
      </c>
      <c r="E50" t="inlineStr">
        <is>
          <t>LINKÖPING</t>
        </is>
      </c>
      <c r="G50" t="n">
        <v>2</v>
      </c>
      <c r="H50" t="n">
        <v>1</v>
      </c>
      <c r="I50" t="n">
        <v>0</v>
      </c>
      <c r="J50" t="n">
        <v>0</v>
      </c>
      <c r="K50" t="n">
        <v>0</v>
      </c>
      <c r="L50" t="n">
        <v>0</v>
      </c>
      <c r="M50" t="n">
        <v>0</v>
      </c>
      <c r="N50" t="n">
        <v>0</v>
      </c>
      <c r="O50" t="n">
        <v>0</v>
      </c>
      <c r="P50" t="n">
        <v>0</v>
      </c>
      <c r="Q50" t="n">
        <v>1</v>
      </c>
      <c r="R50" s="2" t="inlineStr">
        <is>
          <t>Sparvuggla</t>
        </is>
      </c>
      <c r="S50">
        <f>HYPERLINK("https://klasma.github.io/Logging_0580/artfynd/A 54835-2023 artfynd.xlsx", "A 54835-2023")</f>
        <v/>
      </c>
      <c r="T50">
        <f>HYPERLINK("https://klasma.github.io/Logging_0580/kartor/A 54835-2023 karta.png", "A 54835-2023")</f>
        <v/>
      </c>
      <c r="V50">
        <f>HYPERLINK("https://klasma.github.io/Logging_0580/klagomål/A 54835-2023 FSC-klagomål.docx", "A 54835-2023")</f>
        <v/>
      </c>
      <c r="W50">
        <f>HYPERLINK("https://klasma.github.io/Logging_0580/klagomålsmail/A 54835-2023 FSC-klagomål mail.docx", "A 54835-2023")</f>
        <v/>
      </c>
      <c r="X50">
        <f>HYPERLINK("https://klasma.github.io/Logging_0580/tillsyn/A 54835-2023 tillsynsbegäran.docx", "A 54835-2023")</f>
        <v/>
      </c>
      <c r="Y50">
        <f>HYPERLINK("https://klasma.github.io/Logging_0580/tillsynsmail/A 54835-2023 tillsynsbegäran mail.docx", "A 54835-2023")</f>
        <v/>
      </c>
      <c r="Z50">
        <f>HYPERLINK("https://klasma.github.io/Logging_0580/fåglar/A 54835-2023 prioriterade fågelarter.docx", "A 54835-2023")</f>
        <v/>
      </c>
    </row>
    <row r="51" ht="15" customHeight="1">
      <c r="A51" t="inlineStr">
        <is>
          <t>A 34881-2023</t>
        </is>
      </c>
      <c r="B51" s="1" t="n">
        <v>45140</v>
      </c>
      <c r="C51" s="1" t="n">
        <v>45901</v>
      </c>
      <c r="D51" t="inlineStr">
        <is>
          <t>ÖSTERGÖTLANDS LÄN</t>
        </is>
      </c>
      <c r="E51" t="inlineStr">
        <is>
          <t>LINKÖPING</t>
        </is>
      </c>
      <c r="G51" t="n">
        <v>1.9</v>
      </c>
      <c r="H51" t="n">
        <v>0</v>
      </c>
      <c r="I51" t="n">
        <v>0</v>
      </c>
      <c r="J51" t="n">
        <v>1</v>
      </c>
      <c r="K51" t="n">
        <v>0</v>
      </c>
      <c r="L51" t="n">
        <v>0</v>
      </c>
      <c r="M51" t="n">
        <v>0</v>
      </c>
      <c r="N51" t="n">
        <v>0</v>
      </c>
      <c r="O51" t="n">
        <v>1</v>
      </c>
      <c r="P51" t="n">
        <v>0</v>
      </c>
      <c r="Q51" t="n">
        <v>1</v>
      </c>
      <c r="R51" s="2" t="inlineStr">
        <is>
          <t>Tallticka</t>
        </is>
      </c>
      <c r="S51">
        <f>HYPERLINK("https://klasma.github.io/Logging_0580/artfynd/A 34881-2023 artfynd.xlsx", "A 34881-2023")</f>
        <v/>
      </c>
      <c r="T51">
        <f>HYPERLINK("https://klasma.github.io/Logging_0580/kartor/A 34881-2023 karta.png", "A 34881-2023")</f>
        <v/>
      </c>
      <c r="U51">
        <f>HYPERLINK("https://klasma.github.io/Logging_0580/knärot/A 34881-2023 karta knärot.png", "A 34881-2023")</f>
        <v/>
      </c>
      <c r="V51">
        <f>HYPERLINK("https://klasma.github.io/Logging_0580/klagomål/A 34881-2023 FSC-klagomål.docx", "A 34881-2023")</f>
        <v/>
      </c>
      <c r="W51">
        <f>HYPERLINK("https://klasma.github.io/Logging_0580/klagomålsmail/A 34881-2023 FSC-klagomål mail.docx", "A 34881-2023")</f>
        <v/>
      </c>
      <c r="X51">
        <f>HYPERLINK("https://klasma.github.io/Logging_0580/tillsyn/A 34881-2023 tillsynsbegäran.docx", "A 34881-2023")</f>
        <v/>
      </c>
      <c r="Y51">
        <f>HYPERLINK("https://klasma.github.io/Logging_0580/tillsynsmail/A 34881-2023 tillsynsbegäran mail.docx", "A 34881-2023")</f>
        <v/>
      </c>
    </row>
    <row r="52" ht="15" customHeight="1">
      <c r="A52" t="inlineStr">
        <is>
          <t>A 19103-2021</t>
        </is>
      </c>
      <c r="B52" s="1" t="n">
        <v>44308</v>
      </c>
      <c r="C52" s="1" t="n">
        <v>45901</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45317-2023</t>
        </is>
      </c>
      <c r="B53" s="1" t="n">
        <v>45191.74868055555</v>
      </c>
      <c r="C53" s="1" t="n">
        <v>45901</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20295-2025</t>
        </is>
      </c>
      <c r="B54" s="1" t="n">
        <v>45774.74846064814</v>
      </c>
      <c r="C54" s="1" t="n">
        <v>45901</v>
      </c>
      <c r="D54" t="inlineStr">
        <is>
          <t>ÖSTERGÖTLANDS LÄN</t>
        </is>
      </c>
      <c r="E54" t="inlineStr">
        <is>
          <t>LINKÖPING</t>
        </is>
      </c>
      <c r="G54" t="n">
        <v>3</v>
      </c>
      <c r="H54" t="n">
        <v>0</v>
      </c>
      <c r="I54" t="n">
        <v>0</v>
      </c>
      <c r="J54" t="n">
        <v>1</v>
      </c>
      <c r="K54" t="n">
        <v>0</v>
      </c>
      <c r="L54" t="n">
        <v>0</v>
      </c>
      <c r="M54" t="n">
        <v>0</v>
      </c>
      <c r="N54" t="n">
        <v>0</v>
      </c>
      <c r="O54" t="n">
        <v>1</v>
      </c>
      <c r="P54" t="n">
        <v>0</v>
      </c>
      <c r="Q54" t="n">
        <v>1</v>
      </c>
      <c r="R54" s="2" t="inlineStr">
        <is>
          <t>Tallticka</t>
        </is>
      </c>
      <c r="S54">
        <f>HYPERLINK("https://klasma.github.io/Logging_0580/artfynd/A 20295-2025 artfynd.xlsx", "A 20295-2025")</f>
        <v/>
      </c>
      <c r="T54">
        <f>HYPERLINK("https://klasma.github.io/Logging_0580/kartor/A 20295-2025 karta.png", "A 20295-2025")</f>
        <v/>
      </c>
      <c r="V54">
        <f>HYPERLINK("https://klasma.github.io/Logging_0580/klagomål/A 20295-2025 FSC-klagomål.docx", "A 20295-2025")</f>
        <v/>
      </c>
      <c r="W54">
        <f>HYPERLINK("https://klasma.github.io/Logging_0580/klagomålsmail/A 20295-2025 FSC-klagomål mail.docx", "A 20295-2025")</f>
        <v/>
      </c>
      <c r="X54">
        <f>HYPERLINK("https://klasma.github.io/Logging_0580/tillsyn/A 20295-2025 tillsynsbegäran.docx", "A 20295-2025")</f>
        <v/>
      </c>
      <c r="Y54">
        <f>HYPERLINK("https://klasma.github.io/Logging_0580/tillsynsmail/A 20295-2025 tillsynsbegäran mail.docx", "A 20295-2025")</f>
        <v/>
      </c>
    </row>
    <row r="55" ht="15" customHeight="1">
      <c r="A55" t="inlineStr">
        <is>
          <t>A 35948-2023</t>
        </is>
      </c>
      <c r="B55" s="1" t="n">
        <v>45148</v>
      </c>
      <c r="C55" s="1" t="n">
        <v>45901</v>
      </c>
      <c r="D55" t="inlineStr">
        <is>
          <t>ÖSTERGÖTLANDS LÄN</t>
        </is>
      </c>
      <c r="E55" t="inlineStr">
        <is>
          <t>LINKÖPING</t>
        </is>
      </c>
      <c r="G55" t="n">
        <v>1.9</v>
      </c>
      <c r="H55" t="n">
        <v>0</v>
      </c>
      <c r="I55" t="n">
        <v>1</v>
      </c>
      <c r="J55" t="n">
        <v>0</v>
      </c>
      <c r="K55" t="n">
        <v>0</v>
      </c>
      <c r="L55" t="n">
        <v>0</v>
      </c>
      <c r="M55" t="n">
        <v>0</v>
      </c>
      <c r="N55" t="n">
        <v>0</v>
      </c>
      <c r="O55" t="n">
        <v>0</v>
      </c>
      <c r="P55" t="n">
        <v>0</v>
      </c>
      <c r="Q55" t="n">
        <v>1</v>
      </c>
      <c r="R55" s="2" t="inlineStr">
        <is>
          <t>Brun nållav</t>
        </is>
      </c>
      <c r="S55">
        <f>HYPERLINK("https://klasma.github.io/Logging_0580/artfynd/A 35948-2023 artfynd.xlsx", "A 35948-2023")</f>
        <v/>
      </c>
      <c r="T55">
        <f>HYPERLINK("https://klasma.github.io/Logging_0580/kartor/A 35948-2023 karta.png", "A 35948-2023")</f>
        <v/>
      </c>
      <c r="V55">
        <f>HYPERLINK("https://klasma.github.io/Logging_0580/klagomål/A 35948-2023 FSC-klagomål.docx", "A 35948-2023")</f>
        <v/>
      </c>
      <c r="W55">
        <f>HYPERLINK("https://klasma.github.io/Logging_0580/klagomålsmail/A 35948-2023 FSC-klagomål mail.docx", "A 35948-2023")</f>
        <v/>
      </c>
      <c r="X55">
        <f>HYPERLINK("https://klasma.github.io/Logging_0580/tillsyn/A 35948-2023 tillsynsbegäran.docx", "A 35948-2023")</f>
        <v/>
      </c>
      <c r="Y55">
        <f>HYPERLINK("https://klasma.github.io/Logging_0580/tillsynsmail/A 35948-2023 tillsynsbegäran mail.docx", "A 35948-2023")</f>
        <v/>
      </c>
    </row>
    <row r="56" ht="15" customHeight="1">
      <c r="A56" t="inlineStr">
        <is>
          <t>A 1213-2023</t>
        </is>
      </c>
      <c r="B56" s="1" t="n">
        <v>44930</v>
      </c>
      <c r="C56" s="1" t="n">
        <v>45901</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13694-2025</t>
        </is>
      </c>
      <c r="B57" s="1" t="n">
        <v>45737.32148148148</v>
      </c>
      <c r="C57" s="1" t="n">
        <v>45901</v>
      </c>
      <c r="D57" t="inlineStr">
        <is>
          <t>ÖSTERGÖTLANDS LÄN</t>
        </is>
      </c>
      <c r="E57" t="inlineStr">
        <is>
          <t>LINKÖPING</t>
        </is>
      </c>
      <c r="G57" t="n">
        <v>9.300000000000001</v>
      </c>
      <c r="H57" t="n">
        <v>1</v>
      </c>
      <c r="I57" t="n">
        <v>0</v>
      </c>
      <c r="J57" t="n">
        <v>0</v>
      </c>
      <c r="K57" t="n">
        <v>0</v>
      </c>
      <c r="L57" t="n">
        <v>0</v>
      </c>
      <c r="M57" t="n">
        <v>0</v>
      </c>
      <c r="N57" t="n">
        <v>0</v>
      </c>
      <c r="O57" t="n">
        <v>0</v>
      </c>
      <c r="P57" t="n">
        <v>0</v>
      </c>
      <c r="Q57" t="n">
        <v>1</v>
      </c>
      <c r="R57" s="2" t="inlineStr">
        <is>
          <t>Mattlummer</t>
        </is>
      </c>
      <c r="S57">
        <f>HYPERLINK("https://klasma.github.io/Logging_0580/artfynd/A 13694-2025 artfynd.xlsx", "A 13694-2025")</f>
        <v/>
      </c>
      <c r="T57">
        <f>HYPERLINK("https://klasma.github.io/Logging_0580/kartor/A 13694-2025 karta.png", "A 13694-2025")</f>
        <v/>
      </c>
      <c r="V57">
        <f>HYPERLINK("https://klasma.github.io/Logging_0580/klagomål/A 13694-2025 FSC-klagomål.docx", "A 13694-2025")</f>
        <v/>
      </c>
      <c r="W57">
        <f>HYPERLINK("https://klasma.github.io/Logging_0580/klagomålsmail/A 13694-2025 FSC-klagomål mail.docx", "A 13694-2025")</f>
        <v/>
      </c>
      <c r="X57">
        <f>HYPERLINK("https://klasma.github.io/Logging_0580/tillsyn/A 13694-2025 tillsynsbegäran.docx", "A 13694-2025")</f>
        <v/>
      </c>
      <c r="Y57">
        <f>HYPERLINK("https://klasma.github.io/Logging_0580/tillsynsmail/A 13694-2025 tillsynsbegäran mail.docx", "A 13694-2025")</f>
        <v/>
      </c>
    </row>
    <row r="58" ht="15" customHeight="1">
      <c r="A58" t="inlineStr">
        <is>
          <t>A 27403-2025</t>
        </is>
      </c>
      <c r="B58" s="1" t="n">
        <v>45812.72518518518</v>
      </c>
      <c r="C58" s="1" t="n">
        <v>45901</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48984-2020</t>
        </is>
      </c>
      <c r="B59" s="1" t="n">
        <v>44104</v>
      </c>
      <c r="C59" s="1" t="n">
        <v>45901</v>
      </c>
      <c r="D59" t="inlineStr">
        <is>
          <t>ÖSTERGÖTLANDS LÄN</t>
        </is>
      </c>
      <c r="E59" t="inlineStr">
        <is>
          <t>LINKÖPING</t>
        </is>
      </c>
      <c r="G59" t="n">
        <v>2.8</v>
      </c>
      <c r="H59" t="n">
        <v>0</v>
      </c>
      <c r="I59" t="n">
        <v>0</v>
      </c>
      <c r="J59" t="n">
        <v>1</v>
      </c>
      <c r="K59" t="n">
        <v>0</v>
      </c>
      <c r="L59" t="n">
        <v>0</v>
      </c>
      <c r="M59" t="n">
        <v>0</v>
      </c>
      <c r="N59" t="n">
        <v>0</v>
      </c>
      <c r="O59" t="n">
        <v>1</v>
      </c>
      <c r="P59" t="n">
        <v>0</v>
      </c>
      <c r="Q59" t="n">
        <v>1</v>
      </c>
      <c r="R59" s="2" t="inlineStr">
        <is>
          <t>Vårstarr</t>
        </is>
      </c>
      <c r="S59">
        <f>HYPERLINK("https://klasma.github.io/Logging_0580/artfynd/A 48984-2020 artfynd.xlsx", "A 48984-2020")</f>
        <v/>
      </c>
      <c r="T59">
        <f>HYPERLINK("https://klasma.github.io/Logging_0580/kartor/A 48984-2020 karta.png", "A 48984-2020")</f>
        <v/>
      </c>
      <c r="V59">
        <f>HYPERLINK("https://klasma.github.io/Logging_0580/klagomål/A 48984-2020 FSC-klagomål.docx", "A 48984-2020")</f>
        <v/>
      </c>
      <c r="W59">
        <f>HYPERLINK("https://klasma.github.io/Logging_0580/klagomålsmail/A 48984-2020 FSC-klagomål mail.docx", "A 48984-2020")</f>
        <v/>
      </c>
      <c r="X59">
        <f>HYPERLINK("https://klasma.github.io/Logging_0580/tillsyn/A 48984-2020 tillsynsbegäran.docx", "A 48984-2020")</f>
        <v/>
      </c>
      <c r="Y59">
        <f>HYPERLINK("https://klasma.github.io/Logging_0580/tillsynsmail/A 48984-2020 tillsynsbegäran mail.docx", "A 48984-2020")</f>
        <v/>
      </c>
    </row>
    <row r="60" ht="15" customHeight="1">
      <c r="A60" t="inlineStr">
        <is>
          <t>A 50806-2023</t>
        </is>
      </c>
      <c r="B60" s="1" t="n">
        <v>45217</v>
      </c>
      <c r="C60" s="1" t="n">
        <v>45901</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56651-2023</t>
        </is>
      </c>
      <c r="B61" s="1" t="n">
        <v>45243</v>
      </c>
      <c r="C61" s="1" t="n">
        <v>45901</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62071-2023</t>
        </is>
      </c>
      <c r="B62" s="1" t="n">
        <v>45266.73542824074</v>
      </c>
      <c r="C62" s="1" t="n">
        <v>45901</v>
      </c>
      <c r="D62" t="inlineStr">
        <is>
          <t>ÖSTERGÖTLANDS LÄN</t>
        </is>
      </c>
      <c r="E62" t="inlineStr">
        <is>
          <t>LINKÖPING</t>
        </is>
      </c>
      <c r="G62" t="n">
        <v>6.5</v>
      </c>
      <c r="H62" t="n">
        <v>0</v>
      </c>
      <c r="I62" t="n">
        <v>0</v>
      </c>
      <c r="J62" t="n">
        <v>1</v>
      </c>
      <c r="K62" t="n">
        <v>0</v>
      </c>
      <c r="L62" t="n">
        <v>0</v>
      </c>
      <c r="M62" t="n">
        <v>0</v>
      </c>
      <c r="N62" t="n">
        <v>0</v>
      </c>
      <c r="O62" t="n">
        <v>1</v>
      </c>
      <c r="P62" t="n">
        <v>0</v>
      </c>
      <c r="Q62" t="n">
        <v>1</v>
      </c>
      <c r="R62" s="2" t="inlineStr">
        <is>
          <t>Svinrot</t>
        </is>
      </c>
      <c r="S62">
        <f>HYPERLINK("https://klasma.github.io/Logging_0580/artfynd/A 62071-2023 artfynd.xlsx", "A 62071-2023")</f>
        <v/>
      </c>
      <c r="T62">
        <f>HYPERLINK("https://klasma.github.io/Logging_0580/kartor/A 62071-2023 karta.png", "A 62071-2023")</f>
        <v/>
      </c>
      <c r="V62">
        <f>HYPERLINK("https://klasma.github.io/Logging_0580/klagomål/A 62071-2023 FSC-klagomål.docx", "A 62071-2023")</f>
        <v/>
      </c>
      <c r="W62">
        <f>HYPERLINK("https://klasma.github.io/Logging_0580/klagomålsmail/A 62071-2023 FSC-klagomål mail.docx", "A 62071-2023")</f>
        <v/>
      </c>
      <c r="X62">
        <f>HYPERLINK("https://klasma.github.io/Logging_0580/tillsyn/A 62071-2023 tillsynsbegäran.docx", "A 62071-2023")</f>
        <v/>
      </c>
      <c r="Y62">
        <f>HYPERLINK("https://klasma.github.io/Logging_0580/tillsynsmail/A 62071-2023 tillsynsbegäran mail.docx", "A 62071-2023")</f>
        <v/>
      </c>
    </row>
    <row r="63" ht="15" customHeight="1">
      <c r="A63" t="inlineStr">
        <is>
          <t>A 60573-2021</t>
        </is>
      </c>
      <c r="B63" s="1" t="n">
        <v>44496</v>
      </c>
      <c r="C63" s="1" t="n">
        <v>45901</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90-2024</t>
        </is>
      </c>
      <c r="B64" s="1" t="n">
        <v>45293</v>
      </c>
      <c r="C64" s="1" t="n">
        <v>45901</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5984-2025</t>
        </is>
      </c>
      <c r="B65" s="1" t="n">
        <v>45695.55173611111</v>
      </c>
      <c r="C65" s="1" t="n">
        <v>45901</v>
      </c>
      <c r="D65" t="inlineStr">
        <is>
          <t>ÖSTERGÖTLANDS LÄN</t>
        </is>
      </c>
      <c r="E65" t="inlineStr">
        <is>
          <t>LINKÖPING</t>
        </is>
      </c>
      <c r="F65" t="inlineStr">
        <is>
          <t>Allmännings- och besparingsskogar</t>
        </is>
      </c>
      <c r="G65" t="n">
        <v>5.5</v>
      </c>
      <c r="H65" t="n">
        <v>0</v>
      </c>
      <c r="I65" t="n">
        <v>0</v>
      </c>
      <c r="J65" t="n">
        <v>1</v>
      </c>
      <c r="K65" t="n">
        <v>0</v>
      </c>
      <c r="L65" t="n">
        <v>0</v>
      </c>
      <c r="M65" t="n">
        <v>0</v>
      </c>
      <c r="N65" t="n">
        <v>0</v>
      </c>
      <c r="O65" t="n">
        <v>1</v>
      </c>
      <c r="P65" t="n">
        <v>0</v>
      </c>
      <c r="Q65" t="n">
        <v>1</v>
      </c>
      <c r="R65" s="2" t="inlineStr">
        <is>
          <t>Vanlig backsmörblomma</t>
        </is>
      </c>
      <c r="S65">
        <f>HYPERLINK("https://klasma.github.io/Logging_0580/artfynd/A 5984-2025 artfynd.xlsx", "A 5984-2025")</f>
        <v/>
      </c>
      <c r="T65">
        <f>HYPERLINK("https://klasma.github.io/Logging_0580/kartor/A 5984-2025 karta.png", "A 5984-2025")</f>
        <v/>
      </c>
      <c r="V65">
        <f>HYPERLINK("https://klasma.github.io/Logging_0580/klagomål/A 5984-2025 FSC-klagomål.docx", "A 5984-2025")</f>
        <v/>
      </c>
      <c r="W65">
        <f>HYPERLINK("https://klasma.github.io/Logging_0580/klagomålsmail/A 5984-2025 FSC-klagomål mail.docx", "A 5984-2025")</f>
        <v/>
      </c>
      <c r="X65">
        <f>HYPERLINK("https://klasma.github.io/Logging_0580/tillsyn/A 5984-2025 tillsynsbegäran.docx", "A 5984-2025")</f>
        <v/>
      </c>
      <c r="Y65">
        <f>HYPERLINK("https://klasma.github.io/Logging_0580/tillsynsmail/A 5984-2025 tillsynsbegäran mail.docx", "A 5984-2025")</f>
        <v/>
      </c>
    </row>
    <row r="66" ht="15" customHeight="1">
      <c r="A66" t="inlineStr">
        <is>
          <t>A 36723-2023</t>
        </is>
      </c>
      <c r="B66" s="1" t="n">
        <v>45153</v>
      </c>
      <c r="C66" s="1" t="n">
        <v>45901</v>
      </c>
      <c r="D66" t="inlineStr">
        <is>
          <t>ÖSTERGÖTLANDS LÄN</t>
        </is>
      </c>
      <c r="E66" t="inlineStr">
        <is>
          <t>LINKÖPING</t>
        </is>
      </c>
      <c r="F66" t="inlineStr">
        <is>
          <t>Allmännings- och besparingsskogar</t>
        </is>
      </c>
      <c r="G66" t="n">
        <v>9.9</v>
      </c>
      <c r="H66" t="n">
        <v>0</v>
      </c>
      <c r="I66" t="n">
        <v>0</v>
      </c>
      <c r="J66" t="n">
        <v>0</v>
      </c>
      <c r="K66" t="n">
        <v>1</v>
      </c>
      <c r="L66" t="n">
        <v>0</v>
      </c>
      <c r="M66" t="n">
        <v>0</v>
      </c>
      <c r="N66" t="n">
        <v>0</v>
      </c>
      <c r="O66" t="n">
        <v>1</v>
      </c>
      <c r="P66" t="n">
        <v>1</v>
      </c>
      <c r="Q66" t="n">
        <v>1</v>
      </c>
      <c r="R66" s="2" t="inlineStr">
        <is>
          <t>Bitter taggsvamp</t>
        </is>
      </c>
      <c r="S66">
        <f>HYPERLINK("https://klasma.github.io/Logging_0580/artfynd/A 36723-2023 artfynd.xlsx", "A 36723-2023")</f>
        <v/>
      </c>
      <c r="T66">
        <f>HYPERLINK("https://klasma.github.io/Logging_0580/kartor/A 36723-2023 karta.png", "A 36723-2023")</f>
        <v/>
      </c>
      <c r="V66">
        <f>HYPERLINK("https://klasma.github.io/Logging_0580/klagomål/A 36723-2023 FSC-klagomål.docx", "A 36723-2023")</f>
        <v/>
      </c>
      <c r="W66">
        <f>HYPERLINK("https://klasma.github.io/Logging_0580/klagomålsmail/A 36723-2023 FSC-klagomål mail.docx", "A 36723-2023")</f>
        <v/>
      </c>
      <c r="X66">
        <f>HYPERLINK("https://klasma.github.io/Logging_0580/tillsyn/A 36723-2023 tillsynsbegäran.docx", "A 36723-2023")</f>
        <v/>
      </c>
      <c r="Y66">
        <f>HYPERLINK("https://klasma.github.io/Logging_0580/tillsynsmail/A 36723-2023 tillsynsbegäran mail.docx", "A 36723-2023")</f>
        <v/>
      </c>
    </row>
    <row r="67" ht="15" customHeight="1">
      <c r="A67" t="inlineStr">
        <is>
          <t>A 17444-2025</t>
        </is>
      </c>
      <c r="B67" s="1" t="n">
        <v>45757.43452546297</v>
      </c>
      <c r="C67" s="1" t="n">
        <v>45901</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44930-2020</t>
        </is>
      </c>
      <c r="B68" s="1" t="n">
        <v>44088</v>
      </c>
      <c r="C68" s="1" t="n">
        <v>45901</v>
      </c>
      <c r="D68" t="inlineStr">
        <is>
          <t>ÖSTERGÖTLANDS LÄN</t>
        </is>
      </c>
      <c r="E68" t="inlineStr">
        <is>
          <t>LINKÖPING</t>
        </is>
      </c>
      <c r="G68" t="n">
        <v>2.6</v>
      </c>
      <c r="H68" t="n">
        <v>1</v>
      </c>
      <c r="I68" t="n">
        <v>0</v>
      </c>
      <c r="J68" t="n">
        <v>0</v>
      </c>
      <c r="K68" t="n">
        <v>1</v>
      </c>
      <c r="L68" t="n">
        <v>0</v>
      </c>
      <c r="M68" t="n">
        <v>0</v>
      </c>
      <c r="N68" t="n">
        <v>0</v>
      </c>
      <c r="O68" t="n">
        <v>1</v>
      </c>
      <c r="P68" t="n">
        <v>1</v>
      </c>
      <c r="Q68" t="n">
        <v>1</v>
      </c>
      <c r="R68" s="2" t="inlineStr">
        <is>
          <t>Knärot</t>
        </is>
      </c>
      <c r="S68">
        <f>HYPERLINK("https://klasma.github.io/Logging_0580/artfynd/A 44930-2020 artfynd.xlsx", "A 44930-2020")</f>
        <v/>
      </c>
      <c r="T68">
        <f>HYPERLINK("https://klasma.github.io/Logging_0580/kartor/A 44930-2020 karta.png", "A 44930-2020")</f>
        <v/>
      </c>
      <c r="U68">
        <f>HYPERLINK("https://klasma.github.io/Logging_0580/knärot/A 44930-2020 karta knärot.png", "A 44930-2020")</f>
        <v/>
      </c>
      <c r="V68">
        <f>HYPERLINK("https://klasma.github.io/Logging_0580/klagomål/A 44930-2020 FSC-klagomål.docx", "A 44930-2020")</f>
        <v/>
      </c>
      <c r="W68">
        <f>HYPERLINK("https://klasma.github.io/Logging_0580/klagomålsmail/A 44930-2020 FSC-klagomål mail.docx", "A 44930-2020")</f>
        <v/>
      </c>
      <c r="X68">
        <f>HYPERLINK("https://klasma.github.io/Logging_0580/tillsyn/A 44930-2020 tillsynsbegäran.docx", "A 44930-2020")</f>
        <v/>
      </c>
      <c r="Y68">
        <f>HYPERLINK("https://klasma.github.io/Logging_0580/tillsynsmail/A 44930-2020 tillsynsbegäran mail.docx", "A 44930-2020")</f>
        <v/>
      </c>
    </row>
    <row r="69" ht="15" customHeight="1">
      <c r="A69" t="inlineStr">
        <is>
          <t>A 69211-2021</t>
        </is>
      </c>
      <c r="B69" s="1" t="n">
        <v>44531</v>
      </c>
      <c r="C69" s="1" t="n">
        <v>45901</v>
      </c>
      <c r="D69" t="inlineStr">
        <is>
          <t>ÖSTERGÖTLANDS LÄN</t>
        </is>
      </c>
      <c r="E69" t="inlineStr">
        <is>
          <t>LINKÖPING</t>
        </is>
      </c>
      <c r="F69" t="inlineStr">
        <is>
          <t>Övriga statliga verk och myndigheter</t>
        </is>
      </c>
      <c r="G69" t="n">
        <v>3.8</v>
      </c>
      <c r="H69" t="n">
        <v>0</v>
      </c>
      <c r="I69" t="n">
        <v>1</v>
      </c>
      <c r="J69" t="n">
        <v>0</v>
      </c>
      <c r="K69" t="n">
        <v>0</v>
      </c>
      <c r="L69" t="n">
        <v>0</v>
      </c>
      <c r="M69" t="n">
        <v>0</v>
      </c>
      <c r="N69" t="n">
        <v>0</v>
      </c>
      <c r="O69" t="n">
        <v>0</v>
      </c>
      <c r="P69" t="n">
        <v>0</v>
      </c>
      <c r="Q69" t="n">
        <v>1</v>
      </c>
      <c r="R69" s="2" t="inlineStr">
        <is>
          <t>Bronshjon</t>
        </is>
      </c>
      <c r="S69">
        <f>HYPERLINK("https://klasma.github.io/Logging_0580/artfynd/A 69211-2021 artfynd.xlsx", "A 69211-2021")</f>
        <v/>
      </c>
      <c r="T69">
        <f>HYPERLINK("https://klasma.github.io/Logging_0580/kartor/A 69211-2021 karta.png", "A 69211-2021")</f>
        <v/>
      </c>
      <c r="V69">
        <f>HYPERLINK("https://klasma.github.io/Logging_0580/klagomål/A 69211-2021 FSC-klagomål.docx", "A 69211-2021")</f>
        <v/>
      </c>
      <c r="W69">
        <f>HYPERLINK("https://klasma.github.io/Logging_0580/klagomålsmail/A 69211-2021 FSC-klagomål mail.docx", "A 69211-2021")</f>
        <v/>
      </c>
      <c r="X69">
        <f>HYPERLINK("https://klasma.github.io/Logging_0580/tillsyn/A 69211-2021 tillsynsbegäran.docx", "A 69211-2021")</f>
        <v/>
      </c>
      <c r="Y69">
        <f>HYPERLINK("https://klasma.github.io/Logging_0580/tillsynsmail/A 69211-2021 tillsynsbegäran mail.docx", "A 69211-2021")</f>
        <v/>
      </c>
    </row>
    <row r="70" ht="15" customHeight="1">
      <c r="A70" t="inlineStr">
        <is>
          <t>A 40309-2024</t>
        </is>
      </c>
      <c r="B70" s="1" t="n">
        <v>45554.724375</v>
      </c>
      <c r="C70" s="1" t="n">
        <v>45901</v>
      </c>
      <c r="D70" t="inlineStr">
        <is>
          <t>ÖSTERGÖTLANDS LÄN</t>
        </is>
      </c>
      <c r="E70" t="inlineStr">
        <is>
          <t>LINKÖPING</t>
        </is>
      </c>
      <c r="F70" t="inlineStr">
        <is>
          <t>Allmännings- och besparingsskogar</t>
        </is>
      </c>
      <c r="G70" t="n">
        <v>6</v>
      </c>
      <c r="H70" t="n">
        <v>0</v>
      </c>
      <c r="I70" t="n">
        <v>0</v>
      </c>
      <c r="J70" t="n">
        <v>1</v>
      </c>
      <c r="K70" t="n">
        <v>0</v>
      </c>
      <c r="L70" t="n">
        <v>0</v>
      </c>
      <c r="M70" t="n">
        <v>0</v>
      </c>
      <c r="N70" t="n">
        <v>0</v>
      </c>
      <c r="O70" t="n">
        <v>1</v>
      </c>
      <c r="P70" t="n">
        <v>0</v>
      </c>
      <c r="Q70" t="n">
        <v>1</v>
      </c>
      <c r="R70" s="2" t="inlineStr">
        <is>
          <t>Garnlav</t>
        </is>
      </c>
      <c r="S70">
        <f>HYPERLINK("https://klasma.github.io/Logging_0580/artfynd/A 40309-2024 artfynd.xlsx", "A 40309-2024")</f>
        <v/>
      </c>
      <c r="T70">
        <f>HYPERLINK("https://klasma.github.io/Logging_0580/kartor/A 40309-2024 karta.png", "A 40309-2024")</f>
        <v/>
      </c>
      <c r="V70">
        <f>HYPERLINK("https://klasma.github.io/Logging_0580/klagomål/A 40309-2024 FSC-klagomål.docx", "A 40309-2024")</f>
        <v/>
      </c>
      <c r="W70">
        <f>HYPERLINK("https://klasma.github.io/Logging_0580/klagomålsmail/A 40309-2024 FSC-klagomål mail.docx", "A 40309-2024")</f>
        <v/>
      </c>
      <c r="X70">
        <f>HYPERLINK("https://klasma.github.io/Logging_0580/tillsyn/A 40309-2024 tillsynsbegäran.docx", "A 40309-2024")</f>
        <v/>
      </c>
      <c r="Y70">
        <f>HYPERLINK("https://klasma.github.io/Logging_0580/tillsynsmail/A 40309-2024 tillsynsbegäran mail.docx", "A 40309-2024")</f>
        <v/>
      </c>
    </row>
    <row r="71" ht="15" customHeight="1">
      <c r="A71" t="inlineStr">
        <is>
          <t>A 5911-2022</t>
        </is>
      </c>
      <c r="B71" s="1" t="n">
        <v>44597</v>
      </c>
      <c r="C71" s="1" t="n">
        <v>45901</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56128-2022</t>
        </is>
      </c>
      <c r="B72" s="1" t="n">
        <v>44889</v>
      </c>
      <c r="C72" s="1" t="n">
        <v>45901</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15290-2025</t>
        </is>
      </c>
      <c r="B73" s="1" t="n">
        <v>45745.45288194445</v>
      </c>
      <c r="C73" s="1" t="n">
        <v>45901</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1716-2023</t>
        </is>
      </c>
      <c r="B74" s="1" t="n">
        <v>44938</v>
      </c>
      <c r="C74" s="1" t="n">
        <v>45901</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1716-2023 artfynd.xlsx", "A 1716-2023")</f>
        <v/>
      </c>
      <c r="T74">
        <f>HYPERLINK("https://klasma.github.io/Logging_0580/kartor/A 1716-2023 karta.png", "A 1716-2023")</f>
        <v/>
      </c>
      <c r="V74">
        <f>HYPERLINK("https://klasma.github.io/Logging_0580/klagomål/A 1716-2023 FSC-klagomål.docx", "A 1716-2023")</f>
        <v/>
      </c>
      <c r="W74">
        <f>HYPERLINK("https://klasma.github.io/Logging_0580/klagomålsmail/A 1716-2023 FSC-klagomål mail.docx", "A 1716-2023")</f>
        <v/>
      </c>
      <c r="X74">
        <f>HYPERLINK("https://klasma.github.io/Logging_0580/tillsyn/A 1716-2023 tillsynsbegäran.docx", "A 1716-2023")</f>
        <v/>
      </c>
      <c r="Y74">
        <f>HYPERLINK("https://klasma.github.io/Logging_0580/tillsynsmail/A 1716-2023 tillsynsbegäran mail.docx", "A 1716-2023")</f>
        <v/>
      </c>
    </row>
    <row r="75" ht="15" customHeight="1">
      <c r="A75" t="inlineStr">
        <is>
          <t>A 931-2025</t>
        </is>
      </c>
      <c r="B75" s="1" t="n">
        <v>45665.88498842593</v>
      </c>
      <c r="C75" s="1" t="n">
        <v>45901</v>
      </c>
      <c r="D75" t="inlineStr">
        <is>
          <t>ÖSTERGÖTLANDS LÄN</t>
        </is>
      </c>
      <c r="E75" t="inlineStr">
        <is>
          <t>LINKÖPING</t>
        </is>
      </c>
      <c r="F75" t="inlineStr">
        <is>
          <t>Övriga Aktiebolag</t>
        </is>
      </c>
      <c r="G75" t="n">
        <v>0.8</v>
      </c>
      <c r="H75" t="n">
        <v>0</v>
      </c>
      <c r="I75" t="n">
        <v>0</v>
      </c>
      <c r="J75" t="n">
        <v>1</v>
      </c>
      <c r="K75" t="n">
        <v>0</v>
      </c>
      <c r="L75" t="n">
        <v>0</v>
      </c>
      <c r="M75" t="n">
        <v>0</v>
      </c>
      <c r="N75" t="n">
        <v>0</v>
      </c>
      <c r="O75" t="n">
        <v>1</v>
      </c>
      <c r="P75" t="n">
        <v>0</v>
      </c>
      <c r="Q75" t="n">
        <v>1</v>
      </c>
      <c r="R75" s="2" t="inlineStr">
        <is>
          <t>Tallticka</t>
        </is>
      </c>
      <c r="S75">
        <f>HYPERLINK("https://klasma.github.io/Logging_0580/artfynd/A 931-2025 artfynd.xlsx", "A 931-2025")</f>
        <v/>
      </c>
      <c r="T75">
        <f>HYPERLINK("https://klasma.github.io/Logging_0580/kartor/A 931-2025 karta.png", "A 931-2025")</f>
        <v/>
      </c>
      <c r="V75">
        <f>HYPERLINK("https://klasma.github.io/Logging_0580/klagomål/A 931-2025 FSC-klagomål.docx", "A 931-2025")</f>
        <v/>
      </c>
      <c r="W75">
        <f>HYPERLINK("https://klasma.github.io/Logging_0580/klagomålsmail/A 931-2025 FSC-klagomål mail.docx", "A 931-2025")</f>
        <v/>
      </c>
      <c r="X75">
        <f>HYPERLINK("https://klasma.github.io/Logging_0580/tillsyn/A 931-2025 tillsynsbegäran.docx", "A 931-2025")</f>
        <v/>
      </c>
      <c r="Y75">
        <f>HYPERLINK("https://klasma.github.io/Logging_0580/tillsynsmail/A 931-2025 tillsynsbegäran mail.docx", "A 931-2025")</f>
        <v/>
      </c>
    </row>
    <row r="76" ht="15" customHeight="1">
      <c r="A76" t="inlineStr">
        <is>
          <t>A 126-2024</t>
        </is>
      </c>
      <c r="B76" s="1" t="n">
        <v>45294</v>
      </c>
      <c r="C76" s="1" t="n">
        <v>45901</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3395-2023</t>
        </is>
      </c>
      <c r="B77" s="1" t="n">
        <v>44949</v>
      </c>
      <c r="C77" s="1" t="n">
        <v>45901</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3397-2023</t>
        </is>
      </c>
      <c r="B78" s="1" t="n">
        <v>44949</v>
      </c>
      <c r="C78" s="1" t="n">
        <v>45901</v>
      </c>
      <c r="D78" t="inlineStr">
        <is>
          <t>ÖSTERGÖTLANDS LÄN</t>
        </is>
      </c>
      <c r="E78" t="inlineStr">
        <is>
          <t>LINKÖPING</t>
        </is>
      </c>
      <c r="G78" t="n">
        <v>4.1</v>
      </c>
      <c r="H78" t="n">
        <v>0</v>
      </c>
      <c r="I78" t="n">
        <v>0</v>
      </c>
      <c r="J78" t="n">
        <v>1</v>
      </c>
      <c r="K78" t="n">
        <v>0</v>
      </c>
      <c r="L78" t="n">
        <v>0</v>
      </c>
      <c r="M78" t="n">
        <v>0</v>
      </c>
      <c r="N78" t="n">
        <v>0</v>
      </c>
      <c r="O78" t="n">
        <v>1</v>
      </c>
      <c r="P78" t="n">
        <v>0</v>
      </c>
      <c r="Q78" t="n">
        <v>1</v>
      </c>
      <c r="R78" s="2" t="inlineStr">
        <is>
          <t>Svinrot</t>
        </is>
      </c>
      <c r="S78">
        <f>HYPERLINK("https://klasma.github.io/Logging_0580/artfynd/A 3397-2023 artfynd.xlsx", "A 3397-2023")</f>
        <v/>
      </c>
      <c r="T78">
        <f>HYPERLINK("https://klasma.github.io/Logging_0580/kartor/A 3397-2023 karta.png", "A 3397-2023")</f>
        <v/>
      </c>
      <c r="V78">
        <f>HYPERLINK("https://klasma.github.io/Logging_0580/klagomål/A 3397-2023 FSC-klagomål.docx", "A 3397-2023")</f>
        <v/>
      </c>
      <c r="W78">
        <f>HYPERLINK("https://klasma.github.io/Logging_0580/klagomålsmail/A 3397-2023 FSC-klagomål mail.docx", "A 3397-2023")</f>
        <v/>
      </c>
      <c r="X78">
        <f>HYPERLINK("https://klasma.github.io/Logging_0580/tillsyn/A 3397-2023 tillsynsbegäran.docx", "A 3397-2023")</f>
        <v/>
      </c>
      <c r="Y78">
        <f>HYPERLINK("https://klasma.github.io/Logging_0580/tillsynsmail/A 3397-2023 tillsynsbegäran mail.docx", "A 3397-2023")</f>
        <v/>
      </c>
    </row>
    <row r="79" ht="15" customHeight="1">
      <c r="A79" t="inlineStr">
        <is>
          <t>A 43726-2020</t>
        </is>
      </c>
      <c r="B79" s="1" t="n">
        <v>44082</v>
      </c>
      <c r="C79" s="1" t="n">
        <v>45901</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45901</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45901</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43339-2020</t>
        </is>
      </c>
      <c r="B82" s="1" t="n">
        <v>44077</v>
      </c>
      <c r="C82" s="1" t="n">
        <v>45901</v>
      </c>
      <c r="D82" t="inlineStr">
        <is>
          <t>ÖSTERGÖTLANDS LÄN</t>
        </is>
      </c>
      <c r="E82" t="inlineStr">
        <is>
          <t>LINKÖPING</t>
        </is>
      </c>
      <c r="G82" t="n">
        <v>4.2</v>
      </c>
      <c r="H82" t="n">
        <v>0</v>
      </c>
      <c r="I82" t="n">
        <v>0</v>
      </c>
      <c r="J82" t="n">
        <v>0</v>
      </c>
      <c r="K82" t="n">
        <v>0</v>
      </c>
      <c r="L82" t="n">
        <v>0</v>
      </c>
      <c r="M82" t="n">
        <v>0</v>
      </c>
      <c r="N82" t="n">
        <v>0</v>
      </c>
      <c r="O82" t="n">
        <v>0</v>
      </c>
      <c r="P82" t="n">
        <v>0</v>
      </c>
      <c r="Q82" t="n">
        <v>0</v>
      </c>
      <c r="R82" s="2" t="inlineStr"/>
    </row>
    <row r="83" ht="15" customHeight="1">
      <c r="A83" t="inlineStr">
        <is>
          <t>A 5008-2021</t>
        </is>
      </c>
      <c r="B83" s="1" t="n">
        <v>44228</v>
      </c>
      <c r="C83" s="1" t="n">
        <v>45901</v>
      </c>
      <c r="D83" t="inlineStr">
        <is>
          <t>ÖSTERGÖTLANDS LÄN</t>
        </is>
      </c>
      <c r="E83" t="inlineStr">
        <is>
          <t>LINKÖPING</t>
        </is>
      </c>
      <c r="F83" t="inlineStr">
        <is>
          <t>Övriga Aktiebolag</t>
        </is>
      </c>
      <c r="G83" t="n">
        <v>0.3</v>
      </c>
      <c r="H83" t="n">
        <v>0</v>
      </c>
      <c r="I83" t="n">
        <v>0</v>
      </c>
      <c r="J83" t="n">
        <v>0</v>
      </c>
      <c r="K83" t="n">
        <v>0</v>
      </c>
      <c r="L83" t="n">
        <v>0</v>
      </c>
      <c r="M83" t="n">
        <v>0</v>
      </c>
      <c r="N83" t="n">
        <v>0</v>
      </c>
      <c r="O83" t="n">
        <v>0</v>
      </c>
      <c r="P83" t="n">
        <v>0</v>
      </c>
      <c r="Q83" t="n">
        <v>0</v>
      </c>
      <c r="R83" s="2" t="inlineStr"/>
    </row>
    <row r="84" ht="15" customHeight="1">
      <c r="A84" t="inlineStr">
        <is>
          <t>A 56239-2021</t>
        </is>
      </c>
      <c r="B84" s="1" t="n">
        <v>44478</v>
      </c>
      <c r="C84" s="1" t="n">
        <v>45901</v>
      </c>
      <c r="D84" t="inlineStr">
        <is>
          <t>ÖSTERGÖTLANDS LÄN</t>
        </is>
      </c>
      <c r="E84" t="inlineStr">
        <is>
          <t>LINKÖPING</t>
        </is>
      </c>
      <c r="F84" t="inlineStr">
        <is>
          <t>Övriga Aktiebolag</t>
        </is>
      </c>
      <c r="G84" t="n">
        <v>3</v>
      </c>
      <c r="H84" t="n">
        <v>0</v>
      </c>
      <c r="I84" t="n">
        <v>0</v>
      </c>
      <c r="J84" t="n">
        <v>0</v>
      </c>
      <c r="K84" t="n">
        <v>0</v>
      </c>
      <c r="L84" t="n">
        <v>0</v>
      </c>
      <c r="M84" t="n">
        <v>0</v>
      </c>
      <c r="N84" t="n">
        <v>0</v>
      </c>
      <c r="O84" t="n">
        <v>0</v>
      </c>
      <c r="P84" t="n">
        <v>0</v>
      </c>
      <c r="Q84" t="n">
        <v>0</v>
      </c>
      <c r="R84" s="2" t="inlineStr"/>
    </row>
    <row r="85" ht="15" customHeight="1">
      <c r="A85" t="inlineStr">
        <is>
          <t>A 7289-2021</t>
        </is>
      </c>
      <c r="B85" s="1" t="n">
        <v>44238</v>
      </c>
      <c r="C85" s="1" t="n">
        <v>45901</v>
      </c>
      <c r="D85" t="inlineStr">
        <is>
          <t>ÖSTERGÖTLANDS LÄN</t>
        </is>
      </c>
      <c r="E85" t="inlineStr">
        <is>
          <t>LINKÖPING</t>
        </is>
      </c>
      <c r="G85" t="n">
        <v>0.7</v>
      </c>
      <c r="H85" t="n">
        <v>0</v>
      </c>
      <c r="I85" t="n">
        <v>0</v>
      </c>
      <c r="J85" t="n">
        <v>0</v>
      </c>
      <c r="K85" t="n">
        <v>0</v>
      </c>
      <c r="L85" t="n">
        <v>0</v>
      </c>
      <c r="M85" t="n">
        <v>0</v>
      </c>
      <c r="N85" t="n">
        <v>0</v>
      </c>
      <c r="O85" t="n">
        <v>0</v>
      </c>
      <c r="P85" t="n">
        <v>0</v>
      </c>
      <c r="Q85" t="n">
        <v>0</v>
      </c>
      <c r="R85" s="2" t="inlineStr"/>
    </row>
    <row r="86" ht="15" customHeight="1">
      <c r="A86" t="inlineStr">
        <is>
          <t>A 6958-2021</t>
        </is>
      </c>
      <c r="B86" s="1" t="n">
        <v>44237</v>
      </c>
      <c r="C86" s="1" t="n">
        <v>45901</v>
      </c>
      <c r="D86" t="inlineStr">
        <is>
          <t>ÖSTERGÖTLANDS LÄN</t>
        </is>
      </c>
      <c r="E86" t="inlineStr">
        <is>
          <t>LINKÖPING</t>
        </is>
      </c>
      <c r="G86" t="n">
        <v>0.6</v>
      </c>
      <c r="H86" t="n">
        <v>0</v>
      </c>
      <c r="I86" t="n">
        <v>0</v>
      </c>
      <c r="J86" t="n">
        <v>0</v>
      </c>
      <c r="K86" t="n">
        <v>0</v>
      </c>
      <c r="L86" t="n">
        <v>0</v>
      </c>
      <c r="M86" t="n">
        <v>0</v>
      </c>
      <c r="N86" t="n">
        <v>0</v>
      </c>
      <c r="O86" t="n">
        <v>0</v>
      </c>
      <c r="P86" t="n">
        <v>0</v>
      </c>
      <c r="Q86" t="n">
        <v>0</v>
      </c>
      <c r="R86" s="2" t="inlineStr"/>
    </row>
    <row r="87" ht="15" customHeight="1">
      <c r="A87" t="inlineStr">
        <is>
          <t>A 398-2021</t>
        </is>
      </c>
      <c r="B87" s="1" t="n">
        <v>44201</v>
      </c>
      <c r="C87" s="1" t="n">
        <v>45901</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67322-2021</t>
        </is>
      </c>
      <c r="B88" s="1" t="n">
        <v>44523</v>
      </c>
      <c r="C88" s="1" t="n">
        <v>45901</v>
      </c>
      <c r="D88" t="inlineStr">
        <is>
          <t>ÖSTERGÖTLANDS LÄN</t>
        </is>
      </c>
      <c r="E88" t="inlineStr">
        <is>
          <t>LINKÖPING</t>
        </is>
      </c>
      <c r="G88" t="n">
        <v>0.8</v>
      </c>
      <c r="H88" t="n">
        <v>0</v>
      </c>
      <c r="I88" t="n">
        <v>0</v>
      </c>
      <c r="J88" t="n">
        <v>0</v>
      </c>
      <c r="K88" t="n">
        <v>0</v>
      </c>
      <c r="L88" t="n">
        <v>0</v>
      </c>
      <c r="M88" t="n">
        <v>0</v>
      </c>
      <c r="N88" t="n">
        <v>0</v>
      </c>
      <c r="O88" t="n">
        <v>0</v>
      </c>
      <c r="P88" t="n">
        <v>0</v>
      </c>
      <c r="Q88" t="n">
        <v>0</v>
      </c>
      <c r="R88" s="2" t="inlineStr"/>
    </row>
    <row r="89" ht="15" customHeight="1">
      <c r="A89" t="inlineStr">
        <is>
          <t>A 42557-2020</t>
        </is>
      </c>
      <c r="B89" s="1" t="n">
        <v>44077</v>
      </c>
      <c r="C89" s="1" t="n">
        <v>45901</v>
      </c>
      <c r="D89" t="inlineStr">
        <is>
          <t>ÖSTERGÖTLANDS LÄN</t>
        </is>
      </c>
      <c r="E89" t="inlineStr">
        <is>
          <t>LINKÖPING</t>
        </is>
      </c>
      <c r="G89" t="n">
        <v>0.2</v>
      </c>
      <c r="H89" t="n">
        <v>0</v>
      </c>
      <c r="I89" t="n">
        <v>0</v>
      </c>
      <c r="J89" t="n">
        <v>0</v>
      </c>
      <c r="K89" t="n">
        <v>0</v>
      </c>
      <c r="L89" t="n">
        <v>0</v>
      </c>
      <c r="M89" t="n">
        <v>0</v>
      </c>
      <c r="N89" t="n">
        <v>0</v>
      </c>
      <c r="O89" t="n">
        <v>0</v>
      </c>
      <c r="P89" t="n">
        <v>0</v>
      </c>
      <c r="Q89" t="n">
        <v>0</v>
      </c>
      <c r="R89" s="2" t="inlineStr"/>
    </row>
    <row r="90" ht="15" customHeight="1">
      <c r="A90" t="inlineStr">
        <is>
          <t>A 40506-2021</t>
        </is>
      </c>
      <c r="B90" s="1" t="n">
        <v>44420</v>
      </c>
      <c r="C90" s="1" t="n">
        <v>45901</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45901</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45901</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45901</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45901</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45901</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45901</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47319-2020</t>
        </is>
      </c>
      <c r="B97" s="1" t="n">
        <v>44095</v>
      </c>
      <c r="C97" s="1" t="n">
        <v>45901</v>
      </c>
      <c r="D97" t="inlineStr">
        <is>
          <t>ÖSTERGÖTLANDS LÄN</t>
        </is>
      </c>
      <c r="E97" t="inlineStr">
        <is>
          <t>LINKÖPING</t>
        </is>
      </c>
      <c r="F97" t="inlineStr">
        <is>
          <t>Kommuner</t>
        </is>
      </c>
      <c r="G97" t="n">
        <v>1.3</v>
      </c>
      <c r="H97" t="n">
        <v>0</v>
      </c>
      <c r="I97" t="n">
        <v>0</v>
      </c>
      <c r="J97" t="n">
        <v>0</v>
      </c>
      <c r="K97" t="n">
        <v>0</v>
      </c>
      <c r="L97" t="n">
        <v>0</v>
      </c>
      <c r="M97" t="n">
        <v>0</v>
      </c>
      <c r="N97" t="n">
        <v>0</v>
      </c>
      <c r="O97" t="n">
        <v>0</v>
      </c>
      <c r="P97" t="n">
        <v>0</v>
      </c>
      <c r="Q97" t="n">
        <v>0</v>
      </c>
      <c r="R97" s="2" t="inlineStr"/>
    </row>
    <row r="98" ht="15" customHeight="1">
      <c r="A98" t="inlineStr">
        <is>
          <t>A 1581-2022</t>
        </is>
      </c>
      <c r="B98" s="1" t="n">
        <v>44573</v>
      </c>
      <c r="C98" s="1" t="n">
        <v>45901</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46234-2022</t>
        </is>
      </c>
      <c r="B99" s="1" t="n">
        <v>44846</v>
      </c>
      <c r="C99" s="1" t="n">
        <v>45901</v>
      </c>
      <c r="D99" t="inlineStr">
        <is>
          <t>ÖSTERGÖTLANDS LÄN</t>
        </is>
      </c>
      <c r="E99" t="inlineStr">
        <is>
          <t>LINKÖPING</t>
        </is>
      </c>
      <c r="G99" t="n">
        <v>3.3</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45901</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45901</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45901</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16715-2021</t>
        </is>
      </c>
      <c r="B103" s="1" t="n">
        <v>44294</v>
      </c>
      <c r="C103" s="1" t="n">
        <v>45901</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47462-2022</t>
        </is>
      </c>
      <c r="B104" s="1" t="n">
        <v>44853.62758101852</v>
      </c>
      <c r="C104" s="1" t="n">
        <v>45901</v>
      </c>
      <c r="D104" t="inlineStr">
        <is>
          <t>ÖSTERGÖTLANDS LÄN</t>
        </is>
      </c>
      <c r="E104" t="inlineStr">
        <is>
          <t>LINKÖPING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45901</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38143-2021</t>
        </is>
      </c>
      <c r="B106" s="1" t="n">
        <v>44405</v>
      </c>
      <c r="C106" s="1" t="n">
        <v>45901</v>
      </c>
      <c r="D106" t="inlineStr">
        <is>
          <t>ÖSTERGÖTLANDS LÄN</t>
        </is>
      </c>
      <c r="E106" t="inlineStr">
        <is>
          <t>LINKÖPING</t>
        </is>
      </c>
      <c r="G106" t="n">
        <v>4.1</v>
      </c>
      <c r="H106" t="n">
        <v>0</v>
      </c>
      <c r="I106" t="n">
        <v>0</v>
      </c>
      <c r="J106" t="n">
        <v>0</v>
      </c>
      <c r="K106" t="n">
        <v>0</v>
      </c>
      <c r="L106" t="n">
        <v>0</v>
      </c>
      <c r="M106" t="n">
        <v>0</v>
      </c>
      <c r="N106" t="n">
        <v>0</v>
      </c>
      <c r="O106" t="n">
        <v>0</v>
      </c>
      <c r="P106" t="n">
        <v>0</v>
      </c>
      <c r="Q106" t="n">
        <v>0</v>
      </c>
      <c r="R106" s="2" t="inlineStr"/>
    </row>
    <row r="107" ht="15" customHeight="1">
      <c r="A107" t="inlineStr">
        <is>
          <t>A 38254-2021</t>
        </is>
      </c>
      <c r="B107" s="1" t="n">
        <v>44405</v>
      </c>
      <c r="C107" s="1" t="n">
        <v>45901</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261-2021</t>
        </is>
      </c>
      <c r="B108" s="1" t="n">
        <v>44200</v>
      </c>
      <c r="C108" s="1" t="n">
        <v>45901</v>
      </c>
      <c r="D108" t="inlineStr">
        <is>
          <t>ÖSTERGÖTLANDS LÄN</t>
        </is>
      </c>
      <c r="E108" t="inlineStr">
        <is>
          <t>LINKÖPING</t>
        </is>
      </c>
      <c r="G108" t="n">
        <v>3.1</v>
      </c>
      <c r="H108" t="n">
        <v>0</v>
      </c>
      <c r="I108" t="n">
        <v>0</v>
      </c>
      <c r="J108" t="n">
        <v>0</v>
      </c>
      <c r="K108" t="n">
        <v>0</v>
      </c>
      <c r="L108" t="n">
        <v>0</v>
      </c>
      <c r="M108" t="n">
        <v>0</v>
      </c>
      <c r="N108" t="n">
        <v>0</v>
      </c>
      <c r="O108" t="n">
        <v>0</v>
      </c>
      <c r="P108" t="n">
        <v>0</v>
      </c>
      <c r="Q108" t="n">
        <v>0</v>
      </c>
      <c r="R108" s="2" t="inlineStr"/>
    </row>
    <row r="109" ht="15" customHeight="1">
      <c r="A109" t="inlineStr">
        <is>
          <t>A 31703-2022</t>
        </is>
      </c>
      <c r="B109" s="1" t="n">
        <v>44776</v>
      </c>
      <c r="C109" s="1" t="n">
        <v>45901</v>
      </c>
      <c r="D109" t="inlineStr">
        <is>
          <t>ÖSTERGÖTLANDS LÄN</t>
        </is>
      </c>
      <c r="E109" t="inlineStr">
        <is>
          <t>LINKÖPING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67120-2020</t>
        </is>
      </c>
      <c r="B110" s="1" t="n">
        <v>44180</v>
      </c>
      <c r="C110" s="1" t="n">
        <v>45901</v>
      </c>
      <c r="D110" t="inlineStr">
        <is>
          <t>ÖSTERGÖTLANDS LÄN</t>
        </is>
      </c>
      <c r="E110" t="inlineStr">
        <is>
          <t>LINKÖPING</t>
        </is>
      </c>
      <c r="F110" t="inlineStr">
        <is>
          <t>Övriga statliga verk och myndigheter</t>
        </is>
      </c>
      <c r="G110" t="n">
        <v>1.4</v>
      </c>
      <c r="H110" t="n">
        <v>0</v>
      </c>
      <c r="I110" t="n">
        <v>0</v>
      </c>
      <c r="J110" t="n">
        <v>0</v>
      </c>
      <c r="K110" t="n">
        <v>0</v>
      </c>
      <c r="L110" t="n">
        <v>0</v>
      </c>
      <c r="M110" t="n">
        <v>0</v>
      </c>
      <c r="N110" t="n">
        <v>0</v>
      </c>
      <c r="O110" t="n">
        <v>0</v>
      </c>
      <c r="P110" t="n">
        <v>0</v>
      </c>
      <c r="Q110" t="n">
        <v>0</v>
      </c>
      <c r="R110" s="2" t="inlineStr"/>
    </row>
    <row r="111" ht="15" customHeight="1">
      <c r="A111" t="inlineStr">
        <is>
          <t>A 3679-2021</t>
        </is>
      </c>
      <c r="B111" s="1" t="n">
        <v>44221</v>
      </c>
      <c r="C111" s="1" t="n">
        <v>45901</v>
      </c>
      <c r="D111" t="inlineStr">
        <is>
          <t>ÖSTERGÖTLANDS LÄN</t>
        </is>
      </c>
      <c r="E111" t="inlineStr">
        <is>
          <t>LINKÖPING</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45901</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53146-2021</t>
        </is>
      </c>
      <c r="B113" s="1" t="n">
        <v>44466</v>
      </c>
      <c r="C113" s="1" t="n">
        <v>45901</v>
      </c>
      <c r="D113" t="inlineStr">
        <is>
          <t>ÖSTERGÖTLANDS LÄN</t>
        </is>
      </c>
      <c r="E113" t="inlineStr">
        <is>
          <t>LINKÖPING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44674-2020</t>
        </is>
      </c>
      <c r="B114" s="1" t="n">
        <v>44085</v>
      </c>
      <c r="C114" s="1" t="n">
        <v>45901</v>
      </c>
      <c r="D114" t="inlineStr">
        <is>
          <t>ÖSTERGÖTLANDS LÄN</t>
        </is>
      </c>
      <c r="E114" t="inlineStr">
        <is>
          <t>LINKÖPING</t>
        </is>
      </c>
      <c r="G114" t="n">
        <v>3.6</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45901</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17497-2022</t>
        </is>
      </c>
      <c r="B116" s="1" t="n">
        <v>44679</v>
      </c>
      <c r="C116" s="1" t="n">
        <v>45901</v>
      </c>
      <c r="D116" t="inlineStr">
        <is>
          <t>ÖSTERGÖTLANDS LÄN</t>
        </is>
      </c>
      <c r="E116" t="inlineStr">
        <is>
          <t>LINKÖPING</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17500-2022</t>
        </is>
      </c>
      <c r="B117" s="1" t="n">
        <v>44679</v>
      </c>
      <c r="C117" s="1" t="n">
        <v>45901</v>
      </c>
      <c r="D117" t="inlineStr">
        <is>
          <t>ÖSTERGÖTLANDS LÄN</t>
        </is>
      </c>
      <c r="E117" t="inlineStr">
        <is>
          <t>LINKÖPING</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45901</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50971-2020</t>
        </is>
      </c>
      <c r="B119" s="1" t="n">
        <v>44111</v>
      </c>
      <c r="C119" s="1" t="n">
        <v>45901</v>
      </c>
      <c r="D119" t="inlineStr">
        <is>
          <t>ÖSTERGÖTLANDS LÄN</t>
        </is>
      </c>
      <c r="E119" t="inlineStr">
        <is>
          <t>LINKÖPING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33876-2021</t>
        </is>
      </c>
      <c r="B120" s="1" t="n">
        <v>44378</v>
      </c>
      <c r="C120" s="1" t="n">
        <v>45901</v>
      </c>
      <c r="D120" t="inlineStr">
        <is>
          <t>ÖSTERGÖTLANDS LÄN</t>
        </is>
      </c>
      <c r="E120" t="inlineStr">
        <is>
          <t>LINKÖPING</t>
        </is>
      </c>
      <c r="G120" t="n">
        <v>6.3</v>
      </c>
      <c r="H120" t="n">
        <v>0</v>
      </c>
      <c r="I120" t="n">
        <v>0</v>
      </c>
      <c r="J120" t="n">
        <v>0</v>
      </c>
      <c r="K120" t="n">
        <v>0</v>
      </c>
      <c r="L120" t="n">
        <v>0</v>
      </c>
      <c r="M120" t="n">
        <v>0</v>
      </c>
      <c r="N120" t="n">
        <v>0</v>
      </c>
      <c r="O120" t="n">
        <v>0</v>
      </c>
      <c r="P120" t="n">
        <v>0</v>
      </c>
      <c r="Q120" t="n">
        <v>0</v>
      </c>
      <c r="R120" s="2" t="inlineStr"/>
    </row>
    <row r="121" ht="15" customHeight="1">
      <c r="A121" t="inlineStr">
        <is>
          <t>A 10123-2021</t>
        </is>
      </c>
      <c r="B121" s="1" t="n">
        <v>44256</v>
      </c>
      <c r="C121" s="1" t="n">
        <v>45901</v>
      </c>
      <c r="D121" t="inlineStr">
        <is>
          <t>ÖSTERGÖTLANDS LÄN</t>
        </is>
      </c>
      <c r="E121" t="inlineStr">
        <is>
          <t>LINKÖPING</t>
        </is>
      </c>
      <c r="F121" t="inlineStr">
        <is>
          <t>Allmännings- och besparingsskogar</t>
        </is>
      </c>
      <c r="G121" t="n">
        <v>1.7</v>
      </c>
      <c r="H121" t="n">
        <v>0</v>
      </c>
      <c r="I121" t="n">
        <v>0</v>
      </c>
      <c r="J121" t="n">
        <v>0</v>
      </c>
      <c r="K121" t="n">
        <v>0</v>
      </c>
      <c r="L121" t="n">
        <v>0</v>
      </c>
      <c r="M121" t="n">
        <v>0</v>
      </c>
      <c r="N121" t="n">
        <v>0</v>
      </c>
      <c r="O121" t="n">
        <v>0</v>
      </c>
      <c r="P121" t="n">
        <v>0</v>
      </c>
      <c r="Q121" t="n">
        <v>0</v>
      </c>
      <c r="R121" s="2" t="inlineStr"/>
    </row>
    <row r="122" ht="15" customHeight="1">
      <c r="A122" t="inlineStr">
        <is>
          <t>A 3862-2021</t>
        </is>
      </c>
      <c r="B122" s="1" t="n">
        <v>44221</v>
      </c>
      <c r="C122" s="1" t="n">
        <v>45901</v>
      </c>
      <c r="D122" t="inlineStr">
        <is>
          <t>ÖSTERGÖTLANDS LÄN</t>
        </is>
      </c>
      <c r="E122" t="inlineStr">
        <is>
          <t>LINKÖPING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3961-2021</t>
        </is>
      </c>
      <c r="B123" s="1" t="n">
        <v>44222</v>
      </c>
      <c r="C123" s="1" t="n">
        <v>45901</v>
      </c>
      <c r="D123" t="inlineStr">
        <is>
          <t>ÖSTERGÖTLANDS LÄN</t>
        </is>
      </c>
      <c r="E123" t="inlineStr">
        <is>
          <t>LINKÖPING</t>
        </is>
      </c>
      <c r="G123" t="n">
        <v>3.9</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45901</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45901</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45901</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45901</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45901</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45901</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45901</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45901</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45901</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45901</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4382-2021</t>
        </is>
      </c>
      <c r="B134" s="1" t="n">
        <v>44223</v>
      </c>
      <c r="C134" s="1" t="n">
        <v>45901</v>
      </c>
      <c r="D134" t="inlineStr">
        <is>
          <t>ÖSTERGÖTLANDS LÄN</t>
        </is>
      </c>
      <c r="E134" t="inlineStr">
        <is>
          <t>LINKÖPING</t>
        </is>
      </c>
      <c r="G134" t="n">
        <v>4.2</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45901</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45901</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45901</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45901</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45901</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45901</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384-2021</t>
        </is>
      </c>
      <c r="B141" s="1" t="n">
        <v>44201.57689814815</v>
      </c>
      <c r="C141" s="1" t="n">
        <v>45901</v>
      </c>
      <c r="D141" t="inlineStr">
        <is>
          <t>ÖSTERGÖTLANDS LÄN</t>
        </is>
      </c>
      <c r="E141" t="inlineStr">
        <is>
          <t>LINKÖPING</t>
        </is>
      </c>
      <c r="G141" t="n">
        <v>0.2</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45901</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45901</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45901</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45901</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45901</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45901</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46969-2020</t>
        </is>
      </c>
      <c r="B148" s="1" t="n">
        <v>44090</v>
      </c>
      <c r="C148" s="1" t="n">
        <v>45901</v>
      </c>
      <c r="D148" t="inlineStr">
        <is>
          <t>ÖSTERGÖTLANDS LÄN</t>
        </is>
      </c>
      <c r="E148" t="inlineStr">
        <is>
          <t>LINKÖPING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46975-2020</t>
        </is>
      </c>
      <c r="B149" s="1" t="n">
        <v>44090</v>
      </c>
      <c r="C149" s="1" t="n">
        <v>45901</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45901</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54854-2022</t>
        </is>
      </c>
      <c r="B151" s="1" t="n">
        <v>44884</v>
      </c>
      <c r="C151" s="1" t="n">
        <v>45901</v>
      </c>
      <c r="D151" t="inlineStr">
        <is>
          <t>ÖSTERGÖTLANDS LÄN</t>
        </is>
      </c>
      <c r="E151" t="inlineStr">
        <is>
          <t>LINKÖPING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54855-2022</t>
        </is>
      </c>
      <c r="B152" s="1" t="n">
        <v>44884.59502314815</v>
      </c>
      <c r="C152" s="1" t="n">
        <v>45901</v>
      </c>
      <c r="D152" t="inlineStr">
        <is>
          <t>ÖSTERGÖTLANDS LÄN</t>
        </is>
      </c>
      <c r="E152" t="inlineStr">
        <is>
          <t>LINKÖPING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45901</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33891-2021</t>
        </is>
      </c>
      <c r="B154" s="1" t="n">
        <v>44378</v>
      </c>
      <c r="C154" s="1" t="n">
        <v>45901</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45901</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45901</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45901</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11079-2022</t>
        </is>
      </c>
      <c r="B158" s="1" t="n">
        <v>44628</v>
      </c>
      <c r="C158" s="1" t="n">
        <v>45901</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9935-2021</t>
        </is>
      </c>
      <c r="B159" s="1" t="n">
        <v>44253</v>
      </c>
      <c r="C159" s="1" t="n">
        <v>45901</v>
      </c>
      <c r="D159" t="inlineStr">
        <is>
          <t>ÖSTERGÖTLANDS LÄN</t>
        </is>
      </c>
      <c r="E159" t="inlineStr">
        <is>
          <t>LINKÖPING</t>
        </is>
      </c>
      <c r="G159" t="n">
        <v>4.5</v>
      </c>
      <c r="H159" t="n">
        <v>0</v>
      </c>
      <c r="I159" t="n">
        <v>0</v>
      </c>
      <c r="J159" t="n">
        <v>0</v>
      </c>
      <c r="K159" t="n">
        <v>0</v>
      </c>
      <c r="L159" t="n">
        <v>0</v>
      </c>
      <c r="M159" t="n">
        <v>0</v>
      </c>
      <c r="N159" t="n">
        <v>0</v>
      </c>
      <c r="O159" t="n">
        <v>0</v>
      </c>
      <c r="P159" t="n">
        <v>0</v>
      </c>
      <c r="Q159" t="n">
        <v>0</v>
      </c>
      <c r="R159" s="2" t="inlineStr"/>
    </row>
    <row r="160" ht="15" customHeight="1">
      <c r="A160" t="inlineStr">
        <is>
          <t>A 20901-2021</t>
        </is>
      </c>
      <c r="B160" s="1" t="n">
        <v>44319</v>
      </c>
      <c r="C160" s="1" t="n">
        <v>45901</v>
      </c>
      <c r="D160" t="inlineStr">
        <is>
          <t>ÖSTERGÖTLANDS LÄN</t>
        </is>
      </c>
      <c r="E160" t="inlineStr">
        <is>
          <t>LINKÖPING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31705-2022</t>
        </is>
      </c>
      <c r="B161" s="1" t="n">
        <v>44776.43607638889</v>
      </c>
      <c r="C161" s="1" t="n">
        <v>45901</v>
      </c>
      <c r="D161" t="inlineStr">
        <is>
          <t>ÖSTERGÖTLANDS LÄN</t>
        </is>
      </c>
      <c r="E161" t="inlineStr">
        <is>
          <t>LINKÖPING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61302-2021</t>
        </is>
      </c>
      <c r="B162" s="1" t="n">
        <v>44498.63189814815</v>
      </c>
      <c r="C162" s="1" t="n">
        <v>45901</v>
      </c>
      <c r="D162" t="inlineStr">
        <is>
          <t>ÖSTERGÖTLANDS LÄN</t>
        </is>
      </c>
      <c r="E162" t="inlineStr">
        <is>
          <t>LINKÖPING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4377-2021</t>
        </is>
      </c>
      <c r="B163" s="1" t="n">
        <v>44223</v>
      </c>
      <c r="C163" s="1" t="n">
        <v>45901</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19318-2022</t>
        </is>
      </c>
      <c r="B164" s="1" t="n">
        <v>44692.5827662037</v>
      </c>
      <c r="C164" s="1" t="n">
        <v>45901</v>
      </c>
      <c r="D164" t="inlineStr">
        <is>
          <t>ÖSTERGÖTLANDS LÄN</t>
        </is>
      </c>
      <c r="E164" t="inlineStr">
        <is>
          <t>LINKÖPING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61153-2021</t>
        </is>
      </c>
      <c r="B165" s="1" t="n">
        <v>44497</v>
      </c>
      <c r="C165" s="1" t="n">
        <v>45901</v>
      </c>
      <c r="D165" t="inlineStr">
        <is>
          <t>ÖSTERGÖTLANDS LÄN</t>
        </is>
      </c>
      <c r="E165" t="inlineStr">
        <is>
          <t>LINKÖPING</t>
        </is>
      </c>
      <c r="G165" t="n">
        <v>1.7</v>
      </c>
      <c r="H165" t="n">
        <v>0</v>
      </c>
      <c r="I165" t="n">
        <v>0</v>
      </c>
      <c r="J165" t="n">
        <v>0</v>
      </c>
      <c r="K165" t="n">
        <v>0</v>
      </c>
      <c r="L165" t="n">
        <v>0</v>
      </c>
      <c r="M165" t="n">
        <v>0</v>
      </c>
      <c r="N165" t="n">
        <v>0</v>
      </c>
      <c r="O165" t="n">
        <v>0</v>
      </c>
      <c r="P165" t="n">
        <v>0</v>
      </c>
      <c r="Q165" t="n">
        <v>0</v>
      </c>
      <c r="R165" s="2" t="inlineStr"/>
    </row>
    <row r="166" ht="15" customHeight="1">
      <c r="A166" t="inlineStr">
        <is>
          <t>A 33885-2021</t>
        </is>
      </c>
      <c r="B166" s="1" t="n">
        <v>44378</v>
      </c>
      <c r="C166" s="1" t="n">
        <v>45901</v>
      </c>
      <c r="D166" t="inlineStr">
        <is>
          <t>ÖSTERGÖTLANDS LÄN</t>
        </is>
      </c>
      <c r="E166" t="inlineStr">
        <is>
          <t>LINKÖPING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12413-2022</t>
        </is>
      </c>
      <c r="B167" s="1" t="n">
        <v>44638</v>
      </c>
      <c r="C167" s="1" t="n">
        <v>45901</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45901</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54467-2022</t>
        </is>
      </c>
      <c r="B169" s="1" t="n">
        <v>44882</v>
      </c>
      <c r="C169" s="1" t="n">
        <v>45901</v>
      </c>
      <c r="D169" t="inlineStr">
        <is>
          <t>ÖSTERGÖTLANDS LÄN</t>
        </is>
      </c>
      <c r="E169" t="inlineStr">
        <is>
          <t>LINKÖPING</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41426-2022</t>
        </is>
      </c>
      <c r="B170" s="1" t="n">
        <v>44826</v>
      </c>
      <c r="C170" s="1" t="n">
        <v>45901</v>
      </c>
      <c r="D170" t="inlineStr">
        <is>
          <t>ÖSTERGÖTLANDS LÄN</t>
        </is>
      </c>
      <c r="E170" t="inlineStr">
        <is>
          <t>LINKÖPING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36341-2022</t>
        </is>
      </c>
      <c r="B171" s="1" t="n">
        <v>44803</v>
      </c>
      <c r="C171" s="1" t="n">
        <v>45901</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45901</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45901</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45901</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46490-2022</t>
        </is>
      </c>
      <c r="B175" s="1" t="n">
        <v>44848</v>
      </c>
      <c r="C175" s="1" t="n">
        <v>45901</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61298-2021</t>
        </is>
      </c>
      <c r="B176" s="1" t="n">
        <v>44498.62533564815</v>
      </c>
      <c r="C176" s="1" t="n">
        <v>45901</v>
      </c>
      <c r="D176" t="inlineStr">
        <is>
          <t>ÖSTERGÖTLANDS LÄN</t>
        </is>
      </c>
      <c r="E176" t="inlineStr">
        <is>
          <t>LINKÖPING</t>
        </is>
      </c>
      <c r="G176" t="n">
        <v>4.3</v>
      </c>
      <c r="H176" t="n">
        <v>0</v>
      </c>
      <c r="I176" t="n">
        <v>0</v>
      </c>
      <c r="J176" t="n">
        <v>0</v>
      </c>
      <c r="K176" t="n">
        <v>0</v>
      </c>
      <c r="L176" t="n">
        <v>0</v>
      </c>
      <c r="M176" t="n">
        <v>0</v>
      </c>
      <c r="N176" t="n">
        <v>0</v>
      </c>
      <c r="O176" t="n">
        <v>0</v>
      </c>
      <c r="P176" t="n">
        <v>0</v>
      </c>
      <c r="Q176" t="n">
        <v>0</v>
      </c>
      <c r="R176" s="2" t="inlineStr"/>
    </row>
    <row r="177" ht="15" customHeight="1">
      <c r="A177" t="inlineStr">
        <is>
          <t>A 61333-2021</t>
        </is>
      </c>
      <c r="B177" s="1" t="n">
        <v>44498.6764699074</v>
      </c>
      <c r="C177" s="1" t="n">
        <v>45901</v>
      </c>
      <c r="D177" t="inlineStr">
        <is>
          <t>ÖSTERGÖTLANDS LÄN</t>
        </is>
      </c>
      <c r="E177" t="inlineStr">
        <is>
          <t>LINKÖPING</t>
        </is>
      </c>
      <c r="G177" t="n">
        <v>7.5</v>
      </c>
      <c r="H177" t="n">
        <v>0</v>
      </c>
      <c r="I177" t="n">
        <v>0</v>
      </c>
      <c r="J177" t="n">
        <v>0</v>
      </c>
      <c r="K177" t="n">
        <v>0</v>
      </c>
      <c r="L177" t="n">
        <v>0</v>
      </c>
      <c r="M177" t="n">
        <v>0</v>
      </c>
      <c r="N177" t="n">
        <v>0</v>
      </c>
      <c r="O177" t="n">
        <v>0</v>
      </c>
      <c r="P177" t="n">
        <v>0</v>
      </c>
      <c r="Q177" t="n">
        <v>0</v>
      </c>
      <c r="R177" s="2" t="inlineStr"/>
    </row>
    <row r="178" ht="15" customHeight="1">
      <c r="A178" t="inlineStr">
        <is>
          <t>A 41650-2020</t>
        </is>
      </c>
      <c r="B178" s="1" t="n">
        <v>44074</v>
      </c>
      <c r="C178" s="1" t="n">
        <v>45901</v>
      </c>
      <c r="D178" t="inlineStr">
        <is>
          <t>ÖSTERGÖTLANDS LÄN</t>
        </is>
      </c>
      <c r="E178" t="inlineStr">
        <is>
          <t>LINKÖPING</t>
        </is>
      </c>
      <c r="F178" t="inlineStr">
        <is>
          <t>Allmännings- och besparingsskogar</t>
        </is>
      </c>
      <c r="G178" t="n">
        <v>1.6</v>
      </c>
      <c r="H178" t="n">
        <v>0</v>
      </c>
      <c r="I178" t="n">
        <v>0</v>
      </c>
      <c r="J178" t="n">
        <v>0</v>
      </c>
      <c r="K178" t="n">
        <v>0</v>
      </c>
      <c r="L178" t="n">
        <v>0</v>
      </c>
      <c r="M178" t="n">
        <v>0</v>
      </c>
      <c r="N178" t="n">
        <v>0</v>
      </c>
      <c r="O178" t="n">
        <v>0</v>
      </c>
      <c r="P178" t="n">
        <v>0</v>
      </c>
      <c r="Q178" t="n">
        <v>0</v>
      </c>
      <c r="R178" s="2" t="inlineStr"/>
    </row>
    <row r="179" ht="15" customHeight="1">
      <c r="A179" t="inlineStr">
        <is>
          <t>A 4240-2022</t>
        </is>
      </c>
      <c r="B179" s="1" t="n">
        <v>44588</v>
      </c>
      <c r="C179" s="1" t="n">
        <v>45901</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12412-2022</t>
        </is>
      </c>
      <c r="B180" s="1" t="n">
        <v>44638</v>
      </c>
      <c r="C180" s="1" t="n">
        <v>45901</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45901</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46803-2020</t>
        </is>
      </c>
      <c r="B182" s="1" t="n">
        <v>44089</v>
      </c>
      <c r="C182" s="1" t="n">
        <v>45901</v>
      </c>
      <c r="D182" t="inlineStr">
        <is>
          <t>ÖSTERGÖTLANDS LÄN</t>
        </is>
      </c>
      <c r="E182" t="inlineStr">
        <is>
          <t>LINKÖPING</t>
        </is>
      </c>
      <c r="G182" t="n">
        <v>3</v>
      </c>
      <c r="H182" t="n">
        <v>0</v>
      </c>
      <c r="I182" t="n">
        <v>0</v>
      </c>
      <c r="J182" t="n">
        <v>0</v>
      </c>
      <c r="K182" t="n">
        <v>0</v>
      </c>
      <c r="L182" t="n">
        <v>0</v>
      </c>
      <c r="M182" t="n">
        <v>0</v>
      </c>
      <c r="N182" t="n">
        <v>0</v>
      </c>
      <c r="O182" t="n">
        <v>0</v>
      </c>
      <c r="P182" t="n">
        <v>0</v>
      </c>
      <c r="Q182" t="n">
        <v>0</v>
      </c>
      <c r="R182" s="2" t="inlineStr"/>
    </row>
    <row r="183" ht="15" customHeight="1">
      <c r="A183" t="inlineStr">
        <is>
          <t>A 46891-2021</t>
        </is>
      </c>
      <c r="B183" s="1" t="n">
        <v>44446.44587962963</v>
      </c>
      <c r="C183" s="1" t="n">
        <v>45901</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33134-2022</t>
        </is>
      </c>
      <c r="B184" s="1" t="n">
        <v>44785</v>
      </c>
      <c r="C184" s="1" t="n">
        <v>45901</v>
      </c>
      <c r="D184" t="inlineStr">
        <is>
          <t>ÖSTERGÖTLANDS LÄN</t>
        </is>
      </c>
      <c r="E184" t="inlineStr">
        <is>
          <t>LINKÖPING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13075-2022</t>
        </is>
      </c>
      <c r="B185" s="1" t="n">
        <v>44643</v>
      </c>
      <c r="C185" s="1" t="n">
        <v>45901</v>
      </c>
      <c r="D185" t="inlineStr">
        <is>
          <t>ÖSTERGÖTLANDS LÄN</t>
        </is>
      </c>
      <c r="E185" t="inlineStr">
        <is>
          <t>LINKÖPING</t>
        </is>
      </c>
      <c r="G185" t="n">
        <v>2.2</v>
      </c>
      <c r="H185" t="n">
        <v>0</v>
      </c>
      <c r="I185" t="n">
        <v>0</v>
      </c>
      <c r="J185" t="n">
        <v>0</v>
      </c>
      <c r="K185" t="n">
        <v>0</v>
      </c>
      <c r="L185" t="n">
        <v>0</v>
      </c>
      <c r="M185" t="n">
        <v>0</v>
      </c>
      <c r="N185" t="n">
        <v>0</v>
      </c>
      <c r="O185" t="n">
        <v>0</v>
      </c>
      <c r="P185" t="n">
        <v>0</v>
      </c>
      <c r="Q185" t="n">
        <v>0</v>
      </c>
      <c r="R185" s="2" t="inlineStr"/>
    </row>
    <row r="186" ht="15" customHeight="1">
      <c r="A186" t="inlineStr">
        <is>
          <t>A 27666-2022</t>
        </is>
      </c>
      <c r="B186" s="1" t="n">
        <v>44743.39017361111</v>
      </c>
      <c r="C186" s="1" t="n">
        <v>45901</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19183-2021</t>
        </is>
      </c>
      <c r="B187" s="1" t="n">
        <v>44308.73248842593</v>
      </c>
      <c r="C187" s="1" t="n">
        <v>45901</v>
      </c>
      <c r="D187" t="inlineStr">
        <is>
          <t>ÖSTERGÖTLANDS LÄN</t>
        </is>
      </c>
      <c r="E187" t="inlineStr">
        <is>
          <t>LINKÖPING</t>
        </is>
      </c>
      <c r="F187" t="inlineStr">
        <is>
          <t>Allmännings- och besparingsskogar</t>
        </is>
      </c>
      <c r="G187" t="n">
        <v>4.6</v>
      </c>
      <c r="H187" t="n">
        <v>0</v>
      </c>
      <c r="I187" t="n">
        <v>0</v>
      </c>
      <c r="J187" t="n">
        <v>0</v>
      </c>
      <c r="K187" t="n">
        <v>0</v>
      </c>
      <c r="L187" t="n">
        <v>0</v>
      </c>
      <c r="M187" t="n">
        <v>0</v>
      </c>
      <c r="N187" t="n">
        <v>0</v>
      </c>
      <c r="O187" t="n">
        <v>0</v>
      </c>
      <c r="P187" t="n">
        <v>0</v>
      </c>
      <c r="Q187" t="n">
        <v>0</v>
      </c>
      <c r="R187" s="2" t="inlineStr"/>
    </row>
    <row r="188" ht="15" customHeight="1">
      <c r="A188" t="inlineStr">
        <is>
          <t>A 51912-2020</t>
        </is>
      </c>
      <c r="B188" s="1" t="n">
        <v>44116</v>
      </c>
      <c r="C188" s="1" t="n">
        <v>45901</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23416-2022</t>
        </is>
      </c>
      <c r="B189" s="1" t="n">
        <v>44720.78243055556</v>
      </c>
      <c r="C189" s="1" t="n">
        <v>45901</v>
      </c>
      <c r="D189" t="inlineStr">
        <is>
          <t>ÖSTERGÖTLANDS LÄN</t>
        </is>
      </c>
      <c r="E189" t="inlineStr">
        <is>
          <t>LINKÖPING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59288-2020</t>
        </is>
      </c>
      <c r="B190" s="1" t="n">
        <v>44147</v>
      </c>
      <c r="C190" s="1" t="n">
        <v>45901</v>
      </c>
      <c r="D190" t="inlineStr">
        <is>
          <t>ÖSTERGÖTLANDS LÄN</t>
        </is>
      </c>
      <c r="E190" t="inlineStr">
        <is>
          <t>LINKÖPING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45901</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56688-2021</t>
        </is>
      </c>
      <c r="B192" s="1" t="n">
        <v>44481</v>
      </c>
      <c r="C192" s="1" t="n">
        <v>45901</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13922-2021</t>
        </is>
      </c>
      <c r="B193" s="1" t="n">
        <v>44277.45946759259</v>
      </c>
      <c r="C193" s="1" t="n">
        <v>45901</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44879-2020</t>
        </is>
      </c>
      <c r="B194" s="1" t="n">
        <v>44087</v>
      </c>
      <c r="C194" s="1" t="n">
        <v>45901</v>
      </c>
      <c r="D194" t="inlineStr">
        <is>
          <t>ÖSTERGÖTLANDS LÄN</t>
        </is>
      </c>
      <c r="E194" t="inlineStr">
        <is>
          <t>LINKÖPING</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50035-2020</t>
        </is>
      </c>
      <c r="B195" s="1" t="n">
        <v>44109</v>
      </c>
      <c r="C195" s="1" t="n">
        <v>45901</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27769-2022</t>
        </is>
      </c>
      <c r="B196" s="1" t="n">
        <v>44743.53200231482</v>
      </c>
      <c r="C196" s="1" t="n">
        <v>45901</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34486-2021</t>
        </is>
      </c>
      <c r="B197" s="1" t="n">
        <v>44382.29295138889</v>
      </c>
      <c r="C197" s="1" t="n">
        <v>45901</v>
      </c>
      <c r="D197" t="inlineStr">
        <is>
          <t>ÖSTERGÖTLANDS LÄN</t>
        </is>
      </c>
      <c r="E197" t="inlineStr">
        <is>
          <t>LINKÖPING</t>
        </is>
      </c>
      <c r="G197" t="n">
        <v>4.4</v>
      </c>
      <c r="H197" t="n">
        <v>0</v>
      </c>
      <c r="I197" t="n">
        <v>0</v>
      </c>
      <c r="J197" t="n">
        <v>0</v>
      </c>
      <c r="K197" t="n">
        <v>0</v>
      </c>
      <c r="L197" t="n">
        <v>0</v>
      </c>
      <c r="M197" t="n">
        <v>0</v>
      </c>
      <c r="N197" t="n">
        <v>0</v>
      </c>
      <c r="O197" t="n">
        <v>0</v>
      </c>
      <c r="P197" t="n">
        <v>0</v>
      </c>
      <c r="Q197" t="n">
        <v>0</v>
      </c>
      <c r="R197" s="2" t="inlineStr"/>
    </row>
    <row r="198" ht="15" customHeight="1">
      <c r="A198" t="inlineStr">
        <is>
          <t>A 1787-2022</t>
        </is>
      </c>
      <c r="B198" s="1" t="n">
        <v>44574</v>
      </c>
      <c r="C198" s="1" t="n">
        <v>45901</v>
      </c>
      <c r="D198" t="inlineStr">
        <is>
          <t>ÖSTERGÖTLANDS LÄN</t>
        </is>
      </c>
      <c r="E198" t="inlineStr">
        <is>
          <t>LINKÖPING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948-2022</t>
        </is>
      </c>
      <c r="B199" s="1" t="n">
        <v>44571</v>
      </c>
      <c r="C199" s="1" t="n">
        <v>45901</v>
      </c>
      <c r="D199" t="inlineStr">
        <is>
          <t>ÖSTERGÖTLANDS LÄN</t>
        </is>
      </c>
      <c r="E199" t="inlineStr">
        <is>
          <t>LINKÖPING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41514-2020</t>
        </is>
      </c>
      <c r="B200" s="1" t="n">
        <v>44074</v>
      </c>
      <c r="C200" s="1" t="n">
        <v>45901</v>
      </c>
      <c r="D200" t="inlineStr">
        <is>
          <t>ÖSTERGÖTLANDS LÄN</t>
        </is>
      </c>
      <c r="E200" t="inlineStr">
        <is>
          <t>LINKÖPING</t>
        </is>
      </c>
      <c r="F200" t="inlineStr">
        <is>
          <t>Allmännings- och besparingsskogar</t>
        </is>
      </c>
      <c r="G200" t="n">
        <v>5.2</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45901</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37014-2021</t>
        </is>
      </c>
      <c r="B202" s="1" t="n">
        <v>44393</v>
      </c>
      <c r="C202" s="1" t="n">
        <v>45901</v>
      </c>
      <c r="D202" t="inlineStr">
        <is>
          <t>ÖSTERGÖTLANDS LÄN</t>
        </is>
      </c>
      <c r="E202" t="inlineStr">
        <is>
          <t>LINKÖPING</t>
        </is>
      </c>
      <c r="F202" t="inlineStr">
        <is>
          <t>Allmännings- och besparingsskogar</t>
        </is>
      </c>
      <c r="G202" t="n">
        <v>7.7</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45901</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4929-2021</t>
        </is>
      </c>
      <c r="B204" s="1" t="n">
        <v>44227.57533564815</v>
      </c>
      <c r="C204" s="1" t="n">
        <v>45901</v>
      </c>
      <c r="D204" t="inlineStr">
        <is>
          <t>ÖSTERGÖTLANDS LÄN</t>
        </is>
      </c>
      <c r="E204" t="inlineStr">
        <is>
          <t>LINKÖPING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38134-2021</t>
        </is>
      </c>
      <c r="B205" s="1" t="n">
        <v>44405.3794212963</v>
      </c>
      <c r="C205" s="1" t="n">
        <v>45901</v>
      </c>
      <c r="D205" t="inlineStr">
        <is>
          <t>ÖSTERGÖTLANDS LÄN</t>
        </is>
      </c>
      <c r="E205" t="inlineStr">
        <is>
          <t>LINKÖPING</t>
        </is>
      </c>
      <c r="G205" t="n">
        <v>5.1</v>
      </c>
      <c r="H205" t="n">
        <v>0</v>
      </c>
      <c r="I205" t="n">
        <v>0</v>
      </c>
      <c r="J205" t="n">
        <v>0</v>
      </c>
      <c r="K205" t="n">
        <v>0</v>
      </c>
      <c r="L205" t="n">
        <v>0</v>
      </c>
      <c r="M205" t="n">
        <v>0</v>
      </c>
      <c r="N205" t="n">
        <v>0</v>
      </c>
      <c r="O205" t="n">
        <v>0</v>
      </c>
      <c r="P205" t="n">
        <v>0</v>
      </c>
      <c r="Q205" t="n">
        <v>0</v>
      </c>
      <c r="R205" s="2" t="inlineStr"/>
    </row>
    <row r="206" ht="15" customHeight="1">
      <c r="A206" t="inlineStr">
        <is>
          <t>A 31732-2022</t>
        </is>
      </c>
      <c r="B206" s="1" t="n">
        <v>44776.49267361111</v>
      </c>
      <c r="C206" s="1" t="n">
        <v>45901</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34880-2022</t>
        </is>
      </c>
      <c r="B207" s="1" t="n">
        <v>44796</v>
      </c>
      <c r="C207" s="1" t="n">
        <v>45901</v>
      </c>
      <c r="D207" t="inlineStr">
        <is>
          <t>ÖSTERGÖTLANDS LÄN</t>
        </is>
      </c>
      <c r="E207" t="inlineStr">
        <is>
          <t>LINKÖPING</t>
        </is>
      </c>
      <c r="F207" t="inlineStr">
        <is>
          <t>Övriga statliga verk och myndigheter</t>
        </is>
      </c>
      <c r="G207" t="n">
        <v>4</v>
      </c>
      <c r="H207" t="n">
        <v>0</v>
      </c>
      <c r="I207" t="n">
        <v>0</v>
      </c>
      <c r="J207" t="n">
        <v>0</v>
      </c>
      <c r="K207" t="n">
        <v>0</v>
      </c>
      <c r="L207" t="n">
        <v>0</v>
      </c>
      <c r="M207" t="n">
        <v>0</v>
      </c>
      <c r="N207" t="n">
        <v>0</v>
      </c>
      <c r="O207" t="n">
        <v>0</v>
      </c>
      <c r="P207" t="n">
        <v>0</v>
      </c>
      <c r="Q207" t="n">
        <v>0</v>
      </c>
      <c r="R207" s="2" t="inlineStr"/>
    </row>
    <row r="208" ht="15" customHeight="1">
      <c r="A208" t="inlineStr">
        <is>
          <t>A 48042-2022</t>
        </is>
      </c>
      <c r="B208" s="1" t="n">
        <v>44855</v>
      </c>
      <c r="C208" s="1" t="n">
        <v>45901</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50401-2020</t>
        </is>
      </c>
      <c r="B209" s="1" t="n">
        <v>44110</v>
      </c>
      <c r="C209" s="1" t="n">
        <v>45901</v>
      </c>
      <c r="D209" t="inlineStr">
        <is>
          <t>ÖSTERGÖTLANDS LÄN</t>
        </is>
      </c>
      <c r="E209" t="inlineStr">
        <is>
          <t>LINKÖPING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44849-2022</t>
        </is>
      </c>
      <c r="B210" s="1" t="n">
        <v>44841</v>
      </c>
      <c r="C210" s="1" t="n">
        <v>45901</v>
      </c>
      <c r="D210" t="inlineStr">
        <is>
          <t>ÖSTERGÖTLANDS LÄN</t>
        </is>
      </c>
      <c r="E210" t="inlineStr">
        <is>
          <t>LINKÖPING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70835-2021</t>
        </is>
      </c>
      <c r="B211" s="1" t="n">
        <v>44537</v>
      </c>
      <c r="C211" s="1" t="n">
        <v>45901</v>
      </c>
      <c r="D211" t="inlineStr">
        <is>
          <t>ÖSTERGÖTLANDS LÄN</t>
        </is>
      </c>
      <c r="E211" t="inlineStr">
        <is>
          <t>LINKÖPING</t>
        </is>
      </c>
      <c r="G211" t="n">
        <v>2.3</v>
      </c>
      <c r="H211" t="n">
        <v>0</v>
      </c>
      <c r="I211" t="n">
        <v>0</v>
      </c>
      <c r="J211" t="n">
        <v>0</v>
      </c>
      <c r="K211" t="n">
        <v>0</v>
      </c>
      <c r="L211" t="n">
        <v>0</v>
      </c>
      <c r="M211" t="n">
        <v>0</v>
      </c>
      <c r="N211" t="n">
        <v>0</v>
      </c>
      <c r="O211" t="n">
        <v>0</v>
      </c>
      <c r="P211" t="n">
        <v>0</v>
      </c>
      <c r="Q211" t="n">
        <v>0</v>
      </c>
      <c r="R211" s="2" t="inlineStr"/>
    </row>
    <row r="212" ht="15" customHeight="1">
      <c r="A212" t="inlineStr">
        <is>
          <t>A 37934-2022</t>
        </is>
      </c>
      <c r="B212" s="1" t="n">
        <v>44809</v>
      </c>
      <c r="C212" s="1" t="n">
        <v>45901</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9434-2024</t>
        </is>
      </c>
      <c r="B213" s="1" t="n">
        <v>45359</v>
      </c>
      <c r="C213" s="1" t="n">
        <v>45901</v>
      </c>
      <c r="D213" t="inlineStr">
        <is>
          <t>ÖSTERGÖTLANDS LÄN</t>
        </is>
      </c>
      <c r="E213" t="inlineStr">
        <is>
          <t>LINKÖPING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10407-2025</t>
        </is>
      </c>
      <c r="B214" s="1" t="n">
        <v>45720.62863425926</v>
      </c>
      <c r="C214" s="1" t="n">
        <v>45901</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63678-2023</t>
        </is>
      </c>
      <c r="B215" s="1" t="n">
        <v>45275.64769675926</v>
      </c>
      <c r="C215" s="1" t="n">
        <v>45901</v>
      </c>
      <c r="D215" t="inlineStr">
        <is>
          <t>ÖSTERGÖTLANDS LÄN</t>
        </is>
      </c>
      <c r="E215" t="inlineStr">
        <is>
          <t>LINKÖPING</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63688-2023</t>
        </is>
      </c>
      <c r="B216" s="1" t="n">
        <v>45275</v>
      </c>
      <c r="C216" s="1" t="n">
        <v>45901</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63691-2023</t>
        </is>
      </c>
      <c r="B217" s="1" t="n">
        <v>45275</v>
      </c>
      <c r="C217" s="1" t="n">
        <v>45901</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46980-2020</t>
        </is>
      </c>
      <c r="B218" s="1" t="n">
        <v>44090</v>
      </c>
      <c r="C218" s="1" t="n">
        <v>45901</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34557-2022</t>
        </is>
      </c>
      <c r="B219" s="1" t="n">
        <v>44794.57074074074</v>
      </c>
      <c r="C219" s="1" t="n">
        <v>45901</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39021-2021</t>
        </is>
      </c>
      <c r="B220" s="1" t="n">
        <v>44412</v>
      </c>
      <c r="C220" s="1" t="n">
        <v>45901</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61532-2021</t>
        </is>
      </c>
      <c r="B221" s="1" t="n">
        <v>44501</v>
      </c>
      <c r="C221" s="1" t="n">
        <v>45901</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3374-2023</t>
        </is>
      </c>
      <c r="B222" s="1" t="n">
        <v>44949</v>
      </c>
      <c r="C222" s="1" t="n">
        <v>45901</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224-2024</t>
        </is>
      </c>
      <c r="B223" s="1" t="n">
        <v>45294</v>
      </c>
      <c r="C223" s="1" t="n">
        <v>45901</v>
      </c>
      <c r="D223" t="inlineStr">
        <is>
          <t>ÖSTERGÖTLANDS LÄN</t>
        </is>
      </c>
      <c r="E223" t="inlineStr">
        <is>
          <t>LINKÖPING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6726-2024</t>
        </is>
      </c>
      <c r="B224" s="1" t="n">
        <v>45341</v>
      </c>
      <c r="C224" s="1" t="n">
        <v>45901</v>
      </c>
      <c r="D224" t="inlineStr">
        <is>
          <t>ÖSTERGÖTLANDS LÄN</t>
        </is>
      </c>
      <c r="E224" t="inlineStr">
        <is>
          <t>LINKÖPING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17157-2024</t>
        </is>
      </c>
      <c r="B225" s="1" t="n">
        <v>45412.70567129629</v>
      </c>
      <c r="C225" s="1" t="n">
        <v>45901</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12035-2025</t>
        </is>
      </c>
      <c r="B226" s="1" t="n">
        <v>45728.64946759259</v>
      </c>
      <c r="C226" s="1" t="n">
        <v>45901</v>
      </c>
      <c r="D226" t="inlineStr">
        <is>
          <t>ÖSTERGÖTLANDS LÄN</t>
        </is>
      </c>
      <c r="E226" t="inlineStr">
        <is>
          <t>LINKÖPING</t>
        </is>
      </c>
      <c r="G226" t="n">
        <v>3.7</v>
      </c>
      <c r="H226" t="n">
        <v>0</v>
      </c>
      <c r="I226" t="n">
        <v>0</v>
      </c>
      <c r="J226" t="n">
        <v>0</v>
      </c>
      <c r="K226" t="n">
        <v>0</v>
      </c>
      <c r="L226" t="n">
        <v>0</v>
      </c>
      <c r="M226" t="n">
        <v>0</v>
      </c>
      <c r="N226" t="n">
        <v>0</v>
      </c>
      <c r="O226" t="n">
        <v>0</v>
      </c>
      <c r="P226" t="n">
        <v>0</v>
      </c>
      <c r="Q226" t="n">
        <v>0</v>
      </c>
      <c r="R226" s="2" t="inlineStr"/>
    </row>
    <row r="227" ht="15" customHeight="1">
      <c r="A227" t="inlineStr">
        <is>
          <t>A 13689-2025</t>
        </is>
      </c>
      <c r="B227" s="1" t="n">
        <v>45737.31590277778</v>
      </c>
      <c r="C227" s="1" t="n">
        <v>45901</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13696-2025</t>
        </is>
      </c>
      <c r="B228" s="1" t="n">
        <v>45737.32273148148</v>
      </c>
      <c r="C228" s="1" t="n">
        <v>45901</v>
      </c>
      <c r="D228" t="inlineStr">
        <is>
          <t>ÖSTERGÖTLANDS LÄN</t>
        </is>
      </c>
      <c r="E228" t="inlineStr">
        <is>
          <t>LINKÖPING</t>
        </is>
      </c>
      <c r="G228" t="n">
        <v>3.5</v>
      </c>
      <c r="H228" t="n">
        <v>0</v>
      </c>
      <c r="I228" t="n">
        <v>0</v>
      </c>
      <c r="J228" t="n">
        <v>0</v>
      </c>
      <c r="K228" t="n">
        <v>0</v>
      </c>
      <c r="L228" t="n">
        <v>0</v>
      </c>
      <c r="M228" t="n">
        <v>0</v>
      </c>
      <c r="N228" t="n">
        <v>0</v>
      </c>
      <c r="O228" t="n">
        <v>0</v>
      </c>
      <c r="P228" t="n">
        <v>0</v>
      </c>
      <c r="Q228" t="n">
        <v>0</v>
      </c>
      <c r="R228" s="2" t="inlineStr"/>
    </row>
    <row r="229" ht="15" customHeight="1">
      <c r="A229" t="inlineStr">
        <is>
          <t>A 5872-2025</t>
        </is>
      </c>
      <c r="B229" s="1" t="n">
        <v>45695.36659722222</v>
      </c>
      <c r="C229" s="1" t="n">
        <v>45901</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59674-2024</t>
        </is>
      </c>
      <c r="B230" s="1" t="n">
        <v>45639</v>
      </c>
      <c r="C230" s="1" t="n">
        <v>45901</v>
      </c>
      <c r="D230" t="inlineStr">
        <is>
          <t>ÖSTERGÖTLANDS LÄN</t>
        </is>
      </c>
      <c r="E230" t="inlineStr">
        <is>
          <t>LINKÖPING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12428-2024</t>
        </is>
      </c>
      <c r="B231" s="1" t="n">
        <v>45379</v>
      </c>
      <c r="C231" s="1" t="n">
        <v>45901</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51484-2023</t>
        </is>
      </c>
      <c r="B232" s="1" t="n">
        <v>45222</v>
      </c>
      <c r="C232" s="1" t="n">
        <v>45901</v>
      </c>
      <c r="D232" t="inlineStr">
        <is>
          <t>ÖSTERGÖTLANDS LÄN</t>
        </is>
      </c>
      <c r="E232" t="inlineStr">
        <is>
          <t>LINKÖPING</t>
        </is>
      </c>
      <c r="F232" t="inlineStr">
        <is>
          <t>Övriga Aktiebolag</t>
        </is>
      </c>
      <c r="G232" t="n">
        <v>7.7</v>
      </c>
      <c r="H232" t="n">
        <v>0</v>
      </c>
      <c r="I232" t="n">
        <v>0</v>
      </c>
      <c r="J232" t="n">
        <v>0</v>
      </c>
      <c r="K232" t="n">
        <v>0</v>
      </c>
      <c r="L232" t="n">
        <v>0</v>
      </c>
      <c r="M232" t="n">
        <v>0</v>
      </c>
      <c r="N232" t="n">
        <v>0</v>
      </c>
      <c r="O232" t="n">
        <v>0</v>
      </c>
      <c r="P232" t="n">
        <v>0</v>
      </c>
      <c r="Q232" t="n">
        <v>0</v>
      </c>
      <c r="R232" s="2" t="inlineStr"/>
    </row>
    <row r="233" ht="15" customHeight="1">
      <c r="A233" t="inlineStr">
        <is>
          <t>A 72567-2021</t>
        </is>
      </c>
      <c r="B233" s="1" t="n">
        <v>44546.45023148148</v>
      </c>
      <c r="C233" s="1" t="n">
        <v>45901</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59576-2024</t>
        </is>
      </c>
      <c r="B234" s="1" t="n">
        <v>45638.66378472222</v>
      </c>
      <c r="C234" s="1" t="n">
        <v>45901</v>
      </c>
      <c r="D234" t="inlineStr">
        <is>
          <t>ÖSTERGÖTLANDS LÄN</t>
        </is>
      </c>
      <c r="E234" t="inlineStr">
        <is>
          <t>LINKÖPING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53814-2023</t>
        </is>
      </c>
      <c r="B235" s="1" t="n">
        <v>45231</v>
      </c>
      <c r="C235" s="1" t="n">
        <v>45901</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51583-2024</t>
        </is>
      </c>
      <c r="B236" s="1" t="n">
        <v>45604.6397337963</v>
      </c>
      <c r="C236" s="1" t="n">
        <v>45901</v>
      </c>
      <c r="D236" t="inlineStr">
        <is>
          <t>ÖSTERGÖTLANDS LÄN</t>
        </is>
      </c>
      <c r="E236" t="inlineStr">
        <is>
          <t>LINKÖPING</t>
        </is>
      </c>
      <c r="F236" t="inlineStr">
        <is>
          <t>Övriga Aktiebolag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62019-2024</t>
        </is>
      </c>
      <c r="B237" s="1" t="n">
        <v>45655.82</v>
      </c>
      <c r="C237" s="1" t="n">
        <v>45901</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38317-2024</t>
        </is>
      </c>
      <c r="B238" s="1" t="n">
        <v>45545.65766203704</v>
      </c>
      <c r="C238" s="1" t="n">
        <v>45901</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46225-2021</t>
        </is>
      </c>
      <c r="B239" s="1" t="n">
        <v>44442</v>
      </c>
      <c r="C239" s="1" t="n">
        <v>45901</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54428-2022</t>
        </is>
      </c>
      <c r="B240" s="1" t="n">
        <v>44882.57643518518</v>
      </c>
      <c r="C240" s="1" t="n">
        <v>45901</v>
      </c>
      <c r="D240" t="inlineStr">
        <is>
          <t>ÖSTERGÖTLANDS LÄN</t>
        </is>
      </c>
      <c r="E240" t="inlineStr">
        <is>
          <t>LINKÖPING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50182-2023</t>
        </is>
      </c>
      <c r="B241" s="1" t="n">
        <v>45208</v>
      </c>
      <c r="C241" s="1" t="n">
        <v>45901</v>
      </c>
      <c r="D241" t="inlineStr">
        <is>
          <t>ÖSTERGÖTLANDS LÄN</t>
        </is>
      </c>
      <c r="E241" t="inlineStr">
        <is>
          <t>LINKÖPING</t>
        </is>
      </c>
      <c r="G241" t="n">
        <v>2.5</v>
      </c>
      <c r="H241" t="n">
        <v>0</v>
      </c>
      <c r="I241" t="n">
        <v>0</v>
      </c>
      <c r="J241" t="n">
        <v>0</v>
      </c>
      <c r="K241" t="n">
        <v>0</v>
      </c>
      <c r="L241" t="n">
        <v>0</v>
      </c>
      <c r="M241" t="n">
        <v>0</v>
      </c>
      <c r="N241" t="n">
        <v>0</v>
      </c>
      <c r="O241" t="n">
        <v>0</v>
      </c>
      <c r="P241" t="n">
        <v>0</v>
      </c>
      <c r="Q241" t="n">
        <v>0</v>
      </c>
      <c r="R241" s="2" t="inlineStr"/>
    </row>
    <row r="242" ht="15" customHeight="1">
      <c r="A242" t="inlineStr">
        <is>
          <t>A 1844-2025</t>
        </is>
      </c>
      <c r="B242" s="1" t="n">
        <v>45671.57730324074</v>
      </c>
      <c r="C242" s="1" t="n">
        <v>45901</v>
      </c>
      <c r="D242" t="inlineStr">
        <is>
          <t>ÖSTERGÖTLANDS LÄN</t>
        </is>
      </c>
      <c r="E242" t="inlineStr">
        <is>
          <t>LINKÖPING</t>
        </is>
      </c>
      <c r="G242" t="n">
        <v>2</v>
      </c>
      <c r="H242" t="n">
        <v>0</v>
      </c>
      <c r="I242" t="n">
        <v>0</v>
      </c>
      <c r="J242" t="n">
        <v>0</v>
      </c>
      <c r="K242" t="n">
        <v>0</v>
      </c>
      <c r="L242" t="n">
        <v>0</v>
      </c>
      <c r="M242" t="n">
        <v>0</v>
      </c>
      <c r="N242" t="n">
        <v>0</v>
      </c>
      <c r="O242" t="n">
        <v>0</v>
      </c>
      <c r="P242" t="n">
        <v>0</v>
      </c>
      <c r="Q242" t="n">
        <v>0</v>
      </c>
      <c r="R242" s="2" t="inlineStr"/>
    </row>
    <row r="243" ht="15" customHeight="1">
      <c r="A243" t="inlineStr">
        <is>
          <t>A 11790-2024</t>
        </is>
      </c>
      <c r="B243" s="1" t="n">
        <v>45374</v>
      </c>
      <c r="C243" s="1" t="n">
        <v>45901</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60004-2022</t>
        </is>
      </c>
      <c r="B244" s="1" t="n">
        <v>44909.47206018519</v>
      </c>
      <c r="C244" s="1" t="n">
        <v>45901</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52796-2023</t>
        </is>
      </c>
      <c r="B245" s="1" t="n">
        <v>45219</v>
      </c>
      <c r="C245" s="1" t="n">
        <v>45901</v>
      </c>
      <c r="D245" t="inlineStr">
        <is>
          <t>ÖSTERGÖTLANDS LÄN</t>
        </is>
      </c>
      <c r="E245" t="inlineStr">
        <is>
          <t>LINKÖPING</t>
        </is>
      </c>
      <c r="F245" t="inlineStr">
        <is>
          <t>Övriga statliga verk och myndigheter</t>
        </is>
      </c>
      <c r="G245" t="n">
        <v>3.9</v>
      </c>
      <c r="H245" t="n">
        <v>0</v>
      </c>
      <c r="I245" t="n">
        <v>0</v>
      </c>
      <c r="J245" t="n">
        <v>0</v>
      </c>
      <c r="K245" t="n">
        <v>0</v>
      </c>
      <c r="L245" t="n">
        <v>0</v>
      </c>
      <c r="M245" t="n">
        <v>0</v>
      </c>
      <c r="N245" t="n">
        <v>0</v>
      </c>
      <c r="O245" t="n">
        <v>0</v>
      </c>
      <c r="P245" t="n">
        <v>0</v>
      </c>
      <c r="Q245" t="n">
        <v>0</v>
      </c>
      <c r="R245" s="2" t="inlineStr"/>
    </row>
    <row r="246" ht="15" customHeight="1">
      <c r="A246" t="inlineStr">
        <is>
          <t>A 48962-2022</t>
        </is>
      </c>
      <c r="B246" s="1" t="n">
        <v>44860.31635416667</v>
      </c>
      <c r="C246" s="1" t="n">
        <v>45901</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50743-2023</t>
        </is>
      </c>
      <c r="B247" s="1" t="n">
        <v>45217</v>
      </c>
      <c r="C247" s="1" t="n">
        <v>45901</v>
      </c>
      <c r="D247" t="inlineStr">
        <is>
          <t>ÖSTERGÖTLANDS LÄN</t>
        </is>
      </c>
      <c r="E247" t="inlineStr">
        <is>
          <t>LINKÖPING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53647-2021</t>
        </is>
      </c>
      <c r="B248" s="1" t="n">
        <v>44469</v>
      </c>
      <c r="C248" s="1" t="n">
        <v>45901</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22772-2024</t>
        </is>
      </c>
      <c r="B249" s="1" t="n">
        <v>45448.46712962963</v>
      </c>
      <c r="C249" s="1" t="n">
        <v>45901</v>
      </c>
      <c r="D249" t="inlineStr">
        <is>
          <t>ÖSTERGÖTLANDS LÄN</t>
        </is>
      </c>
      <c r="E249" t="inlineStr">
        <is>
          <t>LINKÖPING</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45771-2023</t>
        </is>
      </c>
      <c r="B250" s="1" t="n">
        <v>45195.4384375</v>
      </c>
      <c r="C250" s="1" t="n">
        <v>45901</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18916-2024</t>
        </is>
      </c>
      <c r="B251" s="1" t="n">
        <v>45427.39541666667</v>
      </c>
      <c r="C251" s="1" t="n">
        <v>45901</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24586-2024</t>
        </is>
      </c>
      <c r="B252" s="1" t="n">
        <v>45460.46664351852</v>
      </c>
      <c r="C252" s="1" t="n">
        <v>45901</v>
      </c>
      <c r="D252" t="inlineStr">
        <is>
          <t>ÖSTERGÖTLANDS LÄN</t>
        </is>
      </c>
      <c r="E252" t="inlineStr">
        <is>
          <t>LINKÖPING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21155-2025</t>
        </is>
      </c>
      <c r="B253" s="1" t="n">
        <v>45779.37586805555</v>
      </c>
      <c r="C253" s="1" t="n">
        <v>45901</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63554-2023</t>
        </is>
      </c>
      <c r="B254" s="1" t="n">
        <v>45275</v>
      </c>
      <c r="C254" s="1" t="n">
        <v>45901</v>
      </c>
      <c r="D254" t="inlineStr">
        <is>
          <t>ÖSTERGÖTLANDS LÄN</t>
        </is>
      </c>
      <c r="E254" t="inlineStr">
        <is>
          <t>LINKÖPING</t>
        </is>
      </c>
      <c r="G254" t="n">
        <v>4.3</v>
      </c>
      <c r="H254" t="n">
        <v>0</v>
      </c>
      <c r="I254" t="n">
        <v>0</v>
      </c>
      <c r="J254" t="n">
        <v>0</v>
      </c>
      <c r="K254" t="n">
        <v>0</v>
      </c>
      <c r="L254" t="n">
        <v>0</v>
      </c>
      <c r="M254" t="n">
        <v>0</v>
      </c>
      <c r="N254" t="n">
        <v>0</v>
      </c>
      <c r="O254" t="n">
        <v>0</v>
      </c>
      <c r="P254" t="n">
        <v>0</v>
      </c>
      <c r="Q254" t="n">
        <v>0</v>
      </c>
      <c r="R254" s="2" t="inlineStr"/>
    </row>
    <row r="255" ht="15" customHeight="1">
      <c r="A255" t="inlineStr">
        <is>
          <t>A 17124-2025</t>
        </is>
      </c>
      <c r="B255" s="1" t="n">
        <v>45755.69678240741</v>
      </c>
      <c r="C255" s="1" t="n">
        <v>45901</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17126-2025</t>
        </is>
      </c>
      <c r="B256" s="1" t="n">
        <v>45755.70814814815</v>
      </c>
      <c r="C256" s="1" t="n">
        <v>45901</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17143-2025</t>
        </is>
      </c>
      <c r="B257" s="1" t="n">
        <v>45755.92731481481</v>
      </c>
      <c r="C257" s="1" t="n">
        <v>45901</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21165-2025</t>
        </is>
      </c>
      <c r="B258" s="1" t="n">
        <v>45779.39417824074</v>
      </c>
      <c r="C258" s="1" t="n">
        <v>45901</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30111-2024</t>
        </is>
      </c>
      <c r="B259" s="1" t="n">
        <v>45489.46947916667</v>
      </c>
      <c r="C259" s="1" t="n">
        <v>45901</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30119-2024</t>
        </is>
      </c>
      <c r="B260" s="1" t="n">
        <v>45489</v>
      </c>
      <c r="C260" s="1" t="n">
        <v>45901</v>
      </c>
      <c r="D260" t="inlineStr">
        <is>
          <t>ÖSTERGÖTLANDS LÄN</t>
        </is>
      </c>
      <c r="E260" t="inlineStr">
        <is>
          <t>LINKÖPING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6206-2024</t>
        </is>
      </c>
      <c r="B261" s="1" t="n">
        <v>45337.5977662037</v>
      </c>
      <c r="C261" s="1" t="n">
        <v>45901</v>
      </c>
      <c r="D261" t="inlineStr">
        <is>
          <t>ÖSTERGÖTLANDS LÄN</t>
        </is>
      </c>
      <c r="E261" t="inlineStr">
        <is>
          <t>LINKÖPING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39017-2021</t>
        </is>
      </c>
      <c r="B262" s="1" t="n">
        <v>44412</v>
      </c>
      <c r="C262" s="1" t="n">
        <v>45901</v>
      </c>
      <c r="D262" t="inlineStr">
        <is>
          <t>ÖSTERGÖTLANDS LÄN</t>
        </is>
      </c>
      <c r="E262" t="inlineStr">
        <is>
          <t>LINKÖPING</t>
        </is>
      </c>
      <c r="F262" t="inlineStr">
        <is>
          <t>Övriga statliga verk och myndigheter</t>
        </is>
      </c>
      <c r="G262" t="n">
        <v>0.8</v>
      </c>
      <c r="H262" t="n">
        <v>0</v>
      </c>
      <c r="I262" t="n">
        <v>0</v>
      </c>
      <c r="J262" t="n">
        <v>0</v>
      </c>
      <c r="K262" t="n">
        <v>0</v>
      </c>
      <c r="L262" t="n">
        <v>0</v>
      </c>
      <c r="M262" t="n">
        <v>0</v>
      </c>
      <c r="N262" t="n">
        <v>0</v>
      </c>
      <c r="O262" t="n">
        <v>0</v>
      </c>
      <c r="P262" t="n">
        <v>0</v>
      </c>
      <c r="Q262" t="n">
        <v>0</v>
      </c>
      <c r="R262" s="2" t="inlineStr"/>
    </row>
    <row r="263" ht="15" customHeight="1">
      <c r="A263" t="inlineStr">
        <is>
          <t>A 15714-2024</t>
        </is>
      </c>
      <c r="B263" s="1" t="n">
        <v>45404.48288194444</v>
      </c>
      <c r="C263" s="1" t="n">
        <v>45901</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16820-2024</t>
        </is>
      </c>
      <c r="B264" s="1" t="n">
        <v>45411.46809027778</v>
      </c>
      <c r="C264" s="1" t="n">
        <v>45901</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30481-2023</t>
        </is>
      </c>
      <c r="B265" s="1" t="n">
        <v>45111</v>
      </c>
      <c r="C265" s="1" t="n">
        <v>45901</v>
      </c>
      <c r="D265" t="inlineStr">
        <is>
          <t>ÖSTERGÖTLANDS LÄN</t>
        </is>
      </c>
      <c r="E265" t="inlineStr">
        <is>
          <t>LINKÖPING</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74160-2021</t>
        </is>
      </c>
      <c r="B266" s="1" t="n">
        <v>44558</v>
      </c>
      <c r="C266" s="1" t="n">
        <v>45901</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30980-2022</t>
        </is>
      </c>
      <c r="B267" s="1" t="n">
        <v>44768</v>
      </c>
      <c r="C267" s="1" t="n">
        <v>45901</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57752-2023</t>
        </is>
      </c>
      <c r="B268" s="1" t="n">
        <v>45246.78474537037</v>
      </c>
      <c r="C268" s="1" t="n">
        <v>45901</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63559-2023</t>
        </is>
      </c>
      <c r="B269" s="1" t="n">
        <v>45275.35924768518</v>
      </c>
      <c r="C269" s="1" t="n">
        <v>45901</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24351-2024</t>
        </is>
      </c>
      <c r="B270" s="1" t="n">
        <v>45457.59011574074</v>
      </c>
      <c r="C270" s="1" t="n">
        <v>45901</v>
      </c>
      <c r="D270" t="inlineStr">
        <is>
          <t>ÖSTERGÖTLANDS LÄN</t>
        </is>
      </c>
      <c r="E270" t="inlineStr">
        <is>
          <t>LINKÖPING</t>
        </is>
      </c>
      <c r="G270" t="n">
        <v>11.9</v>
      </c>
      <c r="H270" t="n">
        <v>0</v>
      </c>
      <c r="I270" t="n">
        <v>0</v>
      </c>
      <c r="J270" t="n">
        <v>0</v>
      </c>
      <c r="K270" t="n">
        <v>0</v>
      </c>
      <c r="L270" t="n">
        <v>0</v>
      </c>
      <c r="M270" t="n">
        <v>0</v>
      </c>
      <c r="N270" t="n">
        <v>0</v>
      </c>
      <c r="O270" t="n">
        <v>0</v>
      </c>
      <c r="P270" t="n">
        <v>0</v>
      </c>
      <c r="Q270" t="n">
        <v>0</v>
      </c>
      <c r="R270" s="2" t="inlineStr"/>
    </row>
    <row r="271" ht="15" customHeight="1">
      <c r="A271" t="inlineStr">
        <is>
          <t>A 23491-2024</t>
        </is>
      </c>
      <c r="B271" s="1" t="n">
        <v>45453</v>
      </c>
      <c r="C271" s="1" t="n">
        <v>45901</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62501-2023</t>
        </is>
      </c>
      <c r="B272" s="1" t="n">
        <v>45268</v>
      </c>
      <c r="C272" s="1" t="n">
        <v>45901</v>
      </c>
      <c r="D272" t="inlineStr">
        <is>
          <t>ÖSTERGÖTLANDS LÄN</t>
        </is>
      </c>
      <c r="E272" t="inlineStr">
        <is>
          <t>LINKÖPING</t>
        </is>
      </c>
      <c r="G272" t="n">
        <v>7.4</v>
      </c>
      <c r="H272" t="n">
        <v>0</v>
      </c>
      <c r="I272" t="n">
        <v>0</v>
      </c>
      <c r="J272" t="n">
        <v>0</v>
      </c>
      <c r="K272" t="n">
        <v>0</v>
      </c>
      <c r="L272" t="n">
        <v>0</v>
      </c>
      <c r="M272" t="n">
        <v>0</v>
      </c>
      <c r="N272" t="n">
        <v>0</v>
      </c>
      <c r="O272" t="n">
        <v>0</v>
      </c>
      <c r="P272" t="n">
        <v>0</v>
      </c>
      <c r="Q272" t="n">
        <v>0</v>
      </c>
      <c r="R272" s="2" t="inlineStr"/>
    </row>
    <row r="273" ht="15" customHeight="1">
      <c r="A273" t="inlineStr">
        <is>
          <t>A 58947-2022</t>
        </is>
      </c>
      <c r="B273" s="1" t="n">
        <v>44903.64769675926</v>
      </c>
      <c r="C273" s="1" t="n">
        <v>45901</v>
      </c>
      <c r="D273" t="inlineStr">
        <is>
          <t>ÖSTERGÖTLANDS LÄN</t>
        </is>
      </c>
      <c r="E273" t="inlineStr">
        <is>
          <t>LINKÖPING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49979-2022</t>
        </is>
      </c>
      <c r="B274" s="1" t="n">
        <v>44865</v>
      </c>
      <c r="C274" s="1" t="n">
        <v>45901</v>
      </c>
      <c r="D274" t="inlineStr">
        <is>
          <t>ÖSTERGÖTLANDS LÄN</t>
        </is>
      </c>
      <c r="E274" t="inlineStr">
        <is>
          <t>LINKÖPING</t>
        </is>
      </c>
      <c r="F274" t="inlineStr">
        <is>
          <t>Övriga Aktiebolag</t>
        </is>
      </c>
      <c r="G274" t="n">
        <v>11.4</v>
      </c>
      <c r="H274" t="n">
        <v>0</v>
      </c>
      <c r="I274" t="n">
        <v>0</v>
      </c>
      <c r="J274" t="n">
        <v>0</v>
      </c>
      <c r="K274" t="n">
        <v>0</v>
      </c>
      <c r="L274" t="n">
        <v>0</v>
      </c>
      <c r="M274" t="n">
        <v>0</v>
      </c>
      <c r="N274" t="n">
        <v>0</v>
      </c>
      <c r="O274" t="n">
        <v>0</v>
      </c>
      <c r="P274" t="n">
        <v>0</v>
      </c>
      <c r="Q274" t="n">
        <v>0</v>
      </c>
      <c r="R274" s="2" t="inlineStr"/>
    </row>
    <row r="275" ht="15" customHeight="1">
      <c r="A275" t="inlineStr">
        <is>
          <t>A 53827-2023</t>
        </is>
      </c>
      <c r="B275" s="1" t="n">
        <v>45230</v>
      </c>
      <c r="C275" s="1" t="n">
        <v>45901</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29309-2024</t>
        </is>
      </c>
      <c r="B276" s="1" t="n">
        <v>45483</v>
      </c>
      <c r="C276" s="1" t="n">
        <v>45901</v>
      </c>
      <c r="D276" t="inlineStr">
        <is>
          <t>ÖSTERGÖTLANDS LÄN</t>
        </is>
      </c>
      <c r="E276" t="inlineStr">
        <is>
          <t>LINKÖPING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29411-2023</t>
        </is>
      </c>
      <c r="B277" s="1" t="n">
        <v>45106.46225694445</v>
      </c>
      <c r="C277" s="1" t="n">
        <v>45901</v>
      </c>
      <c r="D277" t="inlineStr">
        <is>
          <t>ÖSTERGÖTLANDS LÄN</t>
        </is>
      </c>
      <c r="E277" t="inlineStr">
        <is>
          <t>LINKÖPING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29412-2023</t>
        </is>
      </c>
      <c r="B278" s="1" t="n">
        <v>45106.46359953703</v>
      </c>
      <c r="C278" s="1" t="n">
        <v>45901</v>
      </c>
      <c r="D278" t="inlineStr">
        <is>
          <t>ÖSTERGÖTLANDS LÄN</t>
        </is>
      </c>
      <c r="E278" t="inlineStr">
        <is>
          <t>LINKÖPING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29413-2023</t>
        </is>
      </c>
      <c r="B279" s="1" t="n">
        <v>45106.46465277778</v>
      </c>
      <c r="C279" s="1" t="n">
        <v>45901</v>
      </c>
      <c r="D279" t="inlineStr">
        <is>
          <t>ÖSTERGÖTLANDS LÄN</t>
        </is>
      </c>
      <c r="E279" t="inlineStr">
        <is>
          <t>LINKÖPING</t>
        </is>
      </c>
      <c r="G279" t="n">
        <v>8</v>
      </c>
      <c r="H279" t="n">
        <v>0</v>
      </c>
      <c r="I279" t="n">
        <v>0</v>
      </c>
      <c r="J279" t="n">
        <v>0</v>
      </c>
      <c r="K279" t="n">
        <v>0</v>
      </c>
      <c r="L279" t="n">
        <v>0</v>
      </c>
      <c r="M279" t="n">
        <v>0</v>
      </c>
      <c r="N279" t="n">
        <v>0</v>
      </c>
      <c r="O279" t="n">
        <v>0</v>
      </c>
      <c r="P279" t="n">
        <v>0</v>
      </c>
      <c r="Q279" t="n">
        <v>0</v>
      </c>
      <c r="R279" s="2" t="inlineStr"/>
    </row>
    <row r="280" ht="15" customHeight="1">
      <c r="A280" t="inlineStr">
        <is>
          <t>A 9473-2024</t>
        </is>
      </c>
      <c r="B280" s="1" t="n">
        <v>45359.55474537037</v>
      </c>
      <c r="C280" s="1" t="n">
        <v>45901</v>
      </c>
      <c r="D280" t="inlineStr">
        <is>
          <t>ÖSTERGÖTLANDS LÄN</t>
        </is>
      </c>
      <c r="E280" t="inlineStr">
        <is>
          <t>LINKÖPING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940-2023</t>
        </is>
      </c>
      <c r="B281" s="1" t="n">
        <v>44933</v>
      </c>
      <c r="C281" s="1" t="n">
        <v>45901</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10797-2024</t>
        </is>
      </c>
      <c r="B282" s="1" t="n">
        <v>45369.6190162037</v>
      </c>
      <c r="C282" s="1" t="n">
        <v>45901</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22264-2025</t>
        </is>
      </c>
      <c r="B283" s="1" t="n">
        <v>45785</v>
      </c>
      <c r="C283" s="1" t="n">
        <v>45901</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24151-2024</t>
        </is>
      </c>
      <c r="B284" s="1" t="n">
        <v>45456.67717592593</v>
      </c>
      <c r="C284" s="1" t="n">
        <v>45901</v>
      </c>
      <c r="D284" t="inlineStr">
        <is>
          <t>ÖSTERGÖTLANDS LÄN</t>
        </is>
      </c>
      <c r="E284" t="inlineStr">
        <is>
          <t>LINKÖPING</t>
        </is>
      </c>
      <c r="G284" t="n">
        <v>2.1</v>
      </c>
      <c r="H284" t="n">
        <v>0</v>
      </c>
      <c r="I284" t="n">
        <v>0</v>
      </c>
      <c r="J284" t="n">
        <v>0</v>
      </c>
      <c r="K284" t="n">
        <v>0</v>
      </c>
      <c r="L284" t="n">
        <v>0</v>
      </c>
      <c r="M284" t="n">
        <v>0</v>
      </c>
      <c r="N284" t="n">
        <v>0</v>
      </c>
      <c r="O284" t="n">
        <v>0</v>
      </c>
      <c r="P284" t="n">
        <v>0</v>
      </c>
      <c r="Q284" t="n">
        <v>0</v>
      </c>
      <c r="R284" s="2" t="inlineStr"/>
    </row>
    <row r="285" ht="15" customHeight="1">
      <c r="A285" t="inlineStr">
        <is>
          <t>A 7992-2023</t>
        </is>
      </c>
      <c r="B285" s="1" t="n">
        <v>44970</v>
      </c>
      <c r="C285" s="1" t="n">
        <v>45901</v>
      </c>
      <c r="D285" t="inlineStr">
        <is>
          <t>ÖSTERGÖTLANDS LÄN</t>
        </is>
      </c>
      <c r="E285" t="inlineStr">
        <is>
          <t>LINKÖPING</t>
        </is>
      </c>
      <c r="F285" t="inlineStr">
        <is>
          <t>Kommuner</t>
        </is>
      </c>
      <c r="G285" t="n">
        <v>1</v>
      </c>
      <c r="H285" t="n">
        <v>0</v>
      </c>
      <c r="I285" t="n">
        <v>0</v>
      </c>
      <c r="J285" t="n">
        <v>0</v>
      </c>
      <c r="K285" t="n">
        <v>0</v>
      </c>
      <c r="L285" t="n">
        <v>0</v>
      </c>
      <c r="M285" t="n">
        <v>0</v>
      </c>
      <c r="N285" t="n">
        <v>0</v>
      </c>
      <c r="O285" t="n">
        <v>0</v>
      </c>
      <c r="P285" t="n">
        <v>0</v>
      </c>
      <c r="Q285" t="n">
        <v>0</v>
      </c>
      <c r="R285" s="2" t="inlineStr"/>
    </row>
    <row r="286" ht="15" customHeight="1">
      <c r="A286" t="inlineStr">
        <is>
          <t>A 45819-2024</t>
        </is>
      </c>
      <c r="B286" s="1" t="n">
        <v>45579.7454050926</v>
      </c>
      <c r="C286" s="1" t="n">
        <v>45901</v>
      </c>
      <c r="D286" t="inlineStr">
        <is>
          <t>ÖSTERGÖTLANDS LÄN</t>
        </is>
      </c>
      <c r="E286" t="inlineStr">
        <is>
          <t>LINKÖPING</t>
        </is>
      </c>
      <c r="G286" t="n">
        <v>5</v>
      </c>
      <c r="H286" t="n">
        <v>0</v>
      </c>
      <c r="I286" t="n">
        <v>0</v>
      </c>
      <c r="J286" t="n">
        <v>0</v>
      </c>
      <c r="K286" t="n">
        <v>0</v>
      </c>
      <c r="L286" t="n">
        <v>0</v>
      </c>
      <c r="M286" t="n">
        <v>0</v>
      </c>
      <c r="N286" t="n">
        <v>0</v>
      </c>
      <c r="O286" t="n">
        <v>0</v>
      </c>
      <c r="P286" t="n">
        <v>0</v>
      </c>
      <c r="Q286" t="n">
        <v>0</v>
      </c>
      <c r="R286" s="2" t="inlineStr"/>
    </row>
    <row r="287" ht="15" customHeight="1">
      <c r="A287" t="inlineStr">
        <is>
          <t>A 3041-2024</t>
        </is>
      </c>
      <c r="B287" s="1" t="n">
        <v>45316.34875</v>
      </c>
      <c r="C287" s="1" t="n">
        <v>45901</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3043-2024</t>
        </is>
      </c>
      <c r="B288" s="1" t="n">
        <v>45316</v>
      </c>
      <c r="C288" s="1" t="n">
        <v>45901</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42413-2020</t>
        </is>
      </c>
      <c r="B289" s="1" t="n">
        <v>44076</v>
      </c>
      <c r="C289" s="1" t="n">
        <v>45901</v>
      </c>
      <c r="D289" t="inlineStr">
        <is>
          <t>ÖSTERGÖTLANDS LÄN</t>
        </is>
      </c>
      <c r="E289" t="inlineStr">
        <is>
          <t>LINKÖPING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3530-2024</t>
        </is>
      </c>
      <c r="B290" s="1" t="n">
        <v>45320.54717592592</v>
      </c>
      <c r="C290" s="1" t="n">
        <v>45901</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63845-2021</t>
        </is>
      </c>
      <c r="B291" s="1" t="n">
        <v>44509</v>
      </c>
      <c r="C291" s="1" t="n">
        <v>45901</v>
      </c>
      <c r="D291" t="inlineStr">
        <is>
          <t>ÖSTERGÖTLANDS LÄN</t>
        </is>
      </c>
      <c r="E291" t="inlineStr">
        <is>
          <t>LINKÖPING</t>
        </is>
      </c>
      <c r="G291" t="n">
        <v>5</v>
      </c>
      <c r="H291" t="n">
        <v>0</v>
      </c>
      <c r="I291" t="n">
        <v>0</v>
      </c>
      <c r="J291" t="n">
        <v>0</v>
      </c>
      <c r="K291" t="n">
        <v>0</v>
      </c>
      <c r="L291" t="n">
        <v>0</v>
      </c>
      <c r="M291" t="n">
        <v>0</v>
      </c>
      <c r="N291" t="n">
        <v>0</v>
      </c>
      <c r="O291" t="n">
        <v>0</v>
      </c>
      <c r="P291" t="n">
        <v>0</v>
      </c>
      <c r="Q291" t="n">
        <v>0</v>
      </c>
      <c r="R291" s="2" t="inlineStr"/>
    </row>
    <row r="292" ht="15" customHeight="1">
      <c r="A292" t="inlineStr">
        <is>
          <t>A 17785-2023</t>
        </is>
      </c>
      <c r="B292" s="1" t="n">
        <v>45037.55094907407</v>
      </c>
      <c r="C292" s="1" t="n">
        <v>45901</v>
      </c>
      <c r="D292" t="inlineStr">
        <is>
          <t>ÖSTERGÖTLANDS LÄN</t>
        </is>
      </c>
      <c r="E292" t="inlineStr">
        <is>
          <t>LINKÖPING</t>
        </is>
      </c>
      <c r="F292" t="inlineStr">
        <is>
          <t>Allmännings- och besparingsskogar</t>
        </is>
      </c>
      <c r="G292" t="n">
        <v>3.1</v>
      </c>
      <c r="H292" t="n">
        <v>0</v>
      </c>
      <c r="I292" t="n">
        <v>0</v>
      </c>
      <c r="J292" t="n">
        <v>0</v>
      </c>
      <c r="K292" t="n">
        <v>0</v>
      </c>
      <c r="L292" t="n">
        <v>0</v>
      </c>
      <c r="M292" t="n">
        <v>0</v>
      </c>
      <c r="N292" t="n">
        <v>0</v>
      </c>
      <c r="O292" t="n">
        <v>0</v>
      </c>
      <c r="P292" t="n">
        <v>0</v>
      </c>
      <c r="Q292" t="n">
        <v>0</v>
      </c>
      <c r="R292" s="2" t="inlineStr"/>
    </row>
    <row r="293" ht="15" customHeight="1">
      <c r="A293" t="inlineStr">
        <is>
          <t>A 32346-2023</t>
        </is>
      </c>
      <c r="B293" s="1" t="n">
        <v>45120</v>
      </c>
      <c r="C293" s="1" t="n">
        <v>45901</v>
      </c>
      <c r="D293" t="inlineStr">
        <is>
          <t>ÖSTERGÖTLANDS LÄN</t>
        </is>
      </c>
      <c r="E293" t="inlineStr">
        <is>
          <t>LINKÖPING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6859-2024</t>
        </is>
      </c>
      <c r="B294" s="1" t="n">
        <v>45342</v>
      </c>
      <c r="C294" s="1" t="n">
        <v>45901</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1627-2023</t>
        </is>
      </c>
      <c r="B295" s="1" t="n">
        <v>44937</v>
      </c>
      <c r="C295" s="1" t="n">
        <v>45901</v>
      </c>
      <c r="D295" t="inlineStr">
        <is>
          <t>ÖSTERGÖTLANDS LÄN</t>
        </is>
      </c>
      <c r="E295" t="inlineStr">
        <is>
          <t>LINKÖPING</t>
        </is>
      </c>
      <c r="G295" t="n">
        <v>10.8</v>
      </c>
      <c r="H295" t="n">
        <v>0</v>
      </c>
      <c r="I295" t="n">
        <v>0</v>
      </c>
      <c r="J295" t="n">
        <v>0</v>
      </c>
      <c r="K295" t="n">
        <v>0</v>
      </c>
      <c r="L295" t="n">
        <v>0</v>
      </c>
      <c r="M295" t="n">
        <v>0</v>
      </c>
      <c r="N295" t="n">
        <v>0</v>
      </c>
      <c r="O295" t="n">
        <v>0</v>
      </c>
      <c r="P295" t="n">
        <v>0</v>
      </c>
      <c r="Q295" t="n">
        <v>0</v>
      </c>
      <c r="R295" s="2" t="inlineStr"/>
    </row>
    <row r="296" ht="15" customHeight="1">
      <c r="A296" t="inlineStr">
        <is>
          <t>A 44535-2020</t>
        </is>
      </c>
      <c r="B296" s="1" t="n">
        <v>44085</v>
      </c>
      <c r="C296" s="1" t="n">
        <v>45901</v>
      </c>
      <c r="D296" t="inlineStr">
        <is>
          <t>ÖSTERGÖTLANDS LÄN</t>
        </is>
      </c>
      <c r="E296" t="inlineStr">
        <is>
          <t>LINKÖPING</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38580-2024</t>
        </is>
      </c>
      <c r="B297" s="1" t="n">
        <v>45546.64825231482</v>
      </c>
      <c r="C297" s="1" t="n">
        <v>45901</v>
      </c>
      <c r="D297" t="inlineStr">
        <is>
          <t>ÖSTERGÖTLANDS LÄN</t>
        </is>
      </c>
      <c r="E297" t="inlineStr">
        <is>
          <t>LINKÖPING</t>
        </is>
      </c>
      <c r="G297" t="n">
        <v>4.8</v>
      </c>
      <c r="H297" t="n">
        <v>0</v>
      </c>
      <c r="I297" t="n">
        <v>0</v>
      </c>
      <c r="J297" t="n">
        <v>0</v>
      </c>
      <c r="K297" t="n">
        <v>0</v>
      </c>
      <c r="L297" t="n">
        <v>0</v>
      </c>
      <c r="M297" t="n">
        <v>0</v>
      </c>
      <c r="N297" t="n">
        <v>0</v>
      </c>
      <c r="O297" t="n">
        <v>0</v>
      </c>
      <c r="P297" t="n">
        <v>0</v>
      </c>
      <c r="Q297" t="n">
        <v>0</v>
      </c>
      <c r="R297" s="2" t="inlineStr"/>
    </row>
    <row r="298" ht="15" customHeight="1">
      <c r="A298" t="inlineStr">
        <is>
          <t>A 572-2025</t>
        </is>
      </c>
      <c r="B298" s="1" t="n">
        <v>45664.56349537037</v>
      </c>
      <c r="C298" s="1" t="n">
        <v>45901</v>
      </c>
      <c r="D298" t="inlineStr">
        <is>
          <t>ÖSTERGÖTLANDS LÄN</t>
        </is>
      </c>
      <c r="E298" t="inlineStr">
        <is>
          <t>LINKÖPING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22364-2025</t>
        </is>
      </c>
      <c r="B299" s="1" t="n">
        <v>45786.46930555555</v>
      </c>
      <c r="C299" s="1" t="n">
        <v>45901</v>
      </c>
      <c r="D299" t="inlineStr">
        <is>
          <t>ÖSTERGÖTLANDS LÄN</t>
        </is>
      </c>
      <c r="E299" t="inlineStr">
        <is>
          <t>LINKÖPING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44287-2024</t>
        </is>
      </c>
      <c r="B300" s="1" t="n">
        <v>45573.50582175926</v>
      </c>
      <c r="C300" s="1" t="n">
        <v>45901</v>
      </c>
      <c r="D300" t="inlineStr">
        <is>
          <t>ÖSTERGÖTLANDS LÄN</t>
        </is>
      </c>
      <c r="E300" t="inlineStr">
        <is>
          <t>LINKÖPING</t>
        </is>
      </c>
      <c r="G300" t="n">
        <v>12.7</v>
      </c>
      <c r="H300" t="n">
        <v>0</v>
      </c>
      <c r="I300" t="n">
        <v>0</v>
      </c>
      <c r="J300" t="n">
        <v>0</v>
      </c>
      <c r="K300" t="n">
        <v>0</v>
      </c>
      <c r="L300" t="n">
        <v>0</v>
      </c>
      <c r="M300" t="n">
        <v>0</v>
      </c>
      <c r="N300" t="n">
        <v>0</v>
      </c>
      <c r="O300" t="n">
        <v>0</v>
      </c>
      <c r="P300" t="n">
        <v>0</v>
      </c>
      <c r="Q300" t="n">
        <v>0</v>
      </c>
      <c r="R300" s="2" t="inlineStr"/>
    </row>
    <row r="301" ht="15" customHeight="1">
      <c r="A301" t="inlineStr">
        <is>
          <t>A 62686-2023</t>
        </is>
      </c>
      <c r="B301" s="1" t="n">
        <v>45271</v>
      </c>
      <c r="C301" s="1" t="n">
        <v>45901</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16665-2023</t>
        </is>
      </c>
      <c r="B302" s="1" t="n">
        <v>45030.5583912037</v>
      </c>
      <c r="C302" s="1" t="n">
        <v>45901</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55345-2021</t>
        </is>
      </c>
      <c r="B303" s="1" t="n">
        <v>44475</v>
      </c>
      <c r="C303" s="1" t="n">
        <v>45901</v>
      </c>
      <c r="D303" t="inlineStr">
        <is>
          <t>ÖSTERGÖTLANDS LÄN</t>
        </is>
      </c>
      <c r="E303" t="inlineStr">
        <is>
          <t>LINKÖPING</t>
        </is>
      </c>
      <c r="G303" t="n">
        <v>5.7</v>
      </c>
      <c r="H303" t="n">
        <v>0</v>
      </c>
      <c r="I303" t="n">
        <v>0</v>
      </c>
      <c r="J303" t="n">
        <v>0</v>
      </c>
      <c r="K303" t="n">
        <v>0</v>
      </c>
      <c r="L303" t="n">
        <v>0</v>
      </c>
      <c r="M303" t="n">
        <v>0</v>
      </c>
      <c r="N303" t="n">
        <v>0</v>
      </c>
      <c r="O303" t="n">
        <v>0</v>
      </c>
      <c r="P303" t="n">
        <v>0</v>
      </c>
      <c r="Q303" t="n">
        <v>0</v>
      </c>
      <c r="R303" s="2" t="inlineStr"/>
    </row>
    <row r="304" ht="15" customHeight="1">
      <c r="A304" t="inlineStr">
        <is>
          <t>A 63489-2023</t>
        </is>
      </c>
      <c r="B304" s="1" t="n">
        <v>45274.66761574074</v>
      </c>
      <c r="C304" s="1" t="n">
        <v>45901</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60860-2024</t>
        </is>
      </c>
      <c r="B305" s="1" t="n">
        <v>45644.6893287037</v>
      </c>
      <c r="C305" s="1" t="n">
        <v>45901</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31640-2023</t>
        </is>
      </c>
      <c r="B306" s="1" t="n">
        <v>45117</v>
      </c>
      <c r="C306" s="1" t="n">
        <v>45901</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29312-2024</t>
        </is>
      </c>
      <c r="B307" s="1" t="n">
        <v>45483</v>
      </c>
      <c r="C307" s="1" t="n">
        <v>45901</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70-2024</t>
        </is>
      </c>
      <c r="B308" s="1" t="n">
        <v>45293</v>
      </c>
      <c r="C308" s="1" t="n">
        <v>45901</v>
      </c>
      <c r="D308" t="inlineStr">
        <is>
          <t>ÖSTERGÖTLANDS LÄN</t>
        </is>
      </c>
      <c r="E308" t="inlineStr">
        <is>
          <t>LINKÖPING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16213-2025</t>
        </is>
      </c>
      <c r="B309" s="1" t="n">
        <v>45750.62740740741</v>
      </c>
      <c r="C309" s="1" t="n">
        <v>45901</v>
      </c>
      <c r="D309" t="inlineStr">
        <is>
          <t>ÖSTERGÖTLANDS LÄN</t>
        </is>
      </c>
      <c r="E309" t="inlineStr">
        <is>
          <t>LINKÖPING</t>
        </is>
      </c>
      <c r="G309" t="n">
        <v>3.4</v>
      </c>
      <c r="H309" t="n">
        <v>0</v>
      </c>
      <c r="I309" t="n">
        <v>0</v>
      </c>
      <c r="J309" t="n">
        <v>0</v>
      </c>
      <c r="K309" t="n">
        <v>0</v>
      </c>
      <c r="L309" t="n">
        <v>0</v>
      </c>
      <c r="M309" t="n">
        <v>0</v>
      </c>
      <c r="N309" t="n">
        <v>0</v>
      </c>
      <c r="O309" t="n">
        <v>0</v>
      </c>
      <c r="P309" t="n">
        <v>0</v>
      </c>
      <c r="Q309" t="n">
        <v>0</v>
      </c>
      <c r="R309" s="2" t="inlineStr"/>
    </row>
    <row r="310" ht="15" customHeight="1">
      <c r="A310" t="inlineStr">
        <is>
          <t>A 34872-2023</t>
        </is>
      </c>
      <c r="B310" s="1" t="n">
        <v>45140</v>
      </c>
      <c r="C310" s="1" t="n">
        <v>45901</v>
      </c>
      <c r="D310" t="inlineStr">
        <is>
          <t>ÖSTERGÖTLANDS LÄN</t>
        </is>
      </c>
      <c r="E310" t="inlineStr">
        <is>
          <t>LINKÖPING</t>
        </is>
      </c>
      <c r="G310" t="n">
        <v>4.8</v>
      </c>
      <c r="H310" t="n">
        <v>0</v>
      </c>
      <c r="I310" t="n">
        <v>0</v>
      </c>
      <c r="J310" t="n">
        <v>0</v>
      </c>
      <c r="K310" t="n">
        <v>0</v>
      </c>
      <c r="L310" t="n">
        <v>0</v>
      </c>
      <c r="M310" t="n">
        <v>0</v>
      </c>
      <c r="N310" t="n">
        <v>0</v>
      </c>
      <c r="O310" t="n">
        <v>0</v>
      </c>
      <c r="P310" t="n">
        <v>0</v>
      </c>
      <c r="Q310" t="n">
        <v>0</v>
      </c>
      <c r="R310" s="2" t="inlineStr"/>
    </row>
    <row r="311" ht="15" customHeight="1">
      <c r="A311" t="inlineStr">
        <is>
          <t>A 33000-2023</t>
        </is>
      </c>
      <c r="B311" s="1" t="n">
        <v>45125</v>
      </c>
      <c r="C311" s="1" t="n">
        <v>45901</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3042-2024</t>
        </is>
      </c>
      <c r="B312" s="1" t="n">
        <v>45316.35028935185</v>
      </c>
      <c r="C312" s="1" t="n">
        <v>45901</v>
      </c>
      <c r="D312" t="inlineStr">
        <is>
          <t>ÖSTERGÖTLANDS LÄN</t>
        </is>
      </c>
      <c r="E312" t="inlineStr">
        <is>
          <t>LINKÖPING</t>
        </is>
      </c>
      <c r="G312" t="n">
        <v>3.1</v>
      </c>
      <c r="H312" t="n">
        <v>0</v>
      </c>
      <c r="I312" t="n">
        <v>0</v>
      </c>
      <c r="J312" t="n">
        <v>0</v>
      </c>
      <c r="K312" t="n">
        <v>0</v>
      </c>
      <c r="L312" t="n">
        <v>0</v>
      </c>
      <c r="M312" t="n">
        <v>0</v>
      </c>
      <c r="N312" t="n">
        <v>0</v>
      </c>
      <c r="O312" t="n">
        <v>0</v>
      </c>
      <c r="P312" t="n">
        <v>0</v>
      </c>
      <c r="Q312" t="n">
        <v>0</v>
      </c>
      <c r="R312" s="2" t="inlineStr"/>
    </row>
    <row r="313" ht="15" customHeight="1">
      <c r="A313" t="inlineStr">
        <is>
          <t>A 2997-2025</t>
        </is>
      </c>
      <c r="B313" s="1" t="n">
        <v>45678.54631944445</v>
      </c>
      <c r="C313" s="1" t="n">
        <v>45901</v>
      </c>
      <c r="D313" t="inlineStr">
        <is>
          <t>ÖSTERGÖTLANDS LÄN</t>
        </is>
      </c>
      <c r="E313" t="inlineStr">
        <is>
          <t>LINKÖPING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31534-2023</t>
        </is>
      </c>
      <c r="B314" s="1" t="n">
        <v>45116</v>
      </c>
      <c r="C314" s="1" t="n">
        <v>45901</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23120-2025</t>
        </is>
      </c>
      <c r="B315" s="1" t="n">
        <v>45791.37481481482</v>
      </c>
      <c r="C315" s="1" t="n">
        <v>45901</v>
      </c>
      <c r="D315" t="inlineStr">
        <is>
          <t>ÖSTERGÖTLANDS LÄN</t>
        </is>
      </c>
      <c r="E315" t="inlineStr">
        <is>
          <t>LINKÖPING</t>
        </is>
      </c>
      <c r="G315" t="n">
        <v>2.9</v>
      </c>
      <c r="H315" t="n">
        <v>0</v>
      </c>
      <c r="I315" t="n">
        <v>0</v>
      </c>
      <c r="J315" t="n">
        <v>0</v>
      </c>
      <c r="K315" t="n">
        <v>0</v>
      </c>
      <c r="L315" t="n">
        <v>0</v>
      </c>
      <c r="M315" t="n">
        <v>0</v>
      </c>
      <c r="N315" t="n">
        <v>0</v>
      </c>
      <c r="O315" t="n">
        <v>0</v>
      </c>
      <c r="P315" t="n">
        <v>0</v>
      </c>
      <c r="Q315" t="n">
        <v>0</v>
      </c>
      <c r="R315" s="2" t="inlineStr"/>
    </row>
    <row r="316" ht="15" customHeight="1">
      <c r="A316" t="inlineStr">
        <is>
          <t>A 26803-2024</t>
        </is>
      </c>
      <c r="B316" s="1" t="n">
        <v>45470</v>
      </c>
      <c r="C316" s="1" t="n">
        <v>45901</v>
      </c>
      <c r="D316" t="inlineStr">
        <is>
          <t>ÖSTERGÖTLANDS LÄN</t>
        </is>
      </c>
      <c r="E316" t="inlineStr">
        <is>
          <t>LINKÖPING</t>
        </is>
      </c>
      <c r="F316" t="inlineStr">
        <is>
          <t>Allmännings- och besparingsskogar</t>
        </is>
      </c>
      <c r="G316" t="n">
        <v>4.5</v>
      </c>
      <c r="H316" t="n">
        <v>0</v>
      </c>
      <c r="I316" t="n">
        <v>0</v>
      </c>
      <c r="J316" t="n">
        <v>0</v>
      </c>
      <c r="K316" t="n">
        <v>0</v>
      </c>
      <c r="L316" t="n">
        <v>0</v>
      </c>
      <c r="M316" t="n">
        <v>0</v>
      </c>
      <c r="N316" t="n">
        <v>0</v>
      </c>
      <c r="O316" t="n">
        <v>0</v>
      </c>
      <c r="P316" t="n">
        <v>0</v>
      </c>
      <c r="Q316" t="n">
        <v>0</v>
      </c>
      <c r="R316" s="2" t="inlineStr"/>
    </row>
    <row r="317" ht="15" customHeight="1">
      <c r="A317" t="inlineStr">
        <is>
          <t>A 45806-2024</t>
        </is>
      </c>
      <c r="B317" s="1" t="n">
        <v>45579.69619212963</v>
      </c>
      <c r="C317" s="1" t="n">
        <v>45901</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10253-2022</t>
        </is>
      </c>
      <c r="B318" s="1" t="n">
        <v>44622</v>
      </c>
      <c r="C318" s="1" t="n">
        <v>45901</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6782-2024</t>
        </is>
      </c>
      <c r="B319" s="1" t="n">
        <v>45342</v>
      </c>
      <c r="C319" s="1" t="n">
        <v>45901</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617-2024</t>
        </is>
      </c>
      <c r="B320" s="1" t="n">
        <v>45299.66028935185</v>
      </c>
      <c r="C320" s="1" t="n">
        <v>45901</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670-2024</t>
        </is>
      </c>
      <c r="B321" s="1" t="n">
        <v>45300.3408912037</v>
      </c>
      <c r="C321" s="1" t="n">
        <v>45901</v>
      </c>
      <c r="D321" t="inlineStr">
        <is>
          <t>ÖSTERGÖTLANDS LÄN</t>
        </is>
      </c>
      <c r="E321" t="inlineStr">
        <is>
          <t>LINKÖPING</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52125-2022</t>
        </is>
      </c>
      <c r="B322" s="1" t="n">
        <v>44873</v>
      </c>
      <c r="C322" s="1" t="n">
        <v>45901</v>
      </c>
      <c r="D322" t="inlineStr">
        <is>
          <t>ÖSTERGÖTLANDS LÄN</t>
        </is>
      </c>
      <c r="E322" t="inlineStr">
        <is>
          <t>LINKÖPING</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37154-2023</t>
        </is>
      </c>
      <c r="B323" s="1" t="n">
        <v>45155</v>
      </c>
      <c r="C323" s="1" t="n">
        <v>45901</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48699-2024</t>
        </is>
      </c>
      <c r="B324" s="1" t="n">
        <v>45593.52091435185</v>
      </c>
      <c r="C324" s="1" t="n">
        <v>45901</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11330-2023</t>
        </is>
      </c>
      <c r="B325" s="1" t="n">
        <v>44993.24648148148</v>
      </c>
      <c r="C325" s="1" t="n">
        <v>45901</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42000-2023</t>
        </is>
      </c>
      <c r="B326" s="1" t="n">
        <v>45177</v>
      </c>
      <c r="C326" s="1" t="n">
        <v>45901</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1084-2023</t>
        </is>
      </c>
      <c r="B327" s="1" t="n">
        <v>44929</v>
      </c>
      <c r="C327" s="1" t="n">
        <v>45901</v>
      </c>
      <c r="D327" t="inlineStr">
        <is>
          <t>ÖSTERGÖTLANDS LÄN</t>
        </is>
      </c>
      <c r="E327" t="inlineStr">
        <is>
          <t>LINKÖPING</t>
        </is>
      </c>
      <c r="G327" t="n">
        <v>10.4</v>
      </c>
      <c r="H327" t="n">
        <v>0</v>
      </c>
      <c r="I327" t="n">
        <v>0</v>
      </c>
      <c r="J327" t="n">
        <v>0</v>
      </c>
      <c r="K327" t="n">
        <v>0</v>
      </c>
      <c r="L327" t="n">
        <v>0</v>
      </c>
      <c r="M327" t="n">
        <v>0</v>
      </c>
      <c r="N327" t="n">
        <v>0</v>
      </c>
      <c r="O327" t="n">
        <v>0</v>
      </c>
      <c r="P327" t="n">
        <v>0</v>
      </c>
      <c r="Q327" t="n">
        <v>0</v>
      </c>
      <c r="R327" s="2" t="inlineStr"/>
    </row>
    <row r="328" ht="15" customHeight="1">
      <c r="A328" t="inlineStr">
        <is>
          <t>A 29859-2024</t>
        </is>
      </c>
      <c r="B328" s="1" t="n">
        <v>45485.6846412037</v>
      </c>
      <c r="C328" s="1" t="n">
        <v>45901</v>
      </c>
      <c r="D328" t="inlineStr">
        <is>
          <t>ÖSTERGÖTLANDS LÄN</t>
        </is>
      </c>
      <c r="E328" t="inlineStr">
        <is>
          <t>LINKÖPING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51571-2024</t>
        </is>
      </c>
      <c r="B329" s="1" t="n">
        <v>45604</v>
      </c>
      <c r="C329" s="1" t="n">
        <v>45901</v>
      </c>
      <c r="D329" t="inlineStr">
        <is>
          <t>ÖSTERGÖTLANDS LÄN</t>
        </is>
      </c>
      <c r="E329" t="inlineStr">
        <is>
          <t>LINKÖPING</t>
        </is>
      </c>
      <c r="F329" t="inlineStr">
        <is>
          <t>Övriga Aktiebolag</t>
        </is>
      </c>
      <c r="G329" t="n">
        <v>1.4</v>
      </c>
      <c r="H329" t="n">
        <v>0</v>
      </c>
      <c r="I329" t="n">
        <v>0</v>
      </c>
      <c r="J329" t="n">
        <v>0</v>
      </c>
      <c r="K329" t="n">
        <v>0</v>
      </c>
      <c r="L329" t="n">
        <v>0</v>
      </c>
      <c r="M329" t="n">
        <v>0</v>
      </c>
      <c r="N329" t="n">
        <v>0</v>
      </c>
      <c r="O329" t="n">
        <v>0</v>
      </c>
      <c r="P329" t="n">
        <v>0</v>
      </c>
      <c r="Q329" t="n">
        <v>0</v>
      </c>
      <c r="R329" s="2" t="inlineStr"/>
    </row>
    <row r="330" ht="15" customHeight="1">
      <c r="A330" t="inlineStr">
        <is>
          <t>A 223-2024</t>
        </is>
      </c>
      <c r="B330" s="1" t="n">
        <v>45294.72739583333</v>
      </c>
      <c r="C330" s="1" t="n">
        <v>45901</v>
      </c>
      <c r="D330" t="inlineStr">
        <is>
          <t>ÖSTERGÖTLANDS LÄN</t>
        </is>
      </c>
      <c r="E330" t="inlineStr">
        <is>
          <t>LINKÖPING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227-2024</t>
        </is>
      </c>
      <c r="B331" s="1" t="n">
        <v>45294.73603009259</v>
      </c>
      <c r="C331" s="1" t="n">
        <v>45901</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13911-2025</t>
        </is>
      </c>
      <c r="B332" s="1" t="n">
        <v>45737.64784722222</v>
      </c>
      <c r="C332" s="1" t="n">
        <v>45901</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23768-2025</t>
        </is>
      </c>
      <c r="B333" s="1" t="n">
        <v>45793.47493055555</v>
      </c>
      <c r="C333" s="1" t="n">
        <v>45901</v>
      </c>
      <c r="D333" t="inlineStr">
        <is>
          <t>ÖSTERGÖTLANDS LÄN</t>
        </is>
      </c>
      <c r="E333" t="inlineStr">
        <is>
          <t>LINKÖPING</t>
        </is>
      </c>
      <c r="G333" t="n">
        <v>3.4</v>
      </c>
      <c r="H333" t="n">
        <v>0</v>
      </c>
      <c r="I333" t="n">
        <v>0</v>
      </c>
      <c r="J333" t="n">
        <v>0</v>
      </c>
      <c r="K333" t="n">
        <v>0</v>
      </c>
      <c r="L333" t="n">
        <v>0</v>
      </c>
      <c r="M333" t="n">
        <v>0</v>
      </c>
      <c r="N333" t="n">
        <v>0</v>
      </c>
      <c r="O333" t="n">
        <v>0</v>
      </c>
      <c r="P333" t="n">
        <v>0</v>
      </c>
      <c r="Q333" t="n">
        <v>0</v>
      </c>
      <c r="R333" s="2" t="inlineStr"/>
    </row>
    <row r="334" ht="15" customHeight="1">
      <c r="A334" t="inlineStr">
        <is>
          <t>A 32602-2022</t>
        </is>
      </c>
      <c r="B334" s="1" t="n">
        <v>44783.43192129629</v>
      </c>
      <c r="C334" s="1" t="n">
        <v>45901</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47876-2020</t>
        </is>
      </c>
      <c r="B335" s="1" t="n">
        <v>44099</v>
      </c>
      <c r="C335" s="1" t="n">
        <v>45901</v>
      </c>
      <c r="D335" t="inlineStr">
        <is>
          <t>ÖSTERGÖTLANDS LÄN</t>
        </is>
      </c>
      <c r="E335" t="inlineStr">
        <is>
          <t>LINKÖPING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56917-2022</t>
        </is>
      </c>
      <c r="B336" s="1" t="n">
        <v>44894</v>
      </c>
      <c r="C336" s="1" t="n">
        <v>45901</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1265-2023</t>
        </is>
      </c>
      <c r="B337" s="1" t="n">
        <v>44936</v>
      </c>
      <c r="C337" s="1" t="n">
        <v>45901</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1362-2023</t>
        </is>
      </c>
      <c r="B338" s="1" t="n">
        <v>44931</v>
      </c>
      <c r="C338" s="1" t="n">
        <v>45901</v>
      </c>
      <c r="D338" t="inlineStr">
        <is>
          <t>ÖSTERGÖTLANDS LÄN</t>
        </is>
      </c>
      <c r="E338" t="inlineStr">
        <is>
          <t>LINKÖPING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42093-2020</t>
        </is>
      </c>
      <c r="B339" s="1" t="n">
        <v>44075</v>
      </c>
      <c r="C339" s="1" t="n">
        <v>45901</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54034-2022</t>
        </is>
      </c>
      <c r="B340" s="1" t="n">
        <v>44881</v>
      </c>
      <c r="C340" s="1" t="n">
        <v>45901</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55493-2021</t>
        </is>
      </c>
      <c r="B341" s="1" t="n">
        <v>44475.61988425926</v>
      </c>
      <c r="C341" s="1" t="n">
        <v>45901</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54846-2024</t>
        </is>
      </c>
      <c r="B342" s="1" t="n">
        <v>45618</v>
      </c>
      <c r="C342" s="1" t="n">
        <v>45901</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6054-2022</t>
        </is>
      </c>
      <c r="B343" s="1" t="n">
        <v>44599.53623842593</v>
      </c>
      <c r="C343" s="1" t="n">
        <v>45901</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25119-2023</t>
        </is>
      </c>
      <c r="B344" s="1" t="n">
        <v>45086.42326388889</v>
      </c>
      <c r="C344" s="1" t="n">
        <v>45901</v>
      </c>
      <c r="D344" t="inlineStr">
        <is>
          <t>ÖSTERGÖTLANDS LÄN</t>
        </is>
      </c>
      <c r="E344" t="inlineStr">
        <is>
          <t>LINKÖPING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55265-2020</t>
        </is>
      </c>
      <c r="B345" s="1" t="n">
        <v>44130</v>
      </c>
      <c r="C345" s="1" t="n">
        <v>45901</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4456-2024</t>
        </is>
      </c>
      <c r="B346" s="1" t="n">
        <v>45327.52847222222</v>
      </c>
      <c r="C346" s="1" t="n">
        <v>45901</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44280-2024</t>
        </is>
      </c>
      <c r="B347" s="1" t="n">
        <v>45573.49461805556</v>
      </c>
      <c r="C347" s="1" t="n">
        <v>45901</v>
      </c>
      <c r="D347" t="inlineStr">
        <is>
          <t>ÖSTERGÖTLANDS LÄN</t>
        </is>
      </c>
      <c r="E347" t="inlineStr">
        <is>
          <t>LINKÖPING</t>
        </is>
      </c>
      <c r="G347" t="n">
        <v>5.3</v>
      </c>
      <c r="H347" t="n">
        <v>0</v>
      </c>
      <c r="I347" t="n">
        <v>0</v>
      </c>
      <c r="J347" t="n">
        <v>0</v>
      </c>
      <c r="K347" t="n">
        <v>0</v>
      </c>
      <c r="L347" t="n">
        <v>0</v>
      </c>
      <c r="M347" t="n">
        <v>0</v>
      </c>
      <c r="N347" t="n">
        <v>0</v>
      </c>
      <c r="O347" t="n">
        <v>0</v>
      </c>
      <c r="P347" t="n">
        <v>0</v>
      </c>
      <c r="Q347" t="n">
        <v>0</v>
      </c>
      <c r="R347" s="2" t="inlineStr"/>
    </row>
    <row r="348" ht="15" customHeight="1">
      <c r="A348" t="inlineStr">
        <is>
          <t>A 58114-2021</t>
        </is>
      </c>
      <c r="B348" s="1" t="n">
        <v>44487</v>
      </c>
      <c r="C348" s="1" t="n">
        <v>45901</v>
      </c>
      <c r="D348" t="inlineStr">
        <is>
          <t>ÖSTERGÖTLANDS LÄN</t>
        </is>
      </c>
      <c r="E348" t="inlineStr">
        <is>
          <t>LINKÖPING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13413-2023</t>
        </is>
      </c>
      <c r="B349" s="1" t="n">
        <v>45005.58341435185</v>
      </c>
      <c r="C349" s="1" t="n">
        <v>45901</v>
      </c>
      <c r="D349" t="inlineStr">
        <is>
          <t>ÖSTERGÖTLANDS LÄN</t>
        </is>
      </c>
      <c r="E349" t="inlineStr">
        <is>
          <t>LINKÖPING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52892-2024</t>
        </is>
      </c>
      <c r="B350" s="1" t="n">
        <v>45610</v>
      </c>
      <c r="C350" s="1" t="n">
        <v>45901</v>
      </c>
      <c r="D350" t="inlineStr">
        <is>
          <t>ÖSTERGÖTLANDS LÄN</t>
        </is>
      </c>
      <c r="E350" t="inlineStr">
        <is>
          <t>LINKÖPING</t>
        </is>
      </c>
      <c r="G350" t="n">
        <v>4.2</v>
      </c>
      <c r="H350" t="n">
        <v>0</v>
      </c>
      <c r="I350" t="n">
        <v>0</v>
      </c>
      <c r="J350" t="n">
        <v>0</v>
      </c>
      <c r="K350" t="n">
        <v>0</v>
      </c>
      <c r="L350" t="n">
        <v>0</v>
      </c>
      <c r="M350" t="n">
        <v>0</v>
      </c>
      <c r="N350" t="n">
        <v>0</v>
      </c>
      <c r="O350" t="n">
        <v>0</v>
      </c>
      <c r="P350" t="n">
        <v>0</v>
      </c>
      <c r="Q350" t="n">
        <v>0</v>
      </c>
      <c r="R350" s="2" t="inlineStr"/>
    </row>
    <row r="351" ht="15" customHeight="1">
      <c r="A351" t="inlineStr">
        <is>
          <t>A 63528-2023</t>
        </is>
      </c>
      <c r="B351" s="1" t="n">
        <v>45274.94810185185</v>
      </c>
      <c r="C351" s="1" t="n">
        <v>45901</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63638-2023</t>
        </is>
      </c>
      <c r="B352" s="1" t="n">
        <v>45275</v>
      </c>
      <c r="C352" s="1" t="n">
        <v>45901</v>
      </c>
      <c r="D352" t="inlineStr">
        <is>
          <t>ÖSTERGÖTLANDS LÄN</t>
        </is>
      </c>
      <c r="E352" t="inlineStr">
        <is>
          <t>LINKÖPING</t>
        </is>
      </c>
      <c r="F352" t="inlineStr">
        <is>
          <t>Övriga Aktiebolag</t>
        </is>
      </c>
      <c r="G352" t="n">
        <v>2.4</v>
      </c>
      <c r="H352" t="n">
        <v>0</v>
      </c>
      <c r="I352" t="n">
        <v>0</v>
      </c>
      <c r="J352" t="n">
        <v>0</v>
      </c>
      <c r="K352" t="n">
        <v>0</v>
      </c>
      <c r="L352" t="n">
        <v>0</v>
      </c>
      <c r="M352" t="n">
        <v>0</v>
      </c>
      <c r="N352" t="n">
        <v>0</v>
      </c>
      <c r="O352" t="n">
        <v>0</v>
      </c>
      <c r="P352" t="n">
        <v>0</v>
      </c>
      <c r="Q352" t="n">
        <v>0</v>
      </c>
      <c r="R352" s="2" t="inlineStr"/>
    </row>
    <row r="353" ht="15" customHeight="1">
      <c r="A353" t="inlineStr">
        <is>
          <t>A 63658-2023</t>
        </is>
      </c>
      <c r="B353" s="1" t="n">
        <v>45275</v>
      </c>
      <c r="C353" s="1" t="n">
        <v>45901</v>
      </c>
      <c r="D353" t="inlineStr">
        <is>
          <t>ÖSTERGÖTLANDS LÄN</t>
        </is>
      </c>
      <c r="E353" t="inlineStr">
        <is>
          <t>LINKÖPING</t>
        </is>
      </c>
      <c r="F353" t="inlineStr">
        <is>
          <t>Övriga Aktiebolag</t>
        </is>
      </c>
      <c r="G353" t="n">
        <v>1.5</v>
      </c>
      <c r="H353" t="n">
        <v>0</v>
      </c>
      <c r="I353" t="n">
        <v>0</v>
      </c>
      <c r="J353" t="n">
        <v>0</v>
      </c>
      <c r="K353" t="n">
        <v>0</v>
      </c>
      <c r="L353" t="n">
        <v>0</v>
      </c>
      <c r="M353" t="n">
        <v>0</v>
      </c>
      <c r="N353" t="n">
        <v>0</v>
      </c>
      <c r="O353" t="n">
        <v>0</v>
      </c>
      <c r="P353" t="n">
        <v>0</v>
      </c>
      <c r="Q353" t="n">
        <v>0</v>
      </c>
      <c r="R353" s="2" t="inlineStr"/>
    </row>
    <row r="354" ht="15" customHeight="1">
      <c r="A354" t="inlineStr">
        <is>
          <t>A 25996-2025</t>
        </is>
      </c>
      <c r="B354" s="1" t="n">
        <v>45804.65851851852</v>
      </c>
      <c r="C354" s="1" t="n">
        <v>45901</v>
      </c>
      <c r="D354" t="inlineStr">
        <is>
          <t>ÖSTERGÖTLANDS LÄN</t>
        </is>
      </c>
      <c r="E354" t="inlineStr">
        <is>
          <t>LINKÖPING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37683-2024</t>
        </is>
      </c>
      <c r="B355" s="1" t="n">
        <v>45541.59120370371</v>
      </c>
      <c r="C355" s="1" t="n">
        <v>45901</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7808-2022</t>
        </is>
      </c>
      <c r="B356" s="1" t="n">
        <v>44608</v>
      </c>
      <c r="C356" s="1" t="n">
        <v>45901</v>
      </c>
      <c r="D356" t="inlineStr">
        <is>
          <t>ÖSTERGÖTLANDS LÄN</t>
        </is>
      </c>
      <c r="E356" t="inlineStr">
        <is>
          <t>LINKÖPING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25829-2025</t>
        </is>
      </c>
      <c r="B357" s="1" t="n">
        <v>45804.44505787037</v>
      </c>
      <c r="C357" s="1" t="n">
        <v>45901</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36336-2023</t>
        </is>
      </c>
      <c r="B358" s="1" t="n">
        <v>45152.45078703704</v>
      </c>
      <c r="C358" s="1" t="n">
        <v>45901</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3008-2023</t>
        </is>
      </c>
      <c r="B359" s="1" t="n">
        <v>44945.79784722222</v>
      </c>
      <c r="C359" s="1" t="n">
        <v>45901</v>
      </c>
      <c r="D359" t="inlineStr">
        <is>
          <t>ÖSTERGÖTLANDS LÄN</t>
        </is>
      </c>
      <c r="E359" t="inlineStr">
        <is>
          <t>LINKÖPING</t>
        </is>
      </c>
      <c r="G359" t="n">
        <v>19.3</v>
      </c>
      <c r="H359" t="n">
        <v>0</v>
      </c>
      <c r="I359" t="n">
        <v>0</v>
      </c>
      <c r="J359" t="n">
        <v>0</v>
      </c>
      <c r="K359" t="n">
        <v>0</v>
      </c>
      <c r="L359" t="n">
        <v>0</v>
      </c>
      <c r="M359" t="n">
        <v>0</v>
      </c>
      <c r="N359" t="n">
        <v>0</v>
      </c>
      <c r="O359" t="n">
        <v>0</v>
      </c>
      <c r="P359" t="n">
        <v>0</v>
      </c>
      <c r="Q359" t="n">
        <v>0</v>
      </c>
      <c r="R359" s="2" t="inlineStr"/>
    </row>
    <row r="360" ht="15" customHeight="1">
      <c r="A360" t="inlineStr">
        <is>
          <t>A 25831-2025</t>
        </is>
      </c>
      <c r="B360" s="1" t="n">
        <v>45804.44638888889</v>
      </c>
      <c r="C360" s="1" t="n">
        <v>45901</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56623-2024</t>
        </is>
      </c>
      <c r="B361" s="1" t="n">
        <v>45625</v>
      </c>
      <c r="C361" s="1" t="n">
        <v>45901</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26002-2025</t>
        </is>
      </c>
      <c r="B362" s="1" t="n">
        <v>45804.66534722222</v>
      </c>
      <c r="C362" s="1" t="n">
        <v>45901</v>
      </c>
      <c r="D362" t="inlineStr">
        <is>
          <t>ÖSTERGÖTLANDS LÄN</t>
        </is>
      </c>
      <c r="E362" t="inlineStr">
        <is>
          <t>LINKÖPING</t>
        </is>
      </c>
      <c r="G362" t="n">
        <v>2.5</v>
      </c>
      <c r="H362" t="n">
        <v>0</v>
      </c>
      <c r="I362" t="n">
        <v>0</v>
      </c>
      <c r="J362" t="n">
        <v>0</v>
      </c>
      <c r="K362" t="n">
        <v>0</v>
      </c>
      <c r="L362" t="n">
        <v>0</v>
      </c>
      <c r="M362" t="n">
        <v>0</v>
      </c>
      <c r="N362" t="n">
        <v>0</v>
      </c>
      <c r="O362" t="n">
        <v>0</v>
      </c>
      <c r="P362" t="n">
        <v>0</v>
      </c>
      <c r="Q362" t="n">
        <v>0</v>
      </c>
      <c r="R362" s="2" t="inlineStr"/>
    </row>
    <row r="363" ht="15" customHeight="1">
      <c r="A363" t="inlineStr">
        <is>
          <t>A 54491-2020</t>
        </is>
      </c>
      <c r="B363" s="1" t="n">
        <v>44126.64</v>
      </c>
      <c r="C363" s="1" t="n">
        <v>45901</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55736-2022</t>
        </is>
      </c>
      <c r="B364" s="1" t="n">
        <v>44888</v>
      </c>
      <c r="C364" s="1" t="n">
        <v>45901</v>
      </c>
      <c r="D364" t="inlineStr">
        <is>
          <t>ÖSTERGÖTLANDS LÄN</t>
        </is>
      </c>
      <c r="E364" t="inlineStr">
        <is>
          <t>LINKÖPING</t>
        </is>
      </c>
      <c r="G364" t="n">
        <v>5.5</v>
      </c>
      <c r="H364" t="n">
        <v>0</v>
      </c>
      <c r="I364" t="n">
        <v>0</v>
      </c>
      <c r="J364" t="n">
        <v>0</v>
      </c>
      <c r="K364" t="n">
        <v>0</v>
      </c>
      <c r="L364" t="n">
        <v>0</v>
      </c>
      <c r="M364" t="n">
        <v>0</v>
      </c>
      <c r="N364" t="n">
        <v>0</v>
      </c>
      <c r="O364" t="n">
        <v>0</v>
      </c>
      <c r="P364" t="n">
        <v>0</v>
      </c>
      <c r="Q364" t="n">
        <v>0</v>
      </c>
      <c r="R364" s="2" t="inlineStr"/>
    </row>
    <row r="365" ht="15" customHeight="1">
      <c r="A365" t="inlineStr">
        <is>
          <t>A 44389-2020</t>
        </is>
      </c>
      <c r="B365" s="1" t="n">
        <v>44084</v>
      </c>
      <c r="C365" s="1" t="n">
        <v>45901</v>
      </c>
      <c r="D365" t="inlineStr">
        <is>
          <t>ÖSTERGÖTLANDS LÄN</t>
        </is>
      </c>
      <c r="E365" t="inlineStr">
        <is>
          <t>LINKÖPING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30434-2024</t>
        </is>
      </c>
      <c r="B366" s="1" t="n">
        <v>45491.69811342593</v>
      </c>
      <c r="C366" s="1" t="n">
        <v>45901</v>
      </c>
      <c r="D366" t="inlineStr">
        <is>
          <t>ÖSTERGÖTLANDS LÄN</t>
        </is>
      </c>
      <c r="E366" t="inlineStr">
        <is>
          <t>LINKÖPING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13011-2022</t>
        </is>
      </c>
      <c r="B367" s="1" t="n">
        <v>44643</v>
      </c>
      <c r="C367" s="1" t="n">
        <v>45901</v>
      </c>
      <c r="D367" t="inlineStr">
        <is>
          <t>ÖSTERGÖTLANDS LÄN</t>
        </is>
      </c>
      <c r="E367" t="inlineStr">
        <is>
          <t>LINKÖPING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11595-2025</t>
        </is>
      </c>
      <c r="B368" s="1" t="n">
        <v>45727.41893518518</v>
      </c>
      <c r="C368" s="1" t="n">
        <v>45901</v>
      </c>
      <c r="D368" t="inlineStr">
        <is>
          <t>ÖSTERGÖTLANDS LÄN</t>
        </is>
      </c>
      <c r="E368" t="inlineStr">
        <is>
          <t>LINKÖPING</t>
        </is>
      </c>
      <c r="G368" t="n">
        <v>6.6</v>
      </c>
      <c r="H368" t="n">
        <v>0</v>
      </c>
      <c r="I368" t="n">
        <v>0</v>
      </c>
      <c r="J368" t="n">
        <v>0</v>
      </c>
      <c r="K368" t="n">
        <v>0</v>
      </c>
      <c r="L368" t="n">
        <v>0</v>
      </c>
      <c r="M368" t="n">
        <v>0</v>
      </c>
      <c r="N368" t="n">
        <v>0</v>
      </c>
      <c r="O368" t="n">
        <v>0</v>
      </c>
      <c r="P368" t="n">
        <v>0</v>
      </c>
      <c r="Q368" t="n">
        <v>0</v>
      </c>
      <c r="R368" s="2" t="inlineStr"/>
    </row>
    <row r="369" ht="15" customHeight="1">
      <c r="A369" t="inlineStr">
        <is>
          <t>A 11084-2022</t>
        </is>
      </c>
      <c r="B369" s="1" t="n">
        <v>44628</v>
      </c>
      <c r="C369" s="1" t="n">
        <v>45901</v>
      </c>
      <c r="D369" t="inlineStr">
        <is>
          <t>ÖSTERGÖTLANDS LÄN</t>
        </is>
      </c>
      <c r="E369" t="inlineStr">
        <is>
          <t>LINKÖPING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50508-2024</t>
        </is>
      </c>
      <c r="B370" s="1" t="n">
        <v>45601.53907407408</v>
      </c>
      <c r="C370" s="1" t="n">
        <v>45901</v>
      </c>
      <c r="D370" t="inlineStr">
        <is>
          <t>ÖSTERGÖTLANDS LÄN</t>
        </is>
      </c>
      <c r="E370" t="inlineStr">
        <is>
          <t>LINKÖPING</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36336-2022</t>
        </is>
      </c>
      <c r="B371" s="1" t="n">
        <v>44803</v>
      </c>
      <c r="C371" s="1" t="n">
        <v>45901</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48839-2022</t>
        </is>
      </c>
      <c r="B372" s="1" t="n">
        <v>44859</v>
      </c>
      <c r="C372" s="1" t="n">
        <v>45901</v>
      </c>
      <c r="D372" t="inlineStr">
        <is>
          <t>ÖSTERGÖTLANDS LÄN</t>
        </is>
      </c>
      <c r="E372" t="inlineStr">
        <is>
          <t>LINKÖPING</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6387-2022</t>
        </is>
      </c>
      <c r="B373" s="1" t="n">
        <v>44600</v>
      </c>
      <c r="C373" s="1" t="n">
        <v>45901</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34641-2022</t>
        </is>
      </c>
      <c r="B374" s="1" t="n">
        <v>44795</v>
      </c>
      <c r="C374" s="1" t="n">
        <v>45901</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13687-2025</t>
        </is>
      </c>
      <c r="B375" s="1" t="n">
        <v>45737.31425925926</v>
      </c>
      <c r="C375" s="1" t="n">
        <v>45901</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13688-2025</t>
        </is>
      </c>
      <c r="B376" s="1" t="n">
        <v>45737.3153125</v>
      </c>
      <c r="C376" s="1" t="n">
        <v>45901</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13695-2025</t>
        </is>
      </c>
      <c r="B377" s="1" t="n">
        <v>45737.32219907407</v>
      </c>
      <c r="C377" s="1" t="n">
        <v>45901</v>
      </c>
      <c r="D377" t="inlineStr">
        <is>
          <t>ÖSTERGÖTLANDS LÄN</t>
        </is>
      </c>
      <c r="E377" t="inlineStr">
        <is>
          <t>LINKÖPING</t>
        </is>
      </c>
      <c r="G377" t="n">
        <v>5.3</v>
      </c>
      <c r="H377" t="n">
        <v>0</v>
      </c>
      <c r="I377" t="n">
        <v>0</v>
      </c>
      <c r="J377" t="n">
        <v>0</v>
      </c>
      <c r="K377" t="n">
        <v>0</v>
      </c>
      <c r="L377" t="n">
        <v>0</v>
      </c>
      <c r="M377" t="n">
        <v>0</v>
      </c>
      <c r="N377" t="n">
        <v>0</v>
      </c>
      <c r="O377" t="n">
        <v>0</v>
      </c>
      <c r="P377" t="n">
        <v>0</v>
      </c>
      <c r="Q377" t="n">
        <v>0</v>
      </c>
      <c r="R377" s="2" t="inlineStr"/>
    </row>
    <row r="378" ht="15" customHeight="1">
      <c r="A378" t="inlineStr">
        <is>
          <t>A 57745-2022</t>
        </is>
      </c>
      <c r="B378" s="1" t="n">
        <v>44897.58119212963</v>
      </c>
      <c r="C378" s="1" t="n">
        <v>45901</v>
      </c>
      <c r="D378" t="inlineStr">
        <is>
          <t>ÖSTERGÖTLANDS LÄN</t>
        </is>
      </c>
      <c r="E378" t="inlineStr">
        <is>
          <t>LINKÖPING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14520-2025</t>
        </is>
      </c>
      <c r="B379" s="1" t="n">
        <v>45741</v>
      </c>
      <c r="C379" s="1" t="n">
        <v>45901</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58714-2020</t>
        </is>
      </c>
      <c r="B380" s="1" t="n">
        <v>44146</v>
      </c>
      <c r="C380" s="1" t="n">
        <v>45901</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27264-2025</t>
        </is>
      </c>
      <c r="B381" s="1" t="n">
        <v>45812.4794212963</v>
      </c>
      <c r="C381" s="1" t="n">
        <v>45901</v>
      </c>
      <c r="D381" t="inlineStr">
        <is>
          <t>ÖSTERGÖTLANDS LÄN</t>
        </is>
      </c>
      <c r="E381" t="inlineStr">
        <is>
          <t>LINKÖPING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52413-2023</t>
        </is>
      </c>
      <c r="B382" s="1" t="n">
        <v>45225.27950231481</v>
      </c>
      <c r="C382" s="1" t="n">
        <v>45901</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56064-2022</t>
        </is>
      </c>
      <c r="B383" s="1" t="n">
        <v>44889.59107638889</v>
      </c>
      <c r="C383" s="1" t="n">
        <v>45901</v>
      </c>
      <c r="D383" t="inlineStr">
        <is>
          <t>ÖSTERGÖTLANDS LÄN</t>
        </is>
      </c>
      <c r="E383" t="inlineStr">
        <is>
          <t>LINKÖPING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40502-2024</t>
        </is>
      </c>
      <c r="B384" s="1" t="n">
        <v>45555.57263888889</v>
      </c>
      <c r="C384" s="1" t="n">
        <v>45901</v>
      </c>
      <c r="D384" t="inlineStr">
        <is>
          <t>ÖSTERGÖTLANDS LÄN</t>
        </is>
      </c>
      <c r="E384" t="inlineStr">
        <is>
          <t>LINKÖPING</t>
        </is>
      </c>
      <c r="F384" t="inlineStr">
        <is>
          <t>Allmännings- och besparingsskogar</t>
        </is>
      </c>
      <c r="G384" t="n">
        <v>17.5</v>
      </c>
      <c r="H384" t="n">
        <v>0</v>
      </c>
      <c r="I384" t="n">
        <v>0</v>
      </c>
      <c r="J384" t="n">
        <v>0</v>
      </c>
      <c r="K384" t="n">
        <v>0</v>
      </c>
      <c r="L384" t="n">
        <v>0</v>
      </c>
      <c r="M384" t="n">
        <v>0</v>
      </c>
      <c r="N384" t="n">
        <v>0</v>
      </c>
      <c r="O384" t="n">
        <v>0</v>
      </c>
      <c r="P384" t="n">
        <v>0</v>
      </c>
      <c r="Q384" t="n">
        <v>0</v>
      </c>
      <c r="R384" s="2" t="inlineStr"/>
    </row>
    <row r="385" ht="15" customHeight="1">
      <c r="A385" t="inlineStr">
        <is>
          <t>A 42054-2022</t>
        </is>
      </c>
      <c r="B385" s="1" t="n">
        <v>44830</v>
      </c>
      <c r="C385" s="1" t="n">
        <v>45901</v>
      </c>
      <c r="D385" t="inlineStr">
        <is>
          <t>ÖSTERGÖTLANDS LÄN</t>
        </is>
      </c>
      <c r="E385" t="inlineStr">
        <is>
          <t>LINKÖPING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53797-2023</t>
        </is>
      </c>
      <c r="B386" s="1" t="n">
        <v>45230</v>
      </c>
      <c r="C386" s="1" t="n">
        <v>45901</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16200-2025</t>
        </is>
      </c>
      <c r="B387" s="1" t="n">
        <v>45750.61050925926</v>
      </c>
      <c r="C387" s="1" t="n">
        <v>45901</v>
      </c>
      <c r="D387" t="inlineStr">
        <is>
          <t>ÖSTERGÖTLANDS LÄN</t>
        </is>
      </c>
      <c r="E387" t="inlineStr">
        <is>
          <t>LINKÖPING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28200-2025</t>
        </is>
      </c>
      <c r="B388" s="1" t="n">
        <v>45818.4428125</v>
      </c>
      <c r="C388" s="1" t="n">
        <v>45901</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44155-2024</t>
        </is>
      </c>
      <c r="B389" s="1" t="n">
        <v>45572.68226851852</v>
      </c>
      <c r="C389" s="1" t="n">
        <v>45901</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35757-2025</t>
        </is>
      </c>
      <c r="B390" s="1" t="n">
        <v>45860.59876157407</v>
      </c>
      <c r="C390" s="1" t="n">
        <v>45901</v>
      </c>
      <c r="D390" t="inlineStr">
        <is>
          <t>ÖSTERGÖTLANDS LÄN</t>
        </is>
      </c>
      <c r="E390" t="inlineStr">
        <is>
          <t>LINKÖPING</t>
        </is>
      </c>
      <c r="G390" t="n">
        <v>5.7</v>
      </c>
      <c r="H390" t="n">
        <v>0</v>
      </c>
      <c r="I390" t="n">
        <v>0</v>
      </c>
      <c r="J390" t="n">
        <v>0</v>
      </c>
      <c r="K390" t="n">
        <v>0</v>
      </c>
      <c r="L390" t="n">
        <v>0</v>
      </c>
      <c r="M390" t="n">
        <v>0</v>
      </c>
      <c r="N390" t="n">
        <v>0</v>
      </c>
      <c r="O390" t="n">
        <v>0</v>
      </c>
      <c r="P390" t="n">
        <v>0</v>
      </c>
      <c r="Q390" t="n">
        <v>0</v>
      </c>
      <c r="R390" s="2" t="inlineStr"/>
    </row>
    <row r="391" ht="15" customHeight="1">
      <c r="A391" t="inlineStr">
        <is>
          <t>A 22833-2023</t>
        </is>
      </c>
      <c r="B391" s="1" t="n">
        <v>45071</v>
      </c>
      <c r="C391" s="1" t="n">
        <v>45901</v>
      </c>
      <c r="D391" t="inlineStr">
        <is>
          <t>ÖSTERGÖTLANDS LÄN</t>
        </is>
      </c>
      <c r="E391" t="inlineStr">
        <is>
          <t>LINKÖPING</t>
        </is>
      </c>
      <c r="F391" t="inlineStr">
        <is>
          <t>Kommuner</t>
        </is>
      </c>
      <c r="G391" t="n">
        <v>1</v>
      </c>
      <c r="H391" t="n">
        <v>0</v>
      </c>
      <c r="I391" t="n">
        <v>0</v>
      </c>
      <c r="J391" t="n">
        <v>0</v>
      </c>
      <c r="K391" t="n">
        <v>0</v>
      </c>
      <c r="L391" t="n">
        <v>0</v>
      </c>
      <c r="M391" t="n">
        <v>0</v>
      </c>
      <c r="N391" t="n">
        <v>0</v>
      </c>
      <c r="O391" t="n">
        <v>0</v>
      </c>
      <c r="P391" t="n">
        <v>0</v>
      </c>
      <c r="Q391" t="n">
        <v>0</v>
      </c>
      <c r="R391" s="2" t="inlineStr"/>
    </row>
    <row r="392" ht="15" customHeight="1">
      <c r="A392" t="inlineStr">
        <is>
          <t>A 27950-2025</t>
        </is>
      </c>
      <c r="B392" s="1" t="n">
        <v>45817.52960648148</v>
      </c>
      <c r="C392" s="1" t="n">
        <v>45901</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17898-2022</t>
        </is>
      </c>
      <c r="B393" s="1" t="n">
        <v>44683</v>
      </c>
      <c r="C393" s="1" t="n">
        <v>45901</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62017-2024</t>
        </is>
      </c>
      <c r="B394" s="1" t="n">
        <v>45655.81140046296</v>
      </c>
      <c r="C394" s="1" t="n">
        <v>45901</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27797-2025</t>
        </is>
      </c>
      <c r="B395" s="1" t="n">
        <v>45816.80521990741</v>
      </c>
      <c r="C395" s="1" t="n">
        <v>45901</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27798-2025</t>
        </is>
      </c>
      <c r="B396" s="1" t="n">
        <v>45816.81532407407</v>
      </c>
      <c r="C396" s="1" t="n">
        <v>45901</v>
      </c>
      <c r="D396" t="inlineStr">
        <is>
          <t>ÖSTERGÖTLANDS LÄN</t>
        </is>
      </c>
      <c r="E396" t="inlineStr">
        <is>
          <t>LINKÖPING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42997-2021</t>
        </is>
      </c>
      <c r="B397" s="1" t="n">
        <v>44431.45556712963</v>
      </c>
      <c r="C397" s="1" t="n">
        <v>45901</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35747-2025</t>
        </is>
      </c>
      <c r="B398" s="1" t="n">
        <v>45860.56385416666</v>
      </c>
      <c r="C398" s="1" t="n">
        <v>45901</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28209-2025</t>
        </is>
      </c>
      <c r="B399" s="1" t="n">
        <v>45818.45112268518</v>
      </c>
      <c r="C399" s="1" t="n">
        <v>45901</v>
      </c>
      <c r="D399" t="inlineStr">
        <is>
          <t>ÖSTERGÖTLANDS LÄN</t>
        </is>
      </c>
      <c r="E399" t="inlineStr">
        <is>
          <t>LINKÖPING</t>
        </is>
      </c>
      <c r="G399" t="n">
        <v>4.2</v>
      </c>
      <c r="H399" t="n">
        <v>0</v>
      </c>
      <c r="I399" t="n">
        <v>0</v>
      </c>
      <c r="J399" t="n">
        <v>0</v>
      </c>
      <c r="K399" t="n">
        <v>0</v>
      </c>
      <c r="L399" t="n">
        <v>0</v>
      </c>
      <c r="M399" t="n">
        <v>0</v>
      </c>
      <c r="N399" t="n">
        <v>0</v>
      </c>
      <c r="O399" t="n">
        <v>0</v>
      </c>
      <c r="P399" t="n">
        <v>0</v>
      </c>
      <c r="Q399" t="n">
        <v>0</v>
      </c>
      <c r="R399" s="2" t="inlineStr"/>
    </row>
    <row r="400" ht="15" customHeight="1">
      <c r="A400" t="inlineStr">
        <is>
          <t>A 35745-2025</t>
        </is>
      </c>
      <c r="B400" s="1" t="n">
        <v>45860.54739583333</v>
      </c>
      <c r="C400" s="1" t="n">
        <v>45901</v>
      </c>
      <c r="D400" t="inlineStr">
        <is>
          <t>ÖSTERGÖTLANDS LÄN</t>
        </is>
      </c>
      <c r="E400" t="inlineStr">
        <is>
          <t>LINKÖPING</t>
        </is>
      </c>
      <c r="G400" t="n">
        <v>4.4</v>
      </c>
      <c r="H400" t="n">
        <v>0</v>
      </c>
      <c r="I400" t="n">
        <v>0</v>
      </c>
      <c r="J400" t="n">
        <v>0</v>
      </c>
      <c r="K400" t="n">
        <v>0</v>
      </c>
      <c r="L400" t="n">
        <v>0</v>
      </c>
      <c r="M400" t="n">
        <v>0</v>
      </c>
      <c r="N400" t="n">
        <v>0</v>
      </c>
      <c r="O400" t="n">
        <v>0</v>
      </c>
      <c r="P400" t="n">
        <v>0</v>
      </c>
      <c r="Q400" t="n">
        <v>0</v>
      </c>
      <c r="R400" s="2" t="inlineStr"/>
    </row>
    <row r="401" ht="15" customHeight="1">
      <c r="A401" t="inlineStr">
        <is>
          <t>A 28204-2025</t>
        </is>
      </c>
      <c r="B401" s="1" t="n">
        <v>45818.4477662037</v>
      </c>
      <c r="C401" s="1" t="n">
        <v>45901</v>
      </c>
      <c r="D401" t="inlineStr">
        <is>
          <t>ÖSTERGÖTLANDS LÄN</t>
        </is>
      </c>
      <c r="E401" t="inlineStr">
        <is>
          <t>LINKÖPING</t>
        </is>
      </c>
      <c r="G401" t="n">
        <v>2.9</v>
      </c>
      <c r="H401" t="n">
        <v>0</v>
      </c>
      <c r="I401" t="n">
        <v>0</v>
      </c>
      <c r="J401" t="n">
        <v>0</v>
      </c>
      <c r="K401" t="n">
        <v>0</v>
      </c>
      <c r="L401" t="n">
        <v>0</v>
      </c>
      <c r="M401" t="n">
        <v>0</v>
      </c>
      <c r="N401" t="n">
        <v>0</v>
      </c>
      <c r="O401" t="n">
        <v>0</v>
      </c>
      <c r="P401" t="n">
        <v>0</v>
      </c>
      <c r="Q401" t="n">
        <v>0</v>
      </c>
      <c r="R401" s="2" t="inlineStr"/>
    </row>
    <row r="402" ht="15" customHeight="1">
      <c r="A402" t="inlineStr">
        <is>
          <t>A 28398-2025</t>
        </is>
      </c>
      <c r="B402" s="1" t="n">
        <v>45819.34208333334</v>
      </c>
      <c r="C402" s="1" t="n">
        <v>45901</v>
      </c>
      <c r="D402" t="inlineStr">
        <is>
          <t>ÖSTERGÖTLANDS LÄN</t>
        </is>
      </c>
      <c r="E402" t="inlineStr">
        <is>
          <t>LINKÖPING</t>
        </is>
      </c>
      <c r="F402" t="inlineStr">
        <is>
          <t>Sveaskog</t>
        </is>
      </c>
      <c r="G402" t="n">
        <v>7.9</v>
      </c>
      <c r="H402" t="n">
        <v>0</v>
      </c>
      <c r="I402" t="n">
        <v>0</v>
      </c>
      <c r="J402" t="n">
        <v>0</v>
      </c>
      <c r="K402" t="n">
        <v>0</v>
      </c>
      <c r="L402" t="n">
        <v>0</v>
      </c>
      <c r="M402" t="n">
        <v>0</v>
      </c>
      <c r="N402" t="n">
        <v>0</v>
      </c>
      <c r="O402" t="n">
        <v>0</v>
      </c>
      <c r="P402" t="n">
        <v>0</v>
      </c>
      <c r="Q402" t="n">
        <v>0</v>
      </c>
      <c r="R402" s="2" t="inlineStr"/>
    </row>
    <row r="403" ht="15" customHeight="1">
      <c r="A403" t="inlineStr">
        <is>
          <t>A 12411-2022</t>
        </is>
      </c>
      <c r="B403" s="1" t="n">
        <v>44638.21601851852</v>
      </c>
      <c r="C403" s="1" t="n">
        <v>45901</v>
      </c>
      <c r="D403" t="inlineStr">
        <is>
          <t>ÖSTERGÖTLANDS LÄN</t>
        </is>
      </c>
      <c r="E403" t="inlineStr">
        <is>
          <t>LINKÖPING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10492-2022</t>
        </is>
      </c>
      <c r="B404" s="1" t="n">
        <v>44623.6377199074</v>
      </c>
      <c r="C404" s="1" t="n">
        <v>45901</v>
      </c>
      <c r="D404" t="inlineStr">
        <is>
          <t>ÖSTERGÖTLANDS LÄN</t>
        </is>
      </c>
      <c r="E404" t="inlineStr">
        <is>
          <t>LINKÖPING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28416-2025</t>
        </is>
      </c>
      <c r="B405" s="1" t="n">
        <v>45819.35346064815</v>
      </c>
      <c r="C405" s="1" t="n">
        <v>45901</v>
      </c>
      <c r="D405" t="inlineStr">
        <is>
          <t>ÖSTERGÖTLANDS LÄN</t>
        </is>
      </c>
      <c r="E405" t="inlineStr">
        <is>
          <t>LINKÖPING</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35759-2025</t>
        </is>
      </c>
      <c r="B406" s="1" t="n">
        <v>45860</v>
      </c>
      <c r="C406" s="1" t="n">
        <v>45901</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29027-2025</t>
        </is>
      </c>
      <c r="B407" s="1" t="n">
        <v>45821.4375462963</v>
      </c>
      <c r="C407" s="1" t="n">
        <v>45901</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29393-2025</t>
        </is>
      </c>
      <c r="B408" s="1" t="n">
        <v>45824.6057175926</v>
      </c>
      <c r="C408" s="1" t="n">
        <v>45901</v>
      </c>
      <c r="D408" t="inlineStr">
        <is>
          <t>ÖSTERGÖTLANDS LÄN</t>
        </is>
      </c>
      <c r="E408" t="inlineStr">
        <is>
          <t>LINKÖPING</t>
        </is>
      </c>
      <c r="F408" t="inlineStr">
        <is>
          <t>Sveaskog</t>
        </is>
      </c>
      <c r="G408" t="n">
        <v>24.6</v>
      </c>
      <c r="H408" t="n">
        <v>0</v>
      </c>
      <c r="I408" t="n">
        <v>0</v>
      </c>
      <c r="J408" t="n">
        <v>0</v>
      </c>
      <c r="K408" t="n">
        <v>0</v>
      </c>
      <c r="L408" t="n">
        <v>0</v>
      </c>
      <c r="M408" t="n">
        <v>0</v>
      </c>
      <c r="N408" t="n">
        <v>0</v>
      </c>
      <c r="O408" t="n">
        <v>0</v>
      </c>
      <c r="P408" t="n">
        <v>0</v>
      </c>
      <c r="Q408" t="n">
        <v>0</v>
      </c>
      <c r="R408" s="2" t="inlineStr"/>
    </row>
    <row r="409" ht="15" customHeight="1">
      <c r="A409" t="inlineStr">
        <is>
          <t>A 29411-2025</t>
        </is>
      </c>
      <c r="B409" s="1" t="n">
        <v>45824.6219212963</v>
      </c>
      <c r="C409" s="1" t="n">
        <v>45901</v>
      </c>
      <c r="D409" t="inlineStr">
        <is>
          <t>ÖSTERGÖTLANDS LÄN</t>
        </is>
      </c>
      <c r="E409" t="inlineStr">
        <is>
          <t>LINKÖPING</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7343-2025</t>
        </is>
      </c>
      <c r="B410" s="1" t="n">
        <v>45703.67853009259</v>
      </c>
      <c r="C410" s="1" t="n">
        <v>45901</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14028-2024</t>
        </is>
      </c>
      <c r="B411" s="1" t="n">
        <v>45392</v>
      </c>
      <c r="C411" s="1" t="n">
        <v>45901</v>
      </c>
      <c r="D411" t="inlineStr">
        <is>
          <t>ÖSTERGÖTLANDS LÄN</t>
        </is>
      </c>
      <c r="E411" t="inlineStr">
        <is>
          <t>LINKÖPING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8967-2025</t>
        </is>
      </c>
      <c r="B412" s="1" t="n">
        <v>45712</v>
      </c>
      <c r="C412" s="1" t="n">
        <v>45901</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35427-2023</t>
        </is>
      </c>
      <c r="B413" s="1" t="n">
        <v>45146</v>
      </c>
      <c r="C413" s="1" t="n">
        <v>45901</v>
      </c>
      <c r="D413" t="inlineStr">
        <is>
          <t>ÖSTERGÖTLANDS LÄN</t>
        </is>
      </c>
      <c r="E413" t="inlineStr">
        <is>
          <t>LINKÖPING</t>
        </is>
      </c>
      <c r="F413" t="inlineStr">
        <is>
          <t>Övriga Aktiebolag</t>
        </is>
      </c>
      <c r="G413" t="n">
        <v>2.5</v>
      </c>
      <c r="H413" t="n">
        <v>0</v>
      </c>
      <c r="I413" t="n">
        <v>0</v>
      </c>
      <c r="J413" t="n">
        <v>0</v>
      </c>
      <c r="K413" t="n">
        <v>0</v>
      </c>
      <c r="L413" t="n">
        <v>0</v>
      </c>
      <c r="M413" t="n">
        <v>0</v>
      </c>
      <c r="N413" t="n">
        <v>0</v>
      </c>
      <c r="O413" t="n">
        <v>0</v>
      </c>
      <c r="P413" t="n">
        <v>0</v>
      </c>
      <c r="Q413" t="n">
        <v>0</v>
      </c>
      <c r="R413" s="2" t="inlineStr"/>
    </row>
    <row r="414" ht="15" customHeight="1">
      <c r="A414" t="inlineStr">
        <is>
          <t>A 30468-2023</t>
        </is>
      </c>
      <c r="B414" s="1" t="n">
        <v>45111.58732638889</v>
      </c>
      <c r="C414" s="1" t="n">
        <v>45901</v>
      </c>
      <c r="D414" t="inlineStr">
        <is>
          <t>ÖSTERGÖTLANDS LÄN</t>
        </is>
      </c>
      <c r="E414" t="inlineStr">
        <is>
          <t>LINKÖPING</t>
        </is>
      </c>
      <c r="G414" t="n">
        <v>10.1</v>
      </c>
      <c r="H414" t="n">
        <v>0</v>
      </c>
      <c r="I414" t="n">
        <v>0</v>
      </c>
      <c r="J414" t="n">
        <v>0</v>
      </c>
      <c r="K414" t="n">
        <v>0</v>
      </c>
      <c r="L414" t="n">
        <v>0</v>
      </c>
      <c r="M414" t="n">
        <v>0</v>
      </c>
      <c r="N414" t="n">
        <v>0</v>
      </c>
      <c r="O414" t="n">
        <v>0</v>
      </c>
      <c r="P414" t="n">
        <v>0</v>
      </c>
      <c r="Q414" t="n">
        <v>0</v>
      </c>
      <c r="R414" s="2" t="inlineStr"/>
    </row>
    <row r="415" ht="15" customHeight="1">
      <c r="A415" t="inlineStr">
        <is>
          <t>A 29599-2025</t>
        </is>
      </c>
      <c r="B415" s="1" t="n">
        <v>45825.41101851852</v>
      </c>
      <c r="C415" s="1" t="n">
        <v>45901</v>
      </c>
      <c r="D415" t="inlineStr">
        <is>
          <t>ÖSTERGÖTLANDS LÄN</t>
        </is>
      </c>
      <c r="E415" t="inlineStr">
        <is>
          <t>LINKÖPING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24765-2025</t>
        </is>
      </c>
      <c r="B416" s="1" t="n">
        <v>45799</v>
      </c>
      <c r="C416" s="1" t="n">
        <v>45901</v>
      </c>
      <c r="D416" t="inlineStr">
        <is>
          <t>ÖSTERGÖTLANDS LÄN</t>
        </is>
      </c>
      <c r="E416" t="inlineStr">
        <is>
          <t>LINKÖPING</t>
        </is>
      </c>
      <c r="G416" t="n">
        <v>4.9</v>
      </c>
      <c r="H416" t="n">
        <v>0</v>
      </c>
      <c r="I416" t="n">
        <v>0</v>
      </c>
      <c r="J416" t="n">
        <v>0</v>
      </c>
      <c r="K416" t="n">
        <v>0</v>
      </c>
      <c r="L416" t="n">
        <v>0</v>
      </c>
      <c r="M416" t="n">
        <v>0</v>
      </c>
      <c r="N416" t="n">
        <v>0</v>
      </c>
      <c r="O416" t="n">
        <v>0</v>
      </c>
      <c r="P416" t="n">
        <v>0</v>
      </c>
      <c r="Q416" t="n">
        <v>0</v>
      </c>
      <c r="R416" s="2" t="inlineStr"/>
    </row>
    <row r="417" ht="15" customHeight="1">
      <c r="A417" t="inlineStr">
        <is>
          <t>A 14667-2024</t>
        </is>
      </c>
      <c r="B417" s="1" t="n">
        <v>45397.42005787037</v>
      </c>
      <c r="C417" s="1" t="n">
        <v>45901</v>
      </c>
      <c r="D417" t="inlineStr">
        <is>
          <t>ÖSTERGÖTLANDS LÄN</t>
        </is>
      </c>
      <c r="E417" t="inlineStr">
        <is>
          <t>LINKÖPING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2697-2023</t>
        </is>
      </c>
      <c r="B418" s="1" t="n">
        <v>44944</v>
      </c>
      <c r="C418" s="1" t="n">
        <v>45901</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53641-2023</t>
        </is>
      </c>
      <c r="B419" s="1" t="n">
        <v>45230</v>
      </c>
      <c r="C419" s="1" t="n">
        <v>45901</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48707-2023</t>
        </is>
      </c>
      <c r="B420" s="1" t="n">
        <v>45202</v>
      </c>
      <c r="C420" s="1" t="n">
        <v>45901</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53411-2023</t>
        </is>
      </c>
      <c r="B421" s="1" t="n">
        <v>45229.81049768518</v>
      </c>
      <c r="C421" s="1" t="n">
        <v>45901</v>
      </c>
      <c r="D421" t="inlineStr">
        <is>
          <t>ÖSTERGÖTLANDS LÄN</t>
        </is>
      </c>
      <c r="E421" t="inlineStr">
        <is>
          <t>LINKÖPING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20296-2025</t>
        </is>
      </c>
      <c r="B422" s="1" t="n">
        <v>45774.74922453704</v>
      </c>
      <c r="C422" s="1" t="n">
        <v>45901</v>
      </c>
      <c r="D422" t="inlineStr">
        <is>
          <t>ÖSTERGÖTLANDS LÄN</t>
        </is>
      </c>
      <c r="E422" t="inlineStr">
        <is>
          <t>LINKÖPING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56741-2023</t>
        </is>
      </c>
      <c r="B423" s="1" t="n">
        <v>45244</v>
      </c>
      <c r="C423" s="1" t="n">
        <v>45901</v>
      </c>
      <c r="D423" t="inlineStr">
        <is>
          <t>ÖSTERGÖTLANDS LÄN</t>
        </is>
      </c>
      <c r="E423" t="inlineStr">
        <is>
          <t>LINKÖPING</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56792-2023</t>
        </is>
      </c>
      <c r="B424" s="1" t="n">
        <v>45244</v>
      </c>
      <c r="C424" s="1" t="n">
        <v>45901</v>
      </c>
      <c r="D424" t="inlineStr">
        <is>
          <t>ÖSTERGÖTLANDS LÄN</t>
        </is>
      </c>
      <c r="E424" t="inlineStr">
        <is>
          <t>LINKÖPING</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30355-2025</t>
        </is>
      </c>
      <c r="B425" s="1" t="n">
        <v>45827</v>
      </c>
      <c r="C425" s="1" t="n">
        <v>45901</v>
      </c>
      <c r="D425" t="inlineStr">
        <is>
          <t>ÖSTERGÖTLANDS LÄN</t>
        </is>
      </c>
      <c r="E425" t="inlineStr">
        <is>
          <t>LINKÖPING</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50471-2024</t>
        </is>
      </c>
      <c r="B426" s="1" t="n">
        <v>45601.47166666666</v>
      </c>
      <c r="C426" s="1" t="n">
        <v>45901</v>
      </c>
      <c r="D426" t="inlineStr">
        <is>
          <t>ÖSTERGÖTLANDS LÄN</t>
        </is>
      </c>
      <c r="E426" t="inlineStr">
        <is>
          <t>LINKÖPING</t>
        </is>
      </c>
      <c r="F426" t="inlineStr">
        <is>
          <t>Övriga Aktiebolag</t>
        </is>
      </c>
      <c r="G426" t="n">
        <v>2</v>
      </c>
      <c r="H426" t="n">
        <v>0</v>
      </c>
      <c r="I426" t="n">
        <v>0</v>
      </c>
      <c r="J426" t="n">
        <v>0</v>
      </c>
      <c r="K426" t="n">
        <v>0</v>
      </c>
      <c r="L426" t="n">
        <v>0</v>
      </c>
      <c r="M426" t="n">
        <v>0</v>
      </c>
      <c r="N426" t="n">
        <v>0</v>
      </c>
      <c r="O426" t="n">
        <v>0</v>
      </c>
      <c r="P426" t="n">
        <v>0</v>
      </c>
      <c r="Q426" t="n">
        <v>0</v>
      </c>
      <c r="R426" s="2" t="inlineStr"/>
    </row>
    <row r="427" ht="15" customHeight="1">
      <c r="A427" t="inlineStr">
        <is>
          <t>A 30353-2025</t>
        </is>
      </c>
      <c r="B427" s="1" t="n">
        <v>45827</v>
      </c>
      <c r="C427" s="1" t="n">
        <v>45901</v>
      </c>
      <c r="D427" t="inlineStr">
        <is>
          <t>ÖSTERGÖTLANDS LÄN</t>
        </is>
      </c>
      <c r="E427" t="inlineStr">
        <is>
          <t>LINKÖPING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3007-2023</t>
        </is>
      </c>
      <c r="B428" s="1" t="n">
        <v>44945</v>
      </c>
      <c r="C428" s="1" t="n">
        <v>45901</v>
      </c>
      <c r="D428" t="inlineStr">
        <is>
          <t>ÖSTERGÖTLANDS LÄN</t>
        </is>
      </c>
      <c r="E428" t="inlineStr">
        <is>
          <t>LINKÖPING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40338-2024</t>
        </is>
      </c>
      <c r="B429" s="1" t="n">
        <v>45555.32940972222</v>
      </c>
      <c r="C429" s="1" t="n">
        <v>45901</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3013-2023</t>
        </is>
      </c>
      <c r="B430" s="1" t="n">
        <v>44945.8092824074</v>
      </c>
      <c r="C430" s="1" t="n">
        <v>45901</v>
      </c>
      <c r="D430" t="inlineStr">
        <is>
          <t>ÖSTERGÖTLANDS LÄN</t>
        </is>
      </c>
      <c r="E430" t="inlineStr">
        <is>
          <t>LINKÖPING</t>
        </is>
      </c>
      <c r="G430" t="n">
        <v>5.2</v>
      </c>
      <c r="H430" t="n">
        <v>0</v>
      </c>
      <c r="I430" t="n">
        <v>0</v>
      </c>
      <c r="J430" t="n">
        <v>0</v>
      </c>
      <c r="K430" t="n">
        <v>0</v>
      </c>
      <c r="L430" t="n">
        <v>0</v>
      </c>
      <c r="M430" t="n">
        <v>0</v>
      </c>
      <c r="N430" t="n">
        <v>0</v>
      </c>
      <c r="O430" t="n">
        <v>0</v>
      </c>
      <c r="P430" t="n">
        <v>0</v>
      </c>
      <c r="Q430" t="n">
        <v>0</v>
      </c>
      <c r="R430" s="2" t="inlineStr"/>
    </row>
    <row r="431" ht="15" customHeight="1">
      <c r="A431" t="inlineStr">
        <is>
          <t>A 55945-2024</t>
        </is>
      </c>
      <c r="B431" s="1" t="n">
        <v>45623.61754629629</v>
      </c>
      <c r="C431" s="1" t="n">
        <v>45901</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45901</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1993-2023</t>
        </is>
      </c>
      <c r="B433" s="1" t="n">
        <v>44939</v>
      </c>
      <c r="C433" s="1" t="n">
        <v>45901</v>
      </c>
      <c r="D433" t="inlineStr">
        <is>
          <t>ÖSTERGÖTLANDS LÄN</t>
        </is>
      </c>
      <c r="E433" t="inlineStr">
        <is>
          <t>LINKÖPING</t>
        </is>
      </c>
      <c r="G433" t="n">
        <v>3.7</v>
      </c>
      <c r="H433" t="n">
        <v>0</v>
      </c>
      <c r="I433" t="n">
        <v>0</v>
      </c>
      <c r="J433" t="n">
        <v>0</v>
      </c>
      <c r="K433" t="n">
        <v>0</v>
      </c>
      <c r="L433" t="n">
        <v>0</v>
      </c>
      <c r="M433" t="n">
        <v>0</v>
      </c>
      <c r="N433" t="n">
        <v>0</v>
      </c>
      <c r="O433" t="n">
        <v>0</v>
      </c>
      <c r="P433" t="n">
        <v>0</v>
      </c>
      <c r="Q433" t="n">
        <v>0</v>
      </c>
      <c r="R433" s="2" t="inlineStr"/>
    </row>
    <row r="434" ht="15" customHeight="1">
      <c r="A434" t="inlineStr">
        <is>
          <t>A 2618-2023</t>
        </is>
      </c>
      <c r="B434" s="1" t="n">
        <v>44944.35847222222</v>
      </c>
      <c r="C434" s="1" t="n">
        <v>45901</v>
      </c>
      <c r="D434" t="inlineStr">
        <is>
          <t>ÖSTERGÖTLANDS LÄN</t>
        </is>
      </c>
      <c r="E434" t="inlineStr">
        <is>
          <t>LINKÖPING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10203-2023</t>
        </is>
      </c>
      <c r="B435" s="1" t="n">
        <v>44986.55711805556</v>
      </c>
      <c r="C435" s="1" t="n">
        <v>45901</v>
      </c>
      <c r="D435" t="inlineStr">
        <is>
          <t>ÖSTERGÖTLANDS LÄN</t>
        </is>
      </c>
      <c r="E435" t="inlineStr">
        <is>
          <t>LINKÖPING</t>
        </is>
      </c>
      <c r="G435" t="n">
        <v>3.3</v>
      </c>
      <c r="H435" t="n">
        <v>0</v>
      </c>
      <c r="I435" t="n">
        <v>0</v>
      </c>
      <c r="J435" t="n">
        <v>0</v>
      </c>
      <c r="K435" t="n">
        <v>0</v>
      </c>
      <c r="L435" t="n">
        <v>0</v>
      </c>
      <c r="M435" t="n">
        <v>0</v>
      </c>
      <c r="N435" t="n">
        <v>0</v>
      </c>
      <c r="O435" t="n">
        <v>0</v>
      </c>
      <c r="P435" t="n">
        <v>0</v>
      </c>
      <c r="Q435" t="n">
        <v>0</v>
      </c>
      <c r="R435" s="2" t="inlineStr"/>
    </row>
    <row r="436" ht="15" customHeight="1">
      <c r="A436" t="inlineStr">
        <is>
          <t>A 34889-2023</t>
        </is>
      </c>
      <c r="B436" s="1" t="n">
        <v>45140</v>
      </c>
      <c r="C436" s="1" t="n">
        <v>45901</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34928-2023</t>
        </is>
      </c>
      <c r="B437" s="1" t="n">
        <v>45142</v>
      </c>
      <c r="C437" s="1" t="n">
        <v>45901</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1268-2023</t>
        </is>
      </c>
      <c r="B438" s="1" t="n">
        <v>44936</v>
      </c>
      <c r="C438" s="1" t="n">
        <v>45901</v>
      </c>
      <c r="D438" t="inlineStr">
        <is>
          <t>ÖSTERGÖTLANDS LÄN</t>
        </is>
      </c>
      <c r="E438" t="inlineStr">
        <is>
          <t>LINKÖPING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5314-2021</t>
        </is>
      </c>
      <c r="B439" s="1" t="n">
        <v>44229</v>
      </c>
      <c r="C439" s="1" t="n">
        <v>45901</v>
      </c>
      <c r="D439" t="inlineStr">
        <is>
          <t>ÖSTERGÖTLANDS LÄN</t>
        </is>
      </c>
      <c r="E439" t="inlineStr">
        <is>
          <t>LINKÖPING</t>
        </is>
      </c>
      <c r="G439" t="n">
        <v>6.2</v>
      </c>
      <c r="H439" t="n">
        <v>0</v>
      </c>
      <c r="I439" t="n">
        <v>0</v>
      </c>
      <c r="J439" t="n">
        <v>0</v>
      </c>
      <c r="K439" t="n">
        <v>0</v>
      </c>
      <c r="L439" t="n">
        <v>0</v>
      </c>
      <c r="M439" t="n">
        <v>0</v>
      </c>
      <c r="N439" t="n">
        <v>0</v>
      </c>
      <c r="O439" t="n">
        <v>0</v>
      </c>
      <c r="P439" t="n">
        <v>0</v>
      </c>
      <c r="Q439" t="n">
        <v>0</v>
      </c>
      <c r="R439" s="2" t="inlineStr"/>
    </row>
    <row r="440" ht="15" customHeight="1">
      <c r="A440" t="inlineStr">
        <is>
          <t>A 53812-2023</t>
        </is>
      </c>
      <c r="B440" s="1" t="n">
        <v>45231.39583333334</v>
      </c>
      <c r="C440" s="1" t="n">
        <v>45901</v>
      </c>
      <c r="D440" t="inlineStr">
        <is>
          <t>ÖSTERGÖTLANDS LÄN</t>
        </is>
      </c>
      <c r="E440" t="inlineStr">
        <is>
          <t>LINKÖPING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53830-2023</t>
        </is>
      </c>
      <c r="B441" s="1" t="n">
        <v>45230</v>
      </c>
      <c r="C441" s="1" t="n">
        <v>45901</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49747-2024</t>
        </is>
      </c>
      <c r="B442" s="1" t="n">
        <v>45596</v>
      </c>
      <c r="C442" s="1" t="n">
        <v>45901</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37057-2025</t>
        </is>
      </c>
      <c r="B443" s="1" t="n">
        <v>45875.37489583333</v>
      </c>
      <c r="C443" s="1" t="n">
        <v>45901</v>
      </c>
      <c r="D443" t="inlineStr">
        <is>
          <t>ÖSTERGÖTLANDS LÄN</t>
        </is>
      </c>
      <c r="E443" t="inlineStr">
        <is>
          <t>LINKÖPING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31725-2022</t>
        </is>
      </c>
      <c r="B444" s="1" t="n">
        <v>44776.48541666667</v>
      </c>
      <c r="C444" s="1" t="n">
        <v>45901</v>
      </c>
      <c r="D444" t="inlineStr">
        <is>
          <t>ÖSTERGÖTLANDS LÄN</t>
        </is>
      </c>
      <c r="E444" t="inlineStr">
        <is>
          <t>LINKÖPING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31581-2025</t>
        </is>
      </c>
      <c r="B445" s="1" t="n">
        <v>45833.6840162037</v>
      </c>
      <c r="C445" s="1" t="n">
        <v>45901</v>
      </c>
      <c r="D445" t="inlineStr">
        <is>
          <t>ÖSTERGÖTLANDS LÄN</t>
        </is>
      </c>
      <c r="E445" t="inlineStr">
        <is>
          <t>LINKÖPING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31585-2025</t>
        </is>
      </c>
      <c r="B446" s="1" t="n">
        <v>45833.68815972222</v>
      </c>
      <c r="C446" s="1" t="n">
        <v>45901</v>
      </c>
      <c r="D446" t="inlineStr">
        <is>
          <t>ÖSTERGÖTLANDS LÄN</t>
        </is>
      </c>
      <c r="E446" t="inlineStr">
        <is>
          <t>LINKÖPING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38715-2023</t>
        </is>
      </c>
      <c r="B447" s="1" t="n">
        <v>45160</v>
      </c>
      <c r="C447" s="1" t="n">
        <v>45901</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2389-2023</t>
        </is>
      </c>
      <c r="B448" s="1" t="n">
        <v>44942</v>
      </c>
      <c r="C448" s="1" t="n">
        <v>45901</v>
      </c>
      <c r="D448" t="inlineStr">
        <is>
          <t>ÖSTERGÖTLANDS LÄN</t>
        </is>
      </c>
      <c r="E448" t="inlineStr">
        <is>
          <t>LINKÖPING</t>
        </is>
      </c>
      <c r="G448" t="n">
        <v>3.3</v>
      </c>
      <c r="H448" t="n">
        <v>0</v>
      </c>
      <c r="I448" t="n">
        <v>0</v>
      </c>
      <c r="J448" t="n">
        <v>0</v>
      </c>
      <c r="K448" t="n">
        <v>0</v>
      </c>
      <c r="L448" t="n">
        <v>0</v>
      </c>
      <c r="M448" t="n">
        <v>0</v>
      </c>
      <c r="N448" t="n">
        <v>0</v>
      </c>
      <c r="O448" t="n">
        <v>0</v>
      </c>
      <c r="P448" t="n">
        <v>0</v>
      </c>
      <c r="Q448" t="n">
        <v>0</v>
      </c>
      <c r="R448" s="2" t="inlineStr"/>
    </row>
    <row r="449" ht="15" customHeight="1">
      <c r="A449" t="inlineStr">
        <is>
          <t>A 3627-2023</t>
        </is>
      </c>
      <c r="B449" s="1" t="n">
        <v>44950.64782407408</v>
      </c>
      <c r="C449" s="1" t="n">
        <v>45901</v>
      </c>
      <c r="D449" t="inlineStr">
        <is>
          <t>ÖSTERGÖTLANDS LÄN</t>
        </is>
      </c>
      <c r="E449" t="inlineStr">
        <is>
          <t>LINKÖPING</t>
        </is>
      </c>
      <c r="G449" t="n">
        <v>3.1</v>
      </c>
      <c r="H449" t="n">
        <v>0</v>
      </c>
      <c r="I449" t="n">
        <v>0</v>
      </c>
      <c r="J449" t="n">
        <v>0</v>
      </c>
      <c r="K449" t="n">
        <v>0</v>
      </c>
      <c r="L449" t="n">
        <v>0</v>
      </c>
      <c r="M449" t="n">
        <v>0</v>
      </c>
      <c r="N449" t="n">
        <v>0</v>
      </c>
      <c r="O449" t="n">
        <v>0</v>
      </c>
      <c r="P449" t="n">
        <v>0</v>
      </c>
      <c r="Q449" t="n">
        <v>0</v>
      </c>
      <c r="R449" s="2" t="inlineStr"/>
    </row>
    <row r="450" ht="15" customHeight="1">
      <c r="A450" t="inlineStr">
        <is>
          <t>A 59948-2022</t>
        </is>
      </c>
      <c r="B450" s="1" t="n">
        <v>44909</v>
      </c>
      <c r="C450" s="1" t="n">
        <v>45901</v>
      </c>
      <c r="D450" t="inlineStr">
        <is>
          <t>ÖSTERGÖTLANDS LÄN</t>
        </is>
      </c>
      <c r="E450" t="inlineStr">
        <is>
          <t>LINKÖPING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62687-2023</t>
        </is>
      </c>
      <c r="B451" s="1" t="n">
        <v>45271</v>
      </c>
      <c r="C451" s="1" t="n">
        <v>45901</v>
      </c>
      <c r="D451" t="inlineStr">
        <is>
          <t>ÖSTERGÖTLANDS LÄN</t>
        </is>
      </c>
      <c r="E451" t="inlineStr">
        <is>
          <t>LINKÖPING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27766-2022</t>
        </is>
      </c>
      <c r="B452" s="1" t="n">
        <v>44743.53112268518</v>
      </c>
      <c r="C452" s="1" t="n">
        <v>45901</v>
      </c>
      <c r="D452" t="inlineStr">
        <is>
          <t>ÖSTERGÖTLANDS LÄN</t>
        </is>
      </c>
      <c r="E452" t="inlineStr">
        <is>
          <t>LINKÖPING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18891-2022</t>
        </is>
      </c>
      <c r="B453" s="1" t="n">
        <v>44690</v>
      </c>
      <c r="C453" s="1" t="n">
        <v>45901</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25825-2025</t>
        </is>
      </c>
      <c r="B454" s="1" t="n">
        <v>45804</v>
      </c>
      <c r="C454" s="1" t="n">
        <v>45901</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32723-2025</t>
        </is>
      </c>
      <c r="B455" s="1" t="n">
        <v>45838</v>
      </c>
      <c r="C455" s="1" t="n">
        <v>45901</v>
      </c>
      <c r="D455" t="inlineStr">
        <is>
          <t>ÖSTERGÖTLANDS LÄN</t>
        </is>
      </c>
      <c r="E455" t="inlineStr">
        <is>
          <t>LINKÖPING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26620-2023</t>
        </is>
      </c>
      <c r="B456" s="1" t="n">
        <v>45092.70390046296</v>
      </c>
      <c r="C456" s="1" t="n">
        <v>45901</v>
      </c>
      <c r="D456" t="inlineStr">
        <is>
          <t>ÖSTERGÖTLANDS LÄN</t>
        </is>
      </c>
      <c r="E456" t="inlineStr">
        <is>
          <t>LINKÖPING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48271-2023</t>
        </is>
      </c>
      <c r="B457" s="1" t="n">
        <v>45205</v>
      </c>
      <c r="C457" s="1" t="n">
        <v>45901</v>
      </c>
      <c r="D457" t="inlineStr">
        <is>
          <t>ÖSTERGÖTLANDS LÄN</t>
        </is>
      </c>
      <c r="E457" t="inlineStr">
        <is>
          <t>LINKÖPING</t>
        </is>
      </c>
      <c r="G457" t="n">
        <v>3</v>
      </c>
      <c r="H457" t="n">
        <v>0</v>
      </c>
      <c r="I457" t="n">
        <v>0</v>
      </c>
      <c r="J457" t="n">
        <v>0</v>
      </c>
      <c r="K457" t="n">
        <v>0</v>
      </c>
      <c r="L457" t="n">
        <v>0</v>
      </c>
      <c r="M457" t="n">
        <v>0</v>
      </c>
      <c r="N457" t="n">
        <v>0</v>
      </c>
      <c r="O457" t="n">
        <v>0</v>
      </c>
      <c r="P457" t="n">
        <v>0</v>
      </c>
      <c r="Q457" t="n">
        <v>0</v>
      </c>
      <c r="R457" s="2" t="inlineStr"/>
    </row>
    <row r="458" ht="15" customHeight="1">
      <c r="A458" t="inlineStr">
        <is>
          <t>A 56180-2024</t>
        </is>
      </c>
      <c r="B458" s="1" t="n">
        <v>45624.56611111111</v>
      </c>
      <c r="C458" s="1" t="n">
        <v>45901</v>
      </c>
      <c r="D458" t="inlineStr">
        <is>
          <t>ÖSTERGÖTLANDS LÄN</t>
        </is>
      </c>
      <c r="E458" t="inlineStr">
        <is>
          <t>LINKÖPING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938-2023</t>
        </is>
      </c>
      <c r="B459" s="1" t="n">
        <v>44933</v>
      </c>
      <c r="C459" s="1" t="n">
        <v>45901</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13266-2025</t>
        </is>
      </c>
      <c r="B460" s="1" t="n">
        <v>45735.53318287037</v>
      </c>
      <c r="C460" s="1" t="n">
        <v>45901</v>
      </c>
      <c r="D460" t="inlineStr">
        <is>
          <t>ÖSTERGÖTLANDS LÄN</t>
        </is>
      </c>
      <c r="E460" t="inlineStr">
        <is>
          <t>LINKÖPING</t>
        </is>
      </c>
      <c r="G460" t="n">
        <v>3.1</v>
      </c>
      <c r="H460" t="n">
        <v>0</v>
      </c>
      <c r="I460" t="n">
        <v>0</v>
      </c>
      <c r="J460" t="n">
        <v>0</v>
      </c>
      <c r="K460" t="n">
        <v>0</v>
      </c>
      <c r="L460" t="n">
        <v>0</v>
      </c>
      <c r="M460" t="n">
        <v>0</v>
      </c>
      <c r="N460" t="n">
        <v>0</v>
      </c>
      <c r="O460" t="n">
        <v>0</v>
      </c>
      <c r="P460" t="n">
        <v>0</v>
      </c>
      <c r="Q460" t="n">
        <v>0</v>
      </c>
      <c r="R460" s="2" t="inlineStr"/>
    </row>
    <row r="461" ht="15" customHeight="1">
      <c r="A461" t="inlineStr">
        <is>
          <t>A 25418-2023</t>
        </is>
      </c>
      <c r="B461" s="1" t="n">
        <v>45089</v>
      </c>
      <c r="C461" s="1" t="n">
        <v>45901</v>
      </c>
      <c r="D461" t="inlineStr">
        <is>
          <t>ÖSTERGÖTLANDS LÄN</t>
        </is>
      </c>
      <c r="E461" t="inlineStr">
        <is>
          <t>LINKÖPING</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60007-2022</t>
        </is>
      </c>
      <c r="B462" s="1" t="n">
        <v>44909.47282407407</v>
      </c>
      <c r="C462" s="1" t="n">
        <v>45901</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38046-2025</t>
        </is>
      </c>
      <c r="B463" s="1" t="n">
        <v>45882.39939814815</v>
      </c>
      <c r="C463" s="1" t="n">
        <v>45901</v>
      </c>
      <c r="D463" t="inlineStr">
        <is>
          <t>ÖSTERGÖTLANDS LÄN</t>
        </is>
      </c>
      <c r="E463" t="inlineStr">
        <is>
          <t>LINKÖPING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11601-2023</t>
        </is>
      </c>
      <c r="B464" s="1" t="n">
        <v>44994</v>
      </c>
      <c r="C464" s="1" t="n">
        <v>45901</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60001-2022</t>
        </is>
      </c>
      <c r="B465" s="1" t="n">
        <v>44909.47087962963</v>
      </c>
      <c r="C465" s="1" t="n">
        <v>45901</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39457-2023</t>
        </is>
      </c>
      <c r="B466" s="1" t="n">
        <v>45166</v>
      </c>
      <c r="C466" s="1" t="n">
        <v>45901</v>
      </c>
      <c r="D466" t="inlineStr">
        <is>
          <t>ÖSTERGÖTLANDS LÄN</t>
        </is>
      </c>
      <c r="E466" t="inlineStr">
        <is>
          <t>LINKÖPING</t>
        </is>
      </c>
      <c r="G466" t="n">
        <v>2.1</v>
      </c>
      <c r="H466" t="n">
        <v>0</v>
      </c>
      <c r="I466" t="n">
        <v>0</v>
      </c>
      <c r="J466" t="n">
        <v>0</v>
      </c>
      <c r="K466" t="n">
        <v>0</v>
      </c>
      <c r="L466" t="n">
        <v>0</v>
      </c>
      <c r="M466" t="n">
        <v>0</v>
      </c>
      <c r="N466" t="n">
        <v>0</v>
      </c>
      <c r="O466" t="n">
        <v>0</v>
      </c>
      <c r="P466" t="n">
        <v>0</v>
      </c>
      <c r="Q466" t="n">
        <v>0</v>
      </c>
      <c r="R466" s="2" t="inlineStr"/>
    </row>
    <row r="467" ht="15" customHeight="1">
      <c r="A467" t="inlineStr">
        <is>
          <t>A 1657-2024</t>
        </is>
      </c>
      <c r="B467" s="1" t="n">
        <v>45306.82501157407</v>
      </c>
      <c r="C467" s="1" t="n">
        <v>45901</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30976-2022</t>
        </is>
      </c>
      <c r="B468" s="1" t="n">
        <v>44768</v>
      </c>
      <c r="C468" s="1" t="n">
        <v>45901</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30860-2022</t>
        </is>
      </c>
      <c r="B469" s="1" t="n">
        <v>44767</v>
      </c>
      <c r="C469" s="1" t="n">
        <v>45901</v>
      </c>
      <c r="D469" t="inlineStr">
        <is>
          <t>ÖSTERGÖTLANDS LÄN</t>
        </is>
      </c>
      <c r="E469" t="inlineStr">
        <is>
          <t>LINKÖPING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48186-2022</t>
        </is>
      </c>
      <c r="B470" s="1" t="n">
        <v>44858</v>
      </c>
      <c r="C470" s="1" t="n">
        <v>45901</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33947-2025</t>
        </is>
      </c>
      <c r="B471" s="1" t="n">
        <v>45842.65444444444</v>
      </c>
      <c r="C471" s="1" t="n">
        <v>45901</v>
      </c>
      <c r="D471" t="inlineStr">
        <is>
          <t>ÖSTERGÖTLANDS LÄN</t>
        </is>
      </c>
      <c r="E471" t="inlineStr">
        <is>
          <t>LINKÖPING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28266-2024</t>
        </is>
      </c>
      <c r="B472" s="1" t="n">
        <v>45477.43600694444</v>
      </c>
      <c r="C472" s="1" t="n">
        <v>45901</v>
      </c>
      <c r="D472" t="inlineStr">
        <is>
          <t>ÖSTERGÖTLANDS LÄN</t>
        </is>
      </c>
      <c r="E472" t="inlineStr">
        <is>
          <t>LINKÖPING</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61227-2024</t>
        </is>
      </c>
      <c r="B473" s="1" t="n">
        <v>45645.66853009259</v>
      </c>
      <c r="C473" s="1" t="n">
        <v>45901</v>
      </c>
      <c r="D473" t="inlineStr">
        <is>
          <t>ÖSTERGÖTLANDS LÄN</t>
        </is>
      </c>
      <c r="E473" t="inlineStr">
        <is>
          <t>LINKÖPING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31548-2022</t>
        </is>
      </c>
      <c r="B474" s="1" t="n">
        <v>44775.39832175926</v>
      </c>
      <c r="C474" s="1" t="n">
        <v>45901</v>
      </c>
      <c r="D474" t="inlineStr">
        <is>
          <t>ÖSTERGÖTLANDS LÄN</t>
        </is>
      </c>
      <c r="E474" t="inlineStr">
        <is>
          <t>LINKÖPING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1260-2023</t>
        </is>
      </c>
      <c r="B475" s="1" t="n">
        <v>44936</v>
      </c>
      <c r="C475" s="1" t="n">
        <v>45901</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7702-2023</t>
        </is>
      </c>
      <c r="B476" s="1" t="n">
        <v>44967</v>
      </c>
      <c r="C476" s="1" t="n">
        <v>45901</v>
      </c>
      <c r="D476" t="inlineStr">
        <is>
          <t>ÖSTERGÖTLANDS LÄN</t>
        </is>
      </c>
      <c r="E476" t="inlineStr">
        <is>
          <t>LINKÖPING</t>
        </is>
      </c>
      <c r="F476" t="inlineStr">
        <is>
          <t>Övriga statliga verk och myndigheter</t>
        </is>
      </c>
      <c r="G476" t="n">
        <v>8</v>
      </c>
      <c r="H476" t="n">
        <v>0</v>
      </c>
      <c r="I476" t="n">
        <v>0</v>
      </c>
      <c r="J476" t="n">
        <v>0</v>
      </c>
      <c r="K476" t="n">
        <v>0</v>
      </c>
      <c r="L476" t="n">
        <v>0</v>
      </c>
      <c r="M476" t="n">
        <v>0</v>
      </c>
      <c r="N476" t="n">
        <v>0</v>
      </c>
      <c r="O476" t="n">
        <v>0</v>
      </c>
      <c r="P476" t="n">
        <v>0</v>
      </c>
      <c r="Q476" t="n">
        <v>0</v>
      </c>
      <c r="R476" s="2" t="inlineStr"/>
    </row>
    <row r="477" ht="15" customHeight="1">
      <c r="A477" t="inlineStr">
        <is>
          <t>A 45506-2020</t>
        </is>
      </c>
      <c r="B477" s="1" t="n">
        <v>44089</v>
      </c>
      <c r="C477" s="1" t="n">
        <v>45901</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1211-2023</t>
        </is>
      </c>
      <c r="B478" s="1" t="n">
        <v>44930</v>
      </c>
      <c r="C478" s="1" t="n">
        <v>45901</v>
      </c>
      <c r="D478" t="inlineStr">
        <is>
          <t>ÖSTERGÖTLANDS LÄN</t>
        </is>
      </c>
      <c r="E478" t="inlineStr">
        <is>
          <t>LINKÖPING</t>
        </is>
      </c>
      <c r="F478" t="inlineStr">
        <is>
          <t>Övriga statliga verk och myndigheter</t>
        </is>
      </c>
      <c r="G478" t="n">
        <v>7.9</v>
      </c>
      <c r="H478" t="n">
        <v>0</v>
      </c>
      <c r="I478" t="n">
        <v>0</v>
      </c>
      <c r="J478" t="n">
        <v>0</v>
      </c>
      <c r="K478" t="n">
        <v>0</v>
      </c>
      <c r="L478" t="n">
        <v>0</v>
      </c>
      <c r="M478" t="n">
        <v>0</v>
      </c>
      <c r="N478" t="n">
        <v>0</v>
      </c>
      <c r="O478" t="n">
        <v>0</v>
      </c>
      <c r="P478" t="n">
        <v>0</v>
      </c>
      <c r="Q478" t="n">
        <v>0</v>
      </c>
      <c r="R478" s="2" t="inlineStr"/>
    </row>
    <row r="479" ht="15" customHeight="1">
      <c r="A479" t="inlineStr">
        <is>
          <t>A 51191-2022</t>
        </is>
      </c>
      <c r="B479" s="1" t="n">
        <v>44865</v>
      </c>
      <c r="C479" s="1" t="n">
        <v>45901</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674-2024</t>
        </is>
      </c>
      <c r="B480" s="1" t="n">
        <v>45300.34408564815</v>
      </c>
      <c r="C480" s="1" t="n">
        <v>45901</v>
      </c>
      <c r="D480" t="inlineStr">
        <is>
          <t>ÖSTERGÖTLANDS LÄN</t>
        </is>
      </c>
      <c r="E480" t="inlineStr">
        <is>
          <t>LINKÖPING</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63684-2023</t>
        </is>
      </c>
      <c r="B481" s="1" t="n">
        <v>45275</v>
      </c>
      <c r="C481" s="1" t="n">
        <v>45901</v>
      </c>
      <c r="D481" t="inlineStr">
        <is>
          <t>ÖSTERGÖTLANDS LÄN</t>
        </is>
      </c>
      <c r="E481" t="inlineStr">
        <is>
          <t>LINKÖPING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167-2024</t>
        </is>
      </c>
      <c r="B482" s="1" t="n">
        <v>45294</v>
      </c>
      <c r="C482" s="1" t="n">
        <v>45901</v>
      </c>
      <c r="D482" t="inlineStr">
        <is>
          <t>ÖSTERGÖTLANDS LÄN</t>
        </is>
      </c>
      <c r="E482" t="inlineStr">
        <is>
          <t>LINKÖPING</t>
        </is>
      </c>
      <c r="F482" t="inlineStr">
        <is>
          <t>Allmännings- och besparingsskogar</t>
        </is>
      </c>
      <c r="G482" t="n">
        <v>11.6</v>
      </c>
      <c r="H482" t="n">
        <v>0</v>
      </c>
      <c r="I482" t="n">
        <v>0</v>
      </c>
      <c r="J482" t="n">
        <v>0</v>
      </c>
      <c r="K482" t="n">
        <v>0</v>
      </c>
      <c r="L482" t="n">
        <v>0</v>
      </c>
      <c r="M482" t="n">
        <v>0</v>
      </c>
      <c r="N482" t="n">
        <v>0</v>
      </c>
      <c r="O482" t="n">
        <v>0</v>
      </c>
      <c r="P482" t="n">
        <v>0</v>
      </c>
      <c r="Q482" t="n">
        <v>0</v>
      </c>
      <c r="R482" s="2" t="inlineStr"/>
    </row>
    <row r="483" ht="15" customHeight="1">
      <c r="A483" t="inlineStr">
        <is>
          <t>A 36725-2023</t>
        </is>
      </c>
      <c r="B483" s="1" t="n">
        <v>45153.68471064815</v>
      </c>
      <c r="C483" s="1" t="n">
        <v>45901</v>
      </c>
      <c r="D483" t="inlineStr">
        <is>
          <t>ÖSTERGÖTLANDS LÄN</t>
        </is>
      </c>
      <c r="E483" t="inlineStr">
        <is>
          <t>LINKÖPING</t>
        </is>
      </c>
      <c r="F483" t="inlineStr">
        <is>
          <t>Allmännings- och besparingsskogar</t>
        </is>
      </c>
      <c r="G483" t="n">
        <v>2.6</v>
      </c>
      <c r="H483" t="n">
        <v>0</v>
      </c>
      <c r="I483" t="n">
        <v>0</v>
      </c>
      <c r="J483" t="n">
        <v>0</v>
      </c>
      <c r="K483" t="n">
        <v>0</v>
      </c>
      <c r="L483" t="n">
        <v>0</v>
      </c>
      <c r="M483" t="n">
        <v>0</v>
      </c>
      <c r="N483" t="n">
        <v>0</v>
      </c>
      <c r="O483" t="n">
        <v>0</v>
      </c>
      <c r="P483" t="n">
        <v>0</v>
      </c>
      <c r="Q483" t="n">
        <v>0</v>
      </c>
      <c r="R483" s="2" t="inlineStr"/>
    </row>
    <row r="484" ht="15" customHeight="1">
      <c r="A484" t="inlineStr">
        <is>
          <t>A 62012-2024</t>
        </is>
      </c>
      <c r="B484" s="1" t="n">
        <v>45655.79679398148</v>
      </c>
      <c r="C484" s="1" t="n">
        <v>45901</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55632-2022</t>
        </is>
      </c>
      <c r="B485" s="1" t="n">
        <v>44888</v>
      </c>
      <c r="C485" s="1" t="n">
        <v>45901</v>
      </c>
      <c r="D485" t="inlineStr">
        <is>
          <t>ÖSTERGÖTLANDS LÄN</t>
        </is>
      </c>
      <c r="E485" t="inlineStr">
        <is>
          <t>LINKÖPING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27343-2023</t>
        </is>
      </c>
      <c r="B486" s="1" t="n">
        <v>45096</v>
      </c>
      <c r="C486" s="1" t="n">
        <v>45901</v>
      </c>
      <c r="D486" t="inlineStr">
        <is>
          <t>ÖSTERGÖTLANDS LÄN</t>
        </is>
      </c>
      <c r="E486" t="inlineStr">
        <is>
          <t>LINKÖPING</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42697-2020</t>
        </is>
      </c>
      <c r="B487" s="1" t="n">
        <v>44077</v>
      </c>
      <c r="C487" s="1" t="n">
        <v>45901</v>
      </c>
      <c r="D487" t="inlineStr">
        <is>
          <t>ÖSTERGÖTLANDS LÄN</t>
        </is>
      </c>
      <c r="E487" t="inlineStr">
        <is>
          <t>LINKÖPING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39074-2025</t>
        </is>
      </c>
      <c r="B488" s="1" t="n">
        <v>45888</v>
      </c>
      <c r="C488" s="1" t="n">
        <v>45901</v>
      </c>
      <c r="D488" t="inlineStr">
        <is>
          <t>ÖSTERGÖTLANDS LÄN</t>
        </is>
      </c>
      <c r="E488" t="inlineStr">
        <is>
          <t>LINKÖPING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22774-2024</t>
        </is>
      </c>
      <c r="B489" s="1" t="n">
        <v>45448.46924768519</v>
      </c>
      <c r="C489" s="1" t="n">
        <v>45901</v>
      </c>
      <c r="D489" t="inlineStr">
        <is>
          <t>ÖSTERGÖTLANDS LÄN</t>
        </is>
      </c>
      <c r="E489" t="inlineStr">
        <is>
          <t>LINKÖPING</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22778-2024</t>
        </is>
      </c>
      <c r="B490" s="1" t="n">
        <v>45448.47233796296</v>
      </c>
      <c r="C490" s="1" t="n">
        <v>45901</v>
      </c>
      <c r="D490" t="inlineStr">
        <is>
          <t>ÖSTERGÖTLANDS LÄN</t>
        </is>
      </c>
      <c r="E490" t="inlineStr">
        <is>
          <t>LINKÖPING</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53529-2024</t>
        </is>
      </c>
      <c r="B491" s="1" t="n">
        <v>45614</v>
      </c>
      <c r="C491" s="1" t="n">
        <v>45901</v>
      </c>
      <c r="D491" t="inlineStr">
        <is>
          <t>ÖSTERGÖTLANDS LÄN</t>
        </is>
      </c>
      <c r="E491" t="inlineStr">
        <is>
          <t>LINKÖPING</t>
        </is>
      </c>
      <c r="G491" t="n">
        <v>6.7</v>
      </c>
      <c r="H491" t="n">
        <v>0</v>
      </c>
      <c r="I491" t="n">
        <v>0</v>
      </c>
      <c r="J491" t="n">
        <v>0</v>
      </c>
      <c r="K491" t="n">
        <v>0</v>
      </c>
      <c r="L491" t="n">
        <v>0</v>
      </c>
      <c r="M491" t="n">
        <v>0</v>
      </c>
      <c r="N491" t="n">
        <v>0</v>
      </c>
      <c r="O491" t="n">
        <v>0</v>
      </c>
      <c r="P491" t="n">
        <v>0</v>
      </c>
      <c r="Q491" t="n">
        <v>0</v>
      </c>
      <c r="R491" s="2" t="inlineStr"/>
    </row>
    <row r="492" ht="15" customHeight="1">
      <c r="A492" t="inlineStr">
        <is>
          <t>A 63669-2023</t>
        </is>
      </c>
      <c r="B492" s="1" t="n">
        <v>45275</v>
      </c>
      <c r="C492" s="1" t="n">
        <v>45901</v>
      </c>
      <c r="D492" t="inlineStr">
        <is>
          <t>ÖSTERGÖTLANDS LÄN</t>
        </is>
      </c>
      <c r="E492" t="inlineStr">
        <is>
          <t>LINKÖPING</t>
        </is>
      </c>
      <c r="F492" t="inlineStr">
        <is>
          <t>Övriga Aktiebolag</t>
        </is>
      </c>
      <c r="G492" t="n">
        <v>3</v>
      </c>
      <c r="H492" t="n">
        <v>0</v>
      </c>
      <c r="I492" t="n">
        <v>0</v>
      </c>
      <c r="J492" t="n">
        <v>0</v>
      </c>
      <c r="K492" t="n">
        <v>0</v>
      </c>
      <c r="L492" t="n">
        <v>0</v>
      </c>
      <c r="M492" t="n">
        <v>0</v>
      </c>
      <c r="N492" t="n">
        <v>0</v>
      </c>
      <c r="O492" t="n">
        <v>0</v>
      </c>
      <c r="P492" t="n">
        <v>0</v>
      </c>
      <c r="Q492" t="n">
        <v>0</v>
      </c>
      <c r="R492" s="2" t="inlineStr"/>
    </row>
    <row r="493" ht="15" customHeight="1">
      <c r="A493" t="inlineStr">
        <is>
          <t>A 12289-2025</t>
        </is>
      </c>
      <c r="B493" s="1" t="n">
        <v>45729</v>
      </c>
      <c r="C493" s="1" t="n">
        <v>45901</v>
      </c>
      <c r="D493" t="inlineStr">
        <is>
          <t>ÖSTERGÖTLANDS LÄN</t>
        </is>
      </c>
      <c r="E493" t="inlineStr">
        <is>
          <t>LINKÖPING</t>
        </is>
      </c>
      <c r="F493" t="inlineStr">
        <is>
          <t>Övriga statliga verk och myndigheter</t>
        </is>
      </c>
      <c r="G493" t="n">
        <v>6.5</v>
      </c>
      <c r="H493" t="n">
        <v>0</v>
      </c>
      <c r="I493" t="n">
        <v>0</v>
      </c>
      <c r="J493" t="n">
        <v>0</v>
      </c>
      <c r="K493" t="n">
        <v>0</v>
      </c>
      <c r="L493" t="n">
        <v>0</v>
      </c>
      <c r="M493" t="n">
        <v>0</v>
      </c>
      <c r="N493" t="n">
        <v>0</v>
      </c>
      <c r="O493" t="n">
        <v>0</v>
      </c>
      <c r="P493" t="n">
        <v>0</v>
      </c>
      <c r="Q493" t="n">
        <v>0</v>
      </c>
      <c r="R493" s="2" t="inlineStr"/>
    </row>
    <row r="494" ht="15" customHeight="1">
      <c r="A494" t="inlineStr">
        <is>
          <t>A 34864-2023</t>
        </is>
      </c>
      <c r="B494" s="1" t="n">
        <v>45141</v>
      </c>
      <c r="C494" s="1" t="n">
        <v>45901</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36657-2023</t>
        </is>
      </c>
      <c r="B495" s="1" t="n">
        <v>45153.5702662037</v>
      </c>
      <c r="C495" s="1" t="n">
        <v>45901</v>
      </c>
      <c r="D495" t="inlineStr">
        <is>
          <t>ÖSTERGÖTLANDS LÄN</t>
        </is>
      </c>
      <c r="E495" t="inlineStr">
        <is>
          <t>LINKÖPING</t>
        </is>
      </c>
      <c r="F495" t="inlineStr">
        <is>
          <t>Allmännings- och besparingsskogar</t>
        </is>
      </c>
      <c r="G495" t="n">
        <v>2</v>
      </c>
      <c r="H495" t="n">
        <v>0</v>
      </c>
      <c r="I495" t="n">
        <v>0</v>
      </c>
      <c r="J495" t="n">
        <v>0</v>
      </c>
      <c r="K495" t="n">
        <v>0</v>
      </c>
      <c r="L495" t="n">
        <v>0</v>
      </c>
      <c r="M495" t="n">
        <v>0</v>
      </c>
      <c r="N495" t="n">
        <v>0</v>
      </c>
      <c r="O495" t="n">
        <v>0</v>
      </c>
      <c r="P495" t="n">
        <v>0</v>
      </c>
      <c r="Q495" t="n">
        <v>0</v>
      </c>
      <c r="R495" s="2" t="inlineStr"/>
    </row>
    <row r="496" ht="15" customHeight="1">
      <c r="A496" t="inlineStr">
        <is>
          <t>A 38971-2025</t>
        </is>
      </c>
      <c r="B496" s="1" t="n">
        <v>45887.71827546296</v>
      </c>
      <c r="C496" s="1" t="n">
        <v>45901</v>
      </c>
      <c r="D496" t="inlineStr">
        <is>
          <t>ÖSTERGÖTLANDS LÄN</t>
        </is>
      </c>
      <c r="E496" t="inlineStr">
        <is>
          <t>LINKÖPING</t>
        </is>
      </c>
      <c r="G496" t="n">
        <v>3.9</v>
      </c>
      <c r="H496" t="n">
        <v>0</v>
      </c>
      <c r="I496" t="n">
        <v>0</v>
      </c>
      <c r="J496" t="n">
        <v>0</v>
      </c>
      <c r="K496" t="n">
        <v>0</v>
      </c>
      <c r="L496" t="n">
        <v>0</v>
      </c>
      <c r="M496" t="n">
        <v>0</v>
      </c>
      <c r="N496" t="n">
        <v>0</v>
      </c>
      <c r="O496" t="n">
        <v>0</v>
      </c>
      <c r="P496" t="n">
        <v>0</v>
      </c>
      <c r="Q496" t="n">
        <v>0</v>
      </c>
      <c r="R496" s="2" t="inlineStr"/>
    </row>
    <row r="497" ht="15" customHeight="1">
      <c r="A497" t="inlineStr">
        <is>
          <t>A 52531-2023</t>
        </is>
      </c>
      <c r="B497" s="1" t="n">
        <v>45225</v>
      </c>
      <c r="C497" s="1" t="n">
        <v>45901</v>
      </c>
      <c r="D497" t="inlineStr">
        <is>
          <t>ÖSTERGÖTLANDS LÄN</t>
        </is>
      </c>
      <c r="E497" t="inlineStr">
        <is>
          <t>LINKÖPING</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19169-2023</t>
        </is>
      </c>
      <c r="B498" s="1" t="n">
        <v>45044</v>
      </c>
      <c r="C498" s="1" t="n">
        <v>45901</v>
      </c>
      <c r="D498" t="inlineStr">
        <is>
          <t>ÖSTERGÖTLANDS LÄN</t>
        </is>
      </c>
      <c r="E498" t="inlineStr">
        <is>
          <t>LINKÖPING</t>
        </is>
      </c>
      <c r="G498" t="n">
        <v>2.7</v>
      </c>
      <c r="H498" t="n">
        <v>0</v>
      </c>
      <c r="I498" t="n">
        <v>0</v>
      </c>
      <c r="J498" t="n">
        <v>0</v>
      </c>
      <c r="K498" t="n">
        <v>0</v>
      </c>
      <c r="L498" t="n">
        <v>0</v>
      </c>
      <c r="M498" t="n">
        <v>0</v>
      </c>
      <c r="N498" t="n">
        <v>0</v>
      </c>
      <c r="O498" t="n">
        <v>0</v>
      </c>
      <c r="P498" t="n">
        <v>0</v>
      </c>
      <c r="Q498" t="n">
        <v>0</v>
      </c>
      <c r="R498" s="2" t="inlineStr"/>
    </row>
    <row r="499" ht="15" customHeight="1">
      <c r="A499" t="inlineStr">
        <is>
          <t>A 34930-2023</t>
        </is>
      </c>
      <c r="B499" s="1" t="n">
        <v>45142</v>
      </c>
      <c r="C499" s="1" t="n">
        <v>45901</v>
      </c>
      <c r="D499" t="inlineStr">
        <is>
          <t>ÖSTERGÖTLANDS LÄN</t>
        </is>
      </c>
      <c r="E499" t="inlineStr">
        <is>
          <t>LINKÖPING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1209-2023</t>
        </is>
      </c>
      <c r="B500" s="1" t="n">
        <v>44930</v>
      </c>
      <c r="C500" s="1" t="n">
        <v>45901</v>
      </c>
      <c r="D500" t="inlineStr">
        <is>
          <t>ÖSTERGÖTLANDS LÄN</t>
        </is>
      </c>
      <c r="E500" t="inlineStr">
        <is>
          <t>LINKÖPING</t>
        </is>
      </c>
      <c r="F500" t="inlineStr">
        <is>
          <t>Övriga statliga verk och myndigheter</t>
        </is>
      </c>
      <c r="G500" t="n">
        <v>25.8</v>
      </c>
      <c r="H500" t="n">
        <v>0</v>
      </c>
      <c r="I500" t="n">
        <v>0</v>
      </c>
      <c r="J500" t="n">
        <v>0</v>
      </c>
      <c r="K500" t="n">
        <v>0</v>
      </c>
      <c r="L500" t="n">
        <v>0</v>
      </c>
      <c r="M500" t="n">
        <v>0</v>
      </c>
      <c r="N500" t="n">
        <v>0</v>
      </c>
      <c r="O500" t="n">
        <v>0</v>
      </c>
      <c r="P500" t="n">
        <v>0</v>
      </c>
      <c r="Q500" t="n">
        <v>0</v>
      </c>
      <c r="R500" s="2" t="inlineStr"/>
    </row>
    <row r="501" ht="15" customHeight="1">
      <c r="A501" t="inlineStr">
        <is>
          <t>A 30985-2022</t>
        </is>
      </c>
      <c r="B501" s="1" t="n">
        <v>44768</v>
      </c>
      <c r="C501" s="1" t="n">
        <v>45901</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20469-2025</t>
        </is>
      </c>
      <c r="B502" s="1" t="n">
        <v>45775</v>
      </c>
      <c r="C502" s="1" t="n">
        <v>45901</v>
      </c>
      <c r="D502" t="inlineStr">
        <is>
          <t>ÖSTERGÖTLANDS LÄN</t>
        </is>
      </c>
      <c r="E502" t="inlineStr">
        <is>
          <t>LINKÖPING</t>
        </is>
      </c>
      <c r="F502" t="inlineStr">
        <is>
          <t>Kyrkan</t>
        </is>
      </c>
      <c r="G502" t="n">
        <v>6.1</v>
      </c>
      <c r="H502" t="n">
        <v>0</v>
      </c>
      <c r="I502" t="n">
        <v>0</v>
      </c>
      <c r="J502" t="n">
        <v>0</v>
      </c>
      <c r="K502" t="n">
        <v>0</v>
      </c>
      <c r="L502" t="n">
        <v>0</v>
      </c>
      <c r="M502" t="n">
        <v>0</v>
      </c>
      <c r="N502" t="n">
        <v>0</v>
      </c>
      <c r="O502" t="n">
        <v>0</v>
      </c>
      <c r="P502" t="n">
        <v>0</v>
      </c>
      <c r="Q502" t="n">
        <v>0</v>
      </c>
      <c r="R502" s="2" t="inlineStr"/>
    </row>
    <row r="503" ht="15" customHeight="1">
      <c r="A503" t="inlineStr">
        <is>
          <t>A 2085-2024</t>
        </is>
      </c>
      <c r="B503" s="1" t="n">
        <v>45309</v>
      </c>
      <c r="C503" s="1" t="n">
        <v>45901</v>
      </c>
      <c r="D503" t="inlineStr">
        <is>
          <t>ÖSTERGÖTLANDS LÄN</t>
        </is>
      </c>
      <c r="E503" t="inlineStr">
        <is>
          <t>LINKÖPING</t>
        </is>
      </c>
      <c r="G503" t="n">
        <v>4.5</v>
      </c>
      <c r="H503" t="n">
        <v>0</v>
      </c>
      <c r="I503" t="n">
        <v>0</v>
      </c>
      <c r="J503" t="n">
        <v>0</v>
      </c>
      <c r="K503" t="n">
        <v>0</v>
      </c>
      <c r="L503" t="n">
        <v>0</v>
      </c>
      <c r="M503" t="n">
        <v>0</v>
      </c>
      <c r="N503" t="n">
        <v>0</v>
      </c>
      <c r="O503" t="n">
        <v>0</v>
      </c>
      <c r="P503" t="n">
        <v>0</v>
      </c>
      <c r="Q503" t="n">
        <v>0</v>
      </c>
      <c r="R503" s="2" t="inlineStr"/>
    </row>
    <row r="504" ht="15" customHeight="1">
      <c r="A504" t="inlineStr">
        <is>
          <t>A 39438-2025</t>
        </is>
      </c>
      <c r="B504" s="1" t="n">
        <v>45889.68641203704</v>
      </c>
      <c r="C504" s="1" t="n">
        <v>45901</v>
      </c>
      <c r="D504" t="inlineStr">
        <is>
          <t>ÖSTERGÖTLANDS LÄN</t>
        </is>
      </c>
      <c r="E504" t="inlineStr">
        <is>
          <t>LINKÖPING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48-2024</t>
        </is>
      </c>
      <c r="B505" s="1" t="n">
        <v>45293</v>
      </c>
      <c r="C505" s="1" t="n">
        <v>45901</v>
      </c>
      <c r="D505" t="inlineStr">
        <is>
          <t>ÖSTERGÖTLANDS LÄN</t>
        </is>
      </c>
      <c r="E505" t="inlineStr">
        <is>
          <t>LINKÖPING</t>
        </is>
      </c>
      <c r="G505" t="n">
        <v>4.6</v>
      </c>
      <c r="H505" t="n">
        <v>0</v>
      </c>
      <c r="I505" t="n">
        <v>0</v>
      </c>
      <c r="J505" t="n">
        <v>0</v>
      </c>
      <c r="K505" t="n">
        <v>0</v>
      </c>
      <c r="L505" t="n">
        <v>0</v>
      </c>
      <c r="M505" t="n">
        <v>0</v>
      </c>
      <c r="N505" t="n">
        <v>0</v>
      </c>
      <c r="O505" t="n">
        <v>0</v>
      </c>
      <c r="P505" t="n">
        <v>0</v>
      </c>
      <c r="Q505" t="n">
        <v>0</v>
      </c>
      <c r="R505" s="2" t="inlineStr"/>
    </row>
    <row r="506" ht="15" customHeight="1">
      <c r="A506" t="inlineStr">
        <is>
          <t>A 33800-2023</t>
        </is>
      </c>
      <c r="B506" s="1" t="n">
        <v>45121</v>
      </c>
      <c r="C506" s="1" t="n">
        <v>45901</v>
      </c>
      <c r="D506" t="inlineStr">
        <is>
          <t>ÖSTERGÖTLANDS LÄN</t>
        </is>
      </c>
      <c r="E506" t="inlineStr">
        <is>
          <t>LINKÖPING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47991-2023</t>
        </is>
      </c>
      <c r="B507" s="1" t="n">
        <v>45204.62655092592</v>
      </c>
      <c r="C507" s="1" t="n">
        <v>45901</v>
      </c>
      <c r="D507" t="inlineStr">
        <is>
          <t>ÖSTERGÖTLANDS LÄN</t>
        </is>
      </c>
      <c r="E507" t="inlineStr">
        <is>
          <t>LINKÖPING</t>
        </is>
      </c>
      <c r="F507" t="inlineStr">
        <is>
          <t>Allmännings- och besparingsskogar</t>
        </is>
      </c>
      <c r="G507" t="n">
        <v>7.3</v>
      </c>
      <c r="H507" t="n">
        <v>0</v>
      </c>
      <c r="I507" t="n">
        <v>0</v>
      </c>
      <c r="J507" t="n">
        <v>0</v>
      </c>
      <c r="K507" t="n">
        <v>0</v>
      </c>
      <c r="L507" t="n">
        <v>0</v>
      </c>
      <c r="M507" t="n">
        <v>0</v>
      </c>
      <c r="N507" t="n">
        <v>0</v>
      </c>
      <c r="O507" t="n">
        <v>0</v>
      </c>
      <c r="P507" t="n">
        <v>0</v>
      </c>
      <c r="Q507" t="n">
        <v>0</v>
      </c>
      <c r="R507" s="2" t="inlineStr"/>
    </row>
    <row r="508" ht="15" customHeight="1">
      <c r="A508" t="inlineStr">
        <is>
          <t>A 40169-2025</t>
        </is>
      </c>
      <c r="B508" s="1" t="n">
        <v>45894.62824074074</v>
      </c>
      <c r="C508" s="1" t="n">
        <v>45901</v>
      </c>
      <c r="D508" t="inlineStr">
        <is>
          <t>ÖSTERGÖTLANDS LÄN</t>
        </is>
      </c>
      <c r="E508" t="inlineStr">
        <is>
          <t>LINKÖPING</t>
        </is>
      </c>
      <c r="G508" t="n">
        <v>2.8</v>
      </c>
      <c r="H508" t="n">
        <v>0</v>
      </c>
      <c r="I508" t="n">
        <v>0</v>
      </c>
      <c r="J508" t="n">
        <v>0</v>
      </c>
      <c r="K508" t="n">
        <v>0</v>
      </c>
      <c r="L508" t="n">
        <v>0</v>
      </c>
      <c r="M508" t="n">
        <v>0</v>
      </c>
      <c r="N508" t="n">
        <v>0</v>
      </c>
      <c r="O508" t="n">
        <v>0</v>
      </c>
      <c r="P508" t="n">
        <v>0</v>
      </c>
      <c r="Q508" t="n">
        <v>0</v>
      </c>
      <c r="R508" s="2" t="inlineStr"/>
    </row>
    <row r="509" ht="15" customHeight="1">
      <c r="A509" t="inlineStr">
        <is>
          <t>A 56560-2023</t>
        </is>
      </c>
      <c r="B509" s="1" t="n">
        <v>45238</v>
      </c>
      <c r="C509" s="1" t="n">
        <v>45901</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25292-2021</t>
        </is>
      </c>
      <c r="B510" s="1" t="n">
        <v>44342</v>
      </c>
      <c r="C510" s="1" t="n">
        <v>45901</v>
      </c>
      <c r="D510" t="inlineStr">
        <is>
          <t>ÖSTERGÖTLANDS LÄN</t>
        </is>
      </c>
      <c r="E510" t="inlineStr">
        <is>
          <t>LINKÖPING</t>
        </is>
      </c>
      <c r="F510" t="inlineStr">
        <is>
          <t>Övriga Aktiebolag</t>
        </is>
      </c>
      <c r="G510" t="n">
        <v>12.8</v>
      </c>
      <c r="H510" t="n">
        <v>0</v>
      </c>
      <c r="I510" t="n">
        <v>0</v>
      </c>
      <c r="J510" t="n">
        <v>0</v>
      </c>
      <c r="K510" t="n">
        <v>0</v>
      </c>
      <c r="L510" t="n">
        <v>0</v>
      </c>
      <c r="M510" t="n">
        <v>0</v>
      </c>
      <c r="N510" t="n">
        <v>0</v>
      </c>
      <c r="O510" t="n">
        <v>0</v>
      </c>
      <c r="P510" t="n">
        <v>0</v>
      </c>
      <c r="Q510" t="n">
        <v>0</v>
      </c>
      <c r="R510" s="2" t="inlineStr"/>
    </row>
    <row r="511" ht="15" customHeight="1">
      <c r="A511" t="inlineStr">
        <is>
          <t>A 19132-2023</t>
        </is>
      </c>
      <c r="B511" s="1" t="n">
        <v>45048.54754629629</v>
      </c>
      <c r="C511" s="1" t="n">
        <v>45901</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59642-2024</t>
        </is>
      </c>
      <c r="B512" s="1" t="n">
        <v>45639.31511574074</v>
      </c>
      <c r="C512" s="1" t="n">
        <v>45901</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15748-2025</t>
        </is>
      </c>
      <c r="B513" s="1" t="n">
        <v>45748.55282407408</v>
      </c>
      <c r="C513" s="1" t="n">
        <v>45901</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31792-2021</t>
        </is>
      </c>
      <c r="B514" s="1" t="n">
        <v>44369</v>
      </c>
      <c r="C514" s="1" t="n">
        <v>45901</v>
      </c>
      <c r="D514" t="inlineStr">
        <is>
          <t>ÖSTERGÖTLANDS LÄN</t>
        </is>
      </c>
      <c r="E514" t="inlineStr">
        <is>
          <t>LINKÖPING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25097-2023</t>
        </is>
      </c>
      <c r="B515" s="1" t="n">
        <v>45086</v>
      </c>
      <c r="C515" s="1" t="n">
        <v>45901</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52412-2023</t>
        </is>
      </c>
      <c r="B516" s="1" t="n">
        <v>45225.27888888889</v>
      </c>
      <c r="C516" s="1" t="n">
        <v>45901</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35735-2023</t>
        </is>
      </c>
      <c r="B517" s="1" t="n">
        <v>45147</v>
      </c>
      <c r="C517" s="1" t="n">
        <v>45901</v>
      </c>
      <c r="D517" t="inlineStr">
        <is>
          <t>ÖSTERGÖTLANDS LÄN</t>
        </is>
      </c>
      <c r="E517" t="inlineStr">
        <is>
          <t>LINKÖPING</t>
        </is>
      </c>
      <c r="G517" t="n">
        <v>2.8</v>
      </c>
      <c r="H517" t="n">
        <v>0</v>
      </c>
      <c r="I517" t="n">
        <v>0</v>
      </c>
      <c r="J517" t="n">
        <v>0</v>
      </c>
      <c r="K517" t="n">
        <v>0</v>
      </c>
      <c r="L517" t="n">
        <v>0</v>
      </c>
      <c r="M517" t="n">
        <v>0</v>
      </c>
      <c r="N517" t="n">
        <v>0</v>
      </c>
      <c r="O517" t="n">
        <v>0</v>
      </c>
      <c r="P517" t="n">
        <v>0</v>
      </c>
      <c r="Q517" t="n">
        <v>0</v>
      </c>
      <c r="R517" s="2" t="inlineStr"/>
    </row>
    <row r="518" ht="15" customHeight="1">
      <c r="A518" t="inlineStr">
        <is>
          <t>A 16462-2021</t>
        </is>
      </c>
      <c r="B518" s="1" t="n">
        <v>44293</v>
      </c>
      <c r="C518" s="1" t="n">
        <v>45901</v>
      </c>
      <c r="D518" t="inlineStr">
        <is>
          <t>ÖSTERGÖTLANDS LÄN</t>
        </is>
      </c>
      <c r="E518" t="inlineStr">
        <is>
          <t>LINKÖPING</t>
        </is>
      </c>
      <c r="F518" t="inlineStr">
        <is>
          <t>Allmännings- och besparingsskogar</t>
        </is>
      </c>
      <c r="G518" t="n">
        <v>24.7</v>
      </c>
      <c r="H518" t="n">
        <v>0</v>
      </c>
      <c r="I518" t="n">
        <v>0</v>
      </c>
      <c r="J518" t="n">
        <v>0</v>
      </c>
      <c r="K518" t="n">
        <v>0</v>
      </c>
      <c r="L518" t="n">
        <v>0</v>
      </c>
      <c r="M518" t="n">
        <v>0</v>
      </c>
      <c r="N518" t="n">
        <v>0</v>
      </c>
      <c r="O518" t="n">
        <v>0</v>
      </c>
      <c r="P518" t="n">
        <v>0</v>
      </c>
      <c r="Q518" t="n">
        <v>0</v>
      </c>
      <c r="R518" s="2" t="inlineStr"/>
    </row>
    <row r="519" ht="15" customHeight="1">
      <c r="A519" t="inlineStr">
        <is>
          <t>A 35178-2025</t>
        </is>
      </c>
      <c r="B519" s="1" t="n">
        <v>45852.91939814815</v>
      </c>
      <c r="C519" s="1" t="n">
        <v>45901</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25776-2021</t>
        </is>
      </c>
      <c r="B520" s="1" t="n">
        <v>44343</v>
      </c>
      <c r="C520" s="1" t="n">
        <v>45901</v>
      </c>
      <c r="D520" t="inlineStr">
        <is>
          <t>ÖSTERGÖTLANDS LÄN</t>
        </is>
      </c>
      <c r="E520" t="inlineStr">
        <is>
          <t>LINKÖPING</t>
        </is>
      </c>
      <c r="G520" t="n">
        <v>2.6</v>
      </c>
      <c r="H520" t="n">
        <v>0</v>
      </c>
      <c r="I520" t="n">
        <v>0</v>
      </c>
      <c r="J520" t="n">
        <v>0</v>
      </c>
      <c r="K520" t="n">
        <v>0</v>
      </c>
      <c r="L520" t="n">
        <v>0</v>
      </c>
      <c r="M520" t="n">
        <v>0</v>
      </c>
      <c r="N520" t="n">
        <v>0</v>
      </c>
      <c r="O520" t="n">
        <v>0</v>
      </c>
      <c r="P520" t="n">
        <v>0</v>
      </c>
      <c r="Q520" t="n">
        <v>0</v>
      </c>
      <c r="R520" s="2" t="inlineStr"/>
    </row>
    <row r="521" ht="15" customHeight="1">
      <c r="A521" t="inlineStr">
        <is>
          <t>A 30856-2022</t>
        </is>
      </c>
      <c r="B521" s="1" t="n">
        <v>44767</v>
      </c>
      <c r="C521" s="1" t="n">
        <v>45901</v>
      </c>
      <c r="D521" t="inlineStr">
        <is>
          <t>ÖSTERGÖTLANDS LÄN</t>
        </is>
      </c>
      <c r="E521" t="inlineStr">
        <is>
          <t>LINKÖPING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62492-2023</t>
        </is>
      </c>
      <c r="B522" s="1" t="n">
        <v>45268.58987268519</v>
      </c>
      <c r="C522" s="1" t="n">
        <v>45901</v>
      </c>
      <c r="D522" t="inlineStr">
        <is>
          <t>ÖSTERGÖTLANDS LÄN</t>
        </is>
      </c>
      <c r="E522" t="inlineStr">
        <is>
          <t>LINKÖPING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35174-2025</t>
        </is>
      </c>
      <c r="B523" s="1" t="n">
        <v>45852.90648148148</v>
      </c>
      <c r="C523" s="1" t="n">
        <v>45901</v>
      </c>
      <c r="D523" t="inlineStr">
        <is>
          <t>ÖSTERGÖTLANDS LÄN</t>
        </is>
      </c>
      <c r="E523" t="inlineStr">
        <is>
          <t>LINKÖPING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19187-2021</t>
        </is>
      </c>
      <c r="B524" s="1" t="n">
        <v>44308</v>
      </c>
      <c r="C524" s="1" t="n">
        <v>45901</v>
      </c>
      <c r="D524" t="inlineStr">
        <is>
          <t>ÖSTERGÖTLANDS LÄN</t>
        </is>
      </c>
      <c r="E524" t="inlineStr">
        <is>
          <t>LINKÖPING</t>
        </is>
      </c>
      <c r="F524" t="inlineStr">
        <is>
          <t>Allmännings- och besparingsskogar</t>
        </is>
      </c>
      <c r="G524" t="n">
        <v>20</v>
      </c>
      <c r="H524" t="n">
        <v>0</v>
      </c>
      <c r="I524" t="n">
        <v>0</v>
      </c>
      <c r="J524" t="n">
        <v>0</v>
      </c>
      <c r="K524" t="n">
        <v>0</v>
      </c>
      <c r="L524" t="n">
        <v>0</v>
      </c>
      <c r="M524" t="n">
        <v>0</v>
      </c>
      <c r="N524" t="n">
        <v>0</v>
      </c>
      <c r="O524" t="n">
        <v>0</v>
      </c>
      <c r="P524" t="n">
        <v>0</v>
      </c>
      <c r="Q524" t="n">
        <v>0</v>
      </c>
      <c r="R524" s="2" t="inlineStr"/>
    </row>
    <row r="525" ht="15" customHeight="1">
      <c r="A525" t="inlineStr">
        <is>
          <t>A 26007-2025</t>
        </is>
      </c>
      <c r="B525" s="1" t="n">
        <v>45804.67081018518</v>
      </c>
      <c r="C525" s="1" t="n">
        <v>45901</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35179-2025</t>
        </is>
      </c>
      <c r="B526" s="1" t="n">
        <v>45852.93737268518</v>
      </c>
      <c r="C526" s="1" t="n">
        <v>45901</v>
      </c>
      <c r="D526" t="inlineStr">
        <is>
          <t>ÖSTERGÖTLANDS LÄN</t>
        </is>
      </c>
      <c r="E526" t="inlineStr">
        <is>
          <t>LINKÖPING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35180-2025</t>
        </is>
      </c>
      <c r="B527" s="1" t="n">
        <v>45852.9413425926</v>
      </c>
      <c r="C527" s="1" t="n">
        <v>45901</v>
      </c>
      <c r="D527" t="inlineStr">
        <is>
          <t>ÖSTERGÖTLANDS LÄN</t>
        </is>
      </c>
      <c r="E527" t="inlineStr">
        <is>
          <t>LINKÖPING</t>
        </is>
      </c>
      <c r="G527" t="n">
        <v>1.9</v>
      </c>
      <c r="H527" t="n">
        <v>0</v>
      </c>
      <c r="I527" t="n">
        <v>0</v>
      </c>
      <c r="J527" t="n">
        <v>0</v>
      </c>
      <c r="K527" t="n">
        <v>0</v>
      </c>
      <c r="L527" t="n">
        <v>0</v>
      </c>
      <c r="M527" t="n">
        <v>0</v>
      </c>
      <c r="N527" t="n">
        <v>0</v>
      </c>
      <c r="O527" t="n">
        <v>0</v>
      </c>
      <c r="P527" t="n">
        <v>0</v>
      </c>
      <c r="Q527" t="n">
        <v>0</v>
      </c>
      <c r="R527" s="2" t="inlineStr"/>
    </row>
    <row r="528" ht="15" customHeight="1">
      <c r="A528" t="inlineStr">
        <is>
          <t>A 38230-2023</t>
        </is>
      </c>
      <c r="B528" s="1" t="n">
        <v>45161.55373842592</v>
      </c>
      <c r="C528" s="1" t="n">
        <v>45901</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56756-2023</t>
        </is>
      </c>
      <c r="B529" s="1" t="n">
        <v>45244</v>
      </c>
      <c r="C529" s="1" t="n">
        <v>45901</v>
      </c>
      <c r="D529" t="inlineStr">
        <is>
          <t>ÖSTERGÖTLANDS LÄN</t>
        </is>
      </c>
      <c r="E529" t="inlineStr">
        <is>
          <t>LINKÖPING</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39219-2021</t>
        </is>
      </c>
      <c r="B530" s="1" t="n">
        <v>44413</v>
      </c>
      <c r="C530" s="1" t="n">
        <v>45901</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39224-2021</t>
        </is>
      </c>
      <c r="B531" s="1" t="n">
        <v>44413</v>
      </c>
      <c r="C531" s="1" t="n">
        <v>45901</v>
      </c>
      <c r="D531" t="inlineStr">
        <is>
          <t>ÖSTERGÖTLANDS LÄN</t>
        </is>
      </c>
      <c r="E531" t="inlineStr">
        <is>
          <t>LINKÖPING</t>
        </is>
      </c>
      <c r="G531" t="n">
        <v>2.1</v>
      </c>
      <c r="H531" t="n">
        <v>0</v>
      </c>
      <c r="I531" t="n">
        <v>0</v>
      </c>
      <c r="J531" t="n">
        <v>0</v>
      </c>
      <c r="K531" t="n">
        <v>0</v>
      </c>
      <c r="L531" t="n">
        <v>0</v>
      </c>
      <c r="M531" t="n">
        <v>0</v>
      </c>
      <c r="N531" t="n">
        <v>0</v>
      </c>
      <c r="O531" t="n">
        <v>0</v>
      </c>
      <c r="P531" t="n">
        <v>0</v>
      </c>
      <c r="Q531" t="n">
        <v>0</v>
      </c>
      <c r="R531" s="2" t="inlineStr"/>
    </row>
    <row r="532" ht="15" customHeight="1">
      <c r="A532" t="inlineStr">
        <is>
          <t>A 38886-2024</t>
        </is>
      </c>
      <c r="B532" s="1" t="n">
        <v>45547.66443287037</v>
      </c>
      <c r="C532" s="1" t="n">
        <v>45901</v>
      </c>
      <c r="D532" t="inlineStr">
        <is>
          <t>ÖSTERGÖTLANDS LÄN</t>
        </is>
      </c>
      <c r="E532" t="inlineStr">
        <is>
          <t>LINKÖPING</t>
        </is>
      </c>
      <c r="G532" t="n">
        <v>5.3</v>
      </c>
      <c r="H532" t="n">
        <v>0</v>
      </c>
      <c r="I532" t="n">
        <v>0</v>
      </c>
      <c r="J532" t="n">
        <v>0</v>
      </c>
      <c r="K532" t="n">
        <v>0</v>
      </c>
      <c r="L532" t="n">
        <v>0</v>
      </c>
      <c r="M532" t="n">
        <v>0</v>
      </c>
      <c r="N532" t="n">
        <v>0</v>
      </c>
      <c r="O532" t="n">
        <v>0</v>
      </c>
      <c r="P532" t="n">
        <v>0</v>
      </c>
      <c r="Q532" t="n">
        <v>0</v>
      </c>
      <c r="R532" s="2" t="inlineStr"/>
    </row>
    <row r="533" ht="15" customHeight="1">
      <c r="A533" t="inlineStr">
        <is>
          <t>A 11590-2023</t>
        </is>
      </c>
      <c r="B533" s="1" t="n">
        <v>44994.36689814815</v>
      </c>
      <c r="C533" s="1" t="n">
        <v>45901</v>
      </c>
      <c r="D533" t="inlineStr">
        <is>
          <t>ÖSTERGÖTLANDS LÄN</t>
        </is>
      </c>
      <c r="E533" t="inlineStr">
        <is>
          <t>LINKÖPING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29293-2025</t>
        </is>
      </c>
      <c r="B534" s="1" t="n">
        <v>45824</v>
      </c>
      <c r="C534" s="1" t="n">
        <v>45901</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43934-2023</t>
        </is>
      </c>
      <c r="B535" s="1" t="n">
        <v>45187</v>
      </c>
      <c r="C535" s="1" t="n">
        <v>45901</v>
      </c>
      <c r="D535" t="inlineStr">
        <is>
          <t>ÖSTERGÖTLANDS LÄN</t>
        </is>
      </c>
      <c r="E535" t="inlineStr">
        <is>
          <t>LINKÖPING</t>
        </is>
      </c>
      <c r="F535" t="inlineStr">
        <is>
          <t>Övriga Aktiebolag</t>
        </is>
      </c>
      <c r="G535" t="n">
        <v>3.8</v>
      </c>
      <c r="H535" t="n">
        <v>0</v>
      </c>
      <c r="I535" t="n">
        <v>0</v>
      </c>
      <c r="J535" t="n">
        <v>0</v>
      </c>
      <c r="K535" t="n">
        <v>0</v>
      </c>
      <c r="L535" t="n">
        <v>0</v>
      </c>
      <c r="M535" t="n">
        <v>0</v>
      </c>
      <c r="N535" t="n">
        <v>0</v>
      </c>
      <c r="O535" t="n">
        <v>0</v>
      </c>
      <c r="P535" t="n">
        <v>0</v>
      </c>
      <c r="Q535" t="n">
        <v>0</v>
      </c>
      <c r="R535" s="2" t="inlineStr"/>
    </row>
    <row r="536" ht="15" customHeight="1">
      <c r="A536" t="inlineStr">
        <is>
          <t>A 10461-2023</t>
        </is>
      </c>
      <c r="B536" s="1" t="n">
        <v>44987.5969212963</v>
      </c>
      <c r="C536" s="1" t="n">
        <v>45901</v>
      </c>
      <c r="D536" t="inlineStr">
        <is>
          <t>ÖSTERGÖTLANDS LÄN</t>
        </is>
      </c>
      <c r="E536" t="inlineStr">
        <is>
          <t>LINKÖPING</t>
        </is>
      </c>
      <c r="G536" t="n">
        <v>7.8</v>
      </c>
      <c r="H536" t="n">
        <v>0</v>
      </c>
      <c r="I536" t="n">
        <v>0</v>
      </c>
      <c r="J536" t="n">
        <v>0</v>
      </c>
      <c r="K536" t="n">
        <v>0</v>
      </c>
      <c r="L536" t="n">
        <v>0</v>
      </c>
      <c r="M536" t="n">
        <v>0</v>
      </c>
      <c r="N536" t="n">
        <v>0</v>
      </c>
      <c r="O536" t="n">
        <v>0</v>
      </c>
      <c r="P536" t="n">
        <v>0</v>
      </c>
      <c r="Q536" t="n">
        <v>0</v>
      </c>
      <c r="R536" s="2" t="inlineStr"/>
    </row>
    <row r="537" ht="15" customHeight="1">
      <c r="A537" t="inlineStr">
        <is>
          <t>A 41345-2021</t>
        </is>
      </c>
      <c r="B537" s="1" t="n">
        <v>44424.61851851852</v>
      </c>
      <c r="C537" s="1" t="n">
        <v>45901</v>
      </c>
      <c r="D537" t="inlineStr">
        <is>
          <t>ÖSTERGÖTLANDS LÄN</t>
        </is>
      </c>
      <c r="E537" t="inlineStr">
        <is>
          <t>LINKÖPING</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67129-2020</t>
        </is>
      </c>
      <c r="B538" s="1" t="n">
        <v>44180</v>
      </c>
      <c r="C538" s="1" t="n">
        <v>45901</v>
      </c>
      <c r="D538" t="inlineStr">
        <is>
          <t>ÖSTERGÖTLANDS LÄN</t>
        </is>
      </c>
      <c r="E538" t="inlineStr">
        <is>
          <t>LINKÖPING</t>
        </is>
      </c>
      <c r="F538" t="inlineStr">
        <is>
          <t>Övriga statliga verk och myndigheter</t>
        </is>
      </c>
      <c r="G538" t="n">
        <v>2.7</v>
      </c>
      <c r="H538" t="n">
        <v>0</v>
      </c>
      <c r="I538" t="n">
        <v>0</v>
      </c>
      <c r="J538" t="n">
        <v>0</v>
      </c>
      <c r="K538" t="n">
        <v>0</v>
      </c>
      <c r="L538" t="n">
        <v>0</v>
      </c>
      <c r="M538" t="n">
        <v>0</v>
      </c>
      <c r="N538" t="n">
        <v>0</v>
      </c>
      <c r="O538" t="n">
        <v>0</v>
      </c>
      <c r="P538" t="n">
        <v>0</v>
      </c>
      <c r="Q538" t="n">
        <v>0</v>
      </c>
      <c r="R538" s="2" t="inlineStr"/>
    </row>
    <row r="539" ht="15" customHeight="1">
      <c r="A539" t="inlineStr">
        <is>
          <t>A 7354-2025</t>
        </is>
      </c>
      <c r="B539" s="1" t="n">
        <v>45704.41174768518</v>
      </c>
      <c r="C539" s="1" t="n">
        <v>45901</v>
      </c>
      <c r="D539" t="inlineStr">
        <is>
          <t>ÖSTERGÖTLANDS LÄN</t>
        </is>
      </c>
      <c r="E539" t="inlineStr">
        <is>
          <t>LINKÖPING</t>
        </is>
      </c>
      <c r="G539" t="n">
        <v>4.8</v>
      </c>
      <c r="H539" t="n">
        <v>0</v>
      </c>
      <c r="I539" t="n">
        <v>0</v>
      </c>
      <c r="J539" t="n">
        <v>0</v>
      </c>
      <c r="K539" t="n">
        <v>0</v>
      </c>
      <c r="L539" t="n">
        <v>0</v>
      </c>
      <c r="M539" t="n">
        <v>0</v>
      </c>
      <c r="N539" t="n">
        <v>0</v>
      </c>
      <c r="O539" t="n">
        <v>0</v>
      </c>
      <c r="P539" t="n">
        <v>0</v>
      </c>
      <c r="Q539" t="n">
        <v>0</v>
      </c>
      <c r="R539" s="2" t="inlineStr"/>
    </row>
    <row r="540" ht="15" customHeight="1">
      <c r="A540" t="inlineStr">
        <is>
          <t>A 63935-2021</t>
        </is>
      </c>
      <c r="B540" s="1" t="n">
        <v>44509</v>
      </c>
      <c r="C540" s="1" t="n">
        <v>45901</v>
      </c>
      <c r="D540" t="inlineStr">
        <is>
          <t>ÖSTERGÖTLANDS LÄN</t>
        </is>
      </c>
      <c r="E540" t="inlineStr">
        <is>
          <t>LINKÖPING</t>
        </is>
      </c>
      <c r="F540" t="inlineStr">
        <is>
          <t>Övriga statliga verk och myndigheter</t>
        </is>
      </c>
      <c r="G540" t="n">
        <v>2.8</v>
      </c>
      <c r="H540" t="n">
        <v>0</v>
      </c>
      <c r="I540" t="n">
        <v>0</v>
      </c>
      <c r="J540" t="n">
        <v>0</v>
      </c>
      <c r="K540" t="n">
        <v>0</v>
      </c>
      <c r="L540" t="n">
        <v>0</v>
      </c>
      <c r="M540" t="n">
        <v>0</v>
      </c>
      <c r="N540" t="n">
        <v>0</v>
      </c>
      <c r="O540" t="n">
        <v>0</v>
      </c>
      <c r="P540" t="n">
        <v>0</v>
      </c>
      <c r="Q540" t="n">
        <v>0</v>
      </c>
      <c r="R540" s="2" t="inlineStr"/>
    </row>
    <row r="541" ht="15" customHeight="1">
      <c r="A541" t="inlineStr">
        <is>
          <t>A 40810-2022</t>
        </is>
      </c>
      <c r="B541" s="1" t="n">
        <v>44824</v>
      </c>
      <c r="C541" s="1" t="n">
        <v>45901</v>
      </c>
      <c r="D541" t="inlineStr">
        <is>
          <t>ÖSTERGÖTLANDS LÄN</t>
        </is>
      </c>
      <c r="E541" t="inlineStr">
        <is>
          <t>LINKÖPING</t>
        </is>
      </c>
      <c r="G541" t="n">
        <v>2.8</v>
      </c>
      <c r="H541" t="n">
        <v>0</v>
      </c>
      <c r="I541" t="n">
        <v>0</v>
      </c>
      <c r="J541" t="n">
        <v>0</v>
      </c>
      <c r="K541" t="n">
        <v>0</v>
      </c>
      <c r="L541" t="n">
        <v>0</v>
      </c>
      <c r="M541" t="n">
        <v>0</v>
      </c>
      <c r="N541" t="n">
        <v>0</v>
      </c>
      <c r="O541" t="n">
        <v>0</v>
      </c>
      <c r="P541" t="n">
        <v>0</v>
      </c>
      <c r="Q541" t="n">
        <v>0</v>
      </c>
      <c r="R541" s="2" t="inlineStr"/>
    </row>
    <row r="542" ht="15" customHeight="1">
      <c r="A542" t="inlineStr">
        <is>
          <t>A 61307-2021</t>
        </is>
      </c>
      <c r="B542" s="1" t="n">
        <v>44498.63928240741</v>
      </c>
      <c r="C542" s="1" t="n">
        <v>45901</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61325-2021</t>
        </is>
      </c>
      <c r="B543" s="1" t="n">
        <v>44498.66814814815</v>
      </c>
      <c r="C543" s="1" t="n">
        <v>45901</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60010-2022</t>
        </is>
      </c>
      <c r="B544" s="1" t="n">
        <v>44909.4740625</v>
      </c>
      <c r="C544" s="1" t="n">
        <v>45901</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55305-2020</t>
        </is>
      </c>
      <c r="B545" s="1" t="n">
        <v>44130</v>
      </c>
      <c r="C545" s="1" t="n">
        <v>45901</v>
      </c>
      <c r="D545" t="inlineStr">
        <is>
          <t>ÖSTERGÖTLANDS LÄN</t>
        </is>
      </c>
      <c r="E545" t="inlineStr">
        <is>
          <t>LINKÖPING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30518-2024</t>
        </is>
      </c>
      <c r="B546" s="1" t="n">
        <v>45492</v>
      </c>
      <c r="C546" s="1" t="n">
        <v>45901</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4908-2023</t>
        </is>
      </c>
      <c r="B547" s="1" t="n">
        <v>44958</v>
      </c>
      <c r="C547" s="1" t="n">
        <v>45901</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37715-2022</t>
        </is>
      </c>
      <c r="B548" s="1" t="n">
        <v>44810</v>
      </c>
      <c r="C548" s="1" t="n">
        <v>45901</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20298-2025</t>
        </is>
      </c>
      <c r="B549" s="1" t="n">
        <v>45774.75024305555</v>
      </c>
      <c r="C549" s="1" t="n">
        <v>45901</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14576-2023</t>
        </is>
      </c>
      <c r="B550" s="1" t="n">
        <v>45013</v>
      </c>
      <c r="C550" s="1" t="n">
        <v>45901</v>
      </c>
      <c r="D550" t="inlineStr">
        <is>
          <t>ÖSTERGÖTLANDS LÄN</t>
        </is>
      </c>
      <c r="E550" t="inlineStr">
        <is>
          <t>LINKÖPING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12089-2025</t>
        </is>
      </c>
      <c r="B551" s="1" t="n">
        <v>45729</v>
      </c>
      <c r="C551" s="1" t="n">
        <v>45901</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3742-2021</t>
        </is>
      </c>
      <c r="B552" s="1" t="n">
        <v>44221</v>
      </c>
      <c r="C552" s="1" t="n">
        <v>45901</v>
      </c>
      <c r="D552" t="inlineStr">
        <is>
          <t>ÖSTERGÖTLANDS LÄN</t>
        </is>
      </c>
      <c r="E552" t="inlineStr">
        <is>
          <t>LINKÖPING</t>
        </is>
      </c>
      <c r="G552" t="n">
        <v>5.5</v>
      </c>
      <c r="H552" t="n">
        <v>0</v>
      </c>
      <c r="I552" t="n">
        <v>0</v>
      </c>
      <c r="J552" t="n">
        <v>0</v>
      </c>
      <c r="K552" t="n">
        <v>0</v>
      </c>
      <c r="L552" t="n">
        <v>0</v>
      </c>
      <c r="M552" t="n">
        <v>0</v>
      </c>
      <c r="N552" t="n">
        <v>0</v>
      </c>
      <c r="O552" t="n">
        <v>0</v>
      </c>
      <c r="P552" t="n">
        <v>0</v>
      </c>
      <c r="Q552" t="n">
        <v>0</v>
      </c>
      <c r="R552" s="2" t="inlineStr"/>
    </row>
    <row r="553" ht="15" customHeight="1">
      <c r="A553" t="inlineStr">
        <is>
          <t>A 15307-2025</t>
        </is>
      </c>
      <c r="B553" s="1" t="n">
        <v>45746.70038194444</v>
      </c>
      <c r="C553" s="1" t="n">
        <v>45901</v>
      </c>
      <c r="D553" t="inlineStr">
        <is>
          <t>ÖSTERGÖTLANDS LÄN</t>
        </is>
      </c>
      <c r="E553" t="inlineStr">
        <is>
          <t>LINKÖPING</t>
        </is>
      </c>
      <c r="G553" t="n">
        <v>3.3</v>
      </c>
      <c r="H553" t="n">
        <v>0</v>
      </c>
      <c r="I553" t="n">
        <v>0</v>
      </c>
      <c r="J553" t="n">
        <v>0</v>
      </c>
      <c r="K553" t="n">
        <v>0</v>
      </c>
      <c r="L553" t="n">
        <v>0</v>
      </c>
      <c r="M553" t="n">
        <v>0</v>
      </c>
      <c r="N553" t="n">
        <v>0</v>
      </c>
      <c r="O553" t="n">
        <v>0</v>
      </c>
      <c r="P553" t="n">
        <v>0</v>
      </c>
      <c r="Q553" t="n">
        <v>0</v>
      </c>
      <c r="R553" s="2" t="inlineStr"/>
    </row>
    <row r="554" ht="15" customHeight="1">
      <c r="A554" t="inlineStr">
        <is>
          <t>A 3011-2023</t>
        </is>
      </c>
      <c r="B554" s="1" t="n">
        <v>44945</v>
      </c>
      <c r="C554" s="1" t="n">
        <v>45901</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59954-2020</t>
        </is>
      </c>
      <c r="B555" s="1" t="n">
        <v>44151</v>
      </c>
      <c r="C555" s="1" t="n">
        <v>45901</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59969-2020</t>
        </is>
      </c>
      <c r="B556" s="1" t="n">
        <v>44151</v>
      </c>
      <c r="C556" s="1" t="n">
        <v>45901</v>
      </c>
      <c r="D556" t="inlineStr">
        <is>
          <t>ÖSTERGÖTLANDS LÄN</t>
        </is>
      </c>
      <c r="E556" t="inlineStr">
        <is>
          <t>LINKÖPING</t>
        </is>
      </c>
      <c r="G556" t="n">
        <v>2.2</v>
      </c>
      <c r="H556" t="n">
        <v>0</v>
      </c>
      <c r="I556" t="n">
        <v>0</v>
      </c>
      <c r="J556" t="n">
        <v>0</v>
      </c>
      <c r="K556" t="n">
        <v>0</v>
      </c>
      <c r="L556" t="n">
        <v>0</v>
      </c>
      <c r="M556" t="n">
        <v>0</v>
      </c>
      <c r="N556" t="n">
        <v>0</v>
      </c>
      <c r="O556" t="n">
        <v>0</v>
      </c>
      <c r="P556" t="n">
        <v>0</v>
      </c>
      <c r="Q556" t="n">
        <v>0</v>
      </c>
      <c r="R556" s="2" t="inlineStr"/>
    </row>
    <row r="557" ht="15" customHeight="1">
      <c r="A557" t="inlineStr">
        <is>
          <t>A 45442-2024</t>
        </is>
      </c>
      <c r="B557" s="1" t="n">
        <v>45576.64189814815</v>
      </c>
      <c r="C557" s="1" t="n">
        <v>45901</v>
      </c>
      <c r="D557" t="inlineStr">
        <is>
          <t>ÖSTERGÖTLANDS LÄN</t>
        </is>
      </c>
      <c r="E557" t="inlineStr">
        <is>
          <t>LINKÖPING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3432-2023</t>
        </is>
      </c>
      <c r="B558" s="1" t="n">
        <v>44949</v>
      </c>
      <c r="C558" s="1" t="n">
        <v>45901</v>
      </c>
      <c r="D558" t="inlineStr">
        <is>
          <t>ÖSTERGÖTLANDS LÄN</t>
        </is>
      </c>
      <c r="E558" t="inlineStr">
        <is>
          <t>LINKÖPING</t>
        </is>
      </c>
      <c r="G558" t="n">
        <v>1.9</v>
      </c>
      <c r="H558" t="n">
        <v>0</v>
      </c>
      <c r="I558" t="n">
        <v>0</v>
      </c>
      <c r="J558" t="n">
        <v>0</v>
      </c>
      <c r="K558" t="n">
        <v>0</v>
      </c>
      <c r="L558" t="n">
        <v>0</v>
      </c>
      <c r="M558" t="n">
        <v>0</v>
      </c>
      <c r="N558" t="n">
        <v>0</v>
      </c>
      <c r="O558" t="n">
        <v>0</v>
      </c>
      <c r="P558" t="n">
        <v>0</v>
      </c>
      <c r="Q558" t="n">
        <v>0</v>
      </c>
      <c r="R558" s="2" t="inlineStr"/>
    </row>
    <row r="559" ht="15" customHeight="1">
      <c r="A559" t="inlineStr">
        <is>
          <t>A 1440-2021</t>
        </is>
      </c>
      <c r="B559" s="1" t="n">
        <v>44208</v>
      </c>
      <c r="C559" s="1" t="n">
        <v>45901</v>
      </c>
      <c r="D559" t="inlineStr">
        <is>
          <t>ÖSTERGÖTLANDS LÄN</t>
        </is>
      </c>
      <c r="E559" t="inlineStr">
        <is>
          <t>LINKÖPING</t>
        </is>
      </c>
      <c r="G559" t="n">
        <v>8.4</v>
      </c>
      <c r="H559" t="n">
        <v>0</v>
      </c>
      <c r="I559" t="n">
        <v>0</v>
      </c>
      <c r="J559" t="n">
        <v>0</v>
      </c>
      <c r="K559" t="n">
        <v>0</v>
      </c>
      <c r="L559" t="n">
        <v>0</v>
      </c>
      <c r="M559" t="n">
        <v>0</v>
      </c>
      <c r="N559" t="n">
        <v>0</v>
      </c>
      <c r="O559" t="n">
        <v>0</v>
      </c>
      <c r="P559" t="n">
        <v>0</v>
      </c>
      <c r="Q559" t="n">
        <v>0</v>
      </c>
      <c r="R559" s="2" t="inlineStr"/>
    </row>
    <row r="560" ht="15" customHeight="1">
      <c r="A560" t="inlineStr">
        <is>
          <t>A 60472-2022</t>
        </is>
      </c>
      <c r="B560" s="1" t="n">
        <v>44911.41037037037</v>
      </c>
      <c r="C560" s="1" t="n">
        <v>45901</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12720-2022</t>
        </is>
      </c>
      <c r="B561" s="1" t="n">
        <v>44641</v>
      </c>
      <c r="C561" s="1" t="n">
        <v>45901</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62321-2022</t>
        </is>
      </c>
      <c r="B562" s="1" t="n">
        <v>44916</v>
      </c>
      <c r="C562" s="1" t="n">
        <v>45901</v>
      </c>
      <c r="D562" t="inlineStr">
        <is>
          <t>ÖSTERGÖTLANDS LÄN</t>
        </is>
      </c>
      <c r="E562" t="inlineStr">
        <is>
          <t>LINKÖPING</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44739-2020</t>
        </is>
      </c>
      <c r="B563" s="1" t="n">
        <v>44085</v>
      </c>
      <c r="C563" s="1" t="n">
        <v>45901</v>
      </c>
      <c r="D563" t="inlineStr">
        <is>
          <t>ÖSTERGÖTLANDS LÄN</t>
        </is>
      </c>
      <c r="E563" t="inlineStr">
        <is>
          <t>LINKÖPING</t>
        </is>
      </c>
      <c r="G563" t="n">
        <v>5</v>
      </c>
      <c r="H563" t="n">
        <v>0</v>
      </c>
      <c r="I563" t="n">
        <v>0</v>
      </c>
      <c r="J563" t="n">
        <v>0</v>
      </c>
      <c r="K563" t="n">
        <v>0</v>
      </c>
      <c r="L563" t="n">
        <v>0</v>
      </c>
      <c r="M563" t="n">
        <v>0</v>
      </c>
      <c r="N563" t="n">
        <v>0</v>
      </c>
      <c r="O563" t="n">
        <v>0</v>
      </c>
      <c r="P563" t="n">
        <v>0</v>
      </c>
      <c r="Q563" t="n">
        <v>0</v>
      </c>
      <c r="R563" s="2" t="inlineStr"/>
    </row>
    <row r="564" ht="15" customHeight="1">
      <c r="A564" t="inlineStr">
        <is>
          <t>A 43475-2024</t>
        </is>
      </c>
      <c r="B564" s="1" t="n">
        <v>45568</v>
      </c>
      <c r="C564" s="1" t="n">
        <v>45901</v>
      </c>
      <c r="D564" t="inlineStr">
        <is>
          <t>ÖSTERGÖTLANDS LÄN</t>
        </is>
      </c>
      <c r="E564" t="inlineStr">
        <is>
          <t>LINKÖPING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47364-2020</t>
        </is>
      </c>
      <c r="B565" s="1" t="n">
        <v>44097</v>
      </c>
      <c r="C565" s="1" t="n">
        <v>45901</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17103-2025</t>
        </is>
      </c>
      <c r="B566" s="1" t="n">
        <v>45755.66143518518</v>
      </c>
      <c r="C566" s="1" t="n">
        <v>45901</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30551-2023</t>
        </is>
      </c>
      <c r="B567" s="1" t="n">
        <v>45111</v>
      </c>
      <c r="C567" s="1" t="n">
        <v>45901</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50784-2022</t>
        </is>
      </c>
      <c r="B568" s="1" t="n">
        <v>44862</v>
      </c>
      <c r="C568" s="1" t="n">
        <v>45901</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22043-2023</t>
        </is>
      </c>
      <c r="B569" s="1" t="n">
        <v>45069.39050925926</v>
      </c>
      <c r="C569" s="1" t="n">
        <v>45901</v>
      </c>
      <c r="D569" t="inlineStr">
        <is>
          <t>ÖSTERGÖTLANDS LÄN</t>
        </is>
      </c>
      <c r="E569" t="inlineStr">
        <is>
          <t>LINKÖPING</t>
        </is>
      </c>
      <c r="G569" t="n">
        <v>5.9</v>
      </c>
      <c r="H569" t="n">
        <v>0</v>
      </c>
      <c r="I569" t="n">
        <v>0</v>
      </c>
      <c r="J569" t="n">
        <v>0</v>
      </c>
      <c r="K569" t="n">
        <v>0</v>
      </c>
      <c r="L569" t="n">
        <v>0</v>
      </c>
      <c r="M569" t="n">
        <v>0</v>
      </c>
      <c r="N569" t="n">
        <v>0</v>
      </c>
      <c r="O569" t="n">
        <v>0</v>
      </c>
      <c r="P569" t="n">
        <v>0</v>
      </c>
      <c r="Q569" t="n">
        <v>0</v>
      </c>
      <c r="R569" s="2" t="inlineStr"/>
    </row>
    <row r="570" ht="15" customHeight="1">
      <c r="A570" t="inlineStr">
        <is>
          <t>A 45831-2024</t>
        </is>
      </c>
      <c r="B570" s="1" t="n">
        <v>45579.90508101852</v>
      </c>
      <c r="C570" s="1" t="n">
        <v>45901</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57396-2021</t>
        </is>
      </c>
      <c r="B571" s="1" t="n">
        <v>44483.56151620371</v>
      </c>
      <c r="C571" s="1" t="n">
        <v>45901</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22842-2023</t>
        </is>
      </c>
      <c r="B572" s="1" t="n">
        <v>45071</v>
      </c>
      <c r="C572" s="1" t="n">
        <v>45901</v>
      </c>
      <c r="D572" t="inlineStr">
        <is>
          <t>ÖSTERGÖTLANDS LÄN</t>
        </is>
      </c>
      <c r="E572" t="inlineStr">
        <is>
          <t>LINKÖPING</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50386-2021</t>
        </is>
      </c>
      <c r="B573" s="1" t="n">
        <v>44459</v>
      </c>
      <c r="C573" s="1" t="n">
        <v>45901</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35781-2023</t>
        </is>
      </c>
      <c r="B574" s="1" t="n">
        <v>45147</v>
      </c>
      <c r="C574" s="1" t="n">
        <v>45901</v>
      </c>
      <c r="D574" t="inlineStr">
        <is>
          <t>ÖSTERGÖTLANDS LÄN</t>
        </is>
      </c>
      <c r="E574" t="inlineStr">
        <is>
          <t>LINKÖPING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22770-2024</t>
        </is>
      </c>
      <c r="B575" s="1" t="n">
        <v>45448.4634375</v>
      </c>
      <c r="C575" s="1" t="n">
        <v>45901</v>
      </c>
      <c r="D575" t="inlineStr">
        <is>
          <t>ÖSTERGÖTLANDS LÄN</t>
        </is>
      </c>
      <c r="E575" t="inlineStr">
        <is>
          <t>LINKÖPING</t>
        </is>
      </c>
      <c r="F575" t="inlineStr">
        <is>
          <t>Sveaskog</t>
        </is>
      </c>
      <c r="G575" t="n">
        <v>3.4</v>
      </c>
      <c r="H575" t="n">
        <v>0</v>
      </c>
      <c r="I575" t="n">
        <v>0</v>
      </c>
      <c r="J575" t="n">
        <v>0</v>
      </c>
      <c r="K575" t="n">
        <v>0</v>
      </c>
      <c r="L575" t="n">
        <v>0</v>
      </c>
      <c r="M575" t="n">
        <v>0</v>
      </c>
      <c r="N575" t="n">
        <v>0</v>
      </c>
      <c r="O575" t="n">
        <v>0</v>
      </c>
      <c r="P575" t="n">
        <v>0</v>
      </c>
      <c r="Q575" t="n">
        <v>0</v>
      </c>
      <c r="R575" s="2" t="inlineStr"/>
    </row>
    <row r="576" ht="15" customHeight="1">
      <c r="A576" t="inlineStr">
        <is>
          <t>A 11671-2023</t>
        </is>
      </c>
      <c r="B576" s="1" t="n">
        <v>44994.48125</v>
      </c>
      <c r="C576" s="1" t="n">
        <v>45901</v>
      </c>
      <c r="D576" t="inlineStr">
        <is>
          <t>ÖSTERGÖTLANDS LÄN</t>
        </is>
      </c>
      <c r="E576" t="inlineStr">
        <is>
          <t>LINKÖPING</t>
        </is>
      </c>
      <c r="G576" t="n">
        <v>2.6</v>
      </c>
      <c r="H576" t="n">
        <v>0</v>
      </c>
      <c r="I576" t="n">
        <v>0</v>
      </c>
      <c r="J576" t="n">
        <v>0</v>
      </c>
      <c r="K576" t="n">
        <v>0</v>
      </c>
      <c r="L576" t="n">
        <v>0</v>
      </c>
      <c r="M576" t="n">
        <v>0</v>
      </c>
      <c r="N576" t="n">
        <v>0</v>
      </c>
      <c r="O576" t="n">
        <v>0</v>
      </c>
      <c r="P576" t="n">
        <v>0</v>
      </c>
      <c r="Q576" t="n">
        <v>0</v>
      </c>
      <c r="R576" s="2" t="inlineStr"/>
    </row>
    <row r="577" ht="15" customHeight="1">
      <c r="A577" t="inlineStr">
        <is>
          <t>A 49656-2021</t>
        </is>
      </c>
      <c r="B577" s="1" t="n">
        <v>44454</v>
      </c>
      <c r="C577" s="1" t="n">
        <v>45901</v>
      </c>
      <c r="D577" t="inlineStr">
        <is>
          <t>ÖSTERGÖTLANDS LÄN</t>
        </is>
      </c>
      <c r="E577" t="inlineStr">
        <is>
          <t>LINKÖPING</t>
        </is>
      </c>
      <c r="G577" t="n">
        <v>2.3</v>
      </c>
      <c r="H577" t="n">
        <v>0</v>
      </c>
      <c r="I577" t="n">
        <v>0</v>
      </c>
      <c r="J577" t="n">
        <v>0</v>
      </c>
      <c r="K577" t="n">
        <v>0</v>
      </c>
      <c r="L577" t="n">
        <v>0</v>
      </c>
      <c r="M577" t="n">
        <v>0</v>
      </c>
      <c r="N577" t="n">
        <v>0</v>
      </c>
      <c r="O577" t="n">
        <v>0</v>
      </c>
      <c r="P577" t="n">
        <v>0</v>
      </c>
      <c r="Q577" t="n">
        <v>0</v>
      </c>
      <c r="R577" s="2" t="inlineStr"/>
    </row>
    <row r="578" ht="15" customHeight="1">
      <c r="A578" t="inlineStr">
        <is>
          <t>A 30465-2023</t>
        </is>
      </c>
      <c r="B578" s="1" t="n">
        <v>45111</v>
      </c>
      <c r="C578" s="1" t="n">
        <v>45901</v>
      </c>
      <c r="D578" t="inlineStr">
        <is>
          <t>ÖSTERGÖTLANDS LÄN</t>
        </is>
      </c>
      <c r="E578" t="inlineStr">
        <is>
          <t>LINKÖPING</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54425-2022</t>
        </is>
      </c>
      <c r="B579" s="1" t="n">
        <v>44882.57453703704</v>
      </c>
      <c r="C579" s="1" t="n">
        <v>45901</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30521-2024</t>
        </is>
      </c>
      <c r="B580" s="1" t="n">
        <v>45492</v>
      </c>
      <c r="C580" s="1" t="n">
        <v>45901</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40618-2021</t>
        </is>
      </c>
      <c r="B581" s="1" t="n">
        <v>44420.49575231481</v>
      </c>
      <c r="C581" s="1" t="n">
        <v>45901</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62374-2020</t>
        </is>
      </c>
      <c r="B582" s="1" t="n">
        <v>44159</v>
      </c>
      <c r="C582" s="1" t="n">
        <v>45901</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23735-2023</t>
        </is>
      </c>
      <c r="B583" s="1" t="n">
        <v>45077</v>
      </c>
      <c r="C583" s="1" t="n">
        <v>45901</v>
      </c>
      <c r="D583" t="inlineStr">
        <is>
          <t>ÖSTERGÖTLANDS LÄN</t>
        </is>
      </c>
      <c r="E583" t="inlineStr">
        <is>
          <t>LINKÖPING</t>
        </is>
      </c>
      <c r="G583" t="n">
        <v>1.7</v>
      </c>
      <c r="H583" t="n">
        <v>0</v>
      </c>
      <c r="I583" t="n">
        <v>0</v>
      </c>
      <c r="J583" t="n">
        <v>0</v>
      </c>
      <c r="K583" t="n">
        <v>0</v>
      </c>
      <c r="L583" t="n">
        <v>0</v>
      </c>
      <c r="M583" t="n">
        <v>0</v>
      </c>
      <c r="N583" t="n">
        <v>0</v>
      </c>
      <c r="O583" t="n">
        <v>0</v>
      </c>
      <c r="P583" t="n">
        <v>0</v>
      </c>
      <c r="Q583" t="n">
        <v>0</v>
      </c>
      <c r="R583" s="2" t="inlineStr"/>
    </row>
    <row r="584" ht="15" customHeight="1">
      <c r="A584" t="inlineStr">
        <is>
          <t>A 350-2022</t>
        </is>
      </c>
      <c r="B584" s="1" t="n">
        <v>44565</v>
      </c>
      <c r="C584" s="1" t="n">
        <v>45901</v>
      </c>
      <c r="D584" t="inlineStr">
        <is>
          <t>ÖSTERGÖTLANDS LÄN</t>
        </is>
      </c>
      <c r="E584" t="inlineStr">
        <is>
          <t>LINKÖPING</t>
        </is>
      </c>
      <c r="G584" t="n">
        <v>1.2</v>
      </c>
      <c r="H584" t="n">
        <v>0</v>
      </c>
      <c r="I584" t="n">
        <v>0</v>
      </c>
      <c r="J584" t="n">
        <v>0</v>
      </c>
      <c r="K584" t="n">
        <v>0</v>
      </c>
      <c r="L584" t="n">
        <v>0</v>
      </c>
      <c r="M584" t="n">
        <v>0</v>
      </c>
      <c r="N584" t="n">
        <v>0</v>
      </c>
      <c r="O584" t="n">
        <v>0</v>
      </c>
      <c r="P584" t="n">
        <v>0</v>
      </c>
      <c r="Q584" t="n">
        <v>0</v>
      </c>
      <c r="R584" s="2" t="inlineStr"/>
    </row>
    <row r="585" ht="15" customHeight="1">
      <c r="A585" t="inlineStr">
        <is>
          <t>A 4927-2021</t>
        </is>
      </c>
      <c r="B585" s="1" t="n">
        <v>44227.57215277778</v>
      </c>
      <c r="C585" s="1" t="n">
        <v>45901</v>
      </c>
      <c r="D585" t="inlineStr">
        <is>
          <t>ÖSTERGÖTLANDS LÄN</t>
        </is>
      </c>
      <c r="E585" t="inlineStr">
        <is>
          <t>LINKÖPING</t>
        </is>
      </c>
      <c r="G585" t="n">
        <v>0.3</v>
      </c>
      <c r="H585" t="n">
        <v>0</v>
      </c>
      <c r="I585" t="n">
        <v>0</v>
      </c>
      <c r="J585" t="n">
        <v>0</v>
      </c>
      <c r="K585" t="n">
        <v>0</v>
      </c>
      <c r="L585" t="n">
        <v>0</v>
      </c>
      <c r="M585" t="n">
        <v>0</v>
      </c>
      <c r="N585" t="n">
        <v>0</v>
      </c>
      <c r="O585" t="n">
        <v>0</v>
      </c>
      <c r="P585" t="n">
        <v>0</v>
      </c>
      <c r="Q585" t="n">
        <v>0</v>
      </c>
      <c r="R585" s="2" t="inlineStr"/>
    </row>
    <row r="586" ht="15" customHeight="1">
      <c r="A586" t="inlineStr">
        <is>
          <t>A 30547-2023</t>
        </is>
      </c>
      <c r="B586" s="1" t="n">
        <v>45111.75905092592</v>
      </c>
      <c r="C586" s="1" t="n">
        <v>45901</v>
      </c>
      <c r="D586" t="inlineStr">
        <is>
          <t>ÖSTERGÖTLANDS LÄN</t>
        </is>
      </c>
      <c r="E586" t="inlineStr">
        <is>
          <t>LINKÖPING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24904-2024</t>
        </is>
      </c>
      <c r="B587" s="1" t="n">
        <v>45461</v>
      </c>
      <c r="C587" s="1" t="n">
        <v>45901</v>
      </c>
      <c r="D587" t="inlineStr">
        <is>
          <t>ÖSTERGÖTLANDS LÄN</t>
        </is>
      </c>
      <c r="E587" t="inlineStr">
        <is>
          <t>LINKÖPING</t>
        </is>
      </c>
      <c r="G587" t="n">
        <v>3.8</v>
      </c>
      <c r="H587" t="n">
        <v>0</v>
      </c>
      <c r="I587" t="n">
        <v>0</v>
      </c>
      <c r="J587" t="n">
        <v>0</v>
      </c>
      <c r="K587" t="n">
        <v>0</v>
      </c>
      <c r="L587" t="n">
        <v>0</v>
      </c>
      <c r="M587" t="n">
        <v>0</v>
      </c>
      <c r="N587" t="n">
        <v>0</v>
      </c>
      <c r="O587" t="n">
        <v>0</v>
      </c>
      <c r="P587" t="n">
        <v>0</v>
      </c>
      <c r="Q587" t="n">
        <v>0</v>
      </c>
      <c r="R587" s="2" t="inlineStr"/>
    </row>
    <row r="588" ht="15" customHeight="1">
      <c r="A588" t="inlineStr">
        <is>
          <t>A 4256-2022</t>
        </is>
      </c>
      <c r="B588" s="1" t="n">
        <v>44588</v>
      </c>
      <c r="C588" s="1" t="n">
        <v>45901</v>
      </c>
      <c r="D588" t="inlineStr">
        <is>
          <t>ÖSTERGÖTLANDS LÄN</t>
        </is>
      </c>
      <c r="E588" t="inlineStr">
        <is>
          <t>LINKÖPING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25948-2023</t>
        </is>
      </c>
      <c r="B589" s="1" t="n">
        <v>45090</v>
      </c>
      <c r="C589" s="1" t="n">
        <v>45901</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26788-2022</t>
        </is>
      </c>
      <c r="B590" s="1" t="n">
        <v>44740</v>
      </c>
      <c r="C590" s="1" t="n">
        <v>45901</v>
      </c>
      <c r="D590" t="inlineStr">
        <is>
          <t>ÖSTERGÖTLANDS LÄN</t>
        </is>
      </c>
      <c r="E590" t="inlineStr">
        <is>
          <t>LINKÖPING</t>
        </is>
      </c>
      <c r="G590" t="n">
        <v>3.2</v>
      </c>
      <c r="H590" t="n">
        <v>0</v>
      </c>
      <c r="I590" t="n">
        <v>0</v>
      </c>
      <c r="J590" t="n">
        <v>0</v>
      </c>
      <c r="K590" t="n">
        <v>0</v>
      </c>
      <c r="L590" t="n">
        <v>0</v>
      </c>
      <c r="M590" t="n">
        <v>0</v>
      </c>
      <c r="N590" t="n">
        <v>0</v>
      </c>
      <c r="O590" t="n">
        <v>0</v>
      </c>
      <c r="P590" t="n">
        <v>0</v>
      </c>
      <c r="Q590" t="n">
        <v>0</v>
      </c>
      <c r="R590" s="2" t="inlineStr"/>
    </row>
    <row r="591" ht="15" customHeight="1">
      <c r="A591" t="inlineStr">
        <is>
          <t>A 15121-2022</t>
        </is>
      </c>
      <c r="B591" s="1" t="n">
        <v>44658</v>
      </c>
      <c r="C591" s="1" t="n">
        <v>45901</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33867-2023</t>
        </is>
      </c>
      <c r="B592" s="1" t="n">
        <v>45133.94640046296</v>
      </c>
      <c r="C592" s="1" t="n">
        <v>45901</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51919-2024</t>
        </is>
      </c>
      <c r="B593" s="1" t="n">
        <v>45607.60791666667</v>
      </c>
      <c r="C593" s="1" t="n">
        <v>45901</v>
      </c>
      <c r="D593" t="inlineStr">
        <is>
          <t>ÖSTERGÖTLANDS LÄN</t>
        </is>
      </c>
      <c r="E593" t="inlineStr">
        <is>
          <t>LINKÖPING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55009-2023</t>
        </is>
      </c>
      <c r="B594" s="1" t="n">
        <v>45237</v>
      </c>
      <c r="C594" s="1" t="n">
        <v>45901</v>
      </c>
      <c r="D594" t="inlineStr">
        <is>
          <t>ÖSTERGÖTLANDS LÄN</t>
        </is>
      </c>
      <c r="E594" t="inlineStr">
        <is>
          <t>LINKÖPING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20291-2025</t>
        </is>
      </c>
      <c r="B595" s="1" t="n">
        <v>45774.74288194445</v>
      </c>
      <c r="C595" s="1" t="n">
        <v>45901</v>
      </c>
      <c r="D595" t="inlineStr">
        <is>
          <t>ÖSTERGÖTLANDS LÄN</t>
        </is>
      </c>
      <c r="E595" t="inlineStr">
        <is>
          <t>LINKÖPING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20293-2025</t>
        </is>
      </c>
      <c r="B596" s="1" t="n">
        <v>45774.74611111111</v>
      </c>
      <c r="C596" s="1" t="n">
        <v>45901</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53616-2020</t>
        </is>
      </c>
      <c r="B597" s="1" t="n">
        <v>44123</v>
      </c>
      <c r="C597" s="1" t="n">
        <v>45901</v>
      </c>
      <c r="D597" t="inlineStr">
        <is>
          <t>ÖSTERGÖTLANDS LÄN</t>
        </is>
      </c>
      <c r="E597" t="inlineStr">
        <is>
          <t>LINKÖPING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660-2023</t>
        </is>
      </c>
      <c r="B598" s="1" t="n">
        <v>44930</v>
      </c>
      <c r="C598" s="1" t="n">
        <v>45901</v>
      </c>
      <c r="D598" t="inlineStr">
        <is>
          <t>ÖSTERGÖTLANDS LÄN</t>
        </is>
      </c>
      <c r="E598" t="inlineStr">
        <is>
          <t>LINKÖPING</t>
        </is>
      </c>
      <c r="F598" t="inlineStr">
        <is>
          <t>Kyrkan</t>
        </is>
      </c>
      <c r="G598" t="n">
        <v>1.6</v>
      </c>
      <c r="H598" t="n">
        <v>0</v>
      </c>
      <c r="I598" t="n">
        <v>0</v>
      </c>
      <c r="J598" t="n">
        <v>0</v>
      </c>
      <c r="K598" t="n">
        <v>0</v>
      </c>
      <c r="L598" t="n">
        <v>0</v>
      </c>
      <c r="M598" t="n">
        <v>0</v>
      </c>
      <c r="N598" t="n">
        <v>0</v>
      </c>
      <c r="O598" t="n">
        <v>0</v>
      </c>
      <c r="P598" t="n">
        <v>0</v>
      </c>
      <c r="Q598" t="n">
        <v>0</v>
      </c>
      <c r="R598" s="2" t="inlineStr"/>
    </row>
    <row r="599" ht="15" customHeight="1">
      <c r="A599" t="inlineStr">
        <is>
          <t>A 24462-2023</t>
        </is>
      </c>
      <c r="B599" s="1" t="n">
        <v>45082</v>
      </c>
      <c r="C599" s="1" t="n">
        <v>45901</v>
      </c>
      <c r="D599" t="inlineStr">
        <is>
          <t>ÖSTERGÖTLANDS LÄN</t>
        </is>
      </c>
      <c r="E599" t="inlineStr">
        <is>
          <t>LINKÖPING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64694-2023</t>
        </is>
      </c>
      <c r="B600" s="1" t="n">
        <v>45281</v>
      </c>
      <c r="C600" s="1" t="n">
        <v>45901</v>
      </c>
      <c r="D600" t="inlineStr">
        <is>
          <t>ÖSTERGÖTLANDS LÄN</t>
        </is>
      </c>
      <c r="E600" t="inlineStr">
        <is>
          <t>LINKÖPING</t>
        </is>
      </c>
      <c r="F600" t="inlineStr">
        <is>
          <t>Övriga statliga verk och myndigheter</t>
        </is>
      </c>
      <c r="G600" t="n">
        <v>4.9</v>
      </c>
      <c r="H600" t="n">
        <v>0</v>
      </c>
      <c r="I600" t="n">
        <v>0</v>
      </c>
      <c r="J600" t="n">
        <v>0</v>
      </c>
      <c r="K600" t="n">
        <v>0</v>
      </c>
      <c r="L600" t="n">
        <v>0</v>
      </c>
      <c r="M600" t="n">
        <v>0</v>
      </c>
      <c r="N600" t="n">
        <v>0</v>
      </c>
      <c r="O600" t="n">
        <v>0</v>
      </c>
      <c r="P600" t="n">
        <v>0</v>
      </c>
      <c r="Q600" t="n">
        <v>0</v>
      </c>
      <c r="R600" s="2" t="inlineStr"/>
    </row>
    <row r="601" ht="15" customHeight="1">
      <c r="A601" t="inlineStr">
        <is>
          <t>A 48829-2023</t>
        </is>
      </c>
      <c r="B601" s="1" t="n">
        <v>45209.38177083333</v>
      </c>
      <c r="C601" s="1" t="n">
        <v>45901</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38231-2022</t>
        </is>
      </c>
      <c r="B602" s="1" t="n">
        <v>44812</v>
      </c>
      <c r="C602" s="1" t="n">
        <v>45901</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50799-2022</t>
        </is>
      </c>
      <c r="B603" s="1" t="n">
        <v>44862</v>
      </c>
      <c r="C603" s="1" t="n">
        <v>45901</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40431-2024</t>
        </is>
      </c>
      <c r="B604" s="1" t="n">
        <v>45555.47070601852</v>
      </c>
      <c r="C604" s="1" t="n">
        <v>45901</v>
      </c>
      <c r="D604" t="inlineStr">
        <is>
          <t>ÖSTERGÖTLANDS LÄN</t>
        </is>
      </c>
      <c r="E604" t="inlineStr">
        <is>
          <t>LINKÖPING</t>
        </is>
      </c>
      <c r="F604" t="inlineStr">
        <is>
          <t>Allmännings- och besparingsskogar</t>
        </is>
      </c>
      <c r="G604" t="n">
        <v>2.9</v>
      </c>
      <c r="H604" t="n">
        <v>0</v>
      </c>
      <c r="I604" t="n">
        <v>0</v>
      </c>
      <c r="J604" t="n">
        <v>0</v>
      </c>
      <c r="K604" t="n">
        <v>0</v>
      </c>
      <c r="L604" t="n">
        <v>0</v>
      </c>
      <c r="M604" t="n">
        <v>0</v>
      </c>
      <c r="N604" t="n">
        <v>0</v>
      </c>
      <c r="O604" t="n">
        <v>0</v>
      </c>
      <c r="P604" t="n">
        <v>0</v>
      </c>
      <c r="Q604" t="n">
        <v>0</v>
      </c>
      <c r="R604" s="2" t="inlineStr"/>
    </row>
    <row r="605" ht="15" customHeight="1">
      <c r="A605" t="inlineStr">
        <is>
          <t>A 63487-2023</t>
        </is>
      </c>
      <c r="B605" s="1" t="n">
        <v>45274.66712962963</v>
      </c>
      <c r="C605" s="1" t="n">
        <v>45901</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267-2023</t>
        </is>
      </c>
      <c r="B606" s="1" t="n">
        <v>44928.80907407407</v>
      </c>
      <c r="C606" s="1" t="n">
        <v>45901</v>
      </c>
      <c r="D606" t="inlineStr">
        <is>
          <t>ÖSTERGÖTLANDS LÄN</t>
        </is>
      </c>
      <c r="E606" t="inlineStr">
        <is>
          <t>LINKÖPING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26618-2023</t>
        </is>
      </c>
      <c r="B607" s="1" t="n">
        <v>45092.70306712963</v>
      </c>
      <c r="C607" s="1" t="n">
        <v>45901</v>
      </c>
      <c r="D607" t="inlineStr">
        <is>
          <t>ÖSTERGÖTLANDS LÄN</t>
        </is>
      </c>
      <c r="E607" t="inlineStr">
        <is>
          <t>LINKÖPING</t>
        </is>
      </c>
      <c r="G607" t="n">
        <v>6.9</v>
      </c>
      <c r="H607" t="n">
        <v>0</v>
      </c>
      <c r="I607" t="n">
        <v>0</v>
      </c>
      <c r="J607" t="n">
        <v>0</v>
      </c>
      <c r="K607" t="n">
        <v>0</v>
      </c>
      <c r="L607" t="n">
        <v>0</v>
      </c>
      <c r="M607" t="n">
        <v>0</v>
      </c>
      <c r="N607" t="n">
        <v>0</v>
      </c>
      <c r="O607" t="n">
        <v>0</v>
      </c>
      <c r="P607" t="n">
        <v>0</v>
      </c>
      <c r="Q607" t="n">
        <v>0</v>
      </c>
      <c r="R607" s="2" t="inlineStr"/>
    </row>
    <row r="608" ht="15" customHeight="1">
      <c r="A608" t="inlineStr">
        <is>
          <t>A 63665-2023</t>
        </is>
      </c>
      <c r="B608" s="1" t="n">
        <v>45275</v>
      </c>
      <c r="C608" s="1" t="n">
        <v>45901</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67123-2020</t>
        </is>
      </c>
      <c r="B609" s="1" t="n">
        <v>44180</v>
      </c>
      <c r="C609" s="1" t="n">
        <v>45901</v>
      </c>
      <c r="D609" t="inlineStr">
        <is>
          <t>ÖSTERGÖTLANDS LÄN</t>
        </is>
      </c>
      <c r="E609" t="inlineStr">
        <is>
          <t>LINKÖPING</t>
        </is>
      </c>
      <c r="F609" t="inlineStr">
        <is>
          <t>Övriga statliga verk och myndigheter</t>
        </is>
      </c>
      <c r="G609" t="n">
        <v>1.3</v>
      </c>
      <c r="H609" t="n">
        <v>0</v>
      </c>
      <c r="I609" t="n">
        <v>0</v>
      </c>
      <c r="J609" t="n">
        <v>0</v>
      </c>
      <c r="K609" t="n">
        <v>0</v>
      </c>
      <c r="L609" t="n">
        <v>0</v>
      </c>
      <c r="M609" t="n">
        <v>0</v>
      </c>
      <c r="N609" t="n">
        <v>0</v>
      </c>
      <c r="O609" t="n">
        <v>0</v>
      </c>
      <c r="P609" t="n">
        <v>0</v>
      </c>
      <c r="Q609" t="n">
        <v>0</v>
      </c>
      <c r="R609" s="2" t="inlineStr"/>
    </row>
    <row r="610" ht="15" customHeight="1">
      <c r="A610" t="inlineStr">
        <is>
          <t>A 30429-2024</t>
        </is>
      </c>
      <c r="B610" s="1" t="n">
        <v>45491.68972222223</v>
      </c>
      <c r="C610" s="1" t="n">
        <v>45901</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20455-2024</t>
        </is>
      </c>
      <c r="B611" s="1" t="n">
        <v>45435.65314814815</v>
      </c>
      <c r="C611" s="1" t="n">
        <v>45901</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30471-2023</t>
        </is>
      </c>
      <c r="B612" s="1" t="n">
        <v>45111.58931712963</v>
      </c>
      <c r="C612" s="1" t="n">
        <v>45901</v>
      </c>
      <c r="D612" t="inlineStr">
        <is>
          <t>ÖSTERGÖTLANDS LÄN</t>
        </is>
      </c>
      <c r="E612" t="inlineStr">
        <is>
          <t>LINKÖPING</t>
        </is>
      </c>
      <c r="G612" t="n">
        <v>2.9</v>
      </c>
      <c r="H612" t="n">
        <v>0</v>
      </c>
      <c r="I612" t="n">
        <v>0</v>
      </c>
      <c r="J612" t="n">
        <v>0</v>
      </c>
      <c r="K612" t="n">
        <v>0</v>
      </c>
      <c r="L612" t="n">
        <v>0</v>
      </c>
      <c r="M612" t="n">
        <v>0</v>
      </c>
      <c r="N612" t="n">
        <v>0</v>
      </c>
      <c r="O612" t="n">
        <v>0</v>
      </c>
      <c r="P612" t="n">
        <v>0</v>
      </c>
      <c r="Q612" t="n">
        <v>0</v>
      </c>
      <c r="R612" s="2" t="inlineStr"/>
    </row>
    <row r="613" ht="15" customHeight="1">
      <c r="A613" t="inlineStr">
        <is>
          <t>A 30435-2024</t>
        </is>
      </c>
      <c r="B613" s="1" t="n">
        <v>45491.69962962963</v>
      </c>
      <c r="C613" s="1" t="n">
        <v>45901</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14093-2024</t>
        </is>
      </c>
      <c r="B614" s="1" t="n">
        <v>45392.60278935185</v>
      </c>
      <c r="C614" s="1" t="n">
        <v>45901</v>
      </c>
      <c r="D614" t="inlineStr">
        <is>
          <t>ÖSTERGÖTLANDS LÄN</t>
        </is>
      </c>
      <c r="E614" t="inlineStr">
        <is>
          <t>LINKÖPING</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53816-2023</t>
        </is>
      </c>
      <c r="B615" s="1" t="n">
        <v>45231.40012731482</v>
      </c>
      <c r="C615" s="1" t="n">
        <v>45901</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36557-2023</t>
        </is>
      </c>
      <c r="B616" s="1" t="n">
        <v>45153</v>
      </c>
      <c r="C616" s="1" t="n">
        <v>45901</v>
      </c>
      <c r="D616" t="inlineStr">
        <is>
          <t>ÖSTERGÖTLANDS LÄN</t>
        </is>
      </c>
      <c r="E616" t="inlineStr">
        <is>
          <t>LINKÖPING</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6599-2023</t>
        </is>
      </c>
      <c r="B617" s="1" t="n">
        <v>44966.52603009259</v>
      </c>
      <c r="C617" s="1" t="n">
        <v>45901</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43473-2024</t>
        </is>
      </c>
      <c r="B618" s="1" t="n">
        <v>45568</v>
      </c>
      <c r="C618" s="1" t="n">
        <v>45901</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49088-2020</t>
        </is>
      </c>
      <c r="B619" s="1" t="n">
        <v>44104</v>
      </c>
      <c r="C619" s="1" t="n">
        <v>45901</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63304-2021</t>
        </is>
      </c>
      <c r="B620" s="1" t="n">
        <v>44508.4396412037</v>
      </c>
      <c r="C620" s="1" t="n">
        <v>45901</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19362-2023</t>
        </is>
      </c>
      <c r="B621" s="1" t="n">
        <v>45049</v>
      </c>
      <c r="C621" s="1" t="n">
        <v>45901</v>
      </c>
      <c r="D621" t="inlineStr">
        <is>
          <t>ÖSTERGÖTLANDS LÄN</t>
        </is>
      </c>
      <c r="E621" t="inlineStr">
        <is>
          <t>LINKÖPING</t>
        </is>
      </c>
      <c r="G621" t="n">
        <v>0.1</v>
      </c>
      <c r="H621" t="n">
        <v>0</v>
      </c>
      <c r="I621" t="n">
        <v>0</v>
      </c>
      <c r="J621" t="n">
        <v>0</v>
      </c>
      <c r="K621" t="n">
        <v>0</v>
      </c>
      <c r="L621" t="n">
        <v>0</v>
      </c>
      <c r="M621" t="n">
        <v>0</v>
      </c>
      <c r="N621" t="n">
        <v>0</v>
      </c>
      <c r="O621" t="n">
        <v>0</v>
      </c>
      <c r="P621" t="n">
        <v>0</v>
      </c>
      <c r="Q621" t="n">
        <v>0</v>
      </c>
      <c r="R621" s="2" t="inlineStr"/>
    </row>
    <row r="622" ht="15" customHeight="1">
      <c r="A622" t="inlineStr">
        <is>
          <t>A 35463-2023</t>
        </is>
      </c>
      <c r="B622" s="1" t="n">
        <v>45146</v>
      </c>
      <c r="C622" s="1" t="n">
        <v>45901</v>
      </c>
      <c r="D622" t="inlineStr">
        <is>
          <t>ÖSTERGÖTLANDS LÄN</t>
        </is>
      </c>
      <c r="E622" t="inlineStr">
        <is>
          <t>LINKÖPING</t>
        </is>
      </c>
      <c r="F622" t="inlineStr">
        <is>
          <t>Övriga Aktiebolag</t>
        </is>
      </c>
      <c r="G622" t="n">
        <v>1.8</v>
      </c>
      <c r="H622" t="n">
        <v>0</v>
      </c>
      <c r="I622" t="n">
        <v>0</v>
      </c>
      <c r="J622" t="n">
        <v>0</v>
      </c>
      <c r="K622" t="n">
        <v>0</v>
      </c>
      <c r="L622" t="n">
        <v>0</v>
      </c>
      <c r="M622" t="n">
        <v>0</v>
      </c>
      <c r="N622" t="n">
        <v>0</v>
      </c>
      <c r="O622" t="n">
        <v>0</v>
      </c>
      <c r="P622" t="n">
        <v>0</v>
      </c>
      <c r="Q622" t="n">
        <v>0</v>
      </c>
      <c r="R622" s="2" t="inlineStr"/>
    </row>
    <row r="623" ht="15" customHeight="1">
      <c r="A623" t="inlineStr">
        <is>
          <t>A 16111-2022</t>
        </is>
      </c>
      <c r="B623" s="1" t="n">
        <v>44665</v>
      </c>
      <c r="C623" s="1" t="n">
        <v>45901</v>
      </c>
      <c r="D623" t="inlineStr">
        <is>
          <t>ÖSTERGÖTLANDS LÄN</t>
        </is>
      </c>
      <c r="E623" t="inlineStr">
        <is>
          <t>LINKÖPING</t>
        </is>
      </c>
      <c r="F623" t="inlineStr">
        <is>
          <t>Övriga Aktiebolag</t>
        </is>
      </c>
      <c r="G623" t="n">
        <v>2.9</v>
      </c>
      <c r="H623" t="n">
        <v>0</v>
      </c>
      <c r="I623" t="n">
        <v>0</v>
      </c>
      <c r="J623" t="n">
        <v>0</v>
      </c>
      <c r="K623" t="n">
        <v>0</v>
      </c>
      <c r="L623" t="n">
        <v>0</v>
      </c>
      <c r="M623" t="n">
        <v>0</v>
      </c>
      <c r="N623" t="n">
        <v>0</v>
      </c>
      <c r="O623" t="n">
        <v>0</v>
      </c>
      <c r="P623" t="n">
        <v>0</v>
      </c>
      <c r="Q623" t="n">
        <v>0</v>
      </c>
      <c r="R623" s="2" t="inlineStr"/>
    </row>
    <row r="624" ht="15" customHeight="1">
      <c r="A624" t="inlineStr">
        <is>
          <t>A 31635-2023</t>
        </is>
      </c>
      <c r="B624" s="1" t="n">
        <v>45105</v>
      </c>
      <c r="C624" s="1" t="n">
        <v>45901</v>
      </c>
      <c r="D624" t="inlineStr">
        <is>
          <t>ÖSTERGÖTLANDS LÄN</t>
        </is>
      </c>
      <c r="E624" t="inlineStr">
        <is>
          <t>LINKÖPING</t>
        </is>
      </c>
      <c r="F624" t="inlineStr">
        <is>
          <t>Övriga statliga verk och myndigheter</t>
        </is>
      </c>
      <c r="G624" t="n">
        <v>4.6</v>
      </c>
      <c r="H624" t="n">
        <v>0</v>
      </c>
      <c r="I624" t="n">
        <v>0</v>
      </c>
      <c r="J624" t="n">
        <v>0</v>
      </c>
      <c r="K624" t="n">
        <v>0</v>
      </c>
      <c r="L624" t="n">
        <v>0</v>
      </c>
      <c r="M624" t="n">
        <v>0</v>
      </c>
      <c r="N624" t="n">
        <v>0</v>
      </c>
      <c r="O624" t="n">
        <v>0</v>
      </c>
      <c r="P624" t="n">
        <v>0</v>
      </c>
      <c r="Q624" t="n">
        <v>0</v>
      </c>
      <c r="R624" s="2" t="inlineStr"/>
    </row>
    <row r="625" ht="15" customHeight="1">
      <c r="A625" t="inlineStr">
        <is>
          <t>A 49928-2024</t>
        </is>
      </c>
      <c r="B625" s="1" t="n">
        <v>45597.57811342592</v>
      </c>
      <c r="C625" s="1" t="n">
        <v>45901</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54845-2023</t>
        </is>
      </c>
      <c r="B626" s="1" t="n">
        <v>45236</v>
      </c>
      <c r="C626" s="1" t="n">
        <v>45901</v>
      </c>
      <c r="D626" t="inlineStr">
        <is>
          <t>ÖSTERGÖTLANDS LÄN</t>
        </is>
      </c>
      <c r="E626" t="inlineStr">
        <is>
          <t>LINKÖPING</t>
        </is>
      </c>
      <c r="F626" t="inlineStr">
        <is>
          <t>Övriga Aktiebolag</t>
        </is>
      </c>
      <c r="G626" t="n">
        <v>5.7</v>
      </c>
      <c r="H626" t="n">
        <v>0</v>
      </c>
      <c r="I626" t="n">
        <v>0</v>
      </c>
      <c r="J626" t="n">
        <v>0</v>
      </c>
      <c r="K626" t="n">
        <v>0</v>
      </c>
      <c r="L626" t="n">
        <v>0</v>
      </c>
      <c r="M626" t="n">
        <v>0</v>
      </c>
      <c r="N626" t="n">
        <v>0</v>
      </c>
      <c r="O626" t="n">
        <v>0</v>
      </c>
      <c r="P626" t="n">
        <v>0</v>
      </c>
      <c r="Q626" t="n">
        <v>0</v>
      </c>
      <c r="R626" s="2" t="inlineStr"/>
    </row>
    <row r="627" ht="15" customHeight="1">
      <c r="A627" t="inlineStr">
        <is>
          <t>A 46687-2021</t>
        </is>
      </c>
      <c r="B627" s="1" t="n">
        <v>44445</v>
      </c>
      <c r="C627" s="1" t="n">
        <v>45901</v>
      </c>
      <c r="D627" t="inlineStr">
        <is>
          <t>ÖSTERGÖTLANDS LÄN</t>
        </is>
      </c>
      <c r="E627" t="inlineStr">
        <is>
          <t>LINKÖPING</t>
        </is>
      </c>
      <c r="F627" t="inlineStr">
        <is>
          <t>Övriga statliga verk och myndigheter</t>
        </is>
      </c>
      <c r="G627" t="n">
        <v>2.3</v>
      </c>
      <c r="H627" t="n">
        <v>0</v>
      </c>
      <c r="I627" t="n">
        <v>0</v>
      </c>
      <c r="J627" t="n">
        <v>0</v>
      </c>
      <c r="K627" t="n">
        <v>0</v>
      </c>
      <c r="L627" t="n">
        <v>0</v>
      </c>
      <c r="M627" t="n">
        <v>0</v>
      </c>
      <c r="N627" t="n">
        <v>0</v>
      </c>
      <c r="O627" t="n">
        <v>0</v>
      </c>
      <c r="P627" t="n">
        <v>0</v>
      </c>
      <c r="Q627" t="n">
        <v>0</v>
      </c>
      <c r="R627" s="2" t="inlineStr"/>
    </row>
    <row r="628" ht="15" customHeight="1">
      <c r="A628" t="inlineStr">
        <is>
          <t>A 30855-2022</t>
        </is>
      </c>
      <c r="B628" s="1" t="n">
        <v>44767</v>
      </c>
      <c r="C628" s="1" t="n">
        <v>45901</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1355-2023</t>
        </is>
      </c>
      <c r="B629" s="1" t="n">
        <v>44931</v>
      </c>
      <c r="C629" s="1" t="n">
        <v>45901</v>
      </c>
      <c r="D629" t="inlineStr">
        <is>
          <t>ÖSTERGÖTLANDS LÄN</t>
        </is>
      </c>
      <c r="E629" t="inlineStr">
        <is>
          <t>LINKÖPING</t>
        </is>
      </c>
      <c r="G629" t="n">
        <v>4</v>
      </c>
      <c r="H629" t="n">
        <v>0</v>
      </c>
      <c r="I629" t="n">
        <v>0</v>
      </c>
      <c r="J629" t="n">
        <v>0</v>
      </c>
      <c r="K629" t="n">
        <v>0</v>
      </c>
      <c r="L629" t="n">
        <v>0</v>
      </c>
      <c r="M629" t="n">
        <v>0</v>
      </c>
      <c r="N629" t="n">
        <v>0</v>
      </c>
      <c r="O629" t="n">
        <v>0</v>
      </c>
      <c r="P629" t="n">
        <v>0</v>
      </c>
      <c r="Q629" t="n">
        <v>0</v>
      </c>
      <c r="R629" s="2" t="inlineStr"/>
    </row>
    <row r="630" ht="15" customHeight="1">
      <c r="A630" t="inlineStr">
        <is>
          <t>A 27844-2024</t>
        </is>
      </c>
      <c r="B630" s="1" t="n">
        <v>45475.63047453704</v>
      </c>
      <c r="C630" s="1" t="n">
        <v>45901</v>
      </c>
      <c r="D630" t="inlineStr">
        <is>
          <t>ÖSTERGÖTLANDS LÄN</t>
        </is>
      </c>
      <c r="E630" t="inlineStr">
        <is>
          <t>LINKÖPING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10741-2023</t>
        </is>
      </c>
      <c r="B631" s="1" t="n">
        <v>44988.70084490741</v>
      </c>
      <c r="C631" s="1" t="n">
        <v>45901</v>
      </c>
      <c r="D631" t="inlineStr">
        <is>
          <t>ÖSTERGÖTLANDS LÄN</t>
        </is>
      </c>
      <c r="E631" t="inlineStr">
        <is>
          <t>LINKÖPING</t>
        </is>
      </c>
      <c r="F631" t="inlineStr">
        <is>
          <t>Allmännings- och besparingsskogar</t>
        </is>
      </c>
      <c r="G631" t="n">
        <v>11.2</v>
      </c>
      <c r="H631" t="n">
        <v>0</v>
      </c>
      <c r="I631" t="n">
        <v>0</v>
      </c>
      <c r="J631" t="n">
        <v>0</v>
      </c>
      <c r="K631" t="n">
        <v>0</v>
      </c>
      <c r="L631" t="n">
        <v>0</v>
      </c>
      <c r="M631" t="n">
        <v>0</v>
      </c>
      <c r="N631" t="n">
        <v>0</v>
      </c>
      <c r="O631" t="n">
        <v>0</v>
      </c>
      <c r="P631" t="n">
        <v>0</v>
      </c>
      <c r="Q631" t="n">
        <v>0</v>
      </c>
      <c r="R631" s="2" t="inlineStr"/>
    </row>
    <row r="632" ht="15" customHeight="1">
      <c r="A632" t="inlineStr">
        <is>
          <t>A 50963-2021</t>
        </is>
      </c>
      <c r="B632" s="1" t="n">
        <v>44460</v>
      </c>
      <c r="C632" s="1" t="n">
        <v>45901</v>
      </c>
      <c r="D632" t="inlineStr">
        <is>
          <t>ÖSTERGÖTLANDS LÄN</t>
        </is>
      </c>
      <c r="E632" t="inlineStr">
        <is>
          <t>LINKÖPING</t>
        </is>
      </c>
      <c r="G632" t="n">
        <v>4.4</v>
      </c>
      <c r="H632" t="n">
        <v>0</v>
      </c>
      <c r="I632" t="n">
        <v>0</v>
      </c>
      <c r="J632" t="n">
        <v>0</v>
      </c>
      <c r="K632" t="n">
        <v>0</v>
      </c>
      <c r="L632" t="n">
        <v>0</v>
      </c>
      <c r="M632" t="n">
        <v>0</v>
      </c>
      <c r="N632" t="n">
        <v>0</v>
      </c>
      <c r="O632" t="n">
        <v>0</v>
      </c>
      <c r="P632" t="n">
        <v>0</v>
      </c>
      <c r="Q632" t="n">
        <v>0</v>
      </c>
      <c r="R632" s="2" t="inlineStr"/>
    </row>
    <row r="633" ht="15" customHeight="1">
      <c r="A633" t="inlineStr">
        <is>
          <t>A 45821-2024</t>
        </is>
      </c>
      <c r="B633" s="1" t="n">
        <v>45579.75803240741</v>
      </c>
      <c r="C633" s="1" t="n">
        <v>45901</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61936-2023</t>
        </is>
      </c>
      <c r="B634" s="1" t="n">
        <v>45266.54534722222</v>
      </c>
      <c r="C634" s="1" t="n">
        <v>45901</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1263-2024</t>
        </is>
      </c>
      <c r="B635" s="1" t="n">
        <v>45302</v>
      </c>
      <c r="C635" s="1" t="n">
        <v>45901</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24464-2023</t>
        </is>
      </c>
      <c r="B636" s="1" t="n">
        <v>45082.58068287037</v>
      </c>
      <c r="C636" s="1" t="n">
        <v>45901</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48389-2024</t>
        </is>
      </c>
      <c r="B637" s="1" t="n">
        <v>45590.59991898148</v>
      </c>
      <c r="C637" s="1" t="n">
        <v>45901</v>
      </c>
      <c r="D637" t="inlineStr">
        <is>
          <t>ÖSTERGÖTLANDS LÄN</t>
        </is>
      </c>
      <c r="E637" t="inlineStr">
        <is>
          <t>LINKÖPING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61281-2021</t>
        </is>
      </c>
      <c r="B638" s="1" t="n">
        <v>44498.60736111111</v>
      </c>
      <c r="C638" s="1" t="n">
        <v>45901</v>
      </c>
      <c r="D638" t="inlineStr">
        <is>
          <t>ÖSTERGÖTLANDS LÄN</t>
        </is>
      </c>
      <c r="E638" t="inlineStr">
        <is>
          <t>LINKÖPING</t>
        </is>
      </c>
      <c r="G638" t="n">
        <v>4.5</v>
      </c>
      <c r="H638" t="n">
        <v>0</v>
      </c>
      <c r="I638" t="n">
        <v>0</v>
      </c>
      <c r="J638" t="n">
        <v>0</v>
      </c>
      <c r="K638" t="n">
        <v>0</v>
      </c>
      <c r="L638" t="n">
        <v>0</v>
      </c>
      <c r="M638" t="n">
        <v>0</v>
      </c>
      <c r="N638" t="n">
        <v>0</v>
      </c>
      <c r="O638" t="n">
        <v>0</v>
      </c>
      <c r="P638" t="n">
        <v>0</v>
      </c>
      <c r="Q638" t="n">
        <v>0</v>
      </c>
      <c r="R638" s="2" t="inlineStr"/>
    </row>
    <row r="639" ht="15" customHeight="1">
      <c r="A639" t="inlineStr">
        <is>
          <t>A 6369-2023</t>
        </is>
      </c>
      <c r="B639" s="1" t="n">
        <v>44965.61106481482</v>
      </c>
      <c r="C639" s="1" t="n">
        <v>45901</v>
      </c>
      <c r="D639" t="inlineStr">
        <is>
          <t>ÖSTERGÖTLANDS LÄN</t>
        </is>
      </c>
      <c r="E639" t="inlineStr">
        <is>
          <t>LINKÖPING</t>
        </is>
      </c>
      <c r="G639" t="n">
        <v>4</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45901</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1207-2023</t>
        </is>
      </c>
      <c r="B641" s="1" t="n">
        <v>44930</v>
      </c>
      <c r="C641" s="1" t="n">
        <v>45901</v>
      </c>
      <c r="D641" t="inlineStr">
        <is>
          <t>ÖSTERGÖTLANDS LÄN</t>
        </is>
      </c>
      <c r="E641" t="inlineStr">
        <is>
          <t>LINKÖPING</t>
        </is>
      </c>
      <c r="F641" t="inlineStr">
        <is>
          <t>Övriga statliga verk och myndigheter</t>
        </is>
      </c>
      <c r="G641" t="n">
        <v>32.8</v>
      </c>
      <c r="H641" t="n">
        <v>0</v>
      </c>
      <c r="I641" t="n">
        <v>0</v>
      </c>
      <c r="J641" t="n">
        <v>0</v>
      </c>
      <c r="K641" t="n">
        <v>0</v>
      </c>
      <c r="L641" t="n">
        <v>0</v>
      </c>
      <c r="M641" t="n">
        <v>0</v>
      </c>
      <c r="N641" t="n">
        <v>0</v>
      </c>
      <c r="O641" t="n">
        <v>0</v>
      </c>
      <c r="P641" t="n">
        <v>0</v>
      </c>
      <c r="Q641" t="n">
        <v>0</v>
      </c>
      <c r="R641" s="2" t="inlineStr"/>
    </row>
    <row r="642" ht="15" customHeight="1">
      <c r="A642" t="inlineStr">
        <is>
          <t>A 62015-2024</t>
        </is>
      </c>
      <c r="B642" s="1" t="n">
        <v>45655.80457175926</v>
      </c>
      <c r="C642" s="1" t="n">
        <v>45901</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62020-2024</t>
        </is>
      </c>
      <c r="B643" s="1" t="n">
        <v>45655.83563657408</v>
      </c>
      <c r="C643" s="1" t="n">
        <v>45901</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62021-2024</t>
        </is>
      </c>
      <c r="B644" s="1" t="n">
        <v>45655.84232638889</v>
      </c>
      <c r="C644" s="1" t="n">
        <v>45901</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27891-2021</t>
        </is>
      </c>
      <c r="B645" s="1" t="n">
        <v>44354.65108796296</v>
      </c>
      <c r="C645" s="1" t="n">
        <v>45901</v>
      </c>
      <c r="D645" t="inlineStr">
        <is>
          <t>ÖSTERGÖTLANDS LÄN</t>
        </is>
      </c>
      <c r="E645" t="inlineStr">
        <is>
          <t>LINKÖPING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57391-2023</t>
        </is>
      </c>
      <c r="B646" s="1" t="n">
        <v>45245</v>
      </c>
      <c r="C646" s="1" t="n">
        <v>45901</v>
      </c>
      <c r="D646" t="inlineStr">
        <is>
          <t>ÖSTERGÖTLANDS LÄN</t>
        </is>
      </c>
      <c r="E646" t="inlineStr">
        <is>
          <t>LINKÖPING</t>
        </is>
      </c>
      <c r="F646" t="inlineStr">
        <is>
          <t>Övriga Aktiebolag</t>
        </is>
      </c>
      <c r="G646" t="n">
        <v>1.7</v>
      </c>
      <c r="H646" t="n">
        <v>0</v>
      </c>
      <c r="I646" t="n">
        <v>0</v>
      </c>
      <c r="J646" t="n">
        <v>0</v>
      </c>
      <c r="K646" t="n">
        <v>0</v>
      </c>
      <c r="L646" t="n">
        <v>0</v>
      </c>
      <c r="M646" t="n">
        <v>0</v>
      </c>
      <c r="N646" t="n">
        <v>0</v>
      </c>
      <c r="O646" t="n">
        <v>0</v>
      </c>
      <c r="P646" t="n">
        <v>0</v>
      </c>
      <c r="Q646" t="n">
        <v>0</v>
      </c>
      <c r="R646" s="2" t="inlineStr"/>
    </row>
    <row r="647" ht="15" customHeight="1">
      <c r="A647" t="inlineStr">
        <is>
          <t>A 20294-2025</t>
        </is>
      </c>
      <c r="B647" s="1" t="n">
        <v>45774.74667824074</v>
      </c>
      <c r="C647" s="1" t="n">
        <v>45901</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60013-2022</t>
        </is>
      </c>
      <c r="B648" s="1" t="n">
        <v>44909.47482638889</v>
      </c>
      <c r="C648" s="1" t="n">
        <v>45901</v>
      </c>
      <c r="D648" t="inlineStr">
        <is>
          <t>ÖSTERGÖTLANDS LÄN</t>
        </is>
      </c>
      <c r="E648" t="inlineStr">
        <is>
          <t>LINKÖPING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3007-2025</t>
        </is>
      </c>
      <c r="B649" s="1" t="n">
        <v>45678.56328703704</v>
      </c>
      <c r="C649" s="1" t="n">
        <v>45901</v>
      </c>
      <c r="D649" t="inlineStr">
        <is>
          <t>ÖSTERGÖTLANDS LÄN</t>
        </is>
      </c>
      <c r="E649" t="inlineStr">
        <is>
          <t>LINKÖPING</t>
        </is>
      </c>
      <c r="G649" t="n">
        <v>3.1</v>
      </c>
      <c r="H649" t="n">
        <v>0</v>
      </c>
      <c r="I649" t="n">
        <v>0</v>
      </c>
      <c r="J649" t="n">
        <v>0</v>
      </c>
      <c r="K649" t="n">
        <v>0</v>
      </c>
      <c r="L649" t="n">
        <v>0</v>
      </c>
      <c r="M649" t="n">
        <v>0</v>
      </c>
      <c r="N649" t="n">
        <v>0</v>
      </c>
      <c r="O649" t="n">
        <v>0</v>
      </c>
      <c r="P649" t="n">
        <v>0</v>
      </c>
      <c r="Q649" t="n">
        <v>0</v>
      </c>
      <c r="R649" s="2" t="inlineStr"/>
    </row>
    <row r="650" ht="15" customHeight="1">
      <c r="A650" t="inlineStr">
        <is>
          <t>A 34877-2023</t>
        </is>
      </c>
      <c r="B650" s="1" t="n">
        <v>45140</v>
      </c>
      <c r="C650" s="1" t="n">
        <v>45901</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1924-2024</t>
        </is>
      </c>
      <c r="B651" s="1" t="n">
        <v>45308</v>
      </c>
      <c r="C651" s="1" t="n">
        <v>45901</v>
      </c>
      <c r="D651" t="inlineStr">
        <is>
          <t>ÖSTERGÖTLANDS LÄN</t>
        </is>
      </c>
      <c r="E651" t="inlineStr">
        <is>
          <t>LINKÖPING</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34558-2022</t>
        </is>
      </c>
      <c r="B652" s="1" t="n">
        <v>44794.57594907407</v>
      </c>
      <c r="C652" s="1" t="n">
        <v>45901</v>
      </c>
      <c r="D652" t="inlineStr">
        <is>
          <t>ÖSTERGÖTLANDS LÄN</t>
        </is>
      </c>
      <c r="E652" t="inlineStr">
        <is>
          <t>LINKÖPING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168-2024</t>
        </is>
      </c>
      <c r="B653" s="1" t="n">
        <v>45294</v>
      </c>
      <c r="C653" s="1" t="n">
        <v>45901</v>
      </c>
      <c r="D653" t="inlineStr">
        <is>
          <t>ÖSTERGÖTLANDS LÄN</t>
        </is>
      </c>
      <c r="E653" t="inlineStr">
        <is>
          <t>LINKÖPING</t>
        </is>
      </c>
      <c r="F653" t="inlineStr">
        <is>
          <t>Allmännings- och besparingsskogar</t>
        </is>
      </c>
      <c r="G653" t="n">
        <v>8.9</v>
      </c>
      <c r="H653" t="n">
        <v>0</v>
      </c>
      <c r="I653" t="n">
        <v>0</v>
      </c>
      <c r="J653" t="n">
        <v>0</v>
      </c>
      <c r="K653" t="n">
        <v>0</v>
      </c>
      <c r="L653" t="n">
        <v>0</v>
      </c>
      <c r="M653" t="n">
        <v>0</v>
      </c>
      <c r="N653" t="n">
        <v>0</v>
      </c>
      <c r="O653" t="n">
        <v>0</v>
      </c>
      <c r="P653" t="n">
        <v>0</v>
      </c>
      <c r="Q653" t="n">
        <v>0</v>
      </c>
      <c r="R653" s="2" t="inlineStr"/>
    </row>
    <row r="654" ht="15" customHeight="1">
      <c r="A654" t="inlineStr">
        <is>
          <t>A 15658-2023</t>
        </is>
      </c>
      <c r="B654" s="1" t="n">
        <v>45021.41194444444</v>
      </c>
      <c r="C654" s="1" t="n">
        <v>45901</v>
      </c>
      <c r="D654" t="inlineStr">
        <is>
          <t>ÖSTERGÖTLANDS LÄN</t>
        </is>
      </c>
      <c r="E654" t="inlineStr">
        <is>
          <t>LINKÖPING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30433-2024</t>
        </is>
      </c>
      <c r="B655" s="1" t="n">
        <v>45491.69741898148</v>
      </c>
      <c r="C655" s="1" t="n">
        <v>45901</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52220-2023</t>
        </is>
      </c>
      <c r="B656" s="1" t="n">
        <v>45217</v>
      </c>
      <c r="C656" s="1" t="n">
        <v>45901</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52225-2023</t>
        </is>
      </c>
      <c r="B657" s="1" t="n">
        <v>45217</v>
      </c>
      <c r="C657" s="1" t="n">
        <v>45901</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19464-2024</t>
        </is>
      </c>
      <c r="B658" s="1" t="n">
        <v>45429</v>
      </c>
      <c r="C658" s="1" t="n">
        <v>45901</v>
      </c>
      <c r="D658" t="inlineStr">
        <is>
          <t>ÖSTERGÖTLANDS LÄN</t>
        </is>
      </c>
      <c r="E658" t="inlineStr">
        <is>
          <t>LINKÖPING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42044-2023</t>
        </is>
      </c>
      <c r="B659" s="1" t="n">
        <v>45177</v>
      </c>
      <c r="C659" s="1" t="n">
        <v>45901</v>
      </c>
      <c r="D659" t="inlineStr">
        <is>
          <t>ÖSTERGÖTLANDS LÄN</t>
        </is>
      </c>
      <c r="E659" t="inlineStr">
        <is>
          <t>LINKÖPING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630-2024</t>
        </is>
      </c>
      <c r="B660" s="1" t="n">
        <v>45299.67736111111</v>
      </c>
      <c r="C660" s="1" t="n">
        <v>45901</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21782-2024</t>
        </is>
      </c>
      <c r="B661" s="1" t="n">
        <v>45442.63368055555</v>
      </c>
      <c r="C661" s="1" t="n">
        <v>45901</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57766-2023</t>
        </is>
      </c>
      <c r="B662" s="1" t="n">
        <v>45246</v>
      </c>
      <c r="C662" s="1" t="n">
        <v>45901</v>
      </c>
      <c r="D662" t="inlineStr">
        <is>
          <t>ÖSTERGÖTLANDS LÄN</t>
        </is>
      </c>
      <c r="E662" t="inlineStr">
        <is>
          <t>LINKÖPING</t>
        </is>
      </c>
      <c r="F662" t="inlineStr">
        <is>
          <t>Allmännings- och besparingsskogar</t>
        </is>
      </c>
      <c r="G662" t="n">
        <v>12.8</v>
      </c>
      <c r="H662" t="n">
        <v>0</v>
      </c>
      <c r="I662" t="n">
        <v>0</v>
      </c>
      <c r="J662" t="n">
        <v>0</v>
      </c>
      <c r="K662" t="n">
        <v>0</v>
      </c>
      <c r="L662" t="n">
        <v>0</v>
      </c>
      <c r="M662" t="n">
        <v>0</v>
      </c>
      <c r="N662" t="n">
        <v>0</v>
      </c>
      <c r="O662" t="n">
        <v>0</v>
      </c>
      <c r="P662" t="n">
        <v>0</v>
      </c>
      <c r="Q662" t="n">
        <v>0</v>
      </c>
      <c r="R662" s="2" t="inlineStr"/>
    </row>
    <row r="663" ht="15" customHeight="1">
      <c r="A663" t="inlineStr">
        <is>
          <t>A 27186-2021</t>
        </is>
      </c>
      <c r="B663" s="1" t="n">
        <v>44350.67715277777</v>
      </c>
      <c r="C663" s="1" t="n">
        <v>45901</v>
      </c>
      <c r="D663" t="inlineStr">
        <is>
          <t>ÖSTERGÖTLANDS LÄN</t>
        </is>
      </c>
      <c r="E663" t="inlineStr">
        <is>
          <t>LINKÖPING</t>
        </is>
      </c>
      <c r="F663" t="inlineStr">
        <is>
          <t>Allmännings- och besparingsskogar</t>
        </is>
      </c>
      <c r="G663" t="n">
        <v>1.4</v>
      </c>
      <c r="H663" t="n">
        <v>0</v>
      </c>
      <c r="I663" t="n">
        <v>0</v>
      </c>
      <c r="J663" t="n">
        <v>0</v>
      </c>
      <c r="K663" t="n">
        <v>0</v>
      </c>
      <c r="L663" t="n">
        <v>0</v>
      </c>
      <c r="M663" t="n">
        <v>0</v>
      </c>
      <c r="N663" t="n">
        <v>0</v>
      </c>
      <c r="O663" t="n">
        <v>0</v>
      </c>
      <c r="P663" t="n">
        <v>0</v>
      </c>
      <c r="Q663" t="n">
        <v>0</v>
      </c>
      <c r="R663" s="2" t="inlineStr"/>
    </row>
    <row r="664" ht="15" customHeight="1">
      <c r="A664" t="inlineStr">
        <is>
          <t>A 10194-2023</t>
        </is>
      </c>
      <c r="B664" s="1" t="n">
        <v>44986.52277777778</v>
      </c>
      <c r="C664" s="1" t="n">
        <v>45901</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55944-2024</t>
        </is>
      </c>
      <c r="B665" s="1" t="n">
        <v>45623.61640046296</v>
      </c>
      <c r="C665" s="1" t="n">
        <v>45901</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55947-2024</t>
        </is>
      </c>
      <c r="B666" s="1" t="n">
        <v>45623</v>
      </c>
      <c r="C666" s="1" t="n">
        <v>45901</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47703-2023</t>
        </is>
      </c>
      <c r="B667" s="1" t="n">
        <v>45203</v>
      </c>
      <c r="C667" s="1" t="n">
        <v>45901</v>
      </c>
      <c r="D667" t="inlineStr">
        <is>
          <t>ÖSTERGÖTLANDS LÄN</t>
        </is>
      </c>
      <c r="E667" t="inlineStr">
        <is>
          <t>LINKÖPING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51559-2024</t>
        </is>
      </c>
      <c r="B668" s="1" t="n">
        <v>45604.61431712963</v>
      </c>
      <c r="C668" s="1" t="n">
        <v>45901</v>
      </c>
      <c r="D668" t="inlineStr">
        <is>
          <t>ÖSTERGÖTLANDS LÄN</t>
        </is>
      </c>
      <c r="E668" t="inlineStr">
        <is>
          <t>LINKÖPING</t>
        </is>
      </c>
      <c r="F668" t="inlineStr">
        <is>
          <t>Övriga Aktiebolag</t>
        </is>
      </c>
      <c r="G668" t="n">
        <v>2.4</v>
      </c>
      <c r="H668" t="n">
        <v>0</v>
      </c>
      <c r="I668" t="n">
        <v>0</v>
      </c>
      <c r="J668" t="n">
        <v>0</v>
      </c>
      <c r="K668" t="n">
        <v>0</v>
      </c>
      <c r="L668" t="n">
        <v>0</v>
      </c>
      <c r="M668" t="n">
        <v>0</v>
      </c>
      <c r="N668" t="n">
        <v>0</v>
      </c>
      <c r="O668" t="n">
        <v>0</v>
      </c>
      <c r="P668" t="n">
        <v>0</v>
      </c>
      <c r="Q668" t="n">
        <v>0</v>
      </c>
      <c r="R668" s="2" t="inlineStr"/>
    </row>
    <row r="669" ht="15" customHeight="1">
      <c r="A669" t="inlineStr">
        <is>
          <t>A 62353-2022</t>
        </is>
      </c>
      <c r="B669" s="1" t="n">
        <v>44923</v>
      </c>
      <c r="C669" s="1" t="n">
        <v>45901</v>
      </c>
      <c r="D669" t="inlineStr">
        <is>
          <t>ÖSTERGÖTLANDS LÄN</t>
        </is>
      </c>
      <c r="E669" t="inlineStr">
        <is>
          <t>LINKÖPING</t>
        </is>
      </c>
      <c r="F669" t="inlineStr">
        <is>
          <t>Allmännings- och besparingsskogar</t>
        </is>
      </c>
      <c r="G669" t="n">
        <v>1.7</v>
      </c>
      <c r="H669" t="n">
        <v>0</v>
      </c>
      <c r="I669" t="n">
        <v>0</v>
      </c>
      <c r="J669" t="n">
        <v>0</v>
      </c>
      <c r="K669" t="n">
        <v>0</v>
      </c>
      <c r="L669" t="n">
        <v>0</v>
      </c>
      <c r="M669" t="n">
        <v>0</v>
      </c>
      <c r="N669" t="n">
        <v>0</v>
      </c>
      <c r="O669" t="n">
        <v>0</v>
      </c>
      <c r="P669" t="n">
        <v>0</v>
      </c>
      <c r="Q669" t="n">
        <v>0</v>
      </c>
      <c r="R669" s="2" t="inlineStr"/>
    </row>
    <row r="670" ht="15" customHeight="1">
      <c r="A670" t="inlineStr">
        <is>
          <t>A 15754-2025</t>
        </is>
      </c>
      <c r="B670" s="1" t="n">
        <v>45748.56105324074</v>
      </c>
      <c r="C670" s="1" t="n">
        <v>45901</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4298-2023</t>
        </is>
      </c>
      <c r="B671" s="1" t="n">
        <v>44953</v>
      </c>
      <c r="C671" s="1" t="n">
        <v>45901</v>
      </c>
      <c r="D671" t="inlineStr">
        <is>
          <t>ÖSTERGÖTLANDS LÄN</t>
        </is>
      </c>
      <c r="E671" t="inlineStr">
        <is>
          <t>LINKÖPING</t>
        </is>
      </c>
      <c r="G671" t="n">
        <v>2.8</v>
      </c>
      <c r="H671" t="n">
        <v>0</v>
      </c>
      <c r="I671" t="n">
        <v>0</v>
      </c>
      <c r="J671" t="n">
        <v>0</v>
      </c>
      <c r="K671" t="n">
        <v>0</v>
      </c>
      <c r="L671" t="n">
        <v>0</v>
      </c>
      <c r="M671" t="n">
        <v>0</v>
      </c>
      <c r="N671" t="n">
        <v>0</v>
      </c>
      <c r="O671" t="n">
        <v>0</v>
      </c>
      <c r="P671" t="n">
        <v>0</v>
      </c>
      <c r="Q671" t="n">
        <v>0</v>
      </c>
      <c r="R671" s="2" t="inlineStr"/>
    </row>
    <row r="672" ht="15" customHeight="1">
      <c r="A672" t="inlineStr">
        <is>
          <t>A 18145-2021</t>
        </is>
      </c>
      <c r="B672" s="1" t="n">
        <v>44302</v>
      </c>
      <c r="C672" s="1" t="n">
        <v>45901</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25568-2024</t>
        </is>
      </c>
      <c r="B673" s="1" t="n">
        <v>45463.58699074074</v>
      </c>
      <c r="C673" s="1" t="n">
        <v>45901</v>
      </c>
      <c r="D673" t="inlineStr">
        <is>
          <t>ÖSTERGÖTLANDS LÄN</t>
        </is>
      </c>
      <c r="E673" t="inlineStr">
        <is>
          <t>LINKÖPING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38136-2023</t>
        </is>
      </c>
      <c r="B674" s="1" t="n">
        <v>45161.37310185185</v>
      </c>
      <c r="C674" s="1" t="n">
        <v>45901</v>
      </c>
      <c r="D674" t="inlineStr">
        <is>
          <t>ÖSTERGÖTLANDS LÄN</t>
        </is>
      </c>
      <c r="E674" t="inlineStr">
        <is>
          <t>LINKÖPING</t>
        </is>
      </c>
      <c r="G674" t="n">
        <v>5.6</v>
      </c>
      <c r="H674" t="n">
        <v>0</v>
      </c>
      <c r="I674" t="n">
        <v>0</v>
      </c>
      <c r="J674" t="n">
        <v>0</v>
      </c>
      <c r="K674" t="n">
        <v>0</v>
      </c>
      <c r="L674" t="n">
        <v>0</v>
      </c>
      <c r="M674" t="n">
        <v>0</v>
      </c>
      <c r="N674" t="n">
        <v>0</v>
      </c>
      <c r="O674" t="n">
        <v>0</v>
      </c>
      <c r="P674" t="n">
        <v>0</v>
      </c>
      <c r="Q674" t="n">
        <v>0</v>
      </c>
      <c r="R674" s="2" t="inlineStr"/>
    </row>
    <row r="675" ht="15" customHeight="1">
      <c r="A675" t="inlineStr">
        <is>
          <t>A 12317-2025</t>
        </is>
      </c>
      <c r="B675" s="1" t="n">
        <v>45729.8487037037</v>
      </c>
      <c r="C675" s="1" t="n">
        <v>45901</v>
      </c>
      <c r="D675" t="inlineStr">
        <is>
          <t>ÖSTERGÖTLANDS LÄN</t>
        </is>
      </c>
      <c r="E675" t="inlineStr">
        <is>
          <t>LINKÖPING</t>
        </is>
      </c>
      <c r="G675" t="n">
        <v>8</v>
      </c>
      <c r="H675" t="n">
        <v>0</v>
      </c>
      <c r="I675" t="n">
        <v>0</v>
      </c>
      <c r="J675" t="n">
        <v>0</v>
      </c>
      <c r="K675" t="n">
        <v>0</v>
      </c>
      <c r="L675" t="n">
        <v>0</v>
      </c>
      <c r="M675" t="n">
        <v>0</v>
      </c>
      <c r="N675" t="n">
        <v>0</v>
      </c>
      <c r="O675" t="n">
        <v>0</v>
      </c>
      <c r="P675" t="n">
        <v>0</v>
      </c>
      <c r="Q675" t="n">
        <v>0</v>
      </c>
      <c r="R675" s="2" t="inlineStr"/>
    </row>
    <row r="676" ht="15" customHeight="1">
      <c r="A676" t="inlineStr">
        <is>
          <t>A 14528-2025</t>
        </is>
      </c>
      <c r="B676" s="1" t="n">
        <v>45741</v>
      </c>
      <c r="C676" s="1" t="n">
        <v>45901</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61649-2023</t>
        </is>
      </c>
      <c r="B677" s="1" t="n">
        <v>45265</v>
      </c>
      <c r="C677" s="1" t="n">
        <v>45901</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60985-2023</t>
        </is>
      </c>
      <c r="B678" s="1" t="n">
        <v>45261.48429398148</v>
      </c>
      <c r="C678" s="1" t="n">
        <v>45901</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421-2024</t>
        </is>
      </c>
      <c r="B679" s="1" t="n">
        <v>45296.51877314815</v>
      </c>
      <c r="C679" s="1" t="n">
        <v>45901</v>
      </c>
      <c r="D679" t="inlineStr">
        <is>
          <t>ÖSTERGÖTLANDS LÄN</t>
        </is>
      </c>
      <c r="E679" t="inlineStr">
        <is>
          <t>LINKÖPING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13691-2025</t>
        </is>
      </c>
      <c r="B680" s="1" t="n">
        <v>45737.31671296297</v>
      </c>
      <c r="C680" s="1" t="n">
        <v>45901</v>
      </c>
      <c r="D680" t="inlineStr">
        <is>
          <t>ÖSTERGÖTLANDS LÄN</t>
        </is>
      </c>
      <c r="E680" t="inlineStr">
        <is>
          <t>LINKÖPING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51405-2023</t>
        </is>
      </c>
      <c r="B681" s="1" t="n">
        <v>45219</v>
      </c>
      <c r="C681" s="1" t="n">
        <v>45901</v>
      </c>
      <c r="D681" t="inlineStr">
        <is>
          <t>ÖSTERGÖTLANDS LÄN</t>
        </is>
      </c>
      <c r="E681" t="inlineStr">
        <is>
          <t>LINKÖPING</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53639-2023</t>
        </is>
      </c>
      <c r="B682" s="1" t="n">
        <v>45230.59686342593</v>
      </c>
      <c r="C682" s="1" t="n">
        <v>45901</v>
      </c>
      <c r="D682" t="inlineStr">
        <is>
          <t>ÖSTERGÖTLANDS LÄN</t>
        </is>
      </c>
      <c r="E682" t="inlineStr">
        <is>
          <t>LINKÖPING</t>
        </is>
      </c>
      <c r="G682" t="n">
        <v>2.3</v>
      </c>
      <c r="H682" t="n">
        <v>0</v>
      </c>
      <c r="I682" t="n">
        <v>0</v>
      </c>
      <c r="J682" t="n">
        <v>0</v>
      </c>
      <c r="K682" t="n">
        <v>0</v>
      </c>
      <c r="L682" t="n">
        <v>0</v>
      </c>
      <c r="M682" t="n">
        <v>0</v>
      </c>
      <c r="N682" t="n">
        <v>0</v>
      </c>
      <c r="O682" t="n">
        <v>0</v>
      </c>
      <c r="P682" t="n">
        <v>0</v>
      </c>
      <c r="Q682" t="n">
        <v>0</v>
      </c>
      <c r="R682" s="2" t="inlineStr"/>
    </row>
    <row r="683" ht="15" customHeight="1">
      <c r="A683" t="inlineStr">
        <is>
          <t>A 24467-2023</t>
        </is>
      </c>
      <c r="B683" s="1" t="n">
        <v>45082</v>
      </c>
      <c r="C683" s="1" t="n">
        <v>45901</v>
      </c>
      <c r="D683" t="inlineStr">
        <is>
          <t>ÖSTERGÖTLANDS LÄN</t>
        </is>
      </c>
      <c r="E683" t="inlineStr">
        <is>
          <t>LINKÖPING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62488-2023</t>
        </is>
      </c>
      <c r="B684" s="1" t="n">
        <v>45268.5847337963</v>
      </c>
      <c r="C684" s="1" t="n">
        <v>45901</v>
      </c>
      <c r="D684" t="inlineStr">
        <is>
          <t>ÖSTERGÖTLANDS LÄN</t>
        </is>
      </c>
      <c r="E684" t="inlineStr">
        <is>
          <t>LINKÖPING</t>
        </is>
      </c>
      <c r="G684" t="n">
        <v>4.1</v>
      </c>
      <c r="H684" t="n">
        <v>0</v>
      </c>
      <c r="I684" t="n">
        <v>0</v>
      </c>
      <c r="J684" t="n">
        <v>0</v>
      </c>
      <c r="K684" t="n">
        <v>0</v>
      </c>
      <c r="L684" t="n">
        <v>0</v>
      </c>
      <c r="M684" t="n">
        <v>0</v>
      </c>
      <c r="N684" t="n">
        <v>0</v>
      </c>
      <c r="O684" t="n">
        <v>0</v>
      </c>
      <c r="P684" t="n">
        <v>0</v>
      </c>
      <c r="Q684" t="n">
        <v>0</v>
      </c>
      <c r="R684" s="2" t="inlineStr"/>
    </row>
    <row r="685" ht="15" customHeight="1">
      <c r="A685" t="inlineStr">
        <is>
          <t>A 62495-2023</t>
        </is>
      </c>
      <c r="B685" s="1" t="n">
        <v>45268.59717592593</v>
      </c>
      <c r="C685" s="1" t="n">
        <v>45901</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10198-2023</t>
        </is>
      </c>
      <c r="B686" s="1" t="n">
        <v>44986.54665509259</v>
      </c>
      <c r="C686" s="1" t="n">
        <v>45901</v>
      </c>
      <c r="D686" t="inlineStr">
        <is>
          <t>ÖSTERGÖTLANDS LÄN</t>
        </is>
      </c>
      <c r="E686" t="inlineStr">
        <is>
          <t>LINKÖPING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22771-2024</t>
        </is>
      </c>
      <c r="B687" s="1" t="n">
        <v>45448.46574074074</v>
      </c>
      <c r="C687" s="1" t="n">
        <v>45901</v>
      </c>
      <c r="D687" t="inlineStr">
        <is>
          <t>ÖSTERGÖTLANDS LÄN</t>
        </is>
      </c>
      <c r="E687" t="inlineStr">
        <is>
          <t>LINKÖPING</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17128-2025</t>
        </is>
      </c>
      <c r="B688" s="1" t="n">
        <v>45755.72622685185</v>
      </c>
      <c r="C688" s="1" t="n">
        <v>45901</v>
      </c>
      <c r="D688" t="inlineStr">
        <is>
          <t>ÖSTERGÖTLANDS LÄN</t>
        </is>
      </c>
      <c r="E688" t="inlineStr">
        <is>
          <t>LINKÖPING</t>
        </is>
      </c>
      <c r="G688" t="n">
        <v>2.9</v>
      </c>
      <c r="H688" t="n">
        <v>0</v>
      </c>
      <c r="I688" t="n">
        <v>0</v>
      </c>
      <c r="J688" t="n">
        <v>0</v>
      </c>
      <c r="K688" t="n">
        <v>0</v>
      </c>
      <c r="L688" t="n">
        <v>0</v>
      </c>
      <c r="M688" t="n">
        <v>0</v>
      </c>
      <c r="N688" t="n">
        <v>0</v>
      </c>
      <c r="O688" t="n">
        <v>0</v>
      </c>
      <c r="P688" t="n">
        <v>0</v>
      </c>
      <c r="Q688" t="n">
        <v>0</v>
      </c>
      <c r="R688" s="2" t="inlineStr"/>
    </row>
    <row r="689" ht="15" customHeight="1">
      <c r="A689" t="inlineStr">
        <is>
          <t>A 62018-2024</t>
        </is>
      </c>
      <c r="B689" s="1" t="n">
        <v>45655.81387731482</v>
      </c>
      <c r="C689" s="1" t="n">
        <v>45901</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62073-2023</t>
        </is>
      </c>
      <c r="B690" s="1" t="n">
        <v>45266.73844907407</v>
      </c>
      <c r="C690" s="1" t="n">
        <v>45901</v>
      </c>
      <c r="D690" t="inlineStr">
        <is>
          <t>ÖSTERGÖTLANDS LÄN</t>
        </is>
      </c>
      <c r="E690" t="inlineStr">
        <is>
          <t>LINKÖPING</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672-2024</t>
        </is>
      </c>
      <c r="B691" s="1" t="n">
        <v>45300</v>
      </c>
      <c r="C691" s="1" t="n">
        <v>45901</v>
      </c>
      <c r="D691" t="inlineStr">
        <is>
          <t>ÖSTERGÖTLANDS LÄN</t>
        </is>
      </c>
      <c r="E691" t="inlineStr">
        <is>
          <t>LINKÖPING</t>
        </is>
      </c>
      <c r="F691" t="inlineStr">
        <is>
          <t>Sveaskog</t>
        </is>
      </c>
      <c r="G691" t="n">
        <v>4.5</v>
      </c>
      <c r="H691" t="n">
        <v>0</v>
      </c>
      <c r="I691" t="n">
        <v>0</v>
      </c>
      <c r="J691" t="n">
        <v>0</v>
      </c>
      <c r="K691" t="n">
        <v>0</v>
      </c>
      <c r="L691" t="n">
        <v>0</v>
      </c>
      <c r="M691" t="n">
        <v>0</v>
      </c>
      <c r="N691" t="n">
        <v>0</v>
      </c>
      <c r="O691" t="n">
        <v>0</v>
      </c>
      <c r="P691" t="n">
        <v>0</v>
      </c>
      <c r="Q691" t="n">
        <v>0</v>
      </c>
      <c r="R691" s="2" t="inlineStr"/>
    </row>
    <row r="692">
      <c r="A692" t="inlineStr">
        <is>
          <t>A 42832-2023</t>
        </is>
      </c>
      <c r="B692" s="1" t="n">
        <v>45182.38091435185</v>
      </c>
      <c r="C692" s="1" t="n">
        <v>45901</v>
      </c>
      <c r="D692" t="inlineStr">
        <is>
          <t>ÖSTERGÖTLANDS LÄN</t>
        </is>
      </c>
      <c r="E692" t="inlineStr">
        <is>
          <t>LINKÖPING</t>
        </is>
      </c>
      <c r="G692" t="n">
        <v>2.5</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2025-09-01T08:32:25Z</dcterms:created>
  <dcterms:modified xmlns:dcterms="http://purl.org/dc/terms/" xmlns:xsi="http://www.w3.org/2001/XMLSchema-instance" xsi:type="dcterms:W3CDTF">2025-09-01T08:32:25Z</dcterms:modified>
</cp:coreProperties>
</file>