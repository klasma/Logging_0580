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45904</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45904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45904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45904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45904</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45904</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45904</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45904</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38137-2021</t>
        </is>
      </c>
      <c r="B20" s="1" t="n">
        <v>44405.38357638889</v>
      </c>
      <c r="C20" s="1" t="n">
        <v>45904</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17520-2022</t>
        </is>
      </c>
      <c r="B21" s="1" t="n">
        <v>44679</v>
      </c>
      <c r="C21" s="1" t="n">
        <v>45904</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21326-2025</t>
        </is>
      </c>
      <c r="B22" s="1" t="n">
        <v>45782.35407407407</v>
      </c>
      <c r="C22" s="1" t="n">
        <v>45904</v>
      </c>
      <c r="D22" t="inlineStr">
        <is>
          <t>ÖSTERGÖTLANDS LÄN</t>
        </is>
      </c>
      <c r="E22" t="inlineStr">
        <is>
          <t>LINKÖPING</t>
        </is>
      </c>
      <c r="G22" t="n">
        <v>4.9</v>
      </c>
      <c r="H22" t="n">
        <v>2</v>
      </c>
      <c r="I22" t="n">
        <v>0</v>
      </c>
      <c r="J22" t="n">
        <v>0</v>
      </c>
      <c r="K22" t="n">
        <v>0</v>
      </c>
      <c r="L22" t="n">
        <v>0</v>
      </c>
      <c r="M22" t="n">
        <v>0</v>
      </c>
      <c r="N22" t="n">
        <v>0</v>
      </c>
      <c r="O22" t="n">
        <v>0</v>
      </c>
      <c r="P22" t="n">
        <v>0</v>
      </c>
      <c r="Q22" t="n">
        <v>2</v>
      </c>
      <c r="R22" s="2" t="inlineStr">
        <is>
          <t>Blåsippa
Revlummer</t>
        </is>
      </c>
      <c r="S22">
        <f>HYPERLINK("https://klasma.github.io/Logging_0580/artfynd/A 21326-2025 artfynd.xlsx", "A 21326-2025")</f>
        <v/>
      </c>
      <c r="T22">
        <f>HYPERLINK("https://klasma.github.io/Logging_0580/kartor/A 21326-2025 karta.png", "A 21326-2025")</f>
        <v/>
      </c>
      <c r="V22">
        <f>HYPERLINK("https://klasma.github.io/Logging_0580/klagomål/A 21326-2025 FSC-klagomål.docx", "A 21326-2025")</f>
        <v/>
      </c>
      <c r="W22">
        <f>HYPERLINK("https://klasma.github.io/Logging_0580/klagomålsmail/A 21326-2025 FSC-klagomål mail.docx", "A 21326-2025")</f>
        <v/>
      </c>
      <c r="X22">
        <f>HYPERLINK("https://klasma.github.io/Logging_0580/tillsyn/A 21326-2025 tillsynsbegäran.docx", "A 21326-2025")</f>
        <v/>
      </c>
      <c r="Y22">
        <f>HYPERLINK("https://klasma.github.io/Logging_0580/tillsynsmail/A 21326-2025 tillsynsbegäran mail.docx", "A 21326-2025")</f>
        <v/>
      </c>
    </row>
    <row r="23" ht="15" customHeight="1">
      <c r="A23" t="inlineStr">
        <is>
          <t>A 27981-2022</t>
        </is>
      </c>
      <c r="B23" s="1" t="n">
        <v>44745</v>
      </c>
      <c r="C23" s="1" t="n">
        <v>45904</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20292-2025</t>
        </is>
      </c>
      <c r="B24" s="1" t="n">
        <v>45774.7449537037</v>
      </c>
      <c r="C24" s="1" t="n">
        <v>45904</v>
      </c>
      <c r="D24" t="inlineStr">
        <is>
          <t>ÖSTERGÖTLANDS LÄN</t>
        </is>
      </c>
      <c r="E24" t="inlineStr">
        <is>
          <t>LINKÖPING</t>
        </is>
      </c>
      <c r="G24" t="n">
        <v>8.4</v>
      </c>
      <c r="H24" t="n">
        <v>1</v>
      </c>
      <c r="I24" t="n">
        <v>1</v>
      </c>
      <c r="J24" t="n">
        <v>0</v>
      </c>
      <c r="K24" t="n">
        <v>0</v>
      </c>
      <c r="L24" t="n">
        <v>0</v>
      </c>
      <c r="M24" t="n">
        <v>0</v>
      </c>
      <c r="N24" t="n">
        <v>0</v>
      </c>
      <c r="O24" t="n">
        <v>0</v>
      </c>
      <c r="P24" t="n">
        <v>0</v>
      </c>
      <c r="Q24" t="n">
        <v>2</v>
      </c>
      <c r="R24" s="2" t="inlineStr">
        <is>
          <t>Blåmossa
Blåsippa</t>
        </is>
      </c>
      <c r="S24">
        <f>HYPERLINK("https://klasma.github.io/Logging_0580/artfynd/A 20292-2025 artfynd.xlsx", "A 20292-2025")</f>
        <v/>
      </c>
      <c r="T24">
        <f>HYPERLINK("https://klasma.github.io/Logging_0580/kartor/A 20292-2025 karta.png", "A 20292-2025")</f>
        <v/>
      </c>
      <c r="V24">
        <f>HYPERLINK("https://klasma.github.io/Logging_0580/klagomål/A 20292-2025 FSC-klagomål.docx", "A 20292-2025")</f>
        <v/>
      </c>
      <c r="W24">
        <f>HYPERLINK("https://klasma.github.io/Logging_0580/klagomålsmail/A 20292-2025 FSC-klagomål mail.docx", "A 20292-2025")</f>
        <v/>
      </c>
      <c r="X24">
        <f>HYPERLINK("https://klasma.github.io/Logging_0580/tillsyn/A 20292-2025 tillsynsbegäran.docx", "A 20292-2025")</f>
        <v/>
      </c>
      <c r="Y24">
        <f>HYPERLINK("https://klasma.github.io/Logging_0580/tillsynsmail/A 20292-2025 tillsynsbegäran mail.docx", "A 20292-2025")</f>
        <v/>
      </c>
    </row>
    <row r="25" ht="15" customHeight="1">
      <c r="A25" t="inlineStr">
        <is>
          <t>A 20297-2025</t>
        </is>
      </c>
      <c r="B25" s="1" t="n">
        <v>45774.74971064815</v>
      </c>
      <c r="C25" s="1" t="n">
        <v>45904</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50404-2023</t>
        </is>
      </c>
      <c r="B26" s="1" t="n">
        <v>45216</v>
      </c>
      <c r="C26" s="1" t="n">
        <v>45904</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25985-2025</t>
        </is>
      </c>
      <c r="B27" s="1" t="n">
        <v>45804.64479166667</v>
      </c>
      <c r="C27" s="1" t="n">
        <v>45904</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27795-2025</t>
        </is>
      </c>
      <c r="B28" s="1" t="n">
        <v>45816.7908912037</v>
      </c>
      <c r="C28" s="1" t="n">
        <v>45904</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45904</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45904</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38913-2023</t>
        </is>
      </c>
      <c r="B31" s="1" t="n">
        <v>45163</v>
      </c>
      <c r="C31" s="1" t="n">
        <v>45904</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58068-2021</t>
        </is>
      </c>
      <c r="B32" s="1" t="n">
        <v>44487</v>
      </c>
      <c r="C32" s="1" t="n">
        <v>45904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41751-2023</t>
        </is>
      </c>
      <c r="B33" s="1" t="n">
        <v>45176</v>
      </c>
      <c r="C33" s="1" t="n">
        <v>45904</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22040-2023</t>
        </is>
      </c>
      <c r="B34" s="1" t="n">
        <v>45068</v>
      </c>
      <c r="C34" s="1" t="n">
        <v>45904</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45904</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11613-2025</t>
        </is>
      </c>
      <c r="B36" s="1" t="n">
        <v>45727.44623842592</v>
      </c>
      <c r="C36" s="1" t="n">
        <v>45904</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42858-2023</t>
        </is>
      </c>
      <c r="B37" s="1" t="n">
        <v>45177</v>
      </c>
      <c r="C37" s="1" t="n">
        <v>45904</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55344-2024</t>
        </is>
      </c>
      <c r="B38" s="1" t="n">
        <v>45621.7202662037</v>
      </c>
      <c r="C38" s="1" t="n">
        <v>45904</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38129-2021</t>
        </is>
      </c>
      <c r="B39" s="1" t="n">
        <v>44405.37199074074</v>
      </c>
      <c r="C39" s="1" t="n">
        <v>45904</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43017-2021</t>
        </is>
      </c>
      <c r="B40" s="1" t="n">
        <v>44431</v>
      </c>
      <c r="C40" s="1" t="n">
        <v>45904</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56250-2021</t>
        </is>
      </c>
      <c r="B41" s="1" t="n">
        <v>44479</v>
      </c>
      <c r="C41" s="1" t="n">
        <v>45904</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46496-2022</t>
        </is>
      </c>
      <c r="B42" s="1" t="n">
        <v>44848</v>
      </c>
      <c r="C42" s="1" t="n">
        <v>45904</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14096-2021</t>
        </is>
      </c>
      <c r="B43" s="1" t="n">
        <v>44278</v>
      </c>
      <c r="C43" s="1" t="n">
        <v>45904</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71127-2021</t>
        </is>
      </c>
      <c r="B44" s="1" t="n">
        <v>44537</v>
      </c>
      <c r="C44" s="1" t="n">
        <v>45904</v>
      </c>
      <c r="D44" t="inlineStr">
        <is>
          <t>ÖSTERGÖTLANDS LÄN</t>
        </is>
      </c>
      <c r="E44" t="inlineStr">
        <is>
          <t>LINKÖPING</t>
        </is>
      </c>
      <c r="F44" t="inlineStr">
        <is>
          <t>Kommuner</t>
        </is>
      </c>
      <c r="G44" t="n">
        <v>7.2</v>
      </c>
      <c r="H44" t="n">
        <v>0</v>
      </c>
      <c r="I44" t="n">
        <v>0</v>
      </c>
      <c r="J44" t="n">
        <v>1</v>
      </c>
      <c r="K44" t="n">
        <v>0</v>
      </c>
      <c r="L44" t="n">
        <v>0</v>
      </c>
      <c r="M44" t="n">
        <v>0</v>
      </c>
      <c r="N44" t="n">
        <v>0</v>
      </c>
      <c r="O44" t="n">
        <v>1</v>
      </c>
      <c r="P44" t="n">
        <v>0</v>
      </c>
      <c r="Q44" t="n">
        <v>1</v>
      </c>
      <c r="R44" s="2" t="inlineStr">
        <is>
          <t>Svinrot</t>
        </is>
      </c>
      <c r="S44">
        <f>HYPERLINK("https://klasma.github.io/Logging_0580/artfynd/A 71127-2021 artfynd.xlsx", "A 71127-2021")</f>
        <v/>
      </c>
      <c r="T44">
        <f>HYPERLINK("https://klasma.github.io/Logging_0580/kartor/A 71127-2021 karta.png", "A 71127-2021")</f>
        <v/>
      </c>
      <c r="V44">
        <f>HYPERLINK("https://klasma.github.io/Logging_0580/klagomål/A 71127-2021 FSC-klagomål.docx", "A 71127-2021")</f>
        <v/>
      </c>
      <c r="W44">
        <f>HYPERLINK("https://klasma.github.io/Logging_0580/klagomålsmail/A 71127-2021 FSC-klagomål mail.docx", "A 71127-2021")</f>
        <v/>
      </c>
      <c r="X44">
        <f>HYPERLINK("https://klasma.github.io/Logging_0580/tillsyn/A 71127-2021 tillsynsbegäran.docx", "A 71127-2021")</f>
        <v/>
      </c>
      <c r="Y44">
        <f>HYPERLINK("https://klasma.github.io/Logging_0580/tillsynsmail/A 71127-2021 tillsynsbegäran mail.docx", "A 71127-2021")</f>
        <v/>
      </c>
    </row>
    <row r="45" ht="15" customHeight="1">
      <c r="A45" t="inlineStr">
        <is>
          <t>A 17513-2022</t>
        </is>
      </c>
      <c r="B45" s="1" t="n">
        <v>44679</v>
      </c>
      <c r="C45" s="1" t="n">
        <v>45904</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60573-2021</t>
        </is>
      </c>
      <c r="B46" s="1" t="n">
        <v>44496</v>
      </c>
      <c r="C46" s="1" t="n">
        <v>45904</v>
      </c>
      <c r="D46" t="inlineStr">
        <is>
          <t>ÖSTERGÖTLANDS LÄN</t>
        </is>
      </c>
      <c r="E46" t="inlineStr">
        <is>
          <t>LINKÖPING</t>
        </is>
      </c>
      <c r="F46" t="inlineStr">
        <is>
          <t>Övriga Aktiebolag</t>
        </is>
      </c>
      <c r="G46" t="n">
        <v>5.6</v>
      </c>
      <c r="H46" t="n">
        <v>0</v>
      </c>
      <c r="I46" t="n">
        <v>0</v>
      </c>
      <c r="J46" t="n">
        <v>1</v>
      </c>
      <c r="K46" t="n">
        <v>0</v>
      </c>
      <c r="L46" t="n">
        <v>0</v>
      </c>
      <c r="M46" t="n">
        <v>0</v>
      </c>
      <c r="N46" t="n">
        <v>0</v>
      </c>
      <c r="O46" t="n">
        <v>1</v>
      </c>
      <c r="P46" t="n">
        <v>0</v>
      </c>
      <c r="Q46" t="n">
        <v>1</v>
      </c>
      <c r="R46" s="2" t="inlineStr">
        <is>
          <t>Sommarfibbla</t>
        </is>
      </c>
      <c r="S46">
        <f>HYPERLINK("https://klasma.github.io/Logging_0580/artfynd/A 60573-2021 artfynd.xlsx", "A 60573-2021")</f>
        <v/>
      </c>
      <c r="T46">
        <f>HYPERLINK("https://klasma.github.io/Logging_0580/kartor/A 60573-2021 karta.png", "A 60573-2021")</f>
        <v/>
      </c>
      <c r="V46">
        <f>HYPERLINK("https://klasma.github.io/Logging_0580/klagomål/A 60573-2021 FSC-klagomål.docx", "A 60573-2021")</f>
        <v/>
      </c>
      <c r="W46">
        <f>HYPERLINK("https://klasma.github.io/Logging_0580/klagomålsmail/A 60573-2021 FSC-klagomål mail.docx", "A 60573-2021")</f>
        <v/>
      </c>
      <c r="X46">
        <f>HYPERLINK("https://klasma.github.io/Logging_0580/tillsyn/A 60573-2021 tillsynsbegäran.docx", "A 60573-2021")</f>
        <v/>
      </c>
      <c r="Y46">
        <f>HYPERLINK("https://klasma.github.io/Logging_0580/tillsynsmail/A 60573-2021 tillsynsbegäran mail.docx", "A 60573-2021")</f>
        <v/>
      </c>
    </row>
    <row r="47" ht="15" customHeight="1">
      <c r="A47" t="inlineStr">
        <is>
          <t>A 126-2024</t>
        </is>
      </c>
      <c r="B47" s="1" t="n">
        <v>45294</v>
      </c>
      <c r="C47" s="1" t="n">
        <v>45904</v>
      </c>
      <c r="D47" t="inlineStr">
        <is>
          <t>ÖSTERGÖTLANDS LÄN</t>
        </is>
      </c>
      <c r="E47" t="inlineStr">
        <is>
          <t>LINKÖPING</t>
        </is>
      </c>
      <c r="G47" t="n">
        <v>1</v>
      </c>
      <c r="H47" t="n">
        <v>0</v>
      </c>
      <c r="I47" t="n">
        <v>1</v>
      </c>
      <c r="J47" t="n">
        <v>0</v>
      </c>
      <c r="K47" t="n">
        <v>0</v>
      </c>
      <c r="L47" t="n">
        <v>0</v>
      </c>
      <c r="M47" t="n">
        <v>0</v>
      </c>
      <c r="N47" t="n">
        <v>0</v>
      </c>
      <c r="O47" t="n">
        <v>0</v>
      </c>
      <c r="P47" t="n">
        <v>0</v>
      </c>
      <c r="Q47" t="n">
        <v>1</v>
      </c>
      <c r="R47" s="2" t="inlineStr">
        <is>
          <t>Blåmossa</t>
        </is>
      </c>
      <c r="S47">
        <f>HYPERLINK("https://klasma.github.io/Logging_0580/artfynd/A 126-2024 artfynd.xlsx", "A 126-2024")</f>
        <v/>
      </c>
      <c r="T47">
        <f>HYPERLINK("https://klasma.github.io/Logging_0580/kartor/A 126-2024 karta.png", "A 126-2024")</f>
        <v/>
      </c>
      <c r="V47">
        <f>HYPERLINK("https://klasma.github.io/Logging_0580/klagomål/A 126-2024 FSC-klagomål.docx", "A 126-2024")</f>
        <v/>
      </c>
      <c r="W47">
        <f>HYPERLINK("https://klasma.github.io/Logging_0580/klagomålsmail/A 126-2024 FSC-klagomål mail.docx", "A 126-2024")</f>
        <v/>
      </c>
      <c r="X47">
        <f>HYPERLINK("https://klasma.github.io/Logging_0580/tillsyn/A 126-2024 tillsynsbegäran.docx", "A 126-2024")</f>
        <v/>
      </c>
      <c r="Y47">
        <f>HYPERLINK("https://klasma.github.io/Logging_0580/tillsynsmail/A 126-2024 tillsynsbegäran mail.docx", "A 126-2024")</f>
        <v/>
      </c>
    </row>
    <row r="48" ht="15" customHeight="1">
      <c r="A48" t="inlineStr">
        <is>
          <t>A 931-2025</t>
        </is>
      </c>
      <c r="B48" s="1" t="n">
        <v>45665.88498842593</v>
      </c>
      <c r="C48" s="1" t="n">
        <v>45904</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45904</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45904</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45904</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22526-2025</t>
        </is>
      </c>
      <c r="B52" s="1" t="n">
        <v>45786.78096064815</v>
      </c>
      <c r="C52" s="1" t="n">
        <v>45904</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41749-2023</t>
        </is>
      </c>
      <c r="B53" s="1" t="n">
        <v>45176</v>
      </c>
      <c r="C53" s="1" t="n">
        <v>45904</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13694-2025</t>
        </is>
      </c>
      <c r="B54" s="1" t="n">
        <v>45737.32148148148</v>
      </c>
      <c r="C54" s="1" t="n">
        <v>45904</v>
      </c>
      <c r="D54" t="inlineStr">
        <is>
          <t>ÖSTERGÖTLANDS LÄN</t>
        </is>
      </c>
      <c r="E54" t="inlineStr">
        <is>
          <t>LINKÖPING</t>
        </is>
      </c>
      <c r="G54" t="n">
        <v>9.300000000000001</v>
      </c>
      <c r="H54" t="n">
        <v>1</v>
      </c>
      <c r="I54" t="n">
        <v>0</v>
      </c>
      <c r="J54" t="n">
        <v>0</v>
      </c>
      <c r="K54" t="n">
        <v>0</v>
      </c>
      <c r="L54" t="n">
        <v>0</v>
      </c>
      <c r="M54" t="n">
        <v>0</v>
      </c>
      <c r="N54" t="n">
        <v>0</v>
      </c>
      <c r="O54" t="n">
        <v>0</v>
      </c>
      <c r="P54" t="n">
        <v>0</v>
      </c>
      <c r="Q54" t="n">
        <v>1</v>
      </c>
      <c r="R54" s="2" t="inlineStr">
        <is>
          <t>Mattlummer</t>
        </is>
      </c>
      <c r="S54">
        <f>HYPERLINK("https://klasma.github.io/Logging_0580/artfynd/A 13694-2025 artfynd.xlsx", "A 13694-2025")</f>
        <v/>
      </c>
      <c r="T54">
        <f>HYPERLINK("https://klasma.github.io/Logging_0580/kartor/A 13694-2025 karta.png", "A 13694-2025")</f>
        <v/>
      </c>
      <c r="V54">
        <f>HYPERLINK("https://klasma.github.io/Logging_0580/klagomål/A 13694-2025 FSC-klagomål.docx", "A 13694-2025")</f>
        <v/>
      </c>
      <c r="W54">
        <f>HYPERLINK("https://klasma.github.io/Logging_0580/klagomålsmail/A 13694-2025 FSC-klagomål mail.docx", "A 13694-2025")</f>
        <v/>
      </c>
      <c r="X54">
        <f>HYPERLINK("https://klasma.github.io/Logging_0580/tillsyn/A 13694-2025 tillsynsbegäran.docx", "A 13694-2025")</f>
        <v/>
      </c>
      <c r="Y54">
        <f>HYPERLINK("https://klasma.github.io/Logging_0580/tillsynsmail/A 13694-2025 tillsynsbegäran mail.docx", "A 13694-2025")</f>
        <v/>
      </c>
    </row>
    <row r="55" ht="15" customHeight="1">
      <c r="A55" t="inlineStr">
        <is>
          <t>A 44930-2020</t>
        </is>
      </c>
      <c r="B55" s="1" t="n">
        <v>44088</v>
      </c>
      <c r="C55" s="1" t="n">
        <v>45904</v>
      </c>
      <c r="D55" t="inlineStr">
        <is>
          <t>ÖSTERGÖTLANDS LÄN</t>
        </is>
      </c>
      <c r="E55" t="inlineStr">
        <is>
          <t>LINKÖPING</t>
        </is>
      </c>
      <c r="G55" t="n">
        <v>2.6</v>
      </c>
      <c r="H55" t="n">
        <v>1</v>
      </c>
      <c r="I55" t="n">
        <v>0</v>
      </c>
      <c r="J55" t="n">
        <v>0</v>
      </c>
      <c r="K55" t="n">
        <v>1</v>
      </c>
      <c r="L55" t="n">
        <v>0</v>
      </c>
      <c r="M55" t="n">
        <v>0</v>
      </c>
      <c r="N55" t="n">
        <v>0</v>
      </c>
      <c r="O55" t="n">
        <v>1</v>
      </c>
      <c r="P55" t="n">
        <v>1</v>
      </c>
      <c r="Q55" t="n">
        <v>1</v>
      </c>
      <c r="R55" s="2" t="inlineStr">
        <is>
          <t>Knärot</t>
        </is>
      </c>
      <c r="S55">
        <f>HYPERLINK("https://klasma.github.io/Logging_0580/artfynd/A 44930-2020 artfynd.xlsx", "A 44930-2020")</f>
        <v/>
      </c>
      <c r="T55">
        <f>HYPERLINK("https://klasma.github.io/Logging_0580/kartor/A 44930-2020 karta.png", "A 44930-2020")</f>
        <v/>
      </c>
      <c r="U55">
        <f>HYPERLINK("https://klasma.github.io/Logging_0580/knärot/A 44930-2020 karta knärot.png", "A 44930-2020")</f>
        <v/>
      </c>
      <c r="V55">
        <f>HYPERLINK("https://klasma.github.io/Logging_0580/klagomål/A 44930-2020 FSC-klagomål.docx", "A 44930-2020")</f>
        <v/>
      </c>
      <c r="W55">
        <f>HYPERLINK("https://klasma.github.io/Logging_0580/klagomålsmail/A 44930-2020 FSC-klagomål mail.docx", "A 44930-2020")</f>
        <v/>
      </c>
      <c r="X55">
        <f>HYPERLINK("https://klasma.github.io/Logging_0580/tillsyn/A 44930-2020 tillsynsbegäran.docx", "A 44930-2020")</f>
        <v/>
      </c>
      <c r="Y55">
        <f>HYPERLINK("https://klasma.github.io/Logging_0580/tillsynsmail/A 44930-2020 tillsynsbegäran mail.docx", "A 44930-2020")</f>
        <v/>
      </c>
    </row>
    <row r="56" ht="15" customHeight="1">
      <c r="A56" t="inlineStr">
        <is>
          <t>A 27403-2025</t>
        </is>
      </c>
      <c r="B56" s="1" t="n">
        <v>45812.72518518518</v>
      </c>
      <c r="C56" s="1" t="n">
        <v>45904</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69211-2021</t>
        </is>
      </c>
      <c r="B57" s="1" t="n">
        <v>44531</v>
      </c>
      <c r="C57" s="1" t="n">
        <v>45904</v>
      </c>
      <c r="D57" t="inlineStr">
        <is>
          <t>ÖSTERGÖTLANDS LÄN</t>
        </is>
      </c>
      <c r="E57" t="inlineStr">
        <is>
          <t>LINKÖPING</t>
        </is>
      </c>
      <c r="F57" t="inlineStr">
        <is>
          <t>Övriga statliga verk och myndigheter</t>
        </is>
      </c>
      <c r="G57" t="n">
        <v>3.8</v>
      </c>
      <c r="H57" t="n">
        <v>0</v>
      </c>
      <c r="I57" t="n">
        <v>1</v>
      </c>
      <c r="J57" t="n">
        <v>0</v>
      </c>
      <c r="K57" t="n">
        <v>0</v>
      </c>
      <c r="L57" t="n">
        <v>0</v>
      </c>
      <c r="M57" t="n">
        <v>0</v>
      </c>
      <c r="N57" t="n">
        <v>0</v>
      </c>
      <c r="O57" t="n">
        <v>0</v>
      </c>
      <c r="P57" t="n">
        <v>0</v>
      </c>
      <c r="Q57" t="n">
        <v>1</v>
      </c>
      <c r="R57" s="2" t="inlineStr">
        <is>
          <t>Bronshjon</t>
        </is>
      </c>
      <c r="S57">
        <f>HYPERLINK("https://klasma.github.io/Logging_0580/artfynd/A 69211-2021 artfynd.xlsx", "A 69211-2021")</f>
        <v/>
      </c>
      <c r="T57">
        <f>HYPERLINK("https://klasma.github.io/Logging_0580/kartor/A 69211-2021 karta.png", "A 69211-2021")</f>
        <v/>
      </c>
      <c r="V57">
        <f>HYPERLINK("https://klasma.github.io/Logging_0580/klagomål/A 69211-2021 FSC-klagomål.docx", "A 69211-2021")</f>
        <v/>
      </c>
      <c r="W57">
        <f>HYPERLINK("https://klasma.github.io/Logging_0580/klagomålsmail/A 69211-2021 FSC-klagomål mail.docx", "A 69211-2021")</f>
        <v/>
      </c>
      <c r="X57">
        <f>HYPERLINK("https://klasma.github.io/Logging_0580/tillsyn/A 69211-2021 tillsynsbegäran.docx", "A 69211-2021")</f>
        <v/>
      </c>
      <c r="Y57">
        <f>HYPERLINK("https://klasma.github.io/Logging_0580/tillsynsmail/A 69211-2021 tillsynsbegäran mail.docx", "A 69211-2021")</f>
        <v/>
      </c>
    </row>
    <row r="58" ht="15" customHeight="1">
      <c r="A58" t="inlineStr">
        <is>
          <t>A 56651-2023</t>
        </is>
      </c>
      <c r="B58" s="1" t="n">
        <v>45243</v>
      </c>
      <c r="C58" s="1" t="n">
        <v>45904</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17444-2025</t>
        </is>
      </c>
      <c r="B59" s="1" t="n">
        <v>45757.43452546297</v>
      </c>
      <c r="C59" s="1" t="n">
        <v>45904</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5911-2022</t>
        </is>
      </c>
      <c r="B60" s="1" t="n">
        <v>44597</v>
      </c>
      <c r="C60" s="1" t="n">
        <v>45904</v>
      </c>
      <c r="D60" t="inlineStr">
        <is>
          <t>ÖSTERGÖTLANDS LÄN</t>
        </is>
      </c>
      <c r="E60" t="inlineStr">
        <is>
          <t>LINKÖPING</t>
        </is>
      </c>
      <c r="G60" t="n">
        <v>3.5</v>
      </c>
      <c r="H60" t="n">
        <v>0</v>
      </c>
      <c r="I60" t="n">
        <v>0</v>
      </c>
      <c r="J60" t="n">
        <v>1</v>
      </c>
      <c r="K60" t="n">
        <v>0</v>
      </c>
      <c r="L60" t="n">
        <v>0</v>
      </c>
      <c r="M60" t="n">
        <v>0</v>
      </c>
      <c r="N60" t="n">
        <v>0</v>
      </c>
      <c r="O60" t="n">
        <v>1</v>
      </c>
      <c r="P60" t="n">
        <v>0</v>
      </c>
      <c r="Q60" t="n">
        <v>1</v>
      </c>
      <c r="R60" s="2" t="inlineStr">
        <is>
          <t>Spindelört</t>
        </is>
      </c>
      <c r="S60">
        <f>HYPERLINK("https://klasma.github.io/Logging_0580/artfynd/A 5911-2022 artfynd.xlsx", "A 5911-2022")</f>
        <v/>
      </c>
      <c r="T60">
        <f>HYPERLINK("https://klasma.github.io/Logging_0580/kartor/A 5911-2022 karta.png", "A 5911-2022")</f>
        <v/>
      </c>
      <c r="V60">
        <f>HYPERLINK("https://klasma.github.io/Logging_0580/klagomål/A 5911-2022 FSC-klagomål.docx", "A 5911-2022")</f>
        <v/>
      </c>
      <c r="W60">
        <f>HYPERLINK("https://klasma.github.io/Logging_0580/klagomålsmail/A 5911-2022 FSC-klagomål mail.docx", "A 5911-2022")</f>
        <v/>
      </c>
      <c r="X60">
        <f>HYPERLINK("https://klasma.github.io/Logging_0580/tillsyn/A 5911-2022 tillsynsbegäran.docx", "A 5911-2022")</f>
        <v/>
      </c>
      <c r="Y60">
        <f>HYPERLINK("https://klasma.github.io/Logging_0580/tillsynsmail/A 5911-2022 tillsynsbegäran mail.docx", "A 5911-2022")</f>
        <v/>
      </c>
    </row>
    <row r="61" ht="15" customHeight="1">
      <c r="A61" t="inlineStr">
        <is>
          <t>A 36723-2023</t>
        </is>
      </c>
      <c r="B61" s="1" t="n">
        <v>45153</v>
      </c>
      <c r="C61" s="1" t="n">
        <v>45904</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3395-2023</t>
        </is>
      </c>
      <c r="B62" s="1" t="n">
        <v>44949</v>
      </c>
      <c r="C62" s="1" t="n">
        <v>45904</v>
      </c>
      <c r="D62" t="inlineStr">
        <is>
          <t>ÖSTERGÖTLANDS LÄN</t>
        </is>
      </c>
      <c r="E62" t="inlineStr">
        <is>
          <t>LINKÖPING</t>
        </is>
      </c>
      <c r="G62" t="n">
        <v>2</v>
      </c>
      <c r="H62" t="n">
        <v>0</v>
      </c>
      <c r="I62" t="n">
        <v>0</v>
      </c>
      <c r="J62" t="n">
        <v>1</v>
      </c>
      <c r="K62" t="n">
        <v>0</v>
      </c>
      <c r="L62" t="n">
        <v>0</v>
      </c>
      <c r="M62" t="n">
        <v>0</v>
      </c>
      <c r="N62" t="n">
        <v>0</v>
      </c>
      <c r="O62" t="n">
        <v>1</v>
      </c>
      <c r="P62" t="n">
        <v>0</v>
      </c>
      <c r="Q62" t="n">
        <v>1</v>
      </c>
      <c r="R62" s="2" t="inlineStr">
        <is>
          <t>Sommarfibbla</t>
        </is>
      </c>
      <c r="S62">
        <f>HYPERLINK("https://klasma.github.io/Logging_0580/artfynd/A 3395-2023 artfynd.xlsx", "A 3395-2023")</f>
        <v/>
      </c>
      <c r="T62">
        <f>HYPERLINK("https://klasma.github.io/Logging_0580/kartor/A 3395-2023 karta.png", "A 3395-2023")</f>
        <v/>
      </c>
      <c r="V62">
        <f>HYPERLINK("https://klasma.github.io/Logging_0580/klagomål/A 3395-2023 FSC-klagomål.docx", "A 3395-2023")</f>
        <v/>
      </c>
      <c r="W62">
        <f>HYPERLINK("https://klasma.github.io/Logging_0580/klagomålsmail/A 3395-2023 FSC-klagomål mail.docx", "A 3395-2023")</f>
        <v/>
      </c>
      <c r="X62">
        <f>HYPERLINK("https://klasma.github.io/Logging_0580/tillsyn/A 3395-2023 tillsynsbegäran.docx", "A 3395-2023")</f>
        <v/>
      </c>
      <c r="Y62">
        <f>HYPERLINK("https://klasma.github.io/Logging_0580/tillsynsmail/A 3395-2023 tillsynsbegäran mail.docx", "A 3395-2023")</f>
        <v/>
      </c>
    </row>
    <row r="63" ht="15" customHeight="1">
      <c r="A63" t="inlineStr">
        <is>
          <t>A 19103-2021</t>
        </is>
      </c>
      <c r="B63" s="1" t="n">
        <v>44308</v>
      </c>
      <c r="C63" s="1" t="n">
        <v>45904</v>
      </c>
      <c r="D63" t="inlineStr">
        <is>
          <t>ÖSTERGÖTLANDS LÄN</t>
        </is>
      </c>
      <c r="E63" t="inlineStr">
        <is>
          <t>LINKÖPING</t>
        </is>
      </c>
      <c r="G63" t="n">
        <v>4.7</v>
      </c>
      <c r="H63" t="n">
        <v>0</v>
      </c>
      <c r="I63" t="n">
        <v>0</v>
      </c>
      <c r="J63" t="n">
        <v>1</v>
      </c>
      <c r="K63" t="n">
        <v>0</v>
      </c>
      <c r="L63" t="n">
        <v>0</v>
      </c>
      <c r="M63" t="n">
        <v>0</v>
      </c>
      <c r="N63" t="n">
        <v>0</v>
      </c>
      <c r="O63" t="n">
        <v>1</v>
      </c>
      <c r="P63" t="n">
        <v>0</v>
      </c>
      <c r="Q63" t="n">
        <v>1</v>
      </c>
      <c r="R63" s="2" t="inlineStr">
        <is>
          <t>Tallticka</t>
        </is>
      </c>
      <c r="S63">
        <f>HYPERLINK("https://klasma.github.io/Logging_0580/artfynd/A 19103-2021 artfynd.xlsx", "A 19103-2021")</f>
        <v/>
      </c>
      <c r="T63">
        <f>HYPERLINK("https://klasma.github.io/Logging_0580/kartor/A 19103-2021 karta.png", "A 19103-2021")</f>
        <v/>
      </c>
      <c r="V63">
        <f>HYPERLINK("https://klasma.github.io/Logging_0580/klagomål/A 19103-2021 FSC-klagomål.docx", "A 19103-2021")</f>
        <v/>
      </c>
      <c r="W63">
        <f>HYPERLINK("https://klasma.github.io/Logging_0580/klagomålsmail/A 19103-2021 FSC-klagomål mail.docx", "A 19103-2021")</f>
        <v/>
      </c>
      <c r="X63">
        <f>HYPERLINK("https://klasma.github.io/Logging_0580/tillsyn/A 19103-2021 tillsynsbegäran.docx", "A 19103-2021")</f>
        <v/>
      </c>
      <c r="Y63">
        <f>HYPERLINK("https://klasma.github.io/Logging_0580/tillsynsmail/A 19103-2021 tillsynsbegäran mail.docx", "A 19103-2021")</f>
        <v/>
      </c>
    </row>
    <row r="64" ht="15" customHeight="1">
      <c r="A64" t="inlineStr">
        <is>
          <t>A 90-2024</t>
        </is>
      </c>
      <c r="B64" s="1" t="n">
        <v>45293</v>
      </c>
      <c r="C64" s="1" t="n">
        <v>45904</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45904</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50806-2023</t>
        </is>
      </c>
      <c r="B66" s="1" t="n">
        <v>45217</v>
      </c>
      <c r="C66" s="1" t="n">
        <v>45904</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48984-2020</t>
        </is>
      </c>
      <c r="B67" s="1" t="n">
        <v>44104</v>
      </c>
      <c r="C67" s="1" t="n">
        <v>45904</v>
      </c>
      <c r="D67" t="inlineStr">
        <is>
          <t>ÖSTERGÖTLANDS LÄN</t>
        </is>
      </c>
      <c r="E67" t="inlineStr">
        <is>
          <t>LINKÖPING</t>
        </is>
      </c>
      <c r="G67" t="n">
        <v>2.8</v>
      </c>
      <c r="H67" t="n">
        <v>0</v>
      </c>
      <c r="I67" t="n">
        <v>0</v>
      </c>
      <c r="J67" t="n">
        <v>1</v>
      </c>
      <c r="K67" t="n">
        <v>0</v>
      </c>
      <c r="L67" t="n">
        <v>0</v>
      </c>
      <c r="M67" t="n">
        <v>0</v>
      </c>
      <c r="N67" t="n">
        <v>0</v>
      </c>
      <c r="O67" t="n">
        <v>1</v>
      </c>
      <c r="P67" t="n">
        <v>0</v>
      </c>
      <c r="Q67" t="n">
        <v>1</v>
      </c>
      <c r="R67" s="2" t="inlineStr">
        <is>
          <t>Vårstarr</t>
        </is>
      </c>
      <c r="S67">
        <f>HYPERLINK("https://klasma.github.io/Logging_0580/artfynd/A 48984-2020 artfynd.xlsx", "A 48984-2020")</f>
        <v/>
      </c>
      <c r="T67">
        <f>HYPERLINK("https://klasma.github.io/Logging_0580/kartor/A 48984-2020 karta.png", "A 48984-2020")</f>
        <v/>
      </c>
      <c r="V67">
        <f>HYPERLINK("https://klasma.github.io/Logging_0580/klagomål/A 48984-2020 FSC-klagomål.docx", "A 48984-2020")</f>
        <v/>
      </c>
      <c r="W67">
        <f>HYPERLINK("https://klasma.github.io/Logging_0580/klagomålsmail/A 48984-2020 FSC-klagomål mail.docx", "A 48984-2020")</f>
        <v/>
      </c>
      <c r="X67">
        <f>HYPERLINK("https://klasma.github.io/Logging_0580/tillsyn/A 48984-2020 tillsynsbegäran.docx", "A 48984-2020")</f>
        <v/>
      </c>
      <c r="Y67">
        <f>HYPERLINK("https://klasma.github.io/Logging_0580/tillsynsmail/A 48984-2020 tillsynsbegäran mail.docx", "A 48984-2020")</f>
        <v/>
      </c>
    </row>
    <row r="68" ht="15" customHeight="1">
      <c r="A68" t="inlineStr">
        <is>
          <t>A 15290-2025</t>
        </is>
      </c>
      <c r="B68" s="1" t="n">
        <v>45745.45288194445</v>
      </c>
      <c r="C68" s="1" t="n">
        <v>45904</v>
      </c>
      <c r="D68" t="inlineStr">
        <is>
          <t>ÖSTERGÖTLANDS LÄN</t>
        </is>
      </c>
      <c r="E68" t="inlineStr">
        <is>
          <t>LINKÖPING</t>
        </is>
      </c>
      <c r="G68" t="n">
        <v>18.4</v>
      </c>
      <c r="H68" t="n">
        <v>1</v>
      </c>
      <c r="I68" t="n">
        <v>0</v>
      </c>
      <c r="J68" t="n">
        <v>1</v>
      </c>
      <c r="K68" t="n">
        <v>0</v>
      </c>
      <c r="L68" t="n">
        <v>0</v>
      </c>
      <c r="M68" t="n">
        <v>0</v>
      </c>
      <c r="N68" t="n">
        <v>0</v>
      </c>
      <c r="O68" t="n">
        <v>1</v>
      </c>
      <c r="P68" t="n">
        <v>0</v>
      </c>
      <c r="Q68" t="n">
        <v>1</v>
      </c>
      <c r="R68" s="2" t="inlineStr">
        <is>
          <t>Havsörn</t>
        </is>
      </c>
      <c r="S68">
        <f>HYPERLINK("https://klasma.github.io/Logging_0580/artfynd/A 15290-2025 artfynd.xlsx", "A 15290-2025")</f>
        <v/>
      </c>
      <c r="T68">
        <f>HYPERLINK("https://klasma.github.io/Logging_0580/kartor/A 15290-2025 karta.png", "A 15290-2025")</f>
        <v/>
      </c>
      <c r="V68">
        <f>HYPERLINK("https://klasma.github.io/Logging_0580/klagomål/A 15290-2025 FSC-klagomål.docx", "A 15290-2025")</f>
        <v/>
      </c>
      <c r="W68">
        <f>HYPERLINK("https://klasma.github.io/Logging_0580/klagomålsmail/A 15290-2025 FSC-klagomål mail.docx", "A 15290-2025")</f>
        <v/>
      </c>
      <c r="X68">
        <f>HYPERLINK("https://klasma.github.io/Logging_0580/tillsyn/A 15290-2025 tillsynsbegäran.docx", "A 15290-2025")</f>
        <v/>
      </c>
      <c r="Y68">
        <f>HYPERLINK("https://klasma.github.io/Logging_0580/tillsynsmail/A 15290-2025 tillsynsbegäran mail.docx", "A 15290-2025")</f>
        <v/>
      </c>
      <c r="Z68">
        <f>HYPERLINK("https://klasma.github.io/Logging_0580/fåglar/A 15290-2025 prioriterade fågelarter.docx", "A 15290-2025")</f>
        <v/>
      </c>
    </row>
    <row r="69" ht="15" customHeight="1">
      <c r="A69" t="inlineStr">
        <is>
          <t>A 35948-2023</t>
        </is>
      </c>
      <c r="B69" s="1" t="n">
        <v>45148</v>
      </c>
      <c r="C69" s="1" t="n">
        <v>45904</v>
      </c>
      <c r="D69" t="inlineStr">
        <is>
          <t>ÖSTERGÖTLANDS LÄN</t>
        </is>
      </c>
      <c r="E69" t="inlineStr">
        <is>
          <t>LINKÖPING</t>
        </is>
      </c>
      <c r="G69" t="n">
        <v>1.9</v>
      </c>
      <c r="H69" t="n">
        <v>0</v>
      </c>
      <c r="I69" t="n">
        <v>1</v>
      </c>
      <c r="J69" t="n">
        <v>0</v>
      </c>
      <c r="K69" t="n">
        <v>0</v>
      </c>
      <c r="L69" t="n">
        <v>0</v>
      </c>
      <c r="M69" t="n">
        <v>0</v>
      </c>
      <c r="N69" t="n">
        <v>0</v>
      </c>
      <c r="O69" t="n">
        <v>0</v>
      </c>
      <c r="P69" t="n">
        <v>0</v>
      </c>
      <c r="Q69" t="n">
        <v>1</v>
      </c>
      <c r="R69" s="2" t="inlineStr">
        <is>
          <t>Brun nållav</t>
        </is>
      </c>
      <c r="S69">
        <f>HYPERLINK("https://klasma.github.io/Logging_0580/artfynd/A 35948-2023 artfynd.xlsx", "A 35948-2023")</f>
        <v/>
      </c>
      <c r="T69">
        <f>HYPERLINK("https://klasma.github.io/Logging_0580/kartor/A 35948-2023 karta.png", "A 35948-2023")</f>
        <v/>
      </c>
      <c r="V69">
        <f>HYPERLINK("https://klasma.github.io/Logging_0580/klagomål/A 35948-2023 FSC-klagomål.docx", "A 35948-2023")</f>
        <v/>
      </c>
      <c r="W69">
        <f>HYPERLINK("https://klasma.github.io/Logging_0580/klagomålsmail/A 35948-2023 FSC-klagomål mail.docx", "A 35948-2023")</f>
        <v/>
      </c>
      <c r="X69">
        <f>HYPERLINK("https://klasma.github.io/Logging_0580/tillsyn/A 35948-2023 tillsynsbegäran.docx", "A 35948-2023")</f>
        <v/>
      </c>
      <c r="Y69">
        <f>HYPERLINK("https://klasma.github.io/Logging_0580/tillsynsmail/A 35948-2023 tillsynsbegäran mail.docx", "A 35948-2023")</f>
        <v/>
      </c>
    </row>
    <row r="70" ht="15" customHeight="1">
      <c r="A70" t="inlineStr">
        <is>
          <t>A 34881-2023</t>
        </is>
      </c>
      <c r="B70" s="1" t="n">
        <v>45140</v>
      </c>
      <c r="C70" s="1" t="n">
        <v>45904</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62071-2023</t>
        </is>
      </c>
      <c r="B71" s="1" t="n">
        <v>45266.73542824074</v>
      </c>
      <c r="C71" s="1" t="n">
        <v>45904</v>
      </c>
      <c r="D71" t="inlineStr">
        <is>
          <t>ÖSTERGÖTLANDS LÄN</t>
        </is>
      </c>
      <c r="E71" t="inlineStr">
        <is>
          <t>LINKÖPING</t>
        </is>
      </c>
      <c r="G71" t="n">
        <v>6.5</v>
      </c>
      <c r="H71" t="n">
        <v>0</v>
      </c>
      <c r="I71" t="n">
        <v>0</v>
      </c>
      <c r="J71" t="n">
        <v>1</v>
      </c>
      <c r="K71" t="n">
        <v>0</v>
      </c>
      <c r="L71" t="n">
        <v>0</v>
      </c>
      <c r="M71" t="n">
        <v>0</v>
      </c>
      <c r="N71" t="n">
        <v>0</v>
      </c>
      <c r="O71" t="n">
        <v>1</v>
      </c>
      <c r="P71" t="n">
        <v>0</v>
      </c>
      <c r="Q71" t="n">
        <v>1</v>
      </c>
      <c r="R71" s="2" t="inlineStr">
        <is>
          <t>Svinrot</t>
        </is>
      </c>
      <c r="S71">
        <f>HYPERLINK("https://klasma.github.io/Logging_0580/artfynd/A 62071-2023 artfynd.xlsx", "A 62071-2023")</f>
        <v/>
      </c>
      <c r="T71">
        <f>HYPERLINK("https://klasma.github.io/Logging_0580/kartor/A 62071-2023 karta.png", "A 62071-2023")</f>
        <v/>
      </c>
      <c r="V71">
        <f>HYPERLINK("https://klasma.github.io/Logging_0580/klagomål/A 62071-2023 FSC-klagomål.docx", "A 62071-2023")</f>
        <v/>
      </c>
      <c r="W71">
        <f>HYPERLINK("https://klasma.github.io/Logging_0580/klagomålsmail/A 62071-2023 FSC-klagomål mail.docx", "A 62071-2023")</f>
        <v/>
      </c>
      <c r="X71">
        <f>HYPERLINK("https://klasma.github.io/Logging_0580/tillsyn/A 62071-2023 tillsynsbegäran.docx", "A 62071-2023")</f>
        <v/>
      </c>
      <c r="Y71">
        <f>HYPERLINK("https://klasma.github.io/Logging_0580/tillsynsmail/A 62071-2023 tillsynsbegäran mail.docx", "A 62071-2023")</f>
        <v/>
      </c>
    </row>
    <row r="72" ht="15" customHeight="1">
      <c r="A72" t="inlineStr">
        <is>
          <t>A 3397-2023</t>
        </is>
      </c>
      <c r="B72" s="1" t="n">
        <v>44949</v>
      </c>
      <c r="C72" s="1" t="n">
        <v>45904</v>
      </c>
      <c r="D72" t="inlineStr">
        <is>
          <t>ÖSTERGÖTLANDS LÄN</t>
        </is>
      </c>
      <c r="E72" t="inlineStr">
        <is>
          <t>LINKÖPING</t>
        </is>
      </c>
      <c r="G72" t="n">
        <v>4.1</v>
      </c>
      <c r="H72" t="n">
        <v>0</v>
      </c>
      <c r="I72" t="n">
        <v>0</v>
      </c>
      <c r="J72" t="n">
        <v>1</v>
      </c>
      <c r="K72" t="n">
        <v>0</v>
      </c>
      <c r="L72" t="n">
        <v>0</v>
      </c>
      <c r="M72" t="n">
        <v>0</v>
      </c>
      <c r="N72" t="n">
        <v>0</v>
      </c>
      <c r="O72" t="n">
        <v>1</v>
      </c>
      <c r="P72" t="n">
        <v>0</v>
      </c>
      <c r="Q72" t="n">
        <v>1</v>
      </c>
      <c r="R72" s="2" t="inlineStr">
        <is>
          <t>Svinrot</t>
        </is>
      </c>
      <c r="S72">
        <f>HYPERLINK("https://klasma.github.io/Logging_0580/artfynd/A 3397-2023 artfynd.xlsx", "A 3397-2023")</f>
        <v/>
      </c>
      <c r="T72">
        <f>HYPERLINK("https://klasma.github.io/Logging_0580/kartor/A 3397-2023 karta.png", "A 3397-2023")</f>
        <v/>
      </c>
      <c r="V72">
        <f>HYPERLINK("https://klasma.github.io/Logging_0580/klagomål/A 3397-2023 FSC-klagomål.docx", "A 3397-2023")</f>
        <v/>
      </c>
      <c r="W72">
        <f>HYPERLINK("https://klasma.github.io/Logging_0580/klagomålsmail/A 3397-2023 FSC-klagomål mail.docx", "A 3397-2023")</f>
        <v/>
      </c>
      <c r="X72">
        <f>HYPERLINK("https://klasma.github.io/Logging_0580/tillsyn/A 3397-2023 tillsynsbegäran.docx", "A 3397-2023")</f>
        <v/>
      </c>
      <c r="Y72">
        <f>HYPERLINK("https://klasma.github.io/Logging_0580/tillsynsmail/A 3397-2023 tillsynsbegäran mail.docx", "A 3397-2023")</f>
        <v/>
      </c>
    </row>
    <row r="73" ht="15" customHeight="1">
      <c r="A73" t="inlineStr">
        <is>
          <t>A 17389-2021</t>
        </is>
      </c>
      <c r="B73" s="1" t="n">
        <v>44298.96792824074</v>
      </c>
      <c r="C73" s="1" t="n">
        <v>45904</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45904</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45904</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54835-2023</t>
        </is>
      </c>
      <c r="B76" s="1" t="n">
        <v>45236</v>
      </c>
      <c r="C76" s="1" t="n">
        <v>45904</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20295-2025</t>
        </is>
      </c>
      <c r="B77" s="1" t="n">
        <v>45774.74846064814</v>
      </c>
      <c r="C77" s="1" t="n">
        <v>45904</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5984-2025</t>
        </is>
      </c>
      <c r="B78" s="1" t="n">
        <v>45695.55173611111</v>
      </c>
      <c r="C78" s="1" t="n">
        <v>45904</v>
      </c>
      <c r="D78" t="inlineStr">
        <is>
          <t>ÖSTERGÖTLANDS LÄN</t>
        </is>
      </c>
      <c r="E78" t="inlineStr">
        <is>
          <t>LINKÖPING</t>
        </is>
      </c>
      <c r="F78" t="inlineStr">
        <is>
          <t>Allmännings- och besparingsskogar</t>
        </is>
      </c>
      <c r="G78" t="n">
        <v>5.5</v>
      </c>
      <c r="H78" t="n">
        <v>0</v>
      </c>
      <c r="I78" t="n">
        <v>0</v>
      </c>
      <c r="J78" t="n">
        <v>1</v>
      </c>
      <c r="K78" t="n">
        <v>0</v>
      </c>
      <c r="L78" t="n">
        <v>0</v>
      </c>
      <c r="M78" t="n">
        <v>0</v>
      </c>
      <c r="N78" t="n">
        <v>0</v>
      </c>
      <c r="O78" t="n">
        <v>1</v>
      </c>
      <c r="P78" t="n">
        <v>0</v>
      </c>
      <c r="Q78" t="n">
        <v>1</v>
      </c>
      <c r="R78" s="2" t="inlineStr">
        <is>
          <t>Vanlig backsmörblomma</t>
        </is>
      </c>
      <c r="S78">
        <f>HYPERLINK("https://klasma.github.io/Logging_0580/artfynd/A 5984-2025 artfynd.xlsx", "A 5984-2025")</f>
        <v/>
      </c>
      <c r="T78">
        <f>HYPERLINK("https://klasma.github.io/Logging_0580/kartor/A 5984-2025 karta.png", "A 5984-2025")</f>
        <v/>
      </c>
      <c r="V78">
        <f>HYPERLINK("https://klasma.github.io/Logging_0580/klagomål/A 5984-2025 FSC-klagomål.docx", "A 5984-2025")</f>
        <v/>
      </c>
      <c r="W78">
        <f>HYPERLINK("https://klasma.github.io/Logging_0580/klagomålsmail/A 5984-2025 FSC-klagomål mail.docx", "A 5984-2025")</f>
        <v/>
      </c>
      <c r="X78">
        <f>HYPERLINK("https://klasma.github.io/Logging_0580/tillsyn/A 5984-2025 tillsynsbegäran.docx", "A 5984-2025")</f>
        <v/>
      </c>
      <c r="Y78">
        <f>HYPERLINK("https://klasma.github.io/Logging_0580/tillsynsmail/A 5984-2025 tillsynsbegäran mail.docx", "A 5984-2025")</f>
        <v/>
      </c>
    </row>
    <row r="79" ht="15" customHeight="1">
      <c r="A79" t="inlineStr">
        <is>
          <t>A 43726-2020</t>
        </is>
      </c>
      <c r="B79" s="1" t="n">
        <v>44082</v>
      </c>
      <c r="C79" s="1" t="n">
        <v>45904</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45904</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45904</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5008-2021</t>
        </is>
      </c>
      <c r="B82" s="1" t="n">
        <v>44228</v>
      </c>
      <c r="C82" s="1" t="n">
        <v>45904</v>
      </c>
      <c r="D82" t="inlineStr">
        <is>
          <t>ÖSTERGÖTLANDS LÄN</t>
        </is>
      </c>
      <c r="E82" t="inlineStr">
        <is>
          <t>LINKÖPING</t>
        </is>
      </c>
      <c r="F82" t="inlineStr">
        <is>
          <t>Övriga Aktiebolag</t>
        </is>
      </c>
      <c r="G82" t="n">
        <v>0.3</v>
      </c>
      <c r="H82" t="n">
        <v>0</v>
      </c>
      <c r="I82" t="n">
        <v>0</v>
      </c>
      <c r="J82" t="n">
        <v>0</v>
      </c>
      <c r="K82" t="n">
        <v>0</v>
      </c>
      <c r="L82" t="n">
        <v>0</v>
      </c>
      <c r="M82" t="n">
        <v>0</v>
      </c>
      <c r="N82" t="n">
        <v>0</v>
      </c>
      <c r="O82" t="n">
        <v>0</v>
      </c>
      <c r="P82" t="n">
        <v>0</v>
      </c>
      <c r="Q82" t="n">
        <v>0</v>
      </c>
      <c r="R82" s="2" t="inlineStr"/>
    </row>
    <row r="83" ht="15" customHeight="1">
      <c r="A83" t="inlineStr">
        <is>
          <t>A 56239-2021</t>
        </is>
      </c>
      <c r="B83" s="1" t="n">
        <v>44478</v>
      </c>
      <c r="C83" s="1" t="n">
        <v>45904</v>
      </c>
      <c r="D83" t="inlineStr">
        <is>
          <t>ÖSTERGÖTLANDS LÄN</t>
        </is>
      </c>
      <c r="E83" t="inlineStr">
        <is>
          <t>LINKÖPING</t>
        </is>
      </c>
      <c r="F83" t="inlineStr">
        <is>
          <t>Övriga Aktiebolag</t>
        </is>
      </c>
      <c r="G83" t="n">
        <v>3</v>
      </c>
      <c r="H83" t="n">
        <v>0</v>
      </c>
      <c r="I83" t="n">
        <v>0</v>
      </c>
      <c r="J83" t="n">
        <v>0</v>
      </c>
      <c r="K83" t="n">
        <v>0</v>
      </c>
      <c r="L83" t="n">
        <v>0</v>
      </c>
      <c r="M83" t="n">
        <v>0</v>
      </c>
      <c r="N83" t="n">
        <v>0</v>
      </c>
      <c r="O83" t="n">
        <v>0</v>
      </c>
      <c r="P83" t="n">
        <v>0</v>
      </c>
      <c r="Q83" t="n">
        <v>0</v>
      </c>
      <c r="R83" s="2" t="inlineStr"/>
    </row>
    <row r="84" ht="15" customHeight="1">
      <c r="A84" t="inlineStr">
        <is>
          <t>A 6958-2021</t>
        </is>
      </c>
      <c r="B84" s="1" t="n">
        <v>44237</v>
      </c>
      <c r="C84" s="1" t="n">
        <v>45904</v>
      </c>
      <c r="D84" t="inlineStr">
        <is>
          <t>ÖSTERGÖTLANDS LÄN</t>
        </is>
      </c>
      <c r="E84" t="inlineStr">
        <is>
          <t>LINKÖPING</t>
        </is>
      </c>
      <c r="G84" t="n">
        <v>0.6</v>
      </c>
      <c r="H84" t="n">
        <v>0</v>
      </c>
      <c r="I84" t="n">
        <v>0</v>
      </c>
      <c r="J84" t="n">
        <v>0</v>
      </c>
      <c r="K84" t="n">
        <v>0</v>
      </c>
      <c r="L84" t="n">
        <v>0</v>
      </c>
      <c r="M84" t="n">
        <v>0</v>
      </c>
      <c r="N84" t="n">
        <v>0</v>
      </c>
      <c r="O84" t="n">
        <v>0</v>
      </c>
      <c r="P84" t="n">
        <v>0</v>
      </c>
      <c r="Q84" t="n">
        <v>0</v>
      </c>
      <c r="R84" s="2" t="inlineStr"/>
    </row>
    <row r="85" ht="15" customHeight="1">
      <c r="A85" t="inlineStr">
        <is>
          <t>A 7289-2021</t>
        </is>
      </c>
      <c r="B85" s="1" t="n">
        <v>44238</v>
      </c>
      <c r="C85" s="1" t="n">
        <v>45904</v>
      </c>
      <c r="D85" t="inlineStr">
        <is>
          <t>ÖSTERGÖTLANDS LÄN</t>
        </is>
      </c>
      <c r="E85" t="inlineStr">
        <is>
          <t>LINKÖPING</t>
        </is>
      </c>
      <c r="G85" t="n">
        <v>0.7</v>
      </c>
      <c r="H85" t="n">
        <v>0</v>
      </c>
      <c r="I85" t="n">
        <v>0</v>
      </c>
      <c r="J85" t="n">
        <v>0</v>
      </c>
      <c r="K85" t="n">
        <v>0</v>
      </c>
      <c r="L85" t="n">
        <v>0</v>
      </c>
      <c r="M85" t="n">
        <v>0</v>
      </c>
      <c r="N85" t="n">
        <v>0</v>
      </c>
      <c r="O85" t="n">
        <v>0</v>
      </c>
      <c r="P85" t="n">
        <v>0</v>
      </c>
      <c r="Q85" t="n">
        <v>0</v>
      </c>
      <c r="R85" s="2" t="inlineStr"/>
    </row>
    <row r="86" ht="15" customHeight="1">
      <c r="A86" t="inlineStr">
        <is>
          <t>A 398-2021</t>
        </is>
      </c>
      <c r="B86" s="1" t="n">
        <v>44201</v>
      </c>
      <c r="C86" s="1" t="n">
        <v>45904</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67322-2021</t>
        </is>
      </c>
      <c r="B87" s="1" t="n">
        <v>44523</v>
      </c>
      <c r="C87" s="1" t="n">
        <v>45904</v>
      </c>
      <c r="D87" t="inlineStr">
        <is>
          <t>ÖSTERGÖTLANDS LÄN</t>
        </is>
      </c>
      <c r="E87" t="inlineStr">
        <is>
          <t>LINKÖPING</t>
        </is>
      </c>
      <c r="G87" t="n">
        <v>0.8</v>
      </c>
      <c r="H87" t="n">
        <v>0</v>
      </c>
      <c r="I87" t="n">
        <v>0</v>
      </c>
      <c r="J87" t="n">
        <v>0</v>
      </c>
      <c r="K87" t="n">
        <v>0</v>
      </c>
      <c r="L87" t="n">
        <v>0</v>
      </c>
      <c r="M87" t="n">
        <v>0</v>
      </c>
      <c r="N87" t="n">
        <v>0</v>
      </c>
      <c r="O87" t="n">
        <v>0</v>
      </c>
      <c r="P87" t="n">
        <v>0</v>
      </c>
      <c r="Q87" t="n">
        <v>0</v>
      </c>
      <c r="R87" s="2" t="inlineStr"/>
    </row>
    <row r="88" ht="15" customHeight="1">
      <c r="A88" t="inlineStr">
        <is>
          <t>A 7840-2022</t>
        </is>
      </c>
      <c r="B88" s="1" t="n">
        <v>44608</v>
      </c>
      <c r="C88" s="1" t="n">
        <v>45904</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40506-2021</t>
        </is>
      </c>
      <c r="B89" s="1" t="n">
        <v>44420</v>
      </c>
      <c r="C89" s="1" t="n">
        <v>45904</v>
      </c>
      <c r="D89" t="inlineStr">
        <is>
          <t>ÖSTERGÖTLANDS LÄN</t>
        </is>
      </c>
      <c r="E89" t="inlineStr">
        <is>
          <t>LINKÖPING</t>
        </is>
      </c>
      <c r="G89" t="n">
        <v>1</v>
      </c>
      <c r="H89" t="n">
        <v>0</v>
      </c>
      <c r="I89" t="n">
        <v>0</v>
      </c>
      <c r="J89" t="n">
        <v>0</v>
      </c>
      <c r="K89" t="n">
        <v>0</v>
      </c>
      <c r="L89" t="n">
        <v>0</v>
      </c>
      <c r="M89" t="n">
        <v>0</v>
      </c>
      <c r="N89" t="n">
        <v>0</v>
      </c>
      <c r="O89" t="n">
        <v>0</v>
      </c>
      <c r="P89" t="n">
        <v>0</v>
      </c>
      <c r="Q89" t="n">
        <v>0</v>
      </c>
      <c r="R89" s="2" t="inlineStr"/>
    </row>
    <row r="90" ht="15" customHeight="1">
      <c r="A90" t="inlineStr">
        <is>
          <t>A 64269-2021</t>
        </is>
      </c>
      <c r="B90" s="1" t="n">
        <v>44510</v>
      </c>
      <c r="C90" s="1" t="n">
        <v>45904</v>
      </c>
      <c r="D90" t="inlineStr">
        <is>
          <t>ÖSTERGÖTLANDS LÄN</t>
        </is>
      </c>
      <c r="E90" t="inlineStr">
        <is>
          <t>LINKÖPING</t>
        </is>
      </c>
      <c r="G90" t="n">
        <v>1.9</v>
      </c>
      <c r="H90" t="n">
        <v>0</v>
      </c>
      <c r="I90" t="n">
        <v>0</v>
      </c>
      <c r="J90" t="n">
        <v>0</v>
      </c>
      <c r="K90" t="n">
        <v>0</v>
      </c>
      <c r="L90" t="n">
        <v>0</v>
      </c>
      <c r="M90" t="n">
        <v>0</v>
      </c>
      <c r="N90" t="n">
        <v>0</v>
      </c>
      <c r="O90" t="n">
        <v>0</v>
      </c>
      <c r="P90" t="n">
        <v>0</v>
      </c>
      <c r="Q90" t="n">
        <v>0</v>
      </c>
      <c r="R90" s="2" t="inlineStr"/>
    </row>
    <row r="91" ht="15" customHeight="1">
      <c r="A91" t="inlineStr">
        <is>
          <t>A 58407-2021</t>
        </is>
      </c>
      <c r="B91" s="1" t="n">
        <v>44488</v>
      </c>
      <c r="C91" s="1" t="n">
        <v>45904</v>
      </c>
      <c r="D91" t="inlineStr">
        <is>
          <t>ÖSTERGÖTLANDS LÄN</t>
        </is>
      </c>
      <c r="E91" t="inlineStr">
        <is>
          <t>LINKÖPING</t>
        </is>
      </c>
      <c r="G91" t="n">
        <v>1.1</v>
      </c>
      <c r="H91" t="n">
        <v>0</v>
      </c>
      <c r="I91" t="n">
        <v>0</v>
      </c>
      <c r="J91" t="n">
        <v>0</v>
      </c>
      <c r="K91" t="n">
        <v>0</v>
      </c>
      <c r="L91" t="n">
        <v>0</v>
      </c>
      <c r="M91" t="n">
        <v>0</v>
      </c>
      <c r="N91" t="n">
        <v>0</v>
      </c>
      <c r="O91" t="n">
        <v>0</v>
      </c>
      <c r="P91" t="n">
        <v>0</v>
      </c>
      <c r="Q91" t="n">
        <v>0</v>
      </c>
      <c r="R91" s="2" t="inlineStr"/>
    </row>
    <row r="92" ht="15" customHeight="1">
      <c r="A92" t="inlineStr">
        <is>
          <t>A 30800-2022</t>
        </is>
      </c>
      <c r="B92" s="1" t="n">
        <v>44764.75119212963</v>
      </c>
      <c r="C92" s="1" t="n">
        <v>45904</v>
      </c>
      <c r="D92" t="inlineStr">
        <is>
          <t>ÖSTERGÖTLANDS LÄN</t>
        </is>
      </c>
      <c r="E92" t="inlineStr">
        <is>
          <t>LINKÖPING</t>
        </is>
      </c>
      <c r="G92" t="n">
        <v>0.9</v>
      </c>
      <c r="H92" t="n">
        <v>0</v>
      </c>
      <c r="I92" t="n">
        <v>0</v>
      </c>
      <c r="J92" t="n">
        <v>0</v>
      </c>
      <c r="K92" t="n">
        <v>0</v>
      </c>
      <c r="L92" t="n">
        <v>0</v>
      </c>
      <c r="M92" t="n">
        <v>0</v>
      </c>
      <c r="N92" t="n">
        <v>0</v>
      </c>
      <c r="O92" t="n">
        <v>0</v>
      </c>
      <c r="P92" t="n">
        <v>0</v>
      </c>
      <c r="Q92" t="n">
        <v>0</v>
      </c>
      <c r="R92" s="2" t="inlineStr"/>
    </row>
    <row r="93" ht="15" customHeight="1">
      <c r="A93" t="inlineStr">
        <is>
          <t>A 40635-2021</t>
        </is>
      </c>
      <c r="B93" s="1" t="n">
        <v>44420</v>
      </c>
      <c r="C93" s="1" t="n">
        <v>45904</v>
      </c>
      <c r="D93" t="inlineStr">
        <is>
          <t>ÖSTERGÖTLANDS LÄN</t>
        </is>
      </c>
      <c r="E93" t="inlineStr">
        <is>
          <t>LINKÖPING</t>
        </is>
      </c>
      <c r="G93" t="n">
        <v>2.7</v>
      </c>
      <c r="H93" t="n">
        <v>0</v>
      </c>
      <c r="I93" t="n">
        <v>0</v>
      </c>
      <c r="J93" t="n">
        <v>0</v>
      </c>
      <c r="K93" t="n">
        <v>0</v>
      </c>
      <c r="L93" t="n">
        <v>0</v>
      </c>
      <c r="M93" t="n">
        <v>0</v>
      </c>
      <c r="N93" t="n">
        <v>0</v>
      </c>
      <c r="O93" t="n">
        <v>0</v>
      </c>
      <c r="P93" t="n">
        <v>0</v>
      </c>
      <c r="Q93" t="n">
        <v>0</v>
      </c>
      <c r="R93" s="2" t="inlineStr"/>
    </row>
    <row r="94" ht="15" customHeight="1">
      <c r="A94" t="inlineStr">
        <is>
          <t>A 49018-2022</t>
        </is>
      </c>
      <c r="B94" s="1" t="n">
        <v>44855</v>
      </c>
      <c r="C94" s="1" t="n">
        <v>45904</v>
      </c>
      <c r="D94" t="inlineStr">
        <is>
          <t>ÖSTERGÖTLANDS LÄN</t>
        </is>
      </c>
      <c r="E94" t="inlineStr">
        <is>
          <t>LINKÖPING</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47319-2020</t>
        </is>
      </c>
      <c r="B95" s="1" t="n">
        <v>44095</v>
      </c>
      <c r="C95" s="1" t="n">
        <v>45904</v>
      </c>
      <c r="D95" t="inlineStr">
        <is>
          <t>ÖSTERGÖTLANDS LÄN</t>
        </is>
      </c>
      <c r="E95" t="inlineStr">
        <is>
          <t>LINKÖPING</t>
        </is>
      </c>
      <c r="F95" t="inlineStr">
        <is>
          <t>Kommuner</t>
        </is>
      </c>
      <c r="G95" t="n">
        <v>1.3</v>
      </c>
      <c r="H95" t="n">
        <v>0</v>
      </c>
      <c r="I95" t="n">
        <v>0</v>
      </c>
      <c r="J95" t="n">
        <v>0</v>
      </c>
      <c r="K95" t="n">
        <v>0</v>
      </c>
      <c r="L95" t="n">
        <v>0</v>
      </c>
      <c r="M95" t="n">
        <v>0</v>
      </c>
      <c r="N95" t="n">
        <v>0</v>
      </c>
      <c r="O95" t="n">
        <v>0</v>
      </c>
      <c r="P95" t="n">
        <v>0</v>
      </c>
      <c r="Q95" t="n">
        <v>0</v>
      </c>
      <c r="R95" s="2" t="inlineStr"/>
    </row>
    <row r="96" ht="15" customHeight="1">
      <c r="A96" t="inlineStr">
        <is>
          <t>A 1581-2022</t>
        </is>
      </c>
      <c r="B96" s="1" t="n">
        <v>44573</v>
      </c>
      <c r="C96" s="1" t="n">
        <v>45904</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38961-2021</t>
        </is>
      </c>
      <c r="B97" s="1" t="n">
        <v>44411</v>
      </c>
      <c r="C97" s="1" t="n">
        <v>45904</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45904</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159-2022</t>
        </is>
      </c>
      <c r="B99" s="1" t="n">
        <v>44564</v>
      </c>
      <c r="C99" s="1" t="n">
        <v>45904</v>
      </c>
      <c r="D99" t="inlineStr">
        <is>
          <t>ÖSTERGÖTLANDS LÄN</t>
        </is>
      </c>
      <c r="E99" t="inlineStr">
        <is>
          <t>LINKÖPING</t>
        </is>
      </c>
      <c r="G99" t="n">
        <v>0.3</v>
      </c>
      <c r="H99" t="n">
        <v>0</v>
      </c>
      <c r="I99" t="n">
        <v>0</v>
      </c>
      <c r="J99" t="n">
        <v>0</v>
      </c>
      <c r="K99" t="n">
        <v>0</v>
      </c>
      <c r="L99" t="n">
        <v>0</v>
      </c>
      <c r="M99" t="n">
        <v>0</v>
      </c>
      <c r="N99" t="n">
        <v>0</v>
      </c>
      <c r="O99" t="n">
        <v>0</v>
      </c>
      <c r="P99" t="n">
        <v>0</v>
      </c>
      <c r="Q99" t="n">
        <v>0</v>
      </c>
      <c r="R99" s="2" t="inlineStr"/>
    </row>
    <row r="100" ht="15" customHeight="1">
      <c r="A100" t="inlineStr">
        <is>
          <t>A 60639-2021</t>
        </is>
      </c>
      <c r="B100" s="1" t="n">
        <v>44496</v>
      </c>
      <c r="C100" s="1" t="n">
        <v>45904</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16715-2021</t>
        </is>
      </c>
      <c r="B101" s="1" t="n">
        <v>44294</v>
      </c>
      <c r="C101" s="1" t="n">
        <v>45904</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45904</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45904</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38143-2021</t>
        </is>
      </c>
      <c r="B104" s="1" t="n">
        <v>44405</v>
      </c>
      <c r="C104" s="1" t="n">
        <v>45904</v>
      </c>
      <c r="D104" t="inlineStr">
        <is>
          <t>ÖSTERGÖTLANDS LÄN</t>
        </is>
      </c>
      <c r="E104" t="inlineStr">
        <is>
          <t>LINKÖPING</t>
        </is>
      </c>
      <c r="G104" t="n">
        <v>4.1</v>
      </c>
      <c r="H104" t="n">
        <v>0</v>
      </c>
      <c r="I104" t="n">
        <v>0</v>
      </c>
      <c r="J104" t="n">
        <v>0</v>
      </c>
      <c r="K104" t="n">
        <v>0</v>
      </c>
      <c r="L104" t="n">
        <v>0</v>
      </c>
      <c r="M104" t="n">
        <v>0</v>
      </c>
      <c r="N104" t="n">
        <v>0</v>
      </c>
      <c r="O104" t="n">
        <v>0</v>
      </c>
      <c r="P104" t="n">
        <v>0</v>
      </c>
      <c r="Q104" t="n">
        <v>0</v>
      </c>
      <c r="R104" s="2" t="inlineStr"/>
    </row>
    <row r="105" ht="15" customHeight="1">
      <c r="A105" t="inlineStr">
        <is>
          <t>A 38254-2021</t>
        </is>
      </c>
      <c r="B105" s="1" t="n">
        <v>44405</v>
      </c>
      <c r="C105" s="1" t="n">
        <v>45904</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261-2021</t>
        </is>
      </c>
      <c r="B106" s="1" t="n">
        <v>44200</v>
      </c>
      <c r="C106" s="1" t="n">
        <v>45904</v>
      </c>
      <c r="D106" t="inlineStr">
        <is>
          <t>ÖSTERGÖTLANDS LÄN</t>
        </is>
      </c>
      <c r="E106" t="inlineStr">
        <is>
          <t>LINKÖPING</t>
        </is>
      </c>
      <c r="G106" t="n">
        <v>3.1</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45904</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67120-2020</t>
        </is>
      </c>
      <c r="B108" s="1" t="n">
        <v>44180</v>
      </c>
      <c r="C108" s="1" t="n">
        <v>45904</v>
      </c>
      <c r="D108" t="inlineStr">
        <is>
          <t>ÖSTERGÖTLANDS LÄN</t>
        </is>
      </c>
      <c r="E108" t="inlineStr">
        <is>
          <t>LINKÖPING</t>
        </is>
      </c>
      <c r="F108" t="inlineStr">
        <is>
          <t>Övriga statliga verk och myndigheter</t>
        </is>
      </c>
      <c r="G108" t="n">
        <v>1.4</v>
      </c>
      <c r="H108" t="n">
        <v>0</v>
      </c>
      <c r="I108" t="n">
        <v>0</v>
      </c>
      <c r="J108" t="n">
        <v>0</v>
      </c>
      <c r="K108" t="n">
        <v>0</v>
      </c>
      <c r="L108" t="n">
        <v>0</v>
      </c>
      <c r="M108" t="n">
        <v>0</v>
      </c>
      <c r="N108" t="n">
        <v>0</v>
      </c>
      <c r="O108" t="n">
        <v>0</v>
      </c>
      <c r="P108" t="n">
        <v>0</v>
      </c>
      <c r="Q108" t="n">
        <v>0</v>
      </c>
      <c r="R108" s="2" t="inlineStr"/>
    </row>
    <row r="109" ht="15" customHeight="1">
      <c r="A109" t="inlineStr">
        <is>
          <t>A 44054-2021</t>
        </is>
      </c>
      <c r="B109" s="1" t="n">
        <v>44434</v>
      </c>
      <c r="C109" s="1" t="n">
        <v>45904</v>
      </c>
      <c r="D109" t="inlineStr">
        <is>
          <t>ÖSTERGÖTLANDS LÄN</t>
        </is>
      </c>
      <c r="E109" t="inlineStr">
        <is>
          <t>LINKÖPING</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45904</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45904</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44674-2020</t>
        </is>
      </c>
      <c r="B112" s="1" t="n">
        <v>44085</v>
      </c>
      <c r="C112" s="1" t="n">
        <v>45904</v>
      </c>
      <c r="D112" t="inlineStr">
        <is>
          <t>ÖSTERGÖTLANDS LÄN</t>
        </is>
      </c>
      <c r="E112" t="inlineStr">
        <is>
          <t>LINKÖPING</t>
        </is>
      </c>
      <c r="G112" t="n">
        <v>3.6</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45904</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45904</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45904</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45904</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45904</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33876-2021</t>
        </is>
      </c>
      <c r="B118" s="1" t="n">
        <v>44378</v>
      </c>
      <c r="C118" s="1" t="n">
        <v>45904</v>
      </c>
      <c r="D118" t="inlineStr">
        <is>
          <t>ÖSTERGÖTLANDS LÄN</t>
        </is>
      </c>
      <c r="E118" t="inlineStr">
        <is>
          <t>LINKÖPING</t>
        </is>
      </c>
      <c r="G118" t="n">
        <v>6.3</v>
      </c>
      <c r="H118" t="n">
        <v>0</v>
      </c>
      <c r="I118" t="n">
        <v>0</v>
      </c>
      <c r="J118" t="n">
        <v>0</v>
      </c>
      <c r="K118" t="n">
        <v>0</v>
      </c>
      <c r="L118" t="n">
        <v>0</v>
      </c>
      <c r="M118" t="n">
        <v>0</v>
      </c>
      <c r="N118" t="n">
        <v>0</v>
      </c>
      <c r="O118" t="n">
        <v>0</v>
      </c>
      <c r="P118" t="n">
        <v>0</v>
      </c>
      <c r="Q118" t="n">
        <v>0</v>
      </c>
      <c r="R118" s="2" t="inlineStr"/>
    </row>
    <row r="119" ht="15" customHeight="1">
      <c r="A119" t="inlineStr">
        <is>
          <t>A 10123-2021</t>
        </is>
      </c>
      <c r="B119" s="1" t="n">
        <v>44256</v>
      </c>
      <c r="C119" s="1" t="n">
        <v>45904</v>
      </c>
      <c r="D119" t="inlineStr">
        <is>
          <t>ÖSTERGÖTLANDS LÄN</t>
        </is>
      </c>
      <c r="E119" t="inlineStr">
        <is>
          <t>LINKÖPING</t>
        </is>
      </c>
      <c r="F119" t="inlineStr">
        <is>
          <t>Allmännings- och besparingsskogar</t>
        </is>
      </c>
      <c r="G119" t="n">
        <v>1.7</v>
      </c>
      <c r="H119" t="n">
        <v>0</v>
      </c>
      <c r="I119" t="n">
        <v>0</v>
      </c>
      <c r="J119" t="n">
        <v>0</v>
      </c>
      <c r="K119" t="n">
        <v>0</v>
      </c>
      <c r="L119" t="n">
        <v>0</v>
      </c>
      <c r="M119" t="n">
        <v>0</v>
      </c>
      <c r="N119" t="n">
        <v>0</v>
      </c>
      <c r="O119" t="n">
        <v>0</v>
      </c>
      <c r="P119" t="n">
        <v>0</v>
      </c>
      <c r="Q119" t="n">
        <v>0</v>
      </c>
      <c r="R119" s="2" t="inlineStr"/>
    </row>
    <row r="120" ht="15" customHeight="1">
      <c r="A120" t="inlineStr">
        <is>
          <t>A 3862-2021</t>
        </is>
      </c>
      <c r="B120" s="1" t="n">
        <v>44221</v>
      </c>
      <c r="C120" s="1" t="n">
        <v>45904</v>
      </c>
      <c r="D120" t="inlineStr">
        <is>
          <t>ÖSTERGÖTLANDS LÄN</t>
        </is>
      </c>
      <c r="E120" t="inlineStr">
        <is>
          <t>LINKÖPING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3961-2021</t>
        </is>
      </c>
      <c r="B121" s="1" t="n">
        <v>44222</v>
      </c>
      <c r="C121" s="1" t="n">
        <v>45904</v>
      </c>
      <c r="D121" t="inlineStr">
        <is>
          <t>ÖSTERGÖTLANDS LÄN</t>
        </is>
      </c>
      <c r="E121" t="inlineStr">
        <is>
          <t>LINKÖPING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45904</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27185-2021</t>
        </is>
      </c>
      <c r="B123" s="1" t="n">
        <v>44350</v>
      </c>
      <c r="C123" s="1" t="n">
        <v>45904</v>
      </c>
      <c r="D123" t="inlineStr">
        <is>
          <t>ÖSTERGÖTLANDS LÄN</t>
        </is>
      </c>
      <c r="E123" t="inlineStr">
        <is>
          <t>LINKÖPING</t>
        </is>
      </c>
      <c r="F123" t="inlineStr">
        <is>
          <t>Allmännings- och besparingsskogar</t>
        </is>
      </c>
      <c r="G123" t="n">
        <v>1.6</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45904</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45904</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45904</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45904</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45904</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45904</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45904</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45904</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45904</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45904</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58287-2021</t>
        </is>
      </c>
      <c r="B134" s="1" t="n">
        <v>44487</v>
      </c>
      <c r="C134" s="1" t="n">
        <v>45904</v>
      </c>
      <c r="D134" t="inlineStr">
        <is>
          <t>ÖSTERGÖTLANDS LÄN</t>
        </is>
      </c>
      <c r="E134" t="inlineStr">
        <is>
          <t>LINKÖPING</t>
        </is>
      </c>
      <c r="F134" t="inlineStr">
        <is>
          <t>Övriga Aktiebolag</t>
        </is>
      </c>
      <c r="G134" t="n">
        <v>1.5</v>
      </c>
      <c r="H134" t="n">
        <v>0</v>
      </c>
      <c r="I134" t="n">
        <v>0</v>
      </c>
      <c r="J134" t="n">
        <v>0</v>
      </c>
      <c r="K134" t="n">
        <v>0</v>
      </c>
      <c r="L134" t="n">
        <v>0</v>
      </c>
      <c r="M134" t="n">
        <v>0</v>
      </c>
      <c r="N134" t="n">
        <v>0</v>
      </c>
      <c r="O134" t="n">
        <v>0</v>
      </c>
      <c r="P134" t="n">
        <v>0</v>
      </c>
      <c r="Q134" t="n">
        <v>0</v>
      </c>
      <c r="R134" s="2" t="inlineStr"/>
    </row>
    <row r="135" ht="15" customHeight="1">
      <c r="A135" t="inlineStr">
        <is>
          <t>A 53660-2021</t>
        </is>
      </c>
      <c r="B135" s="1" t="n">
        <v>44469</v>
      </c>
      <c r="C135" s="1" t="n">
        <v>45904</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45904</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45904</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25305-2021</t>
        </is>
      </c>
      <c r="B138" s="1" t="n">
        <v>44342</v>
      </c>
      <c r="C138" s="1" t="n">
        <v>45904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45904</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45904</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45904</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45904</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45904</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45904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45904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46969-2020</t>
        </is>
      </c>
      <c r="B146" s="1" t="n">
        <v>44090</v>
      </c>
      <c r="C146" s="1" t="n">
        <v>45904</v>
      </c>
      <c r="D146" t="inlineStr">
        <is>
          <t>ÖSTERGÖTLANDS LÄN</t>
        </is>
      </c>
      <c r="E146" t="inlineStr">
        <is>
          <t>LINKÖPING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46975-2020</t>
        </is>
      </c>
      <c r="B147" s="1" t="n">
        <v>44090</v>
      </c>
      <c r="C147" s="1" t="n">
        <v>45904</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45904</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54854-2022</t>
        </is>
      </c>
      <c r="B149" s="1" t="n">
        <v>44884</v>
      </c>
      <c r="C149" s="1" t="n">
        <v>45904</v>
      </c>
      <c r="D149" t="inlineStr">
        <is>
          <t>ÖSTERGÖTLANDS LÄN</t>
        </is>
      </c>
      <c r="E149" t="inlineStr">
        <is>
          <t>LINKÖPING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54855-2022</t>
        </is>
      </c>
      <c r="B150" s="1" t="n">
        <v>44884.59502314815</v>
      </c>
      <c r="C150" s="1" t="n">
        <v>45904</v>
      </c>
      <c r="D150" t="inlineStr">
        <is>
          <t>ÖSTERGÖTLANDS LÄN</t>
        </is>
      </c>
      <c r="E150" t="inlineStr">
        <is>
          <t>LINKÖPING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45904</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45904</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11079-2022</t>
        </is>
      </c>
      <c r="B153" s="1" t="n">
        <v>44628</v>
      </c>
      <c r="C153" s="1" t="n">
        <v>45904</v>
      </c>
      <c r="D153" t="inlineStr">
        <is>
          <t>ÖSTERGÖTLANDS LÄN</t>
        </is>
      </c>
      <c r="E153" t="inlineStr">
        <is>
          <t>LINKÖPING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45904</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20901-2021</t>
        </is>
      </c>
      <c r="B155" s="1" t="n">
        <v>44319</v>
      </c>
      <c r="C155" s="1" t="n">
        <v>45904</v>
      </c>
      <c r="D155" t="inlineStr">
        <is>
          <t>ÖSTERGÖTLANDS LÄN</t>
        </is>
      </c>
      <c r="E155" t="inlineStr">
        <is>
          <t>LINKÖPING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45904</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33891-2021</t>
        </is>
      </c>
      <c r="B157" s="1" t="n">
        <v>44378</v>
      </c>
      <c r="C157" s="1" t="n">
        <v>45904</v>
      </c>
      <c r="D157" t="inlineStr">
        <is>
          <t>ÖSTERGÖTLANDS LÄN</t>
        </is>
      </c>
      <c r="E157" t="inlineStr">
        <is>
          <t>LINKÖPING</t>
        </is>
      </c>
      <c r="G157" t="n">
        <v>5.1</v>
      </c>
      <c r="H157" t="n">
        <v>0</v>
      </c>
      <c r="I157" t="n">
        <v>0</v>
      </c>
      <c r="J157" t="n">
        <v>0</v>
      </c>
      <c r="K157" t="n">
        <v>0</v>
      </c>
      <c r="L157" t="n">
        <v>0</v>
      </c>
      <c r="M157" t="n">
        <v>0</v>
      </c>
      <c r="N157" t="n">
        <v>0</v>
      </c>
      <c r="O157" t="n">
        <v>0</v>
      </c>
      <c r="P157" t="n">
        <v>0</v>
      </c>
      <c r="Q157" t="n">
        <v>0</v>
      </c>
      <c r="R157" s="2" t="inlineStr"/>
    </row>
    <row r="158" ht="15" customHeight="1">
      <c r="A158" t="inlineStr">
        <is>
          <t>A 19254-2021</t>
        </is>
      </c>
      <c r="B158" s="1" t="n">
        <v>44309.38962962963</v>
      </c>
      <c r="C158" s="1" t="n">
        <v>45904</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45904</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60129-2020</t>
        </is>
      </c>
      <c r="B160" s="1" t="n">
        <v>44152</v>
      </c>
      <c r="C160" s="1" t="n">
        <v>45904</v>
      </c>
      <c r="D160" t="inlineStr">
        <is>
          <t>ÖSTERGÖTLANDS LÄN</t>
        </is>
      </c>
      <c r="E160" t="inlineStr">
        <is>
          <t>LINKÖPING</t>
        </is>
      </c>
      <c r="F160" t="inlineStr">
        <is>
          <t>Övriga statliga verk och myndigheter</t>
        </is>
      </c>
      <c r="G160" t="n">
        <v>2.5</v>
      </c>
      <c r="H160" t="n">
        <v>0</v>
      </c>
      <c r="I160" t="n">
        <v>0</v>
      </c>
      <c r="J160" t="n">
        <v>0</v>
      </c>
      <c r="K160" t="n">
        <v>0</v>
      </c>
      <c r="L160" t="n">
        <v>0</v>
      </c>
      <c r="M160" t="n">
        <v>0</v>
      </c>
      <c r="N160" t="n">
        <v>0</v>
      </c>
      <c r="O160" t="n">
        <v>0</v>
      </c>
      <c r="P160" t="n">
        <v>0</v>
      </c>
      <c r="Q160" t="n">
        <v>0</v>
      </c>
      <c r="R160" s="2" t="inlineStr"/>
    </row>
    <row r="161" ht="15" customHeight="1">
      <c r="A161" t="inlineStr">
        <is>
          <t>A 65398-2021</t>
        </is>
      </c>
      <c r="B161" s="1" t="n">
        <v>44515</v>
      </c>
      <c r="C161" s="1" t="n">
        <v>45904</v>
      </c>
      <c r="D161" t="inlineStr">
        <is>
          <t>ÖSTERGÖTLANDS LÄN</t>
        </is>
      </c>
      <c r="E161" t="inlineStr">
        <is>
          <t>LINKÖPING</t>
        </is>
      </c>
      <c r="F161" t="inlineStr">
        <is>
          <t>Övriga statliga verk och myndigheter</t>
        </is>
      </c>
      <c r="G161" t="n">
        <v>2.4</v>
      </c>
      <c r="H161" t="n">
        <v>0</v>
      </c>
      <c r="I161" t="n">
        <v>0</v>
      </c>
      <c r="J161" t="n">
        <v>0</v>
      </c>
      <c r="K161" t="n">
        <v>0</v>
      </c>
      <c r="L161" t="n">
        <v>0</v>
      </c>
      <c r="M161" t="n">
        <v>0</v>
      </c>
      <c r="N161" t="n">
        <v>0</v>
      </c>
      <c r="O161" t="n">
        <v>0</v>
      </c>
      <c r="P161" t="n">
        <v>0</v>
      </c>
      <c r="Q161" t="n">
        <v>0</v>
      </c>
      <c r="R161" s="2" t="inlineStr"/>
    </row>
    <row r="162" ht="15" customHeight="1">
      <c r="A162" t="inlineStr">
        <is>
          <t>A 4377-2021</t>
        </is>
      </c>
      <c r="B162" s="1" t="n">
        <v>44223</v>
      </c>
      <c r="C162" s="1" t="n">
        <v>45904</v>
      </c>
      <c r="D162" t="inlineStr">
        <is>
          <t>ÖSTERGÖTLANDS LÄN</t>
        </is>
      </c>
      <c r="E162" t="inlineStr">
        <is>
          <t>LINKÖPING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45904</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45904</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61153-2021</t>
        </is>
      </c>
      <c r="B165" s="1" t="n">
        <v>44497</v>
      </c>
      <c r="C165" s="1" t="n">
        <v>45904</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45904</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12413-2022</t>
        </is>
      </c>
      <c r="B167" s="1" t="n">
        <v>44638</v>
      </c>
      <c r="C167" s="1" t="n">
        <v>45904</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54467-2022</t>
        </is>
      </c>
      <c r="B168" s="1" t="n">
        <v>44882</v>
      </c>
      <c r="C168" s="1" t="n">
        <v>45904</v>
      </c>
      <c r="D168" t="inlineStr">
        <is>
          <t>ÖSTERGÖTLANDS LÄN</t>
        </is>
      </c>
      <c r="E168" t="inlineStr">
        <is>
          <t>LINKÖPING</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36341-2022</t>
        </is>
      </c>
      <c r="B169" s="1" t="n">
        <v>44803</v>
      </c>
      <c r="C169" s="1" t="n">
        <v>45904</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61302-2021</t>
        </is>
      </c>
      <c r="B170" s="1" t="n">
        <v>44498.63189814815</v>
      </c>
      <c r="C170" s="1" t="n">
        <v>45904</v>
      </c>
      <c r="D170" t="inlineStr">
        <is>
          <t>ÖSTERGÖTLANDS LÄN</t>
        </is>
      </c>
      <c r="E170" t="inlineStr">
        <is>
          <t>LINKÖPING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45904</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46490-2022</t>
        </is>
      </c>
      <c r="B172" s="1" t="n">
        <v>44848</v>
      </c>
      <c r="C172" s="1" t="n">
        <v>45904</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4240-2022</t>
        </is>
      </c>
      <c r="B173" s="1" t="n">
        <v>44588</v>
      </c>
      <c r="C173" s="1" t="n">
        <v>45904</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45904</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46803-2020</t>
        </is>
      </c>
      <c r="B175" s="1" t="n">
        <v>44089</v>
      </c>
      <c r="C175" s="1" t="n">
        <v>45904</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45904</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41426-2022</t>
        </is>
      </c>
      <c r="B177" s="1" t="n">
        <v>44826</v>
      </c>
      <c r="C177" s="1" t="n">
        <v>45904</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46891-2021</t>
        </is>
      </c>
      <c r="B178" s="1" t="n">
        <v>44446.44587962963</v>
      </c>
      <c r="C178" s="1" t="n">
        <v>45904</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34162-2022</t>
        </is>
      </c>
      <c r="B179" s="1" t="n">
        <v>44791</v>
      </c>
      <c r="C179" s="1" t="n">
        <v>45904</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45904</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61333-2021</t>
        </is>
      </c>
      <c r="B181" s="1" t="n">
        <v>44498.6764699074</v>
      </c>
      <c r="C181" s="1" t="n">
        <v>45904</v>
      </c>
      <c r="D181" t="inlineStr">
        <is>
          <t>ÖSTERGÖTLANDS LÄN</t>
        </is>
      </c>
      <c r="E181" t="inlineStr">
        <is>
          <t>LINKÖPING</t>
        </is>
      </c>
      <c r="G181" t="n">
        <v>7.5</v>
      </c>
      <c r="H181" t="n">
        <v>0</v>
      </c>
      <c r="I181" t="n">
        <v>0</v>
      </c>
      <c r="J181" t="n">
        <v>0</v>
      </c>
      <c r="K181" t="n">
        <v>0</v>
      </c>
      <c r="L181" t="n">
        <v>0</v>
      </c>
      <c r="M181" t="n">
        <v>0</v>
      </c>
      <c r="N181" t="n">
        <v>0</v>
      </c>
      <c r="O181" t="n">
        <v>0</v>
      </c>
      <c r="P181" t="n">
        <v>0</v>
      </c>
      <c r="Q181" t="n">
        <v>0</v>
      </c>
      <c r="R181" s="2" t="inlineStr"/>
    </row>
    <row r="182" ht="15" customHeight="1">
      <c r="A182" t="inlineStr">
        <is>
          <t>A 12412-2022</t>
        </is>
      </c>
      <c r="B182" s="1" t="n">
        <v>44638</v>
      </c>
      <c r="C182" s="1" t="n">
        <v>45904</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45904</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45904</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59288-2020</t>
        </is>
      </c>
      <c r="B185" s="1" t="n">
        <v>44147</v>
      </c>
      <c r="C185" s="1" t="n">
        <v>45904</v>
      </c>
      <c r="D185" t="inlineStr">
        <is>
          <t>ÖSTERGÖTLANDS LÄN</t>
        </is>
      </c>
      <c r="E185" t="inlineStr">
        <is>
          <t>LINKÖPING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51912-2020</t>
        </is>
      </c>
      <c r="B186" s="1" t="n">
        <v>44116</v>
      </c>
      <c r="C186" s="1" t="n">
        <v>45904</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13922-2021</t>
        </is>
      </c>
      <c r="B187" s="1" t="n">
        <v>44277.45946759259</v>
      </c>
      <c r="C187" s="1" t="n">
        <v>45904</v>
      </c>
      <c r="D187" t="inlineStr">
        <is>
          <t>ÖSTERGÖTLANDS LÄN</t>
        </is>
      </c>
      <c r="E187" t="inlineStr">
        <is>
          <t>LINKÖPING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45904</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23416-2022</t>
        </is>
      </c>
      <c r="B189" s="1" t="n">
        <v>44720.78243055556</v>
      </c>
      <c r="C189" s="1" t="n">
        <v>45904</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948-2022</t>
        </is>
      </c>
      <c r="B190" s="1" t="n">
        <v>44571</v>
      </c>
      <c r="C190" s="1" t="n">
        <v>45904</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45904</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45904</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56688-2021</t>
        </is>
      </c>
      <c r="B193" s="1" t="n">
        <v>44481</v>
      </c>
      <c r="C193" s="1" t="n">
        <v>45904</v>
      </c>
      <c r="D193" t="inlineStr">
        <is>
          <t>ÖSTERGÖTLANDS LÄN</t>
        </is>
      </c>
      <c r="E193" t="inlineStr">
        <is>
          <t>LINKÖPING</t>
        </is>
      </c>
      <c r="G193" t="n">
        <v>1.1</v>
      </c>
      <c r="H193" t="n">
        <v>0</v>
      </c>
      <c r="I193" t="n">
        <v>0</v>
      </c>
      <c r="J193" t="n">
        <v>0</v>
      </c>
      <c r="K193" t="n">
        <v>0</v>
      </c>
      <c r="L193" t="n">
        <v>0</v>
      </c>
      <c r="M193" t="n">
        <v>0</v>
      </c>
      <c r="N193" t="n">
        <v>0</v>
      </c>
      <c r="O193" t="n">
        <v>0</v>
      </c>
      <c r="P193" t="n">
        <v>0</v>
      </c>
      <c r="Q193" t="n">
        <v>0</v>
      </c>
      <c r="R193" s="2" t="inlineStr"/>
    </row>
    <row r="194" ht="15" customHeight="1">
      <c r="A194" t="inlineStr">
        <is>
          <t>A 37014-2021</t>
        </is>
      </c>
      <c r="B194" s="1" t="n">
        <v>44393</v>
      </c>
      <c r="C194" s="1" t="n">
        <v>45904</v>
      </c>
      <c r="D194" t="inlineStr">
        <is>
          <t>ÖSTERGÖTLANDS LÄN</t>
        </is>
      </c>
      <c r="E194" t="inlineStr">
        <is>
          <t>LINKÖPING</t>
        </is>
      </c>
      <c r="F194" t="inlineStr">
        <is>
          <t>Allmännings- och besparingsskogar</t>
        </is>
      </c>
      <c r="G194" t="n">
        <v>7.7</v>
      </c>
      <c r="H194" t="n">
        <v>0</v>
      </c>
      <c r="I194" t="n">
        <v>0</v>
      </c>
      <c r="J194" t="n">
        <v>0</v>
      </c>
      <c r="K194" t="n">
        <v>0</v>
      </c>
      <c r="L194" t="n">
        <v>0</v>
      </c>
      <c r="M194" t="n">
        <v>0</v>
      </c>
      <c r="N194" t="n">
        <v>0</v>
      </c>
      <c r="O194" t="n">
        <v>0</v>
      </c>
      <c r="P194" t="n">
        <v>0</v>
      </c>
      <c r="Q194" t="n">
        <v>0</v>
      </c>
      <c r="R194" s="2" t="inlineStr"/>
    </row>
    <row r="195" ht="15" customHeight="1">
      <c r="A195" t="inlineStr">
        <is>
          <t>A 44879-2020</t>
        </is>
      </c>
      <c r="B195" s="1" t="n">
        <v>44087</v>
      </c>
      <c r="C195" s="1" t="n">
        <v>45904</v>
      </c>
      <c r="D195" t="inlineStr">
        <is>
          <t>ÖSTERGÖTLANDS LÄN</t>
        </is>
      </c>
      <c r="E195" t="inlineStr">
        <is>
          <t>LINKÖPING</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50035-2020</t>
        </is>
      </c>
      <c r="B196" s="1" t="n">
        <v>44109</v>
      </c>
      <c r="C196" s="1" t="n">
        <v>45904</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38134-2021</t>
        </is>
      </c>
      <c r="B197" s="1" t="n">
        <v>44405.3794212963</v>
      </c>
      <c r="C197" s="1" t="n">
        <v>45904</v>
      </c>
      <c r="D197" t="inlineStr">
        <is>
          <t>ÖSTERGÖTLANDS LÄN</t>
        </is>
      </c>
      <c r="E197" t="inlineStr">
        <is>
          <t>LINKÖPING</t>
        </is>
      </c>
      <c r="G197" t="n">
        <v>5.1</v>
      </c>
      <c r="H197" t="n">
        <v>0</v>
      </c>
      <c r="I197" t="n">
        <v>0</v>
      </c>
      <c r="J197" t="n">
        <v>0</v>
      </c>
      <c r="K197" t="n">
        <v>0</v>
      </c>
      <c r="L197" t="n">
        <v>0</v>
      </c>
      <c r="M197" t="n">
        <v>0</v>
      </c>
      <c r="N197" t="n">
        <v>0</v>
      </c>
      <c r="O197" t="n">
        <v>0</v>
      </c>
      <c r="P197" t="n">
        <v>0</v>
      </c>
      <c r="Q197" t="n">
        <v>0</v>
      </c>
      <c r="R197" s="2" t="inlineStr"/>
    </row>
    <row r="198" ht="15" customHeight="1">
      <c r="A198" t="inlineStr">
        <is>
          <t>A 27769-2022</t>
        </is>
      </c>
      <c r="B198" s="1" t="n">
        <v>44743.53200231482</v>
      </c>
      <c r="C198" s="1" t="n">
        <v>45904</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44849-2022</t>
        </is>
      </c>
      <c r="B199" s="1" t="n">
        <v>44841</v>
      </c>
      <c r="C199" s="1" t="n">
        <v>45904</v>
      </c>
      <c r="D199" t="inlineStr">
        <is>
          <t>ÖSTERGÖTLANDS LÄN</t>
        </is>
      </c>
      <c r="E199" t="inlineStr">
        <is>
          <t>LINKÖPING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70835-2021</t>
        </is>
      </c>
      <c r="B200" s="1" t="n">
        <v>44537</v>
      </c>
      <c r="C200" s="1" t="n">
        <v>45904</v>
      </c>
      <c r="D200" t="inlineStr">
        <is>
          <t>ÖSTERGÖTLANDS LÄN</t>
        </is>
      </c>
      <c r="E200" t="inlineStr">
        <is>
          <t>LINKÖPING</t>
        </is>
      </c>
      <c r="G200" t="n">
        <v>2.3</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45904</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31732-2022</t>
        </is>
      </c>
      <c r="B202" s="1" t="n">
        <v>44776.49267361111</v>
      </c>
      <c r="C202" s="1" t="n">
        <v>45904</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37934-2022</t>
        </is>
      </c>
      <c r="B203" s="1" t="n">
        <v>44809</v>
      </c>
      <c r="C203" s="1" t="n">
        <v>45904</v>
      </c>
      <c r="D203" t="inlineStr">
        <is>
          <t>ÖSTERGÖTLANDS LÄN</t>
        </is>
      </c>
      <c r="E203" t="inlineStr">
        <is>
          <t>LINKÖPING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45904</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4929-2021</t>
        </is>
      </c>
      <c r="B205" s="1" t="n">
        <v>44227.57533564815</v>
      </c>
      <c r="C205" s="1" t="n">
        <v>45904</v>
      </c>
      <c r="D205" t="inlineStr">
        <is>
          <t>ÖSTERGÖTLANDS LÄN</t>
        </is>
      </c>
      <c r="E205" t="inlineStr">
        <is>
          <t>LINKÖPING</t>
        </is>
      </c>
      <c r="G205" t="n">
        <v>0.4</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45904</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45904</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24351-2024</t>
        </is>
      </c>
      <c r="B208" s="1" t="n">
        <v>45457.59011574074</v>
      </c>
      <c r="C208" s="1" t="n">
        <v>45904</v>
      </c>
      <c r="D208" t="inlineStr">
        <is>
          <t>ÖSTERGÖTLANDS LÄN</t>
        </is>
      </c>
      <c r="E208" t="inlineStr">
        <is>
          <t>LINKÖPING</t>
        </is>
      </c>
      <c r="G208" t="n">
        <v>11.9</v>
      </c>
      <c r="H208" t="n">
        <v>0</v>
      </c>
      <c r="I208" t="n">
        <v>0</v>
      </c>
      <c r="J208" t="n">
        <v>0</v>
      </c>
      <c r="K208" t="n">
        <v>0</v>
      </c>
      <c r="L208" t="n">
        <v>0</v>
      </c>
      <c r="M208" t="n">
        <v>0</v>
      </c>
      <c r="N208" t="n">
        <v>0</v>
      </c>
      <c r="O208" t="n">
        <v>0</v>
      </c>
      <c r="P208" t="n">
        <v>0</v>
      </c>
      <c r="Q208" t="n">
        <v>0</v>
      </c>
      <c r="R208" s="2" t="inlineStr"/>
    </row>
    <row r="209" ht="15" customHeight="1">
      <c r="A209" t="inlineStr">
        <is>
          <t>A 63678-2023</t>
        </is>
      </c>
      <c r="B209" s="1" t="n">
        <v>45275.64769675926</v>
      </c>
      <c r="C209" s="1" t="n">
        <v>45904</v>
      </c>
      <c r="D209" t="inlineStr">
        <is>
          <t>ÖSTERGÖTLANDS LÄN</t>
        </is>
      </c>
      <c r="E209" t="inlineStr">
        <is>
          <t>LINKÖPING</t>
        </is>
      </c>
      <c r="F209" t="inlineStr">
        <is>
          <t>Övriga Aktiebolag</t>
        </is>
      </c>
      <c r="G209" t="n">
        <v>0.4</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45904</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45904</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61281-2021</t>
        </is>
      </c>
      <c r="B212" s="1" t="n">
        <v>44498.60736111111</v>
      </c>
      <c r="C212" s="1" t="n">
        <v>45904</v>
      </c>
      <c r="D212" t="inlineStr">
        <is>
          <t>ÖSTERGÖTLANDS LÄN</t>
        </is>
      </c>
      <c r="E212" t="inlineStr">
        <is>
          <t>LINKÖPING</t>
        </is>
      </c>
      <c r="G212" t="n">
        <v>4.5</v>
      </c>
      <c r="H212" t="n">
        <v>0</v>
      </c>
      <c r="I212" t="n">
        <v>0</v>
      </c>
      <c r="J212" t="n">
        <v>0</v>
      </c>
      <c r="K212" t="n">
        <v>0</v>
      </c>
      <c r="L212" t="n">
        <v>0</v>
      </c>
      <c r="M212" t="n">
        <v>0</v>
      </c>
      <c r="N212" t="n">
        <v>0</v>
      </c>
      <c r="O212" t="n">
        <v>0</v>
      </c>
      <c r="P212" t="n">
        <v>0</v>
      </c>
      <c r="Q212" t="n">
        <v>0</v>
      </c>
      <c r="R212" s="2" t="inlineStr"/>
    </row>
    <row r="213" ht="15" customHeight="1">
      <c r="A213" t="inlineStr">
        <is>
          <t>A 52796-2023</t>
        </is>
      </c>
      <c r="B213" s="1" t="n">
        <v>45219</v>
      </c>
      <c r="C213" s="1" t="n">
        <v>45904</v>
      </c>
      <c r="D213" t="inlineStr">
        <is>
          <t>ÖSTERGÖTLANDS LÄN</t>
        </is>
      </c>
      <c r="E213" t="inlineStr">
        <is>
          <t>LINKÖPING</t>
        </is>
      </c>
      <c r="F213" t="inlineStr">
        <is>
          <t>Övriga statliga verk och myndigheter</t>
        </is>
      </c>
      <c r="G213" t="n">
        <v>3.9</v>
      </c>
      <c r="H213" t="n">
        <v>0</v>
      </c>
      <c r="I213" t="n">
        <v>0</v>
      </c>
      <c r="J213" t="n">
        <v>0</v>
      </c>
      <c r="K213" t="n">
        <v>0</v>
      </c>
      <c r="L213" t="n">
        <v>0</v>
      </c>
      <c r="M213" t="n">
        <v>0</v>
      </c>
      <c r="N213" t="n">
        <v>0</v>
      </c>
      <c r="O213" t="n">
        <v>0</v>
      </c>
      <c r="P213" t="n">
        <v>0</v>
      </c>
      <c r="Q213" t="n">
        <v>0</v>
      </c>
      <c r="R213" s="2" t="inlineStr"/>
    </row>
    <row r="214" ht="15" customHeight="1">
      <c r="A214" t="inlineStr">
        <is>
          <t>A 50401-2020</t>
        </is>
      </c>
      <c r="B214" s="1" t="n">
        <v>44110</v>
      </c>
      <c r="C214" s="1" t="n">
        <v>45904</v>
      </c>
      <c r="D214" t="inlineStr">
        <is>
          <t>ÖSTERGÖTLANDS LÄN</t>
        </is>
      </c>
      <c r="E214" t="inlineStr">
        <is>
          <t>LINKÖPING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44389-2020</t>
        </is>
      </c>
      <c r="B215" s="1" t="n">
        <v>44084</v>
      </c>
      <c r="C215" s="1" t="n">
        <v>45904</v>
      </c>
      <c r="D215" t="inlineStr">
        <is>
          <t>ÖSTERGÖTLANDS LÄN</t>
        </is>
      </c>
      <c r="E215" t="inlineStr">
        <is>
          <t>LINKÖPING</t>
        </is>
      </c>
      <c r="G215" t="n">
        <v>4.7</v>
      </c>
      <c r="H215" t="n">
        <v>0</v>
      </c>
      <c r="I215" t="n">
        <v>0</v>
      </c>
      <c r="J215" t="n">
        <v>0</v>
      </c>
      <c r="K215" t="n">
        <v>0</v>
      </c>
      <c r="L215" t="n">
        <v>0</v>
      </c>
      <c r="M215" t="n">
        <v>0</v>
      </c>
      <c r="N215" t="n">
        <v>0</v>
      </c>
      <c r="O215" t="n">
        <v>0</v>
      </c>
      <c r="P215" t="n">
        <v>0</v>
      </c>
      <c r="Q215" t="n">
        <v>0</v>
      </c>
      <c r="R215" s="2" t="inlineStr"/>
    </row>
    <row r="216" ht="15" customHeight="1">
      <c r="A216" t="inlineStr">
        <is>
          <t>A 30855-2022</t>
        </is>
      </c>
      <c r="B216" s="1" t="n">
        <v>44767</v>
      </c>
      <c r="C216" s="1" t="n">
        <v>45904</v>
      </c>
      <c r="D216" t="inlineStr">
        <is>
          <t>ÖSTERGÖTLANDS LÄN</t>
        </is>
      </c>
      <c r="E216" t="inlineStr">
        <is>
          <t>LINKÖPING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34877-2023</t>
        </is>
      </c>
      <c r="B217" s="1" t="n">
        <v>45140</v>
      </c>
      <c r="C217" s="1" t="n">
        <v>45904</v>
      </c>
      <c r="D217" t="inlineStr">
        <is>
          <t>ÖSTERGÖTLANDS LÄN</t>
        </is>
      </c>
      <c r="E217" t="inlineStr">
        <is>
          <t>LINKÖPING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3008-2023</t>
        </is>
      </c>
      <c r="B218" s="1" t="n">
        <v>44945.79784722222</v>
      </c>
      <c r="C218" s="1" t="n">
        <v>45904</v>
      </c>
      <c r="D218" t="inlineStr">
        <is>
          <t>ÖSTERGÖTLANDS LÄN</t>
        </is>
      </c>
      <c r="E218" t="inlineStr">
        <is>
          <t>LINKÖPING</t>
        </is>
      </c>
      <c r="G218" t="n">
        <v>19.3</v>
      </c>
      <c r="H218" t="n">
        <v>0</v>
      </c>
      <c r="I218" t="n">
        <v>0</v>
      </c>
      <c r="J218" t="n">
        <v>0</v>
      </c>
      <c r="K218" t="n">
        <v>0</v>
      </c>
      <c r="L218" t="n">
        <v>0</v>
      </c>
      <c r="M218" t="n">
        <v>0</v>
      </c>
      <c r="N218" t="n">
        <v>0</v>
      </c>
      <c r="O218" t="n">
        <v>0</v>
      </c>
      <c r="P218" t="n">
        <v>0</v>
      </c>
      <c r="Q218" t="n">
        <v>0</v>
      </c>
      <c r="R218" s="2" t="inlineStr"/>
    </row>
    <row r="219" ht="15" customHeight="1">
      <c r="A219" t="inlineStr">
        <is>
          <t>A 1844-2025</t>
        </is>
      </c>
      <c r="B219" s="1" t="n">
        <v>45671.57730324074</v>
      </c>
      <c r="C219" s="1" t="n">
        <v>45904</v>
      </c>
      <c r="D219" t="inlineStr">
        <is>
          <t>ÖSTERGÖTLANDS LÄN</t>
        </is>
      </c>
      <c r="E219" t="inlineStr">
        <is>
          <t>LINKÖPING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12035-2025</t>
        </is>
      </c>
      <c r="B220" s="1" t="n">
        <v>45728.64946759259</v>
      </c>
      <c r="C220" s="1" t="n">
        <v>45904</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30856-2022</t>
        </is>
      </c>
      <c r="B221" s="1" t="n">
        <v>44767</v>
      </c>
      <c r="C221" s="1" t="n">
        <v>45904</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34558-2022</t>
        </is>
      </c>
      <c r="B222" s="1" t="n">
        <v>44794.57594907407</v>
      </c>
      <c r="C222" s="1" t="n">
        <v>45904</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63489-2023</t>
        </is>
      </c>
      <c r="B223" s="1" t="n">
        <v>45274.66761574074</v>
      </c>
      <c r="C223" s="1" t="n">
        <v>45904</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6206-2024</t>
        </is>
      </c>
      <c r="B224" s="1" t="n">
        <v>45337.5977662037</v>
      </c>
      <c r="C224" s="1" t="n">
        <v>45904</v>
      </c>
      <c r="D224" t="inlineStr">
        <is>
          <t>ÖSTERGÖTLANDS LÄN</t>
        </is>
      </c>
      <c r="E224" t="inlineStr">
        <is>
          <t>LINKÖPING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28266-2024</t>
        </is>
      </c>
      <c r="B225" s="1" t="n">
        <v>45477.43600694444</v>
      </c>
      <c r="C225" s="1" t="n">
        <v>45904</v>
      </c>
      <c r="D225" t="inlineStr">
        <is>
          <t>ÖSTERGÖTLANDS LÄN</t>
        </is>
      </c>
      <c r="E225" t="inlineStr">
        <is>
          <t>LINKÖPING</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25418-2023</t>
        </is>
      </c>
      <c r="B226" s="1" t="n">
        <v>45089</v>
      </c>
      <c r="C226" s="1" t="n">
        <v>45904</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22772-2024</t>
        </is>
      </c>
      <c r="B227" s="1" t="n">
        <v>45448.46712962963</v>
      </c>
      <c r="C227" s="1" t="n">
        <v>45904</v>
      </c>
      <c r="D227" t="inlineStr">
        <is>
          <t>ÖSTERGÖTLANDS LÄN</t>
        </is>
      </c>
      <c r="E227" t="inlineStr">
        <is>
          <t>LINKÖPING</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168-2024</t>
        </is>
      </c>
      <c r="B228" s="1" t="n">
        <v>45294</v>
      </c>
      <c r="C228" s="1" t="n">
        <v>45904</v>
      </c>
      <c r="D228" t="inlineStr">
        <is>
          <t>ÖSTERGÖTLANDS LÄN</t>
        </is>
      </c>
      <c r="E228" t="inlineStr">
        <is>
          <t>LINKÖPING</t>
        </is>
      </c>
      <c r="F228" t="inlineStr">
        <is>
          <t>Allmännings- och besparingsskogar</t>
        </is>
      </c>
      <c r="G228" t="n">
        <v>8.9</v>
      </c>
      <c r="H228" t="n">
        <v>0</v>
      </c>
      <c r="I228" t="n">
        <v>0</v>
      </c>
      <c r="J228" t="n">
        <v>0</v>
      </c>
      <c r="K228" t="n">
        <v>0</v>
      </c>
      <c r="L228" t="n">
        <v>0</v>
      </c>
      <c r="M228" t="n">
        <v>0</v>
      </c>
      <c r="N228" t="n">
        <v>0</v>
      </c>
      <c r="O228" t="n">
        <v>0</v>
      </c>
      <c r="P228" t="n">
        <v>0</v>
      </c>
      <c r="Q228" t="n">
        <v>0</v>
      </c>
      <c r="R228" s="2" t="inlineStr"/>
    </row>
    <row r="229" ht="15" customHeight="1">
      <c r="A229" t="inlineStr">
        <is>
          <t>A 21165-2025</t>
        </is>
      </c>
      <c r="B229" s="1" t="n">
        <v>45779.39417824074</v>
      </c>
      <c r="C229" s="1" t="n">
        <v>45904</v>
      </c>
      <c r="D229" t="inlineStr">
        <is>
          <t>ÖSTERGÖTLANDS LÄN</t>
        </is>
      </c>
      <c r="E229" t="inlineStr">
        <is>
          <t>LINKÖPING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21155-2025</t>
        </is>
      </c>
      <c r="B230" s="1" t="n">
        <v>45779.37586805555</v>
      </c>
      <c r="C230" s="1" t="n">
        <v>45904</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57745-2022</t>
        </is>
      </c>
      <c r="B231" s="1" t="n">
        <v>44897.58119212963</v>
      </c>
      <c r="C231" s="1" t="n">
        <v>45904</v>
      </c>
      <c r="D231" t="inlineStr">
        <is>
          <t>ÖSTERGÖTLANDS LÄN</t>
        </is>
      </c>
      <c r="E231" t="inlineStr">
        <is>
          <t>LINKÖPING</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20455-2024</t>
        </is>
      </c>
      <c r="B232" s="1" t="n">
        <v>45435.65314814815</v>
      </c>
      <c r="C232" s="1" t="n">
        <v>45904</v>
      </c>
      <c r="D232" t="inlineStr">
        <is>
          <t>ÖSTERGÖTLANDS LÄN</t>
        </is>
      </c>
      <c r="E232" t="inlineStr">
        <is>
          <t>LINKÖPING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51919-2024</t>
        </is>
      </c>
      <c r="B233" s="1" t="n">
        <v>45607.60791666667</v>
      </c>
      <c r="C233" s="1" t="n">
        <v>45904</v>
      </c>
      <c r="D233" t="inlineStr">
        <is>
          <t>ÖSTERGÖTLANDS LÄN</t>
        </is>
      </c>
      <c r="E233" t="inlineStr">
        <is>
          <t>LINKÖPING</t>
        </is>
      </c>
      <c r="G233" t="n">
        <v>2.5</v>
      </c>
      <c r="H233" t="n">
        <v>0</v>
      </c>
      <c r="I233" t="n">
        <v>0</v>
      </c>
      <c r="J233" t="n">
        <v>0</v>
      </c>
      <c r="K233" t="n">
        <v>0</v>
      </c>
      <c r="L233" t="n">
        <v>0</v>
      </c>
      <c r="M233" t="n">
        <v>0</v>
      </c>
      <c r="N233" t="n">
        <v>0</v>
      </c>
      <c r="O233" t="n">
        <v>0</v>
      </c>
      <c r="P233" t="n">
        <v>0</v>
      </c>
      <c r="Q233" t="n">
        <v>0</v>
      </c>
      <c r="R233" s="2" t="inlineStr"/>
    </row>
    <row r="234" ht="15" customHeight="1">
      <c r="A234" t="inlineStr">
        <is>
          <t>A 34889-2023</t>
        </is>
      </c>
      <c r="B234" s="1" t="n">
        <v>45140</v>
      </c>
      <c r="C234" s="1" t="n">
        <v>45904</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56623-2024</t>
        </is>
      </c>
      <c r="B235" s="1" t="n">
        <v>45625</v>
      </c>
      <c r="C235" s="1" t="n">
        <v>45904</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224-2024</t>
        </is>
      </c>
      <c r="B236" s="1" t="n">
        <v>45294</v>
      </c>
      <c r="C236" s="1" t="n">
        <v>45904</v>
      </c>
      <c r="D236" t="inlineStr">
        <is>
          <t>ÖSTERGÖTLANDS LÄN</t>
        </is>
      </c>
      <c r="E236" t="inlineStr">
        <is>
          <t>LINKÖPING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11330-2023</t>
        </is>
      </c>
      <c r="B237" s="1" t="n">
        <v>44993.24648148148</v>
      </c>
      <c r="C237" s="1" t="n">
        <v>45904</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63304-2021</t>
        </is>
      </c>
      <c r="B238" s="1" t="n">
        <v>44508.4396412037</v>
      </c>
      <c r="C238" s="1" t="n">
        <v>45904</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14528-2025</t>
        </is>
      </c>
      <c r="B239" s="1" t="n">
        <v>45741</v>
      </c>
      <c r="C239" s="1" t="n">
        <v>45904</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1993-2023</t>
        </is>
      </c>
      <c r="B240" s="1" t="n">
        <v>44939</v>
      </c>
      <c r="C240" s="1" t="n">
        <v>45904</v>
      </c>
      <c r="D240" t="inlineStr">
        <is>
          <t>ÖSTERGÖTLANDS LÄN</t>
        </is>
      </c>
      <c r="E240" t="inlineStr">
        <is>
          <t>LINKÖPING</t>
        </is>
      </c>
      <c r="G240" t="n">
        <v>3.7</v>
      </c>
      <c r="H240" t="n">
        <v>0</v>
      </c>
      <c r="I240" t="n">
        <v>0</v>
      </c>
      <c r="J240" t="n">
        <v>0</v>
      </c>
      <c r="K240" t="n">
        <v>0</v>
      </c>
      <c r="L240" t="n">
        <v>0</v>
      </c>
      <c r="M240" t="n">
        <v>0</v>
      </c>
      <c r="N240" t="n">
        <v>0</v>
      </c>
      <c r="O240" t="n">
        <v>0</v>
      </c>
      <c r="P240" t="n">
        <v>0</v>
      </c>
      <c r="Q240" t="n">
        <v>0</v>
      </c>
      <c r="R240" s="2" t="inlineStr"/>
    </row>
    <row r="241" ht="15" customHeight="1">
      <c r="A241" t="inlineStr">
        <is>
          <t>A 3530-2024</t>
        </is>
      </c>
      <c r="B241" s="1" t="n">
        <v>45320.54717592592</v>
      </c>
      <c r="C241" s="1" t="n">
        <v>45904</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62073-2023</t>
        </is>
      </c>
      <c r="B242" s="1" t="n">
        <v>45266.73844907407</v>
      </c>
      <c r="C242" s="1" t="n">
        <v>45904</v>
      </c>
      <c r="D242" t="inlineStr">
        <is>
          <t>ÖSTERGÖTLANDS LÄN</t>
        </is>
      </c>
      <c r="E242" t="inlineStr">
        <is>
          <t>LINKÖPING</t>
        </is>
      </c>
      <c r="F242" t="inlineStr">
        <is>
          <t>Allmännings- och besparingsskogar</t>
        </is>
      </c>
      <c r="G242" t="n">
        <v>1.8</v>
      </c>
      <c r="H242" t="n">
        <v>0</v>
      </c>
      <c r="I242" t="n">
        <v>0</v>
      </c>
      <c r="J242" t="n">
        <v>0</v>
      </c>
      <c r="K242" t="n">
        <v>0</v>
      </c>
      <c r="L242" t="n">
        <v>0</v>
      </c>
      <c r="M242" t="n">
        <v>0</v>
      </c>
      <c r="N242" t="n">
        <v>0</v>
      </c>
      <c r="O242" t="n">
        <v>0</v>
      </c>
      <c r="P242" t="n">
        <v>0</v>
      </c>
      <c r="Q242" t="n">
        <v>0</v>
      </c>
      <c r="R242" s="2" t="inlineStr"/>
    </row>
    <row r="243" ht="15" customHeight="1">
      <c r="A243" t="inlineStr">
        <is>
          <t>A 22771-2024</t>
        </is>
      </c>
      <c r="B243" s="1" t="n">
        <v>45448.46574074074</v>
      </c>
      <c r="C243" s="1" t="n">
        <v>45904</v>
      </c>
      <c r="D243" t="inlineStr">
        <is>
          <t>ÖSTERGÖTLANDS LÄN</t>
        </is>
      </c>
      <c r="E243" t="inlineStr">
        <is>
          <t>LINKÖPING</t>
        </is>
      </c>
      <c r="F243" t="inlineStr">
        <is>
          <t>Sveaskog</t>
        </is>
      </c>
      <c r="G243" t="n">
        <v>2.7</v>
      </c>
      <c r="H243" t="n">
        <v>0</v>
      </c>
      <c r="I243" t="n">
        <v>0</v>
      </c>
      <c r="J243" t="n">
        <v>0</v>
      </c>
      <c r="K243" t="n">
        <v>0</v>
      </c>
      <c r="L243" t="n">
        <v>0</v>
      </c>
      <c r="M243" t="n">
        <v>0</v>
      </c>
      <c r="N243" t="n">
        <v>0</v>
      </c>
      <c r="O243" t="n">
        <v>0</v>
      </c>
      <c r="P243" t="n">
        <v>0</v>
      </c>
      <c r="Q243" t="n">
        <v>0</v>
      </c>
      <c r="R243" s="2" t="inlineStr"/>
    </row>
    <row r="244" ht="15" customHeight="1">
      <c r="A244" t="inlineStr">
        <is>
          <t>A 5872-2025</t>
        </is>
      </c>
      <c r="B244" s="1" t="n">
        <v>45695.36659722222</v>
      </c>
      <c r="C244" s="1" t="n">
        <v>45904</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53814-2023</t>
        </is>
      </c>
      <c r="B245" s="1" t="n">
        <v>45231</v>
      </c>
      <c r="C245" s="1" t="n">
        <v>45904</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3432-2023</t>
        </is>
      </c>
      <c r="B246" s="1" t="n">
        <v>44949</v>
      </c>
      <c r="C246" s="1" t="n">
        <v>45904</v>
      </c>
      <c r="D246" t="inlineStr">
        <is>
          <t>ÖSTERGÖTLANDS LÄN</t>
        </is>
      </c>
      <c r="E246" t="inlineStr">
        <is>
          <t>LINKÖPING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52220-2023</t>
        </is>
      </c>
      <c r="B247" s="1" t="n">
        <v>45217</v>
      </c>
      <c r="C247" s="1" t="n">
        <v>45904</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52225-2023</t>
        </is>
      </c>
      <c r="B248" s="1" t="n">
        <v>45217</v>
      </c>
      <c r="C248" s="1" t="n">
        <v>45904</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42832-2023</t>
        </is>
      </c>
      <c r="B249" s="1" t="n">
        <v>45182.38091435185</v>
      </c>
      <c r="C249" s="1" t="n">
        <v>45904</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56560-2023</t>
        </is>
      </c>
      <c r="B250" s="1" t="n">
        <v>45238</v>
      </c>
      <c r="C250" s="1" t="n">
        <v>45904</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54425-2022</t>
        </is>
      </c>
      <c r="B251" s="1" t="n">
        <v>44882.57453703704</v>
      </c>
      <c r="C251" s="1" t="n">
        <v>45904</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54428-2022</t>
        </is>
      </c>
      <c r="B252" s="1" t="n">
        <v>44882.57643518518</v>
      </c>
      <c r="C252" s="1" t="n">
        <v>45904</v>
      </c>
      <c r="D252" t="inlineStr">
        <is>
          <t>ÖSTERGÖTLANDS LÄN</t>
        </is>
      </c>
      <c r="E252" t="inlineStr">
        <is>
          <t>LINKÖPING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52412-2023</t>
        </is>
      </c>
      <c r="B253" s="1" t="n">
        <v>45225.27888888889</v>
      </c>
      <c r="C253" s="1" t="n">
        <v>45904</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52413-2023</t>
        </is>
      </c>
      <c r="B254" s="1" t="n">
        <v>45225.27950231481</v>
      </c>
      <c r="C254" s="1" t="n">
        <v>45904</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7354-2025</t>
        </is>
      </c>
      <c r="B255" s="1" t="n">
        <v>45704.41174768518</v>
      </c>
      <c r="C255" s="1" t="n">
        <v>45904</v>
      </c>
      <c r="D255" t="inlineStr">
        <is>
          <t>ÖSTERGÖTLANDS LÄN</t>
        </is>
      </c>
      <c r="E255" t="inlineStr">
        <is>
          <t>LINKÖPING</t>
        </is>
      </c>
      <c r="G255" t="n">
        <v>4.8</v>
      </c>
      <c r="H255" t="n">
        <v>0</v>
      </c>
      <c r="I255" t="n">
        <v>0</v>
      </c>
      <c r="J255" t="n">
        <v>0</v>
      </c>
      <c r="K255" t="n">
        <v>0</v>
      </c>
      <c r="L255" t="n">
        <v>0</v>
      </c>
      <c r="M255" t="n">
        <v>0</v>
      </c>
      <c r="N255" t="n">
        <v>0</v>
      </c>
      <c r="O255" t="n">
        <v>0</v>
      </c>
      <c r="P255" t="n">
        <v>0</v>
      </c>
      <c r="Q255" t="n">
        <v>0</v>
      </c>
      <c r="R255" s="2" t="inlineStr"/>
    </row>
    <row r="256" ht="15" customHeight="1">
      <c r="A256" t="inlineStr">
        <is>
          <t>A 22264-2025</t>
        </is>
      </c>
      <c r="B256" s="1" t="n">
        <v>45785</v>
      </c>
      <c r="C256" s="1" t="n">
        <v>45904</v>
      </c>
      <c r="D256" t="inlineStr">
        <is>
          <t>ÖSTERGÖTLANDS LÄN</t>
        </is>
      </c>
      <c r="E256" t="inlineStr">
        <is>
          <t>LINKÖPING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9473-2024</t>
        </is>
      </c>
      <c r="B257" s="1" t="n">
        <v>45359.55474537037</v>
      </c>
      <c r="C257" s="1" t="n">
        <v>45904</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6859-2024</t>
        </is>
      </c>
      <c r="B258" s="1" t="n">
        <v>45342</v>
      </c>
      <c r="C258" s="1" t="n">
        <v>45904</v>
      </c>
      <c r="D258" t="inlineStr">
        <is>
          <t>ÖSTERGÖTLANDS LÄN</t>
        </is>
      </c>
      <c r="E258" t="inlineStr">
        <is>
          <t>LINKÖPING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44287-2024</t>
        </is>
      </c>
      <c r="B259" s="1" t="n">
        <v>45573.50582175926</v>
      </c>
      <c r="C259" s="1" t="n">
        <v>45904</v>
      </c>
      <c r="D259" t="inlineStr">
        <is>
          <t>ÖSTERGÖTLANDS LÄN</t>
        </is>
      </c>
      <c r="E259" t="inlineStr">
        <is>
          <t>LINKÖPING</t>
        </is>
      </c>
      <c r="G259" t="n">
        <v>12.7</v>
      </c>
      <c r="H259" t="n">
        <v>0</v>
      </c>
      <c r="I259" t="n">
        <v>0</v>
      </c>
      <c r="J259" t="n">
        <v>0</v>
      </c>
      <c r="K259" t="n">
        <v>0</v>
      </c>
      <c r="L259" t="n">
        <v>0</v>
      </c>
      <c r="M259" t="n">
        <v>0</v>
      </c>
      <c r="N259" t="n">
        <v>0</v>
      </c>
      <c r="O259" t="n">
        <v>0</v>
      </c>
      <c r="P259" t="n">
        <v>0</v>
      </c>
      <c r="Q259" t="n">
        <v>0</v>
      </c>
      <c r="R259" s="2" t="inlineStr"/>
    </row>
    <row r="260" ht="15" customHeight="1">
      <c r="A260" t="inlineStr">
        <is>
          <t>A 660-2023</t>
        </is>
      </c>
      <c r="B260" s="1" t="n">
        <v>44930</v>
      </c>
      <c r="C260" s="1" t="n">
        <v>45904</v>
      </c>
      <c r="D260" t="inlineStr">
        <is>
          <t>ÖSTERGÖTLANDS LÄN</t>
        </is>
      </c>
      <c r="E260" t="inlineStr">
        <is>
          <t>LINKÖPING</t>
        </is>
      </c>
      <c r="F260" t="inlineStr">
        <is>
          <t>Kyrkan</t>
        </is>
      </c>
      <c r="G260" t="n">
        <v>1.6</v>
      </c>
      <c r="H260" t="n">
        <v>0</v>
      </c>
      <c r="I260" t="n">
        <v>0</v>
      </c>
      <c r="J260" t="n">
        <v>0</v>
      </c>
      <c r="K260" t="n">
        <v>0</v>
      </c>
      <c r="L260" t="n">
        <v>0</v>
      </c>
      <c r="M260" t="n">
        <v>0</v>
      </c>
      <c r="N260" t="n">
        <v>0</v>
      </c>
      <c r="O260" t="n">
        <v>0</v>
      </c>
      <c r="P260" t="n">
        <v>0</v>
      </c>
      <c r="Q260" t="n">
        <v>0</v>
      </c>
      <c r="R260" s="2" t="inlineStr"/>
    </row>
    <row r="261" ht="15" customHeight="1">
      <c r="A261" t="inlineStr">
        <is>
          <t>A 62501-2023</t>
        </is>
      </c>
      <c r="B261" s="1" t="n">
        <v>45268</v>
      </c>
      <c r="C261" s="1" t="n">
        <v>45904</v>
      </c>
      <c r="D261" t="inlineStr">
        <is>
          <t>ÖSTERGÖTLANDS LÄN</t>
        </is>
      </c>
      <c r="E261" t="inlineStr">
        <is>
          <t>LINKÖPING</t>
        </is>
      </c>
      <c r="G261" t="n">
        <v>7.4</v>
      </c>
      <c r="H261" t="n">
        <v>0</v>
      </c>
      <c r="I261" t="n">
        <v>0</v>
      </c>
      <c r="J261" t="n">
        <v>0</v>
      </c>
      <c r="K261" t="n">
        <v>0</v>
      </c>
      <c r="L261" t="n">
        <v>0</v>
      </c>
      <c r="M261" t="n">
        <v>0</v>
      </c>
      <c r="N261" t="n">
        <v>0</v>
      </c>
      <c r="O261" t="n">
        <v>0</v>
      </c>
      <c r="P261" t="n">
        <v>0</v>
      </c>
      <c r="Q261" t="n">
        <v>0</v>
      </c>
      <c r="R261" s="2" t="inlineStr"/>
    </row>
    <row r="262" ht="15" customHeight="1">
      <c r="A262" t="inlineStr">
        <is>
          <t>A 13413-2023</t>
        </is>
      </c>
      <c r="B262" s="1" t="n">
        <v>45005.58341435185</v>
      </c>
      <c r="C262" s="1" t="n">
        <v>45904</v>
      </c>
      <c r="D262" t="inlineStr">
        <is>
          <t>ÖSTERGÖTLANDS LÄN</t>
        </is>
      </c>
      <c r="E262" t="inlineStr">
        <is>
          <t>LINKÖPING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26620-2023</t>
        </is>
      </c>
      <c r="B263" s="1" t="n">
        <v>45092.70390046296</v>
      </c>
      <c r="C263" s="1" t="n">
        <v>45904</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44535-2020</t>
        </is>
      </c>
      <c r="B264" s="1" t="n">
        <v>44085</v>
      </c>
      <c r="C264" s="1" t="n">
        <v>45904</v>
      </c>
      <c r="D264" t="inlineStr">
        <is>
          <t>ÖSTERGÖTLANDS LÄN</t>
        </is>
      </c>
      <c r="E264" t="inlineStr">
        <is>
          <t>LINKÖPING</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62374-2020</t>
        </is>
      </c>
      <c r="B265" s="1" t="n">
        <v>44159</v>
      </c>
      <c r="C265" s="1" t="n">
        <v>45904</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22364-2025</t>
        </is>
      </c>
      <c r="B266" s="1" t="n">
        <v>45786.46930555555</v>
      </c>
      <c r="C266" s="1" t="n">
        <v>45904</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16462-2021</t>
        </is>
      </c>
      <c r="B267" s="1" t="n">
        <v>44293</v>
      </c>
      <c r="C267" s="1" t="n">
        <v>45904</v>
      </c>
      <c r="D267" t="inlineStr">
        <is>
          <t>ÖSTERGÖTLANDS LÄN</t>
        </is>
      </c>
      <c r="E267" t="inlineStr">
        <is>
          <t>LINKÖPING</t>
        </is>
      </c>
      <c r="F267" t="inlineStr">
        <is>
          <t>Allmännings- och besparingsskogar</t>
        </is>
      </c>
      <c r="G267" t="n">
        <v>24.7</v>
      </c>
      <c r="H267" t="n">
        <v>0</v>
      </c>
      <c r="I267" t="n">
        <v>0</v>
      </c>
      <c r="J267" t="n">
        <v>0</v>
      </c>
      <c r="K267" t="n">
        <v>0</v>
      </c>
      <c r="L267" t="n">
        <v>0</v>
      </c>
      <c r="M267" t="n">
        <v>0</v>
      </c>
      <c r="N267" t="n">
        <v>0</v>
      </c>
      <c r="O267" t="n">
        <v>0</v>
      </c>
      <c r="P267" t="n">
        <v>0</v>
      </c>
      <c r="Q267" t="n">
        <v>0</v>
      </c>
      <c r="R267" s="2" t="inlineStr"/>
    </row>
    <row r="268" ht="15" customHeight="1">
      <c r="A268" t="inlineStr">
        <is>
          <t>A 572-2025</t>
        </is>
      </c>
      <c r="B268" s="1" t="n">
        <v>45664.56349537037</v>
      </c>
      <c r="C268" s="1" t="n">
        <v>45904</v>
      </c>
      <c r="D268" t="inlineStr">
        <is>
          <t>ÖSTERGÖTLANDS LÄN</t>
        </is>
      </c>
      <c r="E268" t="inlineStr">
        <is>
          <t>LINKÖPING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10797-2024</t>
        </is>
      </c>
      <c r="B269" s="1" t="n">
        <v>45369.6190162037</v>
      </c>
      <c r="C269" s="1" t="n">
        <v>45904</v>
      </c>
      <c r="D269" t="inlineStr">
        <is>
          <t>ÖSTERGÖTLANDS LÄN</t>
        </is>
      </c>
      <c r="E269" t="inlineStr">
        <is>
          <t>LINKÖPING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38580-2024</t>
        </is>
      </c>
      <c r="B270" s="1" t="n">
        <v>45546.64825231482</v>
      </c>
      <c r="C270" s="1" t="n">
        <v>45904</v>
      </c>
      <c r="D270" t="inlineStr">
        <is>
          <t>ÖSTERGÖTLANDS LÄN</t>
        </is>
      </c>
      <c r="E270" t="inlineStr">
        <is>
          <t>LINKÖPING</t>
        </is>
      </c>
      <c r="G270" t="n">
        <v>4.8</v>
      </c>
      <c r="H270" t="n">
        <v>0</v>
      </c>
      <c r="I270" t="n">
        <v>0</v>
      </c>
      <c r="J270" t="n">
        <v>0</v>
      </c>
      <c r="K270" t="n">
        <v>0</v>
      </c>
      <c r="L270" t="n">
        <v>0</v>
      </c>
      <c r="M270" t="n">
        <v>0</v>
      </c>
      <c r="N270" t="n">
        <v>0</v>
      </c>
      <c r="O270" t="n">
        <v>0</v>
      </c>
      <c r="P270" t="n">
        <v>0</v>
      </c>
      <c r="Q270" t="n">
        <v>0</v>
      </c>
      <c r="R270" s="2" t="inlineStr"/>
    </row>
    <row r="271" ht="15" customHeight="1">
      <c r="A271" t="inlineStr">
        <is>
          <t>A 57752-2023</t>
        </is>
      </c>
      <c r="B271" s="1" t="n">
        <v>45246.78474537037</v>
      </c>
      <c r="C271" s="1" t="n">
        <v>45904</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55945-2024</t>
        </is>
      </c>
      <c r="B272" s="1" t="n">
        <v>45623.61754629629</v>
      </c>
      <c r="C272" s="1" t="n">
        <v>45904</v>
      </c>
      <c r="D272" t="inlineStr">
        <is>
          <t>ÖSTERGÖTLANDS LÄN</t>
        </is>
      </c>
      <c r="E272" t="inlineStr">
        <is>
          <t>LINKÖPING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34928-2023</t>
        </is>
      </c>
      <c r="B273" s="1" t="n">
        <v>45142</v>
      </c>
      <c r="C273" s="1" t="n">
        <v>45904</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63554-2023</t>
        </is>
      </c>
      <c r="B274" s="1" t="n">
        <v>45275</v>
      </c>
      <c r="C274" s="1" t="n">
        <v>45904</v>
      </c>
      <c r="D274" t="inlineStr">
        <is>
          <t>ÖSTERGÖTLANDS LÄN</t>
        </is>
      </c>
      <c r="E274" t="inlineStr">
        <is>
          <t>LINKÖPING</t>
        </is>
      </c>
      <c r="G274" t="n">
        <v>4.3</v>
      </c>
      <c r="H274" t="n">
        <v>0</v>
      </c>
      <c r="I274" t="n">
        <v>0</v>
      </c>
      <c r="J274" t="n">
        <v>0</v>
      </c>
      <c r="K274" t="n">
        <v>0</v>
      </c>
      <c r="L274" t="n">
        <v>0</v>
      </c>
      <c r="M274" t="n">
        <v>0</v>
      </c>
      <c r="N274" t="n">
        <v>0</v>
      </c>
      <c r="O274" t="n">
        <v>0</v>
      </c>
      <c r="P274" t="n">
        <v>0</v>
      </c>
      <c r="Q274" t="n">
        <v>0</v>
      </c>
      <c r="R274" s="2" t="inlineStr"/>
    </row>
    <row r="275" ht="15" customHeight="1">
      <c r="A275" t="inlineStr">
        <is>
          <t>A 1263-2024</t>
        </is>
      </c>
      <c r="B275" s="1" t="n">
        <v>45302</v>
      </c>
      <c r="C275" s="1" t="n">
        <v>45904</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52531-2023</t>
        </is>
      </c>
      <c r="B276" s="1" t="n">
        <v>45225</v>
      </c>
      <c r="C276" s="1" t="n">
        <v>45904</v>
      </c>
      <c r="D276" t="inlineStr">
        <is>
          <t>ÖSTERGÖTLANDS LÄN</t>
        </is>
      </c>
      <c r="E276" t="inlineStr">
        <is>
          <t>LINKÖPING</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63638-2023</t>
        </is>
      </c>
      <c r="B277" s="1" t="n">
        <v>45275</v>
      </c>
      <c r="C277" s="1" t="n">
        <v>45904</v>
      </c>
      <c r="D277" t="inlineStr">
        <is>
          <t>ÖSTERGÖTLANDS LÄN</t>
        </is>
      </c>
      <c r="E277" t="inlineStr">
        <is>
          <t>LINKÖPING</t>
        </is>
      </c>
      <c r="F277" t="inlineStr">
        <is>
          <t>Övriga Aktiebolag</t>
        </is>
      </c>
      <c r="G277" t="n">
        <v>2.4</v>
      </c>
      <c r="H277" t="n">
        <v>0</v>
      </c>
      <c r="I277" t="n">
        <v>0</v>
      </c>
      <c r="J277" t="n">
        <v>0</v>
      </c>
      <c r="K277" t="n">
        <v>0</v>
      </c>
      <c r="L277" t="n">
        <v>0</v>
      </c>
      <c r="M277" t="n">
        <v>0</v>
      </c>
      <c r="N277" t="n">
        <v>0</v>
      </c>
      <c r="O277" t="n">
        <v>0</v>
      </c>
      <c r="P277" t="n">
        <v>0</v>
      </c>
      <c r="Q277" t="n">
        <v>0</v>
      </c>
      <c r="R277" s="2" t="inlineStr"/>
    </row>
    <row r="278" ht="15" customHeight="1">
      <c r="A278" t="inlineStr">
        <is>
          <t>A 63658-2023</t>
        </is>
      </c>
      <c r="B278" s="1" t="n">
        <v>45275</v>
      </c>
      <c r="C278" s="1" t="n">
        <v>45904</v>
      </c>
      <c r="D278" t="inlineStr">
        <is>
          <t>ÖSTERGÖTLANDS LÄN</t>
        </is>
      </c>
      <c r="E278" t="inlineStr">
        <is>
          <t>LINKÖPING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29312-2024</t>
        </is>
      </c>
      <c r="B279" s="1" t="n">
        <v>45483</v>
      </c>
      <c r="C279" s="1" t="n">
        <v>45904</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23120-2025</t>
        </is>
      </c>
      <c r="B280" s="1" t="n">
        <v>45791.37481481482</v>
      </c>
      <c r="C280" s="1" t="n">
        <v>45904</v>
      </c>
      <c r="D280" t="inlineStr">
        <is>
          <t>ÖSTERGÖTLANDS LÄN</t>
        </is>
      </c>
      <c r="E280" t="inlineStr">
        <is>
          <t>LINKÖPING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20291-2025</t>
        </is>
      </c>
      <c r="B281" s="1" t="n">
        <v>45774.74288194445</v>
      </c>
      <c r="C281" s="1" t="n">
        <v>45904</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20293-2025</t>
        </is>
      </c>
      <c r="B282" s="1" t="n">
        <v>45774.74611111111</v>
      </c>
      <c r="C282" s="1" t="n">
        <v>45904</v>
      </c>
      <c r="D282" t="inlineStr">
        <is>
          <t>ÖSTERGÖTLANDS LÄN</t>
        </is>
      </c>
      <c r="E282" t="inlineStr">
        <is>
          <t>LINKÖPING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16820-2024</t>
        </is>
      </c>
      <c r="B283" s="1" t="n">
        <v>45411.46809027778</v>
      </c>
      <c r="C283" s="1" t="n">
        <v>45904</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23768-2025</t>
        </is>
      </c>
      <c r="B284" s="1" t="n">
        <v>45793.47493055555</v>
      </c>
      <c r="C284" s="1" t="n">
        <v>45904</v>
      </c>
      <c r="D284" t="inlineStr">
        <is>
          <t>ÖSTERGÖTLANDS LÄN</t>
        </is>
      </c>
      <c r="E284" t="inlineStr">
        <is>
          <t>LINKÖPING</t>
        </is>
      </c>
      <c r="G284" t="n">
        <v>3.4</v>
      </c>
      <c r="H284" t="n">
        <v>0</v>
      </c>
      <c r="I284" t="n">
        <v>0</v>
      </c>
      <c r="J284" t="n">
        <v>0</v>
      </c>
      <c r="K284" t="n">
        <v>0</v>
      </c>
      <c r="L284" t="n">
        <v>0</v>
      </c>
      <c r="M284" t="n">
        <v>0</v>
      </c>
      <c r="N284" t="n">
        <v>0</v>
      </c>
      <c r="O284" t="n">
        <v>0</v>
      </c>
      <c r="P284" t="n">
        <v>0</v>
      </c>
      <c r="Q284" t="n">
        <v>0</v>
      </c>
      <c r="R284" s="2" t="inlineStr"/>
    </row>
    <row r="285" ht="15" customHeight="1">
      <c r="A285" t="inlineStr">
        <is>
          <t>A 4456-2024</t>
        </is>
      </c>
      <c r="B285" s="1" t="n">
        <v>45327.52847222222</v>
      </c>
      <c r="C285" s="1" t="n">
        <v>45904</v>
      </c>
      <c r="D285" t="inlineStr">
        <is>
          <t>ÖSTERGÖTLANDS LÄN</t>
        </is>
      </c>
      <c r="E285" t="inlineStr">
        <is>
          <t>LINKÖPING</t>
        </is>
      </c>
      <c r="G285" t="n">
        <v>2.7</v>
      </c>
      <c r="H285" t="n">
        <v>0</v>
      </c>
      <c r="I285" t="n">
        <v>0</v>
      </c>
      <c r="J285" t="n">
        <v>0</v>
      </c>
      <c r="K285" t="n">
        <v>0</v>
      </c>
      <c r="L285" t="n">
        <v>0</v>
      </c>
      <c r="M285" t="n">
        <v>0</v>
      </c>
      <c r="N285" t="n">
        <v>0</v>
      </c>
      <c r="O285" t="n">
        <v>0</v>
      </c>
      <c r="P285" t="n">
        <v>0</v>
      </c>
      <c r="Q285" t="n">
        <v>0</v>
      </c>
      <c r="R285" s="2" t="inlineStr"/>
    </row>
    <row r="286" ht="15" customHeight="1">
      <c r="A286" t="inlineStr">
        <is>
          <t>A 20298-2025</t>
        </is>
      </c>
      <c r="B286" s="1" t="n">
        <v>45774.75024305555</v>
      </c>
      <c r="C286" s="1" t="n">
        <v>45904</v>
      </c>
      <c r="D286" t="inlineStr">
        <is>
          <t>ÖSTERGÖTLANDS LÄN</t>
        </is>
      </c>
      <c r="E286" t="inlineStr">
        <is>
          <t>LINKÖPING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3041-2024</t>
        </is>
      </c>
      <c r="B287" s="1" t="n">
        <v>45316.34875</v>
      </c>
      <c r="C287" s="1" t="n">
        <v>45904</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3043-2024</t>
        </is>
      </c>
      <c r="B288" s="1" t="n">
        <v>45316</v>
      </c>
      <c r="C288" s="1" t="n">
        <v>45904</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15121-2022</t>
        </is>
      </c>
      <c r="B289" s="1" t="n">
        <v>44658</v>
      </c>
      <c r="C289" s="1" t="n">
        <v>45904</v>
      </c>
      <c r="D289" t="inlineStr">
        <is>
          <t>ÖSTERGÖTLANDS LÄN</t>
        </is>
      </c>
      <c r="E289" t="inlineStr">
        <is>
          <t>LINKÖPING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50743-2023</t>
        </is>
      </c>
      <c r="B290" s="1" t="n">
        <v>45217</v>
      </c>
      <c r="C290" s="1" t="n">
        <v>45904</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50963-2021</t>
        </is>
      </c>
      <c r="B291" s="1" t="n">
        <v>44460</v>
      </c>
      <c r="C291" s="1" t="n">
        <v>45904</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61307-2021</t>
        </is>
      </c>
      <c r="B292" s="1" t="n">
        <v>44498.63928240741</v>
      </c>
      <c r="C292" s="1" t="n">
        <v>45904</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61325-2021</t>
        </is>
      </c>
      <c r="B293" s="1" t="n">
        <v>44498.66814814815</v>
      </c>
      <c r="C293" s="1" t="n">
        <v>45904</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63665-2023</t>
        </is>
      </c>
      <c r="B294" s="1" t="n">
        <v>45275</v>
      </c>
      <c r="C294" s="1" t="n">
        <v>45904</v>
      </c>
      <c r="D294" t="inlineStr">
        <is>
          <t>ÖSTERGÖTLANDS LÄN</t>
        </is>
      </c>
      <c r="E294" t="inlineStr">
        <is>
          <t>LINKÖPING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1440-2021</t>
        </is>
      </c>
      <c r="B295" s="1" t="n">
        <v>44208</v>
      </c>
      <c r="C295" s="1" t="n">
        <v>45904</v>
      </c>
      <c r="D295" t="inlineStr">
        <is>
          <t>ÖSTERGÖTLANDS LÄN</t>
        </is>
      </c>
      <c r="E295" t="inlineStr">
        <is>
          <t>LINKÖPING</t>
        </is>
      </c>
      <c r="G295" t="n">
        <v>8.4</v>
      </c>
      <c r="H295" t="n">
        <v>0</v>
      </c>
      <c r="I295" t="n">
        <v>0</v>
      </c>
      <c r="J295" t="n">
        <v>0</v>
      </c>
      <c r="K295" t="n">
        <v>0</v>
      </c>
      <c r="L295" t="n">
        <v>0</v>
      </c>
      <c r="M295" t="n">
        <v>0</v>
      </c>
      <c r="N295" t="n">
        <v>0</v>
      </c>
      <c r="O295" t="n">
        <v>0</v>
      </c>
      <c r="P295" t="n">
        <v>0</v>
      </c>
      <c r="Q295" t="n">
        <v>0</v>
      </c>
      <c r="R295" s="2" t="inlineStr"/>
    </row>
    <row r="296" ht="15" customHeight="1">
      <c r="A296" t="inlineStr">
        <is>
          <t>A 13687-2025</t>
        </is>
      </c>
      <c r="B296" s="1" t="n">
        <v>45737.31425925926</v>
      </c>
      <c r="C296" s="1" t="n">
        <v>45904</v>
      </c>
      <c r="D296" t="inlineStr">
        <is>
          <t>ÖSTERGÖTLANDS LÄN</t>
        </is>
      </c>
      <c r="E296" t="inlineStr">
        <is>
          <t>LINKÖPING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13688-2025</t>
        </is>
      </c>
      <c r="B297" s="1" t="n">
        <v>45737.3153125</v>
      </c>
      <c r="C297" s="1" t="n">
        <v>45904</v>
      </c>
      <c r="D297" t="inlineStr">
        <is>
          <t>ÖSTERGÖTLANDS LÄN</t>
        </is>
      </c>
      <c r="E297" t="inlineStr">
        <is>
          <t>LINKÖPING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13695-2025</t>
        </is>
      </c>
      <c r="B298" s="1" t="n">
        <v>45737.32219907407</v>
      </c>
      <c r="C298" s="1" t="n">
        <v>45904</v>
      </c>
      <c r="D298" t="inlineStr">
        <is>
          <t>ÖSTERGÖTLANDS LÄN</t>
        </is>
      </c>
      <c r="E298" t="inlineStr">
        <is>
          <t>LINKÖPING</t>
        </is>
      </c>
      <c r="G298" t="n">
        <v>5.3</v>
      </c>
      <c r="H298" t="n">
        <v>0</v>
      </c>
      <c r="I298" t="n">
        <v>0</v>
      </c>
      <c r="J298" t="n">
        <v>0</v>
      </c>
      <c r="K298" t="n">
        <v>0</v>
      </c>
      <c r="L298" t="n">
        <v>0</v>
      </c>
      <c r="M298" t="n">
        <v>0</v>
      </c>
      <c r="N298" t="n">
        <v>0</v>
      </c>
      <c r="O298" t="n">
        <v>0</v>
      </c>
      <c r="P298" t="n">
        <v>0</v>
      </c>
      <c r="Q298" t="n">
        <v>0</v>
      </c>
      <c r="R298" s="2" t="inlineStr"/>
    </row>
    <row r="299" ht="15" customHeight="1">
      <c r="A299" t="inlineStr">
        <is>
          <t>A 33867-2023</t>
        </is>
      </c>
      <c r="B299" s="1" t="n">
        <v>45133.94640046296</v>
      </c>
      <c r="C299" s="1" t="n">
        <v>45904</v>
      </c>
      <c r="D299" t="inlineStr">
        <is>
          <t>ÖSTERGÖTLANDS LÄN</t>
        </is>
      </c>
      <c r="E299" t="inlineStr">
        <is>
          <t>LINKÖPING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20294-2025</t>
        </is>
      </c>
      <c r="B300" s="1" t="n">
        <v>45774.74667824074</v>
      </c>
      <c r="C300" s="1" t="n">
        <v>45904</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48699-2024</t>
        </is>
      </c>
      <c r="B301" s="1" t="n">
        <v>45593.52091435185</v>
      </c>
      <c r="C301" s="1" t="n">
        <v>45904</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17128-2025</t>
        </is>
      </c>
      <c r="B302" s="1" t="n">
        <v>45755.72622685185</v>
      </c>
      <c r="C302" s="1" t="n">
        <v>45904</v>
      </c>
      <c r="D302" t="inlineStr">
        <is>
          <t>ÖSTERGÖTLANDS LÄN</t>
        </is>
      </c>
      <c r="E302" t="inlineStr">
        <is>
          <t>LINKÖPING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52125-2022</t>
        </is>
      </c>
      <c r="B303" s="1" t="n">
        <v>44873</v>
      </c>
      <c r="C303" s="1" t="n">
        <v>45904</v>
      </c>
      <c r="D303" t="inlineStr">
        <is>
          <t>ÖSTERGÖTLANDS LÄN</t>
        </is>
      </c>
      <c r="E303" t="inlineStr">
        <is>
          <t>LINKÖPING</t>
        </is>
      </c>
      <c r="F303" t="inlineStr">
        <is>
          <t>Övriga Aktiebolag</t>
        </is>
      </c>
      <c r="G303" t="n">
        <v>0.7</v>
      </c>
      <c r="H303" t="n">
        <v>0</v>
      </c>
      <c r="I303" t="n">
        <v>0</v>
      </c>
      <c r="J303" t="n">
        <v>0</v>
      </c>
      <c r="K303" t="n">
        <v>0</v>
      </c>
      <c r="L303" t="n">
        <v>0</v>
      </c>
      <c r="M303" t="n">
        <v>0</v>
      </c>
      <c r="N303" t="n">
        <v>0</v>
      </c>
      <c r="O303" t="n">
        <v>0</v>
      </c>
      <c r="P303" t="n">
        <v>0</v>
      </c>
      <c r="Q303" t="n">
        <v>0</v>
      </c>
      <c r="R303" s="2" t="inlineStr"/>
    </row>
    <row r="304" ht="15" customHeight="1">
      <c r="A304" t="inlineStr">
        <is>
          <t>A 30985-2022</t>
        </is>
      </c>
      <c r="B304" s="1" t="n">
        <v>44768</v>
      </c>
      <c r="C304" s="1" t="n">
        <v>45904</v>
      </c>
      <c r="D304" t="inlineStr">
        <is>
          <t>ÖSTERGÖTLANDS LÄN</t>
        </is>
      </c>
      <c r="E304" t="inlineStr">
        <is>
          <t>LINKÖPING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38317-2024</t>
        </is>
      </c>
      <c r="B305" s="1" t="n">
        <v>45545.65766203704</v>
      </c>
      <c r="C305" s="1" t="n">
        <v>45904</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27343-2023</t>
        </is>
      </c>
      <c r="B306" s="1" t="n">
        <v>45096</v>
      </c>
      <c r="C306" s="1" t="n">
        <v>45904</v>
      </c>
      <c r="D306" t="inlineStr">
        <is>
          <t>ÖSTERGÖTLANDS LÄN</t>
        </is>
      </c>
      <c r="E306" t="inlineStr">
        <is>
          <t>LINKÖPING</t>
        </is>
      </c>
      <c r="F306" t="inlineStr">
        <is>
          <t>Allmännings- och besparingsskogar</t>
        </is>
      </c>
      <c r="G306" t="n">
        <v>6.9</v>
      </c>
      <c r="H306" t="n">
        <v>0</v>
      </c>
      <c r="I306" t="n">
        <v>0</v>
      </c>
      <c r="J306" t="n">
        <v>0</v>
      </c>
      <c r="K306" t="n">
        <v>0</v>
      </c>
      <c r="L306" t="n">
        <v>0</v>
      </c>
      <c r="M306" t="n">
        <v>0</v>
      </c>
      <c r="N306" t="n">
        <v>0</v>
      </c>
      <c r="O306" t="n">
        <v>0</v>
      </c>
      <c r="P306" t="n">
        <v>0</v>
      </c>
      <c r="Q306" t="n">
        <v>0</v>
      </c>
      <c r="R306" s="2" t="inlineStr"/>
    </row>
    <row r="307" ht="15" customHeight="1">
      <c r="A307" t="inlineStr">
        <is>
          <t>A 13911-2025</t>
        </is>
      </c>
      <c r="B307" s="1" t="n">
        <v>45737.64784722222</v>
      </c>
      <c r="C307" s="1" t="n">
        <v>45904</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22842-2023</t>
        </is>
      </c>
      <c r="B308" s="1" t="n">
        <v>45071</v>
      </c>
      <c r="C308" s="1" t="n">
        <v>45904</v>
      </c>
      <c r="D308" t="inlineStr">
        <is>
          <t>ÖSTERGÖTLANDS LÄN</t>
        </is>
      </c>
      <c r="E308" t="inlineStr">
        <is>
          <t>LINKÖPING</t>
        </is>
      </c>
      <c r="F308" t="inlineStr">
        <is>
          <t>Kommuner</t>
        </is>
      </c>
      <c r="G308" t="n">
        <v>1.3</v>
      </c>
      <c r="H308" t="n">
        <v>0</v>
      </c>
      <c r="I308" t="n">
        <v>0</v>
      </c>
      <c r="J308" t="n">
        <v>0</v>
      </c>
      <c r="K308" t="n">
        <v>0</v>
      </c>
      <c r="L308" t="n">
        <v>0</v>
      </c>
      <c r="M308" t="n">
        <v>0</v>
      </c>
      <c r="N308" t="n">
        <v>0</v>
      </c>
      <c r="O308" t="n">
        <v>0</v>
      </c>
      <c r="P308" t="n">
        <v>0</v>
      </c>
      <c r="Q308" t="n">
        <v>0</v>
      </c>
      <c r="R308" s="2" t="inlineStr"/>
    </row>
    <row r="309" ht="15" customHeight="1">
      <c r="A309" t="inlineStr">
        <is>
          <t>A 58947-2022</t>
        </is>
      </c>
      <c r="B309" s="1" t="n">
        <v>44903.64769675926</v>
      </c>
      <c r="C309" s="1" t="n">
        <v>45904</v>
      </c>
      <c r="D309" t="inlineStr">
        <is>
          <t>ÖSTERGÖTLANDS LÄN</t>
        </is>
      </c>
      <c r="E309" t="inlineStr">
        <is>
          <t>LINKÖPING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14520-2025</t>
        </is>
      </c>
      <c r="B310" s="1" t="n">
        <v>45741</v>
      </c>
      <c r="C310" s="1" t="n">
        <v>45904</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31548-2022</t>
        </is>
      </c>
      <c r="B311" s="1" t="n">
        <v>44775.39832175926</v>
      </c>
      <c r="C311" s="1" t="n">
        <v>45904</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44280-2024</t>
        </is>
      </c>
      <c r="B312" s="1" t="n">
        <v>45573.49461805556</v>
      </c>
      <c r="C312" s="1" t="n">
        <v>45904</v>
      </c>
      <c r="D312" t="inlineStr">
        <is>
          <t>ÖSTERGÖTLANDS LÄN</t>
        </is>
      </c>
      <c r="E312" t="inlineStr">
        <is>
          <t>LINKÖPING</t>
        </is>
      </c>
      <c r="G312" t="n">
        <v>5.3</v>
      </c>
      <c r="H312" t="n">
        <v>0</v>
      </c>
      <c r="I312" t="n">
        <v>0</v>
      </c>
      <c r="J312" t="n">
        <v>0</v>
      </c>
      <c r="K312" t="n">
        <v>0</v>
      </c>
      <c r="L312" t="n">
        <v>0</v>
      </c>
      <c r="M312" t="n">
        <v>0</v>
      </c>
      <c r="N312" t="n">
        <v>0</v>
      </c>
      <c r="O312" t="n">
        <v>0</v>
      </c>
      <c r="P312" t="n">
        <v>0</v>
      </c>
      <c r="Q312" t="n">
        <v>0</v>
      </c>
      <c r="R312" s="2" t="inlineStr"/>
    </row>
    <row r="313" ht="15" customHeight="1">
      <c r="A313" t="inlineStr">
        <is>
          <t>A 16665-2023</t>
        </is>
      </c>
      <c r="B313" s="1" t="n">
        <v>45030.5583912037</v>
      </c>
      <c r="C313" s="1" t="n">
        <v>45904</v>
      </c>
      <c r="D313" t="inlineStr">
        <is>
          <t>ÖSTERGÖTLANDS LÄN</t>
        </is>
      </c>
      <c r="E313" t="inlineStr">
        <is>
          <t>LINKÖPING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59948-2022</t>
        </is>
      </c>
      <c r="B314" s="1" t="n">
        <v>44909</v>
      </c>
      <c r="C314" s="1" t="n">
        <v>45904</v>
      </c>
      <c r="D314" t="inlineStr">
        <is>
          <t>ÖSTERGÖTLANDS LÄN</t>
        </is>
      </c>
      <c r="E314" t="inlineStr">
        <is>
          <t>LINKÖPING</t>
        </is>
      </c>
      <c r="G314" t="n">
        <v>6.7</v>
      </c>
      <c r="H314" t="n">
        <v>0</v>
      </c>
      <c r="I314" t="n">
        <v>0</v>
      </c>
      <c r="J314" t="n">
        <v>0</v>
      </c>
      <c r="K314" t="n">
        <v>0</v>
      </c>
      <c r="L314" t="n">
        <v>0</v>
      </c>
      <c r="M314" t="n">
        <v>0</v>
      </c>
      <c r="N314" t="n">
        <v>0</v>
      </c>
      <c r="O314" t="n">
        <v>0</v>
      </c>
      <c r="P314" t="n">
        <v>0</v>
      </c>
      <c r="Q314" t="n">
        <v>0</v>
      </c>
      <c r="R314" s="2" t="inlineStr"/>
    </row>
    <row r="315" ht="15" customHeight="1">
      <c r="A315" t="inlineStr">
        <is>
          <t>A 60001-2022</t>
        </is>
      </c>
      <c r="B315" s="1" t="n">
        <v>44909.47087962963</v>
      </c>
      <c r="C315" s="1" t="n">
        <v>45904</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60013-2022</t>
        </is>
      </c>
      <c r="B316" s="1" t="n">
        <v>44909.47482638889</v>
      </c>
      <c r="C316" s="1" t="n">
        <v>45904</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62017-2024</t>
        </is>
      </c>
      <c r="B317" s="1" t="n">
        <v>45655.81140046296</v>
      </c>
      <c r="C317" s="1" t="n">
        <v>45904</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1211-2023</t>
        </is>
      </c>
      <c r="B318" s="1" t="n">
        <v>44930</v>
      </c>
      <c r="C318" s="1" t="n">
        <v>45904</v>
      </c>
      <c r="D318" t="inlineStr">
        <is>
          <t>ÖSTERGÖTLANDS LÄN</t>
        </is>
      </c>
      <c r="E318" t="inlineStr">
        <is>
          <t>LINKÖPING</t>
        </is>
      </c>
      <c r="F318" t="inlineStr">
        <is>
          <t>Övriga statliga verk och myndigheter</t>
        </is>
      </c>
      <c r="G318" t="n">
        <v>7.9</v>
      </c>
      <c r="H318" t="n">
        <v>0</v>
      </c>
      <c r="I318" t="n">
        <v>0</v>
      </c>
      <c r="J318" t="n">
        <v>0</v>
      </c>
      <c r="K318" t="n">
        <v>0</v>
      </c>
      <c r="L318" t="n">
        <v>0</v>
      </c>
      <c r="M318" t="n">
        <v>0</v>
      </c>
      <c r="N318" t="n">
        <v>0</v>
      </c>
      <c r="O318" t="n">
        <v>0</v>
      </c>
      <c r="P318" t="n">
        <v>0</v>
      </c>
      <c r="Q318" t="n">
        <v>0</v>
      </c>
      <c r="R318" s="2" t="inlineStr"/>
    </row>
    <row r="319" ht="15" customHeight="1">
      <c r="A319" t="inlineStr">
        <is>
          <t>A 17785-2023</t>
        </is>
      </c>
      <c r="B319" s="1" t="n">
        <v>45037.55094907407</v>
      </c>
      <c r="C319" s="1" t="n">
        <v>45904</v>
      </c>
      <c r="D319" t="inlineStr">
        <is>
          <t>ÖSTERGÖTLANDS LÄN</t>
        </is>
      </c>
      <c r="E319" t="inlineStr">
        <is>
          <t>LINKÖPING</t>
        </is>
      </c>
      <c r="F319" t="inlineStr">
        <is>
          <t>Allmännings- och besparingsskogar</t>
        </is>
      </c>
      <c r="G319" t="n">
        <v>3.1</v>
      </c>
      <c r="H319" t="n">
        <v>0</v>
      </c>
      <c r="I319" t="n">
        <v>0</v>
      </c>
      <c r="J319" t="n">
        <v>0</v>
      </c>
      <c r="K319" t="n">
        <v>0</v>
      </c>
      <c r="L319" t="n">
        <v>0</v>
      </c>
      <c r="M319" t="n">
        <v>0</v>
      </c>
      <c r="N319" t="n">
        <v>0</v>
      </c>
      <c r="O319" t="n">
        <v>0</v>
      </c>
      <c r="P319" t="n">
        <v>0</v>
      </c>
      <c r="Q319" t="n">
        <v>0</v>
      </c>
      <c r="R319" s="2" t="inlineStr"/>
    </row>
    <row r="320" ht="15" customHeight="1">
      <c r="A320" t="inlineStr">
        <is>
          <t>A 38136-2023</t>
        </is>
      </c>
      <c r="B320" s="1" t="n">
        <v>45161.37310185185</v>
      </c>
      <c r="C320" s="1" t="n">
        <v>45904</v>
      </c>
      <c r="D320" t="inlineStr">
        <is>
          <t>ÖSTERGÖTLANDS LÄN</t>
        </is>
      </c>
      <c r="E320" t="inlineStr">
        <is>
          <t>LINKÖPING</t>
        </is>
      </c>
      <c r="G320" t="n">
        <v>5.6</v>
      </c>
      <c r="H320" t="n">
        <v>0</v>
      </c>
      <c r="I320" t="n">
        <v>0</v>
      </c>
      <c r="J320" t="n">
        <v>0</v>
      </c>
      <c r="K320" t="n">
        <v>0</v>
      </c>
      <c r="L320" t="n">
        <v>0</v>
      </c>
      <c r="M320" t="n">
        <v>0</v>
      </c>
      <c r="N320" t="n">
        <v>0</v>
      </c>
      <c r="O320" t="n">
        <v>0</v>
      </c>
      <c r="P320" t="n">
        <v>0</v>
      </c>
      <c r="Q320" t="n">
        <v>0</v>
      </c>
      <c r="R320" s="2" t="inlineStr"/>
    </row>
    <row r="321" ht="15" customHeight="1">
      <c r="A321" t="inlineStr">
        <is>
          <t>A 62686-2023</t>
        </is>
      </c>
      <c r="B321" s="1" t="n">
        <v>45271</v>
      </c>
      <c r="C321" s="1" t="n">
        <v>45904</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42044-2023</t>
        </is>
      </c>
      <c r="B322" s="1" t="n">
        <v>45177</v>
      </c>
      <c r="C322" s="1" t="n">
        <v>45904</v>
      </c>
      <c r="D322" t="inlineStr">
        <is>
          <t>ÖSTERGÖTLANDS LÄN</t>
        </is>
      </c>
      <c r="E322" t="inlineStr">
        <is>
          <t>LINKÖPING</t>
        </is>
      </c>
      <c r="G322" t="n">
        <v>3.9</v>
      </c>
      <c r="H322" t="n">
        <v>0</v>
      </c>
      <c r="I322" t="n">
        <v>0</v>
      </c>
      <c r="J322" t="n">
        <v>0</v>
      </c>
      <c r="K322" t="n">
        <v>0</v>
      </c>
      <c r="L322" t="n">
        <v>0</v>
      </c>
      <c r="M322" t="n">
        <v>0</v>
      </c>
      <c r="N322" t="n">
        <v>0</v>
      </c>
      <c r="O322" t="n">
        <v>0</v>
      </c>
      <c r="P322" t="n">
        <v>0</v>
      </c>
      <c r="Q322" t="n">
        <v>0</v>
      </c>
      <c r="R322" s="2" t="inlineStr"/>
    </row>
    <row r="323" ht="15" customHeight="1">
      <c r="A323" t="inlineStr">
        <is>
          <t>A 5314-2021</t>
        </is>
      </c>
      <c r="B323" s="1" t="n">
        <v>44229</v>
      </c>
      <c r="C323" s="1" t="n">
        <v>45904</v>
      </c>
      <c r="D323" t="inlineStr">
        <is>
          <t>ÖSTERGÖTLANDS LÄN</t>
        </is>
      </c>
      <c r="E323" t="inlineStr">
        <is>
          <t>LINKÖPING</t>
        </is>
      </c>
      <c r="G323" t="n">
        <v>6.2</v>
      </c>
      <c r="H323" t="n">
        <v>0</v>
      </c>
      <c r="I323" t="n">
        <v>0</v>
      </c>
      <c r="J323" t="n">
        <v>0</v>
      </c>
      <c r="K323" t="n">
        <v>0</v>
      </c>
      <c r="L323" t="n">
        <v>0</v>
      </c>
      <c r="M323" t="n">
        <v>0</v>
      </c>
      <c r="N323" t="n">
        <v>0</v>
      </c>
      <c r="O323" t="n">
        <v>0</v>
      </c>
      <c r="P323" t="n">
        <v>0</v>
      </c>
      <c r="Q323" t="n">
        <v>0</v>
      </c>
      <c r="R323" s="2" t="inlineStr"/>
    </row>
    <row r="324" ht="15" customHeight="1">
      <c r="A324" t="inlineStr">
        <is>
          <t>A 12317-2025</t>
        </is>
      </c>
      <c r="B324" s="1" t="n">
        <v>45729.8487037037</v>
      </c>
      <c r="C324" s="1" t="n">
        <v>45904</v>
      </c>
      <c r="D324" t="inlineStr">
        <is>
          <t>ÖSTERGÖTLANDS LÄN</t>
        </is>
      </c>
      <c r="E324" t="inlineStr">
        <is>
          <t>LINKÖPING</t>
        </is>
      </c>
      <c r="G324" t="n">
        <v>8</v>
      </c>
      <c r="H324" t="n">
        <v>0</v>
      </c>
      <c r="I324" t="n">
        <v>0</v>
      </c>
      <c r="J324" t="n">
        <v>0</v>
      </c>
      <c r="K324" t="n">
        <v>0</v>
      </c>
      <c r="L324" t="n">
        <v>0</v>
      </c>
      <c r="M324" t="n">
        <v>0</v>
      </c>
      <c r="N324" t="n">
        <v>0</v>
      </c>
      <c r="O324" t="n">
        <v>0</v>
      </c>
      <c r="P324" t="n">
        <v>0</v>
      </c>
      <c r="Q324" t="n">
        <v>0</v>
      </c>
      <c r="R324" s="2" t="inlineStr"/>
    </row>
    <row r="325" ht="15" customHeight="1">
      <c r="A325" t="inlineStr">
        <is>
          <t>A 25829-2025</t>
        </is>
      </c>
      <c r="B325" s="1" t="n">
        <v>45804.44505787037</v>
      </c>
      <c r="C325" s="1" t="n">
        <v>45904</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53616-2020</t>
        </is>
      </c>
      <c r="B326" s="1" t="n">
        <v>44123</v>
      </c>
      <c r="C326" s="1" t="n">
        <v>45904</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26002-2025</t>
        </is>
      </c>
      <c r="B327" s="1" t="n">
        <v>45804.66534722222</v>
      </c>
      <c r="C327" s="1" t="n">
        <v>45904</v>
      </c>
      <c r="D327" t="inlineStr">
        <is>
          <t>ÖSTERGÖTLANDS LÄN</t>
        </is>
      </c>
      <c r="E327" t="inlineStr">
        <is>
          <t>LINKÖPING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36557-2023</t>
        </is>
      </c>
      <c r="B328" s="1" t="n">
        <v>45153</v>
      </c>
      <c r="C328" s="1" t="n">
        <v>45904</v>
      </c>
      <c r="D328" t="inlineStr">
        <is>
          <t>ÖSTERGÖTLANDS LÄN</t>
        </is>
      </c>
      <c r="E328" t="inlineStr">
        <is>
          <t>LINKÖPING</t>
        </is>
      </c>
      <c r="F328" t="inlineStr">
        <is>
          <t>Övriga Aktiebolag</t>
        </is>
      </c>
      <c r="G328" t="n">
        <v>3.1</v>
      </c>
      <c r="H328" t="n">
        <v>0</v>
      </c>
      <c r="I328" t="n">
        <v>0</v>
      </c>
      <c r="J328" t="n">
        <v>0</v>
      </c>
      <c r="K328" t="n">
        <v>0</v>
      </c>
      <c r="L328" t="n">
        <v>0</v>
      </c>
      <c r="M328" t="n">
        <v>0</v>
      </c>
      <c r="N328" t="n">
        <v>0</v>
      </c>
      <c r="O328" t="n">
        <v>0</v>
      </c>
      <c r="P328" t="n">
        <v>0</v>
      </c>
      <c r="Q328" t="n">
        <v>0</v>
      </c>
      <c r="R328" s="2" t="inlineStr"/>
    </row>
    <row r="329" ht="15" customHeight="1">
      <c r="A329" t="inlineStr">
        <is>
          <t>A 49656-2021</t>
        </is>
      </c>
      <c r="B329" s="1" t="n">
        <v>44454</v>
      </c>
      <c r="C329" s="1" t="n">
        <v>45904</v>
      </c>
      <c r="D329" t="inlineStr">
        <is>
          <t>ÖSTERGÖTLANDS LÄN</t>
        </is>
      </c>
      <c r="E329" t="inlineStr">
        <is>
          <t>LINKÖPING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2085-2024</t>
        </is>
      </c>
      <c r="B330" s="1" t="n">
        <v>45309</v>
      </c>
      <c r="C330" s="1" t="n">
        <v>45904</v>
      </c>
      <c r="D330" t="inlineStr">
        <is>
          <t>ÖSTERGÖTLANDS LÄN</t>
        </is>
      </c>
      <c r="E330" t="inlineStr">
        <is>
          <t>LINKÖPING</t>
        </is>
      </c>
      <c r="G330" t="n">
        <v>4.5</v>
      </c>
      <c r="H330" t="n">
        <v>0</v>
      </c>
      <c r="I330" t="n">
        <v>0</v>
      </c>
      <c r="J330" t="n">
        <v>0</v>
      </c>
      <c r="K330" t="n">
        <v>0</v>
      </c>
      <c r="L330" t="n">
        <v>0</v>
      </c>
      <c r="M330" t="n">
        <v>0</v>
      </c>
      <c r="N330" t="n">
        <v>0</v>
      </c>
      <c r="O330" t="n">
        <v>0</v>
      </c>
      <c r="P330" t="n">
        <v>0</v>
      </c>
      <c r="Q330" t="n">
        <v>0</v>
      </c>
      <c r="R330" s="2" t="inlineStr"/>
    </row>
    <row r="331" ht="15" customHeight="1">
      <c r="A331" t="inlineStr">
        <is>
          <t>A 30468-2023</t>
        </is>
      </c>
      <c r="B331" s="1" t="n">
        <v>45111.58732638889</v>
      </c>
      <c r="C331" s="1" t="n">
        <v>45904</v>
      </c>
      <c r="D331" t="inlineStr">
        <is>
          <t>ÖSTERGÖTLANDS LÄN</t>
        </is>
      </c>
      <c r="E331" t="inlineStr">
        <is>
          <t>LINKÖPING</t>
        </is>
      </c>
      <c r="G331" t="n">
        <v>10.1</v>
      </c>
      <c r="H331" t="n">
        <v>0</v>
      </c>
      <c r="I331" t="n">
        <v>0</v>
      </c>
      <c r="J331" t="n">
        <v>0</v>
      </c>
      <c r="K331" t="n">
        <v>0</v>
      </c>
      <c r="L331" t="n">
        <v>0</v>
      </c>
      <c r="M331" t="n">
        <v>0</v>
      </c>
      <c r="N331" t="n">
        <v>0</v>
      </c>
      <c r="O331" t="n">
        <v>0</v>
      </c>
      <c r="P331" t="n">
        <v>0</v>
      </c>
      <c r="Q331" t="n">
        <v>0</v>
      </c>
      <c r="R331" s="2" t="inlineStr"/>
    </row>
    <row r="332" ht="15" customHeight="1">
      <c r="A332" t="inlineStr">
        <is>
          <t>A 25996-2025</t>
        </is>
      </c>
      <c r="B332" s="1" t="n">
        <v>45804.65851851852</v>
      </c>
      <c r="C332" s="1" t="n">
        <v>45904</v>
      </c>
      <c r="D332" t="inlineStr">
        <is>
          <t>ÖSTERGÖTLANDS LÄN</t>
        </is>
      </c>
      <c r="E332" t="inlineStr">
        <is>
          <t>LINKÖPING</t>
        </is>
      </c>
      <c r="G332" t="n">
        <v>3.2</v>
      </c>
      <c r="H332" t="n">
        <v>0</v>
      </c>
      <c r="I332" t="n">
        <v>0</v>
      </c>
      <c r="J332" t="n">
        <v>0</v>
      </c>
      <c r="K332" t="n">
        <v>0</v>
      </c>
      <c r="L332" t="n">
        <v>0</v>
      </c>
      <c r="M332" t="n">
        <v>0</v>
      </c>
      <c r="N332" t="n">
        <v>0</v>
      </c>
      <c r="O332" t="n">
        <v>0</v>
      </c>
      <c r="P332" t="n">
        <v>0</v>
      </c>
      <c r="Q332" t="n">
        <v>0</v>
      </c>
      <c r="R332" s="2" t="inlineStr"/>
    </row>
    <row r="333" ht="15" customHeight="1">
      <c r="A333" t="inlineStr">
        <is>
          <t>A 47364-2020</t>
        </is>
      </c>
      <c r="B333" s="1" t="n">
        <v>44097</v>
      </c>
      <c r="C333" s="1" t="n">
        <v>45904</v>
      </c>
      <c r="D333" t="inlineStr">
        <is>
          <t>ÖSTERGÖTLANDS LÄN</t>
        </is>
      </c>
      <c r="E333" t="inlineStr">
        <is>
          <t>LINKÖPING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38715-2023</t>
        </is>
      </c>
      <c r="B334" s="1" t="n">
        <v>45160</v>
      </c>
      <c r="C334" s="1" t="n">
        <v>45904</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38230-2023</t>
        </is>
      </c>
      <c r="B335" s="1" t="n">
        <v>45161.55373842592</v>
      </c>
      <c r="C335" s="1" t="n">
        <v>45904</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45442-2024</t>
        </is>
      </c>
      <c r="B336" s="1" t="n">
        <v>45576.64189814815</v>
      </c>
      <c r="C336" s="1" t="n">
        <v>45904</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4908-2023</t>
        </is>
      </c>
      <c r="B337" s="1" t="n">
        <v>44958</v>
      </c>
      <c r="C337" s="1" t="n">
        <v>45904</v>
      </c>
      <c r="D337" t="inlineStr">
        <is>
          <t>ÖSTERGÖTLANDS LÄN</t>
        </is>
      </c>
      <c r="E337" t="inlineStr">
        <is>
          <t>LINKÖPING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34864-2023</t>
        </is>
      </c>
      <c r="B338" s="1" t="n">
        <v>45141</v>
      </c>
      <c r="C338" s="1" t="n">
        <v>45904</v>
      </c>
      <c r="D338" t="inlineStr">
        <is>
          <t>ÖSTERGÖTLANDS LÄN</t>
        </is>
      </c>
      <c r="E338" t="inlineStr">
        <is>
          <t>LINKÖPING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1265-2023</t>
        </is>
      </c>
      <c r="B339" s="1" t="n">
        <v>44936</v>
      </c>
      <c r="C339" s="1" t="n">
        <v>45904</v>
      </c>
      <c r="D339" t="inlineStr">
        <is>
          <t>ÖSTERGÖTLANDS LÄN</t>
        </is>
      </c>
      <c r="E339" t="inlineStr">
        <is>
          <t>LINKÖPING</t>
        </is>
      </c>
      <c r="G339" t="n">
        <v>2.3</v>
      </c>
      <c r="H339" t="n">
        <v>0</v>
      </c>
      <c r="I339" t="n">
        <v>0</v>
      </c>
      <c r="J339" t="n">
        <v>0</v>
      </c>
      <c r="K339" t="n">
        <v>0</v>
      </c>
      <c r="L339" t="n">
        <v>0</v>
      </c>
      <c r="M339" t="n">
        <v>0</v>
      </c>
      <c r="N339" t="n">
        <v>0</v>
      </c>
      <c r="O339" t="n">
        <v>0</v>
      </c>
      <c r="P339" t="n">
        <v>0</v>
      </c>
      <c r="Q339" t="n">
        <v>0</v>
      </c>
      <c r="R339" s="2" t="inlineStr"/>
    </row>
    <row r="340" ht="15" customHeight="1">
      <c r="A340" t="inlineStr">
        <is>
          <t>A 46687-2021</t>
        </is>
      </c>
      <c r="B340" s="1" t="n">
        <v>44445</v>
      </c>
      <c r="C340" s="1" t="n">
        <v>45904</v>
      </c>
      <c r="D340" t="inlineStr">
        <is>
          <t>ÖSTERGÖTLANDS LÄN</t>
        </is>
      </c>
      <c r="E340" t="inlineStr">
        <is>
          <t>LINKÖPING</t>
        </is>
      </c>
      <c r="F340" t="inlineStr">
        <is>
          <t>Övriga statliga verk och myndigheter</t>
        </is>
      </c>
      <c r="G340" t="n">
        <v>2.3</v>
      </c>
      <c r="H340" t="n">
        <v>0</v>
      </c>
      <c r="I340" t="n">
        <v>0</v>
      </c>
      <c r="J340" t="n">
        <v>0</v>
      </c>
      <c r="K340" t="n">
        <v>0</v>
      </c>
      <c r="L340" t="n">
        <v>0</v>
      </c>
      <c r="M340" t="n">
        <v>0</v>
      </c>
      <c r="N340" t="n">
        <v>0</v>
      </c>
      <c r="O340" t="n">
        <v>0</v>
      </c>
      <c r="P340" t="n">
        <v>0</v>
      </c>
      <c r="Q340" t="n">
        <v>0</v>
      </c>
      <c r="R340" s="2" t="inlineStr"/>
    </row>
    <row r="341" ht="15" customHeight="1">
      <c r="A341" t="inlineStr">
        <is>
          <t>A 17103-2025</t>
        </is>
      </c>
      <c r="B341" s="1" t="n">
        <v>45755.66143518518</v>
      </c>
      <c r="C341" s="1" t="n">
        <v>45904</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12411-2022</t>
        </is>
      </c>
      <c r="B342" s="1" t="n">
        <v>44638.21601851852</v>
      </c>
      <c r="C342" s="1" t="n">
        <v>45904</v>
      </c>
      <c r="D342" t="inlineStr">
        <is>
          <t>ÖSTERGÖTLANDS LÄN</t>
        </is>
      </c>
      <c r="E342" t="inlineStr">
        <is>
          <t>LINKÖPING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40618-2021</t>
        </is>
      </c>
      <c r="B343" s="1" t="n">
        <v>44420.49575231481</v>
      </c>
      <c r="C343" s="1" t="n">
        <v>45904</v>
      </c>
      <c r="D343" t="inlineStr">
        <is>
          <t>ÖSTERGÖTLANDS LÄN</t>
        </is>
      </c>
      <c r="E343" t="inlineStr">
        <is>
          <t>LINKÖPING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56180-2024</t>
        </is>
      </c>
      <c r="B344" s="1" t="n">
        <v>45624.56611111111</v>
      </c>
      <c r="C344" s="1" t="n">
        <v>45904</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44739-2020</t>
        </is>
      </c>
      <c r="B345" s="1" t="n">
        <v>44085</v>
      </c>
      <c r="C345" s="1" t="n">
        <v>45904</v>
      </c>
      <c r="D345" t="inlineStr">
        <is>
          <t>ÖSTERGÖTLANDS LÄN</t>
        </is>
      </c>
      <c r="E345" t="inlineStr">
        <is>
          <t>LINKÖPING</t>
        </is>
      </c>
      <c r="G345" t="n">
        <v>5</v>
      </c>
      <c r="H345" t="n">
        <v>0</v>
      </c>
      <c r="I345" t="n">
        <v>0</v>
      </c>
      <c r="J345" t="n">
        <v>0</v>
      </c>
      <c r="K345" t="n">
        <v>0</v>
      </c>
      <c r="L345" t="n">
        <v>0</v>
      </c>
      <c r="M345" t="n">
        <v>0</v>
      </c>
      <c r="N345" t="n">
        <v>0</v>
      </c>
      <c r="O345" t="n">
        <v>0</v>
      </c>
      <c r="P345" t="n">
        <v>0</v>
      </c>
      <c r="Q345" t="n">
        <v>0</v>
      </c>
      <c r="R345" s="2" t="inlineStr"/>
    </row>
    <row r="346" ht="15" customHeight="1">
      <c r="A346" t="inlineStr">
        <is>
          <t>A 30471-2023</t>
        </is>
      </c>
      <c r="B346" s="1" t="n">
        <v>45111.58931712963</v>
      </c>
      <c r="C346" s="1" t="n">
        <v>45904</v>
      </c>
      <c r="D346" t="inlineStr">
        <is>
          <t>ÖSTERGÖTLANDS LÄN</t>
        </is>
      </c>
      <c r="E346" t="inlineStr">
        <is>
          <t>LINKÖPING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23491-2024</t>
        </is>
      </c>
      <c r="B347" s="1" t="n">
        <v>45453</v>
      </c>
      <c r="C347" s="1" t="n">
        <v>45904</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70-2024</t>
        </is>
      </c>
      <c r="B348" s="1" t="n">
        <v>45293</v>
      </c>
      <c r="C348" s="1" t="n">
        <v>45904</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6054-2022</t>
        </is>
      </c>
      <c r="B349" s="1" t="n">
        <v>44599.53623842593</v>
      </c>
      <c r="C349" s="1" t="n">
        <v>45904</v>
      </c>
      <c r="D349" t="inlineStr">
        <is>
          <t>ÖSTERGÖTLANDS LÄN</t>
        </is>
      </c>
      <c r="E349" t="inlineStr">
        <is>
          <t>LINKÖPING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227-2024</t>
        </is>
      </c>
      <c r="B350" s="1" t="n">
        <v>45294.73603009259</v>
      </c>
      <c r="C350" s="1" t="n">
        <v>45904</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31725-2022</t>
        </is>
      </c>
      <c r="B351" s="1" t="n">
        <v>44776.48541666667</v>
      </c>
      <c r="C351" s="1" t="n">
        <v>45904</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72567-2021</t>
        </is>
      </c>
      <c r="B352" s="1" t="n">
        <v>44546.45023148148</v>
      </c>
      <c r="C352" s="1" t="n">
        <v>45904</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44155-2024</t>
        </is>
      </c>
      <c r="B353" s="1" t="n">
        <v>45572.68226851852</v>
      </c>
      <c r="C353" s="1" t="n">
        <v>45904</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30434-2024</t>
        </is>
      </c>
      <c r="B354" s="1" t="n">
        <v>45491.69811342593</v>
      </c>
      <c r="C354" s="1" t="n">
        <v>45904</v>
      </c>
      <c r="D354" t="inlineStr">
        <is>
          <t>ÖSTERGÖTLANDS LÄN</t>
        </is>
      </c>
      <c r="E354" t="inlineStr">
        <is>
          <t>LINKÖPING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56917-2022</t>
        </is>
      </c>
      <c r="B355" s="1" t="n">
        <v>44894</v>
      </c>
      <c r="C355" s="1" t="n">
        <v>45904</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57766-2023</t>
        </is>
      </c>
      <c r="B356" s="1" t="n">
        <v>45246</v>
      </c>
      <c r="C356" s="1" t="n">
        <v>45904</v>
      </c>
      <c r="D356" t="inlineStr">
        <is>
          <t>ÖSTERGÖTLANDS LÄN</t>
        </is>
      </c>
      <c r="E356" t="inlineStr">
        <is>
          <t>LINKÖPING</t>
        </is>
      </c>
      <c r="F356" t="inlineStr">
        <is>
          <t>Allmännings- och besparingsskogar</t>
        </is>
      </c>
      <c r="G356" t="n">
        <v>12.8</v>
      </c>
      <c r="H356" t="n">
        <v>0</v>
      </c>
      <c r="I356" t="n">
        <v>0</v>
      </c>
      <c r="J356" t="n">
        <v>0</v>
      </c>
      <c r="K356" t="n">
        <v>0</v>
      </c>
      <c r="L356" t="n">
        <v>0</v>
      </c>
      <c r="M356" t="n">
        <v>0</v>
      </c>
      <c r="N356" t="n">
        <v>0</v>
      </c>
      <c r="O356" t="n">
        <v>0</v>
      </c>
      <c r="P356" t="n">
        <v>0</v>
      </c>
      <c r="Q356" t="n">
        <v>0</v>
      </c>
      <c r="R356" s="2" t="inlineStr"/>
    </row>
    <row r="357" ht="15" customHeight="1">
      <c r="A357" t="inlineStr">
        <is>
          <t>A 27264-2025</t>
        </is>
      </c>
      <c r="B357" s="1" t="n">
        <v>45812.4794212963</v>
      </c>
      <c r="C357" s="1" t="n">
        <v>45904</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57391-2023</t>
        </is>
      </c>
      <c r="B358" s="1" t="n">
        <v>45245</v>
      </c>
      <c r="C358" s="1" t="n">
        <v>45904</v>
      </c>
      <c r="D358" t="inlineStr">
        <is>
          <t>ÖSTERGÖTLANDS LÄN</t>
        </is>
      </c>
      <c r="E358" t="inlineStr">
        <is>
          <t>LINKÖPING</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25568-2024</t>
        </is>
      </c>
      <c r="B359" s="1" t="n">
        <v>45463.58699074074</v>
      </c>
      <c r="C359" s="1" t="n">
        <v>45904</v>
      </c>
      <c r="D359" t="inlineStr">
        <is>
          <t>ÖSTERGÖTLANDS LÄN</t>
        </is>
      </c>
      <c r="E359" t="inlineStr">
        <is>
          <t>LINKÖPING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7992-2023</t>
        </is>
      </c>
      <c r="B360" s="1" t="n">
        <v>44970</v>
      </c>
      <c r="C360" s="1" t="n">
        <v>45904</v>
      </c>
      <c r="D360" t="inlineStr">
        <is>
          <t>ÖSTERGÖTLANDS LÄN</t>
        </is>
      </c>
      <c r="E360" t="inlineStr">
        <is>
          <t>LINKÖPING</t>
        </is>
      </c>
      <c r="F360" t="inlineStr">
        <is>
          <t>Kommuner</t>
        </is>
      </c>
      <c r="G360" t="n">
        <v>1</v>
      </c>
      <c r="H360" t="n">
        <v>0</v>
      </c>
      <c r="I360" t="n">
        <v>0</v>
      </c>
      <c r="J360" t="n">
        <v>0</v>
      </c>
      <c r="K360" t="n">
        <v>0</v>
      </c>
      <c r="L360" t="n">
        <v>0</v>
      </c>
      <c r="M360" t="n">
        <v>0</v>
      </c>
      <c r="N360" t="n">
        <v>0</v>
      </c>
      <c r="O360" t="n">
        <v>0</v>
      </c>
      <c r="P360" t="n">
        <v>0</v>
      </c>
      <c r="Q360" t="n">
        <v>0</v>
      </c>
      <c r="R360" s="2" t="inlineStr"/>
    </row>
    <row r="361" ht="15" customHeight="1">
      <c r="A361" t="inlineStr">
        <is>
          <t>A 3042-2024</t>
        </is>
      </c>
      <c r="B361" s="1" t="n">
        <v>45316.35028935185</v>
      </c>
      <c r="C361" s="1" t="n">
        <v>45904</v>
      </c>
      <c r="D361" t="inlineStr">
        <is>
          <t>ÖSTERGÖTLANDS LÄN</t>
        </is>
      </c>
      <c r="E361" t="inlineStr">
        <is>
          <t>LINKÖPING</t>
        </is>
      </c>
      <c r="G361" t="n">
        <v>3.1</v>
      </c>
      <c r="H361" t="n">
        <v>0</v>
      </c>
      <c r="I361" t="n">
        <v>0</v>
      </c>
      <c r="J361" t="n">
        <v>0</v>
      </c>
      <c r="K361" t="n">
        <v>0</v>
      </c>
      <c r="L361" t="n">
        <v>0</v>
      </c>
      <c r="M361" t="n">
        <v>0</v>
      </c>
      <c r="N361" t="n">
        <v>0</v>
      </c>
      <c r="O361" t="n">
        <v>0</v>
      </c>
      <c r="P361" t="n">
        <v>0</v>
      </c>
      <c r="Q361" t="n">
        <v>0</v>
      </c>
      <c r="R361" s="2" t="inlineStr"/>
    </row>
    <row r="362" ht="15" customHeight="1">
      <c r="A362" t="inlineStr">
        <is>
          <t>A 22833-2023</t>
        </is>
      </c>
      <c r="B362" s="1" t="n">
        <v>45071</v>
      </c>
      <c r="C362" s="1" t="n">
        <v>45904</v>
      </c>
      <c r="D362" t="inlineStr">
        <is>
          <t>ÖSTERGÖTLANDS LÄN</t>
        </is>
      </c>
      <c r="E362" t="inlineStr">
        <is>
          <t>LINKÖPING</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27950-2025</t>
        </is>
      </c>
      <c r="B363" s="1" t="n">
        <v>45817.52960648148</v>
      </c>
      <c r="C363" s="1" t="n">
        <v>45904</v>
      </c>
      <c r="D363" t="inlineStr">
        <is>
          <t>ÖSTERGÖTLANDS LÄN</t>
        </is>
      </c>
      <c r="E363" t="inlineStr">
        <is>
          <t>LINKÖPING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13689-2025</t>
        </is>
      </c>
      <c r="B364" s="1" t="n">
        <v>45737.31590277778</v>
      </c>
      <c r="C364" s="1" t="n">
        <v>45904</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13696-2025</t>
        </is>
      </c>
      <c r="B365" s="1" t="n">
        <v>45737.32273148148</v>
      </c>
      <c r="C365" s="1" t="n">
        <v>45904</v>
      </c>
      <c r="D365" t="inlineStr">
        <is>
          <t>ÖSTERGÖTLANDS LÄN</t>
        </is>
      </c>
      <c r="E365" t="inlineStr">
        <is>
          <t>LINKÖPING</t>
        </is>
      </c>
      <c r="G365" t="n">
        <v>3.5</v>
      </c>
      <c r="H365" t="n">
        <v>0</v>
      </c>
      <c r="I365" t="n">
        <v>0</v>
      </c>
      <c r="J365" t="n">
        <v>0</v>
      </c>
      <c r="K365" t="n">
        <v>0</v>
      </c>
      <c r="L365" t="n">
        <v>0</v>
      </c>
      <c r="M365" t="n">
        <v>0</v>
      </c>
      <c r="N365" t="n">
        <v>0</v>
      </c>
      <c r="O365" t="n">
        <v>0</v>
      </c>
      <c r="P365" t="n">
        <v>0</v>
      </c>
      <c r="Q365" t="n">
        <v>0</v>
      </c>
      <c r="R365" s="2" t="inlineStr"/>
    </row>
    <row r="366" ht="15" customHeight="1">
      <c r="A366" t="inlineStr">
        <is>
          <t>A 61227-2024</t>
        </is>
      </c>
      <c r="B366" s="1" t="n">
        <v>45645.66853009259</v>
      </c>
      <c r="C366" s="1" t="n">
        <v>45904</v>
      </c>
      <c r="D366" t="inlineStr">
        <is>
          <t>ÖSTERGÖTLANDS LÄN</t>
        </is>
      </c>
      <c r="E366" t="inlineStr">
        <is>
          <t>LINKÖPING</t>
        </is>
      </c>
      <c r="G366" t="n">
        <v>6</v>
      </c>
      <c r="H366" t="n">
        <v>0</v>
      </c>
      <c r="I366" t="n">
        <v>0</v>
      </c>
      <c r="J366" t="n">
        <v>0</v>
      </c>
      <c r="K366" t="n">
        <v>0</v>
      </c>
      <c r="L366" t="n">
        <v>0</v>
      </c>
      <c r="M366" t="n">
        <v>0</v>
      </c>
      <c r="N366" t="n">
        <v>0</v>
      </c>
      <c r="O366" t="n">
        <v>0</v>
      </c>
      <c r="P366" t="n">
        <v>0</v>
      </c>
      <c r="Q366" t="n">
        <v>0</v>
      </c>
      <c r="R366" s="2" t="inlineStr"/>
    </row>
    <row r="367" ht="15" customHeight="1">
      <c r="A367" t="inlineStr">
        <is>
          <t>A 1924-2024</t>
        </is>
      </c>
      <c r="B367" s="1" t="n">
        <v>45308</v>
      </c>
      <c r="C367" s="1" t="n">
        <v>45904</v>
      </c>
      <c r="D367" t="inlineStr">
        <is>
          <t>ÖSTERGÖTLANDS LÄN</t>
        </is>
      </c>
      <c r="E367" t="inlineStr">
        <is>
          <t>LINKÖPING</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27797-2025</t>
        </is>
      </c>
      <c r="B368" s="1" t="n">
        <v>45816.80521990741</v>
      </c>
      <c r="C368" s="1" t="n">
        <v>45904</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27798-2025</t>
        </is>
      </c>
      <c r="B369" s="1" t="n">
        <v>45816.81532407407</v>
      </c>
      <c r="C369" s="1" t="n">
        <v>45904</v>
      </c>
      <c r="D369" t="inlineStr">
        <is>
          <t>ÖSTERGÖTLANDS LÄN</t>
        </is>
      </c>
      <c r="E369" t="inlineStr">
        <is>
          <t>LINKÖPING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2997-2025</t>
        </is>
      </c>
      <c r="B370" s="1" t="n">
        <v>45678.54631944445</v>
      </c>
      <c r="C370" s="1" t="n">
        <v>45904</v>
      </c>
      <c r="D370" t="inlineStr">
        <is>
          <t>ÖSTERGÖTLANDS LÄN</t>
        </is>
      </c>
      <c r="E370" t="inlineStr">
        <is>
          <t>LINKÖPING</t>
        </is>
      </c>
      <c r="G370" t="n">
        <v>2.7</v>
      </c>
      <c r="H370" t="n">
        <v>0</v>
      </c>
      <c r="I370" t="n">
        <v>0</v>
      </c>
      <c r="J370" t="n">
        <v>0</v>
      </c>
      <c r="K370" t="n">
        <v>0</v>
      </c>
      <c r="L370" t="n">
        <v>0</v>
      </c>
      <c r="M370" t="n">
        <v>0</v>
      </c>
      <c r="N370" t="n">
        <v>0</v>
      </c>
      <c r="O370" t="n">
        <v>0</v>
      </c>
      <c r="P370" t="n">
        <v>0</v>
      </c>
      <c r="Q370" t="n">
        <v>0</v>
      </c>
      <c r="R370" s="2" t="inlineStr"/>
    </row>
    <row r="371" ht="15" customHeight="1">
      <c r="A371" t="inlineStr">
        <is>
          <t>A 28200-2025</t>
        </is>
      </c>
      <c r="B371" s="1" t="n">
        <v>45818.4428125</v>
      </c>
      <c r="C371" s="1" t="n">
        <v>45904</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41345-2021</t>
        </is>
      </c>
      <c r="B372" s="1" t="n">
        <v>44424.61851851852</v>
      </c>
      <c r="C372" s="1" t="n">
        <v>45904</v>
      </c>
      <c r="D372" t="inlineStr">
        <is>
          <t>ÖSTERGÖTLANDS LÄN</t>
        </is>
      </c>
      <c r="E372" t="inlineStr">
        <is>
          <t>LINKÖPING</t>
        </is>
      </c>
      <c r="F372" t="inlineStr">
        <is>
          <t>Sveaskog</t>
        </is>
      </c>
      <c r="G372" t="n">
        <v>6.3</v>
      </c>
      <c r="H372" t="n">
        <v>0</v>
      </c>
      <c r="I372" t="n">
        <v>0</v>
      </c>
      <c r="J372" t="n">
        <v>0</v>
      </c>
      <c r="K372" t="n">
        <v>0</v>
      </c>
      <c r="L372" t="n">
        <v>0</v>
      </c>
      <c r="M372" t="n">
        <v>0</v>
      </c>
      <c r="N372" t="n">
        <v>0</v>
      </c>
      <c r="O372" t="n">
        <v>0</v>
      </c>
      <c r="P372" t="n">
        <v>0</v>
      </c>
      <c r="Q372" t="n">
        <v>0</v>
      </c>
      <c r="R372" s="2" t="inlineStr"/>
    </row>
    <row r="373" ht="15" customHeight="1">
      <c r="A373" t="inlineStr">
        <is>
          <t>A 28204-2025</t>
        </is>
      </c>
      <c r="B373" s="1" t="n">
        <v>45818.4477662037</v>
      </c>
      <c r="C373" s="1" t="n">
        <v>45904</v>
      </c>
      <c r="D373" t="inlineStr">
        <is>
          <t>ÖSTERGÖTLANDS LÄN</t>
        </is>
      </c>
      <c r="E373" t="inlineStr">
        <is>
          <t>LINKÖPING</t>
        </is>
      </c>
      <c r="G373" t="n">
        <v>2.9</v>
      </c>
      <c r="H373" t="n">
        <v>0</v>
      </c>
      <c r="I373" t="n">
        <v>0</v>
      </c>
      <c r="J373" t="n">
        <v>0</v>
      </c>
      <c r="K373" t="n">
        <v>0</v>
      </c>
      <c r="L373" t="n">
        <v>0</v>
      </c>
      <c r="M373" t="n">
        <v>0</v>
      </c>
      <c r="N373" t="n">
        <v>0</v>
      </c>
      <c r="O373" t="n">
        <v>0</v>
      </c>
      <c r="P373" t="n">
        <v>0</v>
      </c>
      <c r="Q373" t="n">
        <v>0</v>
      </c>
      <c r="R373" s="2" t="inlineStr"/>
    </row>
    <row r="374" ht="15" customHeight="1">
      <c r="A374" t="inlineStr">
        <is>
          <t>A 28416-2025</t>
        </is>
      </c>
      <c r="B374" s="1" t="n">
        <v>45819.35346064815</v>
      </c>
      <c r="C374" s="1" t="n">
        <v>45904</v>
      </c>
      <c r="D374" t="inlineStr">
        <is>
          <t>ÖSTERGÖTLANDS LÄN</t>
        </is>
      </c>
      <c r="E374" t="inlineStr">
        <is>
          <t>LINKÖPING</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13266-2025</t>
        </is>
      </c>
      <c r="B375" s="1" t="n">
        <v>45735.53318287037</v>
      </c>
      <c r="C375" s="1" t="n">
        <v>45904</v>
      </c>
      <c r="D375" t="inlineStr">
        <is>
          <t>ÖSTERGÖTLANDS LÄN</t>
        </is>
      </c>
      <c r="E375" t="inlineStr">
        <is>
          <t>LINKÖPING</t>
        </is>
      </c>
      <c r="G375" t="n">
        <v>3.1</v>
      </c>
      <c r="H375" t="n">
        <v>0</v>
      </c>
      <c r="I375" t="n">
        <v>0</v>
      </c>
      <c r="J375" t="n">
        <v>0</v>
      </c>
      <c r="K375" t="n">
        <v>0</v>
      </c>
      <c r="L375" t="n">
        <v>0</v>
      </c>
      <c r="M375" t="n">
        <v>0</v>
      </c>
      <c r="N375" t="n">
        <v>0</v>
      </c>
      <c r="O375" t="n">
        <v>0</v>
      </c>
      <c r="P375" t="n">
        <v>0</v>
      </c>
      <c r="Q375" t="n">
        <v>0</v>
      </c>
      <c r="R375" s="2" t="inlineStr"/>
    </row>
    <row r="376" ht="15" customHeight="1">
      <c r="A376" t="inlineStr">
        <is>
          <t>A 32346-2023</t>
        </is>
      </c>
      <c r="B376" s="1" t="n">
        <v>45120</v>
      </c>
      <c r="C376" s="1" t="n">
        <v>45904</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16213-2025</t>
        </is>
      </c>
      <c r="B377" s="1" t="n">
        <v>45750.62740740741</v>
      </c>
      <c r="C377" s="1" t="n">
        <v>45904</v>
      </c>
      <c r="D377" t="inlineStr">
        <is>
          <t>ÖSTERGÖTLANDS LÄN</t>
        </is>
      </c>
      <c r="E377" t="inlineStr">
        <is>
          <t>LINKÖPING</t>
        </is>
      </c>
      <c r="G377" t="n">
        <v>3.4</v>
      </c>
      <c r="H377" t="n">
        <v>0</v>
      </c>
      <c r="I377" t="n">
        <v>0</v>
      </c>
      <c r="J377" t="n">
        <v>0</v>
      </c>
      <c r="K377" t="n">
        <v>0</v>
      </c>
      <c r="L377" t="n">
        <v>0</v>
      </c>
      <c r="M377" t="n">
        <v>0</v>
      </c>
      <c r="N377" t="n">
        <v>0</v>
      </c>
      <c r="O377" t="n">
        <v>0</v>
      </c>
      <c r="P377" t="n">
        <v>0</v>
      </c>
      <c r="Q377" t="n">
        <v>0</v>
      </c>
      <c r="R377" s="2" t="inlineStr"/>
    </row>
    <row r="378" ht="15" customHeight="1">
      <c r="A378" t="inlineStr">
        <is>
          <t>A 50508-2024</t>
        </is>
      </c>
      <c r="B378" s="1" t="n">
        <v>45601.53907407408</v>
      </c>
      <c r="C378" s="1" t="n">
        <v>45904</v>
      </c>
      <c r="D378" t="inlineStr">
        <is>
          <t>ÖSTERGÖTLANDS LÄN</t>
        </is>
      </c>
      <c r="E378" t="inlineStr">
        <is>
          <t>LINKÖPING</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28398-2025</t>
        </is>
      </c>
      <c r="B379" s="1" t="n">
        <v>45819.34208333334</v>
      </c>
      <c r="C379" s="1" t="n">
        <v>45904</v>
      </c>
      <c r="D379" t="inlineStr">
        <is>
          <t>ÖSTERGÖTLANDS LÄN</t>
        </is>
      </c>
      <c r="E379" t="inlineStr">
        <is>
          <t>LINKÖPING</t>
        </is>
      </c>
      <c r="F379" t="inlineStr">
        <is>
          <t>Sveaskog</t>
        </is>
      </c>
      <c r="G379" t="n">
        <v>7.9</v>
      </c>
      <c r="H379" t="n">
        <v>0</v>
      </c>
      <c r="I379" t="n">
        <v>0</v>
      </c>
      <c r="J379" t="n">
        <v>0</v>
      </c>
      <c r="K379" t="n">
        <v>0</v>
      </c>
      <c r="L379" t="n">
        <v>0</v>
      </c>
      <c r="M379" t="n">
        <v>0</v>
      </c>
      <c r="N379" t="n">
        <v>0</v>
      </c>
      <c r="O379" t="n">
        <v>0</v>
      </c>
      <c r="P379" t="n">
        <v>0</v>
      </c>
      <c r="Q379" t="n">
        <v>0</v>
      </c>
      <c r="R379" s="2" t="inlineStr"/>
    </row>
    <row r="380" ht="15" customHeight="1">
      <c r="A380" t="inlineStr">
        <is>
          <t>A 28209-2025</t>
        </is>
      </c>
      <c r="B380" s="1" t="n">
        <v>45818.45112268518</v>
      </c>
      <c r="C380" s="1" t="n">
        <v>45904</v>
      </c>
      <c r="D380" t="inlineStr">
        <is>
          <t>ÖSTERGÖTLANDS LÄN</t>
        </is>
      </c>
      <c r="E380" t="inlineStr">
        <is>
          <t>LINKÖPING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7808-2022</t>
        </is>
      </c>
      <c r="B381" s="1" t="n">
        <v>44608</v>
      </c>
      <c r="C381" s="1" t="n">
        <v>45904</v>
      </c>
      <c r="D381" t="inlineStr">
        <is>
          <t>ÖSTERGÖTLANDS LÄN</t>
        </is>
      </c>
      <c r="E381" t="inlineStr">
        <is>
          <t>LINKÖPING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27844-2024</t>
        </is>
      </c>
      <c r="B382" s="1" t="n">
        <v>45475.63047453704</v>
      </c>
      <c r="C382" s="1" t="n">
        <v>45904</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37683-2024</t>
        </is>
      </c>
      <c r="B383" s="1" t="n">
        <v>45541.59120370371</v>
      </c>
      <c r="C383" s="1" t="n">
        <v>45904</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40810-2022</t>
        </is>
      </c>
      <c r="B384" s="1" t="n">
        <v>44824</v>
      </c>
      <c r="C384" s="1" t="n">
        <v>45904</v>
      </c>
      <c r="D384" t="inlineStr">
        <is>
          <t>ÖSTERGÖTLANDS LÄN</t>
        </is>
      </c>
      <c r="E384" t="inlineStr">
        <is>
          <t>LINKÖPING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29027-2025</t>
        </is>
      </c>
      <c r="B385" s="1" t="n">
        <v>45821.4375462963</v>
      </c>
      <c r="C385" s="1" t="n">
        <v>45904</v>
      </c>
      <c r="D385" t="inlineStr">
        <is>
          <t>ÖSTERGÖTLANDS LÄN</t>
        </is>
      </c>
      <c r="E385" t="inlineStr">
        <is>
          <t>LINKÖPING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29411-2025</t>
        </is>
      </c>
      <c r="B386" s="1" t="n">
        <v>45824.6219212963</v>
      </c>
      <c r="C386" s="1" t="n">
        <v>45904</v>
      </c>
      <c r="D386" t="inlineStr">
        <is>
          <t>ÖSTERGÖTLANDS LÄN</t>
        </is>
      </c>
      <c r="E386" t="inlineStr">
        <is>
          <t>LINKÖPING</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46225-2021</t>
        </is>
      </c>
      <c r="B387" s="1" t="n">
        <v>44442</v>
      </c>
      <c r="C387" s="1" t="n">
        <v>45904</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25776-2021</t>
        </is>
      </c>
      <c r="B388" s="1" t="n">
        <v>44343</v>
      </c>
      <c r="C388" s="1" t="n">
        <v>45904</v>
      </c>
      <c r="D388" t="inlineStr">
        <is>
          <t>ÖSTERGÖTLANDS LÄN</t>
        </is>
      </c>
      <c r="E388" t="inlineStr">
        <is>
          <t>LINKÖPING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29393-2025</t>
        </is>
      </c>
      <c r="B389" s="1" t="n">
        <v>45824.6057175926</v>
      </c>
      <c r="C389" s="1" t="n">
        <v>45904</v>
      </c>
      <c r="D389" t="inlineStr">
        <is>
          <t>ÖSTERGÖTLANDS LÄN</t>
        </is>
      </c>
      <c r="E389" t="inlineStr">
        <is>
          <t>LINKÖPING</t>
        </is>
      </c>
      <c r="F389" t="inlineStr">
        <is>
          <t>Sveaskog</t>
        </is>
      </c>
      <c r="G389" t="n">
        <v>24.6</v>
      </c>
      <c r="H389" t="n">
        <v>0</v>
      </c>
      <c r="I389" t="n">
        <v>0</v>
      </c>
      <c r="J389" t="n">
        <v>0</v>
      </c>
      <c r="K389" t="n">
        <v>0</v>
      </c>
      <c r="L389" t="n">
        <v>0</v>
      </c>
      <c r="M389" t="n">
        <v>0</v>
      </c>
      <c r="N389" t="n">
        <v>0</v>
      </c>
      <c r="O389" t="n">
        <v>0</v>
      </c>
      <c r="P389" t="n">
        <v>0</v>
      </c>
      <c r="Q389" t="n">
        <v>0</v>
      </c>
      <c r="R389" s="2" t="inlineStr"/>
    </row>
    <row r="390" ht="15" customHeight="1">
      <c r="A390" t="inlineStr">
        <is>
          <t>A 51484-2023</t>
        </is>
      </c>
      <c r="B390" s="1" t="n">
        <v>45222</v>
      </c>
      <c r="C390" s="1" t="n">
        <v>45904</v>
      </c>
      <c r="D390" t="inlineStr">
        <is>
          <t>ÖSTERGÖTLANDS LÄN</t>
        </is>
      </c>
      <c r="E390" t="inlineStr">
        <is>
          <t>LINKÖPING</t>
        </is>
      </c>
      <c r="F390" t="inlineStr">
        <is>
          <t>Övriga Aktiebolag</t>
        </is>
      </c>
      <c r="G390" t="n">
        <v>7.7</v>
      </c>
      <c r="H390" t="n">
        <v>0</v>
      </c>
      <c r="I390" t="n">
        <v>0</v>
      </c>
      <c r="J390" t="n">
        <v>0</v>
      </c>
      <c r="K390" t="n">
        <v>0</v>
      </c>
      <c r="L390" t="n">
        <v>0</v>
      </c>
      <c r="M390" t="n">
        <v>0</v>
      </c>
      <c r="N390" t="n">
        <v>0</v>
      </c>
      <c r="O390" t="n">
        <v>0</v>
      </c>
      <c r="P390" t="n">
        <v>0</v>
      </c>
      <c r="Q390" t="n">
        <v>0</v>
      </c>
      <c r="R390" s="2" t="inlineStr"/>
    </row>
    <row r="391" ht="15" customHeight="1">
      <c r="A391" t="inlineStr">
        <is>
          <t>A 29599-2025</t>
        </is>
      </c>
      <c r="B391" s="1" t="n">
        <v>45825.41101851852</v>
      </c>
      <c r="C391" s="1" t="n">
        <v>45904</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51559-2024</t>
        </is>
      </c>
      <c r="B392" s="1" t="n">
        <v>45604.61431712963</v>
      </c>
      <c r="C392" s="1" t="n">
        <v>45904</v>
      </c>
      <c r="D392" t="inlineStr">
        <is>
          <t>ÖSTERGÖTLANDS LÄN</t>
        </is>
      </c>
      <c r="E392" t="inlineStr">
        <is>
          <t>LINKÖPING</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49979-2022</t>
        </is>
      </c>
      <c r="B393" s="1" t="n">
        <v>44865</v>
      </c>
      <c r="C393" s="1" t="n">
        <v>45904</v>
      </c>
      <c r="D393" t="inlineStr">
        <is>
          <t>ÖSTERGÖTLANDS LÄN</t>
        </is>
      </c>
      <c r="E393" t="inlineStr">
        <is>
          <t>LINKÖPING</t>
        </is>
      </c>
      <c r="F393" t="inlineStr">
        <is>
          <t>Övriga Aktiebolag</t>
        </is>
      </c>
      <c r="G393" t="n">
        <v>11.4</v>
      </c>
      <c r="H393" t="n">
        <v>0</v>
      </c>
      <c r="I393" t="n">
        <v>0</v>
      </c>
      <c r="J393" t="n">
        <v>0</v>
      </c>
      <c r="K393" t="n">
        <v>0</v>
      </c>
      <c r="L393" t="n">
        <v>0</v>
      </c>
      <c r="M393" t="n">
        <v>0</v>
      </c>
      <c r="N393" t="n">
        <v>0</v>
      </c>
      <c r="O393" t="n">
        <v>0</v>
      </c>
      <c r="P393" t="n">
        <v>0</v>
      </c>
      <c r="Q393" t="n">
        <v>0</v>
      </c>
      <c r="R393" s="2" t="inlineStr"/>
    </row>
    <row r="394" ht="15" customHeight="1">
      <c r="A394" t="inlineStr">
        <is>
          <t>A 17898-2022</t>
        </is>
      </c>
      <c r="B394" s="1" t="n">
        <v>44683</v>
      </c>
      <c r="C394" s="1" t="n">
        <v>45904</v>
      </c>
      <c r="D394" t="inlineStr">
        <is>
          <t>ÖSTERGÖTLANDS LÄN</t>
        </is>
      </c>
      <c r="E394" t="inlineStr">
        <is>
          <t>LINKÖPING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39219-2021</t>
        </is>
      </c>
      <c r="B395" s="1" t="n">
        <v>44413</v>
      </c>
      <c r="C395" s="1" t="n">
        <v>45904</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39224-2021</t>
        </is>
      </c>
      <c r="B396" s="1" t="n">
        <v>44413</v>
      </c>
      <c r="C396" s="1" t="n">
        <v>45904</v>
      </c>
      <c r="D396" t="inlineStr">
        <is>
          <t>ÖSTERGÖTLANDS LÄN</t>
        </is>
      </c>
      <c r="E396" t="inlineStr">
        <is>
          <t>LINKÖPING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62495-2023</t>
        </is>
      </c>
      <c r="B397" s="1" t="n">
        <v>45268.59717592593</v>
      </c>
      <c r="C397" s="1" t="n">
        <v>45904</v>
      </c>
      <c r="D397" t="inlineStr">
        <is>
          <t>ÖSTERGÖTLANDS LÄN</t>
        </is>
      </c>
      <c r="E397" t="inlineStr">
        <is>
          <t>LINKÖPING</t>
        </is>
      </c>
      <c r="G397" t="n">
        <v>4.1</v>
      </c>
      <c r="H397" t="n">
        <v>0</v>
      </c>
      <c r="I397" t="n">
        <v>0</v>
      </c>
      <c r="J397" t="n">
        <v>0</v>
      </c>
      <c r="K397" t="n">
        <v>0</v>
      </c>
      <c r="L397" t="n">
        <v>0</v>
      </c>
      <c r="M397" t="n">
        <v>0</v>
      </c>
      <c r="N397" t="n">
        <v>0</v>
      </c>
      <c r="O397" t="n">
        <v>0</v>
      </c>
      <c r="P397" t="n">
        <v>0</v>
      </c>
      <c r="Q397" t="n">
        <v>0</v>
      </c>
      <c r="R397" s="2" t="inlineStr"/>
    </row>
    <row r="398" ht="15" customHeight="1">
      <c r="A398" t="inlineStr">
        <is>
          <t>A 63487-2023</t>
        </is>
      </c>
      <c r="B398" s="1" t="n">
        <v>45274.66712962963</v>
      </c>
      <c r="C398" s="1" t="n">
        <v>45904</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35463-2023</t>
        </is>
      </c>
      <c r="B399" s="1" t="n">
        <v>45146</v>
      </c>
      <c r="C399" s="1" t="n">
        <v>45904</v>
      </c>
      <c r="D399" t="inlineStr">
        <is>
          <t>ÖSTERGÖTLANDS LÄN</t>
        </is>
      </c>
      <c r="E399" t="inlineStr">
        <is>
          <t>LINKÖPING</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29413-2023</t>
        </is>
      </c>
      <c r="B400" s="1" t="n">
        <v>45106.46465277778</v>
      </c>
      <c r="C400" s="1" t="n">
        <v>45904</v>
      </c>
      <c r="D400" t="inlineStr">
        <is>
          <t>ÖSTERGÖTLANDS LÄN</t>
        </is>
      </c>
      <c r="E400" t="inlineStr">
        <is>
          <t>LINKÖPING</t>
        </is>
      </c>
      <c r="G400" t="n">
        <v>8</v>
      </c>
      <c r="H400" t="n">
        <v>0</v>
      </c>
      <c r="I400" t="n">
        <v>0</v>
      </c>
      <c r="J400" t="n">
        <v>0</v>
      </c>
      <c r="K400" t="n">
        <v>0</v>
      </c>
      <c r="L400" t="n">
        <v>0</v>
      </c>
      <c r="M400" t="n">
        <v>0</v>
      </c>
      <c r="N400" t="n">
        <v>0</v>
      </c>
      <c r="O400" t="n">
        <v>0</v>
      </c>
      <c r="P400" t="n">
        <v>0</v>
      </c>
      <c r="Q400" t="n">
        <v>0</v>
      </c>
      <c r="R400" s="2" t="inlineStr"/>
    </row>
    <row r="401" ht="15" customHeight="1">
      <c r="A401" t="inlineStr">
        <is>
          <t>A 30355-2025</t>
        </is>
      </c>
      <c r="B401" s="1" t="n">
        <v>45827</v>
      </c>
      <c r="C401" s="1" t="n">
        <v>45904</v>
      </c>
      <c r="D401" t="inlineStr">
        <is>
          <t>ÖSTERGÖTLANDS LÄN</t>
        </is>
      </c>
      <c r="E401" t="inlineStr">
        <is>
          <t>LINKÖPING</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30353-2025</t>
        </is>
      </c>
      <c r="B402" s="1" t="n">
        <v>45827</v>
      </c>
      <c r="C402" s="1" t="n">
        <v>45904</v>
      </c>
      <c r="D402" t="inlineStr">
        <is>
          <t>ÖSTERGÖTLANDS LÄN</t>
        </is>
      </c>
      <c r="E402" t="inlineStr">
        <is>
          <t>LINKÖPING</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55632-2022</t>
        </is>
      </c>
      <c r="B403" s="1" t="n">
        <v>44888</v>
      </c>
      <c r="C403" s="1" t="n">
        <v>45904</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63559-2023</t>
        </is>
      </c>
      <c r="B404" s="1" t="n">
        <v>45275.35924768518</v>
      </c>
      <c r="C404" s="1" t="n">
        <v>45904</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25948-2023</t>
        </is>
      </c>
      <c r="B405" s="1" t="n">
        <v>45090</v>
      </c>
      <c r="C405" s="1" t="n">
        <v>45904</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58114-2021</t>
        </is>
      </c>
      <c r="B406" s="1" t="n">
        <v>44487</v>
      </c>
      <c r="C406" s="1" t="n">
        <v>45904</v>
      </c>
      <c r="D406" t="inlineStr">
        <is>
          <t>ÖSTERGÖTLANDS LÄN</t>
        </is>
      </c>
      <c r="E406" t="inlineStr">
        <is>
          <t>LINKÖPING</t>
        </is>
      </c>
      <c r="F406" t="inlineStr">
        <is>
          <t>Övriga Aktiebolag</t>
        </is>
      </c>
      <c r="G406" t="n">
        <v>0.8</v>
      </c>
      <c r="H406" t="n">
        <v>0</v>
      </c>
      <c r="I406" t="n">
        <v>0</v>
      </c>
      <c r="J406" t="n">
        <v>0</v>
      </c>
      <c r="K406" t="n">
        <v>0</v>
      </c>
      <c r="L406" t="n">
        <v>0</v>
      </c>
      <c r="M406" t="n">
        <v>0</v>
      </c>
      <c r="N406" t="n">
        <v>0</v>
      </c>
      <c r="O406" t="n">
        <v>0</v>
      </c>
      <c r="P406" t="n">
        <v>0</v>
      </c>
      <c r="Q406" t="n">
        <v>0</v>
      </c>
      <c r="R406" s="2" t="inlineStr"/>
    </row>
    <row r="407" ht="15" customHeight="1">
      <c r="A407" t="inlineStr">
        <is>
          <t>A 1627-2023</t>
        </is>
      </c>
      <c r="B407" s="1" t="n">
        <v>44937</v>
      </c>
      <c r="C407" s="1" t="n">
        <v>45904</v>
      </c>
      <c r="D407" t="inlineStr">
        <is>
          <t>ÖSTERGÖTLANDS LÄN</t>
        </is>
      </c>
      <c r="E407" t="inlineStr">
        <is>
          <t>LINKÖPING</t>
        </is>
      </c>
      <c r="G407" t="n">
        <v>10.8</v>
      </c>
      <c r="H407" t="n">
        <v>0</v>
      </c>
      <c r="I407" t="n">
        <v>0</v>
      </c>
      <c r="J407" t="n">
        <v>0</v>
      </c>
      <c r="K407" t="n">
        <v>0</v>
      </c>
      <c r="L407" t="n">
        <v>0</v>
      </c>
      <c r="M407" t="n">
        <v>0</v>
      </c>
      <c r="N407" t="n">
        <v>0</v>
      </c>
      <c r="O407" t="n">
        <v>0</v>
      </c>
      <c r="P407" t="n">
        <v>0</v>
      </c>
      <c r="Q407" t="n">
        <v>0</v>
      </c>
      <c r="R407" s="2" t="inlineStr"/>
    </row>
    <row r="408" ht="15" customHeight="1">
      <c r="A408" t="inlineStr">
        <is>
          <t>A 30481-2023</t>
        </is>
      </c>
      <c r="B408" s="1" t="n">
        <v>45111</v>
      </c>
      <c r="C408" s="1" t="n">
        <v>45904</v>
      </c>
      <c r="D408" t="inlineStr">
        <is>
          <t>ÖSTERGÖTLANDS LÄN</t>
        </is>
      </c>
      <c r="E408" t="inlineStr">
        <is>
          <t>LINKÖPING</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21782-2024</t>
        </is>
      </c>
      <c r="B409" s="1" t="n">
        <v>45442.63368055555</v>
      </c>
      <c r="C409" s="1" t="n">
        <v>45904</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11671-2023</t>
        </is>
      </c>
      <c r="B410" s="1" t="n">
        <v>44994.48125</v>
      </c>
      <c r="C410" s="1" t="n">
        <v>45904</v>
      </c>
      <c r="D410" t="inlineStr">
        <is>
          <t>ÖSTERGÖTLANDS LÄN</t>
        </is>
      </c>
      <c r="E410" t="inlineStr">
        <is>
          <t>LINKÖPING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3013-2023</t>
        </is>
      </c>
      <c r="B411" s="1" t="n">
        <v>44945.8092824074</v>
      </c>
      <c r="C411" s="1" t="n">
        <v>45904</v>
      </c>
      <c r="D411" t="inlineStr">
        <is>
          <t>ÖSTERGÖTLANDS LÄN</t>
        </is>
      </c>
      <c r="E411" t="inlineStr">
        <is>
          <t>LINKÖPING</t>
        </is>
      </c>
      <c r="G411" t="n">
        <v>5.2</v>
      </c>
      <c r="H411" t="n">
        <v>0</v>
      </c>
      <c r="I411" t="n">
        <v>0</v>
      </c>
      <c r="J411" t="n">
        <v>0</v>
      </c>
      <c r="K411" t="n">
        <v>0</v>
      </c>
      <c r="L411" t="n">
        <v>0</v>
      </c>
      <c r="M411" t="n">
        <v>0</v>
      </c>
      <c r="N411" t="n">
        <v>0</v>
      </c>
      <c r="O411" t="n">
        <v>0</v>
      </c>
      <c r="P411" t="n">
        <v>0</v>
      </c>
      <c r="Q411" t="n">
        <v>0</v>
      </c>
      <c r="R411" s="2" t="inlineStr"/>
    </row>
    <row r="412" ht="15" customHeight="1">
      <c r="A412" t="inlineStr">
        <is>
          <t>A 55944-2024</t>
        </is>
      </c>
      <c r="B412" s="1" t="n">
        <v>45623.61640046296</v>
      </c>
      <c r="C412" s="1" t="n">
        <v>45904</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55947-2024</t>
        </is>
      </c>
      <c r="B413" s="1" t="n">
        <v>45623</v>
      </c>
      <c r="C413" s="1" t="n">
        <v>45904</v>
      </c>
      <c r="D413" t="inlineStr">
        <is>
          <t>ÖSTERGÖTLANDS LÄN</t>
        </is>
      </c>
      <c r="E413" t="inlineStr">
        <is>
          <t>LINKÖPING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49747-2024</t>
        </is>
      </c>
      <c r="B414" s="1" t="n">
        <v>45596</v>
      </c>
      <c r="C414" s="1" t="n">
        <v>45904</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42997-2021</t>
        </is>
      </c>
      <c r="B415" s="1" t="n">
        <v>44431.45556712963</v>
      </c>
      <c r="C415" s="1" t="n">
        <v>45904</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3374-2023</t>
        </is>
      </c>
      <c r="B416" s="1" t="n">
        <v>44949</v>
      </c>
      <c r="C416" s="1" t="n">
        <v>45904</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37057-2025</t>
        </is>
      </c>
      <c r="B417" s="1" t="n">
        <v>45875.37489583333</v>
      </c>
      <c r="C417" s="1" t="n">
        <v>45904</v>
      </c>
      <c r="D417" t="inlineStr">
        <is>
          <t>ÖSTERGÖTLANDS LÄN</t>
        </is>
      </c>
      <c r="E417" t="inlineStr">
        <is>
          <t>LINKÖPING</t>
        </is>
      </c>
      <c r="G417" t="n">
        <v>3.3</v>
      </c>
      <c r="H417" t="n">
        <v>0</v>
      </c>
      <c r="I417" t="n">
        <v>0</v>
      </c>
      <c r="J417" t="n">
        <v>0</v>
      </c>
      <c r="K417" t="n">
        <v>0</v>
      </c>
      <c r="L417" t="n">
        <v>0</v>
      </c>
      <c r="M417" t="n">
        <v>0</v>
      </c>
      <c r="N417" t="n">
        <v>0</v>
      </c>
      <c r="O417" t="n">
        <v>0</v>
      </c>
      <c r="P417" t="n">
        <v>0</v>
      </c>
      <c r="Q417" t="n">
        <v>0</v>
      </c>
      <c r="R417" s="2" t="inlineStr"/>
    </row>
    <row r="418" ht="15" customHeight="1">
      <c r="A418" t="inlineStr">
        <is>
          <t>A 31581-2025</t>
        </is>
      </c>
      <c r="B418" s="1" t="n">
        <v>45833.6840162037</v>
      </c>
      <c r="C418" s="1" t="n">
        <v>45904</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31585-2025</t>
        </is>
      </c>
      <c r="B419" s="1" t="n">
        <v>45833.68815972222</v>
      </c>
      <c r="C419" s="1" t="n">
        <v>45904</v>
      </c>
      <c r="D419" t="inlineStr">
        <is>
          <t>ÖSTERGÖTLANDS LÄN</t>
        </is>
      </c>
      <c r="E419" t="inlineStr">
        <is>
          <t>LINKÖPING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24151-2024</t>
        </is>
      </c>
      <c r="B420" s="1" t="n">
        <v>45456.67717592593</v>
      </c>
      <c r="C420" s="1" t="n">
        <v>45904</v>
      </c>
      <c r="D420" t="inlineStr">
        <is>
          <t>ÖSTERGÖTLANDS LÄN</t>
        </is>
      </c>
      <c r="E420" t="inlineStr">
        <is>
          <t>LINKÖPING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25825-2025</t>
        </is>
      </c>
      <c r="B421" s="1" t="n">
        <v>45804</v>
      </c>
      <c r="C421" s="1" t="n">
        <v>45904</v>
      </c>
      <c r="D421" t="inlineStr">
        <is>
          <t>ÖSTERGÖTLANDS LÄN</t>
        </is>
      </c>
      <c r="E421" t="inlineStr">
        <is>
          <t>LINKÖPING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3011-2023</t>
        </is>
      </c>
      <c r="B422" s="1" t="n">
        <v>44945</v>
      </c>
      <c r="C422" s="1" t="n">
        <v>45904</v>
      </c>
      <c r="D422" t="inlineStr">
        <is>
          <t>ÖSTERGÖTLANDS LÄN</t>
        </is>
      </c>
      <c r="E422" t="inlineStr">
        <is>
          <t>LINKÖPING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23735-2023</t>
        </is>
      </c>
      <c r="B423" s="1" t="n">
        <v>45077</v>
      </c>
      <c r="C423" s="1" t="n">
        <v>45904</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67123-2020</t>
        </is>
      </c>
      <c r="B424" s="1" t="n">
        <v>44180</v>
      </c>
      <c r="C424" s="1" t="n">
        <v>45904</v>
      </c>
      <c r="D424" t="inlineStr">
        <is>
          <t>ÖSTERGÖTLANDS LÄN</t>
        </is>
      </c>
      <c r="E424" t="inlineStr">
        <is>
          <t>LINKÖPING</t>
        </is>
      </c>
      <c r="F424" t="inlineStr">
        <is>
          <t>Övriga statliga verk och myndigheter</t>
        </is>
      </c>
      <c r="G424" t="n">
        <v>1.3</v>
      </c>
      <c r="H424" t="n">
        <v>0</v>
      </c>
      <c r="I424" t="n">
        <v>0</v>
      </c>
      <c r="J424" t="n">
        <v>0</v>
      </c>
      <c r="K424" t="n">
        <v>0</v>
      </c>
      <c r="L424" t="n">
        <v>0</v>
      </c>
      <c r="M424" t="n">
        <v>0</v>
      </c>
      <c r="N424" t="n">
        <v>0</v>
      </c>
      <c r="O424" t="n">
        <v>0</v>
      </c>
      <c r="P424" t="n">
        <v>0</v>
      </c>
      <c r="Q424" t="n">
        <v>0</v>
      </c>
      <c r="R424" s="2" t="inlineStr"/>
    </row>
    <row r="425" ht="15" customHeight="1">
      <c r="A425" t="inlineStr">
        <is>
          <t>A 14576-2023</t>
        </is>
      </c>
      <c r="B425" s="1" t="n">
        <v>45013</v>
      </c>
      <c r="C425" s="1" t="n">
        <v>45904</v>
      </c>
      <c r="D425" t="inlineStr">
        <is>
          <t>ÖSTERGÖTLANDS LÄN</t>
        </is>
      </c>
      <c r="E425" t="inlineStr">
        <is>
          <t>LINKÖPING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45821-2024</t>
        </is>
      </c>
      <c r="B426" s="1" t="n">
        <v>45579.75803240741</v>
      </c>
      <c r="C426" s="1" t="n">
        <v>45904</v>
      </c>
      <c r="D426" t="inlineStr">
        <is>
          <t>ÖSTERGÖTLANDS LÄN</t>
        </is>
      </c>
      <c r="E426" t="inlineStr">
        <is>
          <t>LINKÖPING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74160-2021</t>
        </is>
      </c>
      <c r="B427" s="1" t="n">
        <v>44558</v>
      </c>
      <c r="C427" s="1" t="n">
        <v>45904</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53647-2021</t>
        </is>
      </c>
      <c r="B428" s="1" t="n">
        <v>44469</v>
      </c>
      <c r="C428" s="1" t="n">
        <v>45904</v>
      </c>
      <c r="D428" t="inlineStr">
        <is>
          <t>ÖSTERGÖTLANDS LÄN</t>
        </is>
      </c>
      <c r="E428" t="inlineStr">
        <is>
          <t>LINKÖPING</t>
        </is>
      </c>
      <c r="G428" t="n">
        <v>2.3</v>
      </c>
      <c r="H428" t="n">
        <v>0</v>
      </c>
      <c r="I428" t="n">
        <v>0</v>
      </c>
      <c r="J428" t="n">
        <v>0</v>
      </c>
      <c r="K428" t="n">
        <v>0</v>
      </c>
      <c r="L428" t="n">
        <v>0</v>
      </c>
      <c r="M428" t="n">
        <v>0</v>
      </c>
      <c r="N428" t="n">
        <v>0</v>
      </c>
      <c r="O428" t="n">
        <v>0</v>
      </c>
      <c r="P428" t="n">
        <v>0</v>
      </c>
      <c r="Q428" t="n">
        <v>0</v>
      </c>
      <c r="R428" s="2" t="inlineStr"/>
    </row>
    <row r="429" ht="15" customHeight="1">
      <c r="A429" t="inlineStr">
        <is>
          <t>A 55265-2020</t>
        </is>
      </c>
      <c r="B429" s="1" t="n">
        <v>44130</v>
      </c>
      <c r="C429" s="1" t="n">
        <v>45904</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6599-2023</t>
        </is>
      </c>
      <c r="B430" s="1" t="n">
        <v>44966.52603009259</v>
      </c>
      <c r="C430" s="1" t="n">
        <v>45904</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27766-2022</t>
        </is>
      </c>
      <c r="B431" s="1" t="n">
        <v>44743.53112268518</v>
      </c>
      <c r="C431" s="1" t="n">
        <v>45904</v>
      </c>
      <c r="D431" t="inlineStr">
        <is>
          <t>ÖSTERGÖTLANDS LÄN</t>
        </is>
      </c>
      <c r="E431" t="inlineStr">
        <is>
          <t>LINKÖPING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32723-2025</t>
        </is>
      </c>
      <c r="B432" s="1" t="n">
        <v>45838</v>
      </c>
      <c r="C432" s="1" t="n">
        <v>45904</v>
      </c>
      <c r="D432" t="inlineStr">
        <is>
          <t>ÖSTERGÖTLANDS LÄN</t>
        </is>
      </c>
      <c r="E432" t="inlineStr">
        <is>
          <t>LINKÖPING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53641-2023</t>
        </is>
      </c>
      <c r="B433" s="1" t="n">
        <v>45230</v>
      </c>
      <c r="C433" s="1" t="n">
        <v>45904</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35735-2023</t>
        </is>
      </c>
      <c r="B434" s="1" t="n">
        <v>45147</v>
      </c>
      <c r="C434" s="1" t="n">
        <v>45904</v>
      </c>
      <c r="D434" t="inlineStr">
        <is>
          <t>ÖSTERGÖTLANDS LÄN</t>
        </is>
      </c>
      <c r="E434" t="inlineStr">
        <is>
          <t>LINKÖPING</t>
        </is>
      </c>
      <c r="G434" t="n">
        <v>2.8</v>
      </c>
      <c r="H434" t="n">
        <v>0</v>
      </c>
      <c r="I434" t="n">
        <v>0</v>
      </c>
      <c r="J434" t="n">
        <v>0</v>
      </c>
      <c r="K434" t="n">
        <v>0</v>
      </c>
      <c r="L434" t="n">
        <v>0</v>
      </c>
      <c r="M434" t="n">
        <v>0</v>
      </c>
      <c r="N434" t="n">
        <v>0</v>
      </c>
      <c r="O434" t="n">
        <v>0</v>
      </c>
      <c r="P434" t="n">
        <v>0</v>
      </c>
      <c r="Q434" t="n">
        <v>0</v>
      </c>
      <c r="R434" s="2" t="inlineStr"/>
    </row>
    <row r="435" ht="15" customHeight="1">
      <c r="A435" t="inlineStr">
        <is>
          <t>A 33000-2023</t>
        </is>
      </c>
      <c r="B435" s="1" t="n">
        <v>45125</v>
      </c>
      <c r="C435" s="1" t="n">
        <v>45904</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52892-2024</t>
        </is>
      </c>
      <c r="B436" s="1" t="n">
        <v>45610</v>
      </c>
      <c r="C436" s="1" t="n">
        <v>45904</v>
      </c>
      <c r="D436" t="inlineStr">
        <is>
          <t>ÖSTERGÖTLANDS LÄN</t>
        </is>
      </c>
      <c r="E436" t="inlineStr">
        <is>
          <t>LINKÖPING</t>
        </is>
      </c>
      <c r="G436" t="n">
        <v>4.2</v>
      </c>
      <c r="H436" t="n">
        <v>0</v>
      </c>
      <c r="I436" t="n">
        <v>0</v>
      </c>
      <c r="J436" t="n">
        <v>0</v>
      </c>
      <c r="K436" t="n">
        <v>0</v>
      </c>
      <c r="L436" t="n">
        <v>0</v>
      </c>
      <c r="M436" t="n">
        <v>0</v>
      </c>
      <c r="N436" t="n">
        <v>0</v>
      </c>
      <c r="O436" t="n">
        <v>0</v>
      </c>
      <c r="P436" t="n">
        <v>0</v>
      </c>
      <c r="Q436" t="n">
        <v>0</v>
      </c>
      <c r="R436" s="2" t="inlineStr"/>
    </row>
    <row r="437" ht="15" customHeight="1">
      <c r="A437" t="inlineStr">
        <is>
          <t>A 38046-2025</t>
        </is>
      </c>
      <c r="B437" s="1" t="n">
        <v>45882.39939814815</v>
      </c>
      <c r="C437" s="1" t="n">
        <v>45904</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45831-2024</t>
        </is>
      </c>
      <c r="B438" s="1" t="n">
        <v>45579.90508101852</v>
      </c>
      <c r="C438" s="1" t="n">
        <v>45904</v>
      </c>
      <c r="D438" t="inlineStr">
        <is>
          <t>ÖSTERGÖTLANDS LÄN</t>
        </is>
      </c>
      <c r="E438" t="inlineStr">
        <is>
          <t>LINKÖPING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17157-2024</t>
        </is>
      </c>
      <c r="B439" s="1" t="n">
        <v>45412.70567129629</v>
      </c>
      <c r="C439" s="1" t="n">
        <v>45904</v>
      </c>
      <c r="D439" t="inlineStr">
        <is>
          <t>ÖSTERGÖTLANDS LÄN</t>
        </is>
      </c>
      <c r="E439" t="inlineStr">
        <is>
          <t>LINKÖPING</t>
        </is>
      </c>
      <c r="G439" t="n">
        <v>0.8</v>
      </c>
      <c r="H439" t="n">
        <v>0</v>
      </c>
      <c r="I439" t="n">
        <v>0</v>
      </c>
      <c r="J439" t="n">
        <v>0</v>
      </c>
      <c r="K439" t="n">
        <v>0</v>
      </c>
      <c r="L439" t="n">
        <v>0</v>
      </c>
      <c r="M439" t="n">
        <v>0</v>
      </c>
      <c r="N439" t="n">
        <v>0</v>
      </c>
      <c r="O439" t="n">
        <v>0</v>
      </c>
      <c r="P439" t="n">
        <v>0</v>
      </c>
      <c r="Q439" t="n">
        <v>0</v>
      </c>
      <c r="R439" s="2" t="inlineStr"/>
    </row>
    <row r="440" ht="15" customHeight="1">
      <c r="A440" t="inlineStr">
        <is>
          <t>A 30521-2024</t>
        </is>
      </c>
      <c r="B440" s="1" t="n">
        <v>45492</v>
      </c>
      <c r="C440" s="1" t="n">
        <v>45904</v>
      </c>
      <c r="D440" t="inlineStr">
        <is>
          <t>ÖSTERGÖTLANDS LÄN</t>
        </is>
      </c>
      <c r="E440" t="inlineStr">
        <is>
          <t>LINKÖPING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51191-2022</t>
        </is>
      </c>
      <c r="B441" s="1" t="n">
        <v>44865</v>
      </c>
      <c r="C441" s="1" t="n">
        <v>45904</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49088-2020</t>
        </is>
      </c>
      <c r="B442" s="1" t="n">
        <v>44104</v>
      </c>
      <c r="C442" s="1" t="n">
        <v>45904</v>
      </c>
      <c r="D442" t="inlineStr">
        <is>
          <t>ÖSTERGÖTLANDS LÄN</t>
        </is>
      </c>
      <c r="E442" t="inlineStr">
        <is>
          <t>LINKÖPING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12289-2025</t>
        </is>
      </c>
      <c r="B443" s="1" t="n">
        <v>45729</v>
      </c>
      <c r="C443" s="1" t="n">
        <v>45904</v>
      </c>
      <c r="D443" t="inlineStr">
        <is>
          <t>ÖSTERGÖTLANDS LÄN</t>
        </is>
      </c>
      <c r="E443" t="inlineStr">
        <is>
          <t>LINKÖPING</t>
        </is>
      </c>
      <c r="F443" t="inlineStr">
        <is>
          <t>Övriga statliga verk och myndigheter</t>
        </is>
      </c>
      <c r="G443" t="n">
        <v>6.5</v>
      </c>
      <c r="H443" t="n">
        <v>0</v>
      </c>
      <c r="I443" t="n">
        <v>0</v>
      </c>
      <c r="J443" t="n">
        <v>0</v>
      </c>
      <c r="K443" t="n">
        <v>0</v>
      </c>
      <c r="L443" t="n">
        <v>0</v>
      </c>
      <c r="M443" t="n">
        <v>0</v>
      </c>
      <c r="N443" t="n">
        <v>0</v>
      </c>
      <c r="O443" t="n">
        <v>0</v>
      </c>
      <c r="P443" t="n">
        <v>0</v>
      </c>
      <c r="Q443" t="n">
        <v>0</v>
      </c>
      <c r="R443" s="2" t="inlineStr"/>
    </row>
    <row r="444" ht="15" customHeight="1">
      <c r="A444" t="inlineStr">
        <is>
          <t>A 37154-2023</t>
        </is>
      </c>
      <c r="B444" s="1" t="n">
        <v>45155</v>
      </c>
      <c r="C444" s="1" t="n">
        <v>45904</v>
      </c>
      <c r="D444" t="inlineStr">
        <is>
          <t>ÖSTERGÖTLANDS LÄN</t>
        </is>
      </c>
      <c r="E444" t="inlineStr">
        <is>
          <t>LINKÖPING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9434-2024</t>
        </is>
      </c>
      <c r="B445" s="1" t="n">
        <v>45359</v>
      </c>
      <c r="C445" s="1" t="n">
        <v>45904</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42054-2022</t>
        </is>
      </c>
      <c r="B446" s="1" t="n">
        <v>44830</v>
      </c>
      <c r="C446" s="1" t="n">
        <v>45904</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53812-2023</t>
        </is>
      </c>
      <c r="B447" s="1" t="n">
        <v>45231.39583333334</v>
      </c>
      <c r="C447" s="1" t="n">
        <v>45904</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53830-2023</t>
        </is>
      </c>
      <c r="B448" s="1" t="n">
        <v>45230</v>
      </c>
      <c r="C448" s="1" t="n">
        <v>45904</v>
      </c>
      <c r="D448" t="inlineStr">
        <is>
          <t>ÖSTERGÖTLANDS LÄN</t>
        </is>
      </c>
      <c r="E448" t="inlineStr">
        <is>
          <t>LINKÖPING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50182-2023</t>
        </is>
      </c>
      <c r="B449" s="1" t="n">
        <v>45208</v>
      </c>
      <c r="C449" s="1" t="n">
        <v>45904</v>
      </c>
      <c r="D449" t="inlineStr">
        <is>
          <t>ÖSTERGÖTLANDS LÄN</t>
        </is>
      </c>
      <c r="E449" t="inlineStr">
        <is>
          <t>LINKÖPING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56841-2023</t>
        </is>
      </c>
      <c r="B450" s="1" t="n">
        <v>45244</v>
      </c>
      <c r="C450" s="1" t="n">
        <v>45904</v>
      </c>
      <c r="D450" t="inlineStr">
        <is>
          <t>ÖSTERGÖTLANDS LÄN</t>
        </is>
      </c>
      <c r="E450" t="inlineStr">
        <is>
          <t>LINKÖPING</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56741-2023</t>
        </is>
      </c>
      <c r="B451" s="1" t="n">
        <v>45244</v>
      </c>
      <c r="C451" s="1" t="n">
        <v>45904</v>
      </c>
      <c r="D451" t="inlineStr">
        <is>
          <t>ÖSTERGÖTLANDS LÄN</t>
        </is>
      </c>
      <c r="E451" t="inlineStr">
        <is>
          <t>LINKÖPING</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33947-2025</t>
        </is>
      </c>
      <c r="B452" s="1" t="n">
        <v>45842.65444444444</v>
      </c>
      <c r="C452" s="1" t="n">
        <v>45904</v>
      </c>
      <c r="D452" t="inlineStr">
        <is>
          <t>ÖSTERGÖTLANDS LÄN</t>
        </is>
      </c>
      <c r="E452" t="inlineStr">
        <is>
          <t>LINKÖPING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53529-2024</t>
        </is>
      </c>
      <c r="B453" s="1" t="n">
        <v>45614</v>
      </c>
      <c r="C453" s="1" t="n">
        <v>45904</v>
      </c>
      <c r="D453" t="inlineStr">
        <is>
          <t>ÖSTERGÖTLANDS LÄN</t>
        </is>
      </c>
      <c r="E453" t="inlineStr">
        <is>
          <t>LINKÖPING</t>
        </is>
      </c>
      <c r="G453" t="n">
        <v>6.7</v>
      </c>
      <c r="H453" t="n">
        <v>0</v>
      </c>
      <c r="I453" t="n">
        <v>0</v>
      </c>
      <c r="J453" t="n">
        <v>0</v>
      </c>
      <c r="K453" t="n">
        <v>0</v>
      </c>
      <c r="L453" t="n">
        <v>0</v>
      </c>
      <c r="M453" t="n">
        <v>0</v>
      </c>
      <c r="N453" t="n">
        <v>0</v>
      </c>
      <c r="O453" t="n">
        <v>0</v>
      </c>
      <c r="P453" t="n">
        <v>0</v>
      </c>
      <c r="Q453" t="n">
        <v>0</v>
      </c>
      <c r="R453" s="2" t="inlineStr"/>
    </row>
    <row r="454" ht="15" customHeight="1">
      <c r="A454" t="inlineStr">
        <is>
          <t>A 62012-2024</t>
        </is>
      </c>
      <c r="B454" s="1" t="n">
        <v>45655.79679398148</v>
      </c>
      <c r="C454" s="1" t="n">
        <v>45904</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38971-2025</t>
        </is>
      </c>
      <c r="B455" s="1" t="n">
        <v>45887.71827546296</v>
      </c>
      <c r="C455" s="1" t="n">
        <v>45904</v>
      </c>
      <c r="D455" t="inlineStr">
        <is>
          <t>ÖSTERGÖTLANDS LÄN</t>
        </is>
      </c>
      <c r="E455" t="inlineStr">
        <is>
          <t>LINKÖPING</t>
        </is>
      </c>
      <c r="G455" t="n">
        <v>3.9</v>
      </c>
      <c r="H455" t="n">
        <v>0</v>
      </c>
      <c r="I455" t="n">
        <v>0</v>
      </c>
      <c r="J455" t="n">
        <v>0</v>
      </c>
      <c r="K455" t="n">
        <v>0</v>
      </c>
      <c r="L455" t="n">
        <v>0</v>
      </c>
      <c r="M455" t="n">
        <v>0</v>
      </c>
      <c r="N455" t="n">
        <v>0</v>
      </c>
      <c r="O455" t="n">
        <v>0</v>
      </c>
      <c r="P455" t="n">
        <v>0</v>
      </c>
      <c r="Q455" t="n">
        <v>0</v>
      </c>
      <c r="R455" s="2" t="inlineStr"/>
    </row>
    <row r="456" ht="15" customHeight="1">
      <c r="A456" t="inlineStr">
        <is>
          <t>A 53816-2023</t>
        </is>
      </c>
      <c r="B456" s="1" t="n">
        <v>45231.40012731482</v>
      </c>
      <c r="C456" s="1" t="n">
        <v>45904</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35781-2023</t>
        </is>
      </c>
      <c r="B457" s="1" t="n">
        <v>45147</v>
      </c>
      <c r="C457" s="1" t="n">
        <v>45904</v>
      </c>
      <c r="D457" t="inlineStr">
        <is>
          <t>ÖSTERGÖTLANDS LÄN</t>
        </is>
      </c>
      <c r="E457" t="inlineStr">
        <is>
          <t>LINKÖPING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63935-2021</t>
        </is>
      </c>
      <c r="B458" s="1" t="n">
        <v>44509</v>
      </c>
      <c r="C458" s="1" t="n">
        <v>45904</v>
      </c>
      <c r="D458" t="inlineStr">
        <is>
          <t>ÖSTERGÖTLANDS LÄN</t>
        </is>
      </c>
      <c r="E458" t="inlineStr">
        <is>
          <t>LINKÖPING</t>
        </is>
      </c>
      <c r="F458" t="inlineStr">
        <is>
          <t>Övriga statliga verk och myndigheter</t>
        </is>
      </c>
      <c r="G458" t="n">
        <v>2.8</v>
      </c>
      <c r="H458" t="n">
        <v>0</v>
      </c>
      <c r="I458" t="n">
        <v>0</v>
      </c>
      <c r="J458" t="n">
        <v>0</v>
      </c>
      <c r="K458" t="n">
        <v>0</v>
      </c>
      <c r="L458" t="n">
        <v>0</v>
      </c>
      <c r="M458" t="n">
        <v>0</v>
      </c>
      <c r="N458" t="n">
        <v>0</v>
      </c>
      <c r="O458" t="n">
        <v>0</v>
      </c>
      <c r="P458" t="n">
        <v>0</v>
      </c>
      <c r="Q458" t="n">
        <v>0</v>
      </c>
      <c r="R458" s="2" t="inlineStr"/>
    </row>
    <row r="459" ht="15" customHeight="1">
      <c r="A459" t="inlineStr">
        <is>
          <t>A 6726-2024</t>
        </is>
      </c>
      <c r="B459" s="1" t="n">
        <v>45341</v>
      </c>
      <c r="C459" s="1" t="n">
        <v>45904</v>
      </c>
      <c r="D459" t="inlineStr">
        <is>
          <t>ÖSTERGÖTLANDS LÄN</t>
        </is>
      </c>
      <c r="E459" t="inlineStr">
        <is>
          <t>LINKÖPING</t>
        </is>
      </c>
      <c r="G459" t="n">
        <v>2.7</v>
      </c>
      <c r="H459" t="n">
        <v>0</v>
      </c>
      <c r="I459" t="n">
        <v>0</v>
      </c>
      <c r="J459" t="n">
        <v>0</v>
      </c>
      <c r="K459" t="n">
        <v>0</v>
      </c>
      <c r="L459" t="n">
        <v>0</v>
      </c>
      <c r="M459" t="n">
        <v>0</v>
      </c>
      <c r="N459" t="n">
        <v>0</v>
      </c>
      <c r="O459" t="n">
        <v>0</v>
      </c>
      <c r="P459" t="n">
        <v>0</v>
      </c>
      <c r="Q459" t="n">
        <v>0</v>
      </c>
      <c r="R459" s="2" t="inlineStr"/>
    </row>
    <row r="460" ht="15" customHeight="1">
      <c r="A460" t="inlineStr">
        <is>
          <t>A 20469-2025</t>
        </is>
      </c>
      <c r="B460" s="1" t="n">
        <v>45775</v>
      </c>
      <c r="C460" s="1" t="n">
        <v>45904</v>
      </c>
      <c r="D460" t="inlineStr">
        <is>
          <t>ÖSTERGÖTLANDS LÄN</t>
        </is>
      </c>
      <c r="E460" t="inlineStr">
        <is>
          <t>LINKÖPING</t>
        </is>
      </c>
      <c r="F460" t="inlineStr">
        <is>
          <t>Kyrkan</t>
        </is>
      </c>
      <c r="G460" t="n">
        <v>6.1</v>
      </c>
      <c r="H460" t="n">
        <v>0</v>
      </c>
      <c r="I460" t="n">
        <v>0</v>
      </c>
      <c r="J460" t="n">
        <v>0</v>
      </c>
      <c r="K460" t="n">
        <v>0</v>
      </c>
      <c r="L460" t="n">
        <v>0</v>
      </c>
      <c r="M460" t="n">
        <v>0</v>
      </c>
      <c r="N460" t="n">
        <v>0</v>
      </c>
      <c r="O460" t="n">
        <v>0</v>
      </c>
      <c r="P460" t="n">
        <v>0</v>
      </c>
      <c r="Q460" t="n">
        <v>0</v>
      </c>
      <c r="R460" s="2" t="inlineStr"/>
    </row>
    <row r="461" ht="15" customHeight="1">
      <c r="A461" t="inlineStr">
        <is>
          <t>A 3007-2023</t>
        </is>
      </c>
      <c r="B461" s="1" t="n">
        <v>44945</v>
      </c>
      <c r="C461" s="1" t="n">
        <v>45904</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18145-2021</t>
        </is>
      </c>
      <c r="B462" s="1" t="n">
        <v>44302</v>
      </c>
      <c r="C462" s="1" t="n">
        <v>45904</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39438-2025</t>
        </is>
      </c>
      <c r="B463" s="1" t="n">
        <v>45889.68641203704</v>
      </c>
      <c r="C463" s="1" t="n">
        <v>45904</v>
      </c>
      <c r="D463" t="inlineStr">
        <is>
          <t>ÖSTERGÖTLANDS LÄN</t>
        </is>
      </c>
      <c r="E463" t="inlineStr">
        <is>
          <t>LINKÖPING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39074-2025</t>
        </is>
      </c>
      <c r="B464" s="1" t="n">
        <v>45888</v>
      </c>
      <c r="C464" s="1" t="n">
        <v>45904</v>
      </c>
      <c r="D464" t="inlineStr">
        <is>
          <t>ÖSTERGÖTLANDS LÄN</t>
        </is>
      </c>
      <c r="E464" t="inlineStr">
        <is>
          <t>LINKÖPING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29309-2024</t>
        </is>
      </c>
      <c r="B465" s="1" t="n">
        <v>45483</v>
      </c>
      <c r="C465" s="1" t="n">
        <v>45904</v>
      </c>
      <c r="D465" t="inlineStr">
        <is>
          <t>ÖSTERGÖTLANDS LÄN</t>
        </is>
      </c>
      <c r="E465" t="inlineStr">
        <is>
          <t>LINKÖPING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6387-2022</t>
        </is>
      </c>
      <c r="B466" s="1" t="n">
        <v>44600</v>
      </c>
      <c r="C466" s="1" t="n">
        <v>45904</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48707-2023</t>
        </is>
      </c>
      <c r="B467" s="1" t="n">
        <v>45202</v>
      </c>
      <c r="C467" s="1" t="n">
        <v>45904</v>
      </c>
      <c r="D467" t="inlineStr">
        <is>
          <t>ÖSTERGÖTLANDS LÄN</t>
        </is>
      </c>
      <c r="E467" t="inlineStr">
        <is>
          <t>LINKÖPING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47876-2020</t>
        </is>
      </c>
      <c r="B468" s="1" t="n">
        <v>44099</v>
      </c>
      <c r="C468" s="1" t="n">
        <v>45904</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33800-2023</t>
        </is>
      </c>
      <c r="B469" s="1" t="n">
        <v>45121</v>
      </c>
      <c r="C469" s="1" t="n">
        <v>45904</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26007-2025</t>
        </is>
      </c>
      <c r="B470" s="1" t="n">
        <v>45804.67081018518</v>
      </c>
      <c r="C470" s="1" t="n">
        <v>45904</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35174-2025</t>
        </is>
      </c>
      <c r="B471" s="1" t="n">
        <v>45852.90648148148</v>
      </c>
      <c r="C471" s="1" t="n">
        <v>45904</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12089-2025</t>
        </is>
      </c>
      <c r="B472" s="1" t="n">
        <v>45729</v>
      </c>
      <c r="C472" s="1" t="n">
        <v>45904</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15658-2023</t>
        </is>
      </c>
      <c r="B473" s="1" t="n">
        <v>45021.41194444444</v>
      </c>
      <c r="C473" s="1" t="n">
        <v>45904</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47991-2023</t>
        </is>
      </c>
      <c r="B474" s="1" t="n">
        <v>45204.62655092592</v>
      </c>
      <c r="C474" s="1" t="n">
        <v>45904</v>
      </c>
      <c r="D474" t="inlineStr">
        <is>
          <t>ÖSTERGÖTLANDS LÄN</t>
        </is>
      </c>
      <c r="E474" t="inlineStr">
        <is>
          <t>LINKÖPING</t>
        </is>
      </c>
      <c r="F474" t="inlineStr">
        <is>
          <t>Allmännings- och besparingsskogar</t>
        </is>
      </c>
      <c r="G474" t="n">
        <v>7.3</v>
      </c>
      <c r="H474" t="n">
        <v>0</v>
      </c>
      <c r="I474" t="n">
        <v>0</v>
      </c>
      <c r="J474" t="n">
        <v>0</v>
      </c>
      <c r="K474" t="n">
        <v>0</v>
      </c>
      <c r="L474" t="n">
        <v>0</v>
      </c>
      <c r="M474" t="n">
        <v>0</v>
      </c>
      <c r="N474" t="n">
        <v>0</v>
      </c>
      <c r="O474" t="n">
        <v>0</v>
      </c>
      <c r="P474" t="n">
        <v>0</v>
      </c>
      <c r="Q474" t="n">
        <v>0</v>
      </c>
      <c r="R474" s="2" t="inlineStr"/>
    </row>
    <row r="475" ht="15" customHeight="1">
      <c r="A475" t="inlineStr">
        <is>
          <t>A 55305-2020</t>
        </is>
      </c>
      <c r="B475" s="1" t="n">
        <v>44130</v>
      </c>
      <c r="C475" s="1" t="n">
        <v>45904</v>
      </c>
      <c r="D475" t="inlineStr">
        <is>
          <t>ÖSTERGÖTLANDS LÄN</t>
        </is>
      </c>
      <c r="E475" t="inlineStr">
        <is>
          <t>LINKÖPING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35179-2025</t>
        </is>
      </c>
      <c r="B476" s="1" t="n">
        <v>45852.93737268518</v>
      </c>
      <c r="C476" s="1" t="n">
        <v>45904</v>
      </c>
      <c r="D476" t="inlineStr">
        <is>
          <t>ÖSTERGÖTLANDS LÄN</t>
        </is>
      </c>
      <c r="E476" t="inlineStr">
        <is>
          <t>LINKÖPING</t>
        </is>
      </c>
      <c r="G476" t="n">
        <v>2.2</v>
      </c>
      <c r="H476" t="n">
        <v>0</v>
      </c>
      <c r="I476" t="n">
        <v>0</v>
      </c>
      <c r="J476" t="n">
        <v>0</v>
      </c>
      <c r="K476" t="n">
        <v>0</v>
      </c>
      <c r="L476" t="n">
        <v>0</v>
      </c>
      <c r="M476" t="n">
        <v>0</v>
      </c>
      <c r="N476" t="n">
        <v>0</v>
      </c>
      <c r="O476" t="n">
        <v>0</v>
      </c>
      <c r="P476" t="n">
        <v>0</v>
      </c>
      <c r="Q476" t="n">
        <v>0</v>
      </c>
      <c r="R476" s="2" t="inlineStr"/>
    </row>
    <row r="477" ht="15" customHeight="1">
      <c r="A477" t="inlineStr">
        <is>
          <t>A 35180-2025</t>
        </is>
      </c>
      <c r="B477" s="1" t="n">
        <v>45852.9413425926</v>
      </c>
      <c r="C477" s="1" t="n">
        <v>45904</v>
      </c>
      <c r="D477" t="inlineStr">
        <is>
          <t>ÖSTERGÖTLANDS LÄN</t>
        </is>
      </c>
      <c r="E477" t="inlineStr">
        <is>
          <t>LINKÖPING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35178-2025</t>
        </is>
      </c>
      <c r="B478" s="1" t="n">
        <v>45852.91939814815</v>
      </c>
      <c r="C478" s="1" t="n">
        <v>45904</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53411-2023</t>
        </is>
      </c>
      <c r="B479" s="1" t="n">
        <v>45229.81049768518</v>
      </c>
      <c r="C479" s="1" t="n">
        <v>45904</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38886-2024</t>
        </is>
      </c>
      <c r="B480" s="1" t="n">
        <v>45547.66443287037</v>
      </c>
      <c r="C480" s="1" t="n">
        <v>45904</v>
      </c>
      <c r="D480" t="inlineStr">
        <is>
          <t>ÖSTERGÖTLANDS LÄN</t>
        </is>
      </c>
      <c r="E480" t="inlineStr">
        <is>
          <t>LINKÖPING</t>
        </is>
      </c>
      <c r="G480" t="n">
        <v>5.3</v>
      </c>
      <c r="H480" t="n">
        <v>0</v>
      </c>
      <c r="I480" t="n">
        <v>0</v>
      </c>
      <c r="J480" t="n">
        <v>0</v>
      </c>
      <c r="K480" t="n">
        <v>0</v>
      </c>
      <c r="L480" t="n">
        <v>0</v>
      </c>
      <c r="M480" t="n">
        <v>0</v>
      </c>
      <c r="N480" t="n">
        <v>0</v>
      </c>
      <c r="O480" t="n">
        <v>0</v>
      </c>
      <c r="P480" t="n">
        <v>0</v>
      </c>
      <c r="Q480" t="n">
        <v>0</v>
      </c>
      <c r="R480" s="2" t="inlineStr"/>
    </row>
    <row r="481" ht="15" customHeight="1">
      <c r="A481" t="inlineStr">
        <is>
          <t>A 26788-2022</t>
        </is>
      </c>
      <c r="B481" s="1" t="n">
        <v>44740</v>
      </c>
      <c r="C481" s="1" t="n">
        <v>45904</v>
      </c>
      <c r="D481" t="inlineStr">
        <is>
          <t>ÖSTERGÖTLANDS LÄN</t>
        </is>
      </c>
      <c r="E481" t="inlineStr">
        <is>
          <t>LINKÖPING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51583-2024</t>
        </is>
      </c>
      <c r="B482" s="1" t="n">
        <v>45604.6397337963</v>
      </c>
      <c r="C482" s="1" t="n">
        <v>45904</v>
      </c>
      <c r="D482" t="inlineStr">
        <is>
          <t>ÖSTERGÖTLANDS LÄN</t>
        </is>
      </c>
      <c r="E482" t="inlineStr">
        <is>
          <t>LINKÖPING</t>
        </is>
      </c>
      <c r="F482" t="inlineStr">
        <is>
          <t>Övriga Aktiebolag</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58714-2020</t>
        </is>
      </c>
      <c r="B483" s="1" t="n">
        <v>44146</v>
      </c>
      <c r="C483" s="1" t="n">
        <v>45904</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40169-2025</t>
        </is>
      </c>
      <c r="B484" s="1" t="n">
        <v>45894.62824074074</v>
      </c>
      <c r="C484" s="1" t="n">
        <v>45904</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64694-2023</t>
        </is>
      </c>
      <c r="B485" s="1" t="n">
        <v>45281</v>
      </c>
      <c r="C485" s="1" t="n">
        <v>45904</v>
      </c>
      <c r="D485" t="inlineStr">
        <is>
          <t>ÖSTERGÖTLANDS LÄN</t>
        </is>
      </c>
      <c r="E485" t="inlineStr">
        <is>
          <t>LINKÖPING</t>
        </is>
      </c>
      <c r="F485" t="inlineStr">
        <is>
          <t>Övriga statliga verk och myndigheter</t>
        </is>
      </c>
      <c r="G485" t="n">
        <v>4.9</v>
      </c>
      <c r="H485" t="n">
        <v>0</v>
      </c>
      <c r="I485" t="n">
        <v>0</v>
      </c>
      <c r="J485" t="n">
        <v>0</v>
      </c>
      <c r="K485" t="n">
        <v>0</v>
      </c>
      <c r="L485" t="n">
        <v>0</v>
      </c>
      <c r="M485" t="n">
        <v>0</v>
      </c>
      <c r="N485" t="n">
        <v>0</v>
      </c>
      <c r="O485" t="n">
        <v>0</v>
      </c>
      <c r="P485" t="n">
        <v>0</v>
      </c>
      <c r="Q485" t="n">
        <v>0</v>
      </c>
      <c r="R485" s="2" t="inlineStr"/>
    </row>
    <row r="486" ht="15" customHeight="1">
      <c r="A486" t="inlineStr">
        <is>
          <t>A 32602-2022</t>
        </is>
      </c>
      <c r="B486" s="1" t="n">
        <v>44783.43192129629</v>
      </c>
      <c r="C486" s="1" t="n">
        <v>45904</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24462-2023</t>
        </is>
      </c>
      <c r="B487" s="1" t="n">
        <v>45082</v>
      </c>
      <c r="C487" s="1" t="n">
        <v>45904</v>
      </c>
      <c r="D487" t="inlineStr">
        <is>
          <t>ÖSTERGÖTLANDS LÄN</t>
        </is>
      </c>
      <c r="E487" t="inlineStr">
        <is>
          <t>LINKÖPING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62015-2024</t>
        </is>
      </c>
      <c r="B488" s="1" t="n">
        <v>45655.80457175926</v>
      </c>
      <c r="C488" s="1" t="n">
        <v>45904</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29293-2025</t>
        </is>
      </c>
      <c r="B489" s="1" t="n">
        <v>45824</v>
      </c>
      <c r="C489" s="1" t="n">
        <v>45904</v>
      </c>
      <c r="D489" t="inlineStr">
        <is>
          <t>ÖSTERGÖTLANDS LÄN</t>
        </is>
      </c>
      <c r="E489" t="inlineStr">
        <is>
          <t>LINKÖPING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62321-2022</t>
        </is>
      </c>
      <c r="B490" s="1" t="n">
        <v>44916</v>
      </c>
      <c r="C490" s="1" t="n">
        <v>45904</v>
      </c>
      <c r="D490" t="inlineStr">
        <is>
          <t>ÖSTERGÖTLANDS LÄN</t>
        </is>
      </c>
      <c r="E490" t="inlineStr">
        <is>
          <t>LINKÖPING</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10741-2023</t>
        </is>
      </c>
      <c r="B491" s="1" t="n">
        <v>44988.70084490741</v>
      </c>
      <c r="C491" s="1" t="n">
        <v>45904</v>
      </c>
      <c r="D491" t="inlineStr">
        <is>
          <t>ÖSTERGÖTLANDS LÄN</t>
        </is>
      </c>
      <c r="E491" t="inlineStr">
        <is>
          <t>LINKÖPING</t>
        </is>
      </c>
      <c r="F491" t="inlineStr">
        <is>
          <t>Allmännings- och besparingsskogar</t>
        </is>
      </c>
      <c r="G491" t="n">
        <v>11.2</v>
      </c>
      <c r="H491" t="n">
        <v>0</v>
      </c>
      <c r="I491" t="n">
        <v>0</v>
      </c>
      <c r="J491" t="n">
        <v>0</v>
      </c>
      <c r="K491" t="n">
        <v>0</v>
      </c>
      <c r="L491" t="n">
        <v>0</v>
      </c>
      <c r="M491" t="n">
        <v>0</v>
      </c>
      <c r="N491" t="n">
        <v>0</v>
      </c>
      <c r="O491" t="n">
        <v>0</v>
      </c>
      <c r="P491" t="n">
        <v>0</v>
      </c>
      <c r="Q491" t="n">
        <v>0</v>
      </c>
      <c r="R491" s="2" t="inlineStr"/>
    </row>
    <row r="492" ht="15" customHeight="1">
      <c r="A492" t="inlineStr">
        <is>
          <t>A 1084-2023</t>
        </is>
      </c>
      <c r="B492" s="1" t="n">
        <v>44929</v>
      </c>
      <c r="C492" s="1" t="n">
        <v>45904</v>
      </c>
      <c r="D492" t="inlineStr">
        <is>
          <t>ÖSTERGÖTLANDS LÄN</t>
        </is>
      </c>
      <c r="E492" t="inlineStr">
        <is>
          <t>LINKÖPING</t>
        </is>
      </c>
      <c r="G492" t="n">
        <v>10.4</v>
      </c>
      <c r="H492" t="n">
        <v>0</v>
      </c>
      <c r="I492" t="n">
        <v>0</v>
      </c>
      <c r="J492" t="n">
        <v>0</v>
      </c>
      <c r="K492" t="n">
        <v>0</v>
      </c>
      <c r="L492" t="n">
        <v>0</v>
      </c>
      <c r="M492" t="n">
        <v>0</v>
      </c>
      <c r="N492" t="n">
        <v>0</v>
      </c>
      <c r="O492" t="n">
        <v>0</v>
      </c>
      <c r="P492" t="n">
        <v>0</v>
      </c>
      <c r="Q492" t="n">
        <v>0</v>
      </c>
      <c r="R492" s="2" t="inlineStr"/>
    </row>
    <row r="493" ht="15" customHeight="1">
      <c r="A493" t="inlineStr">
        <is>
          <t>A 43473-2024</t>
        </is>
      </c>
      <c r="B493" s="1" t="n">
        <v>45568</v>
      </c>
      <c r="C493" s="1" t="n">
        <v>45904</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43475-2024</t>
        </is>
      </c>
      <c r="B494" s="1" t="n">
        <v>45568</v>
      </c>
      <c r="C494" s="1" t="n">
        <v>45904</v>
      </c>
      <c r="D494" t="inlineStr">
        <is>
          <t>ÖSTERGÖTLANDS LÄN</t>
        </is>
      </c>
      <c r="E494" t="inlineStr">
        <is>
          <t>LINKÖPING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267-2023</t>
        </is>
      </c>
      <c r="B495" s="1" t="n">
        <v>44928.80907407407</v>
      </c>
      <c r="C495" s="1" t="n">
        <v>45904</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940-2023</t>
        </is>
      </c>
      <c r="B496" s="1" t="n">
        <v>44933</v>
      </c>
      <c r="C496" s="1" t="n">
        <v>45904</v>
      </c>
      <c r="D496" t="inlineStr">
        <is>
          <t>ÖSTERGÖTLANDS LÄN</t>
        </is>
      </c>
      <c r="E496" t="inlineStr">
        <is>
          <t>LINKÖPING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1207-2023</t>
        </is>
      </c>
      <c r="B497" s="1" t="n">
        <v>44930</v>
      </c>
      <c r="C497" s="1" t="n">
        <v>45904</v>
      </c>
      <c r="D497" t="inlineStr">
        <is>
          <t>ÖSTERGÖTLANDS LÄN</t>
        </is>
      </c>
      <c r="E497" t="inlineStr">
        <is>
          <t>LINKÖPING</t>
        </is>
      </c>
      <c r="F497" t="inlineStr">
        <is>
          <t>Övriga statliga verk och myndigheter</t>
        </is>
      </c>
      <c r="G497" t="n">
        <v>32.8</v>
      </c>
      <c r="H497" t="n">
        <v>0</v>
      </c>
      <c r="I497" t="n">
        <v>0</v>
      </c>
      <c r="J497" t="n">
        <v>0</v>
      </c>
      <c r="K497" t="n">
        <v>0</v>
      </c>
      <c r="L497" t="n">
        <v>0</v>
      </c>
      <c r="M497" t="n">
        <v>0</v>
      </c>
      <c r="N497" t="n">
        <v>0</v>
      </c>
      <c r="O497" t="n">
        <v>0</v>
      </c>
      <c r="P497" t="n">
        <v>0</v>
      </c>
      <c r="Q497" t="n">
        <v>0</v>
      </c>
      <c r="R497" s="2" t="inlineStr"/>
    </row>
    <row r="498" ht="15" customHeight="1">
      <c r="A498" t="inlineStr">
        <is>
          <t>A 29859-2024</t>
        </is>
      </c>
      <c r="B498" s="1" t="n">
        <v>45485.6846412037</v>
      </c>
      <c r="C498" s="1" t="n">
        <v>45904</v>
      </c>
      <c r="D498" t="inlineStr">
        <is>
          <t>ÖSTERGÖTLANDS LÄN</t>
        </is>
      </c>
      <c r="E498" t="inlineStr">
        <is>
          <t>LINKÖPING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45819-2024</t>
        </is>
      </c>
      <c r="B499" s="1" t="n">
        <v>45579.7454050926</v>
      </c>
      <c r="C499" s="1" t="n">
        <v>45904</v>
      </c>
      <c r="D499" t="inlineStr">
        <is>
          <t>ÖSTERGÖTLANDS LÄN</t>
        </is>
      </c>
      <c r="E499" t="inlineStr">
        <is>
          <t>LINKÖPING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15748-2025</t>
        </is>
      </c>
      <c r="B500" s="1" t="n">
        <v>45748.55282407408</v>
      </c>
      <c r="C500" s="1" t="n">
        <v>45904</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15754-2025</t>
        </is>
      </c>
      <c r="B501" s="1" t="n">
        <v>45748.56105324074</v>
      </c>
      <c r="C501" s="1" t="n">
        <v>45904</v>
      </c>
      <c r="D501" t="inlineStr">
        <is>
          <t>ÖSTERGÖTLANDS LÄN</t>
        </is>
      </c>
      <c r="E501" t="inlineStr">
        <is>
          <t>LINKÖPING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30518-2024</t>
        </is>
      </c>
      <c r="B502" s="1" t="n">
        <v>45492</v>
      </c>
      <c r="C502" s="1" t="n">
        <v>45904</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6369-2023</t>
        </is>
      </c>
      <c r="B503" s="1" t="n">
        <v>44965.61106481482</v>
      </c>
      <c r="C503" s="1" t="n">
        <v>45904</v>
      </c>
      <c r="D503" t="inlineStr">
        <is>
          <t>ÖSTERGÖTLANDS LÄN</t>
        </is>
      </c>
      <c r="E503" t="inlineStr">
        <is>
          <t>LINKÖPING</t>
        </is>
      </c>
      <c r="G503" t="n">
        <v>4</v>
      </c>
      <c r="H503" t="n">
        <v>0</v>
      </c>
      <c r="I503" t="n">
        <v>0</v>
      </c>
      <c r="J503" t="n">
        <v>0</v>
      </c>
      <c r="K503" t="n">
        <v>0</v>
      </c>
      <c r="L503" t="n">
        <v>0</v>
      </c>
      <c r="M503" t="n">
        <v>0</v>
      </c>
      <c r="N503" t="n">
        <v>0</v>
      </c>
      <c r="O503" t="n">
        <v>0</v>
      </c>
      <c r="P503" t="n">
        <v>0</v>
      </c>
      <c r="Q503" t="n">
        <v>0</v>
      </c>
      <c r="R503" s="2" t="inlineStr"/>
    </row>
    <row r="504" ht="15" customHeight="1">
      <c r="A504" t="inlineStr">
        <is>
          <t>A 41511-2025</t>
        </is>
      </c>
      <c r="B504" s="1" t="n">
        <v>45901.53839120371</v>
      </c>
      <c r="C504" s="1" t="n">
        <v>45904</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30980-2022</t>
        </is>
      </c>
      <c r="B505" s="1" t="n">
        <v>44768</v>
      </c>
      <c r="C505" s="1" t="n">
        <v>45904</v>
      </c>
      <c r="D505" t="inlineStr">
        <is>
          <t>ÖSTERGÖTLANDS LÄN</t>
        </is>
      </c>
      <c r="E505" t="inlineStr">
        <is>
          <t>LINKÖPING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60007-2022</t>
        </is>
      </c>
      <c r="B506" s="1" t="n">
        <v>44909.47282407407</v>
      </c>
      <c r="C506" s="1" t="n">
        <v>45904</v>
      </c>
      <c r="D506" t="inlineStr">
        <is>
          <t>ÖSTERGÖTLANDS LÄN</t>
        </is>
      </c>
      <c r="E506" t="inlineStr">
        <is>
          <t>LINKÖPING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53797-2023</t>
        </is>
      </c>
      <c r="B507" s="1" t="n">
        <v>45230</v>
      </c>
      <c r="C507" s="1" t="n">
        <v>45904</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50799-2022</t>
        </is>
      </c>
      <c r="B508" s="1" t="n">
        <v>44862</v>
      </c>
      <c r="C508" s="1" t="n">
        <v>45904</v>
      </c>
      <c r="D508" t="inlineStr">
        <is>
          <t>ÖSTERGÖTLANDS LÄN</t>
        </is>
      </c>
      <c r="E508" t="inlineStr">
        <is>
          <t>LINKÖPING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55345-2021</t>
        </is>
      </c>
      <c r="B509" s="1" t="n">
        <v>44475</v>
      </c>
      <c r="C509" s="1" t="n">
        <v>45904</v>
      </c>
      <c r="D509" t="inlineStr">
        <is>
          <t>ÖSTERGÖTLANDS LÄN</t>
        </is>
      </c>
      <c r="E509" t="inlineStr">
        <is>
          <t>LINKÖPING</t>
        </is>
      </c>
      <c r="G509" t="n">
        <v>5.7</v>
      </c>
      <c r="H509" t="n">
        <v>0</v>
      </c>
      <c r="I509" t="n">
        <v>0</v>
      </c>
      <c r="J509" t="n">
        <v>0</v>
      </c>
      <c r="K509" t="n">
        <v>0</v>
      </c>
      <c r="L509" t="n">
        <v>0</v>
      </c>
      <c r="M509" t="n">
        <v>0</v>
      </c>
      <c r="N509" t="n">
        <v>0</v>
      </c>
      <c r="O509" t="n">
        <v>0</v>
      </c>
      <c r="P509" t="n">
        <v>0</v>
      </c>
      <c r="Q509" t="n">
        <v>0</v>
      </c>
      <c r="R509" s="2" t="inlineStr"/>
    </row>
    <row r="510" ht="15" customHeight="1">
      <c r="A510" t="inlineStr">
        <is>
          <t>A 59954-2020</t>
        </is>
      </c>
      <c r="B510" s="1" t="n">
        <v>44151</v>
      </c>
      <c r="C510" s="1" t="n">
        <v>45904</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59969-2020</t>
        </is>
      </c>
      <c r="B511" s="1" t="n">
        <v>44151</v>
      </c>
      <c r="C511" s="1" t="n">
        <v>45904</v>
      </c>
      <c r="D511" t="inlineStr">
        <is>
          <t>ÖSTERGÖTLANDS LÄN</t>
        </is>
      </c>
      <c r="E511" t="inlineStr">
        <is>
          <t>LINKÖPING</t>
        </is>
      </c>
      <c r="G511" t="n">
        <v>2.2</v>
      </c>
      <c r="H511" t="n">
        <v>0</v>
      </c>
      <c r="I511" t="n">
        <v>0</v>
      </c>
      <c r="J511" t="n">
        <v>0</v>
      </c>
      <c r="K511" t="n">
        <v>0</v>
      </c>
      <c r="L511" t="n">
        <v>0</v>
      </c>
      <c r="M511" t="n">
        <v>0</v>
      </c>
      <c r="N511" t="n">
        <v>0</v>
      </c>
      <c r="O511" t="n">
        <v>0</v>
      </c>
      <c r="P511" t="n">
        <v>0</v>
      </c>
      <c r="Q511" t="n">
        <v>0</v>
      </c>
      <c r="R511" s="2" t="inlineStr"/>
    </row>
    <row r="512" ht="15" customHeight="1">
      <c r="A512" t="inlineStr">
        <is>
          <t>A 10198-2023</t>
        </is>
      </c>
      <c r="B512" s="1" t="n">
        <v>44986.54665509259</v>
      </c>
      <c r="C512" s="1" t="n">
        <v>45904</v>
      </c>
      <c r="D512" t="inlineStr">
        <is>
          <t>ÖSTERGÖTLANDS LÄN</t>
        </is>
      </c>
      <c r="E512" t="inlineStr">
        <is>
          <t>LINKÖPING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4298-2023</t>
        </is>
      </c>
      <c r="B513" s="1" t="n">
        <v>44953</v>
      </c>
      <c r="C513" s="1" t="n">
        <v>45904</v>
      </c>
      <c r="D513" t="inlineStr">
        <is>
          <t>ÖSTERGÖTLANDS LÄN</t>
        </is>
      </c>
      <c r="E513" t="inlineStr">
        <is>
          <t>LINKÖPING</t>
        </is>
      </c>
      <c r="G513" t="n">
        <v>2.8</v>
      </c>
      <c r="H513" t="n">
        <v>0</v>
      </c>
      <c r="I513" t="n">
        <v>0</v>
      </c>
      <c r="J513" t="n">
        <v>0</v>
      </c>
      <c r="K513" t="n">
        <v>0</v>
      </c>
      <c r="L513" t="n">
        <v>0</v>
      </c>
      <c r="M513" t="n">
        <v>0</v>
      </c>
      <c r="N513" t="n">
        <v>0</v>
      </c>
      <c r="O513" t="n">
        <v>0</v>
      </c>
      <c r="P513" t="n">
        <v>0</v>
      </c>
      <c r="Q513" t="n">
        <v>0</v>
      </c>
      <c r="R513" s="2" t="inlineStr"/>
    </row>
    <row r="514" ht="15" customHeight="1">
      <c r="A514" t="inlineStr">
        <is>
          <t>A 12428-2024</t>
        </is>
      </c>
      <c r="B514" s="1" t="n">
        <v>45379</v>
      </c>
      <c r="C514" s="1" t="n">
        <v>45904</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26618-2023</t>
        </is>
      </c>
      <c r="B515" s="1" t="n">
        <v>45092.70306712963</v>
      </c>
      <c r="C515" s="1" t="n">
        <v>45904</v>
      </c>
      <c r="D515" t="inlineStr">
        <is>
          <t>ÖSTERGÖTLANDS LÄN</t>
        </is>
      </c>
      <c r="E515" t="inlineStr">
        <is>
          <t>LINKÖPING</t>
        </is>
      </c>
      <c r="G515" t="n">
        <v>6.9</v>
      </c>
      <c r="H515" t="n">
        <v>0</v>
      </c>
      <c r="I515" t="n">
        <v>0</v>
      </c>
      <c r="J515" t="n">
        <v>0</v>
      </c>
      <c r="K515" t="n">
        <v>0</v>
      </c>
      <c r="L515" t="n">
        <v>0</v>
      </c>
      <c r="M515" t="n">
        <v>0</v>
      </c>
      <c r="N515" t="n">
        <v>0</v>
      </c>
      <c r="O515" t="n">
        <v>0</v>
      </c>
      <c r="P515" t="n">
        <v>0</v>
      </c>
      <c r="Q515" t="n">
        <v>0</v>
      </c>
      <c r="R515" s="2" t="inlineStr"/>
    </row>
    <row r="516" ht="15" customHeight="1">
      <c r="A516" t="inlineStr">
        <is>
          <t>A 35757-2025</t>
        </is>
      </c>
      <c r="B516" s="1" t="n">
        <v>45860.59876157407</v>
      </c>
      <c r="C516" s="1" t="n">
        <v>45904</v>
      </c>
      <c r="D516" t="inlineStr">
        <is>
          <t>ÖSTERGÖTLANDS LÄN</t>
        </is>
      </c>
      <c r="E516" t="inlineStr">
        <is>
          <t>LINKÖPING</t>
        </is>
      </c>
      <c r="G516" t="n">
        <v>5.7</v>
      </c>
      <c r="H516" t="n">
        <v>0</v>
      </c>
      <c r="I516" t="n">
        <v>0</v>
      </c>
      <c r="J516" t="n">
        <v>0</v>
      </c>
      <c r="K516" t="n">
        <v>0</v>
      </c>
      <c r="L516" t="n">
        <v>0</v>
      </c>
      <c r="M516" t="n">
        <v>0</v>
      </c>
      <c r="N516" t="n">
        <v>0</v>
      </c>
      <c r="O516" t="n">
        <v>0</v>
      </c>
      <c r="P516" t="n">
        <v>0</v>
      </c>
      <c r="Q516" t="n">
        <v>0</v>
      </c>
      <c r="R516" s="2" t="inlineStr"/>
    </row>
    <row r="517" ht="15" customHeight="1">
      <c r="A517" t="inlineStr">
        <is>
          <t>A 35745-2025</t>
        </is>
      </c>
      <c r="B517" s="1" t="n">
        <v>45860.54739583333</v>
      </c>
      <c r="C517" s="1" t="n">
        <v>45904</v>
      </c>
      <c r="D517" t="inlineStr">
        <is>
          <t>ÖSTERGÖTLANDS LÄN</t>
        </is>
      </c>
      <c r="E517" t="inlineStr">
        <is>
          <t>LINKÖPING</t>
        </is>
      </c>
      <c r="G517" t="n">
        <v>4.4</v>
      </c>
      <c r="H517" t="n">
        <v>0</v>
      </c>
      <c r="I517" t="n">
        <v>0</v>
      </c>
      <c r="J517" t="n">
        <v>0</v>
      </c>
      <c r="K517" t="n">
        <v>0</v>
      </c>
      <c r="L517" t="n">
        <v>0</v>
      </c>
      <c r="M517" t="n">
        <v>0</v>
      </c>
      <c r="N517" t="n">
        <v>0</v>
      </c>
      <c r="O517" t="n">
        <v>0</v>
      </c>
      <c r="P517" t="n">
        <v>0</v>
      </c>
      <c r="Q517" t="n">
        <v>0</v>
      </c>
      <c r="R517" s="2" t="inlineStr"/>
    </row>
    <row r="518" ht="15" customHeight="1">
      <c r="A518" t="inlineStr">
        <is>
          <t>A 35747-2025</t>
        </is>
      </c>
      <c r="B518" s="1" t="n">
        <v>45860.56385416666</v>
      </c>
      <c r="C518" s="1" t="n">
        <v>45904</v>
      </c>
      <c r="D518" t="inlineStr">
        <is>
          <t>ÖSTERGÖTLANDS LÄN</t>
        </is>
      </c>
      <c r="E518" t="inlineStr">
        <is>
          <t>LINKÖPING</t>
        </is>
      </c>
      <c r="G518" t="n">
        <v>2.4</v>
      </c>
      <c r="H518" t="n">
        <v>0</v>
      </c>
      <c r="I518" t="n">
        <v>0</v>
      </c>
      <c r="J518" t="n">
        <v>0</v>
      </c>
      <c r="K518" t="n">
        <v>0</v>
      </c>
      <c r="L518" t="n">
        <v>0</v>
      </c>
      <c r="M518" t="n">
        <v>0</v>
      </c>
      <c r="N518" t="n">
        <v>0</v>
      </c>
      <c r="O518" t="n">
        <v>0</v>
      </c>
      <c r="P518" t="n">
        <v>0</v>
      </c>
      <c r="Q518" t="n">
        <v>0</v>
      </c>
      <c r="R518" s="2" t="inlineStr"/>
    </row>
    <row r="519" ht="15" customHeight="1">
      <c r="A519" t="inlineStr">
        <is>
          <t>A 35759-2025</t>
        </is>
      </c>
      <c r="B519" s="1" t="n">
        <v>45860</v>
      </c>
      <c r="C519" s="1" t="n">
        <v>45904</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41706-2025</t>
        </is>
      </c>
      <c r="B520" s="1" t="n">
        <v>45902.42209490741</v>
      </c>
      <c r="C520" s="1" t="n">
        <v>45904</v>
      </c>
      <c r="D520" t="inlineStr">
        <is>
          <t>ÖSTERGÖTLANDS LÄN</t>
        </is>
      </c>
      <c r="E520" t="inlineStr">
        <is>
          <t>LINKÖPING</t>
        </is>
      </c>
      <c r="G520" t="n">
        <v>1.9</v>
      </c>
      <c r="H520" t="n">
        <v>0</v>
      </c>
      <c r="I520" t="n">
        <v>0</v>
      </c>
      <c r="J520" t="n">
        <v>0</v>
      </c>
      <c r="K520" t="n">
        <v>0</v>
      </c>
      <c r="L520" t="n">
        <v>0</v>
      </c>
      <c r="M520" t="n">
        <v>0</v>
      </c>
      <c r="N520" t="n">
        <v>0</v>
      </c>
      <c r="O520" t="n">
        <v>0</v>
      </c>
      <c r="P520" t="n">
        <v>0</v>
      </c>
      <c r="Q520" t="n">
        <v>0</v>
      </c>
      <c r="R520" s="2" t="inlineStr"/>
    </row>
    <row r="521" ht="15" customHeight="1">
      <c r="A521" t="inlineStr">
        <is>
          <t>A 56064-2022</t>
        </is>
      </c>
      <c r="B521" s="1" t="n">
        <v>44889.59107638889</v>
      </c>
      <c r="C521" s="1" t="n">
        <v>45904</v>
      </c>
      <c r="D521" t="inlineStr">
        <is>
          <t>ÖSTERGÖTLANDS LÄN</t>
        </is>
      </c>
      <c r="E521" t="inlineStr">
        <is>
          <t>LINKÖPING</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47703-2023</t>
        </is>
      </c>
      <c r="B522" s="1" t="n">
        <v>45203</v>
      </c>
      <c r="C522" s="1" t="n">
        <v>45904</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34930-2023</t>
        </is>
      </c>
      <c r="B523" s="1" t="n">
        <v>45142</v>
      </c>
      <c r="C523" s="1" t="n">
        <v>45904</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670-2024</t>
        </is>
      </c>
      <c r="B524" s="1" t="n">
        <v>45300.3408912037</v>
      </c>
      <c r="C524" s="1" t="n">
        <v>45904</v>
      </c>
      <c r="D524" t="inlineStr">
        <is>
          <t>ÖSTERGÖTLANDS LÄN</t>
        </is>
      </c>
      <c r="E524" t="inlineStr">
        <is>
          <t>LINKÖPING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63845-2021</t>
        </is>
      </c>
      <c r="B525" s="1" t="n">
        <v>44509</v>
      </c>
      <c r="C525" s="1" t="n">
        <v>45904</v>
      </c>
      <c r="D525" t="inlineStr">
        <is>
          <t>ÖSTERGÖTLANDS LÄN</t>
        </is>
      </c>
      <c r="E525" t="inlineStr">
        <is>
          <t>LINKÖPING</t>
        </is>
      </c>
      <c r="G525" t="n">
        <v>5</v>
      </c>
      <c r="H525" t="n">
        <v>0</v>
      </c>
      <c r="I525" t="n">
        <v>0</v>
      </c>
      <c r="J525" t="n">
        <v>0</v>
      </c>
      <c r="K525" t="n">
        <v>0</v>
      </c>
      <c r="L525" t="n">
        <v>0</v>
      </c>
      <c r="M525" t="n">
        <v>0</v>
      </c>
      <c r="N525" t="n">
        <v>0</v>
      </c>
      <c r="O525" t="n">
        <v>0</v>
      </c>
      <c r="P525" t="n">
        <v>0</v>
      </c>
      <c r="Q525" t="n">
        <v>0</v>
      </c>
      <c r="R525" s="2" t="inlineStr"/>
    </row>
    <row r="526" ht="15" customHeight="1">
      <c r="A526" t="inlineStr">
        <is>
          <t>A 16111-2022</t>
        </is>
      </c>
      <c r="B526" s="1" t="n">
        <v>44665</v>
      </c>
      <c r="C526" s="1" t="n">
        <v>45904</v>
      </c>
      <c r="D526" t="inlineStr">
        <is>
          <t>ÖSTERGÖTLANDS LÄN</t>
        </is>
      </c>
      <c r="E526" t="inlineStr">
        <is>
          <t>LINKÖPING</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48962-2022</t>
        </is>
      </c>
      <c r="B527" s="1" t="n">
        <v>44860.31635416667</v>
      </c>
      <c r="C527" s="1" t="n">
        <v>45904</v>
      </c>
      <c r="D527" t="inlineStr">
        <is>
          <t>ÖSTERGÖTLANDS LÄN</t>
        </is>
      </c>
      <c r="E527" t="inlineStr">
        <is>
          <t>LINKÖPING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54034-2022</t>
        </is>
      </c>
      <c r="B528" s="1" t="n">
        <v>44881</v>
      </c>
      <c r="C528" s="1" t="n">
        <v>45904</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27891-2021</t>
        </is>
      </c>
      <c r="B529" s="1" t="n">
        <v>44354.65108796296</v>
      </c>
      <c r="C529" s="1" t="n">
        <v>45904</v>
      </c>
      <c r="D529" t="inlineStr">
        <is>
          <t>ÖSTERGÖTLANDS LÄN</t>
        </is>
      </c>
      <c r="E529" t="inlineStr">
        <is>
          <t>LINKÖPING</t>
        </is>
      </c>
      <c r="G529" t="n">
        <v>1.8</v>
      </c>
      <c r="H529" t="n">
        <v>0</v>
      </c>
      <c r="I529" t="n">
        <v>0</v>
      </c>
      <c r="J529" t="n">
        <v>0</v>
      </c>
      <c r="K529" t="n">
        <v>0</v>
      </c>
      <c r="L529" t="n">
        <v>0</v>
      </c>
      <c r="M529" t="n">
        <v>0</v>
      </c>
      <c r="N529" t="n">
        <v>0</v>
      </c>
      <c r="O529" t="n">
        <v>0</v>
      </c>
      <c r="P529" t="n">
        <v>0</v>
      </c>
      <c r="Q529" t="n">
        <v>0</v>
      </c>
      <c r="R529" s="2" t="inlineStr"/>
    </row>
    <row r="530" ht="15" customHeight="1">
      <c r="A530" t="inlineStr">
        <is>
          <t>A 36336-2023</t>
        </is>
      </c>
      <c r="B530" s="1" t="n">
        <v>45152.45078703704</v>
      </c>
      <c r="C530" s="1" t="n">
        <v>45904</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54491-2020</t>
        </is>
      </c>
      <c r="B531" s="1" t="n">
        <v>44126.64</v>
      </c>
      <c r="C531" s="1" t="n">
        <v>45904</v>
      </c>
      <c r="D531" t="inlineStr">
        <is>
          <t>ÖSTERGÖTLANDS LÄN</t>
        </is>
      </c>
      <c r="E531" t="inlineStr">
        <is>
          <t>LINKÖPING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48829-2023</t>
        </is>
      </c>
      <c r="B532" s="1" t="n">
        <v>45209.38177083333</v>
      </c>
      <c r="C532" s="1" t="n">
        <v>45904</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45506-2020</t>
        </is>
      </c>
      <c r="B533" s="1" t="n">
        <v>44089</v>
      </c>
      <c r="C533" s="1" t="n">
        <v>45904</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1268-2023</t>
        </is>
      </c>
      <c r="B534" s="1" t="n">
        <v>44936</v>
      </c>
      <c r="C534" s="1" t="n">
        <v>45904</v>
      </c>
      <c r="D534" t="inlineStr">
        <is>
          <t>ÖSTERGÖTLANDS LÄN</t>
        </is>
      </c>
      <c r="E534" t="inlineStr">
        <is>
          <t>LINKÖPING</t>
        </is>
      </c>
      <c r="G534" t="n">
        <v>4.6</v>
      </c>
      <c r="H534" t="n">
        <v>0</v>
      </c>
      <c r="I534" t="n">
        <v>0</v>
      </c>
      <c r="J534" t="n">
        <v>0</v>
      </c>
      <c r="K534" t="n">
        <v>0</v>
      </c>
      <c r="L534" t="n">
        <v>0</v>
      </c>
      <c r="M534" t="n">
        <v>0</v>
      </c>
      <c r="N534" t="n">
        <v>0</v>
      </c>
      <c r="O534" t="n">
        <v>0</v>
      </c>
      <c r="P534" t="n">
        <v>0</v>
      </c>
      <c r="Q534" t="n">
        <v>0</v>
      </c>
      <c r="R534" s="2" t="inlineStr"/>
    </row>
    <row r="535" ht="15" customHeight="1">
      <c r="A535" t="inlineStr">
        <is>
          <t>A 62687-2023</t>
        </is>
      </c>
      <c r="B535" s="1" t="n">
        <v>45271</v>
      </c>
      <c r="C535" s="1" t="n">
        <v>45904</v>
      </c>
      <c r="D535" t="inlineStr">
        <is>
          <t>ÖSTERGÖTLANDS LÄN</t>
        </is>
      </c>
      <c r="E535" t="inlineStr">
        <is>
          <t>LINKÖPING</t>
        </is>
      </c>
      <c r="G535" t="n">
        <v>1.4</v>
      </c>
      <c r="H535" t="n">
        <v>0</v>
      </c>
      <c r="I535" t="n">
        <v>0</v>
      </c>
      <c r="J535" t="n">
        <v>0</v>
      </c>
      <c r="K535" t="n">
        <v>0</v>
      </c>
      <c r="L535" t="n">
        <v>0</v>
      </c>
      <c r="M535" t="n">
        <v>0</v>
      </c>
      <c r="N535" t="n">
        <v>0</v>
      </c>
      <c r="O535" t="n">
        <v>0</v>
      </c>
      <c r="P535" t="n">
        <v>0</v>
      </c>
      <c r="Q535" t="n">
        <v>0</v>
      </c>
      <c r="R535" s="2" t="inlineStr"/>
    </row>
    <row r="536" ht="15" customHeight="1">
      <c r="A536" t="inlineStr">
        <is>
          <t>A 34641-2022</t>
        </is>
      </c>
      <c r="B536" s="1" t="n">
        <v>44795</v>
      </c>
      <c r="C536" s="1" t="n">
        <v>45904</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938-2023</t>
        </is>
      </c>
      <c r="B537" s="1" t="n">
        <v>44933</v>
      </c>
      <c r="C537" s="1" t="n">
        <v>45904</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2389-2023</t>
        </is>
      </c>
      <c r="B538" s="1" t="n">
        <v>44942</v>
      </c>
      <c r="C538" s="1" t="n">
        <v>45904</v>
      </c>
      <c r="D538" t="inlineStr">
        <is>
          <t>ÖSTERGÖTLANDS LÄN</t>
        </is>
      </c>
      <c r="E538" t="inlineStr">
        <is>
          <t>LINKÖPING</t>
        </is>
      </c>
      <c r="G538" t="n">
        <v>3.3</v>
      </c>
      <c r="H538" t="n">
        <v>0</v>
      </c>
      <c r="I538" t="n">
        <v>0</v>
      </c>
      <c r="J538" t="n">
        <v>0</v>
      </c>
      <c r="K538" t="n">
        <v>0</v>
      </c>
      <c r="L538" t="n">
        <v>0</v>
      </c>
      <c r="M538" t="n">
        <v>0</v>
      </c>
      <c r="N538" t="n">
        <v>0</v>
      </c>
      <c r="O538" t="n">
        <v>0</v>
      </c>
      <c r="P538" t="n">
        <v>0</v>
      </c>
      <c r="Q538" t="n">
        <v>0</v>
      </c>
      <c r="R538" s="2" t="inlineStr"/>
    </row>
    <row r="539" ht="15" customHeight="1">
      <c r="A539" t="inlineStr">
        <is>
          <t>A 48-2024</t>
        </is>
      </c>
      <c r="B539" s="1" t="n">
        <v>45293</v>
      </c>
      <c r="C539" s="1" t="n">
        <v>45904</v>
      </c>
      <c r="D539" t="inlineStr">
        <is>
          <t>ÖSTERGÖTLANDS LÄN</t>
        </is>
      </c>
      <c r="E539" t="inlineStr">
        <is>
          <t>LINKÖPING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45771-2023</t>
        </is>
      </c>
      <c r="B540" s="1" t="n">
        <v>45195.4384375</v>
      </c>
      <c r="C540" s="1" t="n">
        <v>45904</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45111.75905092592</v>
      </c>
      <c r="C541" s="1" t="n">
        <v>45904</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40502-2024</t>
        </is>
      </c>
      <c r="B542" s="1" t="n">
        <v>45555.57263888889</v>
      </c>
      <c r="C542" s="1" t="n">
        <v>45904</v>
      </c>
      <c r="D542" t="inlineStr">
        <is>
          <t>ÖSTERGÖTLANDS LÄN</t>
        </is>
      </c>
      <c r="E542" t="inlineStr">
        <is>
          <t>LINKÖPING</t>
        </is>
      </c>
      <c r="F542" t="inlineStr">
        <is>
          <t>Allmännings- och besparingsskogar</t>
        </is>
      </c>
      <c r="G542" t="n">
        <v>17.5</v>
      </c>
      <c r="H542" t="n">
        <v>0</v>
      </c>
      <c r="I542" t="n">
        <v>0</v>
      </c>
      <c r="J542" t="n">
        <v>0</v>
      </c>
      <c r="K542" t="n">
        <v>0</v>
      </c>
      <c r="L542" t="n">
        <v>0</v>
      </c>
      <c r="M542" t="n">
        <v>0</v>
      </c>
      <c r="N542" t="n">
        <v>0</v>
      </c>
      <c r="O542" t="n">
        <v>0</v>
      </c>
      <c r="P542" t="n">
        <v>0</v>
      </c>
      <c r="Q542" t="n">
        <v>0</v>
      </c>
      <c r="R542" s="2" t="inlineStr"/>
    </row>
    <row r="543" ht="15" customHeight="1">
      <c r="A543" t="inlineStr">
        <is>
          <t>A 48186-2022</t>
        </is>
      </c>
      <c r="B543" s="1" t="n">
        <v>44858</v>
      </c>
      <c r="C543" s="1" t="n">
        <v>45904</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63669-2023</t>
        </is>
      </c>
      <c r="B544" s="1" t="n">
        <v>45275</v>
      </c>
      <c r="C544" s="1" t="n">
        <v>45904</v>
      </c>
      <c r="D544" t="inlineStr">
        <is>
          <t>ÖSTERGÖTLANDS LÄN</t>
        </is>
      </c>
      <c r="E544" t="inlineStr">
        <is>
          <t>LINKÖPING</t>
        </is>
      </c>
      <c r="F544" t="inlineStr">
        <is>
          <t>Övriga Aktiebolag</t>
        </is>
      </c>
      <c r="G544" t="n">
        <v>3</v>
      </c>
      <c r="H544" t="n">
        <v>0</v>
      </c>
      <c r="I544" t="n">
        <v>0</v>
      </c>
      <c r="J544" t="n">
        <v>0</v>
      </c>
      <c r="K544" t="n">
        <v>0</v>
      </c>
      <c r="L544" t="n">
        <v>0</v>
      </c>
      <c r="M544" t="n">
        <v>0</v>
      </c>
      <c r="N544" t="n">
        <v>0</v>
      </c>
      <c r="O544" t="n">
        <v>0</v>
      </c>
      <c r="P544" t="n">
        <v>0</v>
      </c>
      <c r="Q544" t="n">
        <v>0</v>
      </c>
      <c r="R544" s="2" t="inlineStr"/>
    </row>
    <row r="545" ht="15" customHeight="1">
      <c r="A545" t="inlineStr">
        <is>
          <t>A 24464-2023</t>
        </is>
      </c>
      <c r="B545" s="1" t="n">
        <v>45082.58068287037</v>
      </c>
      <c r="C545" s="1" t="n">
        <v>45904</v>
      </c>
      <c r="D545" t="inlineStr">
        <is>
          <t>ÖSTERGÖTLANDS LÄN</t>
        </is>
      </c>
      <c r="E545" t="inlineStr">
        <is>
          <t>LINKÖPING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24467-2023</t>
        </is>
      </c>
      <c r="B546" s="1" t="n">
        <v>45082</v>
      </c>
      <c r="C546" s="1" t="n">
        <v>45904</v>
      </c>
      <c r="D546" t="inlineStr">
        <is>
          <t>ÖSTERGÖTLANDS LÄN</t>
        </is>
      </c>
      <c r="E546" t="inlineStr">
        <is>
          <t>LINKÖPING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24586-2024</t>
        </is>
      </c>
      <c r="B547" s="1" t="n">
        <v>45460.46664351852</v>
      </c>
      <c r="C547" s="1" t="n">
        <v>45904</v>
      </c>
      <c r="D547" t="inlineStr">
        <is>
          <t>ÖSTERGÖTLANDS LÄN</t>
        </is>
      </c>
      <c r="E547" t="inlineStr">
        <is>
          <t>LINKÖPING</t>
        </is>
      </c>
      <c r="G547" t="n">
        <v>4</v>
      </c>
      <c r="H547" t="n">
        <v>0</v>
      </c>
      <c r="I547" t="n">
        <v>0</v>
      </c>
      <c r="J547" t="n">
        <v>0</v>
      </c>
      <c r="K547" t="n">
        <v>0</v>
      </c>
      <c r="L547" t="n">
        <v>0</v>
      </c>
      <c r="M547" t="n">
        <v>0</v>
      </c>
      <c r="N547" t="n">
        <v>0</v>
      </c>
      <c r="O547" t="n">
        <v>0</v>
      </c>
      <c r="P547" t="n">
        <v>0</v>
      </c>
      <c r="Q547" t="n">
        <v>0</v>
      </c>
      <c r="R547" s="2" t="inlineStr"/>
    </row>
    <row r="548" ht="15" customHeight="1">
      <c r="A548" t="inlineStr">
        <is>
          <t>A 59576-2024</t>
        </is>
      </c>
      <c r="B548" s="1" t="n">
        <v>45638.66378472222</v>
      </c>
      <c r="C548" s="1" t="n">
        <v>45904</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59642-2024</t>
        </is>
      </c>
      <c r="B549" s="1" t="n">
        <v>45639.31511574074</v>
      </c>
      <c r="C549" s="1" t="n">
        <v>45904</v>
      </c>
      <c r="D549" t="inlineStr">
        <is>
          <t>ÖSTERGÖTLANDS LÄN</t>
        </is>
      </c>
      <c r="E549" t="inlineStr">
        <is>
          <t>LINKÖPING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59674-2024</t>
        </is>
      </c>
      <c r="B550" s="1" t="n">
        <v>45639</v>
      </c>
      <c r="C550" s="1" t="n">
        <v>45904</v>
      </c>
      <c r="D550" t="inlineStr">
        <is>
          <t>ÖSTERGÖTLANDS LÄN</t>
        </is>
      </c>
      <c r="E550" t="inlineStr">
        <is>
          <t>LINKÖPING</t>
        </is>
      </c>
      <c r="G550" t="n">
        <v>6.3</v>
      </c>
      <c r="H550" t="n">
        <v>0</v>
      </c>
      <c r="I550" t="n">
        <v>0</v>
      </c>
      <c r="J550" t="n">
        <v>0</v>
      </c>
      <c r="K550" t="n">
        <v>0</v>
      </c>
      <c r="L550" t="n">
        <v>0</v>
      </c>
      <c r="M550" t="n">
        <v>0</v>
      </c>
      <c r="N550" t="n">
        <v>0</v>
      </c>
      <c r="O550" t="n">
        <v>0</v>
      </c>
      <c r="P550" t="n">
        <v>0</v>
      </c>
      <c r="Q550" t="n">
        <v>0</v>
      </c>
      <c r="R550" s="2" t="inlineStr"/>
    </row>
    <row r="551" ht="15" customHeight="1">
      <c r="A551" t="inlineStr">
        <is>
          <t>A 48389-2024</t>
        </is>
      </c>
      <c r="B551" s="1" t="n">
        <v>45590.59991898148</v>
      </c>
      <c r="C551" s="1" t="n">
        <v>45904</v>
      </c>
      <c r="D551" t="inlineStr">
        <is>
          <t>ÖSTERGÖTLANDS LÄN</t>
        </is>
      </c>
      <c r="E551" t="inlineStr">
        <is>
          <t>LINKÖPING</t>
        </is>
      </c>
      <c r="G551" t="n">
        <v>2.6</v>
      </c>
      <c r="H551" t="n">
        <v>0</v>
      </c>
      <c r="I551" t="n">
        <v>0</v>
      </c>
      <c r="J551" t="n">
        <v>0</v>
      </c>
      <c r="K551" t="n">
        <v>0</v>
      </c>
      <c r="L551" t="n">
        <v>0</v>
      </c>
      <c r="M551" t="n">
        <v>0</v>
      </c>
      <c r="N551" t="n">
        <v>0</v>
      </c>
      <c r="O551" t="n">
        <v>0</v>
      </c>
      <c r="P551" t="n">
        <v>0</v>
      </c>
      <c r="Q551" t="n">
        <v>0</v>
      </c>
      <c r="R551" s="2" t="inlineStr"/>
    </row>
    <row r="552" ht="15" customHeight="1">
      <c r="A552" t="inlineStr">
        <is>
          <t>A 3742-2021</t>
        </is>
      </c>
      <c r="B552" s="1" t="n">
        <v>44221</v>
      </c>
      <c r="C552" s="1" t="n">
        <v>45904</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18916-2024</t>
        </is>
      </c>
      <c r="B553" s="1" t="n">
        <v>45427.39541666667</v>
      </c>
      <c r="C553" s="1" t="n">
        <v>45904</v>
      </c>
      <c r="D553" t="inlineStr">
        <is>
          <t>ÖSTERGÖTLANDS LÄN</t>
        </is>
      </c>
      <c r="E553" t="inlineStr">
        <is>
          <t>LINKÖPING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56792-2023</t>
        </is>
      </c>
      <c r="B554" s="1" t="n">
        <v>45244</v>
      </c>
      <c r="C554" s="1" t="n">
        <v>45904</v>
      </c>
      <c r="D554" t="inlineStr">
        <is>
          <t>ÖSTERGÖTLANDS LÄN</t>
        </is>
      </c>
      <c r="E554" t="inlineStr">
        <is>
          <t>LINKÖPING</t>
        </is>
      </c>
      <c r="F554" t="inlineStr">
        <is>
          <t>Övriga Aktiebolag</t>
        </is>
      </c>
      <c r="G554" t="n">
        <v>0.9</v>
      </c>
      <c r="H554" t="n">
        <v>0</v>
      </c>
      <c r="I554" t="n">
        <v>0</v>
      </c>
      <c r="J554" t="n">
        <v>0</v>
      </c>
      <c r="K554" t="n">
        <v>0</v>
      </c>
      <c r="L554" t="n">
        <v>0</v>
      </c>
      <c r="M554" t="n">
        <v>0</v>
      </c>
      <c r="N554" t="n">
        <v>0</v>
      </c>
      <c r="O554" t="n">
        <v>0</v>
      </c>
      <c r="P554" t="n">
        <v>0</v>
      </c>
      <c r="Q554" t="n">
        <v>0</v>
      </c>
      <c r="R554" s="2" t="inlineStr"/>
    </row>
    <row r="555" ht="15" customHeight="1">
      <c r="A555" t="inlineStr">
        <is>
          <t>A 11084-2022</t>
        </is>
      </c>
      <c r="B555" s="1" t="n">
        <v>44628</v>
      </c>
      <c r="C555" s="1" t="n">
        <v>45904</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39017-2021</t>
        </is>
      </c>
      <c r="B556" s="1" t="n">
        <v>44412</v>
      </c>
      <c r="C556" s="1" t="n">
        <v>45904</v>
      </c>
      <c r="D556" t="inlineStr">
        <is>
          <t>ÖSTERGÖTLANDS LÄN</t>
        </is>
      </c>
      <c r="E556" t="inlineStr">
        <is>
          <t>LINKÖPING</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25292-2021</t>
        </is>
      </c>
      <c r="B557" s="1" t="n">
        <v>44342</v>
      </c>
      <c r="C557" s="1" t="n">
        <v>45904</v>
      </c>
      <c r="D557" t="inlineStr">
        <is>
          <t>ÖSTERGÖTLANDS LÄN</t>
        </is>
      </c>
      <c r="E557" t="inlineStr">
        <is>
          <t>LINKÖPING</t>
        </is>
      </c>
      <c r="F557" t="inlineStr">
        <is>
          <t>Övriga Aktiebolag</t>
        </is>
      </c>
      <c r="G557" t="n">
        <v>12.8</v>
      </c>
      <c r="H557" t="n">
        <v>0</v>
      </c>
      <c r="I557" t="n">
        <v>0</v>
      </c>
      <c r="J557" t="n">
        <v>0</v>
      </c>
      <c r="K557" t="n">
        <v>0</v>
      </c>
      <c r="L557" t="n">
        <v>0</v>
      </c>
      <c r="M557" t="n">
        <v>0</v>
      </c>
      <c r="N557" t="n">
        <v>0</v>
      </c>
      <c r="O557" t="n">
        <v>0</v>
      </c>
      <c r="P557" t="n">
        <v>0</v>
      </c>
      <c r="Q557" t="n">
        <v>0</v>
      </c>
      <c r="R557" s="2" t="inlineStr"/>
    </row>
    <row r="558" ht="15" customHeight="1">
      <c r="A558" t="inlineStr">
        <is>
          <t>A 10203-2023</t>
        </is>
      </c>
      <c r="B558" s="1" t="n">
        <v>44986.55711805556</v>
      </c>
      <c r="C558" s="1" t="n">
        <v>45904</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1260-2023</t>
        </is>
      </c>
      <c r="B559" s="1" t="n">
        <v>44936</v>
      </c>
      <c r="C559" s="1" t="n">
        <v>45904</v>
      </c>
      <c r="D559" t="inlineStr">
        <is>
          <t>ÖSTERGÖTLANDS LÄN</t>
        </is>
      </c>
      <c r="E559" t="inlineStr">
        <is>
          <t>LINKÖPING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1355-2023</t>
        </is>
      </c>
      <c r="B560" s="1" t="n">
        <v>44931</v>
      </c>
      <c r="C560" s="1" t="n">
        <v>45904</v>
      </c>
      <c r="D560" t="inlineStr">
        <is>
          <t>ÖSTERGÖTLANDS LÄN</t>
        </is>
      </c>
      <c r="E560" t="inlineStr">
        <is>
          <t>LINKÖPING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2618-2023</t>
        </is>
      </c>
      <c r="B561" s="1" t="n">
        <v>44944.35847222222</v>
      </c>
      <c r="C561" s="1" t="n">
        <v>45904</v>
      </c>
      <c r="D561" t="inlineStr">
        <is>
          <t>ÖSTERGÖTLANDS LÄN</t>
        </is>
      </c>
      <c r="E561" t="inlineStr">
        <is>
          <t>LINKÖPING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3007-2025</t>
        </is>
      </c>
      <c r="B562" s="1" t="n">
        <v>45678.56328703704</v>
      </c>
      <c r="C562" s="1" t="n">
        <v>45904</v>
      </c>
      <c r="D562" t="inlineStr">
        <is>
          <t>ÖSTERGÖTLANDS LÄN</t>
        </is>
      </c>
      <c r="E562" t="inlineStr">
        <is>
          <t>LINKÖPING</t>
        </is>
      </c>
      <c r="G562" t="n">
        <v>3.1</v>
      </c>
      <c r="H562" t="n">
        <v>0</v>
      </c>
      <c r="I562" t="n">
        <v>0</v>
      </c>
      <c r="J562" t="n">
        <v>0</v>
      </c>
      <c r="K562" t="n">
        <v>0</v>
      </c>
      <c r="L562" t="n">
        <v>0</v>
      </c>
      <c r="M562" t="n">
        <v>0</v>
      </c>
      <c r="N562" t="n">
        <v>0</v>
      </c>
      <c r="O562" t="n">
        <v>0</v>
      </c>
      <c r="P562" t="n">
        <v>0</v>
      </c>
      <c r="Q562" t="n">
        <v>0</v>
      </c>
      <c r="R562" s="2" t="inlineStr"/>
    </row>
    <row r="563" ht="15" customHeight="1">
      <c r="A563" t="inlineStr">
        <is>
          <t>A 62020-2024</t>
        </is>
      </c>
      <c r="B563" s="1" t="n">
        <v>45655.83563657408</v>
      </c>
      <c r="C563" s="1" t="n">
        <v>45904</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62021-2024</t>
        </is>
      </c>
      <c r="B564" s="1" t="n">
        <v>45655.84232638889</v>
      </c>
      <c r="C564" s="1" t="n">
        <v>45904</v>
      </c>
      <c r="D564" t="inlineStr">
        <is>
          <t>ÖSTERGÖTLANDS LÄN</t>
        </is>
      </c>
      <c r="E564" t="inlineStr">
        <is>
          <t>LINKÖPING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10492-2022</t>
        </is>
      </c>
      <c r="B565" s="1" t="n">
        <v>44623.6377199074</v>
      </c>
      <c r="C565" s="1" t="n">
        <v>45904</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30465-2023</t>
        </is>
      </c>
      <c r="B566" s="1" t="n">
        <v>45111</v>
      </c>
      <c r="C566" s="1" t="n">
        <v>45904</v>
      </c>
      <c r="D566" t="inlineStr">
        <is>
          <t>ÖSTERGÖTLANDS LÄN</t>
        </is>
      </c>
      <c r="E566" t="inlineStr">
        <is>
          <t>LINKÖPING</t>
        </is>
      </c>
      <c r="F566" t="inlineStr">
        <is>
          <t>Övriga Aktiebolag</t>
        </is>
      </c>
      <c r="G566" t="n">
        <v>0.7</v>
      </c>
      <c r="H566" t="n">
        <v>0</v>
      </c>
      <c r="I566" t="n">
        <v>0</v>
      </c>
      <c r="J566" t="n">
        <v>0</v>
      </c>
      <c r="K566" t="n">
        <v>0</v>
      </c>
      <c r="L566" t="n">
        <v>0</v>
      </c>
      <c r="M566" t="n">
        <v>0</v>
      </c>
      <c r="N566" t="n">
        <v>0</v>
      </c>
      <c r="O566" t="n">
        <v>0</v>
      </c>
      <c r="P566" t="n">
        <v>0</v>
      </c>
      <c r="Q566" t="n">
        <v>0</v>
      </c>
      <c r="R566" s="2" t="inlineStr"/>
    </row>
    <row r="567" ht="15" customHeight="1">
      <c r="A567" t="inlineStr">
        <is>
          <t>A 39457-2023</t>
        </is>
      </c>
      <c r="B567" s="1" t="n">
        <v>45166</v>
      </c>
      <c r="C567" s="1" t="n">
        <v>45904</v>
      </c>
      <c r="D567" t="inlineStr">
        <is>
          <t>ÖSTERGÖTLANDS LÄN</t>
        </is>
      </c>
      <c r="E567" t="inlineStr">
        <is>
          <t>LINKÖPING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39021-2021</t>
        </is>
      </c>
      <c r="B568" s="1" t="n">
        <v>44412</v>
      </c>
      <c r="C568" s="1" t="n">
        <v>45904</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62353-2022</t>
        </is>
      </c>
      <c r="B569" s="1" t="n">
        <v>44923</v>
      </c>
      <c r="C569" s="1" t="n">
        <v>45904</v>
      </c>
      <c r="D569" t="inlineStr">
        <is>
          <t>ÖSTERGÖTLANDS LÄN</t>
        </is>
      </c>
      <c r="E569" t="inlineStr">
        <is>
          <t>LINKÖPING</t>
        </is>
      </c>
      <c r="F569" t="inlineStr">
        <is>
          <t>Allmännings- och besparingsskogar</t>
        </is>
      </c>
      <c r="G569" t="n">
        <v>1.7</v>
      </c>
      <c r="H569" t="n">
        <v>0</v>
      </c>
      <c r="I569" t="n">
        <v>0</v>
      </c>
      <c r="J569" t="n">
        <v>0</v>
      </c>
      <c r="K569" t="n">
        <v>0</v>
      </c>
      <c r="L569" t="n">
        <v>0</v>
      </c>
      <c r="M569" t="n">
        <v>0</v>
      </c>
      <c r="N569" t="n">
        <v>0</v>
      </c>
      <c r="O569" t="n">
        <v>0</v>
      </c>
      <c r="P569" t="n">
        <v>0</v>
      </c>
      <c r="Q569" t="n">
        <v>0</v>
      </c>
      <c r="R569" s="2" t="inlineStr"/>
    </row>
    <row r="570" ht="15" customHeight="1">
      <c r="A570" t="inlineStr">
        <is>
          <t>A 30111-2024</t>
        </is>
      </c>
      <c r="B570" s="1" t="n">
        <v>45489.46947916667</v>
      </c>
      <c r="C570" s="1" t="n">
        <v>45904</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30119-2024</t>
        </is>
      </c>
      <c r="B571" s="1" t="n">
        <v>45489</v>
      </c>
      <c r="C571" s="1" t="n">
        <v>45904</v>
      </c>
      <c r="D571" t="inlineStr">
        <is>
          <t>ÖSTERGÖTLANDS LÄN</t>
        </is>
      </c>
      <c r="E571" t="inlineStr">
        <is>
          <t>LINKÖPING</t>
        </is>
      </c>
      <c r="G571" t="n">
        <v>1.7</v>
      </c>
      <c r="H571" t="n">
        <v>0</v>
      </c>
      <c r="I571" t="n">
        <v>0</v>
      </c>
      <c r="J571" t="n">
        <v>0</v>
      </c>
      <c r="K571" t="n">
        <v>0</v>
      </c>
      <c r="L571" t="n">
        <v>0</v>
      </c>
      <c r="M571" t="n">
        <v>0</v>
      </c>
      <c r="N571" t="n">
        <v>0</v>
      </c>
      <c r="O571" t="n">
        <v>0</v>
      </c>
      <c r="P571" t="n">
        <v>0</v>
      </c>
      <c r="Q571" t="n">
        <v>0</v>
      </c>
      <c r="R571" s="2" t="inlineStr"/>
    </row>
    <row r="572" ht="15" customHeight="1">
      <c r="A572" t="inlineStr">
        <is>
          <t>A 29411-2023</t>
        </is>
      </c>
      <c r="B572" s="1" t="n">
        <v>45106.46225694445</v>
      </c>
      <c r="C572" s="1" t="n">
        <v>45904</v>
      </c>
      <c r="D572" t="inlineStr">
        <is>
          <t>ÖSTERGÖTLANDS LÄN</t>
        </is>
      </c>
      <c r="E572" t="inlineStr">
        <is>
          <t>LINKÖPING</t>
        </is>
      </c>
      <c r="G572" t="n">
        <v>2.5</v>
      </c>
      <c r="H572" t="n">
        <v>0</v>
      </c>
      <c r="I572" t="n">
        <v>0</v>
      </c>
      <c r="J572" t="n">
        <v>0</v>
      </c>
      <c r="K572" t="n">
        <v>0</v>
      </c>
      <c r="L572" t="n">
        <v>0</v>
      </c>
      <c r="M572" t="n">
        <v>0</v>
      </c>
      <c r="N572" t="n">
        <v>0</v>
      </c>
      <c r="O572" t="n">
        <v>0</v>
      </c>
      <c r="P572" t="n">
        <v>0</v>
      </c>
      <c r="Q572" t="n">
        <v>0</v>
      </c>
      <c r="R572" s="2" t="inlineStr"/>
    </row>
    <row r="573" ht="15" customHeight="1">
      <c r="A573" t="inlineStr">
        <is>
          <t>A 29412-2023</t>
        </is>
      </c>
      <c r="B573" s="1" t="n">
        <v>45106.46359953703</v>
      </c>
      <c r="C573" s="1" t="n">
        <v>45904</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1362-2023</t>
        </is>
      </c>
      <c r="B574" s="1" t="n">
        <v>44931</v>
      </c>
      <c r="C574" s="1" t="n">
        <v>45904</v>
      </c>
      <c r="D574" t="inlineStr">
        <is>
          <t>ÖSTERGÖTLANDS LÄN</t>
        </is>
      </c>
      <c r="E574" t="inlineStr">
        <is>
          <t>LINKÖPING</t>
        </is>
      </c>
      <c r="G574" t="n">
        <v>1.8</v>
      </c>
      <c r="H574" t="n">
        <v>0</v>
      </c>
      <c r="I574" t="n">
        <v>0</v>
      </c>
      <c r="J574" t="n">
        <v>0</v>
      </c>
      <c r="K574" t="n">
        <v>0</v>
      </c>
      <c r="L574" t="n">
        <v>0</v>
      </c>
      <c r="M574" t="n">
        <v>0</v>
      </c>
      <c r="N574" t="n">
        <v>0</v>
      </c>
      <c r="O574" t="n">
        <v>0</v>
      </c>
      <c r="P574" t="n">
        <v>0</v>
      </c>
      <c r="Q574" t="n">
        <v>0</v>
      </c>
      <c r="R574" s="2" t="inlineStr"/>
    </row>
    <row r="575" ht="15" customHeight="1">
      <c r="A575" t="inlineStr">
        <is>
          <t>A 31792-2021</t>
        </is>
      </c>
      <c r="B575" s="1" t="n">
        <v>44369</v>
      </c>
      <c r="C575" s="1" t="n">
        <v>45904</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421-2024</t>
        </is>
      </c>
      <c r="B576" s="1" t="n">
        <v>45296.51877314815</v>
      </c>
      <c r="C576" s="1" t="n">
        <v>45904</v>
      </c>
      <c r="D576" t="inlineStr">
        <is>
          <t>ÖSTERGÖTLANDS LÄN</t>
        </is>
      </c>
      <c r="E576" t="inlineStr">
        <is>
          <t>LINKÖPING</t>
        </is>
      </c>
      <c r="G576" t="n">
        <v>3.7</v>
      </c>
      <c r="H576" t="n">
        <v>0</v>
      </c>
      <c r="I576" t="n">
        <v>0</v>
      </c>
      <c r="J576" t="n">
        <v>0</v>
      </c>
      <c r="K576" t="n">
        <v>0</v>
      </c>
      <c r="L576" t="n">
        <v>0</v>
      </c>
      <c r="M576" t="n">
        <v>0</v>
      </c>
      <c r="N576" t="n">
        <v>0</v>
      </c>
      <c r="O576" t="n">
        <v>0</v>
      </c>
      <c r="P576" t="n">
        <v>0</v>
      </c>
      <c r="Q576" t="n">
        <v>0</v>
      </c>
      <c r="R576" s="2" t="inlineStr"/>
    </row>
    <row r="577" ht="15" customHeight="1">
      <c r="A577" t="inlineStr">
        <is>
          <t>A 22043-2023</t>
        </is>
      </c>
      <c r="B577" s="1" t="n">
        <v>45069.39050925926</v>
      </c>
      <c r="C577" s="1" t="n">
        <v>45904</v>
      </c>
      <c r="D577" t="inlineStr">
        <is>
          <t>ÖSTERGÖTLANDS LÄN</t>
        </is>
      </c>
      <c r="E577" t="inlineStr">
        <is>
          <t>LINKÖPING</t>
        </is>
      </c>
      <c r="G577" t="n">
        <v>5.9</v>
      </c>
      <c r="H577" t="n">
        <v>0</v>
      </c>
      <c r="I577" t="n">
        <v>0</v>
      </c>
      <c r="J577" t="n">
        <v>0</v>
      </c>
      <c r="K577" t="n">
        <v>0</v>
      </c>
      <c r="L577" t="n">
        <v>0</v>
      </c>
      <c r="M577" t="n">
        <v>0</v>
      </c>
      <c r="N577" t="n">
        <v>0</v>
      </c>
      <c r="O577" t="n">
        <v>0</v>
      </c>
      <c r="P577" t="n">
        <v>0</v>
      </c>
      <c r="Q577" t="n">
        <v>0</v>
      </c>
      <c r="R577" s="2" t="inlineStr"/>
    </row>
    <row r="578" ht="15" customHeight="1">
      <c r="A578" t="inlineStr">
        <is>
          <t>A 49928-2024</t>
        </is>
      </c>
      <c r="B578" s="1" t="n">
        <v>45597.57811342592</v>
      </c>
      <c r="C578" s="1" t="n">
        <v>45904</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3627-2023</t>
        </is>
      </c>
      <c r="B579" s="1" t="n">
        <v>44950.64782407408</v>
      </c>
      <c r="C579" s="1" t="n">
        <v>45904</v>
      </c>
      <c r="D579" t="inlineStr">
        <is>
          <t>ÖSTERGÖTLANDS LÄN</t>
        </is>
      </c>
      <c r="E579" t="inlineStr">
        <is>
          <t>LINKÖPING</t>
        </is>
      </c>
      <c r="G579" t="n">
        <v>3.1</v>
      </c>
      <c r="H579" t="n">
        <v>0</v>
      </c>
      <c r="I579" t="n">
        <v>0</v>
      </c>
      <c r="J579" t="n">
        <v>0</v>
      </c>
      <c r="K579" t="n">
        <v>0</v>
      </c>
      <c r="L579" t="n">
        <v>0</v>
      </c>
      <c r="M579" t="n">
        <v>0</v>
      </c>
      <c r="N579" t="n">
        <v>0</v>
      </c>
      <c r="O579" t="n">
        <v>0</v>
      </c>
      <c r="P579" t="n">
        <v>0</v>
      </c>
      <c r="Q579" t="n">
        <v>0</v>
      </c>
      <c r="R579" s="2" t="inlineStr"/>
    </row>
    <row r="580" ht="15" customHeight="1">
      <c r="A580" t="inlineStr">
        <is>
          <t>A 61532-2021</t>
        </is>
      </c>
      <c r="B580" s="1" t="n">
        <v>44501</v>
      </c>
      <c r="C580" s="1" t="n">
        <v>45904</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14028-2024</t>
        </is>
      </c>
      <c r="B581" s="1" t="n">
        <v>45392</v>
      </c>
      <c r="C581" s="1" t="n">
        <v>45904</v>
      </c>
      <c r="D581" t="inlineStr">
        <is>
          <t>ÖSTERGÖTLANDS LÄN</t>
        </is>
      </c>
      <c r="E581" t="inlineStr">
        <is>
          <t>LINKÖPING</t>
        </is>
      </c>
      <c r="G581" t="n">
        <v>1.7</v>
      </c>
      <c r="H581" t="n">
        <v>0</v>
      </c>
      <c r="I581" t="n">
        <v>0</v>
      </c>
      <c r="J581" t="n">
        <v>0</v>
      </c>
      <c r="K581" t="n">
        <v>0</v>
      </c>
      <c r="L581" t="n">
        <v>0</v>
      </c>
      <c r="M581" t="n">
        <v>0</v>
      </c>
      <c r="N581" t="n">
        <v>0</v>
      </c>
      <c r="O581" t="n">
        <v>0</v>
      </c>
      <c r="P581" t="n">
        <v>0</v>
      </c>
      <c r="Q581" t="n">
        <v>0</v>
      </c>
      <c r="R581" s="2" t="inlineStr"/>
    </row>
    <row r="582" ht="15" customHeight="1">
      <c r="A582" t="inlineStr">
        <is>
          <t>A 40431-2024</t>
        </is>
      </c>
      <c r="B582" s="1" t="n">
        <v>45555.47070601852</v>
      </c>
      <c r="C582" s="1" t="n">
        <v>45904</v>
      </c>
      <c r="D582" t="inlineStr">
        <is>
          <t>ÖSTERGÖTLANDS LÄN</t>
        </is>
      </c>
      <c r="E582" t="inlineStr">
        <is>
          <t>LINKÖPING</t>
        </is>
      </c>
      <c r="F582" t="inlineStr">
        <is>
          <t>Allmännings- och besparingsskogar</t>
        </is>
      </c>
      <c r="G582" t="n">
        <v>2.9</v>
      </c>
      <c r="H582" t="n">
        <v>0</v>
      </c>
      <c r="I582" t="n">
        <v>0</v>
      </c>
      <c r="J582" t="n">
        <v>0</v>
      </c>
      <c r="K582" t="n">
        <v>0</v>
      </c>
      <c r="L582" t="n">
        <v>0</v>
      </c>
      <c r="M582" t="n">
        <v>0</v>
      </c>
      <c r="N582" t="n">
        <v>0</v>
      </c>
      <c r="O582" t="n">
        <v>0</v>
      </c>
      <c r="P582" t="n">
        <v>0</v>
      </c>
      <c r="Q582" t="n">
        <v>0</v>
      </c>
      <c r="R582" s="2" t="inlineStr"/>
    </row>
    <row r="583" ht="15" customHeight="1">
      <c r="A583" t="inlineStr">
        <is>
          <t>A 51405-2023</t>
        </is>
      </c>
      <c r="B583" s="1" t="n">
        <v>45219</v>
      </c>
      <c r="C583" s="1" t="n">
        <v>45904</v>
      </c>
      <c r="D583" t="inlineStr">
        <is>
          <t>ÖSTERGÖTLANDS LÄN</t>
        </is>
      </c>
      <c r="E583" t="inlineStr">
        <is>
          <t>LINKÖPING</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11601-2023</t>
        </is>
      </c>
      <c r="B584" s="1" t="n">
        <v>44994</v>
      </c>
      <c r="C584" s="1" t="n">
        <v>45904</v>
      </c>
      <c r="D584" t="inlineStr">
        <is>
          <t>ÖSTERGÖTLANDS LÄN</t>
        </is>
      </c>
      <c r="E584" t="inlineStr">
        <is>
          <t>LINKÖPING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40338-2024</t>
        </is>
      </c>
      <c r="B585" s="1" t="n">
        <v>45555.32940972222</v>
      </c>
      <c r="C585" s="1" t="n">
        <v>45904</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60860-2024</t>
        </is>
      </c>
      <c r="B586" s="1" t="n">
        <v>45644.6893287037</v>
      </c>
      <c r="C586" s="1" t="n">
        <v>45904</v>
      </c>
      <c r="D586" t="inlineStr">
        <is>
          <t>ÖSTERGÖTLANDS LÄN</t>
        </is>
      </c>
      <c r="E586" t="inlineStr">
        <is>
          <t>LINKÖPING</t>
        </is>
      </c>
      <c r="G586" t="n">
        <v>1.3</v>
      </c>
      <c r="H586" t="n">
        <v>0</v>
      </c>
      <c r="I586" t="n">
        <v>0</v>
      </c>
      <c r="J586" t="n">
        <v>0</v>
      </c>
      <c r="K586" t="n">
        <v>0</v>
      </c>
      <c r="L586" t="n">
        <v>0</v>
      </c>
      <c r="M586" t="n">
        <v>0</v>
      </c>
      <c r="N586" t="n">
        <v>0</v>
      </c>
      <c r="O586" t="n">
        <v>0</v>
      </c>
      <c r="P586" t="n">
        <v>0</v>
      </c>
      <c r="Q586" t="n">
        <v>0</v>
      </c>
      <c r="R586" s="2" t="inlineStr"/>
    </row>
    <row r="587" ht="15" customHeight="1">
      <c r="A587" t="inlineStr">
        <is>
          <t>A 167-2024</t>
        </is>
      </c>
      <c r="B587" s="1" t="n">
        <v>45294</v>
      </c>
      <c r="C587" s="1" t="n">
        <v>45904</v>
      </c>
      <c r="D587" t="inlineStr">
        <is>
          <t>ÖSTERGÖTLANDS LÄN</t>
        </is>
      </c>
      <c r="E587" t="inlineStr">
        <is>
          <t>LINKÖPING</t>
        </is>
      </c>
      <c r="F587" t="inlineStr">
        <is>
          <t>Allmännings- och besparingsskogar</t>
        </is>
      </c>
      <c r="G587" t="n">
        <v>11.6</v>
      </c>
      <c r="H587" t="n">
        <v>0</v>
      </c>
      <c r="I587" t="n">
        <v>0</v>
      </c>
      <c r="J587" t="n">
        <v>0</v>
      </c>
      <c r="K587" t="n">
        <v>0</v>
      </c>
      <c r="L587" t="n">
        <v>0</v>
      </c>
      <c r="M587" t="n">
        <v>0</v>
      </c>
      <c r="N587" t="n">
        <v>0</v>
      </c>
      <c r="O587" t="n">
        <v>0</v>
      </c>
      <c r="P587" t="n">
        <v>0</v>
      </c>
      <c r="Q587" t="n">
        <v>0</v>
      </c>
      <c r="R587" s="2" t="inlineStr"/>
    </row>
    <row r="588" ht="15" customHeight="1">
      <c r="A588" t="inlineStr">
        <is>
          <t>A 2697-2023</t>
        </is>
      </c>
      <c r="B588" s="1" t="n">
        <v>44944</v>
      </c>
      <c r="C588" s="1" t="n">
        <v>45904</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27186-2021</t>
        </is>
      </c>
      <c r="B589" s="1" t="n">
        <v>44350.67715277777</v>
      </c>
      <c r="C589" s="1" t="n">
        <v>45904</v>
      </c>
      <c r="D589" t="inlineStr">
        <is>
          <t>ÖSTERGÖTLANDS LÄN</t>
        </is>
      </c>
      <c r="E589" t="inlineStr">
        <is>
          <t>LINKÖPING</t>
        </is>
      </c>
      <c r="F589" t="inlineStr">
        <is>
          <t>Allmännings- och besparingsskogar</t>
        </is>
      </c>
      <c r="G589" t="n">
        <v>1.4</v>
      </c>
      <c r="H589" t="n">
        <v>0</v>
      </c>
      <c r="I589" t="n">
        <v>0</v>
      </c>
      <c r="J589" t="n">
        <v>0</v>
      </c>
      <c r="K589" t="n">
        <v>0</v>
      </c>
      <c r="L589" t="n">
        <v>0</v>
      </c>
      <c r="M589" t="n">
        <v>0</v>
      </c>
      <c r="N589" t="n">
        <v>0</v>
      </c>
      <c r="O589" t="n">
        <v>0</v>
      </c>
      <c r="P589" t="n">
        <v>0</v>
      </c>
      <c r="Q589" t="n">
        <v>0</v>
      </c>
      <c r="R589" s="2" t="inlineStr"/>
    </row>
    <row r="590" ht="15" customHeight="1">
      <c r="A590" t="inlineStr">
        <is>
          <t>A 45806-2024</t>
        </is>
      </c>
      <c r="B590" s="1" t="n">
        <v>45579.69619212963</v>
      </c>
      <c r="C590" s="1" t="n">
        <v>45904</v>
      </c>
      <c r="D590" t="inlineStr">
        <is>
          <t>ÖSTERGÖTLANDS LÄN</t>
        </is>
      </c>
      <c r="E590" t="inlineStr">
        <is>
          <t>LINKÖPING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7343-2025</t>
        </is>
      </c>
      <c r="B591" s="1" t="n">
        <v>45703.67853009259</v>
      </c>
      <c r="C591" s="1" t="n">
        <v>45904</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56756-2023</t>
        </is>
      </c>
      <c r="B592" s="1" t="n">
        <v>45244</v>
      </c>
      <c r="C592" s="1" t="n">
        <v>45904</v>
      </c>
      <c r="D592" t="inlineStr">
        <is>
          <t>ÖSTERGÖTLANDS LÄN</t>
        </is>
      </c>
      <c r="E592" t="inlineStr">
        <is>
          <t>LINKÖPING</t>
        </is>
      </c>
      <c r="F592" t="inlineStr">
        <is>
          <t>Övriga Aktiebolag</t>
        </is>
      </c>
      <c r="G592" t="n">
        <v>0.8</v>
      </c>
      <c r="H592" t="n">
        <v>0</v>
      </c>
      <c r="I592" t="n">
        <v>0</v>
      </c>
      <c r="J592" t="n">
        <v>0</v>
      </c>
      <c r="K592" t="n">
        <v>0</v>
      </c>
      <c r="L592" t="n">
        <v>0</v>
      </c>
      <c r="M592" t="n">
        <v>0</v>
      </c>
      <c r="N592" t="n">
        <v>0</v>
      </c>
      <c r="O592" t="n">
        <v>0</v>
      </c>
      <c r="P592" t="n">
        <v>0</v>
      </c>
      <c r="Q592" t="n">
        <v>0</v>
      </c>
      <c r="R592" s="2" t="inlineStr"/>
    </row>
    <row r="593" ht="15" customHeight="1">
      <c r="A593" t="inlineStr">
        <is>
          <t>A 13691-2025</t>
        </is>
      </c>
      <c r="B593" s="1" t="n">
        <v>45737.31671296297</v>
      </c>
      <c r="C593" s="1" t="n">
        <v>45904</v>
      </c>
      <c r="D593" t="inlineStr">
        <is>
          <t>ÖSTERGÖTLANDS LÄN</t>
        </is>
      </c>
      <c r="E593" t="inlineStr">
        <is>
          <t>LINKÖPING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48271-2023</t>
        </is>
      </c>
      <c r="B594" s="1" t="n">
        <v>45205</v>
      </c>
      <c r="C594" s="1" t="n">
        <v>45904</v>
      </c>
      <c r="D594" t="inlineStr">
        <is>
          <t>ÖSTERGÖTLANDS LÄN</t>
        </is>
      </c>
      <c r="E594" t="inlineStr">
        <is>
          <t>LINKÖPING</t>
        </is>
      </c>
      <c r="G594" t="n">
        <v>3</v>
      </c>
      <c r="H594" t="n">
        <v>0</v>
      </c>
      <c r="I594" t="n">
        <v>0</v>
      </c>
      <c r="J594" t="n">
        <v>0</v>
      </c>
      <c r="K594" t="n">
        <v>0</v>
      </c>
      <c r="L594" t="n">
        <v>0</v>
      </c>
      <c r="M594" t="n">
        <v>0</v>
      </c>
      <c r="N594" t="n">
        <v>0</v>
      </c>
      <c r="O594" t="n">
        <v>0</v>
      </c>
      <c r="P594" t="n">
        <v>0</v>
      </c>
      <c r="Q594" t="n">
        <v>0</v>
      </c>
      <c r="R594" s="2" t="inlineStr"/>
    </row>
    <row r="595" ht="15" customHeight="1">
      <c r="A595" t="inlineStr">
        <is>
          <t>A 12720-2022</t>
        </is>
      </c>
      <c r="B595" s="1" t="n">
        <v>44641</v>
      </c>
      <c r="C595" s="1" t="n">
        <v>45904</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60985-2023</t>
        </is>
      </c>
      <c r="B596" s="1" t="n">
        <v>45261.48429398148</v>
      </c>
      <c r="C596" s="1" t="n">
        <v>45904</v>
      </c>
      <c r="D596" t="inlineStr">
        <is>
          <t>ÖSTERGÖTLANDS LÄN</t>
        </is>
      </c>
      <c r="E596" t="inlineStr">
        <is>
          <t>LINKÖPING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62018-2024</t>
        </is>
      </c>
      <c r="B597" s="1" t="n">
        <v>45655.81387731482</v>
      </c>
      <c r="C597" s="1" t="n">
        <v>45904</v>
      </c>
      <c r="D597" t="inlineStr">
        <is>
          <t>ÖSTERGÖTLANDS LÄN</t>
        </is>
      </c>
      <c r="E597" t="inlineStr">
        <is>
          <t>LINKÖPING</t>
        </is>
      </c>
      <c r="G597" t="n">
        <v>1.3</v>
      </c>
      <c r="H597" t="n">
        <v>0</v>
      </c>
      <c r="I597" t="n">
        <v>0</v>
      </c>
      <c r="J597" t="n">
        <v>0</v>
      </c>
      <c r="K597" t="n">
        <v>0</v>
      </c>
      <c r="L597" t="n">
        <v>0</v>
      </c>
      <c r="M597" t="n">
        <v>0</v>
      </c>
      <c r="N597" t="n">
        <v>0</v>
      </c>
      <c r="O597" t="n">
        <v>0</v>
      </c>
      <c r="P597" t="n">
        <v>0</v>
      </c>
      <c r="Q597" t="n">
        <v>0</v>
      </c>
      <c r="R597" s="2" t="inlineStr"/>
    </row>
    <row r="598" ht="15" customHeight="1">
      <c r="A598" t="inlineStr">
        <is>
          <t>A 24904-2024</t>
        </is>
      </c>
      <c r="B598" s="1" t="n">
        <v>45461</v>
      </c>
      <c r="C598" s="1" t="n">
        <v>45904</v>
      </c>
      <c r="D598" t="inlineStr">
        <is>
          <t>ÖSTERGÖTLANDS LÄN</t>
        </is>
      </c>
      <c r="E598" t="inlineStr">
        <is>
          <t>LINKÖPING</t>
        </is>
      </c>
      <c r="G598" t="n">
        <v>3.8</v>
      </c>
      <c r="H598" t="n">
        <v>0</v>
      </c>
      <c r="I598" t="n">
        <v>0</v>
      </c>
      <c r="J598" t="n">
        <v>0</v>
      </c>
      <c r="K598" t="n">
        <v>0</v>
      </c>
      <c r="L598" t="n">
        <v>0</v>
      </c>
      <c r="M598" t="n">
        <v>0</v>
      </c>
      <c r="N598" t="n">
        <v>0</v>
      </c>
      <c r="O598" t="n">
        <v>0</v>
      </c>
      <c r="P598" t="n">
        <v>0</v>
      </c>
      <c r="Q598" t="n">
        <v>0</v>
      </c>
      <c r="R598" s="2" t="inlineStr"/>
    </row>
    <row r="599" ht="15" customHeight="1">
      <c r="A599" t="inlineStr">
        <is>
          <t>A 55009-2023</t>
        </is>
      </c>
      <c r="B599" s="1" t="n">
        <v>45237</v>
      </c>
      <c r="C599" s="1" t="n">
        <v>45904</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34872-2023</t>
        </is>
      </c>
      <c r="B600" s="1" t="n">
        <v>45140</v>
      </c>
      <c r="C600" s="1" t="n">
        <v>45904</v>
      </c>
      <c r="D600" t="inlineStr">
        <is>
          <t>ÖSTERGÖTLANDS LÄN</t>
        </is>
      </c>
      <c r="E600" t="inlineStr">
        <is>
          <t>LINKÖPING</t>
        </is>
      </c>
      <c r="G600" t="n">
        <v>4.8</v>
      </c>
      <c r="H600" t="n">
        <v>0</v>
      </c>
      <c r="I600" t="n">
        <v>0</v>
      </c>
      <c r="J600" t="n">
        <v>0</v>
      </c>
      <c r="K600" t="n">
        <v>0</v>
      </c>
      <c r="L600" t="n">
        <v>0</v>
      </c>
      <c r="M600" t="n">
        <v>0</v>
      </c>
      <c r="N600" t="n">
        <v>0</v>
      </c>
      <c r="O600" t="n">
        <v>0</v>
      </c>
      <c r="P600" t="n">
        <v>0</v>
      </c>
      <c r="Q600" t="n">
        <v>0</v>
      </c>
      <c r="R600" s="2" t="inlineStr"/>
    </row>
    <row r="601" ht="15" customHeight="1">
      <c r="A601" t="inlineStr">
        <is>
          <t>A 30551-2023</t>
        </is>
      </c>
      <c r="B601" s="1" t="n">
        <v>45111</v>
      </c>
      <c r="C601" s="1" t="n">
        <v>45904</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30860-2022</t>
        </is>
      </c>
      <c r="B602" s="1" t="n">
        <v>44767</v>
      </c>
      <c r="C602" s="1" t="n">
        <v>45904</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60004-2022</t>
        </is>
      </c>
      <c r="B603" s="1" t="n">
        <v>44909.47206018519</v>
      </c>
      <c r="C603" s="1" t="n">
        <v>45904</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60010-2022</t>
        </is>
      </c>
      <c r="B604" s="1" t="n">
        <v>44909.4740625</v>
      </c>
      <c r="C604" s="1" t="n">
        <v>45904</v>
      </c>
      <c r="D604" t="inlineStr">
        <is>
          <t>ÖSTERGÖTLANDS LÄN</t>
        </is>
      </c>
      <c r="E604" t="inlineStr">
        <is>
          <t>LINKÖPING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53827-2023</t>
        </is>
      </c>
      <c r="B605" s="1" t="n">
        <v>45230</v>
      </c>
      <c r="C605" s="1" t="n">
        <v>45904</v>
      </c>
      <c r="D605" t="inlineStr">
        <is>
          <t>ÖSTERGÖTLANDS LÄN</t>
        </is>
      </c>
      <c r="E605" t="inlineStr">
        <is>
          <t>LINKÖPING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36336-2022</t>
        </is>
      </c>
      <c r="B606" s="1" t="n">
        <v>44803</v>
      </c>
      <c r="C606" s="1" t="n">
        <v>45904</v>
      </c>
      <c r="D606" t="inlineStr">
        <is>
          <t>ÖSTERGÖTLANDS LÄN</t>
        </is>
      </c>
      <c r="E606" t="inlineStr">
        <is>
          <t>LINKÖPING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4256-2022</t>
        </is>
      </c>
      <c r="B607" s="1" t="n">
        <v>44588</v>
      </c>
      <c r="C607" s="1" t="n">
        <v>45904</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61649-2023</t>
        </is>
      </c>
      <c r="B608" s="1" t="n">
        <v>45265</v>
      </c>
      <c r="C608" s="1" t="n">
        <v>45904</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50471-2024</t>
        </is>
      </c>
      <c r="B609" s="1" t="n">
        <v>45601.47166666666</v>
      </c>
      <c r="C609" s="1" t="n">
        <v>45904</v>
      </c>
      <c r="D609" t="inlineStr">
        <is>
          <t>ÖSTERGÖTLANDS LÄN</t>
        </is>
      </c>
      <c r="E609" t="inlineStr">
        <is>
          <t>LINKÖPING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25097-2023</t>
        </is>
      </c>
      <c r="B610" s="1" t="n">
        <v>45086</v>
      </c>
      <c r="C610" s="1" t="n">
        <v>45904</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223-2024</t>
        </is>
      </c>
      <c r="B611" s="1" t="n">
        <v>45294.72739583333</v>
      </c>
      <c r="C611" s="1" t="n">
        <v>45904</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10461-2023</t>
        </is>
      </c>
      <c r="B612" s="1" t="n">
        <v>44987.5969212963</v>
      </c>
      <c r="C612" s="1" t="n">
        <v>45904</v>
      </c>
      <c r="D612" t="inlineStr">
        <is>
          <t>ÖSTERGÖTLANDS LÄN</t>
        </is>
      </c>
      <c r="E612" t="inlineStr">
        <is>
          <t>LINKÖPING</t>
        </is>
      </c>
      <c r="G612" t="n">
        <v>7.8</v>
      </c>
      <c r="H612" t="n">
        <v>0</v>
      </c>
      <c r="I612" t="n">
        <v>0</v>
      </c>
      <c r="J612" t="n">
        <v>0</v>
      </c>
      <c r="K612" t="n">
        <v>0</v>
      </c>
      <c r="L612" t="n">
        <v>0</v>
      </c>
      <c r="M612" t="n">
        <v>0</v>
      </c>
      <c r="N612" t="n">
        <v>0</v>
      </c>
      <c r="O612" t="n">
        <v>0</v>
      </c>
      <c r="P612" t="n">
        <v>0</v>
      </c>
      <c r="Q612" t="n">
        <v>0</v>
      </c>
      <c r="R612" s="2" t="inlineStr"/>
    </row>
    <row r="613" ht="15" customHeight="1">
      <c r="A613" t="inlineStr">
        <is>
          <t>A 19464-2024</t>
        </is>
      </c>
      <c r="B613" s="1" t="n">
        <v>45429</v>
      </c>
      <c r="C613" s="1" t="n">
        <v>45904</v>
      </c>
      <c r="D613" t="inlineStr">
        <is>
          <t>ÖSTERGÖTLANDS LÄN</t>
        </is>
      </c>
      <c r="E613" t="inlineStr">
        <is>
          <t>LINKÖPING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50386-2021</t>
        </is>
      </c>
      <c r="B614" s="1" t="n">
        <v>44459</v>
      </c>
      <c r="C614" s="1" t="n">
        <v>45904</v>
      </c>
      <c r="D614" t="inlineStr">
        <is>
          <t>ÖSTERGÖTLANDS LÄN</t>
        </is>
      </c>
      <c r="E614" t="inlineStr">
        <is>
          <t>LINKÖPING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630-2024</t>
        </is>
      </c>
      <c r="B615" s="1" t="n">
        <v>45299.67736111111</v>
      </c>
      <c r="C615" s="1" t="n">
        <v>45904</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350-2022</t>
        </is>
      </c>
      <c r="B616" s="1" t="n">
        <v>44565</v>
      </c>
      <c r="C616" s="1" t="n">
        <v>45904</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18891-2022</t>
        </is>
      </c>
      <c r="B617" s="1" t="n">
        <v>44690</v>
      </c>
      <c r="C617" s="1" t="n">
        <v>45904</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30433-2024</t>
        </is>
      </c>
      <c r="B618" s="1" t="n">
        <v>45491.69741898148</v>
      </c>
      <c r="C618" s="1" t="n">
        <v>45904</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30976-2022</t>
        </is>
      </c>
      <c r="B619" s="1" t="n">
        <v>44768</v>
      </c>
      <c r="C619" s="1" t="n">
        <v>45904</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63528-2023</t>
        </is>
      </c>
      <c r="B620" s="1" t="n">
        <v>45274.94810185185</v>
      </c>
      <c r="C620" s="1" t="n">
        <v>45904</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55736-2022</t>
        </is>
      </c>
      <c r="B621" s="1" t="n">
        <v>44888</v>
      </c>
      <c r="C621" s="1" t="n">
        <v>45904</v>
      </c>
      <c r="D621" t="inlineStr">
        <is>
          <t>ÖSTERGÖTLANDS LÄN</t>
        </is>
      </c>
      <c r="E621" t="inlineStr">
        <is>
          <t>LINKÖPING</t>
        </is>
      </c>
      <c r="G621" t="n">
        <v>5.5</v>
      </c>
      <c r="H621" t="n">
        <v>0</v>
      </c>
      <c r="I621" t="n">
        <v>0</v>
      </c>
      <c r="J621" t="n">
        <v>0</v>
      </c>
      <c r="K621" t="n">
        <v>0</v>
      </c>
      <c r="L621" t="n">
        <v>0</v>
      </c>
      <c r="M621" t="n">
        <v>0</v>
      </c>
      <c r="N621" t="n">
        <v>0</v>
      </c>
      <c r="O621" t="n">
        <v>0</v>
      </c>
      <c r="P621" t="n">
        <v>0</v>
      </c>
      <c r="Q621" t="n">
        <v>0</v>
      </c>
      <c r="R621" s="2" t="inlineStr"/>
    </row>
    <row r="622" ht="15" customHeight="1">
      <c r="A622" t="inlineStr">
        <is>
          <t>A 10194-2023</t>
        </is>
      </c>
      <c r="B622" s="1" t="n">
        <v>44986.52277777778</v>
      </c>
      <c r="C622" s="1" t="n">
        <v>45904</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61936-2023</t>
        </is>
      </c>
      <c r="B623" s="1" t="n">
        <v>45266.54534722222</v>
      </c>
      <c r="C623" s="1" t="n">
        <v>45904</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16200-2025</t>
        </is>
      </c>
      <c r="B624" s="1" t="n">
        <v>45750.61050925926</v>
      </c>
      <c r="C624" s="1" t="n">
        <v>45904</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62492-2023</t>
        </is>
      </c>
      <c r="B625" s="1" t="n">
        <v>45268.58987268519</v>
      </c>
      <c r="C625" s="1" t="n">
        <v>45904</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674-2024</t>
        </is>
      </c>
      <c r="B626" s="1" t="n">
        <v>45300.34408564815</v>
      </c>
      <c r="C626" s="1" t="n">
        <v>45904</v>
      </c>
      <c r="D626" t="inlineStr">
        <is>
          <t>ÖSTERGÖTLANDS LÄN</t>
        </is>
      </c>
      <c r="E626" t="inlineStr">
        <is>
          <t>LINKÖPING</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15307-2025</t>
        </is>
      </c>
      <c r="B627" s="1" t="n">
        <v>45746.70038194444</v>
      </c>
      <c r="C627" s="1" t="n">
        <v>45904</v>
      </c>
      <c r="D627" t="inlineStr">
        <is>
          <t>ÖSTERGÖTLANDS LÄN</t>
        </is>
      </c>
      <c r="E627" t="inlineStr">
        <is>
          <t>LINKÖPING</t>
        </is>
      </c>
      <c r="G627" t="n">
        <v>3.3</v>
      </c>
      <c r="H627" t="n">
        <v>0</v>
      </c>
      <c r="I627" t="n">
        <v>0</v>
      </c>
      <c r="J627" t="n">
        <v>0</v>
      </c>
      <c r="K627" t="n">
        <v>0</v>
      </c>
      <c r="L627" t="n">
        <v>0</v>
      </c>
      <c r="M627" t="n">
        <v>0</v>
      </c>
      <c r="N627" t="n">
        <v>0</v>
      </c>
      <c r="O627" t="n">
        <v>0</v>
      </c>
      <c r="P627" t="n">
        <v>0</v>
      </c>
      <c r="Q627" t="n">
        <v>0</v>
      </c>
      <c r="R627" s="2" t="inlineStr"/>
    </row>
    <row r="628" ht="15" customHeight="1">
      <c r="A628" t="inlineStr">
        <is>
          <t>A 6782-2024</t>
        </is>
      </c>
      <c r="B628" s="1" t="n">
        <v>45342</v>
      </c>
      <c r="C628" s="1" t="n">
        <v>45904</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10094-2024</t>
        </is>
      </c>
      <c r="B629" s="1" t="n">
        <v>45364</v>
      </c>
      <c r="C629" s="1" t="n">
        <v>45904</v>
      </c>
      <c r="D629" t="inlineStr">
        <is>
          <t>ÖSTERGÖTLANDS LÄN</t>
        </is>
      </c>
      <c r="E629" t="inlineStr">
        <is>
          <t>LINKÖPING</t>
        </is>
      </c>
      <c r="F629" t="inlineStr">
        <is>
          <t>Övriga Aktiebolag</t>
        </is>
      </c>
      <c r="G629" t="n">
        <v>1.9</v>
      </c>
      <c r="H629" t="n">
        <v>0</v>
      </c>
      <c r="I629" t="n">
        <v>0</v>
      </c>
      <c r="J629" t="n">
        <v>0</v>
      </c>
      <c r="K629" t="n">
        <v>0</v>
      </c>
      <c r="L629" t="n">
        <v>0</v>
      </c>
      <c r="M629" t="n">
        <v>0</v>
      </c>
      <c r="N629" t="n">
        <v>0</v>
      </c>
      <c r="O629" t="n">
        <v>0</v>
      </c>
      <c r="P629" t="n">
        <v>0</v>
      </c>
      <c r="Q629" t="n">
        <v>0</v>
      </c>
      <c r="R629" s="2" t="inlineStr"/>
    </row>
    <row r="630" ht="15" customHeight="1">
      <c r="A630" t="inlineStr">
        <is>
          <t>A 63684-2023</t>
        </is>
      </c>
      <c r="B630" s="1" t="n">
        <v>45275</v>
      </c>
      <c r="C630" s="1" t="n">
        <v>45904</v>
      </c>
      <c r="D630" t="inlineStr">
        <is>
          <t>ÖSTERGÖTLANDS LÄN</t>
        </is>
      </c>
      <c r="E630" t="inlineStr">
        <is>
          <t>LINKÖPING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63688-2023</t>
        </is>
      </c>
      <c r="B631" s="1" t="n">
        <v>45275</v>
      </c>
      <c r="C631" s="1" t="n">
        <v>45904</v>
      </c>
      <c r="D631" t="inlineStr">
        <is>
          <t>ÖSTERGÖTLANDS LÄN</t>
        </is>
      </c>
      <c r="E631" t="inlineStr">
        <is>
          <t>LINKÖPING</t>
        </is>
      </c>
      <c r="F631" t="inlineStr">
        <is>
          <t>Övriga Aktiebolag</t>
        </is>
      </c>
      <c r="G631" t="n">
        <v>2.4</v>
      </c>
      <c r="H631" t="n">
        <v>0</v>
      </c>
      <c r="I631" t="n">
        <v>0</v>
      </c>
      <c r="J631" t="n">
        <v>0</v>
      </c>
      <c r="K631" t="n">
        <v>0</v>
      </c>
      <c r="L631" t="n">
        <v>0</v>
      </c>
      <c r="M631" t="n">
        <v>0</v>
      </c>
      <c r="N631" t="n">
        <v>0</v>
      </c>
      <c r="O631" t="n">
        <v>0</v>
      </c>
      <c r="P631" t="n">
        <v>0</v>
      </c>
      <c r="Q631" t="n">
        <v>0</v>
      </c>
      <c r="R631" s="2" t="inlineStr"/>
    </row>
    <row r="632" ht="15" customHeight="1">
      <c r="A632" t="inlineStr">
        <is>
          <t>A 63691-2023</t>
        </is>
      </c>
      <c r="B632" s="1" t="n">
        <v>45275</v>
      </c>
      <c r="C632" s="1" t="n">
        <v>45904</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36657-2023</t>
        </is>
      </c>
      <c r="B633" s="1" t="n">
        <v>45153.5702662037</v>
      </c>
      <c r="C633" s="1" t="n">
        <v>45904</v>
      </c>
      <c r="D633" t="inlineStr">
        <is>
          <t>ÖSTERGÖTLANDS LÄN</t>
        </is>
      </c>
      <c r="E633" t="inlineStr">
        <is>
          <t>LINKÖPING</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14667-2024</t>
        </is>
      </c>
      <c r="B634" s="1" t="n">
        <v>45397.42005787037</v>
      </c>
      <c r="C634" s="1" t="n">
        <v>45904</v>
      </c>
      <c r="D634" t="inlineStr">
        <is>
          <t>ÖSTERGÖTLANDS LÄN</t>
        </is>
      </c>
      <c r="E634" t="inlineStr">
        <is>
          <t>LINKÖPING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7702-2023</t>
        </is>
      </c>
      <c r="B635" s="1" t="n">
        <v>44967</v>
      </c>
      <c r="C635" s="1" t="n">
        <v>45904</v>
      </c>
      <c r="D635" t="inlineStr">
        <is>
          <t>ÖSTERGÖTLANDS LÄN</t>
        </is>
      </c>
      <c r="E635" t="inlineStr">
        <is>
          <t>LINKÖPING</t>
        </is>
      </c>
      <c r="F635" t="inlineStr">
        <is>
          <t>Övriga statliga verk och myndigheter</t>
        </is>
      </c>
      <c r="G635" t="n">
        <v>8</v>
      </c>
      <c r="H635" t="n">
        <v>0</v>
      </c>
      <c r="I635" t="n">
        <v>0</v>
      </c>
      <c r="J635" t="n">
        <v>0</v>
      </c>
      <c r="K635" t="n">
        <v>0</v>
      </c>
      <c r="L635" t="n">
        <v>0</v>
      </c>
      <c r="M635" t="n">
        <v>0</v>
      </c>
      <c r="N635" t="n">
        <v>0</v>
      </c>
      <c r="O635" t="n">
        <v>0</v>
      </c>
      <c r="P635" t="n">
        <v>0</v>
      </c>
      <c r="Q635" t="n">
        <v>0</v>
      </c>
      <c r="R635" s="2" t="inlineStr"/>
    </row>
    <row r="636" ht="15" customHeight="1">
      <c r="A636" t="inlineStr">
        <is>
          <t>A 42000-2023</t>
        </is>
      </c>
      <c r="B636" s="1" t="n">
        <v>45177</v>
      </c>
      <c r="C636" s="1" t="n">
        <v>45904</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31534-2023</t>
        </is>
      </c>
      <c r="B637" s="1" t="n">
        <v>45116</v>
      </c>
      <c r="C637" s="1" t="n">
        <v>45904</v>
      </c>
      <c r="D637" t="inlineStr">
        <is>
          <t>ÖSTERGÖTLANDS LÄN</t>
        </is>
      </c>
      <c r="E637" t="inlineStr">
        <is>
          <t>LINKÖPING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35427-2023</t>
        </is>
      </c>
      <c r="B638" s="1" t="n">
        <v>45146</v>
      </c>
      <c r="C638" s="1" t="n">
        <v>45904</v>
      </c>
      <c r="D638" t="inlineStr">
        <is>
          <t>ÖSTERGÖTLANDS LÄN</t>
        </is>
      </c>
      <c r="E638" t="inlineStr">
        <is>
          <t>LINKÖPING</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36725-2023</t>
        </is>
      </c>
      <c r="B639" s="1" t="n">
        <v>45153.68471064815</v>
      </c>
      <c r="C639" s="1" t="n">
        <v>45904</v>
      </c>
      <c r="D639" t="inlineStr">
        <is>
          <t>ÖSTERGÖTLANDS LÄN</t>
        </is>
      </c>
      <c r="E639" t="inlineStr">
        <is>
          <t>LINKÖPING</t>
        </is>
      </c>
      <c r="F639" t="inlineStr">
        <is>
          <t>Allmännings- och besparingsskogar</t>
        </is>
      </c>
      <c r="G639" t="n">
        <v>2.6</v>
      </c>
      <c r="H639" t="n">
        <v>0</v>
      </c>
      <c r="I639" t="n">
        <v>0</v>
      </c>
      <c r="J639" t="n">
        <v>0</v>
      </c>
      <c r="K639" t="n">
        <v>0</v>
      </c>
      <c r="L639" t="n">
        <v>0</v>
      </c>
      <c r="M639" t="n">
        <v>0</v>
      </c>
      <c r="N639" t="n">
        <v>0</v>
      </c>
      <c r="O639" t="n">
        <v>0</v>
      </c>
      <c r="P639" t="n">
        <v>0</v>
      </c>
      <c r="Q639" t="n">
        <v>0</v>
      </c>
      <c r="R639" s="2" t="inlineStr"/>
    </row>
    <row r="640" ht="15" customHeight="1">
      <c r="A640" t="inlineStr">
        <is>
          <t>A 15714-2024</t>
        </is>
      </c>
      <c r="B640" s="1" t="n">
        <v>45404.48288194444</v>
      </c>
      <c r="C640" s="1" t="n">
        <v>45904</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37715-2022</t>
        </is>
      </c>
      <c r="B641" s="1" t="n">
        <v>44810</v>
      </c>
      <c r="C641" s="1" t="n">
        <v>45904</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53639-2023</t>
        </is>
      </c>
      <c r="B642" s="1" t="n">
        <v>45230.59686342593</v>
      </c>
      <c r="C642" s="1" t="n">
        <v>45904</v>
      </c>
      <c r="D642" t="inlineStr">
        <is>
          <t>ÖSTERGÖTLANDS LÄN</t>
        </is>
      </c>
      <c r="E642" t="inlineStr">
        <is>
          <t>LINKÖPING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1657-2024</t>
        </is>
      </c>
      <c r="B643" s="1" t="n">
        <v>45306.82501157407</v>
      </c>
      <c r="C643" s="1" t="n">
        <v>45904</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30429-2024</t>
        </is>
      </c>
      <c r="B644" s="1" t="n">
        <v>45491.68972222223</v>
      </c>
      <c r="C644" s="1" t="n">
        <v>45904</v>
      </c>
      <c r="D644" t="inlineStr">
        <is>
          <t>ÖSTERGÖTLANDS LÄN</t>
        </is>
      </c>
      <c r="E644" t="inlineStr">
        <is>
          <t>LINKÖPING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50784-2022</t>
        </is>
      </c>
      <c r="B645" s="1" t="n">
        <v>44862</v>
      </c>
      <c r="C645" s="1" t="n">
        <v>45904</v>
      </c>
      <c r="D645" t="inlineStr">
        <is>
          <t>ÖSTERGÖTLANDS LÄN</t>
        </is>
      </c>
      <c r="E645" t="inlineStr">
        <is>
          <t>LINKÖPING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26803-2024</t>
        </is>
      </c>
      <c r="B646" s="1" t="n">
        <v>45470</v>
      </c>
      <c r="C646" s="1" t="n">
        <v>45904</v>
      </c>
      <c r="D646" t="inlineStr">
        <is>
          <t>ÖSTERGÖTLANDS LÄN</t>
        </is>
      </c>
      <c r="E646" t="inlineStr">
        <is>
          <t>LINKÖPING</t>
        </is>
      </c>
      <c r="F646" t="inlineStr">
        <is>
          <t>Allmännings- och besparingsskogar</t>
        </is>
      </c>
      <c r="G646" t="n">
        <v>4.5</v>
      </c>
      <c r="H646" t="n">
        <v>0</v>
      </c>
      <c r="I646" t="n">
        <v>0</v>
      </c>
      <c r="J646" t="n">
        <v>0</v>
      </c>
      <c r="K646" t="n">
        <v>0</v>
      </c>
      <c r="L646" t="n">
        <v>0</v>
      </c>
      <c r="M646" t="n">
        <v>0</v>
      </c>
      <c r="N646" t="n">
        <v>0</v>
      </c>
      <c r="O646" t="n">
        <v>0</v>
      </c>
      <c r="P646" t="n">
        <v>0</v>
      </c>
      <c r="Q646" t="n">
        <v>0</v>
      </c>
      <c r="R646" s="2" t="inlineStr"/>
    </row>
    <row r="647" ht="15" customHeight="1">
      <c r="A647" t="inlineStr">
        <is>
          <t>A 19187-2021</t>
        </is>
      </c>
      <c r="B647" s="1" t="n">
        <v>44308</v>
      </c>
      <c r="C647" s="1" t="n">
        <v>45904</v>
      </c>
      <c r="D647" t="inlineStr">
        <is>
          <t>ÖSTERGÖTLANDS LÄN</t>
        </is>
      </c>
      <c r="E647" t="inlineStr">
        <is>
          <t>LINKÖPING</t>
        </is>
      </c>
      <c r="F647" t="inlineStr">
        <is>
          <t>Allmännings- och besparingsskogar</t>
        </is>
      </c>
      <c r="G647" t="n">
        <v>20</v>
      </c>
      <c r="H647" t="n">
        <v>0</v>
      </c>
      <c r="I647" t="n">
        <v>0</v>
      </c>
      <c r="J647" t="n">
        <v>0</v>
      </c>
      <c r="K647" t="n">
        <v>0</v>
      </c>
      <c r="L647" t="n">
        <v>0</v>
      </c>
      <c r="M647" t="n">
        <v>0</v>
      </c>
      <c r="N647" t="n">
        <v>0</v>
      </c>
      <c r="O647" t="n">
        <v>0</v>
      </c>
      <c r="P647" t="n">
        <v>0</v>
      </c>
      <c r="Q647" t="n">
        <v>0</v>
      </c>
      <c r="R647" s="2" t="inlineStr"/>
    </row>
    <row r="648" ht="15" customHeight="1">
      <c r="A648" t="inlineStr">
        <is>
          <t>A 30435-2024</t>
        </is>
      </c>
      <c r="B648" s="1" t="n">
        <v>45491.69962962963</v>
      </c>
      <c r="C648" s="1" t="n">
        <v>45904</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60472-2022</t>
        </is>
      </c>
      <c r="B649" s="1" t="n">
        <v>44911.41037037037</v>
      </c>
      <c r="C649" s="1" t="n">
        <v>45904</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4927-2021</t>
        </is>
      </c>
      <c r="B650" s="1" t="n">
        <v>44227.57215277778</v>
      </c>
      <c r="C650" s="1" t="n">
        <v>45904</v>
      </c>
      <c r="D650" t="inlineStr">
        <is>
          <t>ÖSTERGÖTLANDS LÄN</t>
        </is>
      </c>
      <c r="E650" t="inlineStr">
        <is>
          <t>LINKÖPING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38231-2022</t>
        </is>
      </c>
      <c r="B651" s="1" t="n">
        <v>44812</v>
      </c>
      <c r="C651" s="1" t="n">
        <v>45904</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43934-2023</t>
        </is>
      </c>
      <c r="B652" s="1" t="n">
        <v>45187</v>
      </c>
      <c r="C652" s="1" t="n">
        <v>45904</v>
      </c>
      <c r="D652" t="inlineStr">
        <is>
          <t>ÖSTERGÖTLANDS LÄN</t>
        </is>
      </c>
      <c r="E652" t="inlineStr">
        <is>
          <t>LINKÖPING</t>
        </is>
      </c>
      <c r="F652" t="inlineStr">
        <is>
          <t>Övriga Aktiebolag</t>
        </is>
      </c>
      <c r="G652" t="n">
        <v>3.8</v>
      </c>
      <c r="H652" t="n">
        <v>0</v>
      </c>
      <c r="I652" t="n">
        <v>0</v>
      </c>
      <c r="J652" t="n">
        <v>0</v>
      </c>
      <c r="K652" t="n">
        <v>0</v>
      </c>
      <c r="L652" t="n">
        <v>0</v>
      </c>
      <c r="M652" t="n">
        <v>0</v>
      </c>
      <c r="N652" t="n">
        <v>0</v>
      </c>
      <c r="O652" t="n">
        <v>0</v>
      </c>
      <c r="P652" t="n">
        <v>0</v>
      </c>
      <c r="Q652" t="n">
        <v>0</v>
      </c>
      <c r="R652" s="2" t="inlineStr"/>
    </row>
    <row r="653" ht="15" customHeight="1">
      <c r="A653" t="inlineStr">
        <is>
          <t>A 22774-2024</t>
        </is>
      </c>
      <c r="B653" s="1" t="n">
        <v>45448.46924768519</v>
      </c>
      <c r="C653" s="1" t="n">
        <v>45904</v>
      </c>
      <c r="D653" t="inlineStr">
        <is>
          <t>ÖSTERGÖTLANDS LÄN</t>
        </is>
      </c>
      <c r="E653" t="inlineStr">
        <is>
          <t>LINKÖPING</t>
        </is>
      </c>
      <c r="F653" t="inlineStr">
        <is>
          <t>Sveaskog</t>
        </is>
      </c>
      <c r="G653" t="n">
        <v>3.3</v>
      </c>
      <c r="H653" t="n">
        <v>0</v>
      </c>
      <c r="I653" t="n">
        <v>0</v>
      </c>
      <c r="J653" t="n">
        <v>0</v>
      </c>
      <c r="K653" t="n">
        <v>0</v>
      </c>
      <c r="L653" t="n">
        <v>0</v>
      </c>
      <c r="M653" t="n">
        <v>0</v>
      </c>
      <c r="N653" t="n">
        <v>0</v>
      </c>
      <c r="O653" t="n">
        <v>0</v>
      </c>
      <c r="P653" t="n">
        <v>0</v>
      </c>
      <c r="Q653" t="n">
        <v>0</v>
      </c>
      <c r="R653" s="2" t="inlineStr"/>
    </row>
    <row r="654" ht="15" customHeight="1">
      <c r="A654" t="inlineStr">
        <is>
          <t>A 22778-2024</t>
        </is>
      </c>
      <c r="B654" s="1" t="n">
        <v>45448.47233796296</v>
      </c>
      <c r="C654" s="1" t="n">
        <v>45904</v>
      </c>
      <c r="D654" t="inlineStr">
        <is>
          <t>ÖSTERGÖTLANDS LÄN</t>
        </is>
      </c>
      <c r="E654" t="inlineStr">
        <is>
          <t>LINKÖPING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34557-2022</t>
        </is>
      </c>
      <c r="B655" s="1" t="n">
        <v>44794.57074074074</v>
      </c>
      <c r="C655" s="1" t="n">
        <v>45904</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13011-2022</t>
        </is>
      </c>
      <c r="B656" s="1" t="n">
        <v>44643</v>
      </c>
      <c r="C656" s="1" t="n">
        <v>45904</v>
      </c>
      <c r="D656" t="inlineStr">
        <is>
          <t>ÖSTERGÖTLANDS LÄN</t>
        </is>
      </c>
      <c r="E656" t="inlineStr">
        <is>
          <t>LINKÖPING</t>
        </is>
      </c>
      <c r="G656" t="n">
        <v>3.7</v>
      </c>
      <c r="H656" t="n">
        <v>0</v>
      </c>
      <c r="I656" t="n">
        <v>0</v>
      </c>
      <c r="J656" t="n">
        <v>0</v>
      </c>
      <c r="K656" t="n">
        <v>0</v>
      </c>
      <c r="L656" t="n">
        <v>0</v>
      </c>
      <c r="M656" t="n">
        <v>0</v>
      </c>
      <c r="N656" t="n">
        <v>0</v>
      </c>
      <c r="O656" t="n">
        <v>0</v>
      </c>
      <c r="P656" t="n">
        <v>0</v>
      </c>
      <c r="Q656" t="n">
        <v>0</v>
      </c>
      <c r="R656" s="2" t="inlineStr"/>
    </row>
    <row r="657" ht="15" customHeight="1">
      <c r="A657" t="inlineStr">
        <is>
          <t>A 617-2024</t>
        </is>
      </c>
      <c r="B657" s="1" t="n">
        <v>45299.66028935185</v>
      </c>
      <c r="C657" s="1" t="n">
        <v>45904</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1209-2023</t>
        </is>
      </c>
      <c r="B658" s="1" t="n">
        <v>44930</v>
      </c>
      <c r="C658" s="1" t="n">
        <v>45904</v>
      </c>
      <c r="D658" t="inlineStr">
        <is>
          <t>ÖSTERGÖTLANDS LÄN</t>
        </is>
      </c>
      <c r="E658" t="inlineStr">
        <is>
          <t>LINKÖPING</t>
        </is>
      </c>
      <c r="F658" t="inlineStr">
        <is>
          <t>Övriga statliga verk och myndigheter</t>
        </is>
      </c>
      <c r="G658" t="n">
        <v>25.8</v>
      </c>
      <c r="H658" t="n">
        <v>0</v>
      </c>
      <c r="I658" t="n">
        <v>0</v>
      </c>
      <c r="J658" t="n">
        <v>0</v>
      </c>
      <c r="K658" t="n">
        <v>0</v>
      </c>
      <c r="L658" t="n">
        <v>0</v>
      </c>
      <c r="M658" t="n">
        <v>0</v>
      </c>
      <c r="N658" t="n">
        <v>0</v>
      </c>
      <c r="O658" t="n">
        <v>0</v>
      </c>
      <c r="P658" t="n">
        <v>0</v>
      </c>
      <c r="Q658" t="n">
        <v>0</v>
      </c>
      <c r="R658" s="2" t="inlineStr"/>
    </row>
    <row r="659" ht="15" customHeight="1">
      <c r="A659" t="inlineStr">
        <is>
          <t>A 10407-2025</t>
        </is>
      </c>
      <c r="B659" s="1" t="n">
        <v>45720.62863425926</v>
      </c>
      <c r="C659" s="1" t="n">
        <v>45904</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11590-2023</t>
        </is>
      </c>
      <c r="B660" s="1" t="n">
        <v>44994.36689814815</v>
      </c>
      <c r="C660" s="1" t="n">
        <v>45904</v>
      </c>
      <c r="D660" t="inlineStr">
        <is>
          <t>ÖSTERGÖTLANDS LÄN</t>
        </is>
      </c>
      <c r="E660" t="inlineStr">
        <is>
          <t>LINKÖPING</t>
        </is>
      </c>
      <c r="G660" t="n">
        <v>3.1</v>
      </c>
      <c r="H660" t="n">
        <v>0</v>
      </c>
      <c r="I660" t="n">
        <v>0</v>
      </c>
      <c r="J660" t="n">
        <v>0</v>
      </c>
      <c r="K660" t="n">
        <v>0</v>
      </c>
      <c r="L660" t="n">
        <v>0</v>
      </c>
      <c r="M660" t="n">
        <v>0</v>
      </c>
      <c r="N660" t="n">
        <v>0</v>
      </c>
      <c r="O660" t="n">
        <v>0</v>
      </c>
      <c r="P660" t="n">
        <v>0</v>
      </c>
      <c r="Q660" t="n">
        <v>0</v>
      </c>
      <c r="R660" s="2" t="inlineStr"/>
    </row>
    <row r="661" ht="15" customHeight="1">
      <c r="A661" t="inlineStr">
        <is>
          <t>A 19169-2023</t>
        </is>
      </c>
      <c r="B661" s="1" t="n">
        <v>45044</v>
      </c>
      <c r="C661" s="1" t="n">
        <v>45904</v>
      </c>
      <c r="D661" t="inlineStr">
        <is>
          <t>ÖSTERGÖTLANDS LÄN</t>
        </is>
      </c>
      <c r="E661" t="inlineStr">
        <is>
          <t>LINKÖPING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19362-2023</t>
        </is>
      </c>
      <c r="B662" s="1" t="n">
        <v>45049</v>
      </c>
      <c r="C662" s="1" t="n">
        <v>45904</v>
      </c>
      <c r="D662" t="inlineStr">
        <is>
          <t>ÖSTERGÖTLANDS LÄN</t>
        </is>
      </c>
      <c r="E662" t="inlineStr">
        <is>
          <t>LINKÖPING</t>
        </is>
      </c>
      <c r="G662" t="n">
        <v>0.1</v>
      </c>
      <c r="H662" t="n">
        <v>0</v>
      </c>
      <c r="I662" t="n">
        <v>0</v>
      </c>
      <c r="J662" t="n">
        <v>0</v>
      </c>
      <c r="K662" t="n">
        <v>0</v>
      </c>
      <c r="L662" t="n">
        <v>0</v>
      </c>
      <c r="M662" t="n">
        <v>0</v>
      </c>
      <c r="N662" t="n">
        <v>0</v>
      </c>
      <c r="O662" t="n">
        <v>0</v>
      </c>
      <c r="P662" t="n">
        <v>0</v>
      </c>
      <c r="Q662" t="n">
        <v>0</v>
      </c>
      <c r="R662" s="2" t="inlineStr"/>
    </row>
    <row r="663" ht="15" customHeight="1">
      <c r="A663" t="inlineStr">
        <is>
          <t>A 672-2024</t>
        </is>
      </c>
      <c r="B663" s="1" t="n">
        <v>45300</v>
      </c>
      <c r="C663" s="1" t="n">
        <v>45904</v>
      </c>
      <c r="D663" t="inlineStr">
        <is>
          <t>ÖSTERGÖTLANDS LÄN</t>
        </is>
      </c>
      <c r="E663" t="inlineStr">
        <is>
          <t>LINKÖPING</t>
        </is>
      </c>
      <c r="F663" t="inlineStr">
        <is>
          <t>Sveaskog</t>
        </is>
      </c>
      <c r="G663" t="n">
        <v>4.5</v>
      </c>
      <c r="H663" t="n">
        <v>0</v>
      </c>
      <c r="I663" t="n">
        <v>0</v>
      </c>
      <c r="J663" t="n">
        <v>0</v>
      </c>
      <c r="K663" t="n">
        <v>0</v>
      </c>
      <c r="L663" t="n">
        <v>0</v>
      </c>
      <c r="M663" t="n">
        <v>0</v>
      </c>
      <c r="N663" t="n">
        <v>0</v>
      </c>
      <c r="O663" t="n">
        <v>0</v>
      </c>
      <c r="P663" t="n">
        <v>0</v>
      </c>
      <c r="Q663" t="n">
        <v>0</v>
      </c>
      <c r="R663" s="2" t="inlineStr"/>
    </row>
    <row r="664" ht="15" customHeight="1">
      <c r="A664" t="inlineStr">
        <is>
          <t>A 19132-2023</t>
        </is>
      </c>
      <c r="B664" s="1" t="n">
        <v>45048.54754629629</v>
      </c>
      <c r="C664" s="1" t="n">
        <v>45904</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55493-2021</t>
        </is>
      </c>
      <c r="B665" s="1" t="n">
        <v>44475.61988425926</v>
      </c>
      <c r="C665" s="1" t="n">
        <v>45904</v>
      </c>
      <c r="D665" t="inlineStr">
        <is>
          <t>ÖSTERGÖTLANDS LÄN</t>
        </is>
      </c>
      <c r="E665" t="inlineStr">
        <is>
          <t>LINKÖPING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14093-2024</t>
        </is>
      </c>
      <c r="B666" s="1" t="n">
        <v>45392.60278935185</v>
      </c>
      <c r="C666" s="1" t="n">
        <v>45904</v>
      </c>
      <c r="D666" t="inlineStr">
        <is>
          <t>ÖSTERGÖTLANDS LÄN</t>
        </is>
      </c>
      <c r="E666" t="inlineStr">
        <is>
          <t>LINKÖPING</t>
        </is>
      </c>
      <c r="F666" t="inlineStr">
        <is>
          <t>Övriga Aktiebolag</t>
        </is>
      </c>
      <c r="G666" t="n">
        <v>0.6</v>
      </c>
      <c r="H666" t="n">
        <v>0</v>
      </c>
      <c r="I666" t="n">
        <v>0</v>
      </c>
      <c r="J666" t="n">
        <v>0</v>
      </c>
      <c r="K666" t="n">
        <v>0</v>
      </c>
      <c r="L666" t="n">
        <v>0</v>
      </c>
      <c r="M666" t="n">
        <v>0</v>
      </c>
      <c r="N666" t="n">
        <v>0</v>
      </c>
      <c r="O666" t="n">
        <v>0</v>
      </c>
      <c r="P666" t="n">
        <v>0</v>
      </c>
      <c r="Q666" t="n">
        <v>0</v>
      </c>
      <c r="R666" s="2" t="inlineStr"/>
    </row>
    <row r="667" ht="15" customHeight="1">
      <c r="A667" t="inlineStr">
        <is>
          <t>A 62019-2024</t>
        </is>
      </c>
      <c r="B667" s="1" t="n">
        <v>45655.82</v>
      </c>
      <c r="C667" s="1" t="n">
        <v>45904</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10253-2022</t>
        </is>
      </c>
      <c r="B668" s="1" t="n">
        <v>44622</v>
      </c>
      <c r="C668" s="1" t="n">
        <v>45904</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25119-2023</t>
        </is>
      </c>
      <c r="B669" s="1" t="n">
        <v>45086.42326388889</v>
      </c>
      <c r="C669" s="1" t="n">
        <v>45904</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31635-2023</t>
        </is>
      </c>
      <c r="B670" s="1" t="n">
        <v>45105</v>
      </c>
      <c r="C670" s="1" t="n">
        <v>45904</v>
      </c>
      <c r="D670" t="inlineStr">
        <is>
          <t>ÖSTERGÖTLANDS LÄN</t>
        </is>
      </c>
      <c r="E670" t="inlineStr">
        <is>
          <t>LINKÖPING</t>
        </is>
      </c>
      <c r="F670" t="inlineStr">
        <is>
          <t>Övriga statliga verk och myndigheter</t>
        </is>
      </c>
      <c r="G670" t="n">
        <v>4.6</v>
      </c>
      <c r="H670" t="n">
        <v>0</v>
      </c>
      <c r="I670" t="n">
        <v>0</v>
      </c>
      <c r="J670" t="n">
        <v>0</v>
      </c>
      <c r="K670" t="n">
        <v>0</v>
      </c>
      <c r="L670" t="n">
        <v>0</v>
      </c>
      <c r="M670" t="n">
        <v>0</v>
      </c>
      <c r="N670" t="n">
        <v>0</v>
      </c>
      <c r="O670" t="n">
        <v>0</v>
      </c>
      <c r="P670" t="n">
        <v>0</v>
      </c>
      <c r="Q670" t="n">
        <v>0</v>
      </c>
      <c r="R670" s="2" t="inlineStr"/>
    </row>
    <row r="671" ht="15" customHeight="1">
      <c r="A671" t="inlineStr">
        <is>
          <t>A 57396-2021</t>
        </is>
      </c>
      <c r="B671" s="1" t="n">
        <v>44483.56151620371</v>
      </c>
      <c r="C671" s="1" t="n">
        <v>45904</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54846-2024</t>
        </is>
      </c>
      <c r="B672" s="1" t="n">
        <v>45618</v>
      </c>
      <c r="C672" s="1" t="n">
        <v>45904</v>
      </c>
      <c r="D672" t="inlineStr">
        <is>
          <t>ÖSTERGÖTLANDS LÄN</t>
        </is>
      </c>
      <c r="E672" t="inlineStr">
        <is>
          <t>LINKÖPING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20296-2025</t>
        </is>
      </c>
      <c r="B673" s="1" t="n">
        <v>45774.74922453704</v>
      </c>
      <c r="C673" s="1" t="n">
        <v>45904</v>
      </c>
      <c r="D673" t="inlineStr">
        <is>
          <t>ÖSTERGÖTLANDS LÄN</t>
        </is>
      </c>
      <c r="E673" t="inlineStr">
        <is>
          <t>LINKÖPING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51571-2024</t>
        </is>
      </c>
      <c r="B674" s="1" t="n">
        <v>45604</v>
      </c>
      <c r="C674" s="1" t="n">
        <v>45904</v>
      </c>
      <c r="D674" t="inlineStr">
        <is>
          <t>ÖSTERGÖTLANDS LÄN</t>
        </is>
      </c>
      <c r="E674" t="inlineStr">
        <is>
          <t>LINKÖPING</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67129-2020</t>
        </is>
      </c>
      <c r="B675" s="1" t="n">
        <v>44180</v>
      </c>
      <c r="C675" s="1" t="n">
        <v>45904</v>
      </c>
      <c r="D675" t="inlineStr">
        <is>
          <t>ÖSTERGÖTLANDS LÄN</t>
        </is>
      </c>
      <c r="E675" t="inlineStr">
        <is>
          <t>LINKÖPING</t>
        </is>
      </c>
      <c r="F675" t="inlineStr">
        <is>
          <t>Övriga statliga verk och myndigheter</t>
        </is>
      </c>
      <c r="G675" t="n">
        <v>2.7</v>
      </c>
      <c r="H675" t="n">
        <v>0</v>
      </c>
      <c r="I675" t="n">
        <v>0</v>
      </c>
      <c r="J675" t="n">
        <v>0</v>
      </c>
      <c r="K675" t="n">
        <v>0</v>
      </c>
      <c r="L675" t="n">
        <v>0</v>
      </c>
      <c r="M675" t="n">
        <v>0</v>
      </c>
      <c r="N675" t="n">
        <v>0</v>
      </c>
      <c r="O675" t="n">
        <v>0</v>
      </c>
      <c r="P675" t="n">
        <v>0</v>
      </c>
      <c r="Q675" t="n">
        <v>0</v>
      </c>
      <c r="R675" s="2" t="inlineStr"/>
    </row>
    <row r="676" ht="15" customHeight="1">
      <c r="A676" t="inlineStr">
        <is>
          <t>A 22770-2024</t>
        </is>
      </c>
      <c r="B676" s="1" t="n">
        <v>45448.4634375</v>
      </c>
      <c r="C676" s="1" t="n">
        <v>45904</v>
      </c>
      <c r="D676" t="inlineStr">
        <is>
          <t>ÖSTERGÖTLANDS LÄN</t>
        </is>
      </c>
      <c r="E676" t="inlineStr">
        <is>
          <t>LINKÖPING</t>
        </is>
      </c>
      <c r="F676" t="inlineStr">
        <is>
          <t>Sveaskog</t>
        </is>
      </c>
      <c r="G676" t="n">
        <v>3.4</v>
      </c>
      <c r="H676" t="n">
        <v>0</v>
      </c>
      <c r="I676" t="n">
        <v>0</v>
      </c>
      <c r="J676" t="n">
        <v>0</v>
      </c>
      <c r="K676" t="n">
        <v>0</v>
      </c>
      <c r="L676" t="n">
        <v>0</v>
      </c>
      <c r="M676" t="n">
        <v>0</v>
      </c>
      <c r="N676" t="n">
        <v>0</v>
      </c>
      <c r="O676" t="n">
        <v>0</v>
      </c>
      <c r="P676" t="n">
        <v>0</v>
      </c>
      <c r="Q676" t="n">
        <v>0</v>
      </c>
      <c r="R676" s="2" t="inlineStr"/>
    </row>
    <row r="677" ht="15" customHeight="1">
      <c r="A677" t="inlineStr">
        <is>
          <t>A 11595-2025</t>
        </is>
      </c>
      <c r="B677" s="1" t="n">
        <v>45727.41893518518</v>
      </c>
      <c r="C677" s="1" t="n">
        <v>45904</v>
      </c>
      <c r="D677" t="inlineStr">
        <is>
          <t>ÖSTERGÖTLANDS LÄN</t>
        </is>
      </c>
      <c r="E677" t="inlineStr">
        <is>
          <t>LINKÖPING</t>
        </is>
      </c>
      <c r="G677" t="n">
        <v>6.6</v>
      </c>
      <c r="H677" t="n">
        <v>0</v>
      </c>
      <c r="I677" t="n">
        <v>0</v>
      </c>
      <c r="J677" t="n">
        <v>0</v>
      </c>
      <c r="K677" t="n">
        <v>0</v>
      </c>
      <c r="L677" t="n">
        <v>0</v>
      </c>
      <c r="M677" t="n">
        <v>0</v>
      </c>
      <c r="N677" t="n">
        <v>0</v>
      </c>
      <c r="O677" t="n">
        <v>0</v>
      </c>
      <c r="P677" t="n">
        <v>0</v>
      </c>
      <c r="Q677" t="n">
        <v>0</v>
      </c>
      <c r="R677" s="2" t="inlineStr"/>
    </row>
    <row r="678" ht="15" customHeight="1">
      <c r="A678" t="inlineStr">
        <is>
          <t>A 48839-2022</t>
        </is>
      </c>
      <c r="B678" s="1" t="n">
        <v>44859</v>
      </c>
      <c r="C678" s="1" t="n">
        <v>45904</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8967-2025</t>
        </is>
      </c>
      <c r="B679" s="1" t="n">
        <v>45712</v>
      </c>
      <c r="C679" s="1" t="n">
        <v>45904</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17143-2025</t>
        </is>
      </c>
      <c r="B680" s="1" t="n">
        <v>45755.92731481481</v>
      </c>
      <c r="C680" s="1" t="n">
        <v>45904</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17124-2025</t>
        </is>
      </c>
      <c r="B681" s="1" t="n">
        <v>45755.69678240741</v>
      </c>
      <c r="C681" s="1" t="n">
        <v>45904</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17126-2025</t>
        </is>
      </c>
      <c r="B682" s="1" t="n">
        <v>45755.70814814815</v>
      </c>
      <c r="C682" s="1" t="n">
        <v>45904</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31640-2023</t>
        </is>
      </c>
      <c r="B683" s="1" t="n">
        <v>45117</v>
      </c>
      <c r="C683" s="1" t="n">
        <v>45904</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46980-2020</t>
        </is>
      </c>
      <c r="B684" s="1" t="n">
        <v>44090</v>
      </c>
      <c r="C684" s="1" t="n">
        <v>45904</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c r="A685" t="inlineStr">
        <is>
          <t>A 11790-2024</t>
        </is>
      </c>
      <c r="B685" s="1" t="n">
        <v>45374</v>
      </c>
      <c r="C685" s="1" t="n">
        <v>45904</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2025-09-04T17:45:31Z</dcterms:created>
  <dcterms:modified xmlns:dcterms="http://purl.org/dc/terms/" xmlns:xsi="http://www.w3.org/2001/XMLSchema-instance" xsi:type="dcterms:W3CDTF">2025-09-04T17:45:31Z</dcterms:modified>
</cp:coreProperties>
</file>