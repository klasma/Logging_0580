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46062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46062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46062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46062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46062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46062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46062</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46062</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46062</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46062</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46062</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46062</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55683-2025</t>
        </is>
      </c>
      <c r="B15" s="1" t="n">
        <v>45972.4255324074</v>
      </c>
      <c r="C15" s="1" t="n">
        <v>46062</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17502-2022</t>
        </is>
      </c>
      <c r="B16" s="1" t="n">
        <v>44679</v>
      </c>
      <c r="C16" s="1" t="n">
        <v>46062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46062</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46062</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46062</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38913-2023</t>
        </is>
      </c>
      <c r="B20" s="1" t="n">
        <v>45163</v>
      </c>
      <c r="C20" s="1" t="n">
        <v>46062</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46062</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46062</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46062</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46062</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46062</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46062</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27795-2025</t>
        </is>
      </c>
      <c r="B27" s="1" t="n">
        <v>45816.7908912037</v>
      </c>
      <c r="C27" s="1" t="n">
        <v>46062</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46062</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46062</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50048-2025</t>
        </is>
      </c>
      <c r="B30" s="1" t="n">
        <v>45941</v>
      </c>
      <c r="C30" s="1" t="n">
        <v>46062</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46062</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25985-2025</t>
        </is>
      </c>
      <c r="B32" s="1" t="n">
        <v>45804.64479166667</v>
      </c>
      <c r="C32" s="1" t="n">
        <v>46062</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22040-2023</t>
        </is>
      </c>
      <c r="B33" s="1" t="n">
        <v>45068</v>
      </c>
      <c r="C33" s="1" t="n">
        <v>46062</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46062</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58068-2021</t>
        </is>
      </c>
      <c r="B35" s="1" t="n">
        <v>44487</v>
      </c>
      <c r="C35" s="1" t="n">
        <v>46062</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11613-2025</t>
        </is>
      </c>
      <c r="B36" s="1" t="n">
        <v>45727.44623842592</v>
      </c>
      <c r="C36" s="1" t="n">
        <v>46062</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20292-2025</t>
        </is>
      </c>
      <c r="B37" s="1" t="n">
        <v>45774.7449537037</v>
      </c>
      <c r="C37" s="1" t="n">
        <v>46062</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20297-2025</t>
        </is>
      </c>
      <c r="B38" s="1" t="n">
        <v>45774.74971064815</v>
      </c>
      <c r="C38" s="1" t="n">
        <v>46062</v>
      </c>
      <c r="D38" t="inlineStr">
        <is>
          <t>ÖSTERGÖTLANDS LÄN</t>
        </is>
      </c>
      <c r="E38" t="inlineStr">
        <is>
          <t>LINKÖPING</t>
        </is>
      </c>
      <c r="G38" t="n">
        <v>1.5</v>
      </c>
      <c r="H38" t="n">
        <v>1</v>
      </c>
      <c r="I38" t="n">
        <v>1</v>
      </c>
      <c r="J38" t="n">
        <v>0</v>
      </c>
      <c r="K38" t="n">
        <v>0</v>
      </c>
      <c r="L38" t="n">
        <v>0</v>
      </c>
      <c r="M38" t="n">
        <v>0</v>
      </c>
      <c r="N38" t="n">
        <v>0</v>
      </c>
      <c r="O38" t="n">
        <v>0</v>
      </c>
      <c r="P38" t="n">
        <v>0</v>
      </c>
      <c r="Q38" t="n">
        <v>2</v>
      </c>
      <c r="R38" s="2" t="inlineStr">
        <is>
          <t>Blanksvart trämyra
Blåsippa</t>
        </is>
      </c>
      <c r="S38">
        <f>HYPERLINK("https://klasma.github.io/Logging_0580/artfynd/A 20297-2025 artfynd.xlsx", "A 20297-2025")</f>
        <v/>
      </c>
      <c r="T38">
        <f>HYPERLINK("https://klasma.github.io/Logging_0580/kartor/A 20297-2025 karta.png", "A 20297-2025")</f>
        <v/>
      </c>
      <c r="V38">
        <f>HYPERLINK("https://klasma.github.io/Logging_0580/klagomål/A 20297-2025 FSC-klagomål.docx", "A 20297-2025")</f>
        <v/>
      </c>
      <c r="W38">
        <f>HYPERLINK("https://klasma.github.io/Logging_0580/klagomålsmail/A 20297-2025 FSC-klagomål mail.docx", "A 20297-2025")</f>
        <v/>
      </c>
      <c r="X38">
        <f>HYPERLINK("https://klasma.github.io/Logging_0580/tillsyn/A 20297-2025 tillsynsbegäran.docx", "A 20297-2025")</f>
        <v/>
      </c>
      <c r="Y38">
        <f>HYPERLINK("https://klasma.github.io/Logging_0580/tillsynsmail/A 20297-2025 tillsynsbegäran mail.docx", "A 20297-2025")</f>
        <v/>
      </c>
    </row>
    <row r="39" ht="15" customHeight="1">
      <c r="A39" t="inlineStr">
        <is>
          <t>A 3912-2026</t>
        </is>
      </c>
      <c r="B39" s="1" t="n">
        <v>46043.71958333333</v>
      </c>
      <c r="C39" s="1" t="n">
        <v>46062</v>
      </c>
      <c r="D39" t="inlineStr">
        <is>
          <t>ÖSTERGÖTLANDS LÄN</t>
        </is>
      </c>
      <c r="E39" t="inlineStr">
        <is>
          <t>LINKÖPING</t>
        </is>
      </c>
      <c r="F39" t="inlineStr">
        <is>
          <t>Kyrkan</t>
        </is>
      </c>
      <c r="G39" t="n">
        <v>6.8</v>
      </c>
      <c r="H39" t="n">
        <v>1</v>
      </c>
      <c r="I39" t="n">
        <v>1</v>
      </c>
      <c r="J39" t="n">
        <v>0</v>
      </c>
      <c r="K39" t="n">
        <v>1</v>
      </c>
      <c r="L39" t="n">
        <v>0</v>
      </c>
      <c r="M39" t="n">
        <v>0</v>
      </c>
      <c r="N39" t="n">
        <v>0</v>
      </c>
      <c r="O39" t="n">
        <v>1</v>
      </c>
      <c r="P39" t="n">
        <v>1</v>
      </c>
      <c r="Q39" t="n">
        <v>2</v>
      </c>
      <c r="R39" s="2" t="inlineStr">
        <is>
          <t>Knärot
Grönpyrola</t>
        </is>
      </c>
      <c r="S39">
        <f>HYPERLINK("https://klasma.github.io/Logging_0580/artfynd/A 3912-2026 artfynd.xlsx", "A 3912-2026")</f>
        <v/>
      </c>
      <c r="T39">
        <f>HYPERLINK("https://klasma.github.io/Logging_0580/kartor/A 3912-2026 karta.png", "A 3912-2026")</f>
        <v/>
      </c>
      <c r="U39">
        <f>HYPERLINK("https://klasma.github.io/Logging_0580/knärot/A 3912-2026 karta knärot.png", "A 3912-2026")</f>
        <v/>
      </c>
      <c r="V39">
        <f>HYPERLINK("https://klasma.github.io/Logging_0580/klagomål/A 3912-2026 FSC-klagomål.docx", "A 3912-2026")</f>
        <v/>
      </c>
      <c r="W39">
        <f>HYPERLINK("https://klasma.github.io/Logging_0580/klagomålsmail/A 3912-2026 FSC-klagomål mail.docx", "A 3912-2026")</f>
        <v/>
      </c>
      <c r="X39">
        <f>HYPERLINK("https://klasma.github.io/Logging_0580/tillsyn/A 3912-2026 tillsynsbegäran.docx", "A 3912-2026")</f>
        <v/>
      </c>
      <c r="Y39">
        <f>HYPERLINK("https://klasma.github.io/Logging_0580/tillsynsmail/A 3912-2026 tillsynsbegäran mail.docx", "A 3912-2026")</f>
        <v/>
      </c>
    </row>
    <row r="40" ht="15" customHeight="1">
      <c r="A40" t="inlineStr">
        <is>
          <t>A 41751-2023</t>
        </is>
      </c>
      <c r="B40" s="1" t="n">
        <v>45176</v>
      </c>
      <c r="C40" s="1" t="n">
        <v>46062</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42858-2023</t>
        </is>
      </c>
      <c r="B41" s="1" t="n">
        <v>45177</v>
      </c>
      <c r="C41" s="1" t="n">
        <v>46062</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55344-2024</t>
        </is>
      </c>
      <c r="B42" s="1" t="n">
        <v>45621.7202662037</v>
      </c>
      <c r="C42" s="1" t="n">
        <v>46062</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21326-2025</t>
        </is>
      </c>
      <c r="B43" s="1" t="n">
        <v>45782.35407407407</v>
      </c>
      <c r="C43" s="1" t="n">
        <v>46062</v>
      </c>
      <c r="D43" t="inlineStr">
        <is>
          <t>ÖSTERGÖTLANDS LÄN</t>
        </is>
      </c>
      <c r="E43" t="inlineStr">
        <is>
          <t>LINKÖPING</t>
        </is>
      </c>
      <c r="G43" t="n">
        <v>4.9</v>
      </c>
      <c r="H43" t="n">
        <v>2</v>
      </c>
      <c r="I43" t="n">
        <v>0</v>
      </c>
      <c r="J43" t="n">
        <v>0</v>
      </c>
      <c r="K43" t="n">
        <v>0</v>
      </c>
      <c r="L43" t="n">
        <v>0</v>
      </c>
      <c r="M43" t="n">
        <v>0</v>
      </c>
      <c r="N43" t="n">
        <v>0</v>
      </c>
      <c r="O43" t="n">
        <v>0</v>
      </c>
      <c r="P43" t="n">
        <v>0</v>
      </c>
      <c r="Q43" t="n">
        <v>2</v>
      </c>
      <c r="R43" s="2" t="inlineStr">
        <is>
          <t>Blåsippa
Revlummer</t>
        </is>
      </c>
      <c r="S43">
        <f>HYPERLINK("https://klasma.github.io/Logging_0580/artfynd/A 21326-2025 artfynd.xlsx", "A 21326-2025")</f>
        <v/>
      </c>
      <c r="T43">
        <f>HYPERLINK("https://klasma.github.io/Logging_0580/kartor/A 21326-2025 karta.png", "A 21326-2025")</f>
        <v/>
      </c>
      <c r="V43">
        <f>HYPERLINK("https://klasma.github.io/Logging_0580/klagomål/A 21326-2025 FSC-klagomål.docx", "A 21326-2025")</f>
        <v/>
      </c>
      <c r="W43">
        <f>HYPERLINK("https://klasma.github.io/Logging_0580/klagomålsmail/A 21326-2025 FSC-klagomål mail.docx", "A 21326-2025")</f>
        <v/>
      </c>
      <c r="X43">
        <f>HYPERLINK("https://klasma.github.io/Logging_0580/tillsyn/A 21326-2025 tillsynsbegäran.docx", "A 21326-2025")</f>
        <v/>
      </c>
      <c r="Y43">
        <f>HYPERLINK("https://klasma.github.io/Logging_0580/tillsynsmail/A 21326-2025 tillsynsbegäran mail.docx", "A 21326-2025")</f>
        <v/>
      </c>
    </row>
    <row r="44" ht="15" customHeight="1">
      <c r="A44" t="inlineStr">
        <is>
          <t>A 38129-2021</t>
        </is>
      </c>
      <c r="B44" s="1" t="n">
        <v>44405.37199074074</v>
      </c>
      <c r="C44" s="1" t="n">
        <v>46062</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46062</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46062</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46062</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46062</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46062</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46062</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46062</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46062</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46062</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46062</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59948-2022</t>
        </is>
      </c>
      <c r="B55" s="1" t="n">
        <v>44909</v>
      </c>
      <c r="C55" s="1" t="n">
        <v>46062</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22526-2025</t>
        </is>
      </c>
      <c r="B56" s="1" t="n">
        <v>45786.78096064815</v>
      </c>
      <c r="C56" s="1" t="n">
        <v>46062</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27403-2025</t>
        </is>
      </c>
      <c r="B57" s="1" t="n">
        <v>45812.72518518518</v>
      </c>
      <c r="C57" s="1" t="n">
        <v>46062</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37683-2024</t>
        </is>
      </c>
      <c r="B58" s="1" t="n">
        <v>45541.59120370371</v>
      </c>
      <c r="C58" s="1" t="n">
        <v>46062</v>
      </c>
      <c r="D58" t="inlineStr">
        <is>
          <t>ÖSTERGÖTLANDS LÄN</t>
        </is>
      </c>
      <c r="E58" t="inlineStr">
        <is>
          <t>LINKÖPING</t>
        </is>
      </c>
      <c r="G58" t="n">
        <v>0.6</v>
      </c>
      <c r="H58" t="n">
        <v>0</v>
      </c>
      <c r="I58" t="n">
        <v>1</v>
      </c>
      <c r="J58" t="n">
        <v>0</v>
      </c>
      <c r="K58" t="n">
        <v>0</v>
      </c>
      <c r="L58" t="n">
        <v>0</v>
      </c>
      <c r="M58" t="n">
        <v>0</v>
      </c>
      <c r="N58" t="n">
        <v>0</v>
      </c>
      <c r="O58" t="n">
        <v>0</v>
      </c>
      <c r="P58" t="n">
        <v>0</v>
      </c>
      <c r="Q58" t="n">
        <v>1</v>
      </c>
      <c r="R58" s="2" t="inlineStr">
        <is>
          <t>Tibast</t>
        </is>
      </c>
      <c r="S58">
        <f>HYPERLINK("https://klasma.github.io/Logging_0580/artfynd/A 37683-2024 artfynd.xlsx", "A 37683-2024")</f>
        <v/>
      </c>
      <c r="T58">
        <f>HYPERLINK("https://klasma.github.io/Logging_0580/kartor/A 37683-2024 karta.png", "A 37683-2024")</f>
        <v/>
      </c>
      <c r="V58">
        <f>HYPERLINK("https://klasma.github.io/Logging_0580/klagomål/A 37683-2024 FSC-klagomål.docx", "A 37683-2024")</f>
        <v/>
      </c>
      <c r="W58">
        <f>HYPERLINK("https://klasma.github.io/Logging_0580/klagomålsmail/A 37683-2024 FSC-klagomål mail.docx", "A 37683-2024")</f>
        <v/>
      </c>
      <c r="X58">
        <f>HYPERLINK("https://klasma.github.io/Logging_0580/tillsyn/A 37683-2024 tillsynsbegäran.docx", "A 37683-2024")</f>
        <v/>
      </c>
      <c r="Y58">
        <f>HYPERLINK("https://klasma.github.io/Logging_0580/tillsynsmail/A 37683-2024 tillsynsbegäran mail.docx", "A 37683-2024")</f>
        <v/>
      </c>
    </row>
    <row r="59" ht="15" customHeight="1">
      <c r="A59" t="inlineStr">
        <is>
          <t>A 43989-2025</t>
        </is>
      </c>
      <c r="B59" s="1" t="n">
        <v>45915.44128472222</v>
      </c>
      <c r="C59" s="1" t="n">
        <v>46062</v>
      </c>
      <c r="D59" t="inlineStr">
        <is>
          <t>ÖSTERGÖTLANDS LÄN</t>
        </is>
      </c>
      <c r="E59" t="inlineStr">
        <is>
          <t>LINKÖPING</t>
        </is>
      </c>
      <c r="F59" t="inlineStr">
        <is>
          <t>Allmännings- och besparingsskogar</t>
        </is>
      </c>
      <c r="G59" t="n">
        <v>3.5</v>
      </c>
      <c r="H59" t="n">
        <v>0</v>
      </c>
      <c r="I59" t="n">
        <v>0</v>
      </c>
      <c r="J59" t="n">
        <v>1</v>
      </c>
      <c r="K59" t="n">
        <v>0</v>
      </c>
      <c r="L59" t="n">
        <v>0</v>
      </c>
      <c r="M59" t="n">
        <v>0</v>
      </c>
      <c r="N59" t="n">
        <v>0</v>
      </c>
      <c r="O59" t="n">
        <v>1</v>
      </c>
      <c r="P59" t="n">
        <v>0</v>
      </c>
      <c r="Q59" t="n">
        <v>1</v>
      </c>
      <c r="R59" s="2" t="inlineStr">
        <is>
          <t>Kavelhirs</t>
        </is>
      </c>
      <c r="S59">
        <f>HYPERLINK("https://klasma.github.io/Logging_0580/artfynd/A 43989-2025 artfynd.xlsx", "A 43989-2025")</f>
        <v/>
      </c>
      <c r="T59">
        <f>HYPERLINK("https://klasma.github.io/Logging_0580/kartor/A 43989-2025 karta.png", "A 43989-2025")</f>
        <v/>
      </c>
      <c r="V59">
        <f>HYPERLINK("https://klasma.github.io/Logging_0580/klagomål/A 43989-2025 FSC-klagomål.docx", "A 43989-2025")</f>
        <v/>
      </c>
      <c r="W59">
        <f>HYPERLINK("https://klasma.github.io/Logging_0580/klagomålsmail/A 43989-2025 FSC-klagomål mail.docx", "A 43989-2025")</f>
        <v/>
      </c>
      <c r="X59">
        <f>HYPERLINK("https://klasma.github.io/Logging_0580/tillsyn/A 43989-2025 tillsynsbegäran.docx", "A 43989-2025")</f>
        <v/>
      </c>
      <c r="Y59">
        <f>HYPERLINK("https://klasma.github.io/Logging_0580/tillsynsmail/A 43989-2025 tillsynsbegäran mail.docx", "A 43989-2025")</f>
        <v/>
      </c>
    </row>
    <row r="60" ht="15" customHeight="1">
      <c r="A60" t="inlineStr">
        <is>
          <t>A 44760-2025</t>
        </is>
      </c>
      <c r="B60" s="1" t="n">
        <v>45917.71873842592</v>
      </c>
      <c r="C60" s="1" t="n">
        <v>46062</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56651-2023</t>
        </is>
      </c>
      <c r="B61" s="1" t="n">
        <v>45243</v>
      </c>
      <c r="C61" s="1" t="n">
        <v>46062</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17444-2025</t>
        </is>
      </c>
      <c r="B62" s="1" t="n">
        <v>45757.43452546297</v>
      </c>
      <c r="C62" s="1" t="n">
        <v>46062</v>
      </c>
      <c r="D62" t="inlineStr">
        <is>
          <t>ÖSTERGÖTLANDS LÄN</t>
        </is>
      </c>
      <c r="E62" t="inlineStr">
        <is>
          <t>LINKÖPING</t>
        </is>
      </c>
      <c r="G62" t="n">
        <v>1.3</v>
      </c>
      <c r="H62" t="n">
        <v>1</v>
      </c>
      <c r="I62" t="n">
        <v>0</v>
      </c>
      <c r="J62" t="n">
        <v>1</v>
      </c>
      <c r="K62" t="n">
        <v>0</v>
      </c>
      <c r="L62" t="n">
        <v>0</v>
      </c>
      <c r="M62" t="n">
        <v>0</v>
      </c>
      <c r="N62" t="n">
        <v>0</v>
      </c>
      <c r="O62" t="n">
        <v>1</v>
      </c>
      <c r="P62" t="n">
        <v>0</v>
      </c>
      <c r="Q62" t="n">
        <v>1</v>
      </c>
      <c r="R62" s="2" t="inlineStr">
        <is>
          <t>Dårgräsfjäril</t>
        </is>
      </c>
      <c r="S62">
        <f>HYPERLINK("https://klasma.github.io/Logging_0580/artfynd/A 17444-2025 artfynd.xlsx", "A 17444-2025")</f>
        <v/>
      </c>
      <c r="T62">
        <f>HYPERLINK("https://klasma.github.io/Logging_0580/kartor/A 17444-2025 karta.png", "A 17444-2025")</f>
        <v/>
      </c>
      <c r="V62">
        <f>HYPERLINK("https://klasma.github.io/Logging_0580/klagomål/A 17444-2025 FSC-klagomål.docx", "A 17444-2025")</f>
        <v/>
      </c>
      <c r="W62">
        <f>HYPERLINK("https://klasma.github.io/Logging_0580/klagomålsmail/A 17444-2025 FSC-klagomål mail.docx", "A 17444-2025")</f>
        <v/>
      </c>
      <c r="X62">
        <f>HYPERLINK("https://klasma.github.io/Logging_0580/tillsyn/A 17444-2025 tillsynsbegäran.docx", "A 17444-2025")</f>
        <v/>
      </c>
      <c r="Y62">
        <f>HYPERLINK("https://klasma.github.io/Logging_0580/tillsynsmail/A 17444-2025 tillsynsbegäran mail.docx", "A 17444-2025")</f>
        <v/>
      </c>
    </row>
    <row r="63" ht="15" customHeight="1">
      <c r="A63" t="inlineStr">
        <is>
          <t>A 5911-2022</t>
        </is>
      </c>
      <c r="B63" s="1" t="n">
        <v>44597</v>
      </c>
      <c r="C63" s="1" t="n">
        <v>46062</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48347-2025</t>
        </is>
      </c>
      <c r="B64" s="1" t="n">
        <v>45932</v>
      </c>
      <c r="C64" s="1" t="n">
        <v>46062</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48353-2025</t>
        </is>
      </c>
      <c r="B65" s="1" t="n">
        <v>45932</v>
      </c>
      <c r="C65" s="1" t="n">
        <v>46062</v>
      </c>
      <c r="D65" t="inlineStr">
        <is>
          <t>ÖSTERGÖTLANDS LÄN</t>
        </is>
      </c>
      <c r="E65" t="inlineStr">
        <is>
          <t>LINKÖPING</t>
        </is>
      </c>
      <c r="F65" t="inlineStr">
        <is>
          <t>Övriga Aktiebolag</t>
        </is>
      </c>
      <c r="G65" t="n">
        <v>4.5</v>
      </c>
      <c r="H65" t="n">
        <v>1</v>
      </c>
      <c r="I65" t="n">
        <v>0</v>
      </c>
      <c r="J65" t="n">
        <v>1</v>
      </c>
      <c r="K65" t="n">
        <v>0</v>
      </c>
      <c r="L65" t="n">
        <v>0</v>
      </c>
      <c r="M65" t="n">
        <v>0</v>
      </c>
      <c r="N65" t="n">
        <v>0</v>
      </c>
      <c r="O65" t="n">
        <v>1</v>
      </c>
      <c r="P65" t="n">
        <v>0</v>
      </c>
      <c r="Q65" t="n">
        <v>1</v>
      </c>
      <c r="R65" s="2" t="inlineStr">
        <is>
          <t>Entita</t>
        </is>
      </c>
      <c r="S65">
        <f>HYPERLINK("https://klasma.github.io/Logging_0580/artfynd/A 48353-2025 artfynd.xlsx", "A 48353-2025")</f>
        <v/>
      </c>
      <c r="T65">
        <f>HYPERLINK("https://klasma.github.io/Logging_0580/kartor/A 48353-2025 karta.png", "A 48353-2025")</f>
        <v/>
      </c>
      <c r="V65">
        <f>HYPERLINK("https://klasma.github.io/Logging_0580/klagomål/A 48353-2025 FSC-klagomål.docx", "A 48353-2025")</f>
        <v/>
      </c>
      <c r="W65">
        <f>HYPERLINK("https://klasma.github.io/Logging_0580/klagomålsmail/A 48353-2025 FSC-klagomål mail.docx", "A 48353-2025")</f>
        <v/>
      </c>
      <c r="X65">
        <f>HYPERLINK("https://klasma.github.io/Logging_0580/tillsyn/A 48353-2025 tillsynsbegäran.docx", "A 48353-2025")</f>
        <v/>
      </c>
      <c r="Y65">
        <f>HYPERLINK("https://klasma.github.io/Logging_0580/tillsynsmail/A 48353-2025 tillsynsbegäran mail.docx", "A 48353-2025")</f>
        <v/>
      </c>
      <c r="Z65">
        <f>HYPERLINK("https://klasma.github.io/Logging_0580/fåglar/A 48353-2025 prioriterade fågelarter.docx", "A 48353-2025")</f>
        <v/>
      </c>
    </row>
    <row r="66" ht="15" customHeight="1">
      <c r="A66" t="inlineStr">
        <is>
          <t>A 48273-2025</t>
        </is>
      </c>
      <c r="B66" s="1" t="n">
        <v>45932</v>
      </c>
      <c r="C66" s="1" t="n">
        <v>46062</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46062</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90-2024</t>
        </is>
      </c>
      <c r="B68" s="1" t="n">
        <v>45293</v>
      </c>
      <c r="C68" s="1" t="n">
        <v>46062</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46062</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50034-2025</t>
        </is>
      </c>
      <c r="B70" s="1" t="n">
        <v>45941</v>
      </c>
      <c r="C70" s="1" t="n">
        <v>46062</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36723-2023</t>
        </is>
      </c>
      <c r="B71" s="1" t="n">
        <v>45153</v>
      </c>
      <c r="C71" s="1" t="n">
        <v>46062</v>
      </c>
      <c r="D71" t="inlineStr">
        <is>
          <t>ÖSTERGÖTLANDS LÄN</t>
        </is>
      </c>
      <c r="E71" t="inlineStr">
        <is>
          <t>LINKÖPING</t>
        </is>
      </c>
      <c r="F71" t="inlineStr">
        <is>
          <t>Allmännings- och besparingsskogar</t>
        </is>
      </c>
      <c r="G71" t="n">
        <v>9.9</v>
      </c>
      <c r="H71" t="n">
        <v>0</v>
      </c>
      <c r="I71" t="n">
        <v>0</v>
      </c>
      <c r="J71" t="n">
        <v>0</v>
      </c>
      <c r="K71" t="n">
        <v>1</v>
      </c>
      <c r="L71" t="n">
        <v>0</v>
      </c>
      <c r="M71" t="n">
        <v>0</v>
      </c>
      <c r="N71" t="n">
        <v>0</v>
      </c>
      <c r="O71" t="n">
        <v>1</v>
      </c>
      <c r="P71" t="n">
        <v>1</v>
      </c>
      <c r="Q71" t="n">
        <v>1</v>
      </c>
      <c r="R71" s="2" t="inlineStr">
        <is>
          <t>Bitter taggsvamp</t>
        </is>
      </c>
      <c r="S71">
        <f>HYPERLINK("https://klasma.github.io/Logging_0580/artfynd/A 36723-2023 artfynd.xlsx", "A 36723-2023")</f>
        <v/>
      </c>
      <c r="T71">
        <f>HYPERLINK("https://klasma.github.io/Logging_0580/kartor/A 36723-2023 karta.png", "A 36723-2023")</f>
        <v/>
      </c>
      <c r="V71">
        <f>HYPERLINK("https://klasma.github.io/Logging_0580/klagomål/A 36723-2023 FSC-klagomål.docx", "A 36723-2023")</f>
        <v/>
      </c>
      <c r="W71">
        <f>HYPERLINK("https://klasma.github.io/Logging_0580/klagomålsmail/A 36723-2023 FSC-klagomål mail.docx", "A 36723-2023")</f>
        <v/>
      </c>
      <c r="X71">
        <f>HYPERLINK("https://klasma.github.io/Logging_0580/tillsyn/A 36723-2023 tillsynsbegäran.docx", "A 36723-2023")</f>
        <v/>
      </c>
      <c r="Y71">
        <f>HYPERLINK("https://klasma.github.io/Logging_0580/tillsynsmail/A 36723-2023 tillsynsbegäran mail.docx", "A 36723-2023")</f>
        <v/>
      </c>
    </row>
    <row r="72" ht="15" customHeight="1">
      <c r="A72" t="inlineStr">
        <is>
          <t>A 15290-2025</t>
        </is>
      </c>
      <c r="B72" s="1" t="n">
        <v>45745.45288194445</v>
      </c>
      <c r="C72" s="1" t="n">
        <v>46062</v>
      </c>
      <c r="D72" t="inlineStr">
        <is>
          <t>ÖSTERGÖTLANDS LÄN</t>
        </is>
      </c>
      <c r="E72" t="inlineStr">
        <is>
          <t>LINKÖPING</t>
        </is>
      </c>
      <c r="G72" t="n">
        <v>18.4</v>
      </c>
      <c r="H72" t="n">
        <v>1</v>
      </c>
      <c r="I72" t="n">
        <v>0</v>
      </c>
      <c r="J72" t="n">
        <v>1</v>
      </c>
      <c r="K72" t="n">
        <v>0</v>
      </c>
      <c r="L72" t="n">
        <v>0</v>
      </c>
      <c r="M72" t="n">
        <v>0</v>
      </c>
      <c r="N72" t="n">
        <v>0</v>
      </c>
      <c r="O72" t="n">
        <v>1</v>
      </c>
      <c r="P72" t="n">
        <v>0</v>
      </c>
      <c r="Q72" t="n">
        <v>1</v>
      </c>
      <c r="R72" s="2" t="inlineStr">
        <is>
          <t>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34881-2023</t>
        </is>
      </c>
      <c r="B73" s="1" t="n">
        <v>45140</v>
      </c>
      <c r="C73" s="1" t="n">
        <v>46062</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Tallticka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50471-2024</t>
        </is>
      </c>
      <c r="B74" s="1" t="n">
        <v>45601.47166666666</v>
      </c>
      <c r="C74" s="1" t="n">
        <v>46062</v>
      </c>
      <c r="D74" t="inlineStr">
        <is>
          <t>ÖSTERGÖTLANDS LÄN</t>
        </is>
      </c>
      <c r="E74" t="inlineStr">
        <is>
          <t>LINKÖPING</t>
        </is>
      </c>
      <c r="F74" t="inlineStr">
        <is>
          <t>Övriga Aktiebolag</t>
        </is>
      </c>
      <c r="G74" t="n">
        <v>2</v>
      </c>
      <c r="H74" t="n">
        <v>0</v>
      </c>
      <c r="I74" t="n">
        <v>1</v>
      </c>
      <c r="J74" t="n">
        <v>0</v>
      </c>
      <c r="K74" t="n">
        <v>0</v>
      </c>
      <c r="L74" t="n">
        <v>0</v>
      </c>
      <c r="M74" t="n">
        <v>0</v>
      </c>
      <c r="N74" t="n">
        <v>0</v>
      </c>
      <c r="O74" t="n">
        <v>0</v>
      </c>
      <c r="P74" t="n">
        <v>0</v>
      </c>
      <c r="Q74" t="n">
        <v>1</v>
      </c>
      <c r="R74" s="2" t="inlineStr">
        <is>
          <t>Västlig hakmossa</t>
        </is>
      </c>
      <c r="S74">
        <f>HYPERLINK("https://klasma.github.io/Logging_0580/artfynd/A 50471-2024 artfynd.xlsx", "A 50471-2024")</f>
        <v/>
      </c>
      <c r="T74">
        <f>HYPERLINK("https://klasma.github.io/Logging_0580/kartor/A 50471-2024 karta.png", "A 50471-2024")</f>
        <v/>
      </c>
      <c r="V74">
        <f>HYPERLINK("https://klasma.github.io/Logging_0580/klagomål/A 50471-2024 FSC-klagomål.docx", "A 50471-2024")</f>
        <v/>
      </c>
      <c r="W74">
        <f>HYPERLINK("https://klasma.github.io/Logging_0580/klagomålsmail/A 50471-2024 FSC-klagomål mail.docx", "A 50471-2024")</f>
        <v/>
      </c>
      <c r="X74">
        <f>HYPERLINK("https://klasma.github.io/Logging_0580/tillsyn/A 50471-2024 tillsynsbegäran.docx", "A 50471-2024")</f>
        <v/>
      </c>
      <c r="Y74">
        <f>HYPERLINK("https://klasma.github.io/Logging_0580/tillsynsmail/A 50471-2024 tillsynsbegäran mail.docx", "A 50471-2024")</f>
        <v/>
      </c>
    </row>
    <row r="75" ht="15" customHeight="1">
      <c r="A75" t="inlineStr">
        <is>
          <t>A 17389-2021</t>
        </is>
      </c>
      <c r="B75" s="1" t="n">
        <v>44298.96792824074</v>
      </c>
      <c r="C75" s="1" t="n">
        <v>46062</v>
      </c>
      <c r="D75" t="inlineStr">
        <is>
          <t>ÖSTERGÖTLANDS LÄN</t>
        </is>
      </c>
      <c r="E75" t="inlineStr">
        <is>
          <t>LINKÖPING</t>
        </is>
      </c>
      <c r="G75" t="n">
        <v>5.1</v>
      </c>
      <c r="H75" t="n">
        <v>0</v>
      </c>
      <c r="I75" t="n">
        <v>1</v>
      </c>
      <c r="J75" t="n">
        <v>0</v>
      </c>
      <c r="K75" t="n">
        <v>0</v>
      </c>
      <c r="L75" t="n">
        <v>0</v>
      </c>
      <c r="M75" t="n">
        <v>0</v>
      </c>
      <c r="N75" t="n">
        <v>0</v>
      </c>
      <c r="O75" t="n">
        <v>0</v>
      </c>
      <c r="P75" t="n">
        <v>0</v>
      </c>
      <c r="Q75" t="n">
        <v>1</v>
      </c>
      <c r="R75" s="2" t="inlineStr">
        <is>
          <t>Blomkålssvamp</t>
        </is>
      </c>
      <c r="S75">
        <f>HYPERLINK("https://klasma.github.io/Logging_0580/artfynd/A 17389-2021 artfynd.xlsx", "A 17389-2021")</f>
        <v/>
      </c>
      <c r="T75">
        <f>HYPERLINK("https://klasma.github.io/Logging_0580/kartor/A 17389-2021 karta.png", "A 17389-2021")</f>
        <v/>
      </c>
      <c r="V75">
        <f>HYPERLINK("https://klasma.github.io/Logging_0580/klagomål/A 17389-2021 FSC-klagomål.docx", "A 17389-2021")</f>
        <v/>
      </c>
      <c r="W75">
        <f>HYPERLINK("https://klasma.github.io/Logging_0580/klagomålsmail/A 17389-2021 FSC-klagomål mail.docx", "A 17389-2021")</f>
        <v/>
      </c>
      <c r="X75">
        <f>HYPERLINK("https://klasma.github.io/Logging_0580/tillsyn/A 17389-2021 tillsynsbegäran.docx", "A 17389-2021")</f>
        <v/>
      </c>
      <c r="Y75">
        <f>HYPERLINK("https://klasma.github.io/Logging_0580/tillsynsmail/A 17389-2021 tillsynsbegäran mail.docx", "A 17389-2021")</f>
        <v/>
      </c>
    </row>
    <row r="76" ht="15" customHeight="1">
      <c r="A76" t="inlineStr">
        <is>
          <t>A 56112-2025</t>
        </is>
      </c>
      <c r="B76" s="1" t="n">
        <v>45973.73625</v>
      </c>
      <c r="C76" s="1" t="n">
        <v>46062</v>
      </c>
      <c r="D76" t="inlineStr">
        <is>
          <t>ÖSTERGÖTLANDS LÄN</t>
        </is>
      </c>
      <c r="E76" t="inlineStr">
        <is>
          <t>LINKÖPING</t>
        </is>
      </c>
      <c r="G76" t="n">
        <v>0.6</v>
      </c>
      <c r="H76" t="n">
        <v>0</v>
      </c>
      <c r="I76" t="n">
        <v>0</v>
      </c>
      <c r="J76" t="n">
        <v>1</v>
      </c>
      <c r="K76" t="n">
        <v>0</v>
      </c>
      <c r="L76" t="n">
        <v>0</v>
      </c>
      <c r="M76" t="n">
        <v>0</v>
      </c>
      <c r="N76" t="n">
        <v>0</v>
      </c>
      <c r="O76" t="n">
        <v>1</v>
      </c>
      <c r="P76" t="n">
        <v>0</v>
      </c>
      <c r="Q76" t="n">
        <v>1</v>
      </c>
      <c r="R76" s="2" t="inlineStr">
        <is>
          <t>Solvända</t>
        </is>
      </c>
      <c r="S76">
        <f>HYPERLINK("https://klasma.github.io/Logging_0580/artfynd/A 56112-2025 artfynd.xlsx", "A 56112-2025")</f>
        <v/>
      </c>
      <c r="T76">
        <f>HYPERLINK("https://klasma.github.io/Logging_0580/kartor/A 56112-2025 karta.png", "A 56112-2025")</f>
        <v/>
      </c>
      <c r="V76">
        <f>HYPERLINK("https://klasma.github.io/Logging_0580/klagomål/A 56112-2025 FSC-klagomål.docx", "A 56112-2025")</f>
        <v/>
      </c>
      <c r="W76">
        <f>HYPERLINK("https://klasma.github.io/Logging_0580/klagomålsmail/A 56112-2025 FSC-klagomål mail.docx", "A 56112-2025")</f>
        <v/>
      </c>
      <c r="X76">
        <f>HYPERLINK("https://klasma.github.io/Logging_0580/tillsyn/A 56112-2025 tillsynsbegäran.docx", "A 56112-2025")</f>
        <v/>
      </c>
      <c r="Y76">
        <f>HYPERLINK("https://klasma.github.io/Logging_0580/tillsynsmail/A 56112-2025 tillsynsbegäran mail.docx", "A 56112-2025")</f>
        <v/>
      </c>
    </row>
    <row r="77" ht="15" customHeight="1">
      <c r="A77" t="inlineStr">
        <is>
          <t>A 56128-2022</t>
        </is>
      </c>
      <c r="B77" s="1" t="n">
        <v>44889</v>
      </c>
      <c r="C77" s="1" t="n">
        <v>46062</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46062</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54835-2023</t>
        </is>
      </c>
      <c r="B79" s="1" t="n">
        <v>45236</v>
      </c>
      <c r="C79" s="1" t="n">
        <v>46062</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59474-2025</t>
        </is>
      </c>
      <c r="B80" s="1" t="n">
        <v>45989.58512731481</v>
      </c>
      <c r="C80" s="1" t="n">
        <v>46062</v>
      </c>
      <c r="D80" t="inlineStr">
        <is>
          <t>ÖSTERGÖTLANDS LÄN</t>
        </is>
      </c>
      <c r="E80" t="inlineStr">
        <is>
          <t>LINKÖPING</t>
        </is>
      </c>
      <c r="G80" t="n">
        <v>8</v>
      </c>
      <c r="H80" t="n">
        <v>0</v>
      </c>
      <c r="I80" t="n">
        <v>1</v>
      </c>
      <c r="J80" t="n">
        <v>0</v>
      </c>
      <c r="K80" t="n">
        <v>0</v>
      </c>
      <c r="L80" t="n">
        <v>0</v>
      </c>
      <c r="M80" t="n">
        <v>0</v>
      </c>
      <c r="N80" t="n">
        <v>0</v>
      </c>
      <c r="O80" t="n">
        <v>0</v>
      </c>
      <c r="P80" t="n">
        <v>0</v>
      </c>
      <c r="Q80" t="n">
        <v>1</v>
      </c>
      <c r="R80" s="2" t="inlineStr">
        <is>
          <t>Fällmossa</t>
        </is>
      </c>
      <c r="S80">
        <f>HYPERLINK("https://klasma.github.io/Logging_0580/artfynd/A 59474-2025 artfynd.xlsx", "A 59474-2025")</f>
        <v/>
      </c>
      <c r="T80">
        <f>HYPERLINK("https://klasma.github.io/Logging_0580/kartor/A 59474-2025 karta.png", "A 59474-2025")</f>
        <v/>
      </c>
      <c r="V80">
        <f>HYPERLINK("https://klasma.github.io/Logging_0580/klagomål/A 59474-2025 FSC-klagomål.docx", "A 59474-2025")</f>
        <v/>
      </c>
      <c r="W80">
        <f>HYPERLINK("https://klasma.github.io/Logging_0580/klagomålsmail/A 59474-2025 FSC-klagomål mail.docx", "A 59474-2025")</f>
        <v/>
      </c>
      <c r="X80">
        <f>HYPERLINK("https://klasma.github.io/Logging_0580/tillsyn/A 59474-2025 tillsynsbegäran.docx", "A 59474-2025")</f>
        <v/>
      </c>
      <c r="Y80">
        <f>HYPERLINK("https://klasma.github.io/Logging_0580/tillsynsmail/A 59474-2025 tillsynsbegäran mail.docx", "A 59474-2025")</f>
        <v/>
      </c>
    </row>
    <row r="81" ht="15" customHeight="1">
      <c r="A81" t="inlineStr">
        <is>
          <t>A 126-2024</t>
        </is>
      </c>
      <c r="B81" s="1" t="n">
        <v>45294</v>
      </c>
      <c r="C81" s="1" t="n">
        <v>46062</v>
      </c>
      <c r="D81" t="inlineStr">
        <is>
          <t>ÖSTERGÖTLANDS LÄN</t>
        </is>
      </c>
      <c r="E81" t="inlineStr">
        <is>
          <t>LINKÖPING</t>
        </is>
      </c>
      <c r="G81" t="n">
        <v>1</v>
      </c>
      <c r="H81" t="n">
        <v>0</v>
      </c>
      <c r="I81" t="n">
        <v>1</v>
      </c>
      <c r="J81" t="n">
        <v>0</v>
      </c>
      <c r="K81" t="n">
        <v>0</v>
      </c>
      <c r="L81" t="n">
        <v>0</v>
      </c>
      <c r="M81" t="n">
        <v>0</v>
      </c>
      <c r="N81" t="n">
        <v>0</v>
      </c>
      <c r="O81" t="n">
        <v>0</v>
      </c>
      <c r="P81" t="n">
        <v>0</v>
      </c>
      <c r="Q81" t="n">
        <v>1</v>
      </c>
      <c r="R81" s="2" t="inlineStr">
        <is>
          <t>Blåmossa</t>
        </is>
      </c>
      <c r="S81">
        <f>HYPERLINK("https://klasma.github.io/Logging_0580/artfynd/A 126-2024 artfynd.xlsx", "A 126-2024")</f>
        <v/>
      </c>
      <c r="T81">
        <f>HYPERLINK("https://klasma.github.io/Logging_0580/kartor/A 126-2024 karta.png", "A 126-2024")</f>
        <v/>
      </c>
      <c r="V81">
        <f>HYPERLINK("https://klasma.github.io/Logging_0580/klagomål/A 126-2024 FSC-klagomål.docx", "A 126-2024")</f>
        <v/>
      </c>
      <c r="W81">
        <f>HYPERLINK("https://klasma.github.io/Logging_0580/klagomålsmail/A 126-2024 FSC-klagomål mail.docx", "A 126-2024")</f>
        <v/>
      </c>
      <c r="X81">
        <f>HYPERLINK("https://klasma.github.io/Logging_0580/tillsyn/A 126-2024 tillsynsbegäran.docx", "A 126-2024")</f>
        <v/>
      </c>
      <c r="Y81">
        <f>HYPERLINK("https://klasma.github.io/Logging_0580/tillsynsmail/A 126-2024 tillsynsbegäran mail.docx", "A 126-2024")</f>
        <v/>
      </c>
    </row>
    <row r="82" ht="15" customHeight="1">
      <c r="A82" t="inlineStr">
        <is>
          <t>A 60311-2025</t>
        </is>
      </c>
      <c r="B82" s="1" t="n">
        <v>45994</v>
      </c>
      <c r="C82" s="1" t="n">
        <v>46062</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Gammelekslav</t>
        </is>
      </c>
      <c r="S82">
        <f>HYPERLINK("https://klasma.github.io/Logging_0580/artfynd/A 60311-2025 artfynd.xlsx", "A 60311-2025")</f>
        <v/>
      </c>
      <c r="T82">
        <f>HYPERLINK("https://klasma.github.io/Logging_0580/kartor/A 60311-2025 karta.png", "A 60311-2025")</f>
        <v/>
      </c>
      <c r="V82">
        <f>HYPERLINK("https://klasma.github.io/Logging_0580/klagomål/A 60311-2025 FSC-klagomål.docx", "A 60311-2025")</f>
        <v/>
      </c>
      <c r="W82">
        <f>HYPERLINK("https://klasma.github.io/Logging_0580/klagomålsmail/A 60311-2025 FSC-klagomål mail.docx", "A 60311-2025")</f>
        <v/>
      </c>
      <c r="X82">
        <f>HYPERLINK("https://klasma.github.io/Logging_0580/tillsyn/A 60311-2025 tillsynsbegäran.docx", "A 60311-2025")</f>
        <v/>
      </c>
      <c r="Y82">
        <f>HYPERLINK("https://klasma.github.io/Logging_0580/tillsynsmail/A 60311-2025 tillsynsbegäran mail.docx", "A 60311-2025")</f>
        <v/>
      </c>
    </row>
    <row r="83" ht="15" customHeight="1">
      <c r="A83" t="inlineStr">
        <is>
          <t>A 7186-2026</t>
        </is>
      </c>
      <c r="B83" s="1" t="n">
        <v>46058.49090277778</v>
      </c>
      <c r="C83" s="1" t="n">
        <v>46062</v>
      </c>
      <c r="D83" t="inlineStr">
        <is>
          <t>ÖSTERGÖTLANDS LÄN</t>
        </is>
      </c>
      <c r="E83" t="inlineStr">
        <is>
          <t>LINKÖPING</t>
        </is>
      </c>
      <c r="G83" t="n">
        <v>5.5</v>
      </c>
      <c r="H83" t="n">
        <v>0</v>
      </c>
      <c r="I83" t="n">
        <v>1</v>
      </c>
      <c r="J83" t="n">
        <v>0</v>
      </c>
      <c r="K83" t="n">
        <v>0</v>
      </c>
      <c r="L83" t="n">
        <v>0</v>
      </c>
      <c r="M83" t="n">
        <v>0</v>
      </c>
      <c r="N83" t="n">
        <v>0</v>
      </c>
      <c r="O83" t="n">
        <v>0</v>
      </c>
      <c r="P83" t="n">
        <v>0</v>
      </c>
      <c r="Q83" t="n">
        <v>1</v>
      </c>
      <c r="R83" s="2" t="inlineStr">
        <is>
          <t>Grönpyrola</t>
        </is>
      </c>
      <c r="S83">
        <f>HYPERLINK("https://klasma.github.io/Logging_0580/artfynd/A 7186-2026 artfynd.xlsx", "A 7186-2026")</f>
        <v/>
      </c>
      <c r="T83">
        <f>HYPERLINK("https://klasma.github.io/Logging_0580/kartor/A 7186-2026 karta.png", "A 7186-2026")</f>
        <v/>
      </c>
      <c r="V83">
        <f>HYPERLINK("https://klasma.github.io/Logging_0580/klagomål/A 7186-2026 FSC-klagomål.docx", "A 7186-2026")</f>
        <v/>
      </c>
      <c r="W83">
        <f>HYPERLINK("https://klasma.github.io/Logging_0580/klagomålsmail/A 7186-2026 FSC-klagomål mail.docx", "A 7186-2026")</f>
        <v/>
      </c>
      <c r="X83">
        <f>HYPERLINK("https://klasma.github.io/Logging_0580/tillsyn/A 7186-2026 tillsynsbegäran.docx", "A 7186-2026")</f>
        <v/>
      </c>
      <c r="Y83">
        <f>HYPERLINK("https://klasma.github.io/Logging_0580/tillsynsmail/A 7186-2026 tillsynsbegäran mail.docx", "A 7186-2026")</f>
        <v/>
      </c>
    </row>
    <row r="84" ht="15" customHeight="1">
      <c r="A84" t="inlineStr">
        <is>
          <t>A 3395-2023</t>
        </is>
      </c>
      <c r="B84" s="1" t="n">
        <v>44949</v>
      </c>
      <c r="C84" s="1" t="n">
        <v>46062</v>
      </c>
      <c r="D84" t="inlineStr">
        <is>
          <t>ÖSTERGÖTLANDS LÄN</t>
        </is>
      </c>
      <c r="E84" t="inlineStr">
        <is>
          <t>LINKÖPING</t>
        </is>
      </c>
      <c r="G84" t="n">
        <v>2</v>
      </c>
      <c r="H84" t="n">
        <v>0</v>
      </c>
      <c r="I84" t="n">
        <v>0</v>
      </c>
      <c r="J84" t="n">
        <v>1</v>
      </c>
      <c r="K84" t="n">
        <v>0</v>
      </c>
      <c r="L84" t="n">
        <v>0</v>
      </c>
      <c r="M84" t="n">
        <v>0</v>
      </c>
      <c r="N84" t="n">
        <v>0</v>
      </c>
      <c r="O84" t="n">
        <v>1</v>
      </c>
      <c r="P84" t="n">
        <v>0</v>
      </c>
      <c r="Q84" t="n">
        <v>1</v>
      </c>
      <c r="R84" s="2" t="inlineStr">
        <is>
          <t>Sommarfibbla</t>
        </is>
      </c>
      <c r="S84">
        <f>HYPERLINK("https://klasma.github.io/Logging_0580/artfynd/A 3395-2023 artfynd.xlsx", "A 3395-2023")</f>
        <v/>
      </c>
      <c r="T84">
        <f>HYPERLINK("https://klasma.github.io/Logging_0580/kartor/A 3395-2023 karta.png", "A 3395-2023")</f>
        <v/>
      </c>
      <c r="V84">
        <f>HYPERLINK("https://klasma.github.io/Logging_0580/klagomål/A 3395-2023 FSC-klagomål.docx", "A 3395-2023")</f>
        <v/>
      </c>
      <c r="W84">
        <f>HYPERLINK("https://klasma.github.io/Logging_0580/klagomålsmail/A 3395-2023 FSC-klagomål mail.docx", "A 3395-2023")</f>
        <v/>
      </c>
      <c r="X84">
        <f>HYPERLINK("https://klasma.github.io/Logging_0580/tillsyn/A 3395-2023 tillsynsbegäran.docx", "A 3395-2023")</f>
        <v/>
      </c>
      <c r="Y84">
        <f>HYPERLINK("https://klasma.github.io/Logging_0580/tillsynsmail/A 3395-2023 tillsynsbegäran mail.docx", "A 3395-2023")</f>
        <v/>
      </c>
    </row>
    <row r="85" ht="15" customHeight="1">
      <c r="A85" t="inlineStr">
        <is>
          <t>A 19103-2021</t>
        </is>
      </c>
      <c r="B85" s="1" t="n">
        <v>44308</v>
      </c>
      <c r="C85" s="1" t="n">
        <v>46062</v>
      </c>
      <c r="D85" t="inlineStr">
        <is>
          <t>ÖSTERGÖTLANDS LÄN</t>
        </is>
      </c>
      <c r="E85" t="inlineStr">
        <is>
          <t>LINKÖPING</t>
        </is>
      </c>
      <c r="G85" t="n">
        <v>4.7</v>
      </c>
      <c r="H85" t="n">
        <v>0</v>
      </c>
      <c r="I85" t="n">
        <v>0</v>
      </c>
      <c r="J85" t="n">
        <v>1</v>
      </c>
      <c r="K85" t="n">
        <v>0</v>
      </c>
      <c r="L85" t="n">
        <v>0</v>
      </c>
      <c r="M85" t="n">
        <v>0</v>
      </c>
      <c r="N85" t="n">
        <v>0</v>
      </c>
      <c r="O85" t="n">
        <v>1</v>
      </c>
      <c r="P85" t="n">
        <v>0</v>
      </c>
      <c r="Q85" t="n">
        <v>1</v>
      </c>
      <c r="R85" s="2" t="inlineStr">
        <is>
          <t>Tallticka</t>
        </is>
      </c>
      <c r="S85">
        <f>HYPERLINK("https://klasma.github.io/Logging_0580/artfynd/A 19103-2021 artfynd.xlsx", "A 19103-2021")</f>
        <v/>
      </c>
      <c r="T85">
        <f>HYPERLINK("https://klasma.github.io/Logging_0580/kartor/A 19103-2021 karta.png", "A 19103-2021")</f>
        <v/>
      </c>
      <c r="V85">
        <f>HYPERLINK("https://klasma.github.io/Logging_0580/klagomål/A 19103-2021 FSC-klagomål.docx", "A 19103-2021")</f>
        <v/>
      </c>
      <c r="W85">
        <f>HYPERLINK("https://klasma.github.io/Logging_0580/klagomålsmail/A 19103-2021 FSC-klagomål mail.docx", "A 19103-2021")</f>
        <v/>
      </c>
      <c r="X85">
        <f>HYPERLINK("https://klasma.github.io/Logging_0580/tillsyn/A 19103-2021 tillsynsbegäran.docx", "A 19103-2021")</f>
        <v/>
      </c>
      <c r="Y85">
        <f>HYPERLINK("https://klasma.github.io/Logging_0580/tillsynsmail/A 19103-2021 tillsynsbegäran mail.docx", "A 19103-2021")</f>
        <v/>
      </c>
    </row>
    <row r="86" ht="15" customHeight="1">
      <c r="A86" t="inlineStr">
        <is>
          <t>A 50806-2023</t>
        </is>
      </c>
      <c r="B86" s="1" t="n">
        <v>45217</v>
      </c>
      <c r="C86" s="1" t="n">
        <v>46062</v>
      </c>
      <c r="D86" t="inlineStr">
        <is>
          <t>ÖSTERGÖTLANDS LÄN</t>
        </is>
      </c>
      <c r="E86" t="inlineStr">
        <is>
          <t>LINKÖPING</t>
        </is>
      </c>
      <c r="F86" t="inlineStr">
        <is>
          <t>Övriga Aktiebolag</t>
        </is>
      </c>
      <c r="G86" t="n">
        <v>0.7</v>
      </c>
      <c r="H86" t="n">
        <v>1</v>
      </c>
      <c r="I86" t="n">
        <v>0</v>
      </c>
      <c r="J86" t="n">
        <v>0</v>
      </c>
      <c r="K86" t="n">
        <v>0</v>
      </c>
      <c r="L86" t="n">
        <v>0</v>
      </c>
      <c r="M86" t="n">
        <v>0</v>
      </c>
      <c r="N86" t="n">
        <v>0</v>
      </c>
      <c r="O86" t="n">
        <v>0</v>
      </c>
      <c r="P86" t="n">
        <v>0</v>
      </c>
      <c r="Q86" t="n">
        <v>1</v>
      </c>
      <c r="R86" s="2" t="inlineStr">
        <is>
          <t>Gullviva</t>
        </is>
      </c>
      <c r="S86">
        <f>HYPERLINK("https://klasma.github.io/Logging_0580/artfynd/A 50806-2023 artfynd.xlsx", "A 50806-2023")</f>
        <v/>
      </c>
      <c r="T86">
        <f>HYPERLINK("https://klasma.github.io/Logging_0580/kartor/A 50806-2023 karta.png", "A 50806-2023")</f>
        <v/>
      </c>
      <c r="V86">
        <f>HYPERLINK("https://klasma.github.io/Logging_0580/klagomål/A 50806-2023 FSC-klagomål.docx", "A 50806-2023")</f>
        <v/>
      </c>
      <c r="W86">
        <f>HYPERLINK("https://klasma.github.io/Logging_0580/klagomålsmail/A 50806-2023 FSC-klagomål mail.docx", "A 50806-2023")</f>
        <v/>
      </c>
      <c r="X86">
        <f>HYPERLINK("https://klasma.github.io/Logging_0580/tillsyn/A 50806-2023 tillsynsbegäran.docx", "A 50806-2023")</f>
        <v/>
      </c>
      <c r="Y86">
        <f>HYPERLINK("https://klasma.github.io/Logging_0580/tillsynsmail/A 50806-2023 tillsynsbegäran mail.docx", "A 50806-2023")</f>
        <v/>
      </c>
    </row>
    <row r="87" ht="15" customHeight="1">
      <c r="A87" t="inlineStr">
        <is>
          <t>A 39457-2023</t>
        </is>
      </c>
      <c r="B87" s="1" t="n">
        <v>45166</v>
      </c>
      <c r="C87" s="1" t="n">
        <v>46062</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35948-2023</t>
        </is>
      </c>
      <c r="B88" s="1" t="n">
        <v>45148</v>
      </c>
      <c r="C88" s="1" t="n">
        <v>46062</v>
      </c>
      <c r="D88" t="inlineStr">
        <is>
          <t>ÖSTERGÖTLANDS LÄN</t>
        </is>
      </c>
      <c r="E88" t="inlineStr">
        <is>
          <t>LINKÖPING</t>
        </is>
      </c>
      <c r="G88" t="n">
        <v>1.9</v>
      </c>
      <c r="H88" t="n">
        <v>0</v>
      </c>
      <c r="I88" t="n">
        <v>1</v>
      </c>
      <c r="J88" t="n">
        <v>0</v>
      </c>
      <c r="K88" t="n">
        <v>0</v>
      </c>
      <c r="L88" t="n">
        <v>0</v>
      </c>
      <c r="M88" t="n">
        <v>0</v>
      </c>
      <c r="N88" t="n">
        <v>0</v>
      </c>
      <c r="O88" t="n">
        <v>0</v>
      </c>
      <c r="P88" t="n">
        <v>0</v>
      </c>
      <c r="Q88" t="n">
        <v>1</v>
      </c>
      <c r="R88" s="2" t="inlineStr">
        <is>
          <t>Brun nållav</t>
        </is>
      </c>
      <c r="S88">
        <f>HYPERLINK("https://klasma.github.io/Logging_0580/artfynd/A 35948-2023 artfynd.xlsx", "A 35948-2023")</f>
        <v/>
      </c>
      <c r="T88">
        <f>HYPERLINK("https://klasma.github.io/Logging_0580/kartor/A 35948-2023 karta.png", "A 35948-2023")</f>
        <v/>
      </c>
      <c r="V88">
        <f>HYPERLINK("https://klasma.github.io/Logging_0580/klagomål/A 35948-2023 FSC-klagomål.docx", "A 35948-2023")</f>
        <v/>
      </c>
      <c r="W88">
        <f>HYPERLINK("https://klasma.github.io/Logging_0580/klagomålsmail/A 35948-2023 FSC-klagomål mail.docx", "A 35948-2023")</f>
        <v/>
      </c>
      <c r="X88">
        <f>HYPERLINK("https://klasma.github.io/Logging_0580/tillsyn/A 35948-2023 tillsynsbegäran.docx", "A 35948-2023")</f>
        <v/>
      </c>
      <c r="Y88">
        <f>HYPERLINK("https://klasma.github.io/Logging_0580/tillsynsmail/A 35948-2023 tillsynsbegäran mail.docx", "A 35948-2023")</f>
        <v/>
      </c>
    </row>
    <row r="89" ht="15" customHeight="1">
      <c r="A89" t="inlineStr">
        <is>
          <t>A 62071-2023</t>
        </is>
      </c>
      <c r="B89" s="1" t="n">
        <v>45266.73542824074</v>
      </c>
      <c r="C89" s="1" t="n">
        <v>46062</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3397-2023</t>
        </is>
      </c>
      <c r="B90" s="1" t="n">
        <v>44949</v>
      </c>
      <c r="C90" s="1" t="n">
        <v>46062</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20295-2025</t>
        </is>
      </c>
      <c r="B91" s="1" t="n">
        <v>45774.74846064814</v>
      </c>
      <c r="C91" s="1" t="n">
        <v>46062</v>
      </c>
      <c r="D91" t="inlineStr">
        <is>
          <t>ÖSTERGÖTLANDS LÄN</t>
        </is>
      </c>
      <c r="E91" t="inlineStr">
        <is>
          <t>LINKÖPING</t>
        </is>
      </c>
      <c r="G91" t="n">
        <v>3</v>
      </c>
      <c r="H91" t="n">
        <v>0</v>
      </c>
      <c r="I91" t="n">
        <v>0</v>
      </c>
      <c r="J91" t="n">
        <v>1</v>
      </c>
      <c r="K91" t="n">
        <v>0</v>
      </c>
      <c r="L91" t="n">
        <v>0</v>
      </c>
      <c r="M91" t="n">
        <v>0</v>
      </c>
      <c r="N91" t="n">
        <v>0</v>
      </c>
      <c r="O91" t="n">
        <v>1</v>
      </c>
      <c r="P91" t="n">
        <v>0</v>
      </c>
      <c r="Q91" t="n">
        <v>1</v>
      </c>
      <c r="R91" s="2" t="inlineStr">
        <is>
          <t>Tallticka</t>
        </is>
      </c>
      <c r="S91">
        <f>HYPERLINK("https://klasma.github.io/Logging_0580/artfynd/A 20295-2025 artfynd.xlsx", "A 20295-2025")</f>
        <v/>
      </c>
      <c r="T91">
        <f>HYPERLINK("https://klasma.github.io/Logging_0580/kartor/A 20295-2025 karta.png", "A 20295-2025")</f>
        <v/>
      </c>
      <c r="V91">
        <f>HYPERLINK("https://klasma.github.io/Logging_0580/klagomål/A 20295-2025 FSC-klagomål.docx", "A 20295-2025")</f>
        <v/>
      </c>
      <c r="W91">
        <f>HYPERLINK("https://klasma.github.io/Logging_0580/klagomålsmail/A 20295-2025 FSC-klagomål mail.docx", "A 20295-2025")</f>
        <v/>
      </c>
      <c r="X91">
        <f>HYPERLINK("https://klasma.github.io/Logging_0580/tillsyn/A 20295-2025 tillsynsbegäran.docx", "A 20295-2025")</f>
        <v/>
      </c>
      <c r="Y91">
        <f>HYPERLINK("https://klasma.github.io/Logging_0580/tillsynsmail/A 20295-2025 tillsynsbegäran mail.docx", "A 20295-2025")</f>
        <v/>
      </c>
    </row>
    <row r="92" ht="15" customHeight="1">
      <c r="A92" t="inlineStr">
        <is>
          <t>A 60573-2021</t>
        </is>
      </c>
      <c r="B92" s="1" t="n">
        <v>44496</v>
      </c>
      <c r="C92" s="1" t="n">
        <v>46062</v>
      </c>
      <c r="D92" t="inlineStr">
        <is>
          <t>ÖSTERGÖTLANDS LÄN</t>
        </is>
      </c>
      <c r="E92" t="inlineStr">
        <is>
          <t>LINKÖPING</t>
        </is>
      </c>
      <c r="F92" t="inlineStr">
        <is>
          <t>Övriga Aktiebolag</t>
        </is>
      </c>
      <c r="G92" t="n">
        <v>5.6</v>
      </c>
      <c r="H92" t="n">
        <v>0</v>
      </c>
      <c r="I92" t="n">
        <v>0</v>
      </c>
      <c r="J92" t="n">
        <v>1</v>
      </c>
      <c r="K92" t="n">
        <v>0</v>
      </c>
      <c r="L92" t="n">
        <v>0</v>
      </c>
      <c r="M92" t="n">
        <v>0</v>
      </c>
      <c r="N92" t="n">
        <v>0</v>
      </c>
      <c r="O92" t="n">
        <v>1</v>
      </c>
      <c r="P92" t="n">
        <v>0</v>
      </c>
      <c r="Q92" t="n">
        <v>1</v>
      </c>
      <c r="R92" s="2" t="inlineStr">
        <is>
          <t>Sommarfibbla</t>
        </is>
      </c>
      <c r="S92">
        <f>HYPERLINK("https://klasma.github.io/Logging_0580/artfynd/A 60573-2021 artfynd.xlsx", "A 60573-2021")</f>
        <v/>
      </c>
      <c r="T92">
        <f>HYPERLINK("https://klasma.github.io/Logging_0580/kartor/A 60573-2021 karta.png", "A 60573-2021")</f>
        <v/>
      </c>
      <c r="V92">
        <f>HYPERLINK("https://klasma.github.io/Logging_0580/klagomål/A 60573-2021 FSC-klagomål.docx", "A 60573-2021")</f>
        <v/>
      </c>
      <c r="W92">
        <f>HYPERLINK("https://klasma.github.io/Logging_0580/klagomålsmail/A 60573-2021 FSC-klagomål mail.docx", "A 60573-2021")</f>
        <v/>
      </c>
      <c r="X92">
        <f>HYPERLINK("https://klasma.github.io/Logging_0580/tillsyn/A 60573-2021 tillsynsbegäran.docx", "A 60573-2021")</f>
        <v/>
      </c>
      <c r="Y92">
        <f>HYPERLINK("https://klasma.github.io/Logging_0580/tillsynsmail/A 60573-2021 tillsynsbegäran mail.docx", "A 60573-2021")</f>
        <v/>
      </c>
    </row>
    <row r="93" ht="15" customHeight="1">
      <c r="A93" t="inlineStr">
        <is>
          <t>A 41749-2023</t>
        </is>
      </c>
      <c r="B93" s="1" t="n">
        <v>45176</v>
      </c>
      <c r="C93" s="1" t="n">
        <v>46062</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41749-2023 artfynd.xlsx", "A 41749-2023")</f>
        <v/>
      </c>
      <c r="T93">
        <f>HYPERLINK("https://klasma.github.io/Logging_0580/kartor/A 41749-2023 karta.png", "A 41749-2023")</f>
        <v/>
      </c>
      <c r="V93">
        <f>HYPERLINK("https://klasma.github.io/Logging_0580/klagomål/A 41749-2023 FSC-klagomål.docx", "A 41749-2023")</f>
        <v/>
      </c>
      <c r="W93">
        <f>HYPERLINK("https://klasma.github.io/Logging_0580/klagomålsmail/A 41749-2023 FSC-klagomål mail.docx", "A 41749-2023")</f>
        <v/>
      </c>
      <c r="X93">
        <f>HYPERLINK("https://klasma.github.io/Logging_0580/tillsyn/A 41749-2023 tillsynsbegäran.docx", "A 41749-2023")</f>
        <v/>
      </c>
      <c r="Y93">
        <f>HYPERLINK("https://klasma.github.io/Logging_0580/tillsynsmail/A 41749-2023 tillsynsbegäran mail.docx", "A 41749-2023")</f>
        <v/>
      </c>
    </row>
    <row r="94" ht="15" customHeight="1">
      <c r="A94" t="inlineStr">
        <is>
          <t>A 38881-2021</t>
        </is>
      </c>
      <c r="B94" s="1" t="n">
        <v>44411.46893518518</v>
      </c>
      <c r="C94" s="1" t="n">
        <v>46062</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46062</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46062</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46062</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46062</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46062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46062</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6958-2021</t>
        </is>
      </c>
      <c r="B101" s="1" t="n">
        <v>44237</v>
      </c>
      <c r="C101" s="1" t="n">
        <v>46062</v>
      </c>
      <c r="D101" t="inlineStr">
        <is>
          <t>ÖSTERGÖTLANDS LÄN</t>
        </is>
      </c>
      <c r="E101" t="inlineStr">
        <is>
          <t>LINKÖPING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46062</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46062</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46062</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46062</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46062</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46062</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46062</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46062</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46062</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46062</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46062</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46062</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46062</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46062</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46062</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46062</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46062</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46062</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46062</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46062</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46062</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46062</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46062</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46062</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46062</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46062</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46062</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46062</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46062</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46062</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46062</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46062</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46062</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46062</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46062</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46062</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46062</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46062</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46062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46062</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46062</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46062</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46062</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46062</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46062</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46062</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46062</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46062</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46062</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46062</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9935-2021</t>
        </is>
      </c>
      <c r="B152" s="1" t="n">
        <v>44253</v>
      </c>
      <c r="C152" s="1" t="n">
        <v>46062</v>
      </c>
      <c r="D152" t="inlineStr">
        <is>
          <t>ÖSTERGÖTLANDS LÄN</t>
        </is>
      </c>
      <c r="E152" t="inlineStr">
        <is>
          <t>LINKÖPING</t>
        </is>
      </c>
      <c r="G152" t="n">
        <v>4.5</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46062</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46062</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46062</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46062</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46062</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46062</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46062</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46062</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46062</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46062</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46062</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46062</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46062</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46062</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46062</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46062</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46062</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46062</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46062</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46062</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46062</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46062</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46062</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46062</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46062</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46062</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46062</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46062</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46062</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46062</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46062</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46062</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46062</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46062</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46062</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46062</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46062</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46062</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46062</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46062</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46062</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46062</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46062</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46062</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46062</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46062</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46062</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46062</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54845-2023</t>
        </is>
      </c>
      <c r="B201" s="1" t="n">
        <v>45236</v>
      </c>
      <c r="C201" s="1" t="n">
        <v>46062</v>
      </c>
      <c r="D201" t="inlineStr">
        <is>
          <t>ÖSTERGÖTLANDS LÄN</t>
        </is>
      </c>
      <c r="E201" t="inlineStr">
        <is>
          <t>LINKÖPING</t>
        </is>
      </c>
      <c r="F201" t="inlineStr">
        <is>
          <t>Övriga Aktiebolag</t>
        </is>
      </c>
      <c r="G201" t="n">
        <v>5.7</v>
      </c>
      <c r="H201" t="n">
        <v>0</v>
      </c>
      <c r="I201" t="n">
        <v>0</v>
      </c>
      <c r="J201" t="n">
        <v>0</v>
      </c>
      <c r="K201" t="n">
        <v>0</v>
      </c>
      <c r="L201" t="n">
        <v>0</v>
      </c>
      <c r="M201" t="n">
        <v>0</v>
      </c>
      <c r="N201" t="n">
        <v>0</v>
      </c>
      <c r="O201" t="n">
        <v>0</v>
      </c>
      <c r="P201" t="n">
        <v>0</v>
      </c>
      <c r="Q201" t="n">
        <v>0</v>
      </c>
      <c r="R201" s="2" t="inlineStr"/>
    </row>
    <row r="202" ht="15" customHeight="1">
      <c r="A202" t="inlineStr">
        <is>
          <t>A 63489-2023</t>
        </is>
      </c>
      <c r="B202" s="1" t="n">
        <v>45274.66761574074</v>
      </c>
      <c r="C202" s="1" t="n">
        <v>46062</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22772-2024</t>
        </is>
      </c>
      <c r="B203" s="1" t="n">
        <v>45448.46712962963</v>
      </c>
      <c r="C203" s="1" t="n">
        <v>46062</v>
      </c>
      <c r="D203" t="inlineStr">
        <is>
          <t>ÖSTERGÖTLANDS LÄN</t>
        </is>
      </c>
      <c r="E203" t="inlineStr">
        <is>
          <t>LINKÖPING</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46062</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46062</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28266-2024</t>
        </is>
      </c>
      <c r="B206" s="1" t="n">
        <v>45477.43600694444</v>
      </c>
      <c r="C206" s="1" t="n">
        <v>46062</v>
      </c>
      <c r="D206" t="inlineStr">
        <is>
          <t>ÖSTERGÖTLANDS LÄN</t>
        </is>
      </c>
      <c r="E206" t="inlineStr">
        <is>
          <t>LINKÖPING</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62488-2023</t>
        </is>
      </c>
      <c r="B207" s="1" t="n">
        <v>45268.5847337963</v>
      </c>
      <c r="C207" s="1" t="n">
        <v>46062</v>
      </c>
      <c r="D207" t="inlineStr">
        <is>
          <t>ÖSTERGÖTLANDS LÄN</t>
        </is>
      </c>
      <c r="E207" t="inlineStr">
        <is>
          <t>LINKÖPING</t>
        </is>
      </c>
      <c r="G207" t="n">
        <v>4.1</v>
      </c>
      <c r="H207" t="n">
        <v>0</v>
      </c>
      <c r="I207" t="n">
        <v>0</v>
      </c>
      <c r="J207" t="n">
        <v>0</v>
      </c>
      <c r="K207" t="n">
        <v>0</v>
      </c>
      <c r="L207" t="n">
        <v>0</v>
      </c>
      <c r="M207" t="n">
        <v>0</v>
      </c>
      <c r="N207" t="n">
        <v>0</v>
      </c>
      <c r="O207" t="n">
        <v>0</v>
      </c>
      <c r="P207" t="n">
        <v>0</v>
      </c>
      <c r="Q207" t="n">
        <v>0</v>
      </c>
      <c r="R207" s="2" t="inlineStr"/>
    </row>
    <row r="208" ht="15" customHeight="1">
      <c r="A208" t="inlineStr">
        <is>
          <t>A 20455-2024</t>
        </is>
      </c>
      <c r="B208" s="1" t="n">
        <v>45435.65314814815</v>
      </c>
      <c r="C208" s="1" t="n">
        <v>46062</v>
      </c>
      <c r="D208" t="inlineStr">
        <is>
          <t>ÖSTERGÖTLANDS LÄN</t>
        </is>
      </c>
      <c r="E208" t="inlineStr">
        <is>
          <t>LINKÖPING</t>
        </is>
      </c>
      <c r="G208" t="n">
        <v>2.6</v>
      </c>
      <c r="H208" t="n">
        <v>0</v>
      </c>
      <c r="I208" t="n">
        <v>0</v>
      </c>
      <c r="J208" t="n">
        <v>0</v>
      </c>
      <c r="K208" t="n">
        <v>0</v>
      </c>
      <c r="L208" t="n">
        <v>0</v>
      </c>
      <c r="M208" t="n">
        <v>0</v>
      </c>
      <c r="N208" t="n">
        <v>0</v>
      </c>
      <c r="O208" t="n">
        <v>0</v>
      </c>
      <c r="P208" t="n">
        <v>0</v>
      </c>
      <c r="Q208" t="n">
        <v>0</v>
      </c>
      <c r="R208" s="2" t="inlineStr"/>
    </row>
    <row r="209" ht="15" customHeight="1">
      <c r="A209" t="inlineStr">
        <is>
          <t>A 52796-2023</t>
        </is>
      </c>
      <c r="B209" s="1" t="n">
        <v>45219</v>
      </c>
      <c r="C209" s="1" t="n">
        <v>46062</v>
      </c>
      <c r="D209" t="inlineStr">
        <is>
          <t>ÖSTERGÖTLANDS LÄN</t>
        </is>
      </c>
      <c r="E209" t="inlineStr">
        <is>
          <t>LINKÖPING</t>
        </is>
      </c>
      <c r="F209" t="inlineStr">
        <is>
          <t>Övriga statliga verk och myndigheter</t>
        </is>
      </c>
      <c r="G209" t="n">
        <v>3.9</v>
      </c>
      <c r="H209" t="n">
        <v>0</v>
      </c>
      <c r="I209" t="n">
        <v>0</v>
      </c>
      <c r="J209" t="n">
        <v>0</v>
      </c>
      <c r="K209" t="n">
        <v>0</v>
      </c>
      <c r="L209" t="n">
        <v>0</v>
      </c>
      <c r="M209" t="n">
        <v>0</v>
      </c>
      <c r="N209" t="n">
        <v>0</v>
      </c>
      <c r="O209" t="n">
        <v>0</v>
      </c>
      <c r="P209" t="n">
        <v>0</v>
      </c>
      <c r="Q209" t="n">
        <v>0</v>
      </c>
      <c r="R209" s="2" t="inlineStr"/>
    </row>
    <row r="210" ht="15" customHeight="1">
      <c r="A210" t="inlineStr">
        <is>
          <t>A 24351-2024</t>
        </is>
      </c>
      <c r="B210" s="1" t="n">
        <v>45457.59011574074</v>
      </c>
      <c r="C210" s="1" t="n">
        <v>46062</v>
      </c>
      <c r="D210" t="inlineStr">
        <is>
          <t>ÖSTERGÖTLANDS LÄN</t>
        </is>
      </c>
      <c r="E210" t="inlineStr">
        <is>
          <t>LINKÖPING</t>
        </is>
      </c>
      <c r="G210" t="n">
        <v>11.9</v>
      </c>
      <c r="H210" t="n">
        <v>0</v>
      </c>
      <c r="I210" t="n">
        <v>0</v>
      </c>
      <c r="J210" t="n">
        <v>0</v>
      </c>
      <c r="K210" t="n">
        <v>0</v>
      </c>
      <c r="L210" t="n">
        <v>0</v>
      </c>
      <c r="M210" t="n">
        <v>0</v>
      </c>
      <c r="N210" t="n">
        <v>0</v>
      </c>
      <c r="O210" t="n">
        <v>0</v>
      </c>
      <c r="P210" t="n">
        <v>0</v>
      </c>
      <c r="Q210" t="n">
        <v>0</v>
      </c>
      <c r="R210" s="2" t="inlineStr"/>
    </row>
    <row r="211" ht="15" customHeight="1">
      <c r="A211" t="inlineStr">
        <is>
          <t>A 224-2024</t>
        </is>
      </c>
      <c r="B211" s="1" t="n">
        <v>45294</v>
      </c>
      <c r="C211" s="1" t="n">
        <v>46062</v>
      </c>
      <c r="D211" t="inlineStr">
        <is>
          <t>ÖSTERGÖTLANDS LÄN</t>
        </is>
      </c>
      <c r="E211" t="inlineStr">
        <is>
          <t>LINKÖPING</t>
        </is>
      </c>
      <c r="G211" t="n">
        <v>2.8</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46062</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34877-2023</t>
        </is>
      </c>
      <c r="B213" s="1" t="n">
        <v>45140</v>
      </c>
      <c r="C213" s="1" t="n">
        <v>46062</v>
      </c>
      <c r="D213" t="inlineStr">
        <is>
          <t>ÖSTERGÖTLANDS LÄN</t>
        </is>
      </c>
      <c r="E213" t="inlineStr">
        <is>
          <t>LINKÖPING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25418-2023</t>
        </is>
      </c>
      <c r="B214" s="1" t="n">
        <v>45089</v>
      </c>
      <c r="C214" s="1" t="n">
        <v>46062</v>
      </c>
      <c r="D214" t="inlineStr">
        <is>
          <t>ÖSTERGÖTLANDS LÄN</t>
        </is>
      </c>
      <c r="E214" t="inlineStr">
        <is>
          <t>LINKÖPING</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30856-2022</t>
        </is>
      </c>
      <c r="B215" s="1" t="n">
        <v>44767</v>
      </c>
      <c r="C215" s="1" t="n">
        <v>46062</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57745-2022</t>
        </is>
      </c>
      <c r="B216" s="1" t="n">
        <v>44897.58119212963</v>
      </c>
      <c r="C216" s="1" t="n">
        <v>46062</v>
      </c>
      <c r="D216" t="inlineStr">
        <is>
          <t>ÖSTERGÖTLANDS LÄN</t>
        </is>
      </c>
      <c r="E216" t="inlineStr">
        <is>
          <t>LINKÖPING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1993-2023</t>
        </is>
      </c>
      <c r="B217" s="1" t="n">
        <v>44939</v>
      </c>
      <c r="C217" s="1" t="n">
        <v>46062</v>
      </c>
      <c r="D217" t="inlineStr">
        <is>
          <t>ÖSTERGÖTLANDS LÄN</t>
        </is>
      </c>
      <c r="E217" t="inlineStr">
        <is>
          <t>LINKÖPING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34889-2023</t>
        </is>
      </c>
      <c r="B218" s="1" t="n">
        <v>45140</v>
      </c>
      <c r="C218" s="1" t="n">
        <v>46062</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46062</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46062</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46062</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46062</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46062</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46062</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46062</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7354-2025</t>
        </is>
      </c>
      <c r="B226" s="1" t="n">
        <v>45704.41174768518</v>
      </c>
      <c r="C226" s="1" t="n">
        <v>46062</v>
      </c>
      <c r="D226" t="inlineStr">
        <is>
          <t>ÖSTERGÖTLANDS LÄN</t>
        </is>
      </c>
      <c r="E226" t="inlineStr">
        <is>
          <t>LINKÖPING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34928-2023</t>
        </is>
      </c>
      <c r="B227" s="1" t="n">
        <v>45142</v>
      </c>
      <c r="C227" s="1" t="n">
        <v>46062</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1263-2024</t>
        </is>
      </c>
      <c r="B228" s="1" t="n">
        <v>45302</v>
      </c>
      <c r="C228" s="1" t="n">
        <v>46062</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46062</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55945-2024</t>
        </is>
      </c>
      <c r="B230" s="1" t="n">
        <v>45623.61754629629</v>
      </c>
      <c r="C230" s="1" t="n">
        <v>46062</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20291-2025</t>
        </is>
      </c>
      <c r="B231" s="1" t="n">
        <v>45774.74288194445</v>
      </c>
      <c r="C231" s="1" t="n">
        <v>46062</v>
      </c>
      <c r="D231" t="inlineStr">
        <is>
          <t>ÖSTERGÖTLANDS LÄN</t>
        </is>
      </c>
      <c r="E231" t="inlineStr">
        <is>
          <t>LINKÖPING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20293-2025</t>
        </is>
      </c>
      <c r="B232" s="1" t="n">
        <v>45774.74611111111</v>
      </c>
      <c r="C232" s="1" t="n">
        <v>46062</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63665-2023</t>
        </is>
      </c>
      <c r="B233" s="1" t="n">
        <v>45275</v>
      </c>
      <c r="C233" s="1" t="n">
        <v>46062</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33867-2023</t>
        </is>
      </c>
      <c r="B234" s="1" t="n">
        <v>45133.94640046296</v>
      </c>
      <c r="C234" s="1" t="n">
        <v>46062</v>
      </c>
      <c r="D234" t="inlineStr">
        <is>
          <t>ÖSTERGÖTLANDS LÄN</t>
        </is>
      </c>
      <c r="E234" t="inlineStr">
        <is>
          <t>LINKÖPING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30985-2022</t>
        </is>
      </c>
      <c r="B235" s="1" t="n">
        <v>44768</v>
      </c>
      <c r="C235" s="1" t="n">
        <v>46062</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3041-2024</t>
        </is>
      </c>
      <c r="B236" s="1" t="n">
        <v>45316.34875</v>
      </c>
      <c r="C236" s="1" t="n">
        <v>46062</v>
      </c>
      <c r="D236" t="inlineStr">
        <is>
          <t>ÖSTERGÖTLANDS LÄN</t>
        </is>
      </c>
      <c r="E236" t="inlineStr">
        <is>
          <t>LINKÖPING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38317-2024</t>
        </is>
      </c>
      <c r="B237" s="1" t="n">
        <v>45545.65766203704</v>
      </c>
      <c r="C237" s="1" t="n">
        <v>46062</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50963-2021</t>
        </is>
      </c>
      <c r="B238" s="1" t="n">
        <v>44460</v>
      </c>
      <c r="C238" s="1" t="n">
        <v>46062</v>
      </c>
      <c r="D238" t="inlineStr">
        <is>
          <t>ÖSTERGÖTLANDS LÄN</t>
        </is>
      </c>
      <c r="E238" t="inlineStr">
        <is>
          <t>LINKÖPING</t>
        </is>
      </c>
      <c r="G238" t="n">
        <v>4.4</v>
      </c>
      <c r="H238" t="n">
        <v>0</v>
      </c>
      <c r="I238" t="n">
        <v>0</v>
      </c>
      <c r="J238" t="n">
        <v>0</v>
      </c>
      <c r="K238" t="n">
        <v>0</v>
      </c>
      <c r="L238" t="n">
        <v>0</v>
      </c>
      <c r="M238" t="n">
        <v>0</v>
      </c>
      <c r="N238" t="n">
        <v>0</v>
      </c>
      <c r="O238" t="n">
        <v>0</v>
      </c>
      <c r="P238" t="n">
        <v>0</v>
      </c>
      <c r="Q238" t="n">
        <v>0</v>
      </c>
      <c r="R238" s="2" t="inlineStr"/>
    </row>
    <row r="239" ht="15" customHeight="1">
      <c r="A239" t="inlineStr">
        <is>
          <t>A 61307-2021</t>
        </is>
      </c>
      <c r="B239" s="1" t="n">
        <v>44498.63928240741</v>
      </c>
      <c r="C239" s="1" t="n">
        <v>46062</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61325-2021</t>
        </is>
      </c>
      <c r="B240" s="1" t="n">
        <v>44498.66814814815</v>
      </c>
      <c r="C240" s="1" t="n">
        <v>46062</v>
      </c>
      <c r="D240" t="inlineStr">
        <is>
          <t>ÖSTERGÖTLANDS LÄN</t>
        </is>
      </c>
      <c r="E240" t="inlineStr">
        <is>
          <t>LINKÖPING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46062</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46062</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46062</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16665-2023</t>
        </is>
      </c>
      <c r="B244" s="1" t="n">
        <v>45030.5583912037</v>
      </c>
      <c r="C244" s="1" t="n">
        <v>46062</v>
      </c>
      <c r="D244" t="inlineStr">
        <is>
          <t>ÖSTERGÖTLANDS LÄN</t>
        </is>
      </c>
      <c r="E244" t="inlineStr">
        <is>
          <t>LINKÖPING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58947-2022</t>
        </is>
      </c>
      <c r="B245" s="1" t="n">
        <v>44903.64769675926</v>
      </c>
      <c r="C245" s="1" t="n">
        <v>46062</v>
      </c>
      <c r="D245" t="inlineStr">
        <is>
          <t>ÖSTERGÖTLANDS LÄN</t>
        </is>
      </c>
      <c r="E245" t="inlineStr">
        <is>
          <t>LINKÖPING</t>
        </is>
      </c>
      <c r="G245" t="n">
        <v>4</v>
      </c>
      <c r="H245" t="n">
        <v>0</v>
      </c>
      <c r="I245" t="n">
        <v>0</v>
      </c>
      <c r="J245" t="n">
        <v>0</v>
      </c>
      <c r="K245" t="n">
        <v>0</v>
      </c>
      <c r="L245" t="n">
        <v>0</v>
      </c>
      <c r="M245" t="n">
        <v>0</v>
      </c>
      <c r="N245" t="n">
        <v>0</v>
      </c>
      <c r="O245" t="n">
        <v>0</v>
      </c>
      <c r="P245" t="n">
        <v>0</v>
      </c>
      <c r="Q245" t="n">
        <v>0</v>
      </c>
      <c r="R245" s="2" t="inlineStr"/>
    </row>
    <row r="246" ht="15" customHeight="1">
      <c r="A246" t="inlineStr">
        <is>
          <t>A 38136-2023</t>
        </is>
      </c>
      <c r="B246" s="1" t="n">
        <v>45161.37310185185</v>
      </c>
      <c r="C246" s="1" t="n">
        <v>46062</v>
      </c>
      <c r="D246" t="inlineStr">
        <is>
          <t>ÖSTERGÖTLANDS LÄN</t>
        </is>
      </c>
      <c r="E246" t="inlineStr">
        <is>
          <t>LINKÖPING</t>
        </is>
      </c>
      <c r="G246" t="n">
        <v>5.6</v>
      </c>
      <c r="H246" t="n">
        <v>0</v>
      </c>
      <c r="I246" t="n">
        <v>0</v>
      </c>
      <c r="J246" t="n">
        <v>0</v>
      </c>
      <c r="K246" t="n">
        <v>0</v>
      </c>
      <c r="L246" t="n">
        <v>0</v>
      </c>
      <c r="M246" t="n">
        <v>0</v>
      </c>
      <c r="N246" t="n">
        <v>0</v>
      </c>
      <c r="O246" t="n">
        <v>0</v>
      </c>
      <c r="P246" t="n">
        <v>0</v>
      </c>
      <c r="Q246" t="n">
        <v>0</v>
      </c>
      <c r="R246" s="2" t="inlineStr"/>
    </row>
    <row r="247" ht="15" customHeight="1">
      <c r="A247" t="inlineStr">
        <is>
          <t>A 2085-2024</t>
        </is>
      </c>
      <c r="B247" s="1" t="n">
        <v>45309</v>
      </c>
      <c r="C247" s="1" t="n">
        <v>46062</v>
      </c>
      <c r="D247" t="inlineStr">
        <is>
          <t>ÖSTERGÖTLANDS LÄN</t>
        </is>
      </c>
      <c r="E247" t="inlineStr">
        <is>
          <t>LINKÖPING</t>
        </is>
      </c>
      <c r="G247" t="n">
        <v>4.5</v>
      </c>
      <c r="H247" t="n">
        <v>0</v>
      </c>
      <c r="I247" t="n">
        <v>0</v>
      </c>
      <c r="J247" t="n">
        <v>0</v>
      </c>
      <c r="K247" t="n">
        <v>0</v>
      </c>
      <c r="L247" t="n">
        <v>0</v>
      </c>
      <c r="M247" t="n">
        <v>0</v>
      </c>
      <c r="N247" t="n">
        <v>0</v>
      </c>
      <c r="O247" t="n">
        <v>0</v>
      </c>
      <c r="P247" t="n">
        <v>0</v>
      </c>
      <c r="Q247" t="n">
        <v>0</v>
      </c>
      <c r="R247" s="2" t="inlineStr"/>
    </row>
    <row r="248" ht="15" customHeight="1">
      <c r="A248" t="inlineStr">
        <is>
          <t>A 30468-2023</t>
        </is>
      </c>
      <c r="B248" s="1" t="n">
        <v>45111.58732638889</v>
      </c>
      <c r="C248" s="1" t="n">
        <v>46062</v>
      </c>
      <c r="D248" t="inlineStr">
        <is>
          <t>ÖSTERGÖTLANDS LÄN</t>
        </is>
      </c>
      <c r="E248" t="inlineStr">
        <is>
          <t>LINKÖPING</t>
        </is>
      </c>
      <c r="G248" t="n">
        <v>10.1</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46062</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36557-2023</t>
        </is>
      </c>
      <c r="B250" s="1" t="n">
        <v>45153</v>
      </c>
      <c r="C250" s="1" t="n">
        <v>46062</v>
      </c>
      <c r="D250" t="inlineStr">
        <is>
          <t>ÖSTERGÖTLANDS LÄN</t>
        </is>
      </c>
      <c r="E250" t="inlineStr">
        <is>
          <t>LINKÖPING</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38715-2023</t>
        </is>
      </c>
      <c r="B251" s="1" t="n">
        <v>45160</v>
      </c>
      <c r="C251" s="1" t="n">
        <v>46062</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44280-2024</t>
        </is>
      </c>
      <c r="B252" s="1" t="n">
        <v>45573.49461805556</v>
      </c>
      <c r="C252" s="1" t="n">
        <v>46062</v>
      </c>
      <c r="D252" t="inlineStr">
        <is>
          <t>ÖSTERGÖTLANDS LÄN</t>
        </is>
      </c>
      <c r="E252" t="inlineStr">
        <is>
          <t>LINKÖPING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34864-2023</t>
        </is>
      </c>
      <c r="B253" s="1" t="n">
        <v>45141</v>
      </c>
      <c r="C253" s="1" t="n">
        <v>46062</v>
      </c>
      <c r="D253" t="inlineStr">
        <is>
          <t>ÖSTERGÖTLANDS LÄN</t>
        </is>
      </c>
      <c r="E253" t="inlineStr">
        <is>
          <t>LINKÖPING</t>
        </is>
      </c>
      <c r="G253" t="n">
        <v>3.3</v>
      </c>
      <c r="H253" t="n">
        <v>0</v>
      </c>
      <c r="I253" t="n">
        <v>0</v>
      </c>
      <c r="J253" t="n">
        <v>0</v>
      </c>
      <c r="K253" t="n">
        <v>0</v>
      </c>
      <c r="L253" t="n">
        <v>0</v>
      </c>
      <c r="M253" t="n">
        <v>0</v>
      </c>
      <c r="N253" t="n">
        <v>0</v>
      </c>
      <c r="O253" t="n">
        <v>0</v>
      </c>
      <c r="P253" t="n">
        <v>0</v>
      </c>
      <c r="Q253" t="n">
        <v>0</v>
      </c>
      <c r="R253" s="2" t="inlineStr"/>
    </row>
    <row r="254" ht="15" customHeight="1">
      <c r="A254" t="inlineStr">
        <is>
          <t>A 46687-2021</t>
        </is>
      </c>
      <c r="B254" s="1" t="n">
        <v>44445</v>
      </c>
      <c r="C254" s="1" t="n">
        <v>46062</v>
      </c>
      <c r="D254" t="inlineStr">
        <is>
          <t>ÖSTERGÖTLANDS LÄN</t>
        </is>
      </c>
      <c r="E254" t="inlineStr">
        <is>
          <t>LINKÖPING</t>
        </is>
      </c>
      <c r="F254" t="inlineStr">
        <is>
          <t>Övriga statliga verk och myndigheter</t>
        </is>
      </c>
      <c r="G254" t="n">
        <v>2.3</v>
      </c>
      <c r="H254" t="n">
        <v>0</v>
      </c>
      <c r="I254" t="n">
        <v>0</v>
      </c>
      <c r="J254" t="n">
        <v>0</v>
      </c>
      <c r="K254" t="n">
        <v>0</v>
      </c>
      <c r="L254" t="n">
        <v>0</v>
      </c>
      <c r="M254" t="n">
        <v>0</v>
      </c>
      <c r="N254" t="n">
        <v>0</v>
      </c>
      <c r="O254" t="n">
        <v>0</v>
      </c>
      <c r="P254" t="n">
        <v>0</v>
      </c>
      <c r="Q254" t="n">
        <v>0</v>
      </c>
      <c r="R254" s="2" t="inlineStr"/>
    </row>
    <row r="255" ht="15" customHeight="1">
      <c r="A255" t="inlineStr">
        <is>
          <t>A 17103-2025</t>
        </is>
      </c>
      <c r="B255" s="1" t="n">
        <v>45755.66143518518</v>
      </c>
      <c r="C255" s="1" t="n">
        <v>46062</v>
      </c>
      <c r="D255" t="inlineStr">
        <is>
          <t>ÖSTERGÖTLANDS LÄN</t>
        </is>
      </c>
      <c r="E255" t="inlineStr">
        <is>
          <t>LINKÖPING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40618-2021</t>
        </is>
      </c>
      <c r="B256" s="1" t="n">
        <v>44420.49575231481</v>
      </c>
      <c r="C256" s="1" t="n">
        <v>46062</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56180-2024</t>
        </is>
      </c>
      <c r="B257" s="1" t="n">
        <v>45624.56611111111</v>
      </c>
      <c r="C257" s="1" t="n">
        <v>46062</v>
      </c>
      <c r="D257" t="inlineStr">
        <is>
          <t>ÖSTERGÖTLANDS LÄN</t>
        </is>
      </c>
      <c r="E257" t="inlineStr">
        <is>
          <t>LINKÖPING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30471-2023</t>
        </is>
      </c>
      <c r="B258" s="1" t="n">
        <v>45111.58931712963</v>
      </c>
      <c r="C258" s="1" t="n">
        <v>46062</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227-2024</t>
        </is>
      </c>
      <c r="B259" s="1" t="n">
        <v>45294.73603009259</v>
      </c>
      <c r="C259" s="1" t="n">
        <v>46062</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26002-2025</t>
        </is>
      </c>
      <c r="B260" s="1" t="n">
        <v>45804.66534722222</v>
      </c>
      <c r="C260" s="1" t="n">
        <v>46062</v>
      </c>
      <c r="D260" t="inlineStr">
        <is>
          <t>ÖSTERGÖTLANDS LÄN</t>
        </is>
      </c>
      <c r="E260" t="inlineStr">
        <is>
          <t>LINKÖPING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44155-2024</t>
        </is>
      </c>
      <c r="B261" s="1" t="n">
        <v>45572.68226851852</v>
      </c>
      <c r="C261" s="1" t="n">
        <v>46062</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30434-2024</t>
        </is>
      </c>
      <c r="B262" s="1" t="n">
        <v>45491.69811342593</v>
      </c>
      <c r="C262" s="1" t="n">
        <v>46062</v>
      </c>
      <c r="D262" t="inlineStr">
        <is>
          <t>ÖSTERGÖTLANDS LÄN</t>
        </is>
      </c>
      <c r="E262" t="inlineStr">
        <is>
          <t>LINKÖPING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56917-2022</t>
        </is>
      </c>
      <c r="B263" s="1" t="n">
        <v>44894</v>
      </c>
      <c r="C263" s="1" t="n">
        <v>46062</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57766-2023</t>
        </is>
      </c>
      <c r="B264" s="1" t="n">
        <v>45246</v>
      </c>
      <c r="C264" s="1" t="n">
        <v>46062</v>
      </c>
      <c r="D264" t="inlineStr">
        <is>
          <t>ÖSTERGÖTLANDS LÄN</t>
        </is>
      </c>
      <c r="E264" t="inlineStr">
        <is>
          <t>LINKÖPING</t>
        </is>
      </c>
      <c r="F264" t="inlineStr">
        <is>
          <t>Allmännings- och besparingsskogar</t>
        </is>
      </c>
      <c r="G264" t="n">
        <v>12.8</v>
      </c>
      <c r="H264" t="n">
        <v>0</v>
      </c>
      <c r="I264" t="n">
        <v>0</v>
      </c>
      <c r="J264" t="n">
        <v>0</v>
      </c>
      <c r="K264" t="n">
        <v>0</v>
      </c>
      <c r="L264" t="n">
        <v>0</v>
      </c>
      <c r="M264" t="n">
        <v>0</v>
      </c>
      <c r="N264" t="n">
        <v>0</v>
      </c>
      <c r="O264" t="n">
        <v>0</v>
      </c>
      <c r="P264" t="n">
        <v>0</v>
      </c>
      <c r="Q264" t="n">
        <v>0</v>
      </c>
      <c r="R264" s="2" t="inlineStr"/>
    </row>
    <row r="265" ht="15" customHeight="1">
      <c r="A265" t="inlineStr">
        <is>
          <t>A 25996-2025</t>
        </is>
      </c>
      <c r="B265" s="1" t="n">
        <v>45804.65851851852</v>
      </c>
      <c r="C265" s="1" t="n">
        <v>46062</v>
      </c>
      <c r="D265" t="inlineStr">
        <is>
          <t>ÖSTERGÖTLANDS LÄN</t>
        </is>
      </c>
      <c r="E265" t="inlineStr">
        <is>
          <t>LINKÖPING</t>
        </is>
      </c>
      <c r="G265" t="n">
        <v>3.2</v>
      </c>
      <c r="H265" t="n">
        <v>0</v>
      </c>
      <c r="I265" t="n">
        <v>0</v>
      </c>
      <c r="J265" t="n">
        <v>0</v>
      </c>
      <c r="K265" t="n">
        <v>0</v>
      </c>
      <c r="L265" t="n">
        <v>0</v>
      </c>
      <c r="M265" t="n">
        <v>0</v>
      </c>
      <c r="N265" t="n">
        <v>0</v>
      </c>
      <c r="O265" t="n">
        <v>0</v>
      </c>
      <c r="P265" t="n">
        <v>0</v>
      </c>
      <c r="Q265" t="n">
        <v>0</v>
      </c>
      <c r="R265" s="2" t="inlineStr"/>
    </row>
    <row r="266" ht="15" customHeight="1">
      <c r="A266" t="inlineStr">
        <is>
          <t>A 3008-2023</t>
        </is>
      </c>
      <c r="B266" s="1" t="n">
        <v>44945.79784722222</v>
      </c>
      <c r="C266" s="1" t="n">
        <v>46062</v>
      </c>
      <c r="D266" t="inlineStr">
        <is>
          <t>ÖSTERGÖTLANDS LÄN</t>
        </is>
      </c>
      <c r="E266" t="inlineStr">
        <is>
          <t>LINKÖPING</t>
        </is>
      </c>
      <c r="G266" t="n">
        <v>19.3</v>
      </c>
      <c r="H266" t="n">
        <v>0</v>
      </c>
      <c r="I266" t="n">
        <v>0</v>
      </c>
      <c r="J266" t="n">
        <v>0</v>
      </c>
      <c r="K266" t="n">
        <v>0</v>
      </c>
      <c r="L266" t="n">
        <v>0</v>
      </c>
      <c r="M266" t="n">
        <v>0</v>
      </c>
      <c r="N266" t="n">
        <v>0</v>
      </c>
      <c r="O266" t="n">
        <v>0</v>
      </c>
      <c r="P266" t="n">
        <v>0</v>
      </c>
      <c r="Q266" t="n">
        <v>0</v>
      </c>
      <c r="R266" s="2" t="inlineStr"/>
    </row>
    <row r="267" ht="15" customHeight="1">
      <c r="A267" t="inlineStr">
        <is>
          <t>A 39438-2025</t>
        </is>
      </c>
      <c r="B267" s="1" t="n">
        <v>45889.68641203704</v>
      </c>
      <c r="C267" s="1" t="n">
        <v>46062</v>
      </c>
      <c r="D267" t="inlineStr">
        <is>
          <t>ÖSTERGÖTLANDS LÄN</t>
        </is>
      </c>
      <c r="E267" t="inlineStr">
        <is>
          <t>LINKÖPING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27264-2025</t>
        </is>
      </c>
      <c r="B268" s="1" t="n">
        <v>45812.4794212963</v>
      </c>
      <c r="C268" s="1" t="n">
        <v>46062</v>
      </c>
      <c r="D268" t="inlineStr">
        <is>
          <t>ÖSTERGÖTLANDS LÄN</t>
        </is>
      </c>
      <c r="E268" t="inlineStr">
        <is>
          <t>LINKÖPING</t>
        </is>
      </c>
      <c r="G268" t="n">
        <v>2.6</v>
      </c>
      <c r="H268" t="n">
        <v>0</v>
      </c>
      <c r="I268" t="n">
        <v>0</v>
      </c>
      <c r="J268" t="n">
        <v>0</v>
      </c>
      <c r="K268" t="n">
        <v>0</v>
      </c>
      <c r="L268" t="n">
        <v>0</v>
      </c>
      <c r="M268" t="n">
        <v>0</v>
      </c>
      <c r="N268" t="n">
        <v>0</v>
      </c>
      <c r="O268" t="n">
        <v>0</v>
      </c>
      <c r="P268" t="n">
        <v>0</v>
      </c>
      <c r="Q268" t="n">
        <v>0</v>
      </c>
      <c r="R268" s="2" t="inlineStr"/>
    </row>
    <row r="269" ht="15" customHeight="1">
      <c r="A269" t="inlineStr">
        <is>
          <t>A 25568-2024</t>
        </is>
      </c>
      <c r="B269" s="1" t="n">
        <v>45463.58699074074</v>
      </c>
      <c r="C269" s="1" t="n">
        <v>46062</v>
      </c>
      <c r="D269" t="inlineStr">
        <is>
          <t>ÖSTERGÖTLANDS LÄN</t>
        </is>
      </c>
      <c r="E269" t="inlineStr">
        <is>
          <t>LINKÖPING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39074-2025</t>
        </is>
      </c>
      <c r="B270" s="1" t="n">
        <v>45888</v>
      </c>
      <c r="C270" s="1" t="n">
        <v>46062</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72567-2021</t>
        </is>
      </c>
      <c r="B271" s="1" t="n">
        <v>44546.45023148148</v>
      </c>
      <c r="C271" s="1" t="n">
        <v>46062</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22833-2023</t>
        </is>
      </c>
      <c r="B272" s="1" t="n">
        <v>45071</v>
      </c>
      <c r="C272" s="1" t="n">
        <v>46062</v>
      </c>
      <c r="D272" t="inlineStr">
        <is>
          <t>ÖSTERGÖTLANDS LÄN</t>
        </is>
      </c>
      <c r="E272" t="inlineStr">
        <is>
          <t>LINKÖPING</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2997-2025</t>
        </is>
      </c>
      <c r="B273" s="1" t="n">
        <v>45678.54631944445</v>
      </c>
      <c r="C273" s="1" t="n">
        <v>46062</v>
      </c>
      <c r="D273" t="inlineStr">
        <is>
          <t>ÖSTERGÖTLANDS LÄN</t>
        </is>
      </c>
      <c r="E273" t="inlineStr">
        <is>
          <t>LINKÖPING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41345-2021</t>
        </is>
      </c>
      <c r="B274" s="1" t="n">
        <v>44424.61851851852</v>
      </c>
      <c r="C274" s="1" t="n">
        <v>46062</v>
      </c>
      <c r="D274" t="inlineStr">
        <is>
          <t>ÖSTERGÖTLANDS LÄN</t>
        </is>
      </c>
      <c r="E274" t="inlineStr">
        <is>
          <t>LINKÖPING</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13266-2025</t>
        </is>
      </c>
      <c r="B275" s="1" t="n">
        <v>45735.53318287037</v>
      </c>
      <c r="C275" s="1" t="n">
        <v>46062</v>
      </c>
      <c r="D275" t="inlineStr">
        <is>
          <t>ÖSTERGÖTLANDS LÄN</t>
        </is>
      </c>
      <c r="E275" t="inlineStr">
        <is>
          <t>LINKÖPING</t>
        </is>
      </c>
      <c r="G275" t="n">
        <v>3.1</v>
      </c>
      <c r="H275" t="n">
        <v>0</v>
      </c>
      <c r="I275" t="n">
        <v>0</v>
      </c>
      <c r="J275" t="n">
        <v>0</v>
      </c>
      <c r="K275" t="n">
        <v>0</v>
      </c>
      <c r="L275" t="n">
        <v>0</v>
      </c>
      <c r="M275" t="n">
        <v>0</v>
      </c>
      <c r="N275" t="n">
        <v>0</v>
      </c>
      <c r="O275" t="n">
        <v>0</v>
      </c>
      <c r="P275" t="n">
        <v>0</v>
      </c>
      <c r="Q275" t="n">
        <v>0</v>
      </c>
      <c r="R275" s="2" t="inlineStr"/>
    </row>
    <row r="276" ht="15" customHeight="1">
      <c r="A276" t="inlineStr">
        <is>
          <t>A 40169-2025</t>
        </is>
      </c>
      <c r="B276" s="1" t="n">
        <v>45894.62824074074</v>
      </c>
      <c r="C276" s="1" t="n">
        <v>46062</v>
      </c>
      <c r="D276" t="inlineStr">
        <is>
          <t>ÖSTERGÖTLANDS LÄN</t>
        </is>
      </c>
      <c r="E276" t="inlineStr">
        <is>
          <t>LINKÖPING</t>
        </is>
      </c>
      <c r="G276" t="n">
        <v>2.8</v>
      </c>
      <c r="H276" t="n">
        <v>0</v>
      </c>
      <c r="I276" t="n">
        <v>0</v>
      </c>
      <c r="J276" t="n">
        <v>0</v>
      </c>
      <c r="K276" t="n">
        <v>0</v>
      </c>
      <c r="L276" t="n">
        <v>0</v>
      </c>
      <c r="M276" t="n">
        <v>0</v>
      </c>
      <c r="N276" t="n">
        <v>0</v>
      </c>
      <c r="O276" t="n">
        <v>0</v>
      </c>
      <c r="P276" t="n">
        <v>0</v>
      </c>
      <c r="Q276" t="n">
        <v>0</v>
      </c>
      <c r="R276" s="2" t="inlineStr"/>
    </row>
    <row r="277" ht="15" customHeight="1">
      <c r="A277" t="inlineStr">
        <is>
          <t>A 16213-2025</t>
        </is>
      </c>
      <c r="B277" s="1" t="n">
        <v>45750.62740740741</v>
      </c>
      <c r="C277" s="1" t="n">
        <v>46062</v>
      </c>
      <c r="D277" t="inlineStr">
        <is>
          <t>ÖSTERGÖTLANDS LÄN</t>
        </is>
      </c>
      <c r="E277" t="inlineStr">
        <is>
          <t>LINKÖPING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27950-2025</t>
        </is>
      </c>
      <c r="B278" s="1" t="n">
        <v>45817.52960648148</v>
      </c>
      <c r="C278" s="1" t="n">
        <v>46062</v>
      </c>
      <c r="D278" t="inlineStr">
        <is>
          <t>ÖSTERGÖTLANDS LÄN</t>
        </is>
      </c>
      <c r="E278" t="inlineStr">
        <is>
          <t>LINKÖPING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27797-2025</t>
        </is>
      </c>
      <c r="B279" s="1" t="n">
        <v>45816.80521990741</v>
      </c>
      <c r="C279" s="1" t="n">
        <v>46062</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27798-2025</t>
        </is>
      </c>
      <c r="B280" s="1" t="n">
        <v>45816.81532407407</v>
      </c>
      <c r="C280" s="1" t="n">
        <v>46062</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46225-2021</t>
        </is>
      </c>
      <c r="B281" s="1" t="n">
        <v>44442</v>
      </c>
      <c r="C281" s="1" t="n">
        <v>46062</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25776-2021</t>
        </is>
      </c>
      <c r="B282" s="1" t="n">
        <v>44343</v>
      </c>
      <c r="C282" s="1" t="n">
        <v>46062</v>
      </c>
      <c r="D282" t="inlineStr">
        <is>
          <t>ÖSTERGÖTLANDS LÄN</t>
        </is>
      </c>
      <c r="E282" t="inlineStr">
        <is>
          <t>LINKÖPING</t>
        </is>
      </c>
      <c r="G282" t="n">
        <v>2.6</v>
      </c>
      <c r="H282" t="n">
        <v>0</v>
      </c>
      <c r="I282" t="n">
        <v>0</v>
      </c>
      <c r="J282" t="n">
        <v>0</v>
      </c>
      <c r="K282" t="n">
        <v>0</v>
      </c>
      <c r="L282" t="n">
        <v>0</v>
      </c>
      <c r="M282" t="n">
        <v>0</v>
      </c>
      <c r="N282" t="n">
        <v>0</v>
      </c>
      <c r="O282" t="n">
        <v>0</v>
      </c>
      <c r="P282" t="n">
        <v>0</v>
      </c>
      <c r="Q282" t="n">
        <v>0</v>
      </c>
      <c r="R282" s="2" t="inlineStr"/>
    </row>
    <row r="283" ht="15" customHeight="1">
      <c r="A283" t="inlineStr">
        <is>
          <t>A 28200-2025</t>
        </is>
      </c>
      <c r="B283" s="1" t="n">
        <v>45818.4428125</v>
      </c>
      <c r="C283" s="1" t="n">
        <v>46062</v>
      </c>
      <c r="D283" t="inlineStr">
        <is>
          <t>ÖSTERGÖTLANDS LÄN</t>
        </is>
      </c>
      <c r="E283" t="inlineStr">
        <is>
          <t>LINKÖPING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51484-2023</t>
        </is>
      </c>
      <c r="B284" s="1" t="n">
        <v>45222</v>
      </c>
      <c r="C284" s="1" t="n">
        <v>46062</v>
      </c>
      <c r="D284" t="inlineStr">
        <is>
          <t>ÖSTERGÖTLANDS LÄN</t>
        </is>
      </c>
      <c r="E284" t="inlineStr">
        <is>
          <t>LINKÖPING</t>
        </is>
      </c>
      <c r="F284" t="inlineStr">
        <is>
          <t>Övriga Aktiebolag</t>
        </is>
      </c>
      <c r="G284" t="n">
        <v>7.7</v>
      </c>
      <c r="H284" t="n">
        <v>0</v>
      </c>
      <c r="I284" t="n">
        <v>0</v>
      </c>
      <c r="J284" t="n">
        <v>0</v>
      </c>
      <c r="K284" t="n">
        <v>0</v>
      </c>
      <c r="L284" t="n">
        <v>0</v>
      </c>
      <c r="M284" t="n">
        <v>0</v>
      </c>
      <c r="N284" t="n">
        <v>0</v>
      </c>
      <c r="O284" t="n">
        <v>0</v>
      </c>
      <c r="P284" t="n">
        <v>0</v>
      </c>
      <c r="Q284" t="n">
        <v>0</v>
      </c>
      <c r="R284" s="2" t="inlineStr"/>
    </row>
    <row r="285" ht="15" customHeight="1">
      <c r="A285" t="inlineStr">
        <is>
          <t>A 17898-2022</t>
        </is>
      </c>
      <c r="B285" s="1" t="n">
        <v>44683</v>
      </c>
      <c r="C285" s="1" t="n">
        <v>46062</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28204-2025</t>
        </is>
      </c>
      <c r="B286" s="1" t="n">
        <v>45818.4477662037</v>
      </c>
      <c r="C286" s="1" t="n">
        <v>46062</v>
      </c>
      <c r="D286" t="inlineStr">
        <is>
          <t>ÖSTERGÖTLANDS LÄN</t>
        </is>
      </c>
      <c r="E286" t="inlineStr">
        <is>
          <t>LINKÖPING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63487-2023</t>
        </is>
      </c>
      <c r="B287" s="1" t="n">
        <v>45274.66712962963</v>
      </c>
      <c r="C287" s="1" t="n">
        <v>46062</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35463-2023</t>
        </is>
      </c>
      <c r="B288" s="1" t="n">
        <v>45146</v>
      </c>
      <c r="C288" s="1" t="n">
        <v>46062</v>
      </c>
      <c r="D288" t="inlineStr">
        <is>
          <t>ÖSTERGÖTLANDS LÄN</t>
        </is>
      </c>
      <c r="E288" t="inlineStr">
        <is>
          <t>LINKÖPING</t>
        </is>
      </c>
      <c r="F288" t="inlineStr">
        <is>
          <t>Övriga Aktiebolag</t>
        </is>
      </c>
      <c r="G288" t="n">
        <v>1.8</v>
      </c>
      <c r="H288" t="n">
        <v>0</v>
      </c>
      <c r="I288" t="n">
        <v>0</v>
      </c>
      <c r="J288" t="n">
        <v>0</v>
      </c>
      <c r="K288" t="n">
        <v>0</v>
      </c>
      <c r="L288" t="n">
        <v>0</v>
      </c>
      <c r="M288" t="n">
        <v>0</v>
      </c>
      <c r="N288" t="n">
        <v>0</v>
      </c>
      <c r="O288" t="n">
        <v>0</v>
      </c>
      <c r="P288" t="n">
        <v>0</v>
      </c>
      <c r="Q288" t="n">
        <v>0</v>
      </c>
      <c r="R288" s="2" t="inlineStr"/>
    </row>
    <row r="289" ht="15" customHeight="1">
      <c r="A289" t="inlineStr">
        <is>
          <t>A 28416-2025</t>
        </is>
      </c>
      <c r="B289" s="1" t="n">
        <v>45819.35346064815</v>
      </c>
      <c r="C289" s="1" t="n">
        <v>46062</v>
      </c>
      <c r="D289" t="inlineStr">
        <is>
          <t>ÖSTERGÖTLANDS LÄN</t>
        </is>
      </c>
      <c r="E289" t="inlineStr">
        <is>
          <t>LINKÖPING</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28398-2025</t>
        </is>
      </c>
      <c r="B290" s="1" t="n">
        <v>45819.34208333334</v>
      </c>
      <c r="C290" s="1" t="n">
        <v>46062</v>
      </c>
      <c r="D290" t="inlineStr">
        <is>
          <t>ÖSTERGÖTLANDS LÄN</t>
        </is>
      </c>
      <c r="E290" t="inlineStr">
        <is>
          <t>LINKÖPING</t>
        </is>
      </c>
      <c r="F290" t="inlineStr">
        <is>
          <t>Sveaskog</t>
        </is>
      </c>
      <c r="G290" t="n">
        <v>7.9</v>
      </c>
      <c r="H290" t="n">
        <v>0</v>
      </c>
      <c r="I290" t="n">
        <v>0</v>
      </c>
      <c r="J290" t="n">
        <v>0</v>
      </c>
      <c r="K290" t="n">
        <v>0</v>
      </c>
      <c r="L290" t="n">
        <v>0</v>
      </c>
      <c r="M290" t="n">
        <v>0</v>
      </c>
      <c r="N290" t="n">
        <v>0</v>
      </c>
      <c r="O290" t="n">
        <v>0</v>
      </c>
      <c r="P290" t="n">
        <v>0</v>
      </c>
      <c r="Q290" t="n">
        <v>0</v>
      </c>
      <c r="R290" s="2" t="inlineStr"/>
    </row>
    <row r="291" ht="15" customHeight="1">
      <c r="A291" t="inlineStr">
        <is>
          <t>A 55632-2022</t>
        </is>
      </c>
      <c r="B291" s="1" t="n">
        <v>44888</v>
      </c>
      <c r="C291" s="1" t="n">
        <v>46062</v>
      </c>
      <c r="D291" t="inlineStr">
        <is>
          <t>ÖSTERGÖTLANDS LÄN</t>
        </is>
      </c>
      <c r="E291" t="inlineStr">
        <is>
          <t>LINKÖPING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28209-2025</t>
        </is>
      </c>
      <c r="B292" s="1" t="n">
        <v>45818.45112268518</v>
      </c>
      <c r="C292" s="1" t="n">
        <v>46062</v>
      </c>
      <c r="D292" t="inlineStr">
        <is>
          <t>ÖSTERGÖTLANDS LÄN</t>
        </is>
      </c>
      <c r="E292" t="inlineStr">
        <is>
          <t>LINKÖPING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41511-2025</t>
        </is>
      </c>
      <c r="B293" s="1" t="n">
        <v>45901.53839120371</v>
      </c>
      <c r="C293" s="1" t="n">
        <v>46062</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63559-2023</t>
        </is>
      </c>
      <c r="B294" s="1" t="n">
        <v>45275.35924768518</v>
      </c>
      <c r="C294" s="1" t="n">
        <v>46062</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41706-2025</t>
        </is>
      </c>
      <c r="B295" s="1" t="n">
        <v>45902.42209490741</v>
      </c>
      <c r="C295" s="1" t="n">
        <v>46062</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58114-2021</t>
        </is>
      </c>
      <c r="B296" s="1" t="n">
        <v>44487</v>
      </c>
      <c r="C296" s="1" t="n">
        <v>46062</v>
      </c>
      <c r="D296" t="inlineStr">
        <is>
          <t>ÖSTERGÖTLANDS LÄN</t>
        </is>
      </c>
      <c r="E296" t="inlineStr">
        <is>
          <t>LINKÖPING</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29027-2025</t>
        </is>
      </c>
      <c r="B297" s="1" t="n">
        <v>45821.4375462963</v>
      </c>
      <c r="C297" s="1" t="n">
        <v>46062</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3042-2024</t>
        </is>
      </c>
      <c r="B298" s="1" t="n">
        <v>45316.35028935185</v>
      </c>
      <c r="C298" s="1" t="n">
        <v>46062</v>
      </c>
      <c r="D298" t="inlineStr">
        <is>
          <t>ÖSTERGÖTLANDS LÄN</t>
        </is>
      </c>
      <c r="E298" t="inlineStr">
        <is>
          <t>LINKÖPING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29293-2025</t>
        </is>
      </c>
      <c r="B299" s="1" t="n">
        <v>45824</v>
      </c>
      <c r="C299" s="1" t="n">
        <v>46062</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42624-2025</t>
        </is>
      </c>
      <c r="B300" s="1" t="n">
        <v>45905</v>
      </c>
      <c r="C300" s="1" t="n">
        <v>46062</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42626-2025</t>
        </is>
      </c>
      <c r="B301" s="1" t="n">
        <v>45905</v>
      </c>
      <c r="C301" s="1" t="n">
        <v>46062</v>
      </c>
      <c r="D301" t="inlineStr">
        <is>
          <t>ÖSTERGÖTLANDS LÄN</t>
        </is>
      </c>
      <c r="E301" t="inlineStr">
        <is>
          <t>LINKÖPING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29411-2025</t>
        </is>
      </c>
      <c r="B302" s="1" t="n">
        <v>45824.6219212963</v>
      </c>
      <c r="C302" s="1" t="n">
        <v>46062</v>
      </c>
      <c r="D302" t="inlineStr">
        <is>
          <t>ÖSTERGÖTLANDS LÄN</t>
        </is>
      </c>
      <c r="E302" t="inlineStr">
        <is>
          <t>LINKÖPING</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55944-2024</t>
        </is>
      </c>
      <c r="B303" s="1" t="n">
        <v>45623.61640046296</v>
      </c>
      <c r="C303" s="1" t="n">
        <v>46062</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55947-2024</t>
        </is>
      </c>
      <c r="B304" s="1" t="n">
        <v>45623</v>
      </c>
      <c r="C304" s="1" t="n">
        <v>46062</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42623-2025</t>
        </is>
      </c>
      <c r="B305" s="1" t="n">
        <v>45905</v>
      </c>
      <c r="C305" s="1" t="n">
        <v>46062</v>
      </c>
      <c r="D305" t="inlineStr">
        <is>
          <t>ÖSTERGÖTLANDS LÄN</t>
        </is>
      </c>
      <c r="E305" t="inlineStr">
        <is>
          <t>LINKÖPING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3374-2023</t>
        </is>
      </c>
      <c r="B306" s="1" t="n">
        <v>44949</v>
      </c>
      <c r="C306" s="1" t="n">
        <v>46062</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24151-2024</t>
        </is>
      </c>
      <c r="B307" s="1" t="n">
        <v>45456.67717592593</v>
      </c>
      <c r="C307" s="1" t="n">
        <v>46062</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29393-2025</t>
        </is>
      </c>
      <c r="B308" s="1" t="n">
        <v>45824.6057175926</v>
      </c>
      <c r="C308" s="1" t="n">
        <v>46062</v>
      </c>
      <c r="D308" t="inlineStr">
        <is>
          <t>ÖSTERGÖTLANDS LÄN</t>
        </is>
      </c>
      <c r="E308" t="inlineStr">
        <is>
          <t>LINKÖPING</t>
        </is>
      </c>
      <c r="F308" t="inlineStr">
        <is>
          <t>Sveaskog</t>
        </is>
      </c>
      <c r="G308" t="n">
        <v>24.6</v>
      </c>
      <c r="H308" t="n">
        <v>0</v>
      </c>
      <c r="I308" t="n">
        <v>0</v>
      </c>
      <c r="J308" t="n">
        <v>0</v>
      </c>
      <c r="K308" t="n">
        <v>0</v>
      </c>
      <c r="L308" t="n">
        <v>0</v>
      </c>
      <c r="M308" t="n">
        <v>0</v>
      </c>
      <c r="N308" t="n">
        <v>0</v>
      </c>
      <c r="O308" t="n">
        <v>0</v>
      </c>
      <c r="P308" t="n">
        <v>0</v>
      </c>
      <c r="Q308" t="n">
        <v>0</v>
      </c>
      <c r="R308" s="2" t="inlineStr"/>
    </row>
    <row r="309" ht="15" customHeight="1">
      <c r="A309" t="inlineStr">
        <is>
          <t>A 29599-2025</t>
        </is>
      </c>
      <c r="B309" s="1" t="n">
        <v>45825.41101851852</v>
      </c>
      <c r="C309" s="1" t="n">
        <v>46062</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14576-2023</t>
        </is>
      </c>
      <c r="B310" s="1" t="n">
        <v>45013</v>
      </c>
      <c r="C310" s="1" t="n">
        <v>46062</v>
      </c>
      <c r="D310" t="inlineStr">
        <is>
          <t>ÖSTERGÖTLANDS LÄN</t>
        </is>
      </c>
      <c r="E310" t="inlineStr">
        <is>
          <t>LINKÖPING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30355-2025</t>
        </is>
      </c>
      <c r="B311" s="1" t="n">
        <v>45827</v>
      </c>
      <c r="C311" s="1" t="n">
        <v>46062</v>
      </c>
      <c r="D311" t="inlineStr">
        <is>
          <t>ÖSTERGÖTLANDS LÄN</t>
        </is>
      </c>
      <c r="E311" t="inlineStr">
        <is>
          <t>LINKÖPING</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44170-2025</t>
        </is>
      </c>
      <c r="B312" s="1" t="n">
        <v>45915.59864583334</v>
      </c>
      <c r="C312" s="1" t="n">
        <v>46062</v>
      </c>
      <c r="D312" t="inlineStr">
        <is>
          <t>ÖSTERGÖTLANDS LÄN</t>
        </is>
      </c>
      <c r="E312" t="inlineStr">
        <is>
          <t>LINKÖPING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30353-2025</t>
        </is>
      </c>
      <c r="B313" s="1" t="n">
        <v>45827</v>
      </c>
      <c r="C313" s="1" t="n">
        <v>46062</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74160-2021</t>
        </is>
      </c>
      <c r="B314" s="1" t="n">
        <v>44558</v>
      </c>
      <c r="C314" s="1" t="n">
        <v>46062</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43755-2025</t>
        </is>
      </c>
      <c r="B315" s="1" t="n">
        <v>45912.47329861111</v>
      </c>
      <c r="C315" s="1" t="n">
        <v>46062</v>
      </c>
      <c r="D315" t="inlineStr">
        <is>
          <t>ÖSTERGÖTLANDS LÄN</t>
        </is>
      </c>
      <c r="E315" t="inlineStr">
        <is>
          <t>LINKÖPING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43758-2025</t>
        </is>
      </c>
      <c r="B316" s="1" t="n">
        <v>45912.47711805555</v>
      </c>
      <c r="C316" s="1" t="n">
        <v>46062</v>
      </c>
      <c r="D316" t="inlineStr">
        <is>
          <t>ÖSTERGÖTLANDS LÄN</t>
        </is>
      </c>
      <c r="E316" t="inlineStr">
        <is>
          <t>LINKÖPING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46062</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44759-2025</t>
        </is>
      </c>
      <c r="B318" s="1" t="n">
        <v>45917.7152662037</v>
      </c>
      <c r="C318" s="1" t="n">
        <v>46062</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44764-2025</t>
        </is>
      </c>
      <c r="B319" s="1" t="n">
        <v>45917.72821759259</v>
      </c>
      <c r="C319" s="1" t="n">
        <v>46062</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27766-2022</t>
        </is>
      </c>
      <c r="B320" s="1" t="n">
        <v>44743.53112268518</v>
      </c>
      <c r="C320" s="1" t="n">
        <v>46062</v>
      </c>
      <c r="D320" t="inlineStr">
        <is>
          <t>ÖSTERGÖTLANDS LÄN</t>
        </is>
      </c>
      <c r="E320" t="inlineStr">
        <is>
          <t>LINKÖPING</t>
        </is>
      </c>
      <c r="G320" t="n">
        <v>2</v>
      </c>
      <c r="H320" t="n">
        <v>0</v>
      </c>
      <c r="I320" t="n">
        <v>0</v>
      </c>
      <c r="J320" t="n">
        <v>0</v>
      </c>
      <c r="K320" t="n">
        <v>0</v>
      </c>
      <c r="L320" t="n">
        <v>0</v>
      </c>
      <c r="M320" t="n">
        <v>0</v>
      </c>
      <c r="N320" t="n">
        <v>0</v>
      </c>
      <c r="O320" t="n">
        <v>0</v>
      </c>
      <c r="P320" t="n">
        <v>0</v>
      </c>
      <c r="Q320" t="n">
        <v>0</v>
      </c>
      <c r="R320" s="2" t="inlineStr"/>
    </row>
    <row r="321" ht="15" customHeight="1">
      <c r="A321" t="inlineStr">
        <is>
          <t>A 53641-2023</t>
        </is>
      </c>
      <c r="B321" s="1" t="n">
        <v>45230</v>
      </c>
      <c r="C321" s="1" t="n">
        <v>46062</v>
      </c>
      <c r="D321" t="inlineStr">
        <is>
          <t>ÖSTERGÖTLANDS LÄN</t>
        </is>
      </c>
      <c r="E321" t="inlineStr">
        <is>
          <t>LINKÖPING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33000-2023</t>
        </is>
      </c>
      <c r="B322" s="1" t="n">
        <v>45125</v>
      </c>
      <c r="C322" s="1" t="n">
        <v>46062</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45112-2025</t>
        </is>
      </c>
      <c r="B323" s="1" t="n">
        <v>45919</v>
      </c>
      <c r="C323" s="1" t="n">
        <v>46062</v>
      </c>
      <c r="D323" t="inlineStr">
        <is>
          <t>ÖSTERGÖTLANDS LÄN</t>
        </is>
      </c>
      <c r="E323" t="inlineStr">
        <is>
          <t>LINKÖPING</t>
        </is>
      </c>
      <c r="G323" t="n">
        <v>3.5</v>
      </c>
      <c r="H323" t="n">
        <v>0</v>
      </c>
      <c r="I323" t="n">
        <v>0</v>
      </c>
      <c r="J323" t="n">
        <v>0</v>
      </c>
      <c r="K323" t="n">
        <v>0</v>
      </c>
      <c r="L323" t="n">
        <v>0</v>
      </c>
      <c r="M323" t="n">
        <v>0</v>
      </c>
      <c r="N323" t="n">
        <v>0</v>
      </c>
      <c r="O323" t="n">
        <v>0</v>
      </c>
      <c r="P323" t="n">
        <v>0</v>
      </c>
      <c r="Q323" t="n">
        <v>0</v>
      </c>
      <c r="R323" s="2" t="inlineStr"/>
    </row>
    <row r="324" ht="15" customHeight="1">
      <c r="A324" t="inlineStr">
        <is>
          <t>A 52892-2024</t>
        </is>
      </c>
      <c r="B324" s="1" t="n">
        <v>45610</v>
      </c>
      <c r="C324" s="1" t="n">
        <v>46062</v>
      </c>
      <c r="D324" t="inlineStr">
        <is>
          <t>ÖSTERGÖTLANDS LÄN</t>
        </is>
      </c>
      <c r="E324" t="inlineStr">
        <is>
          <t>LINKÖPING</t>
        </is>
      </c>
      <c r="G324" t="n">
        <v>4.2</v>
      </c>
      <c r="H324" t="n">
        <v>0</v>
      </c>
      <c r="I324" t="n">
        <v>0</v>
      </c>
      <c r="J324" t="n">
        <v>0</v>
      </c>
      <c r="K324" t="n">
        <v>0</v>
      </c>
      <c r="L324" t="n">
        <v>0</v>
      </c>
      <c r="M324" t="n">
        <v>0</v>
      </c>
      <c r="N324" t="n">
        <v>0</v>
      </c>
      <c r="O324" t="n">
        <v>0</v>
      </c>
      <c r="P324" t="n">
        <v>0</v>
      </c>
      <c r="Q324" t="n">
        <v>0</v>
      </c>
      <c r="R324" s="2" t="inlineStr"/>
    </row>
    <row r="325" ht="15" customHeight="1">
      <c r="A325" t="inlineStr">
        <is>
          <t>A 30521-2024</t>
        </is>
      </c>
      <c r="B325" s="1" t="n">
        <v>45492</v>
      </c>
      <c r="C325" s="1" t="n">
        <v>46062</v>
      </c>
      <c r="D325" t="inlineStr">
        <is>
          <t>ÖSTERGÖTLANDS LÄN</t>
        </is>
      </c>
      <c r="E325" t="inlineStr">
        <is>
          <t>LINKÖPING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51191-2022</t>
        </is>
      </c>
      <c r="B326" s="1" t="n">
        <v>44865</v>
      </c>
      <c r="C326" s="1" t="n">
        <v>46062</v>
      </c>
      <c r="D326" t="inlineStr">
        <is>
          <t>ÖSTERGÖTLANDS LÄN</t>
        </is>
      </c>
      <c r="E326" t="inlineStr">
        <is>
          <t>LINKÖPING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45634-2025</t>
        </is>
      </c>
      <c r="B327" s="1" t="n">
        <v>45922.85089120371</v>
      </c>
      <c r="C327" s="1" t="n">
        <v>46062</v>
      </c>
      <c r="D327" t="inlineStr">
        <is>
          <t>ÖSTERGÖTLANDS LÄN</t>
        </is>
      </c>
      <c r="E327" t="inlineStr">
        <is>
          <t>LINKÖPING</t>
        </is>
      </c>
      <c r="F327" t="inlineStr">
        <is>
          <t>Övriga Aktiebolag</t>
        </is>
      </c>
      <c r="G327" t="n">
        <v>0.3</v>
      </c>
      <c r="H327" t="n">
        <v>0</v>
      </c>
      <c r="I327" t="n">
        <v>0</v>
      </c>
      <c r="J327" t="n">
        <v>0</v>
      </c>
      <c r="K327" t="n">
        <v>0</v>
      </c>
      <c r="L327" t="n">
        <v>0</v>
      </c>
      <c r="M327" t="n">
        <v>0</v>
      </c>
      <c r="N327" t="n">
        <v>0</v>
      </c>
      <c r="O327" t="n">
        <v>0</v>
      </c>
      <c r="P327" t="n">
        <v>0</v>
      </c>
      <c r="Q327" t="n">
        <v>0</v>
      </c>
      <c r="R327" s="2" t="inlineStr"/>
    </row>
    <row r="328" ht="15" customHeight="1">
      <c r="A328" t="inlineStr">
        <is>
          <t>A 12289-2025</t>
        </is>
      </c>
      <c r="B328" s="1" t="n">
        <v>45729</v>
      </c>
      <c r="C328" s="1" t="n">
        <v>46062</v>
      </c>
      <c r="D328" t="inlineStr">
        <is>
          <t>ÖSTERGÖTLANDS LÄN</t>
        </is>
      </c>
      <c r="E328" t="inlineStr">
        <is>
          <t>LINKÖPING</t>
        </is>
      </c>
      <c r="F328" t="inlineStr">
        <is>
          <t>Övriga statliga verk och myndigheter</t>
        </is>
      </c>
      <c r="G328" t="n">
        <v>6.5</v>
      </c>
      <c r="H328" t="n">
        <v>0</v>
      </c>
      <c r="I328" t="n">
        <v>0</v>
      </c>
      <c r="J328" t="n">
        <v>0</v>
      </c>
      <c r="K328" t="n">
        <v>0</v>
      </c>
      <c r="L328" t="n">
        <v>0</v>
      </c>
      <c r="M328" t="n">
        <v>0</v>
      </c>
      <c r="N328" t="n">
        <v>0</v>
      </c>
      <c r="O328" t="n">
        <v>0</v>
      </c>
      <c r="P328" t="n">
        <v>0</v>
      </c>
      <c r="Q328" t="n">
        <v>0</v>
      </c>
      <c r="R328" s="2" t="inlineStr"/>
    </row>
    <row r="329" ht="15" customHeight="1">
      <c r="A329" t="inlineStr">
        <is>
          <t>A 45792-2025</t>
        </is>
      </c>
      <c r="B329" s="1" t="n">
        <v>45923.56998842592</v>
      </c>
      <c r="C329" s="1" t="n">
        <v>46062</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45804-2025</t>
        </is>
      </c>
      <c r="B330" s="1" t="n">
        <v>45923.5819675926</v>
      </c>
      <c r="C330" s="1" t="n">
        <v>46062</v>
      </c>
      <c r="D330" t="inlineStr">
        <is>
          <t>ÖSTERGÖTLANDS LÄN</t>
        </is>
      </c>
      <c r="E330" t="inlineStr">
        <is>
          <t>LINKÖPING</t>
        </is>
      </c>
      <c r="G330" t="n">
        <v>3.3</v>
      </c>
      <c r="H330" t="n">
        <v>0</v>
      </c>
      <c r="I330" t="n">
        <v>0</v>
      </c>
      <c r="J330" t="n">
        <v>0</v>
      </c>
      <c r="K330" t="n">
        <v>0</v>
      </c>
      <c r="L330" t="n">
        <v>0</v>
      </c>
      <c r="M330" t="n">
        <v>0</v>
      </c>
      <c r="N330" t="n">
        <v>0</v>
      </c>
      <c r="O330" t="n">
        <v>0</v>
      </c>
      <c r="P330" t="n">
        <v>0</v>
      </c>
      <c r="Q330" t="n">
        <v>0</v>
      </c>
      <c r="R330" s="2" t="inlineStr"/>
    </row>
    <row r="331" ht="15" customHeight="1">
      <c r="A331" t="inlineStr">
        <is>
          <t>A 9434-2024</t>
        </is>
      </c>
      <c r="B331" s="1" t="n">
        <v>45359</v>
      </c>
      <c r="C331" s="1" t="n">
        <v>46062</v>
      </c>
      <c r="D331" t="inlineStr">
        <is>
          <t>ÖSTERGÖTLANDS LÄN</t>
        </is>
      </c>
      <c r="E331" t="inlineStr">
        <is>
          <t>LINKÖPING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46426-2025</t>
        </is>
      </c>
      <c r="B332" s="1" t="n">
        <v>45925.6012962963</v>
      </c>
      <c r="C332" s="1" t="n">
        <v>46062</v>
      </c>
      <c r="D332" t="inlineStr">
        <is>
          <t>ÖSTERGÖTLANDS LÄN</t>
        </is>
      </c>
      <c r="E332" t="inlineStr">
        <is>
          <t>LINKÖPING</t>
        </is>
      </c>
      <c r="G332" t="n">
        <v>4.4</v>
      </c>
      <c r="H332" t="n">
        <v>0</v>
      </c>
      <c r="I332" t="n">
        <v>0</v>
      </c>
      <c r="J332" t="n">
        <v>0</v>
      </c>
      <c r="K332" t="n">
        <v>0</v>
      </c>
      <c r="L332" t="n">
        <v>0</v>
      </c>
      <c r="M332" t="n">
        <v>0</v>
      </c>
      <c r="N332" t="n">
        <v>0</v>
      </c>
      <c r="O332" t="n">
        <v>0</v>
      </c>
      <c r="P332" t="n">
        <v>0</v>
      </c>
      <c r="Q332" t="n">
        <v>0</v>
      </c>
      <c r="R332" s="2" t="inlineStr"/>
    </row>
    <row r="333" ht="15" customHeight="1">
      <c r="A333" t="inlineStr">
        <is>
          <t>A 42054-2022</t>
        </is>
      </c>
      <c r="B333" s="1" t="n">
        <v>44830</v>
      </c>
      <c r="C333" s="1" t="n">
        <v>46062</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50182-2023</t>
        </is>
      </c>
      <c r="B334" s="1" t="n">
        <v>45208</v>
      </c>
      <c r="C334" s="1" t="n">
        <v>46062</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31581-2025</t>
        </is>
      </c>
      <c r="B335" s="1" t="n">
        <v>45833.6840162037</v>
      </c>
      <c r="C335" s="1" t="n">
        <v>46062</v>
      </c>
      <c r="D335" t="inlineStr">
        <is>
          <t>ÖSTERGÖTLANDS LÄN</t>
        </is>
      </c>
      <c r="E335" t="inlineStr">
        <is>
          <t>LINKÖPING</t>
        </is>
      </c>
      <c r="G335" t="n">
        <v>2.6</v>
      </c>
      <c r="H335" t="n">
        <v>0</v>
      </c>
      <c r="I335" t="n">
        <v>0</v>
      </c>
      <c r="J335" t="n">
        <v>0</v>
      </c>
      <c r="K335" t="n">
        <v>0</v>
      </c>
      <c r="L335" t="n">
        <v>0</v>
      </c>
      <c r="M335" t="n">
        <v>0</v>
      </c>
      <c r="N335" t="n">
        <v>0</v>
      </c>
      <c r="O335" t="n">
        <v>0</v>
      </c>
      <c r="P335" t="n">
        <v>0</v>
      </c>
      <c r="Q335" t="n">
        <v>0</v>
      </c>
      <c r="R335" s="2" t="inlineStr"/>
    </row>
    <row r="336" ht="15" customHeight="1">
      <c r="A336" t="inlineStr">
        <is>
          <t>A 31585-2025</t>
        </is>
      </c>
      <c r="B336" s="1" t="n">
        <v>45833.68815972222</v>
      </c>
      <c r="C336" s="1" t="n">
        <v>46062</v>
      </c>
      <c r="D336" t="inlineStr">
        <is>
          <t>ÖSTERGÖTLANDS LÄN</t>
        </is>
      </c>
      <c r="E336" t="inlineStr">
        <is>
          <t>LINKÖPING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35781-2023</t>
        </is>
      </c>
      <c r="B337" s="1" t="n">
        <v>45147</v>
      </c>
      <c r="C337" s="1" t="n">
        <v>46062</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46428-2025</t>
        </is>
      </c>
      <c r="B338" s="1" t="n">
        <v>45925.60758101852</v>
      </c>
      <c r="C338" s="1" t="n">
        <v>46062</v>
      </c>
      <c r="D338" t="inlineStr">
        <is>
          <t>ÖSTERGÖTLANDS LÄN</t>
        </is>
      </c>
      <c r="E338" t="inlineStr">
        <is>
          <t>LINKÖPING</t>
        </is>
      </c>
      <c r="G338" t="n">
        <v>3</v>
      </c>
      <c r="H338" t="n">
        <v>0</v>
      </c>
      <c r="I338" t="n">
        <v>0</v>
      </c>
      <c r="J338" t="n">
        <v>0</v>
      </c>
      <c r="K338" t="n">
        <v>0</v>
      </c>
      <c r="L338" t="n">
        <v>0</v>
      </c>
      <c r="M338" t="n">
        <v>0</v>
      </c>
      <c r="N338" t="n">
        <v>0</v>
      </c>
      <c r="O338" t="n">
        <v>0</v>
      </c>
      <c r="P338" t="n">
        <v>0</v>
      </c>
      <c r="Q338" t="n">
        <v>0</v>
      </c>
      <c r="R338" s="2" t="inlineStr"/>
    </row>
    <row r="339" ht="15" customHeight="1">
      <c r="A339" t="inlineStr">
        <is>
          <t>A 46377-2025</t>
        </is>
      </c>
      <c r="B339" s="1" t="n">
        <v>45925.51773148148</v>
      </c>
      <c r="C339" s="1" t="n">
        <v>46062</v>
      </c>
      <c r="D339" t="inlineStr">
        <is>
          <t>ÖSTERGÖTLANDS LÄN</t>
        </is>
      </c>
      <c r="E339" t="inlineStr">
        <is>
          <t>LINKÖPING</t>
        </is>
      </c>
      <c r="G339" t="n">
        <v>3.1</v>
      </c>
      <c r="H339" t="n">
        <v>0</v>
      </c>
      <c r="I339" t="n">
        <v>0</v>
      </c>
      <c r="J339" t="n">
        <v>0</v>
      </c>
      <c r="K339" t="n">
        <v>0</v>
      </c>
      <c r="L339" t="n">
        <v>0</v>
      </c>
      <c r="M339" t="n">
        <v>0</v>
      </c>
      <c r="N339" t="n">
        <v>0</v>
      </c>
      <c r="O339" t="n">
        <v>0</v>
      </c>
      <c r="P339" t="n">
        <v>0</v>
      </c>
      <c r="Q339" t="n">
        <v>0</v>
      </c>
      <c r="R339" s="2" t="inlineStr"/>
    </row>
    <row r="340" ht="15" customHeight="1">
      <c r="A340" t="inlineStr">
        <is>
          <t>A 6387-2022</t>
        </is>
      </c>
      <c r="B340" s="1" t="n">
        <v>44600</v>
      </c>
      <c r="C340" s="1" t="n">
        <v>46062</v>
      </c>
      <c r="D340" t="inlineStr">
        <is>
          <t>ÖSTERGÖTLANDS LÄN</t>
        </is>
      </c>
      <c r="E340" t="inlineStr">
        <is>
          <t>LINKÖPING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48707-2023</t>
        </is>
      </c>
      <c r="B341" s="1" t="n">
        <v>45202</v>
      </c>
      <c r="C341" s="1" t="n">
        <v>46062</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46847-2025</t>
        </is>
      </c>
      <c r="B342" s="1" t="n">
        <v>45928.69971064815</v>
      </c>
      <c r="C342" s="1" t="n">
        <v>46062</v>
      </c>
      <c r="D342" t="inlineStr">
        <is>
          <t>ÖSTERGÖTLANDS LÄN</t>
        </is>
      </c>
      <c r="E342" t="inlineStr">
        <is>
          <t>LINKÖPING</t>
        </is>
      </c>
      <c r="G342" t="n">
        <v>4.6</v>
      </c>
      <c r="H342" t="n">
        <v>0</v>
      </c>
      <c r="I342" t="n">
        <v>0</v>
      </c>
      <c r="J342" t="n">
        <v>0</v>
      </c>
      <c r="K342" t="n">
        <v>0</v>
      </c>
      <c r="L342" t="n">
        <v>0</v>
      </c>
      <c r="M342" t="n">
        <v>0</v>
      </c>
      <c r="N342" t="n">
        <v>0</v>
      </c>
      <c r="O342" t="n">
        <v>0</v>
      </c>
      <c r="P342" t="n">
        <v>0</v>
      </c>
      <c r="Q342" t="n">
        <v>0</v>
      </c>
      <c r="R342" s="2" t="inlineStr"/>
    </row>
    <row r="343" ht="15" customHeight="1">
      <c r="A343" t="inlineStr">
        <is>
          <t>A 12089-2025</t>
        </is>
      </c>
      <c r="B343" s="1" t="n">
        <v>45729</v>
      </c>
      <c r="C343" s="1" t="n">
        <v>46062</v>
      </c>
      <c r="D343" t="inlineStr">
        <is>
          <t>ÖSTERGÖTLANDS LÄN</t>
        </is>
      </c>
      <c r="E343" t="inlineStr">
        <is>
          <t>LINKÖPING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15658-2023</t>
        </is>
      </c>
      <c r="B344" s="1" t="n">
        <v>45021.41194444444</v>
      </c>
      <c r="C344" s="1" t="n">
        <v>46062</v>
      </c>
      <c r="D344" t="inlineStr">
        <is>
          <t>ÖSTERGÖTLANDS LÄN</t>
        </is>
      </c>
      <c r="E344" t="inlineStr">
        <is>
          <t>LINKÖPING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47233-2025</t>
        </is>
      </c>
      <c r="B345" s="1" t="n">
        <v>45930.40612268518</v>
      </c>
      <c r="C345" s="1" t="n">
        <v>46062</v>
      </c>
      <c r="D345" t="inlineStr">
        <is>
          <t>ÖSTERGÖTLANDS LÄN</t>
        </is>
      </c>
      <c r="E345" t="inlineStr">
        <is>
          <t>LINKÖPING</t>
        </is>
      </c>
      <c r="G345" t="n">
        <v>4.3</v>
      </c>
      <c r="H345" t="n">
        <v>0</v>
      </c>
      <c r="I345" t="n">
        <v>0</v>
      </c>
      <c r="J345" t="n">
        <v>0</v>
      </c>
      <c r="K345" t="n">
        <v>0</v>
      </c>
      <c r="L345" t="n">
        <v>0</v>
      </c>
      <c r="M345" t="n">
        <v>0</v>
      </c>
      <c r="N345" t="n">
        <v>0</v>
      </c>
      <c r="O345" t="n">
        <v>0</v>
      </c>
      <c r="P345" t="n">
        <v>0</v>
      </c>
      <c r="Q345" t="n">
        <v>0</v>
      </c>
      <c r="R345" s="2" t="inlineStr"/>
    </row>
    <row r="346" ht="15" customHeight="1">
      <c r="A346" t="inlineStr">
        <is>
          <t>A 47606-2025</t>
        </is>
      </c>
      <c r="B346" s="1" t="n">
        <v>45931.46402777778</v>
      </c>
      <c r="C346" s="1" t="n">
        <v>46062</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47304-2025</t>
        </is>
      </c>
      <c r="B347" s="1" t="n">
        <v>45930.52037037037</v>
      </c>
      <c r="C347" s="1" t="n">
        <v>46062</v>
      </c>
      <c r="D347" t="inlineStr">
        <is>
          <t>ÖSTERGÖTLANDS LÄN</t>
        </is>
      </c>
      <c r="E347" t="inlineStr">
        <is>
          <t>LINKÖPING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38886-2024</t>
        </is>
      </c>
      <c r="B348" s="1" t="n">
        <v>45547.66443287037</v>
      </c>
      <c r="C348" s="1" t="n">
        <v>46062</v>
      </c>
      <c r="D348" t="inlineStr">
        <is>
          <t>ÖSTERGÖTLANDS LÄN</t>
        </is>
      </c>
      <c r="E348" t="inlineStr">
        <is>
          <t>LINKÖPING</t>
        </is>
      </c>
      <c r="G348" t="n">
        <v>5.3</v>
      </c>
      <c r="H348" t="n">
        <v>0</v>
      </c>
      <c r="I348" t="n">
        <v>0</v>
      </c>
      <c r="J348" t="n">
        <v>0</v>
      </c>
      <c r="K348" t="n">
        <v>0</v>
      </c>
      <c r="L348" t="n">
        <v>0</v>
      </c>
      <c r="M348" t="n">
        <v>0</v>
      </c>
      <c r="N348" t="n">
        <v>0</v>
      </c>
      <c r="O348" t="n">
        <v>0</v>
      </c>
      <c r="P348" t="n">
        <v>0</v>
      </c>
      <c r="Q348" t="n">
        <v>0</v>
      </c>
      <c r="R348" s="2" t="inlineStr"/>
    </row>
    <row r="349" ht="15" customHeight="1">
      <c r="A349" t="inlineStr">
        <is>
          <t>A 51583-2024</t>
        </is>
      </c>
      <c r="B349" s="1" t="n">
        <v>45604.6397337963</v>
      </c>
      <c r="C349" s="1" t="n">
        <v>46062</v>
      </c>
      <c r="D349" t="inlineStr">
        <is>
          <t>ÖSTERGÖTLANDS LÄN</t>
        </is>
      </c>
      <c r="E349" t="inlineStr">
        <is>
          <t>LINKÖPING</t>
        </is>
      </c>
      <c r="F349" t="inlineStr">
        <is>
          <t>Övriga Aktiebolag</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64694-2023</t>
        </is>
      </c>
      <c r="B350" s="1" t="n">
        <v>45281</v>
      </c>
      <c r="C350" s="1" t="n">
        <v>46062</v>
      </c>
      <c r="D350" t="inlineStr">
        <is>
          <t>ÖSTERGÖTLANDS LÄN</t>
        </is>
      </c>
      <c r="E350" t="inlineStr">
        <is>
          <t>LINKÖPING</t>
        </is>
      </c>
      <c r="F350" t="inlineStr">
        <is>
          <t>Övriga statliga verk och myndigheter</t>
        </is>
      </c>
      <c r="G350" t="n">
        <v>4.9</v>
      </c>
      <c r="H350" t="n">
        <v>0</v>
      </c>
      <c r="I350" t="n">
        <v>0</v>
      </c>
      <c r="J350" t="n">
        <v>0</v>
      </c>
      <c r="K350" t="n">
        <v>0</v>
      </c>
      <c r="L350" t="n">
        <v>0</v>
      </c>
      <c r="M350" t="n">
        <v>0</v>
      </c>
      <c r="N350" t="n">
        <v>0</v>
      </c>
      <c r="O350" t="n">
        <v>0</v>
      </c>
      <c r="P350" t="n">
        <v>0</v>
      </c>
      <c r="Q350" t="n">
        <v>0</v>
      </c>
      <c r="R350" s="2" t="inlineStr"/>
    </row>
    <row r="351" ht="15" customHeight="1">
      <c r="A351" t="inlineStr">
        <is>
          <t>A 32602-2022</t>
        </is>
      </c>
      <c r="B351" s="1" t="n">
        <v>44783.43192129629</v>
      </c>
      <c r="C351" s="1" t="n">
        <v>46062</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32723-2025</t>
        </is>
      </c>
      <c r="B352" s="1" t="n">
        <v>45838</v>
      </c>
      <c r="C352" s="1" t="n">
        <v>46062</v>
      </c>
      <c r="D352" t="inlineStr">
        <is>
          <t>ÖSTERGÖTLANDS LÄN</t>
        </is>
      </c>
      <c r="E352" t="inlineStr">
        <is>
          <t>LINKÖPING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62321-2022</t>
        </is>
      </c>
      <c r="B353" s="1" t="n">
        <v>44916</v>
      </c>
      <c r="C353" s="1" t="n">
        <v>46062</v>
      </c>
      <c r="D353" t="inlineStr">
        <is>
          <t>ÖSTERGÖTLANDS LÄN</t>
        </is>
      </c>
      <c r="E353" t="inlineStr">
        <is>
          <t>LINKÖPING</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48343-2025</t>
        </is>
      </c>
      <c r="B354" s="1" t="n">
        <v>45932</v>
      </c>
      <c r="C354" s="1" t="n">
        <v>46062</v>
      </c>
      <c r="D354" t="inlineStr">
        <is>
          <t>ÖSTERGÖTLANDS LÄN</t>
        </is>
      </c>
      <c r="E354" t="inlineStr">
        <is>
          <t>LINKÖPING</t>
        </is>
      </c>
      <c r="F354" t="inlineStr">
        <is>
          <t>Övriga Aktiebolag</t>
        </is>
      </c>
      <c r="G354" t="n">
        <v>2</v>
      </c>
      <c r="H354" t="n">
        <v>0</v>
      </c>
      <c r="I354" t="n">
        <v>0</v>
      </c>
      <c r="J354" t="n">
        <v>0</v>
      </c>
      <c r="K354" t="n">
        <v>0</v>
      </c>
      <c r="L354" t="n">
        <v>0</v>
      </c>
      <c r="M354" t="n">
        <v>0</v>
      </c>
      <c r="N354" t="n">
        <v>0</v>
      </c>
      <c r="O354" t="n">
        <v>0</v>
      </c>
      <c r="P354" t="n">
        <v>0</v>
      </c>
      <c r="Q354" t="n">
        <v>0</v>
      </c>
      <c r="R354" s="2" t="inlineStr"/>
    </row>
    <row r="355" ht="15" customHeight="1">
      <c r="A355" t="inlineStr">
        <is>
          <t>A 48266-2025</t>
        </is>
      </c>
      <c r="B355" s="1" t="n">
        <v>45932</v>
      </c>
      <c r="C355" s="1" t="n">
        <v>46062</v>
      </c>
      <c r="D355" t="inlineStr">
        <is>
          <t>ÖSTERGÖTLANDS LÄN</t>
        </is>
      </c>
      <c r="E355" t="inlineStr">
        <is>
          <t>LINKÖPING</t>
        </is>
      </c>
      <c r="F355" t="inlineStr">
        <is>
          <t>Övriga Aktiebolag</t>
        </is>
      </c>
      <c r="G355" t="n">
        <v>0.5</v>
      </c>
      <c r="H355" t="n">
        <v>0</v>
      </c>
      <c r="I355" t="n">
        <v>0</v>
      </c>
      <c r="J355" t="n">
        <v>0</v>
      </c>
      <c r="K355" t="n">
        <v>0</v>
      </c>
      <c r="L355" t="n">
        <v>0</v>
      </c>
      <c r="M355" t="n">
        <v>0</v>
      </c>
      <c r="N355" t="n">
        <v>0</v>
      </c>
      <c r="O355" t="n">
        <v>0</v>
      </c>
      <c r="P355" t="n">
        <v>0</v>
      </c>
      <c r="Q355" t="n">
        <v>0</v>
      </c>
      <c r="R355" s="2" t="inlineStr"/>
    </row>
    <row r="356" ht="15" customHeight="1">
      <c r="A356" t="inlineStr">
        <is>
          <t>A 1084-2023</t>
        </is>
      </c>
      <c r="B356" s="1" t="n">
        <v>44929</v>
      </c>
      <c r="C356" s="1" t="n">
        <v>46062</v>
      </c>
      <c r="D356" t="inlineStr">
        <is>
          <t>ÖSTERGÖTLANDS LÄN</t>
        </is>
      </c>
      <c r="E356" t="inlineStr">
        <is>
          <t>LINKÖPING</t>
        </is>
      </c>
      <c r="G356" t="n">
        <v>10.4</v>
      </c>
      <c r="H356" t="n">
        <v>0</v>
      </c>
      <c r="I356" t="n">
        <v>0</v>
      </c>
      <c r="J356" t="n">
        <v>0</v>
      </c>
      <c r="K356" t="n">
        <v>0</v>
      </c>
      <c r="L356" t="n">
        <v>0</v>
      </c>
      <c r="M356" t="n">
        <v>0</v>
      </c>
      <c r="N356" t="n">
        <v>0</v>
      </c>
      <c r="O356" t="n">
        <v>0</v>
      </c>
      <c r="P356" t="n">
        <v>0</v>
      </c>
      <c r="Q356" t="n">
        <v>0</v>
      </c>
      <c r="R356" s="2" t="inlineStr"/>
    </row>
    <row r="357" ht="15" customHeight="1">
      <c r="A357" t="inlineStr">
        <is>
          <t>A 267-2023</t>
        </is>
      </c>
      <c r="B357" s="1" t="n">
        <v>44928.80907407407</v>
      </c>
      <c r="C357" s="1" t="n">
        <v>46062</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940-2023</t>
        </is>
      </c>
      <c r="B358" s="1" t="n">
        <v>44933</v>
      </c>
      <c r="C358" s="1" t="n">
        <v>46062</v>
      </c>
      <c r="D358" t="inlineStr">
        <is>
          <t>ÖSTERGÖTLANDS LÄN</t>
        </is>
      </c>
      <c r="E358" t="inlineStr">
        <is>
          <t>LINKÖPING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48254-2025</t>
        </is>
      </c>
      <c r="B359" s="1" t="n">
        <v>45932</v>
      </c>
      <c r="C359" s="1" t="n">
        <v>46062</v>
      </c>
      <c r="D359" t="inlineStr">
        <is>
          <t>ÖSTERGÖTLANDS LÄN</t>
        </is>
      </c>
      <c r="E359" t="inlineStr">
        <is>
          <t>LINKÖPING</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6369-2023</t>
        </is>
      </c>
      <c r="B360" s="1" t="n">
        <v>44965.61106481482</v>
      </c>
      <c r="C360" s="1" t="n">
        <v>46062</v>
      </c>
      <c r="D360" t="inlineStr">
        <is>
          <t>ÖSTERGÖTLANDS LÄN</t>
        </is>
      </c>
      <c r="E360" t="inlineStr">
        <is>
          <t>LINKÖPING</t>
        </is>
      </c>
      <c r="G360" t="n">
        <v>4</v>
      </c>
      <c r="H360" t="n">
        <v>0</v>
      </c>
      <c r="I360" t="n">
        <v>0</v>
      </c>
      <c r="J360" t="n">
        <v>0</v>
      </c>
      <c r="K360" t="n">
        <v>0</v>
      </c>
      <c r="L360" t="n">
        <v>0</v>
      </c>
      <c r="M360" t="n">
        <v>0</v>
      </c>
      <c r="N360" t="n">
        <v>0</v>
      </c>
      <c r="O360" t="n">
        <v>0</v>
      </c>
      <c r="P360" t="n">
        <v>0</v>
      </c>
      <c r="Q360" t="n">
        <v>0</v>
      </c>
      <c r="R360" s="2" t="inlineStr"/>
    </row>
    <row r="361" ht="15" customHeight="1">
      <c r="A361" t="inlineStr">
        <is>
          <t>A 30980-2022</t>
        </is>
      </c>
      <c r="B361" s="1" t="n">
        <v>44768</v>
      </c>
      <c r="C361" s="1" t="n">
        <v>46062</v>
      </c>
      <c r="D361" t="inlineStr">
        <is>
          <t>ÖSTERGÖTLANDS LÄN</t>
        </is>
      </c>
      <c r="E361" t="inlineStr">
        <is>
          <t>LINKÖPING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60007-2022</t>
        </is>
      </c>
      <c r="B362" s="1" t="n">
        <v>44909.47282407407</v>
      </c>
      <c r="C362" s="1" t="n">
        <v>46062</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50799-2022</t>
        </is>
      </c>
      <c r="B363" s="1" t="n">
        <v>44862</v>
      </c>
      <c r="C363" s="1" t="n">
        <v>46062</v>
      </c>
      <c r="D363" t="inlineStr">
        <is>
          <t>ÖSTERGÖTLANDS LÄN</t>
        </is>
      </c>
      <c r="E363" t="inlineStr">
        <is>
          <t>LINKÖPING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56064-2022</t>
        </is>
      </c>
      <c r="B364" s="1" t="n">
        <v>44889.59107638889</v>
      </c>
      <c r="C364" s="1" t="n">
        <v>46062</v>
      </c>
      <c r="D364" t="inlineStr">
        <is>
          <t>ÖSTERGÖTLANDS LÄN</t>
        </is>
      </c>
      <c r="E364" t="inlineStr">
        <is>
          <t>LINKÖPING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47703-2023</t>
        </is>
      </c>
      <c r="B365" s="1" t="n">
        <v>45203</v>
      </c>
      <c r="C365" s="1" t="n">
        <v>46062</v>
      </c>
      <c r="D365" t="inlineStr">
        <is>
          <t>ÖSTERGÖTLANDS LÄN</t>
        </is>
      </c>
      <c r="E365" t="inlineStr">
        <is>
          <t>LINKÖPING</t>
        </is>
      </c>
      <c r="G365" t="n">
        <v>4.1</v>
      </c>
      <c r="H365" t="n">
        <v>0</v>
      </c>
      <c r="I365" t="n">
        <v>0</v>
      </c>
      <c r="J365" t="n">
        <v>0</v>
      </c>
      <c r="K365" t="n">
        <v>0</v>
      </c>
      <c r="L365" t="n">
        <v>0</v>
      </c>
      <c r="M365" t="n">
        <v>0</v>
      </c>
      <c r="N365" t="n">
        <v>0</v>
      </c>
      <c r="O365" t="n">
        <v>0</v>
      </c>
      <c r="P365" t="n">
        <v>0</v>
      </c>
      <c r="Q365" t="n">
        <v>0</v>
      </c>
      <c r="R365" s="2" t="inlineStr"/>
    </row>
    <row r="366" ht="15" customHeight="1">
      <c r="A366" t="inlineStr">
        <is>
          <t>A 49455-2025</t>
        </is>
      </c>
      <c r="B366" s="1" t="n">
        <v>45938</v>
      </c>
      <c r="C366" s="1" t="n">
        <v>46062</v>
      </c>
      <c r="D366" t="inlineStr">
        <is>
          <t>ÖSTERGÖTLANDS LÄN</t>
        </is>
      </c>
      <c r="E366" t="inlineStr">
        <is>
          <t>LINKÖPING</t>
        </is>
      </c>
      <c r="F366" t="inlineStr">
        <is>
          <t>Övriga Aktiebolag</t>
        </is>
      </c>
      <c r="G366" t="n">
        <v>5.9</v>
      </c>
      <c r="H366" t="n">
        <v>0</v>
      </c>
      <c r="I366" t="n">
        <v>0</v>
      </c>
      <c r="J366" t="n">
        <v>0</v>
      </c>
      <c r="K366" t="n">
        <v>0</v>
      </c>
      <c r="L366" t="n">
        <v>0</v>
      </c>
      <c r="M366" t="n">
        <v>0</v>
      </c>
      <c r="N366" t="n">
        <v>0</v>
      </c>
      <c r="O366" t="n">
        <v>0</v>
      </c>
      <c r="P366" t="n">
        <v>0</v>
      </c>
      <c r="Q366" t="n">
        <v>0</v>
      </c>
      <c r="R366" s="2" t="inlineStr"/>
    </row>
    <row r="367" ht="15" customHeight="1">
      <c r="A367" t="inlineStr">
        <is>
          <t>A 16111-2022</t>
        </is>
      </c>
      <c r="B367" s="1" t="n">
        <v>44665</v>
      </c>
      <c r="C367" s="1" t="n">
        <v>46062</v>
      </c>
      <c r="D367" t="inlineStr">
        <is>
          <t>ÖSTERGÖTLANDS LÄN</t>
        </is>
      </c>
      <c r="E367" t="inlineStr">
        <is>
          <t>LINKÖPING</t>
        </is>
      </c>
      <c r="F367" t="inlineStr">
        <is>
          <t>Övriga Aktiebolag</t>
        </is>
      </c>
      <c r="G367" t="n">
        <v>2.9</v>
      </c>
      <c r="H367" t="n">
        <v>0</v>
      </c>
      <c r="I367" t="n">
        <v>0</v>
      </c>
      <c r="J367" t="n">
        <v>0</v>
      </c>
      <c r="K367" t="n">
        <v>0</v>
      </c>
      <c r="L367" t="n">
        <v>0</v>
      </c>
      <c r="M367" t="n">
        <v>0</v>
      </c>
      <c r="N367" t="n">
        <v>0</v>
      </c>
      <c r="O367" t="n">
        <v>0</v>
      </c>
      <c r="P367" t="n">
        <v>0</v>
      </c>
      <c r="Q367" t="n">
        <v>0</v>
      </c>
      <c r="R367" s="2" t="inlineStr"/>
    </row>
    <row r="368" ht="15" customHeight="1">
      <c r="A368" t="inlineStr">
        <is>
          <t>A 48962-2022</t>
        </is>
      </c>
      <c r="B368" s="1" t="n">
        <v>44860.31635416667</v>
      </c>
      <c r="C368" s="1" t="n">
        <v>46062</v>
      </c>
      <c r="D368" t="inlineStr">
        <is>
          <t>ÖSTERGÖTLANDS LÄN</t>
        </is>
      </c>
      <c r="E368" t="inlineStr">
        <is>
          <t>LINKÖPING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49605-2025</t>
        </is>
      </c>
      <c r="B369" s="1" t="n">
        <v>45938</v>
      </c>
      <c r="C369" s="1" t="n">
        <v>46062</v>
      </c>
      <c r="D369" t="inlineStr">
        <is>
          <t>ÖSTERGÖTLANDS LÄN</t>
        </is>
      </c>
      <c r="E369" t="inlineStr">
        <is>
          <t>LINKÖPING</t>
        </is>
      </c>
      <c r="F369" t="inlineStr">
        <is>
          <t>Övriga Aktiebolag</t>
        </is>
      </c>
      <c r="G369" t="n">
        <v>3.3</v>
      </c>
      <c r="H369" t="n">
        <v>0</v>
      </c>
      <c r="I369" t="n">
        <v>0</v>
      </c>
      <c r="J369" t="n">
        <v>0</v>
      </c>
      <c r="K369" t="n">
        <v>0</v>
      </c>
      <c r="L369" t="n">
        <v>0</v>
      </c>
      <c r="M369" t="n">
        <v>0</v>
      </c>
      <c r="N369" t="n">
        <v>0</v>
      </c>
      <c r="O369" t="n">
        <v>0</v>
      </c>
      <c r="P369" t="n">
        <v>0</v>
      </c>
      <c r="Q369" t="n">
        <v>0</v>
      </c>
      <c r="R369" s="2" t="inlineStr"/>
    </row>
    <row r="370" ht="15" customHeight="1">
      <c r="A370" t="inlineStr">
        <is>
          <t>A 49663-2025</t>
        </is>
      </c>
      <c r="B370" s="1" t="n">
        <v>45938</v>
      </c>
      <c r="C370" s="1" t="n">
        <v>46062</v>
      </c>
      <c r="D370" t="inlineStr">
        <is>
          <t>ÖSTERGÖTLANDS LÄN</t>
        </is>
      </c>
      <c r="E370" t="inlineStr">
        <is>
          <t>LINKÖPING</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49632-2025</t>
        </is>
      </c>
      <c r="B371" s="1" t="n">
        <v>45938</v>
      </c>
      <c r="C371" s="1" t="n">
        <v>46062</v>
      </c>
      <c r="D371" t="inlineStr">
        <is>
          <t>ÖSTERGÖTLANDS LÄN</t>
        </is>
      </c>
      <c r="E371" t="inlineStr">
        <is>
          <t>LINKÖPING</t>
        </is>
      </c>
      <c r="F371" t="inlineStr">
        <is>
          <t>Övriga Aktiebolag</t>
        </is>
      </c>
      <c r="G371" t="n">
        <v>1.6</v>
      </c>
      <c r="H371" t="n">
        <v>0</v>
      </c>
      <c r="I371" t="n">
        <v>0</v>
      </c>
      <c r="J371" t="n">
        <v>0</v>
      </c>
      <c r="K371" t="n">
        <v>0</v>
      </c>
      <c r="L371" t="n">
        <v>0</v>
      </c>
      <c r="M371" t="n">
        <v>0</v>
      </c>
      <c r="N371" t="n">
        <v>0</v>
      </c>
      <c r="O371" t="n">
        <v>0</v>
      </c>
      <c r="P371" t="n">
        <v>0</v>
      </c>
      <c r="Q371" t="n">
        <v>0</v>
      </c>
      <c r="R371" s="2" t="inlineStr"/>
    </row>
    <row r="372" ht="15" customHeight="1">
      <c r="A372" t="inlineStr">
        <is>
          <t>A 49647-2025</t>
        </is>
      </c>
      <c r="B372" s="1" t="n">
        <v>45938</v>
      </c>
      <c r="C372" s="1" t="n">
        <v>46062</v>
      </c>
      <c r="D372" t="inlineStr">
        <is>
          <t>ÖSTERGÖTLANDS LÄN</t>
        </is>
      </c>
      <c r="E372" t="inlineStr">
        <is>
          <t>LINKÖPING</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49652-2025</t>
        </is>
      </c>
      <c r="B373" s="1" t="n">
        <v>45938</v>
      </c>
      <c r="C373" s="1" t="n">
        <v>46062</v>
      </c>
      <c r="D373" t="inlineStr">
        <is>
          <t>ÖSTERGÖTLANDS LÄN</t>
        </is>
      </c>
      <c r="E373" t="inlineStr">
        <is>
          <t>LINKÖPING</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49654-2025</t>
        </is>
      </c>
      <c r="B374" s="1" t="n">
        <v>45938</v>
      </c>
      <c r="C374" s="1" t="n">
        <v>46062</v>
      </c>
      <c r="D374" t="inlineStr">
        <is>
          <t>ÖSTERGÖTLANDS LÄN</t>
        </is>
      </c>
      <c r="E374" t="inlineStr">
        <is>
          <t>LINKÖPING</t>
        </is>
      </c>
      <c r="F374" t="inlineStr">
        <is>
          <t>Övriga Aktiebolag</t>
        </is>
      </c>
      <c r="G374" t="n">
        <v>3.1</v>
      </c>
      <c r="H374" t="n">
        <v>0</v>
      </c>
      <c r="I374" t="n">
        <v>0</v>
      </c>
      <c r="J374" t="n">
        <v>0</v>
      </c>
      <c r="K374" t="n">
        <v>0</v>
      </c>
      <c r="L374" t="n">
        <v>0</v>
      </c>
      <c r="M374" t="n">
        <v>0</v>
      </c>
      <c r="N374" t="n">
        <v>0</v>
      </c>
      <c r="O374" t="n">
        <v>0</v>
      </c>
      <c r="P374" t="n">
        <v>0</v>
      </c>
      <c r="Q374" t="n">
        <v>0</v>
      </c>
      <c r="R374" s="2" t="inlineStr"/>
    </row>
    <row r="375" ht="15" customHeight="1">
      <c r="A375" t="inlineStr">
        <is>
          <t>A 27891-2021</t>
        </is>
      </c>
      <c r="B375" s="1" t="n">
        <v>44354.65108796296</v>
      </c>
      <c r="C375" s="1" t="n">
        <v>46062</v>
      </c>
      <c r="D375" t="inlineStr">
        <is>
          <t>ÖSTERGÖTLANDS LÄN</t>
        </is>
      </c>
      <c r="E375" t="inlineStr">
        <is>
          <t>LINKÖPING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49615-2025</t>
        </is>
      </c>
      <c r="B376" s="1" t="n">
        <v>45938</v>
      </c>
      <c r="C376" s="1" t="n">
        <v>46062</v>
      </c>
      <c r="D376" t="inlineStr">
        <is>
          <t>ÖSTERGÖTLANDS LÄN</t>
        </is>
      </c>
      <c r="E376" t="inlineStr">
        <is>
          <t>LINKÖPING</t>
        </is>
      </c>
      <c r="F376" t="inlineStr">
        <is>
          <t>Övriga Aktiebolag</t>
        </is>
      </c>
      <c r="G376" t="n">
        <v>1.6</v>
      </c>
      <c r="H376" t="n">
        <v>0</v>
      </c>
      <c r="I376" t="n">
        <v>0</v>
      </c>
      <c r="J376" t="n">
        <v>0</v>
      </c>
      <c r="K376" t="n">
        <v>0</v>
      </c>
      <c r="L376" t="n">
        <v>0</v>
      </c>
      <c r="M376" t="n">
        <v>0</v>
      </c>
      <c r="N376" t="n">
        <v>0</v>
      </c>
      <c r="O376" t="n">
        <v>0</v>
      </c>
      <c r="P376" t="n">
        <v>0</v>
      </c>
      <c r="Q376" t="n">
        <v>0</v>
      </c>
      <c r="R376" s="2" t="inlineStr"/>
    </row>
    <row r="377" ht="15" customHeight="1">
      <c r="A377" t="inlineStr">
        <is>
          <t>A 49619-2025</t>
        </is>
      </c>
      <c r="B377" s="1" t="n">
        <v>45938</v>
      </c>
      <c r="C377" s="1" t="n">
        <v>46062</v>
      </c>
      <c r="D377" t="inlineStr">
        <is>
          <t>ÖSTERGÖTLANDS LÄN</t>
        </is>
      </c>
      <c r="E377" t="inlineStr">
        <is>
          <t>LINKÖPING</t>
        </is>
      </c>
      <c r="F377" t="inlineStr">
        <is>
          <t>Övriga Aktiebolag</t>
        </is>
      </c>
      <c r="G377" t="n">
        <v>2.3</v>
      </c>
      <c r="H377" t="n">
        <v>0</v>
      </c>
      <c r="I377" t="n">
        <v>0</v>
      </c>
      <c r="J377" t="n">
        <v>0</v>
      </c>
      <c r="K377" t="n">
        <v>0</v>
      </c>
      <c r="L377" t="n">
        <v>0</v>
      </c>
      <c r="M377" t="n">
        <v>0</v>
      </c>
      <c r="N377" t="n">
        <v>0</v>
      </c>
      <c r="O377" t="n">
        <v>0</v>
      </c>
      <c r="P377" t="n">
        <v>0</v>
      </c>
      <c r="Q377" t="n">
        <v>0</v>
      </c>
      <c r="R377" s="2" t="inlineStr"/>
    </row>
    <row r="378" ht="15" customHeight="1">
      <c r="A378" t="inlineStr">
        <is>
          <t>A 49629-2025</t>
        </is>
      </c>
      <c r="B378" s="1" t="n">
        <v>45938</v>
      </c>
      <c r="C378" s="1" t="n">
        <v>46062</v>
      </c>
      <c r="D378" t="inlineStr">
        <is>
          <t>ÖSTERGÖTLANDS LÄN</t>
        </is>
      </c>
      <c r="E378" t="inlineStr">
        <is>
          <t>LINKÖPING</t>
        </is>
      </c>
      <c r="F378" t="inlineStr">
        <is>
          <t>Övriga Aktiebolag</t>
        </is>
      </c>
      <c r="G378" t="n">
        <v>4.5</v>
      </c>
      <c r="H378" t="n">
        <v>0</v>
      </c>
      <c r="I378" t="n">
        <v>0</v>
      </c>
      <c r="J378" t="n">
        <v>0</v>
      </c>
      <c r="K378" t="n">
        <v>0</v>
      </c>
      <c r="L378" t="n">
        <v>0</v>
      </c>
      <c r="M378" t="n">
        <v>0</v>
      </c>
      <c r="N378" t="n">
        <v>0</v>
      </c>
      <c r="O378" t="n">
        <v>0</v>
      </c>
      <c r="P378" t="n">
        <v>0</v>
      </c>
      <c r="Q378" t="n">
        <v>0</v>
      </c>
      <c r="R378" s="2" t="inlineStr"/>
    </row>
    <row r="379" ht="15" customHeight="1">
      <c r="A379" t="inlineStr">
        <is>
          <t>A 49650-2025</t>
        </is>
      </c>
      <c r="B379" s="1" t="n">
        <v>45938</v>
      </c>
      <c r="C379" s="1" t="n">
        <v>46062</v>
      </c>
      <c r="D379" t="inlineStr">
        <is>
          <t>ÖSTERGÖTLANDS LÄN</t>
        </is>
      </c>
      <c r="E379" t="inlineStr">
        <is>
          <t>LINKÖPING</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46062</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1268-2023</t>
        </is>
      </c>
      <c r="B381" s="1" t="n">
        <v>44936</v>
      </c>
      <c r="C381" s="1" t="n">
        <v>46062</v>
      </c>
      <c r="D381" t="inlineStr">
        <is>
          <t>ÖSTERGÖTLANDS LÄN</t>
        </is>
      </c>
      <c r="E381" t="inlineStr">
        <is>
          <t>LINKÖPING</t>
        </is>
      </c>
      <c r="G381" t="n">
        <v>4.6</v>
      </c>
      <c r="H381" t="n">
        <v>0</v>
      </c>
      <c r="I381" t="n">
        <v>0</v>
      </c>
      <c r="J381" t="n">
        <v>0</v>
      </c>
      <c r="K381" t="n">
        <v>0</v>
      </c>
      <c r="L381" t="n">
        <v>0</v>
      </c>
      <c r="M381" t="n">
        <v>0</v>
      </c>
      <c r="N381" t="n">
        <v>0</v>
      </c>
      <c r="O381" t="n">
        <v>0</v>
      </c>
      <c r="P381" t="n">
        <v>0</v>
      </c>
      <c r="Q381" t="n">
        <v>0</v>
      </c>
      <c r="R381" s="2" t="inlineStr"/>
    </row>
    <row r="382" ht="15" customHeight="1">
      <c r="A382" t="inlineStr">
        <is>
          <t>A 62687-2023</t>
        </is>
      </c>
      <c r="B382" s="1" t="n">
        <v>45271</v>
      </c>
      <c r="C382" s="1" t="n">
        <v>46062</v>
      </c>
      <c r="D382" t="inlineStr">
        <is>
          <t>ÖSTERGÖTLANDS LÄN</t>
        </is>
      </c>
      <c r="E382" t="inlineStr">
        <is>
          <t>LINKÖPING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40983-2025</t>
        </is>
      </c>
      <c r="B383" s="1" t="n">
        <v>45898</v>
      </c>
      <c r="C383" s="1" t="n">
        <v>46062</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33947-2025</t>
        </is>
      </c>
      <c r="B384" s="1" t="n">
        <v>45842.65444444444</v>
      </c>
      <c r="C384" s="1" t="n">
        <v>46062</v>
      </c>
      <c r="D384" t="inlineStr">
        <is>
          <t>ÖSTERGÖTLANDS LÄN</t>
        </is>
      </c>
      <c r="E384" t="inlineStr">
        <is>
          <t>LINKÖPING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53529-2024</t>
        </is>
      </c>
      <c r="B385" s="1" t="n">
        <v>45614</v>
      </c>
      <c r="C385" s="1" t="n">
        <v>46062</v>
      </c>
      <c r="D385" t="inlineStr">
        <is>
          <t>ÖSTERGÖTLANDS LÄN</t>
        </is>
      </c>
      <c r="E385" t="inlineStr">
        <is>
          <t>LINKÖPING</t>
        </is>
      </c>
      <c r="G385" t="n">
        <v>6.7</v>
      </c>
      <c r="H385" t="n">
        <v>0</v>
      </c>
      <c r="I385" t="n">
        <v>0</v>
      </c>
      <c r="J385" t="n">
        <v>0</v>
      </c>
      <c r="K385" t="n">
        <v>0</v>
      </c>
      <c r="L385" t="n">
        <v>0</v>
      </c>
      <c r="M385" t="n">
        <v>0</v>
      </c>
      <c r="N385" t="n">
        <v>0</v>
      </c>
      <c r="O385" t="n">
        <v>0</v>
      </c>
      <c r="P385" t="n">
        <v>0</v>
      </c>
      <c r="Q385" t="n">
        <v>0</v>
      </c>
      <c r="R385" s="2" t="inlineStr"/>
    </row>
    <row r="386" ht="15" customHeight="1">
      <c r="A386" t="inlineStr">
        <is>
          <t>A 62012-2024</t>
        </is>
      </c>
      <c r="B386" s="1" t="n">
        <v>45655.79679398148</v>
      </c>
      <c r="C386" s="1" t="n">
        <v>46062</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34641-2022</t>
        </is>
      </c>
      <c r="B387" s="1" t="n">
        <v>44795</v>
      </c>
      <c r="C387" s="1" t="n">
        <v>46062</v>
      </c>
      <c r="D387" t="inlineStr">
        <is>
          <t>ÖSTERGÖTLANDS LÄN</t>
        </is>
      </c>
      <c r="E387" t="inlineStr">
        <is>
          <t>LINKÖPING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50056-2025</t>
        </is>
      </c>
      <c r="B388" s="1" t="n">
        <v>45941</v>
      </c>
      <c r="C388" s="1" t="n">
        <v>46062</v>
      </c>
      <c r="D388" t="inlineStr">
        <is>
          <t>ÖSTERGÖTLANDS LÄN</t>
        </is>
      </c>
      <c r="E388" t="inlineStr">
        <is>
          <t>LINKÖPING</t>
        </is>
      </c>
      <c r="G388" t="n">
        <v>0.3</v>
      </c>
      <c r="H388" t="n">
        <v>0</v>
      </c>
      <c r="I388" t="n">
        <v>0</v>
      </c>
      <c r="J388" t="n">
        <v>0</v>
      </c>
      <c r="K388" t="n">
        <v>0</v>
      </c>
      <c r="L388" t="n">
        <v>0</v>
      </c>
      <c r="M388" t="n">
        <v>0</v>
      </c>
      <c r="N388" t="n">
        <v>0</v>
      </c>
      <c r="O388" t="n">
        <v>0</v>
      </c>
      <c r="P388" t="n">
        <v>0</v>
      </c>
      <c r="Q388" t="n">
        <v>0</v>
      </c>
      <c r="R388" s="2" t="inlineStr"/>
    </row>
    <row r="389" ht="15" customHeight="1">
      <c r="A389" t="inlineStr">
        <is>
          <t>A 938-2023</t>
        </is>
      </c>
      <c r="B389" s="1" t="n">
        <v>44933</v>
      </c>
      <c r="C389" s="1" t="n">
        <v>46062</v>
      </c>
      <c r="D389" t="inlineStr">
        <is>
          <t>ÖSTERGÖTLANDS LÄN</t>
        </is>
      </c>
      <c r="E389" t="inlineStr">
        <is>
          <t>LINKÖPING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2389-2023</t>
        </is>
      </c>
      <c r="B390" s="1" t="n">
        <v>44942</v>
      </c>
      <c r="C390" s="1" t="n">
        <v>46062</v>
      </c>
      <c r="D390" t="inlineStr">
        <is>
          <t>ÖSTERGÖTLANDS LÄN</t>
        </is>
      </c>
      <c r="E390" t="inlineStr">
        <is>
          <t>LINKÖPING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48-2024</t>
        </is>
      </c>
      <c r="B391" s="1" t="n">
        <v>45293</v>
      </c>
      <c r="C391" s="1" t="n">
        <v>46062</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45771-2023</t>
        </is>
      </c>
      <c r="B392" s="1" t="n">
        <v>45195.4384375</v>
      </c>
      <c r="C392" s="1" t="n">
        <v>46062</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30547-2023</t>
        </is>
      </c>
      <c r="B393" s="1" t="n">
        <v>45111.75905092592</v>
      </c>
      <c r="C393" s="1" t="n">
        <v>46062</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40502-2024</t>
        </is>
      </c>
      <c r="B394" s="1" t="n">
        <v>45555.57263888889</v>
      </c>
      <c r="C394" s="1" t="n">
        <v>46062</v>
      </c>
      <c r="D394" t="inlineStr">
        <is>
          <t>ÖSTERGÖTLANDS LÄN</t>
        </is>
      </c>
      <c r="E394" t="inlineStr">
        <is>
          <t>LINKÖPING</t>
        </is>
      </c>
      <c r="F394" t="inlineStr">
        <is>
          <t>Allmännings- och besparingsskogar</t>
        </is>
      </c>
      <c r="G394" t="n">
        <v>17.5</v>
      </c>
      <c r="H394" t="n">
        <v>0</v>
      </c>
      <c r="I394" t="n">
        <v>0</v>
      </c>
      <c r="J394" t="n">
        <v>0</v>
      </c>
      <c r="K394" t="n">
        <v>0</v>
      </c>
      <c r="L394" t="n">
        <v>0</v>
      </c>
      <c r="M394" t="n">
        <v>0</v>
      </c>
      <c r="N394" t="n">
        <v>0</v>
      </c>
      <c r="O394" t="n">
        <v>0</v>
      </c>
      <c r="P394" t="n">
        <v>0</v>
      </c>
      <c r="Q394" t="n">
        <v>0</v>
      </c>
      <c r="R394" s="2" t="inlineStr"/>
    </row>
    <row r="395" ht="15" customHeight="1">
      <c r="A395" t="inlineStr">
        <is>
          <t>A 50667-2025</t>
        </is>
      </c>
      <c r="B395" s="1" t="n">
        <v>45945</v>
      </c>
      <c r="C395" s="1" t="n">
        <v>46062</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20469-2025</t>
        </is>
      </c>
      <c r="B396" s="1" t="n">
        <v>45775</v>
      </c>
      <c r="C396" s="1" t="n">
        <v>46062</v>
      </c>
      <c r="D396" t="inlineStr">
        <is>
          <t>ÖSTERGÖTLANDS LÄN</t>
        </is>
      </c>
      <c r="E396" t="inlineStr">
        <is>
          <t>LINKÖPING</t>
        </is>
      </c>
      <c r="F396" t="inlineStr">
        <is>
          <t>Kyrkan</t>
        </is>
      </c>
      <c r="G396" t="n">
        <v>6.1</v>
      </c>
      <c r="H396" t="n">
        <v>0</v>
      </c>
      <c r="I396" t="n">
        <v>0</v>
      </c>
      <c r="J396" t="n">
        <v>0</v>
      </c>
      <c r="K396" t="n">
        <v>0</v>
      </c>
      <c r="L396" t="n">
        <v>0</v>
      </c>
      <c r="M396" t="n">
        <v>0</v>
      </c>
      <c r="N396" t="n">
        <v>0</v>
      </c>
      <c r="O396" t="n">
        <v>0</v>
      </c>
      <c r="P396" t="n">
        <v>0</v>
      </c>
      <c r="Q396" t="n">
        <v>0</v>
      </c>
      <c r="R396" s="2" t="inlineStr"/>
    </row>
    <row r="397" ht="15" customHeight="1">
      <c r="A397" t="inlineStr">
        <is>
          <t>A 24464-2023</t>
        </is>
      </c>
      <c r="B397" s="1" t="n">
        <v>45082.58068287037</v>
      </c>
      <c r="C397" s="1" t="n">
        <v>46062</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24467-2023</t>
        </is>
      </c>
      <c r="B398" s="1" t="n">
        <v>45082</v>
      </c>
      <c r="C398" s="1" t="n">
        <v>46062</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48389-2024</t>
        </is>
      </c>
      <c r="B399" s="1" t="n">
        <v>45590.59991898148</v>
      </c>
      <c r="C399" s="1" t="n">
        <v>46062</v>
      </c>
      <c r="D399" t="inlineStr">
        <is>
          <t>ÖSTERGÖTLANDS LÄN</t>
        </is>
      </c>
      <c r="E399" t="inlineStr">
        <is>
          <t>LINKÖPING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56792-2023</t>
        </is>
      </c>
      <c r="B400" s="1" t="n">
        <v>45244</v>
      </c>
      <c r="C400" s="1" t="n">
        <v>46062</v>
      </c>
      <c r="D400" t="inlineStr">
        <is>
          <t>ÖSTERGÖTLANDS LÄN</t>
        </is>
      </c>
      <c r="E400" t="inlineStr">
        <is>
          <t>LINKÖPING</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33800-2023</t>
        </is>
      </c>
      <c r="B401" s="1" t="n">
        <v>45121</v>
      </c>
      <c r="C401" s="1" t="n">
        <v>46062</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26007-2025</t>
        </is>
      </c>
      <c r="B402" s="1" t="n">
        <v>45804.67081018518</v>
      </c>
      <c r="C402" s="1" t="n">
        <v>46062</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35174-2025</t>
        </is>
      </c>
      <c r="B403" s="1" t="n">
        <v>45852.90648148148</v>
      </c>
      <c r="C403" s="1" t="n">
        <v>46062</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47991-2023</t>
        </is>
      </c>
      <c r="B404" s="1" t="n">
        <v>45204.62655092592</v>
      </c>
      <c r="C404" s="1" t="n">
        <v>46062</v>
      </c>
      <c r="D404" t="inlineStr">
        <is>
          <t>ÖSTERGÖTLANDS LÄN</t>
        </is>
      </c>
      <c r="E404" t="inlineStr">
        <is>
          <t>LINKÖPING</t>
        </is>
      </c>
      <c r="F404" t="inlineStr">
        <is>
          <t>Allmännings- och besparingsskogar</t>
        </is>
      </c>
      <c r="G404" t="n">
        <v>7.3</v>
      </c>
      <c r="H404" t="n">
        <v>0</v>
      </c>
      <c r="I404" t="n">
        <v>0</v>
      </c>
      <c r="J404" t="n">
        <v>0</v>
      </c>
      <c r="K404" t="n">
        <v>0</v>
      </c>
      <c r="L404" t="n">
        <v>0</v>
      </c>
      <c r="M404" t="n">
        <v>0</v>
      </c>
      <c r="N404" t="n">
        <v>0</v>
      </c>
      <c r="O404" t="n">
        <v>0</v>
      </c>
      <c r="P404" t="n">
        <v>0</v>
      </c>
      <c r="Q404" t="n">
        <v>0</v>
      </c>
      <c r="R404" s="2" t="inlineStr"/>
    </row>
    <row r="405" ht="15" customHeight="1">
      <c r="A405" t="inlineStr">
        <is>
          <t>A 35179-2025</t>
        </is>
      </c>
      <c r="B405" s="1" t="n">
        <v>45852.93737268518</v>
      </c>
      <c r="C405" s="1" t="n">
        <v>46062</v>
      </c>
      <c r="D405" t="inlineStr">
        <is>
          <t>ÖSTERGÖTLANDS LÄN</t>
        </is>
      </c>
      <c r="E405" t="inlineStr">
        <is>
          <t>LINKÖPING</t>
        </is>
      </c>
      <c r="G405" t="n">
        <v>2.2</v>
      </c>
      <c r="H405" t="n">
        <v>0</v>
      </c>
      <c r="I405" t="n">
        <v>0</v>
      </c>
      <c r="J405" t="n">
        <v>0</v>
      </c>
      <c r="K405" t="n">
        <v>0</v>
      </c>
      <c r="L405" t="n">
        <v>0</v>
      </c>
      <c r="M405" t="n">
        <v>0</v>
      </c>
      <c r="N405" t="n">
        <v>0</v>
      </c>
      <c r="O405" t="n">
        <v>0</v>
      </c>
      <c r="P405" t="n">
        <v>0</v>
      </c>
      <c r="Q405" t="n">
        <v>0</v>
      </c>
      <c r="R405" s="2" t="inlineStr"/>
    </row>
    <row r="406" ht="15" customHeight="1">
      <c r="A406" t="inlineStr">
        <is>
          <t>A 35180-2025</t>
        </is>
      </c>
      <c r="B406" s="1" t="n">
        <v>45852.9413425926</v>
      </c>
      <c r="C406" s="1" t="n">
        <v>46062</v>
      </c>
      <c r="D406" t="inlineStr">
        <is>
          <t>ÖSTERGÖTLANDS LÄN</t>
        </is>
      </c>
      <c r="E406" t="inlineStr">
        <is>
          <t>LINKÖPING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35178-2025</t>
        </is>
      </c>
      <c r="B407" s="1" t="n">
        <v>45852.91939814815</v>
      </c>
      <c r="C407" s="1" t="n">
        <v>46062</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39017-2021</t>
        </is>
      </c>
      <c r="B408" s="1" t="n">
        <v>44412</v>
      </c>
      <c r="C408" s="1" t="n">
        <v>46062</v>
      </c>
      <c r="D408" t="inlineStr">
        <is>
          <t>ÖSTERGÖTLANDS LÄN</t>
        </is>
      </c>
      <c r="E408" t="inlineStr">
        <is>
          <t>LINKÖPING</t>
        </is>
      </c>
      <c r="F408" t="inlineStr">
        <is>
          <t>Övriga statliga verk och myndigheter</t>
        </is>
      </c>
      <c r="G408" t="n">
        <v>0.8</v>
      </c>
      <c r="H408" t="n">
        <v>0</v>
      </c>
      <c r="I408" t="n">
        <v>0</v>
      </c>
      <c r="J408" t="n">
        <v>0</v>
      </c>
      <c r="K408" t="n">
        <v>0</v>
      </c>
      <c r="L408" t="n">
        <v>0</v>
      </c>
      <c r="M408" t="n">
        <v>0</v>
      </c>
      <c r="N408" t="n">
        <v>0</v>
      </c>
      <c r="O408" t="n">
        <v>0</v>
      </c>
      <c r="P408" t="n">
        <v>0</v>
      </c>
      <c r="Q408" t="n">
        <v>0</v>
      </c>
      <c r="R408" s="2" t="inlineStr"/>
    </row>
    <row r="409" ht="15" customHeight="1">
      <c r="A409" t="inlineStr">
        <is>
          <t>A 51802-2025</t>
        </is>
      </c>
      <c r="B409" s="1" t="n">
        <v>45950</v>
      </c>
      <c r="C409" s="1" t="n">
        <v>46062</v>
      </c>
      <c r="D409" t="inlineStr">
        <is>
          <t>ÖSTERGÖTLANDS LÄN</t>
        </is>
      </c>
      <c r="E409" t="inlineStr">
        <is>
          <t>LINKÖPING</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1260-2023</t>
        </is>
      </c>
      <c r="B410" s="1" t="n">
        <v>44936</v>
      </c>
      <c r="C410" s="1" t="n">
        <v>46062</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1355-2023</t>
        </is>
      </c>
      <c r="B411" s="1" t="n">
        <v>44931</v>
      </c>
      <c r="C411" s="1" t="n">
        <v>46062</v>
      </c>
      <c r="D411" t="inlineStr">
        <is>
          <t>ÖSTERGÖTLANDS LÄN</t>
        </is>
      </c>
      <c r="E411" t="inlineStr">
        <is>
          <t>LINKÖPING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35757-2025</t>
        </is>
      </c>
      <c r="B412" s="1" t="n">
        <v>45860.59876157407</v>
      </c>
      <c r="C412" s="1" t="n">
        <v>46062</v>
      </c>
      <c r="D412" t="inlineStr">
        <is>
          <t>ÖSTERGÖTLANDS LÄN</t>
        </is>
      </c>
      <c r="E412" t="inlineStr">
        <is>
          <t>LINKÖPING</t>
        </is>
      </c>
      <c r="G412" t="n">
        <v>5.7</v>
      </c>
      <c r="H412" t="n">
        <v>0</v>
      </c>
      <c r="I412" t="n">
        <v>0</v>
      </c>
      <c r="J412" t="n">
        <v>0</v>
      </c>
      <c r="K412" t="n">
        <v>0</v>
      </c>
      <c r="L412" t="n">
        <v>0</v>
      </c>
      <c r="M412" t="n">
        <v>0</v>
      </c>
      <c r="N412" t="n">
        <v>0</v>
      </c>
      <c r="O412" t="n">
        <v>0</v>
      </c>
      <c r="P412" t="n">
        <v>0</v>
      </c>
      <c r="Q412" t="n">
        <v>0</v>
      </c>
      <c r="R412" s="2" t="inlineStr"/>
    </row>
    <row r="413" ht="15" customHeight="1">
      <c r="A413" t="inlineStr">
        <is>
          <t>A 35745-2025</t>
        </is>
      </c>
      <c r="B413" s="1" t="n">
        <v>45860.54739583333</v>
      </c>
      <c r="C413" s="1" t="n">
        <v>46062</v>
      </c>
      <c r="D413" t="inlineStr">
        <is>
          <t>ÖSTERGÖTLANDS LÄN</t>
        </is>
      </c>
      <c r="E413" t="inlineStr">
        <is>
          <t>LINKÖPING</t>
        </is>
      </c>
      <c r="G413" t="n">
        <v>4.4</v>
      </c>
      <c r="H413" t="n">
        <v>0</v>
      </c>
      <c r="I413" t="n">
        <v>0</v>
      </c>
      <c r="J413" t="n">
        <v>0</v>
      </c>
      <c r="K413" t="n">
        <v>0</v>
      </c>
      <c r="L413" t="n">
        <v>0</v>
      </c>
      <c r="M413" t="n">
        <v>0</v>
      </c>
      <c r="N413" t="n">
        <v>0</v>
      </c>
      <c r="O413" t="n">
        <v>0</v>
      </c>
      <c r="P413" t="n">
        <v>0</v>
      </c>
      <c r="Q413" t="n">
        <v>0</v>
      </c>
      <c r="R413" s="2" t="inlineStr"/>
    </row>
    <row r="414" ht="15" customHeight="1">
      <c r="A414" t="inlineStr">
        <is>
          <t>A 35747-2025</t>
        </is>
      </c>
      <c r="B414" s="1" t="n">
        <v>45860.56385416666</v>
      </c>
      <c r="C414" s="1" t="n">
        <v>46062</v>
      </c>
      <c r="D414" t="inlineStr">
        <is>
          <t>ÖSTERGÖTLANDS LÄN</t>
        </is>
      </c>
      <c r="E414" t="inlineStr">
        <is>
          <t>LINKÖPING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35759-2025</t>
        </is>
      </c>
      <c r="B415" s="1" t="n">
        <v>45860</v>
      </c>
      <c r="C415" s="1" t="n">
        <v>46062</v>
      </c>
      <c r="D415" t="inlineStr">
        <is>
          <t>ÖSTERGÖTLANDS LÄN</t>
        </is>
      </c>
      <c r="E415" t="inlineStr">
        <is>
          <t>LINKÖPING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3007-2025</t>
        </is>
      </c>
      <c r="B416" s="1" t="n">
        <v>45678.56328703704</v>
      </c>
      <c r="C416" s="1" t="n">
        <v>46062</v>
      </c>
      <c r="D416" t="inlineStr">
        <is>
          <t>ÖSTERGÖTLANDS LÄN</t>
        </is>
      </c>
      <c r="E416" t="inlineStr">
        <is>
          <t>LINKÖPING</t>
        </is>
      </c>
      <c r="G416" t="n">
        <v>3.1</v>
      </c>
      <c r="H416" t="n">
        <v>0</v>
      </c>
      <c r="I416" t="n">
        <v>0</v>
      </c>
      <c r="J416" t="n">
        <v>0</v>
      </c>
      <c r="K416" t="n">
        <v>0</v>
      </c>
      <c r="L416" t="n">
        <v>0</v>
      </c>
      <c r="M416" t="n">
        <v>0</v>
      </c>
      <c r="N416" t="n">
        <v>0</v>
      </c>
      <c r="O416" t="n">
        <v>0</v>
      </c>
      <c r="P416" t="n">
        <v>0</v>
      </c>
      <c r="Q416" t="n">
        <v>0</v>
      </c>
      <c r="R416" s="2" t="inlineStr"/>
    </row>
    <row r="417" ht="15" customHeight="1">
      <c r="A417" t="inlineStr">
        <is>
          <t>A 10492-2022</t>
        </is>
      </c>
      <c r="B417" s="1" t="n">
        <v>44623.6377199074</v>
      </c>
      <c r="C417" s="1" t="n">
        <v>46062</v>
      </c>
      <c r="D417" t="inlineStr">
        <is>
          <t>ÖSTERGÖTLANDS LÄN</t>
        </is>
      </c>
      <c r="E417" t="inlineStr">
        <is>
          <t>LINKÖPING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30465-2023</t>
        </is>
      </c>
      <c r="B418" s="1" t="n">
        <v>45111</v>
      </c>
      <c r="C418" s="1" t="n">
        <v>46062</v>
      </c>
      <c r="D418" t="inlineStr">
        <is>
          <t>ÖSTERGÖTLANDS LÄN</t>
        </is>
      </c>
      <c r="E418" t="inlineStr">
        <is>
          <t>LINKÖPING</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39021-2021</t>
        </is>
      </c>
      <c r="B419" s="1" t="n">
        <v>44412</v>
      </c>
      <c r="C419" s="1" t="n">
        <v>46062</v>
      </c>
      <c r="D419" t="inlineStr">
        <is>
          <t>ÖSTERGÖTLANDS LÄN</t>
        </is>
      </c>
      <c r="E419" t="inlineStr">
        <is>
          <t>LINKÖPING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52111-2025</t>
        </is>
      </c>
      <c r="B420" s="1" t="n">
        <v>45952.69527777778</v>
      </c>
      <c r="C420" s="1" t="n">
        <v>46062</v>
      </c>
      <c r="D420" t="inlineStr">
        <is>
          <t>ÖSTERGÖTLANDS LÄN</t>
        </is>
      </c>
      <c r="E420" t="inlineStr">
        <is>
          <t>LINKÖPING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62353-2022</t>
        </is>
      </c>
      <c r="B421" s="1" t="n">
        <v>44923</v>
      </c>
      <c r="C421" s="1" t="n">
        <v>46062</v>
      </c>
      <c r="D421" t="inlineStr">
        <is>
          <t>ÖSTERGÖTLANDS LÄN</t>
        </is>
      </c>
      <c r="E421" t="inlineStr">
        <is>
          <t>LINKÖPING</t>
        </is>
      </c>
      <c r="F421" t="inlineStr">
        <is>
          <t>Allmännings- och besparingsskogar</t>
        </is>
      </c>
      <c r="G421" t="n">
        <v>1.7</v>
      </c>
      <c r="H421" t="n">
        <v>0</v>
      </c>
      <c r="I421" t="n">
        <v>0</v>
      </c>
      <c r="J421" t="n">
        <v>0</v>
      </c>
      <c r="K421" t="n">
        <v>0</v>
      </c>
      <c r="L421" t="n">
        <v>0</v>
      </c>
      <c r="M421" t="n">
        <v>0</v>
      </c>
      <c r="N421" t="n">
        <v>0</v>
      </c>
      <c r="O421" t="n">
        <v>0</v>
      </c>
      <c r="P421" t="n">
        <v>0</v>
      </c>
      <c r="Q421" t="n">
        <v>0</v>
      </c>
      <c r="R421" s="2" t="inlineStr"/>
    </row>
    <row r="422" ht="15" customHeight="1">
      <c r="A422" t="inlineStr">
        <is>
          <t>A 30111-2024</t>
        </is>
      </c>
      <c r="B422" s="1" t="n">
        <v>45489.46947916667</v>
      </c>
      <c r="C422" s="1" t="n">
        <v>46062</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30119-2024</t>
        </is>
      </c>
      <c r="B423" s="1" t="n">
        <v>45489</v>
      </c>
      <c r="C423" s="1" t="n">
        <v>46062</v>
      </c>
      <c r="D423" t="inlineStr">
        <is>
          <t>ÖSTERGÖTLANDS LÄN</t>
        </is>
      </c>
      <c r="E423" t="inlineStr">
        <is>
          <t>LINKÖPING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29411-2023</t>
        </is>
      </c>
      <c r="B424" s="1" t="n">
        <v>45106.46225694445</v>
      </c>
      <c r="C424" s="1" t="n">
        <v>46062</v>
      </c>
      <c r="D424" t="inlineStr">
        <is>
          <t>ÖSTERGÖTLANDS LÄN</t>
        </is>
      </c>
      <c r="E424" t="inlineStr">
        <is>
          <t>LINKÖPING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29412-2023</t>
        </is>
      </c>
      <c r="B425" s="1" t="n">
        <v>45106.46359953703</v>
      </c>
      <c r="C425" s="1" t="n">
        <v>46062</v>
      </c>
      <c r="D425" t="inlineStr">
        <is>
          <t>ÖSTERGÖTLANDS LÄN</t>
        </is>
      </c>
      <c r="E425" t="inlineStr">
        <is>
          <t>LINKÖPING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31792-2021</t>
        </is>
      </c>
      <c r="B426" s="1" t="n">
        <v>44369</v>
      </c>
      <c r="C426" s="1" t="n">
        <v>46062</v>
      </c>
      <c r="D426" t="inlineStr">
        <is>
          <t>ÖSTERGÖTLANDS LÄN</t>
        </is>
      </c>
      <c r="E426" t="inlineStr">
        <is>
          <t>LINKÖPING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52740-2025</t>
        </is>
      </c>
      <c r="B427" s="1" t="n">
        <v>45957.37747685185</v>
      </c>
      <c r="C427" s="1" t="n">
        <v>46062</v>
      </c>
      <c r="D427" t="inlineStr">
        <is>
          <t>ÖSTERGÖTLANDS LÄN</t>
        </is>
      </c>
      <c r="E427" t="inlineStr">
        <is>
          <t>LINKÖPING</t>
        </is>
      </c>
      <c r="G427" t="n">
        <v>3.7</v>
      </c>
      <c r="H427" t="n">
        <v>0</v>
      </c>
      <c r="I427" t="n">
        <v>0</v>
      </c>
      <c r="J427" t="n">
        <v>0</v>
      </c>
      <c r="K427" t="n">
        <v>0</v>
      </c>
      <c r="L427" t="n">
        <v>0</v>
      </c>
      <c r="M427" t="n">
        <v>0</v>
      </c>
      <c r="N427" t="n">
        <v>0</v>
      </c>
      <c r="O427" t="n">
        <v>0</v>
      </c>
      <c r="P427" t="n">
        <v>0</v>
      </c>
      <c r="Q427" t="n">
        <v>0</v>
      </c>
      <c r="R427" s="2" t="inlineStr"/>
    </row>
    <row r="428" ht="15" customHeight="1">
      <c r="A428" t="inlineStr">
        <is>
          <t>A 421-2024</t>
        </is>
      </c>
      <c r="B428" s="1" t="n">
        <v>45296.51877314815</v>
      </c>
      <c r="C428" s="1" t="n">
        <v>46062</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22043-2023</t>
        </is>
      </c>
      <c r="B429" s="1" t="n">
        <v>45069.39050925926</v>
      </c>
      <c r="C429" s="1" t="n">
        <v>46062</v>
      </c>
      <c r="D429" t="inlineStr">
        <is>
          <t>ÖSTERGÖTLANDS LÄN</t>
        </is>
      </c>
      <c r="E429" t="inlineStr">
        <is>
          <t>LINKÖPING</t>
        </is>
      </c>
      <c r="G429" t="n">
        <v>5.9</v>
      </c>
      <c r="H429" t="n">
        <v>0</v>
      </c>
      <c r="I429" t="n">
        <v>0</v>
      </c>
      <c r="J429" t="n">
        <v>0</v>
      </c>
      <c r="K429" t="n">
        <v>0</v>
      </c>
      <c r="L429" t="n">
        <v>0</v>
      </c>
      <c r="M429" t="n">
        <v>0</v>
      </c>
      <c r="N429" t="n">
        <v>0</v>
      </c>
      <c r="O429" t="n">
        <v>0</v>
      </c>
      <c r="P429" t="n">
        <v>0</v>
      </c>
      <c r="Q429" t="n">
        <v>0</v>
      </c>
      <c r="R429" s="2" t="inlineStr"/>
    </row>
    <row r="430" ht="15" customHeight="1">
      <c r="A430" t="inlineStr">
        <is>
          <t>A 52800-2025</t>
        </is>
      </c>
      <c r="B430" s="1" t="n">
        <v>45957.44152777778</v>
      </c>
      <c r="C430" s="1" t="n">
        <v>46062</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52802-2025</t>
        </is>
      </c>
      <c r="B431" s="1" t="n">
        <v>45957.44295138889</v>
      </c>
      <c r="C431" s="1" t="n">
        <v>46062</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61532-2021</t>
        </is>
      </c>
      <c r="B432" s="1" t="n">
        <v>44501</v>
      </c>
      <c r="C432" s="1" t="n">
        <v>46062</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14028-2024</t>
        </is>
      </c>
      <c r="B433" s="1" t="n">
        <v>45392</v>
      </c>
      <c r="C433" s="1" t="n">
        <v>46062</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40431-2024</t>
        </is>
      </c>
      <c r="B434" s="1" t="n">
        <v>45555.47070601852</v>
      </c>
      <c r="C434" s="1" t="n">
        <v>46062</v>
      </c>
      <c r="D434" t="inlineStr">
        <is>
          <t>ÖSTERGÖTLANDS LÄN</t>
        </is>
      </c>
      <c r="E434" t="inlineStr">
        <is>
          <t>LINKÖPING</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52743-2025</t>
        </is>
      </c>
      <c r="B435" s="1" t="n">
        <v>45957.38039351852</v>
      </c>
      <c r="C435" s="1" t="n">
        <v>46062</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52807-2025</t>
        </is>
      </c>
      <c r="B436" s="1" t="n">
        <v>45957.44837962963</v>
      </c>
      <c r="C436" s="1" t="n">
        <v>46062</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60860-2024</t>
        </is>
      </c>
      <c r="B437" s="1" t="n">
        <v>45644.6893287037</v>
      </c>
      <c r="C437" s="1" t="n">
        <v>46062</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2697-2023</t>
        </is>
      </c>
      <c r="B438" s="1" t="n">
        <v>44944</v>
      </c>
      <c r="C438" s="1" t="n">
        <v>46062</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45806-2024</t>
        </is>
      </c>
      <c r="B439" s="1" t="n">
        <v>45579.69619212963</v>
      </c>
      <c r="C439" s="1" t="n">
        <v>46062</v>
      </c>
      <c r="D439" t="inlineStr">
        <is>
          <t>ÖSTERGÖTLANDS LÄN</t>
        </is>
      </c>
      <c r="E439" t="inlineStr">
        <is>
          <t>LINKÖPING</t>
        </is>
      </c>
      <c r="G439" t="n">
        <v>1.6</v>
      </c>
      <c r="H439" t="n">
        <v>0</v>
      </c>
      <c r="I439" t="n">
        <v>0</v>
      </c>
      <c r="J439" t="n">
        <v>0</v>
      </c>
      <c r="K439" t="n">
        <v>0</v>
      </c>
      <c r="L439" t="n">
        <v>0</v>
      </c>
      <c r="M439" t="n">
        <v>0</v>
      </c>
      <c r="N439" t="n">
        <v>0</v>
      </c>
      <c r="O439" t="n">
        <v>0</v>
      </c>
      <c r="P439" t="n">
        <v>0</v>
      </c>
      <c r="Q439" t="n">
        <v>0</v>
      </c>
      <c r="R439" s="2" t="inlineStr"/>
    </row>
    <row r="440" ht="15" customHeight="1">
      <c r="A440" t="inlineStr">
        <is>
          <t>A 37057-2025</t>
        </is>
      </c>
      <c r="B440" s="1" t="n">
        <v>45875.37489583333</v>
      </c>
      <c r="C440" s="1" t="n">
        <v>46062</v>
      </c>
      <c r="D440" t="inlineStr">
        <is>
          <t>ÖSTERGÖTLANDS LÄN</t>
        </is>
      </c>
      <c r="E440" t="inlineStr">
        <is>
          <t>LINKÖPING</t>
        </is>
      </c>
      <c r="G440" t="n">
        <v>3.3</v>
      </c>
      <c r="H440" t="n">
        <v>0</v>
      </c>
      <c r="I440" t="n">
        <v>0</v>
      </c>
      <c r="J440" t="n">
        <v>0</v>
      </c>
      <c r="K440" t="n">
        <v>0</v>
      </c>
      <c r="L440" t="n">
        <v>0</v>
      </c>
      <c r="M440" t="n">
        <v>0</v>
      </c>
      <c r="N440" t="n">
        <v>0</v>
      </c>
      <c r="O440" t="n">
        <v>0</v>
      </c>
      <c r="P440" t="n">
        <v>0</v>
      </c>
      <c r="Q440" t="n">
        <v>0</v>
      </c>
      <c r="R440" s="2" t="inlineStr"/>
    </row>
    <row r="441" ht="15" customHeight="1">
      <c r="A441" t="inlineStr">
        <is>
          <t>A 56756-2023</t>
        </is>
      </c>
      <c r="B441" s="1" t="n">
        <v>45244</v>
      </c>
      <c r="C441" s="1" t="n">
        <v>46062</v>
      </c>
      <c r="D441" t="inlineStr">
        <is>
          <t>ÖSTERGÖTLANDS LÄN</t>
        </is>
      </c>
      <c r="E441" t="inlineStr">
        <is>
          <t>LINKÖPING</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60985-2023</t>
        </is>
      </c>
      <c r="B442" s="1" t="n">
        <v>45261.48429398148</v>
      </c>
      <c r="C442" s="1" t="n">
        <v>46062</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24904-2024</t>
        </is>
      </c>
      <c r="B443" s="1" t="n">
        <v>45461</v>
      </c>
      <c r="C443" s="1" t="n">
        <v>46062</v>
      </c>
      <c r="D443" t="inlineStr">
        <is>
          <t>ÖSTERGÖTLANDS LÄN</t>
        </is>
      </c>
      <c r="E443" t="inlineStr">
        <is>
          <t>LINKÖPING</t>
        </is>
      </c>
      <c r="G443" t="n">
        <v>3.8</v>
      </c>
      <c r="H443" t="n">
        <v>0</v>
      </c>
      <c r="I443" t="n">
        <v>0</v>
      </c>
      <c r="J443" t="n">
        <v>0</v>
      </c>
      <c r="K443" t="n">
        <v>0</v>
      </c>
      <c r="L443" t="n">
        <v>0</v>
      </c>
      <c r="M443" t="n">
        <v>0</v>
      </c>
      <c r="N443" t="n">
        <v>0</v>
      </c>
      <c r="O443" t="n">
        <v>0</v>
      </c>
      <c r="P443" t="n">
        <v>0</v>
      </c>
      <c r="Q443" t="n">
        <v>0</v>
      </c>
      <c r="R443" s="2" t="inlineStr"/>
    </row>
    <row r="444" ht="15" customHeight="1">
      <c r="A444" t="inlineStr">
        <is>
          <t>A 55009-2023</t>
        </is>
      </c>
      <c r="B444" s="1" t="n">
        <v>45237</v>
      </c>
      <c r="C444" s="1" t="n">
        <v>46062</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34872-2023</t>
        </is>
      </c>
      <c r="B445" s="1" t="n">
        <v>45140</v>
      </c>
      <c r="C445" s="1" t="n">
        <v>46062</v>
      </c>
      <c r="D445" t="inlineStr">
        <is>
          <t>ÖSTERGÖTLANDS LÄN</t>
        </is>
      </c>
      <c r="E445" t="inlineStr">
        <is>
          <t>LINKÖPING</t>
        </is>
      </c>
      <c r="G445" t="n">
        <v>4.8</v>
      </c>
      <c r="H445" t="n">
        <v>0</v>
      </c>
      <c r="I445" t="n">
        <v>0</v>
      </c>
      <c r="J445" t="n">
        <v>0</v>
      </c>
      <c r="K445" t="n">
        <v>0</v>
      </c>
      <c r="L445" t="n">
        <v>0</v>
      </c>
      <c r="M445" t="n">
        <v>0</v>
      </c>
      <c r="N445" t="n">
        <v>0</v>
      </c>
      <c r="O445" t="n">
        <v>0</v>
      </c>
      <c r="P445" t="n">
        <v>0</v>
      </c>
      <c r="Q445" t="n">
        <v>0</v>
      </c>
      <c r="R445" s="2" t="inlineStr"/>
    </row>
    <row r="446" ht="15" customHeight="1">
      <c r="A446" t="inlineStr">
        <is>
          <t>A 36336-2022</t>
        </is>
      </c>
      <c r="B446" s="1" t="n">
        <v>44803</v>
      </c>
      <c r="C446" s="1" t="n">
        <v>46062</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54332-2025</t>
        </is>
      </c>
      <c r="B447" s="1" t="n">
        <v>45965.34915509259</v>
      </c>
      <c r="C447" s="1" t="n">
        <v>46062</v>
      </c>
      <c r="D447" t="inlineStr">
        <is>
          <t>ÖSTERGÖTLANDS LÄN</t>
        </is>
      </c>
      <c r="E447" t="inlineStr">
        <is>
          <t>LINKÖPING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54329-2025</t>
        </is>
      </c>
      <c r="B448" s="1" t="n">
        <v>45965.34706018519</v>
      </c>
      <c r="C448" s="1" t="n">
        <v>46062</v>
      </c>
      <c r="D448" t="inlineStr">
        <is>
          <t>ÖSTERGÖTLANDS LÄN</t>
        </is>
      </c>
      <c r="E448" t="inlineStr">
        <is>
          <t>LINKÖPING</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25097-2023</t>
        </is>
      </c>
      <c r="B449" s="1" t="n">
        <v>45086</v>
      </c>
      <c r="C449" s="1" t="n">
        <v>46062</v>
      </c>
      <c r="D449" t="inlineStr">
        <is>
          <t>ÖSTERGÖTLANDS LÄN</t>
        </is>
      </c>
      <c r="E449" t="inlineStr">
        <is>
          <t>LINKÖPING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54333-2025</t>
        </is>
      </c>
      <c r="B450" s="1" t="n">
        <v>45965.35090277778</v>
      </c>
      <c r="C450" s="1" t="n">
        <v>46062</v>
      </c>
      <c r="D450" t="inlineStr">
        <is>
          <t>ÖSTERGÖTLANDS LÄN</t>
        </is>
      </c>
      <c r="E450" t="inlineStr">
        <is>
          <t>LINKÖPING</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10461-2023</t>
        </is>
      </c>
      <c r="B451" s="1" t="n">
        <v>44987.5969212963</v>
      </c>
      <c r="C451" s="1" t="n">
        <v>46062</v>
      </c>
      <c r="D451" t="inlineStr">
        <is>
          <t>ÖSTERGÖTLANDS LÄN</t>
        </is>
      </c>
      <c r="E451" t="inlineStr">
        <is>
          <t>LINKÖPING</t>
        </is>
      </c>
      <c r="G451" t="n">
        <v>7.8</v>
      </c>
      <c r="H451" t="n">
        <v>0</v>
      </c>
      <c r="I451" t="n">
        <v>0</v>
      </c>
      <c r="J451" t="n">
        <v>0</v>
      </c>
      <c r="K451" t="n">
        <v>0</v>
      </c>
      <c r="L451" t="n">
        <v>0</v>
      </c>
      <c r="M451" t="n">
        <v>0</v>
      </c>
      <c r="N451" t="n">
        <v>0</v>
      </c>
      <c r="O451" t="n">
        <v>0</v>
      </c>
      <c r="P451" t="n">
        <v>0</v>
      </c>
      <c r="Q451" t="n">
        <v>0</v>
      </c>
      <c r="R451" s="2" t="inlineStr"/>
    </row>
    <row r="452" ht="15" customHeight="1">
      <c r="A452" t="inlineStr">
        <is>
          <t>A 50386-2021</t>
        </is>
      </c>
      <c r="B452" s="1" t="n">
        <v>44459</v>
      </c>
      <c r="C452" s="1" t="n">
        <v>46062</v>
      </c>
      <c r="D452" t="inlineStr">
        <is>
          <t>ÖSTERGÖTLANDS LÄN</t>
        </is>
      </c>
      <c r="E452" t="inlineStr">
        <is>
          <t>LINKÖPING</t>
        </is>
      </c>
      <c r="G452" t="n">
        <v>2.3</v>
      </c>
      <c r="H452" t="n">
        <v>0</v>
      </c>
      <c r="I452" t="n">
        <v>0</v>
      </c>
      <c r="J452" t="n">
        <v>0</v>
      </c>
      <c r="K452" t="n">
        <v>0</v>
      </c>
      <c r="L452" t="n">
        <v>0</v>
      </c>
      <c r="M452" t="n">
        <v>0</v>
      </c>
      <c r="N452" t="n">
        <v>0</v>
      </c>
      <c r="O452" t="n">
        <v>0</v>
      </c>
      <c r="P452" t="n">
        <v>0</v>
      </c>
      <c r="Q452" t="n">
        <v>0</v>
      </c>
      <c r="R452" s="2" t="inlineStr"/>
    </row>
    <row r="453" ht="15" customHeight="1">
      <c r="A453" t="inlineStr">
        <is>
          <t>A 25829-2025</t>
        </is>
      </c>
      <c r="B453" s="1" t="n">
        <v>45804.44505787037</v>
      </c>
      <c r="C453" s="1" t="n">
        <v>46062</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38046-2025</t>
        </is>
      </c>
      <c r="B454" s="1" t="n">
        <v>45882.39939814815</v>
      </c>
      <c r="C454" s="1" t="n">
        <v>46062</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350-2022</t>
        </is>
      </c>
      <c r="B455" s="1" t="n">
        <v>44565</v>
      </c>
      <c r="C455" s="1" t="n">
        <v>46062</v>
      </c>
      <c r="D455" t="inlineStr">
        <is>
          <t>ÖSTERGÖTLANDS LÄN</t>
        </is>
      </c>
      <c r="E455" t="inlineStr">
        <is>
          <t>LINKÖPING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55102-2025</t>
        </is>
      </c>
      <c r="B456" s="1" t="n">
        <v>45968.35410879629</v>
      </c>
      <c r="C456" s="1" t="n">
        <v>46062</v>
      </c>
      <c r="D456" t="inlineStr">
        <is>
          <t>ÖSTERGÖTLANDS LÄN</t>
        </is>
      </c>
      <c r="E456" t="inlineStr">
        <is>
          <t>LINKÖPING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55132-2025</t>
        </is>
      </c>
      <c r="B457" s="1" t="n">
        <v>45968.41912037037</v>
      </c>
      <c r="C457" s="1" t="n">
        <v>46062</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18891-2022</t>
        </is>
      </c>
      <c r="B458" s="1" t="n">
        <v>44690</v>
      </c>
      <c r="C458" s="1" t="n">
        <v>46062</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55109-2025</t>
        </is>
      </c>
      <c r="B459" s="1" t="n">
        <v>45968.37731481482</v>
      </c>
      <c r="C459" s="1" t="n">
        <v>46062</v>
      </c>
      <c r="D459" t="inlineStr">
        <is>
          <t>ÖSTERGÖTLANDS LÄN</t>
        </is>
      </c>
      <c r="E459" t="inlineStr">
        <is>
          <t>LINKÖPING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55165-2025</t>
        </is>
      </c>
      <c r="B460" s="1" t="n">
        <v>45968.48194444444</v>
      </c>
      <c r="C460" s="1" t="n">
        <v>46062</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30976-2022</t>
        </is>
      </c>
      <c r="B461" s="1" t="n">
        <v>44768</v>
      </c>
      <c r="C461" s="1" t="n">
        <v>46062</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55736-2022</t>
        </is>
      </c>
      <c r="B462" s="1" t="n">
        <v>44888</v>
      </c>
      <c r="C462" s="1" t="n">
        <v>46062</v>
      </c>
      <c r="D462" t="inlineStr">
        <is>
          <t>ÖSTERGÖTLANDS LÄN</t>
        </is>
      </c>
      <c r="E462" t="inlineStr">
        <is>
          <t>LINKÖPING</t>
        </is>
      </c>
      <c r="G462" t="n">
        <v>5.5</v>
      </c>
      <c r="H462" t="n">
        <v>0</v>
      </c>
      <c r="I462" t="n">
        <v>0</v>
      </c>
      <c r="J462" t="n">
        <v>0</v>
      </c>
      <c r="K462" t="n">
        <v>0</v>
      </c>
      <c r="L462" t="n">
        <v>0</v>
      </c>
      <c r="M462" t="n">
        <v>0</v>
      </c>
      <c r="N462" t="n">
        <v>0</v>
      </c>
      <c r="O462" t="n">
        <v>0</v>
      </c>
      <c r="P462" t="n">
        <v>0</v>
      </c>
      <c r="Q462" t="n">
        <v>0</v>
      </c>
      <c r="R462" s="2" t="inlineStr"/>
    </row>
    <row r="463" ht="15" customHeight="1">
      <c r="A463" t="inlineStr">
        <is>
          <t>A 56113-2025</t>
        </is>
      </c>
      <c r="B463" s="1" t="n">
        <v>45973.73924768518</v>
      </c>
      <c r="C463" s="1" t="n">
        <v>46062</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56105-2025</t>
        </is>
      </c>
      <c r="B464" s="1" t="n">
        <v>45973.72855324074</v>
      </c>
      <c r="C464" s="1" t="n">
        <v>46062</v>
      </c>
      <c r="D464" t="inlineStr">
        <is>
          <t>ÖSTERGÖTLANDS LÄN</t>
        </is>
      </c>
      <c r="E464" t="inlineStr">
        <is>
          <t>LINKÖPING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10194-2023</t>
        </is>
      </c>
      <c r="B465" s="1" t="n">
        <v>44986.52277777778</v>
      </c>
      <c r="C465" s="1" t="n">
        <v>46062</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56403-2025</t>
        </is>
      </c>
      <c r="B466" s="1" t="n">
        <v>45974</v>
      </c>
      <c r="C466" s="1" t="n">
        <v>46062</v>
      </c>
      <c r="D466" t="inlineStr">
        <is>
          <t>ÖSTERGÖTLANDS LÄN</t>
        </is>
      </c>
      <c r="E466" t="inlineStr">
        <is>
          <t>LINKÖPING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61281-2021</t>
        </is>
      </c>
      <c r="B467" s="1" t="n">
        <v>44498.60736111111</v>
      </c>
      <c r="C467" s="1" t="n">
        <v>46062</v>
      </c>
      <c r="D467" t="inlineStr">
        <is>
          <t>ÖSTERGÖTLANDS LÄN</t>
        </is>
      </c>
      <c r="E467" t="inlineStr">
        <is>
          <t>LINKÖPING</t>
        </is>
      </c>
      <c r="G467" t="n">
        <v>4.5</v>
      </c>
      <c r="H467" t="n">
        <v>0</v>
      </c>
      <c r="I467" t="n">
        <v>0</v>
      </c>
      <c r="J467" t="n">
        <v>0</v>
      </c>
      <c r="K467" t="n">
        <v>0</v>
      </c>
      <c r="L467" t="n">
        <v>0</v>
      </c>
      <c r="M467" t="n">
        <v>0</v>
      </c>
      <c r="N467" t="n">
        <v>0</v>
      </c>
      <c r="O467" t="n">
        <v>0</v>
      </c>
      <c r="P467" t="n">
        <v>0</v>
      </c>
      <c r="Q467" t="n">
        <v>0</v>
      </c>
      <c r="R467" s="2" t="inlineStr"/>
    </row>
    <row r="468" ht="15" customHeight="1">
      <c r="A468" t="inlineStr">
        <is>
          <t>A 25292-2021</t>
        </is>
      </c>
      <c r="B468" s="1" t="n">
        <v>44342</v>
      </c>
      <c r="C468" s="1" t="n">
        <v>46062</v>
      </c>
      <c r="D468" t="inlineStr">
        <is>
          <t>ÖSTERGÖTLANDS LÄN</t>
        </is>
      </c>
      <c r="E468" t="inlineStr">
        <is>
          <t>LINKÖPING</t>
        </is>
      </c>
      <c r="F468" t="inlineStr">
        <is>
          <t>Övriga Aktiebolag</t>
        </is>
      </c>
      <c r="G468" t="n">
        <v>12.8</v>
      </c>
      <c r="H468" t="n">
        <v>0</v>
      </c>
      <c r="I468" t="n">
        <v>0</v>
      </c>
      <c r="J468" t="n">
        <v>0</v>
      </c>
      <c r="K468" t="n">
        <v>0</v>
      </c>
      <c r="L468" t="n">
        <v>0</v>
      </c>
      <c r="M468" t="n">
        <v>0</v>
      </c>
      <c r="N468" t="n">
        <v>0</v>
      </c>
      <c r="O468" t="n">
        <v>0</v>
      </c>
      <c r="P468" t="n">
        <v>0</v>
      </c>
      <c r="Q468" t="n">
        <v>0</v>
      </c>
      <c r="R468" s="2" t="inlineStr"/>
    </row>
    <row r="469" ht="15" customHeight="1">
      <c r="A469" t="inlineStr">
        <is>
          <t>A 63935-2021</t>
        </is>
      </c>
      <c r="B469" s="1" t="n">
        <v>44509</v>
      </c>
      <c r="C469" s="1" t="n">
        <v>46062</v>
      </c>
      <c r="D469" t="inlineStr">
        <is>
          <t>ÖSTERGÖTLANDS LÄN</t>
        </is>
      </c>
      <c r="E469" t="inlineStr">
        <is>
          <t>LINKÖPING</t>
        </is>
      </c>
      <c r="F469" t="inlineStr">
        <is>
          <t>Övriga statliga verk och myndigheter</t>
        </is>
      </c>
      <c r="G469" t="n">
        <v>2.8</v>
      </c>
      <c r="H469" t="n">
        <v>0</v>
      </c>
      <c r="I469" t="n">
        <v>0</v>
      </c>
      <c r="J469" t="n">
        <v>0</v>
      </c>
      <c r="K469" t="n">
        <v>0</v>
      </c>
      <c r="L469" t="n">
        <v>0</v>
      </c>
      <c r="M469" t="n">
        <v>0</v>
      </c>
      <c r="N469" t="n">
        <v>0</v>
      </c>
      <c r="O469" t="n">
        <v>0</v>
      </c>
      <c r="P469" t="n">
        <v>0</v>
      </c>
      <c r="Q469" t="n">
        <v>0</v>
      </c>
      <c r="R469" s="2" t="inlineStr"/>
    </row>
    <row r="470" ht="15" customHeight="1">
      <c r="A470" t="inlineStr">
        <is>
          <t>A 38971-2025</t>
        </is>
      </c>
      <c r="B470" s="1" t="n">
        <v>45887.71827546296</v>
      </c>
      <c r="C470" s="1" t="n">
        <v>46062</v>
      </c>
      <c r="D470" t="inlineStr">
        <is>
          <t>ÖSTERGÖTLANDS LÄN</t>
        </is>
      </c>
      <c r="E470" t="inlineStr">
        <is>
          <t>LINKÖPING</t>
        </is>
      </c>
      <c r="G470" t="n">
        <v>3.9</v>
      </c>
      <c r="H470" t="n">
        <v>0</v>
      </c>
      <c r="I470" t="n">
        <v>0</v>
      </c>
      <c r="J470" t="n">
        <v>0</v>
      </c>
      <c r="K470" t="n">
        <v>0</v>
      </c>
      <c r="L470" t="n">
        <v>0</v>
      </c>
      <c r="M470" t="n">
        <v>0</v>
      </c>
      <c r="N470" t="n">
        <v>0</v>
      </c>
      <c r="O470" t="n">
        <v>0</v>
      </c>
      <c r="P470" t="n">
        <v>0</v>
      </c>
      <c r="Q470" t="n">
        <v>0</v>
      </c>
      <c r="R470" s="2" t="inlineStr"/>
    </row>
    <row r="471" ht="15" customHeight="1">
      <c r="A471" t="inlineStr">
        <is>
          <t>A 55345-2021</t>
        </is>
      </c>
      <c r="B471" s="1" t="n">
        <v>44475</v>
      </c>
      <c r="C471" s="1" t="n">
        <v>46062</v>
      </c>
      <c r="D471" t="inlineStr">
        <is>
          <t>ÖSTERGÖTLANDS LÄN</t>
        </is>
      </c>
      <c r="E471" t="inlineStr">
        <is>
          <t>LINKÖPING</t>
        </is>
      </c>
      <c r="G471" t="n">
        <v>5.7</v>
      </c>
      <c r="H471" t="n">
        <v>0</v>
      </c>
      <c r="I471" t="n">
        <v>0</v>
      </c>
      <c r="J471" t="n">
        <v>0</v>
      </c>
      <c r="K471" t="n">
        <v>0</v>
      </c>
      <c r="L471" t="n">
        <v>0</v>
      </c>
      <c r="M471" t="n">
        <v>0</v>
      </c>
      <c r="N471" t="n">
        <v>0</v>
      </c>
      <c r="O471" t="n">
        <v>0</v>
      </c>
      <c r="P471" t="n">
        <v>0</v>
      </c>
      <c r="Q471" t="n">
        <v>0</v>
      </c>
      <c r="R471" s="2" t="inlineStr"/>
    </row>
    <row r="472" ht="15" customHeight="1">
      <c r="A472" t="inlineStr">
        <is>
          <t>A 56704-2025</t>
        </is>
      </c>
      <c r="B472" s="1" t="n">
        <v>45977.50608796296</v>
      </c>
      <c r="C472" s="1" t="n">
        <v>46062</v>
      </c>
      <c r="D472" t="inlineStr">
        <is>
          <t>ÖSTERGÖTLANDS LÄN</t>
        </is>
      </c>
      <c r="E472" t="inlineStr">
        <is>
          <t>LINKÖPING</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7702-2023</t>
        </is>
      </c>
      <c r="B473" s="1" t="n">
        <v>44967</v>
      </c>
      <c r="C473" s="1" t="n">
        <v>46062</v>
      </c>
      <c r="D473" t="inlineStr">
        <is>
          <t>ÖSTERGÖTLANDS LÄN</t>
        </is>
      </c>
      <c r="E473" t="inlineStr">
        <is>
          <t>LINKÖPING</t>
        </is>
      </c>
      <c r="F473" t="inlineStr">
        <is>
          <t>Övriga statliga verk och myndigheter</t>
        </is>
      </c>
      <c r="G473" t="n">
        <v>8</v>
      </c>
      <c r="H473" t="n">
        <v>0</v>
      </c>
      <c r="I473" t="n">
        <v>0</v>
      </c>
      <c r="J473" t="n">
        <v>0</v>
      </c>
      <c r="K473" t="n">
        <v>0</v>
      </c>
      <c r="L473" t="n">
        <v>0</v>
      </c>
      <c r="M473" t="n">
        <v>0</v>
      </c>
      <c r="N473" t="n">
        <v>0</v>
      </c>
      <c r="O473" t="n">
        <v>0</v>
      </c>
      <c r="P473" t="n">
        <v>0</v>
      </c>
      <c r="Q473" t="n">
        <v>0</v>
      </c>
      <c r="R473" s="2" t="inlineStr"/>
    </row>
    <row r="474" ht="15" customHeight="1">
      <c r="A474" t="inlineStr">
        <is>
          <t>A 42000-2023</t>
        </is>
      </c>
      <c r="B474" s="1" t="n">
        <v>45177</v>
      </c>
      <c r="C474" s="1" t="n">
        <v>46062</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31534-2023</t>
        </is>
      </c>
      <c r="B475" s="1" t="n">
        <v>45116</v>
      </c>
      <c r="C475" s="1" t="n">
        <v>46062</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35427-2023</t>
        </is>
      </c>
      <c r="B476" s="1" t="n">
        <v>45146</v>
      </c>
      <c r="C476" s="1" t="n">
        <v>46062</v>
      </c>
      <c r="D476" t="inlineStr">
        <is>
          <t>ÖSTERGÖTLANDS LÄN</t>
        </is>
      </c>
      <c r="E476" t="inlineStr">
        <is>
          <t>LINKÖPING</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36725-2023</t>
        </is>
      </c>
      <c r="B477" s="1" t="n">
        <v>45153.68471064815</v>
      </c>
      <c r="C477" s="1" t="n">
        <v>46062</v>
      </c>
      <c r="D477" t="inlineStr">
        <is>
          <t>ÖSTERGÖTLANDS LÄN</t>
        </is>
      </c>
      <c r="E477" t="inlineStr">
        <is>
          <t>LINKÖPING</t>
        </is>
      </c>
      <c r="F477" t="inlineStr">
        <is>
          <t>Allmännings- och besparingsskogar</t>
        </is>
      </c>
      <c r="G477" t="n">
        <v>2.6</v>
      </c>
      <c r="H477" t="n">
        <v>0</v>
      </c>
      <c r="I477" t="n">
        <v>0</v>
      </c>
      <c r="J477" t="n">
        <v>0</v>
      </c>
      <c r="K477" t="n">
        <v>0</v>
      </c>
      <c r="L477" t="n">
        <v>0</v>
      </c>
      <c r="M477" t="n">
        <v>0</v>
      </c>
      <c r="N477" t="n">
        <v>0</v>
      </c>
      <c r="O477" t="n">
        <v>0</v>
      </c>
      <c r="P477" t="n">
        <v>0</v>
      </c>
      <c r="Q477" t="n">
        <v>0</v>
      </c>
      <c r="R477" s="2" t="inlineStr"/>
    </row>
    <row r="478" ht="15" customHeight="1">
      <c r="A478" t="inlineStr">
        <is>
          <t>A 53639-2023</t>
        </is>
      </c>
      <c r="B478" s="1" t="n">
        <v>45230.59686342593</v>
      </c>
      <c r="C478" s="1" t="n">
        <v>46062</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1657-2024</t>
        </is>
      </c>
      <c r="B479" s="1" t="n">
        <v>45306.82501157407</v>
      </c>
      <c r="C479" s="1" t="n">
        <v>46062</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50784-2022</t>
        </is>
      </c>
      <c r="B480" s="1" t="n">
        <v>44862</v>
      </c>
      <c r="C480" s="1" t="n">
        <v>46062</v>
      </c>
      <c r="D480" t="inlineStr">
        <is>
          <t>ÖSTERGÖTLANDS LÄN</t>
        </is>
      </c>
      <c r="E480" t="inlineStr">
        <is>
          <t>LINKÖPING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26803-2024</t>
        </is>
      </c>
      <c r="B481" s="1" t="n">
        <v>45470</v>
      </c>
      <c r="C481" s="1" t="n">
        <v>46062</v>
      </c>
      <c r="D481" t="inlineStr">
        <is>
          <t>ÖSTERGÖTLANDS LÄN</t>
        </is>
      </c>
      <c r="E481" t="inlineStr">
        <is>
          <t>LINKÖPING</t>
        </is>
      </c>
      <c r="F481" t="inlineStr">
        <is>
          <t>Allmännings- och besparingsskogar</t>
        </is>
      </c>
      <c r="G481" t="n">
        <v>4.5</v>
      </c>
      <c r="H481" t="n">
        <v>0</v>
      </c>
      <c r="I481" t="n">
        <v>0</v>
      </c>
      <c r="J481" t="n">
        <v>0</v>
      </c>
      <c r="K481" t="n">
        <v>0</v>
      </c>
      <c r="L481" t="n">
        <v>0</v>
      </c>
      <c r="M481" t="n">
        <v>0</v>
      </c>
      <c r="N481" t="n">
        <v>0</v>
      </c>
      <c r="O481" t="n">
        <v>0</v>
      </c>
      <c r="P481" t="n">
        <v>0</v>
      </c>
      <c r="Q481" t="n">
        <v>0</v>
      </c>
      <c r="R481" s="2" t="inlineStr"/>
    </row>
    <row r="482" ht="15" customHeight="1">
      <c r="A482" t="inlineStr">
        <is>
          <t>A 19187-2021</t>
        </is>
      </c>
      <c r="B482" s="1" t="n">
        <v>44308</v>
      </c>
      <c r="C482" s="1" t="n">
        <v>46062</v>
      </c>
      <c r="D482" t="inlineStr">
        <is>
          <t>ÖSTERGÖTLANDS LÄN</t>
        </is>
      </c>
      <c r="E482" t="inlineStr">
        <is>
          <t>LINKÖPING</t>
        </is>
      </c>
      <c r="F482" t="inlineStr">
        <is>
          <t>Allmännings- och besparingsskogar</t>
        </is>
      </c>
      <c r="G482" t="n">
        <v>20</v>
      </c>
      <c r="H482" t="n">
        <v>0</v>
      </c>
      <c r="I482" t="n">
        <v>0</v>
      </c>
      <c r="J482" t="n">
        <v>0</v>
      </c>
      <c r="K482" t="n">
        <v>0</v>
      </c>
      <c r="L482" t="n">
        <v>0</v>
      </c>
      <c r="M482" t="n">
        <v>0</v>
      </c>
      <c r="N482" t="n">
        <v>0</v>
      </c>
      <c r="O482" t="n">
        <v>0</v>
      </c>
      <c r="P482" t="n">
        <v>0</v>
      </c>
      <c r="Q482" t="n">
        <v>0</v>
      </c>
      <c r="R482" s="2" t="inlineStr"/>
    </row>
    <row r="483" ht="15" customHeight="1">
      <c r="A483" t="inlineStr">
        <is>
          <t>A 60472-2022</t>
        </is>
      </c>
      <c r="B483" s="1" t="n">
        <v>44911.41037037037</v>
      </c>
      <c r="C483" s="1" t="n">
        <v>46062</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58802-2025</t>
        </is>
      </c>
      <c r="B484" s="1" t="n">
        <v>45986.8768287037</v>
      </c>
      <c r="C484" s="1" t="n">
        <v>46062</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43934-2023</t>
        </is>
      </c>
      <c r="B485" s="1" t="n">
        <v>45187</v>
      </c>
      <c r="C485" s="1" t="n">
        <v>46062</v>
      </c>
      <c r="D485" t="inlineStr">
        <is>
          <t>ÖSTERGÖTLANDS LÄN</t>
        </is>
      </c>
      <c r="E485" t="inlineStr">
        <is>
          <t>LINKÖPING</t>
        </is>
      </c>
      <c r="F485" t="inlineStr">
        <is>
          <t>Övriga Aktiebolag</t>
        </is>
      </c>
      <c r="G485" t="n">
        <v>3.8</v>
      </c>
      <c r="H485" t="n">
        <v>0</v>
      </c>
      <c r="I485" t="n">
        <v>0</v>
      </c>
      <c r="J485" t="n">
        <v>0</v>
      </c>
      <c r="K485" t="n">
        <v>0</v>
      </c>
      <c r="L485" t="n">
        <v>0</v>
      </c>
      <c r="M485" t="n">
        <v>0</v>
      </c>
      <c r="N485" t="n">
        <v>0</v>
      </c>
      <c r="O485" t="n">
        <v>0</v>
      </c>
      <c r="P485" t="n">
        <v>0</v>
      </c>
      <c r="Q485" t="n">
        <v>0</v>
      </c>
      <c r="R485" s="2" t="inlineStr"/>
    </row>
    <row r="486" ht="15" customHeight="1">
      <c r="A486" t="inlineStr">
        <is>
          <t>A 22774-2024</t>
        </is>
      </c>
      <c r="B486" s="1" t="n">
        <v>45448.46924768519</v>
      </c>
      <c r="C486" s="1" t="n">
        <v>46062</v>
      </c>
      <c r="D486" t="inlineStr">
        <is>
          <t>ÖSTERGÖTLANDS LÄN</t>
        </is>
      </c>
      <c r="E486" t="inlineStr">
        <is>
          <t>LINKÖPING</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22778-2024</t>
        </is>
      </c>
      <c r="B487" s="1" t="n">
        <v>45448.47233796296</v>
      </c>
      <c r="C487" s="1" t="n">
        <v>46062</v>
      </c>
      <c r="D487" t="inlineStr">
        <is>
          <t>ÖSTERGÖTLANDS LÄN</t>
        </is>
      </c>
      <c r="E487" t="inlineStr">
        <is>
          <t>LINKÖPING</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55004-2025</t>
        </is>
      </c>
      <c r="B488" s="1" t="n">
        <v>45967</v>
      </c>
      <c r="C488" s="1" t="n">
        <v>46062</v>
      </c>
      <c r="D488" t="inlineStr">
        <is>
          <t>ÖSTERGÖTLANDS LÄN</t>
        </is>
      </c>
      <c r="E488" t="inlineStr">
        <is>
          <t>LINKÖPING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1209-2023</t>
        </is>
      </c>
      <c r="B489" s="1" t="n">
        <v>44930</v>
      </c>
      <c r="C489" s="1" t="n">
        <v>46062</v>
      </c>
      <c r="D489" t="inlineStr">
        <is>
          <t>ÖSTERGÖTLANDS LÄN</t>
        </is>
      </c>
      <c r="E489" t="inlineStr">
        <is>
          <t>LINKÖPING</t>
        </is>
      </c>
      <c r="F489" t="inlineStr">
        <is>
          <t>Övriga statliga verk och myndigheter</t>
        </is>
      </c>
      <c r="G489" t="n">
        <v>25.8</v>
      </c>
      <c r="H489" t="n">
        <v>0</v>
      </c>
      <c r="I489" t="n">
        <v>0</v>
      </c>
      <c r="J489" t="n">
        <v>0</v>
      </c>
      <c r="K489" t="n">
        <v>0</v>
      </c>
      <c r="L489" t="n">
        <v>0</v>
      </c>
      <c r="M489" t="n">
        <v>0</v>
      </c>
      <c r="N489" t="n">
        <v>0</v>
      </c>
      <c r="O489" t="n">
        <v>0</v>
      </c>
      <c r="P489" t="n">
        <v>0</v>
      </c>
      <c r="Q489" t="n">
        <v>0</v>
      </c>
      <c r="R489" s="2" t="inlineStr"/>
    </row>
    <row r="490" ht="15" customHeight="1">
      <c r="A490" t="inlineStr">
        <is>
          <t>A 10407-2025</t>
        </is>
      </c>
      <c r="B490" s="1" t="n">
        <v>45720.62863425926</v>
      </c>
      <c r="C490" s="1" t="n">
        <v>46062</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11590-2023</t>
        </is>
      </c>
      <c r="B491" s="1" t="n">
        <v>44994.36689814815</v>
      </c>
      <c r="C491" s="1" t="n">
        <v>46062</v>
      </c>
      <c r="D491" t="inlineStr">
        <is>
          <t>ÖSTERGÖTLANDS LÄN</t>
        </is>
      </c>
      <c r="E491" t="inlineStr">
        <is>
          <t>LINKÖPING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19169-2023</t>
        </is>
      </c>
      <c r="B492" s="1" t="n">
        <v>45044</v>
      </c>
      <c r="C492" s="1" t="n">
        <v>46062</v>
      </c>
      <c r="D492" t="inlineStr">
        <is>
          <t>ÖSTERGÖTLANDS LÄN</t>
        </is>
      </c>
      <c r="E492" t="inlineStr">
        <is>
          <t>LINKÖPING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59205-2025</t>
        </is>
      </c>
      <c r="B493" s="1" t="n">
        <v>45988.60721064815</v>
      </c>
      <c r="C493" s="1" t="n">
        <v>46062</v>
      </c>
      <c r="D493" t="inlineStr">
        <is>
          <t>ÖSTERGÖTLANDS LÄN</t>
        </is>
      </c>
      <c r="E493" t="inlineStr">
        <is>
          <t>LINKÖPING</t>
        </is>
      </c>
      <c r="F493" t="inlineStr">
        <is>
          <t>Sveaskog</t>
        </is>
      </c>
      <c r="G493" t="n">
        <v>11.3</v>
      </c>
      <c r="H493" t="n">
        <v>0</v>
      </c>
      <c r="I493" t="n">
        <v>0</v>
      </c>
      <c r="J493" t="n">
        <v>0</v>
      </c>
      <c r="K493" t="n">
        <v>0</v>
      </c>
      <c r="L493" t="n">
        <v>0</v>
      </c>
      <c r="M493" t="n">
        <v>0</v>
      </c>
      <c r="N493" t="n">
        <v>0</v>
      </c>
      <c r="O493" t="n">
        <v>0</v>
      </c>
      <c r="P493" t="n">
        <v>0</v>
      </c>
      <c r="Q493" t="n">
        <v>0</v>
      </c>
      <c r="R493" s="2" t="inlineStr"/>
    </row>
    <row r="494" ht="15" customHeight="1">
      <c r="A494" t="inlineStr">
        <is>
          <t>A 672-2024</t>
        </is>
      </c>
      <c r="B494" s="1" t="n">
        <v>45300</v>
      </c>
      <c r="C494" s="1" t="n">
        <v>46062</v>
      </c>
      <c r="D494" t="inlineStr">
        <is>
          <t>ÖSTERGÖTLANDS LÄN</t>
        </is>
      </c>
      <c r="E494" t="inlineStr">
        <is>
          <t>LINKÖPING</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858-2026</t>
        </is>
      </c>
      <c r="B495" s="1" t="n">
        <v>46030.41200231481</v>
      </c>
      <c r="C495" s="1" t="n">
        <v>46062</v>
      </c>
      <c r="D495" t="inlineStr">
        <is>
          <t>ÖSTERGÖTLANDS LÄN</t>
        </is>
      </c>
      <c r="E495" t="inlineStr">
        <is>
          <t>LINKÖPING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860-2026</t>
        </is>
      </c>
      <c r="B496" s="1" t="n">
        <v>46030.41974537037</v>
      </c>
      <c r="C496" s="1" t="n">
        <v>46062</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873-2026</t>
        </is>
      </c>
      <c r="B497" s="1" t="n">
        <v>46030.43818287037</v>
      </c>
      <c r="C497" s="1" t="n">
        <v>46062</v>
      </c>
      <c r="D497" t="inlineStr">
        <is>
          <t>ÖSTERGÖTLANDS LÄN</t>
        </is>
      </c>
      <c r="E497" t="inlineStr">
        <is>
          <t>LINKÖPING</t>
        </is>
      </c>
      <c r="G497" t="n">
        <v>4.1</v>
      </c>
      <c r="H497" t="n">
        <v>0</v>
      </c>
      <c r="I497" t="n">
        <v>0</v>
      </c>
      <c r="J497" t="n">
        <v>0</v>
      </c>
      <c r="K497" t="n">
        <v>0</v>
      </c>
      <c r="L497" t="n">
        <v>0</v>
      </c>
      <c r="M497" t="n">
        <v>0</v>
      </c>
      <c r="N497" t="n">
        <v>0</v>
      </c>
      <c r="O497" t="n">
        <v>0</v>
      </c>
      <c r="P497" t="n">
        <v>0</v>
      </c>
      <c r="Q497" t="n">
        <v>0</v>
      </c>
      <c r="R497" s="2" t="inlineStr"/>
    </row>
    <row r="498" ht="15" customHeight="1">
      <c r="A498" t="inlineStr">
        <is>
          <t>A 55493-2021</t>
        </is>
      </c>
      <c r="B498" s="1" t="n">
        <v>44475.61988425926</v>
      </c>
      <c r="C498" s="1" t="n">
        <v>46062</v>
      </c>
      <c r="D498" t="inlineStr">
        <is>
          <t>ÖSTERGÖTLANDS LÄN</t>
        </is>
      </c>
      <c r="E498" t="inlineStr">
        <is>
          <t>LINKÖPING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944-2026</t>
        </is>
      </c>
      <c r="B499" s="1" t="n">
        <v>46030.53461805556</v>
      </c>
      <c r="C499" s="1" t="n">
        <v>46062</v>
      </c>
      <c r="D499" t="inlineStr">
        <is>
          <t>ÖSTERGÖTLANDS LÄN</t>
        </is>
      </c>
      <c r="E499" t="inlineStr">
        <is>
          <t>LINKÖPING</t>
        </is>
      </c>
      <c r="F499" t="inlineStr">
        <is>
          <t>Allmännings- och besparingsskogar</t>
        </is>
      </c>
      <c r="G499" t="n">
        <v>0.9</v>
      </c>
      <c r="H499" t="n">
        <v>0</v>
      </c>
      <c r="I499" t="n">
        <v>0</v>
      </c>
      <c r="J499" t="n">
        <v>0</v>
      </c>
      <c r="K499" t="n">
        <v>0</v>
      </c>
      <c r="L499" t="n">
        <v>0</v>
      </c>
      <c r="M499" t="n">
        <v>0</v>
      </c>
      <c r="N499" t="n">
        <v>0</v>
      </c>
      <c r="O499" t="n">
        <v>0</v>
      </c>
      <c r="P499" t="n">
        <v>0</v>
      </c>
      <c r="Q499" t="n">
        <v>0</v>
      </c>
      <c r="R499" s="2" t="inlineStr"/>
    </row>
    <row r="500" ht="15" customHeight="1">
      <c r="A500" t="inlineStr">
        <is>
          <t>A 1223-2026</t>
        </is>
      </c>
      <c r="B500" s="1" t="n">
        <v>46031.40233796297</v>
      </c>
      <c r="C500" s="1" t="n">
        <v>46062</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59472-2025</t>
        </is>
      </c>
      <c r="B501" s="1" t="n">
        <v>45989.58321759259</v>
      </c>
      <c r="C501" s="1" t="n">
        <v>46062</v>
      </c>
      <c r="D501" t="inlineStr">
        <is>
          <t>ÖSTERGÖTLANDS LÄN</t>
        </is>
      </c>
      <c r="E501" t="inlineStr">
        <is>
          <t>LINKÖPING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14093-2024</t>
        </is>
      </c>
      <c r="B502" s="1" t="n">
        <v>45392.60278935185</v>
      </c>
      <c r="C502" s="1" t="n">
        <v>46062</v>
      </c>
      <c r="D502" t="inlineStr">
        <is>
          <t>ÖSTERGÖTLANDS LÄN</t>
        </is>
      </c>
      <c r="E502" t="inlineStr">
        <is>
          <t>LINKÖPING</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62019-2024</t>
        </is>
      </c>
      <c r="B503" s="1" t="n">
        <v>45655.82</v>
      </c>
      <c r="C503" s="1" t="n">
        <v>46062</v>
      </c>
      <c r="D503" t="inlineStr">
        <is>
          <t>ÖSTERGÖTLANDS LÄN</t>
        </is>
      </c>
      <c r="E503" t="inlineStr">
        <is>
          <t>LINKÖPING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859-2026</t>
        </is>
      </c>
      <c r="B504" s="1" t="n">
        <v>46030.41450231482</v>
      </c>
      <c r="C504" s="1" t="n">
        <v>46062</v>
      </c>
      <c r="D504" t="inlineStr">
        <is>
          <t>ÖSTERGÖTLANDS LÄN</t>
        </is>
      </c>
      <c r="E504" t="inlineStr">
        <is>
          <t>LINKÖPING</t>
        </is>
      </c>
      <c r="G504" t="n">
        <v>0.2</v>
      </c>
      <c r="H504" t="n">
        <v>0</v>
      </c>
      <c r="I504" t="n">
        <v>0</v>
      </c>
      <c r="J504" t="n">
        <v>0</v>
      </c>
      <c r="K504" t="n">
        <v>0</v>
      </c>
      <c r="L504" t="n">
        <v>0</v>
      </c>
      <c r="M504" t="n">
        <v>0</v>
      </c>
      <c r="N504" t="n">
        <v>0</v>
      </c>
      <c r="O504" t="n">
        <v>0</v>
      </c>
      <c r="P504" t="n">
        <v>0</v>
      </c>
      <c r="Q504" t="n">
        <v>0</v>
      </c>
      <c r="R504" s="2" t="inlineStr"/>
    </row>
    <row r="505" ht="15" customHeight="1">
      <c r="A505" t="inlineStr">
        <is>
          <t>A 25119-2023</t>
        </is>
      </c>
      <c r="B505" s="1" t="n">
        <v>45086.42326388889</v>
      </c>
      <c r="C505" s="1" t="n">
        <v>46062</v>
      </c>
      <c r="D505" t="inlineStr">
        <is>
          <t>ÖSTERGÖTLANDS LÄN</t>
        </is>
      </c>
      <c r="E505" t="inlineStr">
        <is>
          <t>LINKÖPING</t>
        </is>
      </c>
      <c r="G505" t="n">
        <v>3.2</v>
      </c>
      <c r="H505" t="n">
        <v>0</v>
      </c>
      <c r="I505" t="n">
        <v>0</v>
      </c>
      <c r="J505" t="n">
        <v>0</v>
      </c>
      <c r="K505" t="n">
        <v>0</v>
      </c>
      <c r="L505" t="n">
        <v>0</v>
      </c>
      <c r="M505" t="n">
        <v>0</v>
      </c>
      <c r="N505" t="n">
        <v>0</v>
      </c>
      <c r="O505" t="n">
        <v>0</v>
      </c>
      <c r="P505" t="n">
        <v>0</v>
      </c>
      <c r="Q505" t="n">
        <v>0</v>
      </c>
      <c r="R505" s="2" t="inlineStr"/>
    </row>
    <row r="506" ht="15" customHeight="1">
      <c r="A506" t="inlineStr">
        <is>
          <t>A 856-2026</t>
        </is>
      </c>
      <c r="B506" s="1" t="n">
        <v>46030.40644675926</v>
      </c>
      <c r="C506" s="1" t="n">
        <v>46062</v>
      </c>
      <c r="D506" t="inlineStr">
        <is>
          <t>ÖSTERGÖTLANDS LÄN</t>
        </is>
      </c>
      <c r="E506" t="inlineStr">
        <is>
          <t>LINKÖPING</t>
        </is>
      </c>
      <c r="G506" t="n">
        <v>6.4</v>
      </c>
      <c r="H506" t="n">
        <v>0</v>
      </c>
      <c r="I506" t="n">
        <v>0</v>
      </c>
      <c r="J506" t="n">
        <v>0</v>
      </c>
      <c r="K506" t="n">
        <v>0</v>
      </c>
      <c r="L506" t="n">
        <v>0</v>
      </c>
      <c r="M506" t="n">
        <v>0</v>
      </c>
      <c r="N506" t="n">
        <v>0</v>
      </c>
      <c r="O506" t="n">
        <v>0</v>
      </c>
      <c r="P506" t="n">
        <v>0</v>
      </c>
      <c r="Q506" t="n">
        <v>0</v>
      </c>
      <c r="R506" s="2" t="inlineStr"/>
    </row>
    <row r="507" ht="15" customHeight="1">
      <c r="A507" t="inlineStr">
        <is>
          <t>A 57396-2021</t>
        </is>
      </c>
      <c r="B507" s="1" t="n">
        <v>44483.56151620371</v>
      </c>
      <c r="C507" s="1" t="n">
        <v>46062</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51571-2024</t>
        </is>
      </c>
      <c r="B508" s="1" t="n">
        <v>45604</v>
      </c>
      <c r="C508" s="1" t="n">
        <v>46062</v>
      </c>
      <c r="D508" t="inlineStr">
        <is>
          <t>ÖSTERGÖTLANDS LÄN</t>
        </is>
      </c>
      <c r="E508" t="inlineStr">
        <is>
          <t>LINKÖPING</t>
        </is>
      </c>
      <c r="F508" t="inlineStr">
        <is>
          <t>Övriga Aktiebolag</t>
        </is>
      </c>
      <c r="G508" t="n">
        <v>1.4</v>
      </c>
      <c r="H508" t="n">
        <v>0</v>
      </c>
      <c r="I508" t="n">
        <v>0</v>
      </c>
      <c r="J508" t="n">
        <v>0</v>
      </c>
      <c r="K508" t="n">
        <v>0</v>
      </c>
      <c r="L508" t="n">
        <v>0</v>
      </c>
      <c r="M508" t="n">
        <v>0</v>
      </c>
      <c r="N508" t="n">
        <v>0</v>
      </c>
      <c r="O508" t="n">
        <v>0</v>
      </c>
      <c r="P508" t="n">
        <v>0</v>
      </c>
      <c r="Q508" t="n">
        <v>0</v>
      </c>
      <c r="R508" s="2" t="inlineStr"/>
    </row>
    <row r="509" ht="15" customHeight="1">
      <c r="A509" t="inlineStr">
        <is>
          <t>A 17143-2025</t>
        </is>
      </c>
      <c r="B509" s="1" t="n">
        <v>45755.92731481481</v>
      </c>
      <c r="C509" s="1" t="n">
        <v>46062</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940-2026</t>
        </is>
      </c>
      <c r="B510" s="1" t="n">
        <v>46030.53052083333</v>
      </c>
      <c r="C510" s="1" t="n">
        <v>46062</v>
      </c>
      <c r="D510" t="inlineStr">
        <is>
          <t>ÖSTERGÖTLANDS LÄN</t>
        </is>
      </c>
      <c r="E510" t="inlineStr">
        <is>
          <t>LINKÖPING</t>
        </is>
      </c>
      <c r="F510" t="inlineStr">
        <is>
          <t>Allmännings- och besparingsskogar</t>
        </is>
      </c>
      <c r="G510" t="n">
        <v>2.9</v>
      </c>
      <c r="H510" t="n">
        <v>0</v>
      </c>
      <c r="I510" t="n">
        <v>0</v>
      </c>
      <c r="J510" t="n">
        <v>0</v>
      </c>
      <c r="K510" t="n">
        <v>0</v>
      </c>
      <c r="L510" t="n">
        <v>0</v>
      </c>
      <c r="M510" t="n">
        <v>0</v>
      </c>
      <c r="N510" t="n">
        <v>0</v>
      </c>
      <c r="O510" t="n">
        <v>0</v>
      </c>
      <c r="P510" t="n">
        <v>0</v>
      </c>
      <c r="Q510" t="n">
        <v>0</v>
      </c>
      <c r="R510" s="2" t="inlineStr"/>
    </row>
    <row r="511" ht="15" customHeight="1">
      <c r="A511" t="inlineStr">
        <is>
          <t>A 60087-2025</t>
        </is>
      </c>
      <c r="B511" s="1" t="n">
        <v>45993.71726851852</v>
      </c>
      <c r="C511" s="1" t="n">
        <v>46062</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17124-2025</t>
        </is>
      </c>
      <c r="B512" s="1" t="n">
        <v>45755.69678240741</v>
      </c>
      <c r="C512" s="1" t="n">
        <v>46062</v>
      </c>
      <c r="D512" t="inlineStr">
        <is>
          <t>ÖSTERGÖTLANDS LÄN</t>
        </is>
      </c>
      <c r="E512" t="inlineStr">
        <is>
          <t>LINKÖPING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17126-2025</t>
        </is>
      </c>
      <c r="B513" s="1" t="n">
        <v>45755.70814814815</v>
      </c>
      <c r="C513" s="1" t="n">
        <v>46062</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31640-2023</t>
        </is>
      </c>
      <c r="B514" s="1" t="n">
        <v>45117</v>
      </c>
      <c r="C514" s="1" t="n">
        <v>46062</v>
      </c>
      <c r="D514" t="inlineStr">
        <is>
          <t>ÖSTERGÖTLANDS LÄN</t>
        </is>
      </c>
      <c r="E514" t="inlineStr">
        <is>
          <t>LINKÖPING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2030-2026</t>
        </is>
      </c>
      <c r="B515" s="1" t="n">
        <v>46035.73590277778</v>
      </c>
      <c r="C515" s="1" t="n">
        <v>46062</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2031-2026</t>
        </is>
      </c>
      <c r="B516" s="1" t="n">
        <v>46035.74182870371</v>
      </c>
      <c r="C516" s="1" t="n">
        <v>46062</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11790-2024</t>
        </is>
      </c>
      <c r="B517" s="1" t="n">
        <v>45374</v>
      </c>
      <c r="C517" s="1" t="n">
        <v>46062</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61281-2021</t>
        </is>
      </c>
      <c r="B518" s="1" t="n">
        <v>44498.60736111111</v>
      </c>
      <c r="C518" s="1" t="n">
        <v>46062</v>
      </c>
      <c r="D518" t="inlineStr">
        <is>
          <t>ÖSTERGÖTLANDS LÄN</t>
        </is>
      </c>
      <c r="E518" t="inlineStr">
        <is>
          <t>LINKÖPING</t>
        </is>
      </c>
      <c r="G518" t="n">
        <v>4.5</v>
      </c>
      <c r="H518" t="n">
        <v>0</v>
      </c>
      <c r="I518" t="n">
        <v>0</v>
      </c>
      <c r="J518" t="n">
        <v>0</v>
      </c>
      <c r="K518" t="n">
        <v>0</v>
      </c>
      <c r="L518" t="n">
        <v>0</v>
      </c>
      <c r="M518" t="n">
        <v>0</v>
      </c>
      <c r="N518" t="n">
        <v>0</v>
      </c>
      <c r="O518" t="n">
        <v>0</v>
      </c>
      <c r="P518" t="n">
        <v>0</v>
      </c>
      <c r="Q518" t="n">
        <v>0</v>
      </c>
      <c r="R518" s="2" t="inlineStr"/>
    </row>
    <row r="519" ht="15" customHeight="1">
      <c r="A519" t="inlineStr">
        <is>
          <t>A 60306-2025</t>
        </is>
      </c>
      <c r="B519" s="1" t="n">
        <v>45994.68326388889</v>
      </c>
      <c r="C519" s="1" t="n">
        <v>46062</v>
      </c>
      <c r="D519" t="inlineStr">
        <is>
          <t>ÖSTERGÖTLANDS LÄN</t>
        </is>
      </c>
      <c r="E519" t="inlineStr">
        <is>
          <t>LINKÖPING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60284-2025</t>
        </is>
      </c>
      <c r="B520" s="1" t="n">
        <v>45994.64373842593</v>
      </c>
      <c r="C520" s="1" t="n">
        <v>46062</v>
      </c>
      <c r="D520" t="inlineStr">
        <is>
          <t>ÖSTERGÖTLANDS LÄN</t>
        </is>
      </c>
      <c r="E520" t="inlineStr">
        <is>
          <t>LINKÖPING</t>
        </is>
      </c>
      <c r="G520" t="n">
        <v>3.5</v>
      </c>
      <c r="H520" t="n">
        <v>0</v>
      </c>
      <c r="I520" t="n">
        <v>0</v>
      </c>
      <c r="J520" t="n">
        <v>0</v>
      </c>
      <c r="K520" t="n">
        <v>0</v>
      </c>
      <c r="L520" t="n">
        <v>0</v>
      </c>
      <c r="M520" t="n">
        <v>0</v>
      </c>
      <c r="N520" t="n">
        <v>0</v>
      </c>
      <c r="O520" t="n">
        <v>0</v>
      </c>
      <c r="P520" t="n">
        <v>0</v>
      </c>
      <c r="Q520" t="n">
        <v>0</v>
      </c>
      <c r="R520" s="2" t="inlineStr"/>
    </row>
    <row r="521" ht="15" customHeight="1">
      <c r="A521" t="inlineStr">
        <is>
          <t>A 6206-2024</t>
        </is>
      </c>
      <c r="B521" s="1" t="n">
        <v>45337.5977662037</v>
      </c>
      <c r="C521" s="1" t="n">
        <v>46062</v>
      </c>
      <c r="D521" t="inlineStr">
        <is>
          <t>ÖSTERGÖTLANDS LÄN</t>
        </is>
      </c>
      <c r="E521" t="inlineStr">
        <is>
          <t>LINKÖPING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168-2024</t>
        </is>
      </c>
      <c r="B522" s="1" t="n">
        <v>45294</v>
      </c>
      <c r="C522" s="1" t="n">
        <v>46062</v>
      </c>
      <c r="D522" t="inlineStr">
        <is>
          <t>ÖSTERGÖTLANDS LÄN</t>
        </is>
      </c>
      <c r="E522" t="inlineStr">
        <is>
          <t>LINKÖPING</t>
        </is>
      </c>
      <c r="F522" t="inlineStr">
        <is>
          <t>Allmännings- och besparingsskogar</t>
        </is>
      </c>
      <c r="G522" t="n">
        <v>8.9</v>
      </c>
      <c r="H522" t="n">
        <v>0</v>
      </c>
      <c r="I522" t="n">
        <v>0</v>
      </c>
      <c r="J522" t="n">
        <v>0</v>
      </c>
      <c r="K522" t="n">
        <v>0</v>
      </c>
      <c r="L522" t="n">
        <v>0</v>
      </c>
      <c r="M522" t="n">
        <v>0</v>
      </c>
      <c r="N522" t="n">
        <v>0</v>
      </c>
      <c r="O522" t="n">
        <v>0</v>
      </c>
      <c r="P522" t="n">
        <v>0</v>
      </c>
      <c r="Q522" t="n">
        <v>0</v>
      </c>
      <c r="R522" s="2" t="inlineStr"/>
    </row>
    <row r="523" ht="15" customHeight="1">
      <c r="A523" t="inlineStr">
        <is>
          <t>A 51919-2024</t>
        </is>
      </c>
      <c r="B523" s="1" t="n">
        <v>45607.60791666667</v>
      </c>
      <c r="C523" s="1" t="n">
        <v>46062</v>
      </c>
      <c r="D523" t="inlineStr">
        <is>
          <t>ÖSTERGÖTLANDS LÄN</t>
        </is>
      </c>
      <c r="E523" t="inlineStr">
        <is>
          <t>LINKÖPING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56623-2024</t>
        </is>
      </c>
      <c r="B524" s="1" t="n">
        <v>45625</v>
      </c>
      <c r="C524" s="1" t="n">
        <v>46062</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11330-2023</t>
        </is>
      </c>
      <c r="B525" s="1" t="n">
        <v>44993.24648148148</v>
      </c>
      <c r="C525" s="1" t="n">
        <v>46062</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63304-2021</t>
        </is>
      </c>
      <c r="B526" s="1" t="n">
        <v>44508.4396412037</v>
      </c>
      <c r="C526" s="1" t="n">
        <v>46062</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14528-2025</t>
        </is>
      </c>
      <c r="B527" s="1" t="n">
        <v>45741</v>
      </c>
      <c r="C527" s="1" t="n">
        <v>46062</v>
      </c>
      <c r="D527" t="inlineStr">
        <is>
          <t>ÖSTERGÖTLANDS LÄN</t>
        </is>
      </c>
      <c r="E527" t="inlineStr">
        <is>
          <t>LINKÖPING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3044-2026</t>
        </is>
      </c>
      <c r="B528" s="1" t="n">
        <v>46038.73855324074</v>
      </c>
      <c r="C528" s="1" t="n">
        <v>46062</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3530-2024</t>
        </is>
      </c>
      <c r="B529" s="1" t="n">
        <v>45320.54717592592</v>
      </c>
      <c r="C529" s="1" t="n">
        <v>46062</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62073-2023</t>
        </is>
      </c>
      <c r="B530" s="1" t="n">
        <v>45266.73844907407</v>
      </c>
      <c r="C530" s="1" t="n">
        <v>46062</v>
      </c>
      <c r="D530" t="inlineStr">
        <is>
          <t>ÖSTERGÖTLANDS LÄN</t>
        </is>
      </c>
      <c r="E530" t="inlineStr">
        <is>
          <t>LINKÖPING</t>
        </is>
      </c>
      <c r="F530" t="inlineStr">
        <is>
          <t>Allmännings- och besparingsskogar</t>
        </is>
      </c>
      <c r="G530" t="n">
        <v>1.8</v>
      </c>
      <c r="H530" t="n">
        <v>0</v>
      </c>
      <c r="I530" t="n">
        <v>0</v>
      </c>
      <c r="J530" t="n">
        <v>0</v>
      </c>
      <c r="K530" t="n">
        <v>0</v>
      </c>
      <c r="L530" t="n">
        <v>0</v>
      </c>
      <c r="M530" t="n">
        <v>0</v>
      </c>
      <c r="N530" t="n">
        <v>0</v>
      </c>
      <c r="O530" t="n">
        <v>0</v>
      </c>
      <c r="P530" t="n">
        <v>0</v>
      </c>
      <c r="Q530" t="n">
        <v>0</v>
      </c>
      <c r="R530" s="2" t="inlineStr"/>
    </row>
    <row r="531" ht="15" customHeight="1">
      <c r="A531" t="inlineStr">
        <is>
          <t>A 5872-2025</t>
        </is>
      </c>
      <c r="B531" s="1" t="n">
        <v>45695.36659722222</v>
      </c>
      <c r="C531" s="1" t="n">
        <v>46062</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53814-2023</t>
        </is>
      </c>
      <c r="B532" s="1" t="n">
        <v>45231</v>
      </c>
      <c r="C532" s="1" t="n">
        <v>46062</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3432-2023</t>
        </is>
      </c>
      <c r="B533" s="1" t="n">
        <v>44949</v>
      </c>
      <c r="C533" s="1" t="n">
        <v>46062</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3043-2026</t>
        </is>
      </c>
      <c r="B534" s="1" t="n">
        <v>46038.73675925926</v>
      </c>
      <c r="C534" s="1" t="n">
        <v>46062</v>
      </c>
      <c r="D534" t="inlineStr">
        <is>
          <t>ÖSTERGÖTLANDS LÄN</t>
        </is>
      </c>
      <c r="E534" t="inlineStr">
        <is>
          <t>LINKÖPING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3046-2026</t>
        </is>
      </c>
      <c r="B535" s="1" t="n">
        <v>46038.74182870371</v>
      </c>
      <c r="C535" s="1" t="n">
        <v>46062</v>
      </c>
      <c r="D535" t="inlineStr">
        <is>
          <t>ÖSTERGÖTLANDS LÄN</t>
        </is>
      </c>
      <c r="E535" t="inlineStr">
        <is>
          <t>LINKÖPING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54425-2022</t>
        </is>
      </c>
      <c r="B536" s="1" t="n">
        <v>44882.57453703704</v>
      </c>
      <c r="C536" s="1" t="n">
        <v>46062</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54428-2022</t>
        </is>
      </c>
      <c r="B537" s="1" t="n">
        <v>44882.57643518518</v>
      </c>
      <c r="C537" s="1" t="n">
        <v>46062</v>
      </c>
      <c r="D537" t="inlineStr">
        <is>
          <t>ÖSTERGÖTLANDS LÄN</t>
        </is>
      </c>
      <c r="E537" t="inlineStr">
        <is>
          <t>LINKÖPING</t>
        </is>
      </c>
      <c r="G537" t="n">
        <v>1.4</v>
      </c>
      <c r="H537" t="n">
        <v>0</v>
      </c>
      <c r="I537" t="n">
        <v>0</v>
      </c>
      <c r="J537" t="n">
        <v>0</v>
      </c>
      <c r="K537" t="n">
        <v>0</v>
      </c>
      <c r="L537" t="n">
        <v>0</v>
      </c>
      <c r="M537" t="n">
        <v>0</v>
      </c>
      <c r="N537" t="n">
        <v>0</v>
      </c>
      <c r="O537" t="n">
        <v>0</v>
      </c>
      <c r="P537" t="n">
        <v>0</v>
      </c>
      <c r="Q537" t="n">
        <v>0</v>
      </c>
      <c r="R537" s="2" t="inlineStr"/>
    </row>
    <row r="538" ht="15" customHeight="1">
      <c r="A538" t="inlineStr">
        <is>
          <t>A 60703-2025</t>
        </is>
      </c>
      <c r="B538" s="1" t="n">
        <v>45996.6052662037</v>
      </c>
      <c r="C538" s="1" t="n">
        <v>46062</v>
      </c>
      <c r="D538" t="inlineStr">
        <is>
          <t>ÖSTERGÖTLANDS LÄN</t>
        </is>
      </c>
      <c r="E538" t="inlineStr">
        <is>
          <t>LINKÖPING</t>
        </is>
      </c>
      <c r="F538" t="inlineStr">
        <is>
          <t>Övriga Aktiebolag</t>
        </is>
      </c>
      <c r="G538" t="n">
        <v>1.3</v>
      </c>
      <c r="H538" t="n">
        <v>0</v>
      </c>
      <c r="I538" t="n">
        <v>0</v>
      </c>
      <c r="J538" t="n">
        <v>0</v>
      </c>
      <c r="K538" t="n">
        <v>0</v>
      </c>
      <c r="L538" t="n">
        <v>0</v>
      </c>
      <c r="M538" t="n">
        <v>0</v>
      </c>
      <c r="N538" t="n">
        <v>0</v>
      </c>
      <c r="O538" t="n">
        <v>0</v>
      </c>
      <c r="P538" t="n">
        <v>0</v>
      </c>
      <c r="Q538" t="n">
        <v>0</v>
      </c>
      <c r="R538" s="2" t="inlineStr"/>
    </row>
    <row r="539" ht="15" customHeight="1">
      <c r="A539" t="inlineStr">
        <is>
          <t>A 3045-2026</t>
        </is>
      </c>
      <c r="B539" s="1" t="n">
        <v>46038.74047453704</v>
      </c>
      <c r="C539" s="1" t="n">
        <v>46062</v>
      </c>
      <c r="D539" t="inlineStr">
        <is>
          <t>ÖSTERGÖTLANDS LÄN</t>
        </is>
      </c>
      <c r="E539" t="inlineStr">
        <is>
          <t>LINKÖPING</t>
        </is>
      </c>
      <c r="G539" t="n">
        <v>2</v>
      </c>
      <c r="H539" t="n">
        <v>0</v>
      </c>
      <c r="I539" t="n">
        <v>0</v>
      </c>
      <c r="J539" t="n">
        <v>0</v>
      </c>
      <c r="K539" t="n">
        <v>0</v>
      </c>
      <c r="L539" t="n">
        <v>0</v>
      </c>
      <c r="M539" t="n">
        <v>0</v>
      </c>
      <c r="N539" t="n">
        <v>0</v>
      </c>
      <c r="O539" t="n">
        <v>0</v>
      </c>
      <c r="P539" t="n">
        <v>0</v>
      </c>
      <c r="Q539" t="n">
        <v>0</v>
      </c>
      <c r="R539" s="2" t="inlineStr"/>
    </row>
    <row r="540" ht="15" customHeight="1">
      <c r="A540" t="inlineStr">
        <is>
          <t>A 60866-2025</t>
        </is>
      </c>
      <c r="B540" s="1" t="n">
        <v>45999</v>
      </c>
      <c r="C540" s="1" t="n">
        <v>46062</v>
      </c>
      <c r="D540" t="inlineStr">
        <is>
          <t>ÖSTERGÖTLANDS LÄN</t>
        </is>
      </c>
      <c r="E540" t="inlineStr">
        <is>
          <t>LINKÖPING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660-2023</t>
        </is>
      </c>
      <c r="B541" s="1" t="n">
        <v>44930</v>
      </c>
      <c r="C541" s="1" t="n">
        <v>46062</v>
      </c>
      <c r="D541" t="inlineStr">
        <is>
          <t>ÖSTERGÖTLANDS LÄN</t>
        </is>
      </c>
      <c r="E541" t="inlineStr">
        <is>
          <t>LINKÖPING</t>
        </is>
      </c>
      <c r="F541" t="inlineStr">
        <is>
          <t>Kyrkan</t>
        </is>
      </c>
      <c r="G541" t="n">
        <v>1.6</v>
      </c>
      <c r="H541" t="n">
        <v>0</v>
      </c>
      <c r="I541" t="n">
        <v>0</v>
      </c>
      <c r="J541" t="n">
        <v>0</v>
      </c>
      <c r="K541" t="n">
        <v>0</v>
      </c>
      <c r="L541" t="n">
        <v>0</v>
      </c>
      <c r="M541" t="n">
        <v>0</v>
      </c>
      <c r="N541" t="n">
        <v>0</v>
      </c>
      <c r="O541" t="n">
        <v>0</v>
      </c>
      <c r="P541" t="n">
        <v>0</v>
      </c>
      <c r="Q541" t="n">
        <v>0</v>
      </c>
      <c r="R541" s="2" t="inlineStr"/>
    </row>
    <row r="542" ht="15" customHeight="1">
      <c r="A542" t="inlineStr">
        <is>
          <t>A 62501-2023</t>
        </is>
      </c>
      <c r="B542" s="1" t="n">
        <v>45268</v>
      </c>
      <c r="C542" s="1" t="n">
        <v>46062</v>
      </c>
      <c r="D542" t="inlineStr">
        <is>
          <t>ÖSTERGÖTLANDS LÄN</t>
        </is>
      </c>
      <c r="E542" t="inlineStr">
        <is>
          <t>LINKÖPING</t>
        </is>
      </c>
      <c r="G542" t="n">
        <v>7.4</v>
      </c>
      <c r="H542" t="n">
        <v>0</v>
      </c>
      <c r="I542" t="n">
        <v>0</v>
      </c>
      <c r="J542" t="n">
        <v>0</v>
      </c>
      <c r="K542" t="n">
        <v>0</v>
      </c>
      <c r="L542" t="n">
        <v>0</v>
      </c>
      <c r="M542" t="n">
        <v>0</v>
      </c>
      <c r="N542" t="n">
        <v>0</v>
      </c>
      <c r="O542" t="n">
        <v>0</v>
      </c>
      <c r="P542" t="n">
        <v>0</v>
      </c>
      <c r="Q542" t="n">
        <v>0</v>
      </c>
      <c r="R542" s="2" t="inlineStr"/>
    </row>
    <row r="543" ht="15" customHeight="1">
      <c r="A543" t="inlineStr">
        <is>
          <t>A 13413-2023</t>
        </is>
      </c>
      <c r="B543" s="1" t="n">
        <v>45005.58341435185</v>
      </c>
      <c r="C543" s="1" t="n">
        <v>46062</v>
      </c>
      <c r="D543" t="inlineStr">
        <is>
          <t>ÖSTERGÖTLANDS LÄN</t>
        </is>
      </c>
      <c r="E543" t="inlineStr">
        <is>
          <t>LINKÖPING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26620-2023</t>
        </is>
      </c>
      <c r="B544" s="1" t="n">
        <v>45092.70390046296</v>
      </c>
      <c r="C544" s="1" t="n">
        <v>46062</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61230-2025</t>
        </is>
      </c>
      <c r="B545" s="1" t="n">
        <v>46000.63111111111</v>
      </c>
      <c r="C545" s="1" t="n">
        <v>46062</v>
      </c>
      <c r="D545" t="inlineStr">
        <is>
          <t>ÖSTERGÖTLANDS LÄN</t>
        </is>
      </c>
      <c r="E545" t="inlineStr">
        <is>
          <t>LINKÖPING</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16462-2021</t>
        </is>
      </c>
      <c r="B546" s="1" t="n">
        <v>44293</v>
      </c>
      <c r="C546" s="1" t="n">
        <v>46062</v>
      </c>
      <c r="D546" t="inlineStr">
        <is>
          <t>ÖSTERGÖTLANDS LÄN</t>
        </is>
      </c>
      <c r="E546" t="inlineStr">
        <is>
          <t>LINKÖPING</t>
        </is>
      </c>
      <c r="F546" t="inlineStr">
        <is>
          <t>Allmännings- och besparingsskogar</t>
        </is>
      </c>
      <c r="G546" t="n">
        <v>24.7</v>
      </c>
      <c r="H546" t="n">
        <v>0</v>
      </c>
      <c r="I546" t="n">
        <v>0</v>
      </c>
      <c r="J546" t="n">
        <v>0</v>
      </c>
      <c r="K546" t="n">
        <v>0</v>
      </c>
      <c r="L546" t="n">
        <v>0</v>
      </c>
      <c r="M546" t="n">
        <v>0</v>
      </c>
      <c r="N546" t="n">
        <v>0</v>
      </c>
      <c r="O546" t="n">
        <v>0</v>
      </c>
      <c r="P546" t="n">
        <v>0</v>
      </c>
      <c r="Q546" t="n">
        <v>0</v>
      </c>
      <c r="R546" s="2" t="inlineStr"/>
    </row>
    <row r="547" ht="15" customHeight="1">
      <c r="A547" t="inlineStr">
        <is>
          <t>A 61447-2025</t>
        </is>
      </c>
      <c r="B547" s="1" t="n">
        <v>46001.57554398148</v>
      </c>
      <c r="C547" s="1" t="n">
        <v>46062</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4469-2026</t>
        </is>
      </c>
      <c r="B548" s="1" t="n">
        <v>46045.65662037037</v>
      </c>
      <c r="C548" s="1" t="n">
        <v>46062</v>
      </c>
      <c r="D548" t="inlineStr">
        <is>
          <t>ÖSTERGÖTLANDS LÄN</t>
        </is>
      </c>
      <c r="E548" t="inlineStr">
        <is>
          <t>LINKÖPING</t>
        </is>
      </c>
      <c r="F548" t="inlineStr">
        <is>
          <t>Övriga Aktiebolag</t>
        </is>
      </c>
      <c r="G548" t="n">
        <v>3.8</v>
      </c>
      <c r="H548" t="n">
        <v>0</v>
      </c>
      <c r="I548" t="n">
        <v>0</v>
      </c>
      <c r="J548" t="n">
        <v>0</v>
      </c>
      <c r="K548" t="n">
        <v>0</v>
      </c>
      <c r="L548" t="n">
        <v>0</v>
      </c>
      <c r="M548" t="n">
        <v>0</v>
      </c>
      <c r="N548" t="n">
        <v>0</v>
      </c>
      <c r="O548" t="n">
        <v>0</v>
      </c>
      <c r="P548" t="n">
        <v>0</v>
      </c>
      <c r="Q548" t="n">
        <v>0</v>
      </c>
      <c r="R548" s="2" t="inlineStr"/>
    </row>
    <row r="549" ht="15" customHeight="1">
      <c r="A549" t="inlineStr">
        <is>
          <t>A 61899-2025</t>
        </is>
      </c>
      <c r="B549" s="1" t="n">
        <v>46003.46635416667</v>
      </c>
      <c r="C549" s="1" t="n">
        <v>46062</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63554-2023</t>
        </is>
      </c>
      <c r="B550" s="1" t="n">
        <v>45275</v>
      </c>
      <c r="C550" s="1" t="n">
        <v>46062</v>
      </c>
      <c r="D550" t="inlineStr">
        <is>
          <t>ÖSTERGÖTLANDS LÄN</t>
        </is>
      </c>
      <c r="E550" t="inlineStr">
        <is>
          <t>LINKÖPING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63638-2023</t>
        </is>
      </c>
      <c r="B551" s="1" t="n">
        <v>45275</v>
      </c>
      <c r="C551" s="1" t="n">
        <v>46062</v>
      </c>
      <c r="D551" t="inlineStr">
        <is>
          <t>ÖSTERGÖTLANDS LÄN</t>
        </is>
      </c>
      <c r="E551" t="inlineStr">
        <is>
          <t>LINKÖPING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63658-2023</t>
        </is>
      </c>
      <c r="B552" s="1" t="n">
        <v>45275</v>
      </c>
      <c r="C552" s="1" t="n">
        <v>46062</v>
      </c>
      <c r="D552" t="inlineStr">
        <is>
          <t>ÖSTERGÖTLANDS LÄN</t>
        </is>
      </c>
      <c r="E552" t="inlineStr">
        <is>
          <t>LINKÖPING</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61643-2025</t>
        </is>
      </c>
      <c r="B553" s="1" t="n">
        <v>46002.43575231481</v>
      </c>
      <c r="C553" s="1" t="n">
        <v>46062</v>
      </c>
      <c r="D553" t="inlineStr">
        <is>
          <t>ÖSTERGÖTLANDS LÄN</t>
        </is>
      </c>
      <c r="E553" t="inlineStr">
        <is>
          <t>LINKÖPING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61645-2025</t>
        </is>
      </c>
      <c r="B554" s="1" t="n">
        <v>46002.43697916667</v>
      </c>
      <c r="C554" s="1" t="n">
        <v>46062</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16820-2024</t>
        </is>
      </c>
      <c r="B555" s="1" t="n">
        <v>45411.46809027778</v>
      </c>
      <c r="C555" s="1" t="n">
        <v>46062</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5099-2026</t>
        </is>
      </c>
      <c r="B556" s="1" t="n">
        <v>46049.56158564815</v>
      </c>
      <c r="C556" s="1" t="n">
        <v>46062</v>
      </c>
      <c r="D556" t="inlineStr">
        <is>
          <t>ÖSTERGÖTLANDS LÄN</t>
        </is>
      </c>
      <c r="E556" t="inlineStr">
        <is>
          <t>LINKÖPING</t>
        </is>
      </c>
      <c r="G556" t="n">
        <v>5</v>
      </c>
      <c r="H556" t="n">
        <v>0</v>
      </c>
      <c r="I556" t="n">
        <v>0</v>
      </c>
      <c r="J556" t="n">
        <v>0</v>
      </c>
      <c r="K556" t="n">
        <v>0</v>
      </c>
      <c r="L556" t="n">
        <v>0</v>
      </c>
      <c r="M556" t="n">
        <v>0</v>
      </c>
      <c r="N556" t="n">
        <v>0</v>
      </c>
      <c r="O556" t="n">
        <v>0</v>
      </c>
      <c r="P556" t="n">
        <v>0</v>
      </c>
      <c r="Q556" t="n">
        <v>0</v>
      </c>
      <c r="R556" s="2" t="inlineStr"/>
    </row>
    <row r="557" ht="15" customHeight="1">
      <c r="A557" t="inlineStr">
        <is>
          <t>A 4456-2024</t>
        </is>
      </c>
      <c r="B557" s="1" t="n">
        <v>45327.52847222222</v>
      </c>
      <c r="C557" s="1" t="n">
        <v>46062</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20298-2025</t>
        </is>
      </c>
      <c r="B558" s="1" t="n">
        <v>45774.75024305555</v>
      </c>
      <c r="C558" s="1" t="n">
        <v>46062</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15121-2022</t>
        </is>
      </c>
      <c r="B559" s="1" t="n">
        <v>44658</v>
      </c>
      <c r="C559" s="1" t="n">
        <v>46062</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927-2026</t>
        </is>
      </c>
      <c r="B560" s="1" t="n">
        <v>46030.50560185185</v>
      </c>
      <c r="C560" s="1" t="n">
        <v>46062</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50743-2023</t>
        </is>
      </c>
      <c r="B561" s="1" t="n">
        <v>45217</v>
      </c>
      <c r="C561" s="1" t="n">
        <v>46062</v>
      </c>
      <c r="D561" t="inlineStr">
        <is>
          <t>ÖSTERGÖTLANDS LÄN</t>
        </is>
      </c>
      <c r="E561" t="inlineStr">
        <is>
          <t>LINKÖPING</t>
        </is>
      </c>
      <c r="G561" t="n">
        <v>2.7</v>
      </c>
      <c r="H561" t="n">
        <v>0</v>
      </c>
      <c r="I561" t="n">
        <v>0</v>
      </c>
      <c r="J561" t="n">
        <v>0</v>
      </c>
      <c r="K561" t="n">
        <v>0</v>
      </c>
      <c r="L561" t="n">
        <v>0</v>
      </c>
      <c r="M561" t="n">
        <v>0</v>
      </c>
      <c r="N561" t="n">
        <v>0</v>
      </c>
      <c r="O561" t="n">
        <v>0</v>
      </c>
      <c r="P561" t="n">
        <v>0</v>
      </c>
      <c r="Q561" t="n">
        <v>0</v>
      </c>
      <c r="R561" s="2" t="inlineStr"/>
    </row>
    <row r="562" ht="15" customHeight="1">
      <c r="A562" t="inlineStr">
        <is>
          <t>A 62515-2025</t>
        </is>
      </c>
      <c r="B562" s="1" t="n">
        <v>46007.60548611111</v>
      </c>
      <c r="C562" s="1" t="n">
        <v>46062</v>
      </c>
      <c r="D562" t="inlineStr">
        <is>
          <t>ÖSTERGÖTLANDS LÄN</t>
        </is>
      </c>
      <c r="E562" t="inlineStr">
        <is>
          <t>LINKÖPING</t>
        </is>
      </c>
      <c r="G562" t="n">
        <v>2.2</v>
      </c>
      <c r="H562" t="n">
        <v>0</v>
      </c>
      <c r="I562" t="n">
        <v>0</v>
      </c>
      <c r="J562" t="n">
        <v>0</v>
      </c>
      <c r="K562" t="n">
        <v>0</v>
      </c>
      <c r="L562" t="n">
        <v>0</v>
      </c>
      <c r="M562" t="n">
        <v>0</v>
      </c>
      <c r="N562" t="n">
        <v>0</v>
      </c>
      <c r="O562" t="n">
        <v>0</v>
      </c>
      <c r="P562" t="n">
        <v>0</v>
      </c>
      <c r="Q562" t="n">
        <v>0</v>
      </c>
      <c r="R562" s="2" t="inlineStr"/>
    </row>
    <row r="563" ht="15" customHeight="1">
      <c r="A563" t="inlineStr">
        <is>
          <t>A 13687-2025</t>
        </is>
      </c>
      <c r="B563" s="1" t="n">
        <v>45737.31425925926</v>
      </c>
      <c r="C563" s="1" t="n">
        <v>46062</v>
      </c>
      <c r="D563" t="inlineStr">
        <is>
          <t>ÖSTERGÖTLANDS LÄN</t>
        </is>
      </c>
      <c r="E563" t="inlineStr">
        <is>
          <t>LINKÖPING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13695-2025</t>
        </is>
      </c>
      <c r="B564" s="1" t="n">
        <v>45737.32219907407</v>
      </c>
      <c r="C564" s="1" t="n">
        <v>46062</v>
      </c>
      <c r="D564" t="inlineStr">
        <is>
          <t>ÖSTERGÖTLANDS LÄN</t>
        </is>
      </c>
      <c r="E564" t="inlineStr">
        <is>
          <t>LINKÖPING</t>
        </is>
      </c>
      <c r="G564" t="n">
        <v>5.3</v>
      </c>
      <c r="H564" t="n">
        <v>0</v>
      </c>
      <c r="I564" t="n">
        <v>0</v>
      </c>
      <c r="J564" t="n">
        <v>0</v>
      </c>
      <c r="K564" t="n">
        <v>0</v>
      </c>
      <c r="L564" t="n">
        <v>0</v>
      </c>
      <c r="M564" t="n">
        <v>0</v>
      </c>
      <c r="N564" t="n">
        <v>0</v>
      </c>
      <c r="O564" t="n">
        <v>0</v>
      </c>
      <c r="P564" t="n">
        <v>0</v>
      </c>
      <c r="Q564" t="n">
        <v>0</v>
      </c>
      <c r="R564" s="2" t="inlineStr"/>
    </row>
    <row r="565" ht="15" customHeight="1">
      <c r="A565" t="inlineStr">
        <is>
          <t>A 20294-2025</t>
        </is>
      </c>
      <c r="B565" s="1" t="n">
        <v>45774.74667824074</v>
      </c>
      <c r="C565" s="1" t="n">
        <v>46062</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17128-2025</t>
        </is>
      </c>
      <c r="B566" s="1" t="n">
        <v>45755.72622685185</v>
      </c>
      <c r="C566" s="1" t="n">
        <v>46062</v>
      </c>
      <c r="D566" t="inlineStr">
        <is>
          <t>ÖSTERGÖTLANDS LÄN</t>
        </is>
      </c>
      <c r="E566" t="inlineStr">
        <is>
          <t>LINKÖPING</t>
        </is>
      </c>
      <c r="G566" t="n">
        <v>2.9</v>
      </c>
      <c r="H566" t="n">
        <v>0</v>
      </c>
      <c r="I566" t="n">
        <v>0</v>
      </c>
      <c r="J566" t="n">
        <v>0</v>
      </c>
      <c r="K566" t="n">
        <v>0</v>
      </c>
      <c r="L566" t="n">
        <v>0</v>
      </c>
      <c r="M566" t="n">
        <v>0</v>
      </c>
      <c r="N566" t="n">
        <v>0</v>
      </c>
      <c r="O566" t="n">
        <v>0</v>
      </c>
      <c r="P566" t="n">
        <v>0</v>
      </c>
      <c r="Q566" t="n">
        <v>0</v>
      </c>
      <c r="R566" s="2" t="inlineStr"/>
    </row>
    <row r="567" ht="15" customHeight="1">
      <c r="A567" t="inlineStr">
        <is>
          <t>A 52125-2022</t>
        </is>
      </c>
      <c r="B567" s="1" t="n">
        <v>44873</v>
      </c>
      <c r="C567" s="1" t="n">
        <v>46062</v>
      </c>
      <c r="D567" t="inlineStr">
        <is>
          <t>ÖSTERGÖTLANDS LÄN</t>
        </is>
      </c>
      <c r="E567" t="inlineStr">
        <is>
          <t>LINKÖPING</t>
        </is>
      </c>
      <c r="F567" t="inlineStr">
        <is>
          <t>Övriga Aktiebolag</t>
        </is>
      </c>
      <c r="G567" t="n">
        <v>0.7</v>
      </c>
      <c r="H567" t="n">
        <v>0</v>
      </c>
      <c r="I567" t="n">
        <v>0</v>
      </c>
      <c r="J567" t="n">
        <v>0</v>
      </c>
      <c r="K567" t="n">
        <v>0</v>
      </c>
      <c r="L567" t="n">
        <v>0</v>
      </c>
      <c r="M567" t="n">
        <v>0</v>
      </c>
      <c r="N567" t="n">
        <v>0</v>
      </c>
      <c r="O567" t="n">
        <v>0</v>
      </c>
      <c r="P567" t="n">
        <v>0</v>
      </c>
      <c r="Q567" t="n">
        <v>0</v>
      </c>
      <c r="R567" s="2" t="inlineStr"/>
    </row>
    <row r="568" ht="15" customHeight="1">
      <c r="A568" t="inlineStr">
        <is>
          <t>A 27343-2023</t>
        </is>
      </c>
      <c r="B568" s="1" t="n">
        <v>45096</v>
      </c>
      <c r="C568" s="1" t="n">
        <v>46062</v>
      </c>
      <c r="D568" t="inlineStr">
        <is>
          <t>ÖSTERGÖTLANDS LÄN</t>
        </is>
      </c>
      <c r="E568" t="inlineStr">
        <is>
          <t>LINKÖPING</t>
        </is>
      </c>
      <c r="F568" t="inlineStr">
        <is>
          <t>Allmännings- och besparingsskogar</t>
        </is>
      </c>
      <c r="G568" t="n">
        <v>6.9</v>
      </c>
      <c r="H568" t="n">
        <v>0</v>
      </c>
      <c r="I568" t="n">
        <v>0</v>
      </c>
      <c r="J568" t="n">
        <v>0</v>
      </c>
      <c r="K568" t="n">
        <v>0</v>
      </c>
      <c r="L568" t="n">
        <v>0</v>
      </c>
      <c r="M568" t="n">
        <v>0</v>
      </c>
      <c r="N568" t="n">
        <v>0</v>
      </c>
      <c r="O568" t="n">
        <v>0</v>
      </c>
      <c r="P568" t="n">
        <v>0</v>
      </c>
      <c r="Q568" t="n">
        <v>0</v>
      </c>
      <c r="R568" s="2" t="inlineStr"/>
    </row>
    <row r="569" ht="15" customHeight="1">
      <c r="A569" t="inlineStr">
        <is>
          <t>A 5545-2026</t>
        </is>
      </c>
      <c r="B569" s="1" t="n">
        <v>46050.70089120371</v>
      </c>
      <c r="C569" s="1" t="n">
        <v>46062</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22842-2023</t>
        </is>
      </c>
      <c r="B570" s="1" t="n">
        <v>45071</v>
      </c>
      <c r="C570" s="1" t="n">
        <v>46062</v>
      </c>
      <c r="D570" t="inlineStr">
        <is>
          <t>ÖSTERGÖTLANDS LÄN</t>
        </is>
      </c>
      <c r="E570" t="inlineStr">
        <is>
          <t>LINKÖPING</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62791-2025</t>
        </is>
      </c>
      <c r="B571" s="1" t="n">
        <v>46008.63266203704</v>
      </c>
      <c r="C571" s="1" t="n">
        <v>46062</v>
      </c>
      <c r="D571" t="inlineStr">
        <is>
          <t>ÖSTERGÖTLANDS LÄN</t>
        </is>
      </c>
      <c r="E571" t="inlineStr">
        <is>
          <t>LINKÖPING</t>
        </is>
      </c>
      <c r="G571" t="n">
        <v>2.4</v>
      </c>
      <c r="H571" t="n">
        <v>0</v>
      </c>
      <c r="I571" t="n">
        <v>0</v>
      </c>
      <c r="J571" t="n">
        <v>0</v>
      </c>
      <c r="K571" t="n">
        <v>0</v>
      </c>
      <c r="L571" t="n">
        <v>0</v>
      </c>
      <c r="M571" t="n">
        <v>0</v>
      </c>
      <c r="N571" t="n">
        <v>0</v>
      </c>
      <c r="O571" t="n">
        <v>0</v>
      </c>
      <c r="P571" t="n">
        <v>0</v>
      </c>
      <c r="Q571" t="n">
        <v>0</v>
      </c>
      <c r="R571" s="2" t="inlineStr"/>
    </row>
    <row r="572" ht="15" customHeight="1">
      <c r="A572" t="inlineStr">
        <is>
          <t>A 62686-2025</t>
        </is>
      </c>
      <c r="B572" s="1" t="n">
        <v>46008.46769675926</v>
      </c>
      <c r="C572" s="1" t="n">
        <v>46062</v>
      </c>
      <c r="D572" t="inlineStr">
        <is>
          <t>ÖSTERGÖTLANDS LÄN</t>
        </is>
      </c>
      <c r="E572" t="inlineStr">
        <is>
          <t>LINKÖPING</t>
        </is>
      </c>
      <c r="G572" t="n">
        <v>7.6</v>
      </c>
      <c r="H572" t="n">
        <v>0</v>
      </c>
      <c r="I572" t="n">
        <v>0</v>
      </c>
      <c r="J572" t="n">
        <v>0</v>
      </c>
      <c r="K572" t="n">
        <v>0</v>
      </c>
      <c r="L572" t="n">
        <v>0</v>
      </c>
      <c r="M572" t="n">
        <v>0</v>
      </c>
      <c r="N572" t="n">
        <v>0</v>
      </c>
      <c r="O572" t="n">
        <v>0</v>
      </c>
      <c r="P572" t="n">
        <v>0</v>
      </c>
      <c r="Q572" t="n">
        <v>0</v>
      </c>
      <c r="R572" s="2" t="inlineStr"/>
    </row>
    <row r="573" ht="15" customHeight="1">
      <c r="A573" t="inlineStr">
        <is>
          <t>A 14520-2025</t>
        </is>
      </c>
      <c r="B573" s="1" t="n">
        <v>45741</v>
      </c>
      <c r="C573" s="1" t="n">
        <v>46062</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31548-2022</t>
        </is>
      </c>
      <c r="B574" s="1" t="n">
        <v>44775.39832175926</v>
      </c>
      <c r="C574" s="1" t="n">
        <v>46062</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63147-2025</t>
        </is>
      </c>
      <c r="B575" s="1" t="n">
        <v>46010.35003472222</v>
      </c>
      <c r="C575" s="1" t="n">
        <v>46062</v>
      </c>
      <c r="D575" t="inlineStr">
        <is>
          <t>ÖSTERGÖTLANDS LÄN</t>
        </is>
      </c>
      <c r="E575" t="inlineStr">
        <is>
          <t>LINKÖPING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62017-2024</t>
        </is>
      </c>
      <c r="B576" s="1" t="n">
        <v>45655.81140046296</v>
      </c>
      <c r="C576" s="1" t="n">
        <v>46062</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17785-2023</t>
        </is>
      </c>
      <c r="B577" s="1" t="n">
        <v>45037.55094907407</v>
      </c>
      <c r="C577" s="1" t="n">
        <v>46062</v>
      </c>
      <c r="D577" t="inlineStr">
        <is>
          <t>ÖSTERGÖTLANDS LÄN</t>
        </is>
      </c>
      <c r="E577" t="inlineStr">
        <is>
          <t>LINKÖPING</t>
        </is>
      </c>
      <c r="F577" t="inlineStr">
        <is>
          <t>Allmännings- och besparingsskogar</t>
        </is>
      </c>
      <c r="G577" t="n">
        <v>3.1</v>
      </c>
      <c r="H577" t="n">
        <v>0</v>
      </c>
      <c r="I577" t="n">
        <v>0</v>
      </c>
      <c r="J577" t="n">
        <v>0</v>
      </c>
      <c r="K577" t="n">
        <v>0</v>
      </c>
      <c r="L577" t="n">
        <v>0</v>
      </c>
      <c r="M577" t="n">
        <v>0</v>
      </c>
      <c r="N577" t="n">
        <v>0</v>
      </c>
      <c r="O577" t="n">
        <v>0</v>
      </c>
      <c r="P577" t="n">
        <v>0</v>
      </c>
      <c r="Q577" t="n">
        <v>0</v>
      </c>
      <c r="R577" s="2" t="inlineStr"/>
    </row>
    <row r="578" ht="15" customHeight="1">
      <c r="A578" t="inlineStr">
        <is>
          <t>A 6164-2026</t>
        </is>
      </c>
      <c r="B578" s="1" t="n">
        <v>46055.32596064815</v>
      </c>
      <c r="C578" s="1" t="n">
        <v>46062</v>
      </c>
      <c r="D578" t="inlineStr">
        <is>
          <t>ÖSTERGÖTLANDS LÄN</t>
        </is>
      </c>
      <c r="E578" t="inlineStr">
        <is>
          <t>LINKÖPING</t>
        </is>
      </c>
      <c r="G578" t="n">
        <v>0.4</v>
      </c>
      <c r="H578" t="n">
        <v>0</v>
      </c>
      <c r="I578" t="n">
        <v>0</v>
      </c>
      <c r="J578" t="n">
        <v>0</v>
      </c>
      <c r="K578" t="n">
        <v>0</v>
      </c>
      <c r="L578" t="n">
        <v>0</v>
      </c>
      <c r="M578" t="n">
        <v>0</v>
      </c>
      <c r="N578" t="n">
        <v>0</v>
      </c>
      <c r="O578" t="n">
        <v>0</v>
      </c>
      <c r="P578" t="n">
        <v>0</v>
      </c>
      <c r="Q578" t="n">
        <v>0</v>
      </c>
      <c r="R578" s="2" t="inlineStr"/>
    </row>
    <row r="579" ht="15" customHeight="1">
      <c r="A579" t="inlineStr">
        <is>
          <t>A 62686-2023</t>
        </is>
      </c>
      <c r="B579" s="1" t="n">
        <v>45271</v>
      </c>
      <c r="C579" s="1" t="n">
        <v>46062</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42044-2023</t>
        </is>
      </c>
      <c r="B580" s="1" t="n">
        <v>45177</v>
      </c>
      <c r="C580" s="1" t="n">
        <v>46062</v>
      </c>
      <c r="D580" t="inlineStr">
        <is>
          <t>ÖSTERGÖTLANDS LÄN</t>
        </is>
      </c>
      <c r="E580" t="inlineStr">
        <is>
          <t>LINKÖPING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49656-2021</t>
        </is>
      </c>
      <c r="B581" s="1" t="n">
        <v>44454</v>
      </c>
      <c r="C581" s="1" t="n">
        <v>46062</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6384-2026</t>
        </is>
      </c>
      <c r="B582" s="1" t="n">
        <v>46055.63732638889</v>
      </c>
      <c r="C582" s="1" t="n">
        <v>46062</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63144-2025</t>
        </is>
      </c>
      <c r="B583" s="1" t="n">
        <v>46010.34716435185</v>
      </c>
      <c r="C583" s="1" t="n">
        <v>46062</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38230-2023</t>
        </is>
      </c>
      <c r="B584" s="1" t="n">
        <v>45161.55373842592</v>
      </c>
      <c r="C584" s="1" t="n">
        <v>46062</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45442-2024</t>
        </is>
      </c>
      <c r="B585" s="1" t="n">
        <v>45576.64189814815</v>
      </c>
      <c r="C585" s="1" t="n">
        <v>46062</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4908-2023</t>
        </is>
      </c>
      <c r="B586" s="1" t="n">
        <v>44958</v>
      </c>
      <c r="C586" s="1" t="n">
        <v>46062</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1265-2023</t>
        </is>
      </c>
      <c r="B587" s="1" t="n">
        <v>44936</v>
      </c>
      <c r="C587" s="1" t="n">
        <v>46062</v>
      </c>
      <c r="D587" t="inlineStr">
        <is>
          <t>ÖSTERGÖTLANDS LÄN</t>
        </is>
      </c>
      <c r="E587" t="inlineStr">
        <is>
          <t>LINKÖPING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12411-2022</t>
        </is>
      </c>
      <c r="B588" s="1" t="n">
        <v>44638.21601851852</v>
      </c>
      <c r="C588" s="1" t="n">
        <v>46062</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23491-2024</t>
        </is>
      </c>
      <c r="B589" s="1" t="n">
        <v>45453</v>
      </c>
      <c r="C589" s="1" t="n">
        <v>46062</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70-2024</t>
        </is>
      </c>
      <c r="B590" s="1" t="n">
        <v>45293</v>
      </c>
      <c r="C590" s="1" t="n">
        <v>46062</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6054-2022</t>
        </is>
      </c>
      <c r="B591" s="1" t="n">
        <v>44599.53623842593</v>
      </c>
      <c r="C591" s="1" t="n">
        <v>46062</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31725-2022</t>
        </is>
      </c>
      <c r="B592" s="1" t="n">
        <v>44776.48541666667</v>
      </c>
      <c r="C592" s="1" t="n">
        <v>46062</v>
      </c>
      <c r="D592" t="inlineStr">
        <is>
          <t>ÖSTERGÖTLANDS LÄN</t>
        </is>
      </c>
      <c r="E592" t="inlineStr">
        <is>
          <t>LINKÖPING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7133-2026</t>
        </is>
      </c>
      <c r="B593" s="1" t="n">
        <v>46057</v>
      </c>
      <c r="C593" s="1" t="n">
        <v>46062</v>
      </c>
      <c r="D593" t="inlineStr">
        <is>
          <t>ÖSTERGÖTLANDS LÄN</t>
        </is>
      </c>
      <c r="E593" t="inlineStr">
        <is>
          <t>LINKÖPING</t>
        </is>
      </c>
      <c r="G593" t="n">
        <v>2.4</v>
      </c>
      <c r="H593" t="n">
        <v>0</v>
      </c>
      <c r="I593" t="n">
        <v>0</v>
      </c>
      <c r="J593" t="n">
        <v>0</v>
      </c>
      <c r="K593" t="n">
        <v>0</v>
      </c>
      <c r="L593" t="n">
        <v>0</v>
      </c>
      <c r="M593" t="n">
        <v>0</v>
      </c>
      <c r="N593" t="n">
        <v>0</v>
      </c>
      <c r="O593" t="n">
        <v>0</v>
      </c>
      <c r="P593" t="n">
        <v>0</v>
      </c>
      <c r="Q593" t="n">
        <v>0</v>
      </c>
      <c r="R593" s="2" t="inlineStr"/>
    </row>
    <row r="594" ht="15" customHeight="1">
      <c r="A594" t="inlineStr">
        <is>
          <t>A 57391-2023</t>
        </is>
      </c>
      <c r="B594" s="1" t="n">
        <v>45245</v>
      </c>
      <c r="C594" s="1" t="n">
        <v>46062</v>
      </c>
      <c r="D594" t="inlineStr">
        <is>
          <t>ÖSTERGÖTLANDS LÄN</t>
        </is>
      </c>
      <c r="E594" t="inlineStr">
        <is>
          <t>LINKÖPING</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7992-2023</t>
        </is>
      </c>
      <c r="B595" s="1" t="n">
        <v>44970</v>
      </c>
      <c r="C595" s="1" t="n">
        <v>46062</v>
      </c>
      <c r="D595" t="inlineStr">
        <is>
          <t>ÖSTERGÖTLANDS LÄN</t>
        </is>
      </c>
      <c r="E595" t="inlineStr">
        <is>
          <t>LINKÖPING</t>
        </is>
      </c>
      <c r="F595" t="inlineStr">
        <is>
          <t>Kommuner</t>
        </is>
      </c>
      <c r="G595" t="n">
        <v>1</v>
      </c>
      <c r="H595" t="n">
        <v>0</v>
      </c>
      <c r="I595" t="n">
        <v>0</v>
      </c>
      <c r="J595" t="n">
        <v>0</v>
      </c>
      <c r="K595" t="n">
        <v>0</v>
      </c>
      <c r="L595" t="n">
        <v>0</v>
      </c>
      <c r="M595" t="n">
        <v>0</v>
      </c>
      <c r="N595" t="n">
        <v>0</v>
      </c>
      <c r="O595" t="n">
        <v>0</v>
      </c>
      <c r="P595" t="n">
        <v>0</v>
      </c>
      <c r="Q595" t="n">
        <v>0</v>
      </c>
      <c r="R595" s="2" t="inlineStr"/>
    </row>
    <row r="596" ht="15" customHeight="1">
      <c r="A596" t="inlineStr">
        <is>
          <t>A 13689-2025</t>
        </is>
      </c>
      <c r="B596" s="1" t="n">
        <v>45737.31590277778</v>
      </c>
      <c r="C596" s="1" t="n">
        <v>46062</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13696-2025</t>
        </is>
      </c>
      <c r="B597" s="1" t="n">
        <v>45737.32273148148</v>
      </c>
      <c r="C597" s="1" t="n">
        <v>46062</v>
      </c>
      <c r="D597" t="inlineStr">
        <is>
          <t>ÖSTERGÖTLANDS LÄN</t>
        </is>
      </c>
      <c r="E597" t="inlineStr">
        <is>
          <t>LINKÖPING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1924-2024</t>
        </is>
      </c>
      <c r="B598" s="1" t="n">
        <v>45308</v>
      </c>
      <c r="C598" s="1" t="n">
        <v>46062</v>
      </c>
      <c r="D598" t="inlineStr">
        <is>
          <t>ÖSTERGÖTLANDS LÄN</t>
        </is>
      </c>
      <c r="E598" t="inlineStr">
        <is>
          <t>LINKÖPING</t>
        </is>
      </c>
      <c r="F598" t="inlineStr">
        <is>
          <t>Övriga Aktiebolag</t>
        </is>
      </c>
      <c r="G598" t="n">
        <v>0.5</v>
      </c>
      <c r="H598" t="n">
        <v>0</v>
      </c>
      <c r="I598" t="n">
        <v>0</v>
      </c>
      <c r="J598" t="n">
        <v>0</v>
      </c>
      <c r="K598" t="n">
        <v>0</v>
      </c>
      <c r="L598" t="n">
        <v>0</v>
      </c>
      <c r="M598" t="n">
        <v>0</v>
      </c>
      <c r="N598" t="n">
        <v>0</v>
      </c>
      <c r="O598" t="n">
        <v>0</v>
      </c>
      <c r="P598" t="n">
        <v>0</v>
      </c>
      <c r="Q598" t="n">
        <v>0</v>
      </c>
      <c r="R598" s="2" t="inlineStr"/>
    </row>
    <row r="599" ht="15" customHeight="1">
      <c r="A599" t="inlineStr">
        <is>
          <t>A 32346-2023</t>
        </is>
      </c>
      <c r="B599" s="1" t="n">
        <v>45120</v>
      </c>
      <c r="C599" s="1" t="n">
        <v>46062</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50508-2024</t>
        </is>
      </c>
      <c r="B600" s="1" t="n">
        <v>45601.53907407408</v>
      </c>
      <c r="C600" s="1" t="n">
        <v>46062</v>
      </c>
      <c r="D600" t="inlineStr">
        <is>
          <t>ÖSTERGÖTLANDS LÄN</t>
        </is>
      </c>
      <c r="E600" t="inlineStr">
        <is>
          <t>LINKÖPING</t>
        </is>
      </c>
      <c r="F600" t="inlineStr">
        <is>
          <t>Övriga Aktiebolag</t>
        </is>
      </c>
      <c r="G600" t="n">
        <v>2</v>
      </c>
      <c r="H600" t="n">
        <v>0</v>
      </c>
      <c r="I600" t="n">
        <v>0</v>
      </c>
      <c r="J600" t="n">
        <v>0</v>
      </c>
      <c r="K600" t="n">
        <v>0</v>
      </c>
      <c r="L600" t="n">
        <v>0</v>
      </c>
      <c r="M600" t="n">
        <v>0</v>
      </c>
      <c r="N600" t="n">
        <v>0</v>
      </c>
      <c r="O600" t="n">
        <v>0</v>
      </c>
      <c r="P600" t="n">
        <v>0</v>
      </c>
      <c r="Q600" t="n">
        <v>0</v>
      </c>
      <c r="R600" s="2" t="inlineStr"/>
    </row>
    <row r="601" ht="15" customHeight="1">
      <c r="A601" t="inlineStr">
        <is>
          <t>A 7808-2022</t>
        </is>
      </c>
      <c r="B601" s="1" t="n">
        <v>44608</v>
      </c>
      <c r="C601" s="1" t="n">
        <v>46062</v>
      </c>
      <c r="D601" t="inlineStr">
        <is>
          <t>ÖSTERGÖTLANDS LÄN</t>
        </is>
      </c>
      <c r="E601" t="inlineStr">
        <is>
          <t>LINKÖPING</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27844-2024</t>
        </is>
      </c>
      <c r="B602" s="1" t="n">
        <v>45475.63047453704</v>
      </c>
      <c r="C602" s="1" t="n">
        <v>46062</v>
      </c>
      <c r="D602" t="inlineStr">
        <is>
          <t>ÖSTERGÖTLANDS LÄN</t>
        </is>
      </c>
      <c r="E602" t="inlineStr">
        <is>
          <t>LINKÖPING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40810-2022</t>
        </is>
      </c>
      <c r="B603" s="1" t="n">
        <v>44824</v>
      </c>
      <c r="C603" s="1" t="n">
        <v>46062</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51559-2024</t>
        </is>
      </c>
      <c r="B604" s="1" t="n">
        <v>45604.61431712963</v>
      </c>
      <c r="C604" s="1" t="n">
        <v>46062</v>
      </c>
      <c r="D604" t="inlineStr">
        <is>
          <t>ÖSTERGÖTLANDS LÄN</t>
        </is>
      </c>
      <c r="E604" t="inlineStr">
        <is>
          <t>LINKÖPING</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49979-2022</t>
        </is>
      </c>
      <c r="B605" s="1" t="n">
        <v>44865</v>
      </c>
      <c r="C605" s="1" t="n">
        <v>46062</v>
      </c>
      <c r="D605" t="inlineStr">
        <is>
          <t>ÖSTERGÖTLANDS LÄN</t>
        </is>
      </c>
      <c r="E605" t="inlineStr">
        <is>
          <t>LINKÖPING</t>
        </is>
      </c>
      <c r="F605" t="inlineStr">
        <is>
          <t>Övriga Aktiebolag</t>
        </is>
      </c>
      <c r="G605" t="n">
        <v>11.4</v>
      </c>
      <c r="H605" t="n">
        <v>0</v>
      </c>
      <c r="I605" t="n">
        <v>0</v>
      </c>
      <c r="J605" t="n">
        <v>0</v>
      </c>
      <c r="K605" t="n">
        <v>0</v>
      </c>
      <c r="L605" t="n">
        <v>0</v>
      </c>
      <c r="M605" t="n">
        <v>0</v>
      </c>
      <c r="N605" t="n">
        <v>0</v>
      </c>
      <c r="O605" t="n">
        <v>0</v>
      </c>
      <c r="P605" t="n">
        <v>0</v>
      </c>
      <c r="Q605" t="n">
        <v>0</v>
      </c>
      <c r="R605" s="2" t="inlineStr"/>
    </row>
    <row r="606" ht="15" customHeight="1">
      <c r="A606" t="inlineStr">
        <is>
          <t>A 39219-2021</t>
        </is>
      </c>
      <c r="B606" s="1" t="n">
        <v>44413</v>
      </c>
      <c r="C606" s="1" t="n">
        <v>46062</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39224-2021</t>
        </is>
      </c>
      <c r="B607" s="1" t="n">
        <v>44413</v>
      </c>
      <c r="C607" s="1" t="n">
        <v>46062</v>
      </c>
      <c r="D607" t="inlineStr">
        <is>
          <t>ÖSTERGÖTLANDS LÄN</t>
        </is>
      </c>
      <c r="E607" t="inlineStr">
        <is>
          <t>LINKÖPING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62495-2023</t>
        </is>
      </c>
      <c r="B608" s="1" t="n">
        <v>45268.59717592593</v>
      </c>
      <c r="C608" s="1" t="n">
        <v>46062</v>
      </c>
      <c r="D608" t="inlineStr">
        <is>
          <t>ÖSTERGÖTLANDS LÄN</t>
        </is>
      </c>
      <c r="E608" t="inlineStr">
        <is>
          <t>LINKÖPING</t>
        </is>
      </c>
      <c r="G608" t="n">
        <v>4.1</v>
      </c>
      <c r="H608" t="n">
        <v>0</v>
      </c>
      <c r="I608" t="n">
        <v>0</v>
      </c>
      <c r="J608" t="n">
        <v>0</v>
      </c>
      <c r="K608" t="n">
        <v>0</v>
      </c>
      <c r="L608" t="n">
        <v>0</v>
      </c>
      <c r="M608" t="n">
        <v>0</v>
      </c>
      <c r="N608" t="n">
        <v>0</v>
      </c>
      <c r="O608" t="n">
        <v>0</v>
      </c>
      <c r="P608" t="n">
        <v>0</v>
      </c>
      <c r="Q608" t="n">
        <v>0</v>
      </c>
      <c r="R608" s="2" t="inlineStr"/>
    </row>
    <row r="609" ht="15" customHeight="1">
      <c r="A609" t="inlineStr">
        <is>
          <t>A 29413-2023</t>
        </is>
      </c>
      <c r="B609" s="1" t="n">
        <v>45106.46465277778</v>
      </c>
      <c r="C609" s="1" t="n">
        <v>46062</v>
      </c>
      <c r="D609" t="inlineStr">
        <is>
          <t>ÖSTERGÖTLANDS LÄN</t>
        </is>
      </c>
      <c r="E609" t="inlineStr">
        <is>
          <t>LINKÖPING</t>
        </is>
      </c>
      <c r="G609" t="n">
        <v>8</v>
      </c>
      <c r="H609" t="n">
        <v>0</v>
      </c>
      <c r="I609" t="n">
        <v>0</v>
      </c>
      <c r="J609" t="n">
        <v>0</v>
      </c>
      <c r="K609" t="n">
        <v>0</v>
      </c>
      <c r="L609" t="n">
        <v>0</v>
      </c>
      <c r="M609" t="n">
        <v>0</v>
      </c>
      <c r="N609" t="n">
        <v>0</v>
      </c>
      <c r="O609" t="n">
        <v>0</v>
      </c>
      <c r="P609" t="n">
        <v>0</v>
      </c>
      <c r="Q609" t="n">
        <v>0</v>
      </c>
      <c r="R609" s="2" t="inlineStr"/>
    </row>
    <row r="610" ht="15" customHeight="1">
      <c r="A610" t="inlineStr">
        <is>
          <t>A 25948-2023</t>
        </is>
      </c>
      <c r="B610" s="1" t="n">
        <v>45090</v>
      </c>
      <c r="C610" s="1" t="n">
        <v>46062</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1627-2023</t>
        </is>
      </c>
      <c r="B611" s="1" t="n">
        <v>44937</v>
      </c>
      <c r="C611" s="1" t="n">
        <v>46062</v>
      </c>
      <c r="D611" t="inlineStr">
        <is>
          <t>ÖSTERGÖTLANDS LÄN</t>
        </is>
      </c>
      <c r="E611" t="inlineStr">
        <is>
          <t>LINKÖPING</t>
        </is>
      </c>
      <c r="G611" t="n">
        <v>10.8</v>
      </c>
      <c r="H611" t="n">
        <v>0</v>
      </c>
      <c r="I611" t="n">
        <v>0</v>
      </c>
      <c r="J611" t="n">
        <v>0</v>
      </c>
      <c r="K611" t="n">
        <v>0</v>
      </c>
      <c r="L611" t="n">
        <v>0</v>
      </c>
      <c r="M611" t="n">
        <v>0</v>
      </c>
      <c r="N611" t="n">
        <v>0</v>
      </c>
      <c r="O611" t="n">
        <v>0</v>
      </c>
      <c r="P611" t="n">
        <v>0</v>
      </c>
      <c r="Q611" t="n">
        <v>0</v>
      </c>
      <c r="R611" s="2" t="inlineStr"/>
    </row>
    <row r="612" ht="15" customHeight="1">
      <c r="A612" t="inlineStr">
        <is>
          <t>A 30481-2023</t>
        </is>
      </c>
      <c r="B612" s="1" t="n">
        <v>45111</v>
      </c>
      <c r="C612" s="1" t="n">
        <v>46062</v>
      </c>
      <c r="D612" t="inlineStr">
        <is>
          <t>ÖSTERGÖTLANDS LÄN</t>
        </is>
      </c>
      <c r="E612" t="inlineStr">
        <is>
          <t>LINKÖPING</t>
        </is>
      </c>
      <c r="F612" t="inlineStr">
        <is>
          <t>Övriga Aktiebolag</t>
        </is>
      </c>
      <c r="G612" t="n">
        <v>2</v>
      </c>
      <c r="H612" t="n">
        <v>0</v>
      </c>
      <c r="I612" t="n">
        <v>0</v>
      </c>
      <c r="J612" t="n">
        <v>0</v>
      </c>
      <c r="K612" t="n">
        <v>0</v>
      </c>
      <c r="L612" t="n">
        <v>0</v>
      </c>
      <c r="M612" t="n">
        <v>0</v>
      </c>
      <c r="N612" t="n">
        <v>0</v>
      </c>
      <c r="O612" t="n">
        <v>0</v>
      </c>
      <c r="P612" t="n">
        <v>0</v>
      </c>
      <c r="Q612" t="n">
        <v>0</v>
      </c>
      <c r="R612" s="2" t="inlineStr"/>
    </row>
    <row r="613" ht="15" customHeight="1">
      <c r="A613" t="inlineStr">
        <is>
          <t>A 21782-2024</t>
        </is>
      </c>
      <c r="B613" s="1" t="n">
        <v>45442.63368055555</v>
      </c>
      <c r="C613" s="1" t="n">
        <v>46062</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11671-2023</t>
        </is>
      </c>
      <c r="B614" s="1" t="n">
        <v>44994.48125</v>
      </c>
      <c r="C614" s="1" t="n">
        <v>46062</v>
      </c>
      <c r="D614" t="inlineStr">
        <is>
          <t>ÖSTERGÖTLANDS LÄN</t>
        </is>
      </c>
      <c r="E614" t="inlineStr">
        <is>
          <t>LINKÖPING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3013-2023</t>
        </is>
      </c>
      <c r="B615" s="1" t="n">
        <v>44945.8092824074</v>
      </c>
      <c r="C615" s="1" t="n">
        <v>46062</v>
      </c>
      <c r="D615" t="inlineStr">
        <is>
          <t>ÖSTERGÖTLANDS LÄN</t>
        </is>
      </c>
      <c r="E615" t="inlineStr">
        <is>
          <t>LINKÖPING</t>
        </is>
      </c>
      <c r="G615" t="n">
        <v>5.2</v>
      </c>
      <c r="H615" t="n">
        <v>0</v>
      </c>
      <c r="I615" t="n">
        <v>0</v>
      </c>
      <c r="J615" t="n">
        <v>0</v>
      </c>
      <c r="K615" t="n">
        <v>0</v>
      </c>
      <c r="L615" t="n">
        <v>0</v>
      </c>
      <c r="M615" t="n">
        <v>0</v>
      </c>
      <c r="N615" t="n">
        <v>0</v>
      </c>
      <c r="O615" t="n">
        <v>0</v>
      </c>
      <c r="P615" t="n">
        <v>0</v>
      </c>
      <c r="Q615" t="n">
        <v>0</v>
      </c>
      <c r="R615" s="2" t="inlineStr"/>
    </row>
    <row r="616" ht="15" customHeight="1">
      <c r="A616" t="inlineStr">
        <is>
          <t>A 49747-2024</t>
        </is>
      </c>
      <c r="B616" s="1" t="n">
        <v>45596</v>
      </c>
      <c r="C616" s="1" t="n">
        <v>46062</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42997-2021</t>
        </is>
      </c>
      <c r="B617" s="1" t="n">
        <v>44431.45556712963</v>
      </c>
      <c r="C617" s="1" t="n">
        <v>46062</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3011-2023</t>
        </is>
      </c>
      <c r="B618" s="1" t="n">
        <v>44945</v>
      </c>
      <c r="C618" s="1" t="n">
        <v>46062</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23735-2023</t>
        </is>
      </c>
      <c r="B619" s="1" t="n">
        <v>45077</v>
      </c>
      <c r="C619" s="1" t="n">
        <v>46062</v>
      </c>
      <c r="D619" t="inlineStr">
        <is>
          <t>ÖSTERGÖTLANDS LÄN</t>
        </is>
      </c>
      <c r="E619" t="inlineStr">
        <is>
          <t>LINKÖPING</t>
        </is>
      </c>
      <c r="G619" t="n">
        <v>1.7</v>
      </c>
      <c r="H619" t="n">
        <v>0</v>
      </c>
      <c r="I619" t="n">
        <v>0</v>
      </c>
      <c r="J619" t="n">
        <v>0</v>
      </c>
      <c r="K619" t="n">
        <v>0</v>
      </c>
      <c r="L619" t="n">
        <v>0</v>
      </c>
      <c r="M619" t="n">
        <v>0</v>
      </c>
      <c r="N619" t="n">
        <v>0</v>
      </c>
      <c r="O619" t="n">
        <v>0</v>
      </c>
      <c r="P619" t="n">
        <v>0</v>
      </c>
      <c r="Q619" t="n">
        <v>0</v>
      </c>
      <c r="R619" s="2" t="inlineStr"/>
    </row>
    <row r="620" ht="15" customHeight="1">
      <c r="A620" t="inlineStr">
        <is>
          <t>A 45821-2024</t>
        </is>
      </c>
      <c r="B620" s="1" t="n">
        <v>45579.75803240741</v>
      </c>
      <c r="C620" s="1" t="n">
        <v>46062</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53647-2021</t>
        </is>
      </c>
      <c r="B621" s="1" t="n">
        <v>44469</v>
      </c>
      <c r="C621" s="1" t="n">
        <v>46062</v>
      </c>
      <c r="D621" t="inlineStr">
        <is>
          <t>ÖSTERGÖTLANDS LÄN</t>
        </is>
      </c>
      <c r="E621" t="inlineStr">
        <is>
          <t>LINKÖPING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6599-2023</t>
        </is>
      </c>
      <c r="B622" s="1" t="n">
        <v>44966.52603009259</v>
      </c>
      <c r="C622" s="1" t="n">
        <v>46062</v>
      </c>
      <c r="D622" t="inlineStr">
        <is>
          <t>ÖSTERGÖTLANDS LÄN</t>
        </is>
      </c>
      <c r="E622" t="inlineStr">
        <is>
          <t>LINKÖPING</t>
        </is>
      </c>
      <c r="G622" t="n">
        <v>1.9</v>
      </c>
      <c r="H622" t="n">
        <v>0</v>
      </c>
      <c r="I622" t="n">
        <v>0</v>
      </c>
      <c r="J622" t="n">
        <v>0</v>
      </c>
      <c r="K622" t="n">
        <v>0</v>
      </c>
      <c r="L622" t="n">
        <v>0</v>
      </c>
      <c r="M622" t="n">
        <v>0</v>
      </c>
      <c r="N622" t="n">
        <v>0</v>
      </c>
      <c r="O622" t="n">
        <v>0</v>
      </c>
      <c r="P622" t="n">
        <v>0</v>
      </c>
      <c r="Q622" t="n">
        <v>0</v>
      </c>
      <c r="R622" s="2" t="inlineStr"/>
    </row>
    <row r="623" ht="15" customHeight="1">
      <c r="A623" t="inlineStr">
        <is>
          <t>A 35735-2023</t>
        </is>
      </c>
      <c r="B623" s="1" t="n">
        <v>45147</v>
      </c>
      <c r="C623" s="1" t="n">
        <v>46062</v>
      </c>
      <c r="D623" t="inlineStr">
        <is>
          <t>ÖSTERGÖTLANDS LÄN</t>
        </is>
      </c>
      <c r="E623" t="inlineStr">
        <is>
          <t>LINKÖPING</t>
        </is>
      </c>
      <c r="G623" t="n">
        <v>2.8</v>
      </c>
      <c r="H623" t="n">
        <v>0</v>
      </c>
      <c r="I623" t="n">
        <v>0</v>
      </c>
      <c r="J623" t="n">
        <v>0</v>
      </c>
      <c r="K623" t="n">
        <v>0</v>
      </c>
      <c r="L623" t="n">
        <v>0</v>
      </c>
      <c r="M623" t="n">
        <v>0</v>
      </c>
      <c r="N623" t="n">
        <v>0</v>
      </c>
      <c r="O623" t="n">
        <v>0</v>
      </c>
      <c r="P623" t="n">
        <v>0</v>
      </c>
      <c r="Q623" t="n">
        <v>0</v>
      </c>
      <c r="R623" s="2" t="inlineStr"/>
    </row>
    <row r="624" ht="15" customHeight="1">
      <c r="A624" t="inlineStr">
        <is>
          <t>A 45831-2024</t>
        </is>
      </c>
      <c r="B624" s="1" t="n">
        <v>45579.90508101852</v>
      </c>
      <c r="C624" s="1" t="n">
        <v>46062</v>
      </c>
      <c r="D624" t="inlineStr">
        <is>
          <t>ÖSTERGÖTLANDS LÄN</t>
        </is>
      </c>
      <c r="E624" t="inlineStr">
        <is>
          <t>LINKÖPING</t>
        </is>
      </c>
      <c r="G624" t="n">
        <v>1.9</v>
      </c>
      <c r="H624" t="n">
        <v>0</v>
      </c>
      <c r="I624" t="n">
        <v>0</v>
      </c>
      <c r="J624" t="n">
        <v>0</v>
      </c>
      <c r="K624" t="n">
        <v>0</v>
      </c>
      <c r="L624" t="n">
        <v>0</v>
      </c>
      <c r="M624" t="n">
        <v>0</v>
      </c>
      <c r="N624" t="n">
        <v>0</v>
      </c>
      <c r="O624" t="n">
        <v>0</v>
      </c>
      <c r="P624" t="n">
        <v>0</v>
      </c>
      <c r="Q624" t="n">
        <v>0</v>
      </c>
      <c r="R624" s="2" t="inlineStr"/>
    </row>
    <row r="625" ht="15" customHeight="1">
      <c r="A625" t="inlineStr">
        <is>
          <t>A 17157-2024</t>
        </is>
      </c>
      <c r="B625" s="1" t="n">
        <v>45412.70567129629</v>
      </c>
      <c r="C625" s="1" t="n">
        <v>46062</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37154-2023</t>
        </is>
      </c>
      <c r="B626" s="1" t="n">
        <v>45155</v>
      </c>
      <c r="C626" s="1" t="n">
        <v>46062</v>
      </c>
      <c r="D626" t="inlineStr">
        <is>
          <t>ÖSTERGÖTLANDS LÄN</t>
        </is>
      </c>
      <c r="E626" t="inlineStr">
        <is>
          <t>LINKÖPING</t>
        </is>
      </c>
      <c r="G626" t="n">
        <v>1.7</v>
      </c>
      <c r="H626" t="n">
        <v>0</v>
      </c>
      <c r="I626" t="n">
        <v>0</v>
      </c>
      <c r="J626" t="n">
        <v>0</v>
      </c>
      <c r="K626" t="n">
        <v>0</v>
      </c>
      <c r="L626" t="n">
        <v>0</v>
      </c>
      <c r="M626" t="n">
        <v>0</v>
      </c>
      <c r="N626" t="n">
        <v>0</v>
      </c>
      <c r="O626" t="n">
        <v>0</v>
      </c>
      <c r="P626" t="n">
        <v>0</v>
      </c>
      <c r="Q626" t="n">
        <v>0</v>
      </c>
      <c r="R626" s="2" t="inlineStr"/>
    </row>
    <row r="627" ht="15" customHeight="1">
      <c r="A627" t="inlineStr">
        <is>
          <t>A 53812-2023</t>
        </is>
      </c>
      <c r="B627" s="1" t="n">
        <v>45231.39583333334</v>
      </c>
      <c r="C627" s="1" t="n">
        <v>46062</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53830-2023</t>
        </is>
      </c>
      <c r="B628" s="1" t="n">
        <v>45230</v>
      </c>
      <c r="C628" s="1" t="n">
        <v>46062</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56841-2023</t>
        </is>
      </c>
      <c r="B629" s="1" t="n">
        <v>45244</v>
      </c>
      <c r="C629" s="1" t="n">
        <v>46062</v>
      </c>
      <c r="D629" t="inlineStr">
        <is>
          <t>ÖSTERGÖTLANDS LÄN</t>
        </is>
      </c>
      <c r="E629" t="inlineStr">
        <is>
          <t>LINKÖPING</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56741-2023</t>
        </is>
      </c>
      <c r="B630" s="1" t="n">
        <v>45244</v>
      </c>
      <c r="C630" s="1" t="n">
        <v>46062</v>
      </c>
      <c r="D630" t="inlineStr">
        <is>
          <t>ÖSTERGÖTLANDS LÄN</t>
        </is>
      </c>
      <c r="E630" t="inlineStr">
        <is>
          <t>LINKÖPING</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53816-2023</t>
        </is>
      </c>
      <c r="B631" s="1" t="n">
        <v>45231.40012731482</v>
      </c>
      <c r="C631" s="1" t="n">
        <v>46062</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63935-2021</t>
        </is>
      </c>
      <c r="B632" s="1" t="n">
        <v>44509</v>
      </c>
      <c r="C632" s="1" t="n">
        <v>46062</v>
      </c>
      <c r="D632" t="inlineStr">
        <is>
          <t>ÖSTERGÖTLANDS LÄN</t>
        </is>
      </c>
      <c r="E632" t="inlineStr">
        <is>
          <t>LINKÖPING</t>
        </is>
      </c>
      <c r="F632" t="inlineStr">
        <is>
          <t>Övriga statliga verk och myndigheter</t>
        </is>
      </c>
      <c r="G632" t="n">
        <v>2.8</v>
      </c>
      <c r="H632" t="n">
        <v>0</v>
      </c>
      <c r="I632" t="n">
        <v>0</v>
      </c>
      <c r="J632" t="n">
        <v>0</v>
      </c>
      <c r="K632" t="n">
        <v>0</v>
      </c>
      <c r="L632" t="n">
        <v>0</v>
      </c>
      <c r="M632" t="n">
        <v>0</v>
      </c>
      <c r="N632" t="n">
        <v>0</v>
      </c>
      <c r="O632" t="n">
        <v>0</v>
      </c>
      <c r="P632" t="n">
        <v>0</v>
      </c>
      <c r="Q632" t="n">
        <v>0</v>
      </c>
      <c r="R632" s="2" t="inlineStr"/>
    </row>
    <row r="633" ht="15" customHeight="1">
      <c r="A633" t="inlineStr">
        <is>
          <t>A 6726-2024</t>
        </is>
      </c>
      <c r="B633" s="1" t="n">
        <v>45341</v>
      </c>
      <c r="C633" s="1" t="n">
        <v>46062</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3007-2023</t>
        </is>
      </c>
      <c r="B634" s="1" t="n">
        <v>44945</v>
      </c>
      <c r="C634" s="1" t="n">
        <v>46062</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18145-2021</t>
        </is>
      </c>
      <c r="B635" s="1" t="n">
        <v>44302</v>
      </c>
      <c r="C635" s="1" t="n">
        <v>46062</v>
      </c>
      <c r="D635" t="inlineStr">
        <is>
          <t>ÖSTERGÖTLANDS LÄN</t>
        </is>
      </c>
      <c r="E635" t="inlineStr">
        <is>
          <t>LINKÖPING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29309-2024</t>
        </is>
      </c>
      <c r="B636" s="1" t="n">
        <v>45483</v>
      </c>
      <c r="C636" s="1" t="n">
        <v>46062</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53411-2023</t>
        </is>
      </c>
      <c r="B637" s="1" t="n">
        <v>45229.81049768518</v>
      </c>
      <c r="C637" s="1" t="n">
        <v>46062</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26788-2022</t>
        </is>
      </c>
      <c r="B638" s="1" t="n">
        <v>44740</v>
      </c>
      <c r="C638" s="1" t="n">
        <v>46062</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24462-2023</t>
        </is>
      </c>
      <c r="B639" s="1" t="n">
        <v>45082</v>
      </c>
      <c r="C639" s="1" t="n">
        <v>46062</v>
      </c>
      <c r="D639" t="inlineStr">
        <is>
          <t>ÖSTERGÖTLANDS LÄN</t>
        </is>
      </c>
      <c r="E639" t="inlineStr">
        <is>
          <t>LINKÖPING</t>
        </is>
      </c>
      <c r="G639" t="n">
        <v>3.5</v>
      </c>
      <c r="H639" t="n">
        <v>0</v>
      </c>
      <c r="I639" t="n">
        <v>0</v>
      </c>
      <c r="J639" t="n">
        <v>0</v>
      </c>
      <c r="K639" t="n">
        <v>0</v>
      </c>
      <c r="L639" t="n">
        <v>0</v>
      </c>
      <c r="M639" t="n">
        <v>0</v>
      </c>
      <c r="N639" t="n">
        <v>0</v>
      </c>
      <c r="O639" t="n">
        <v>0</v>
      </c>
      <c r="P639" t="n">
        <v>0</v>
      </c>
      <c r="Q639" t="n">
        <v>0</v>
      </c>
      <c r="R639" s="2" t="inlineStr"/>
    </row>
    <row r="640" ht="15" customHeight="1">
      <c r="A640" t="inlineStr">
        <is>
          <t>A 62015-2024</t>
        </is>
      </c>
      <c r="B640" s="1" t="n">
        <v>45655.80457175926</v>
      </c>
      <c r="C640" s="1" t="n">
        <v>46062</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10741-2023</t>
        </is>
      </c>
      <c r="B641" s="1" t="n">
        <v>44988.70084490741</v>
      </c>
      <c r="C641" s="1" t="n">
        <v>46062</v>
      </c>
      <c r="D641" t="inlineStr">
        <is>
          <t>ÖSTERGÖTLANDS LÄN</t>
        </is>
      </c>
      <c r="E641" t="inlineStr">
        <is>
          <t>LINKÖPING</t>
        </is>
      </c>
      <c r="F641" t="inlineStr">
        <is>
          <t>Allmännings- och besparingsskogar</t>
        </is>
      </c>
      <c r="G641" t="n">
        <v>11.2</v>
      </c>
      <c r="H641" t="n">
        <v>0</v>
      </c>
      <c r="I641" t="n">
        <v>0</v>
      </c>
      <c r="J641" t="n">
        <v>0</v>
      </c>
      <c r="K641" t="n">
        <v>0</v>
      </c>
      <c r="L641" t="n">
        <v>0</v>
      </c>
      <c r="M641" t="n">
        <v>0</v>
      </c>
      <c r="N641" t="n">
        <v>0</v>
      </c>
      <c r="O641" t="n">
        <v>0</v>
      </c>
      <c r="P641" t="n">
        <v>0</v>
      </c>
      <c r="Q641" t="n">
        <v>0</v>
      </c>
      <c r="R641" s="2" t="inlineStr"/>
    </row>
    <row r="642" ht="15" customHeight="1">
      <c r="A642" t="inlineStr">
        <is>
          <t>A 43473-2024</t>
        </is>
      </c>
      <c r="B642" s="1" t="n">
        <v>45568</v>
      </c>
      <c r="C642" s="1" t="n">
        <v>46062</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43475-2024</t>
        </is>
      </c>
      <c r="B643" s="1" t="n">
        <v>45568</v>
      </c>
      <c r="C643" s="1" t="n">
        <v>46062</v>
      </c>
      <c r="D643" t="inlineStr">
        <is>
          <t>ÖSTERGÖTLANDS LÄN</t>
        </is>
      </c>
      <c r="E643" t="inlineStr">
        <is>
          <t>LINKÖPING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1207-2023</t>
        </is>
      </c>
      <c r="B644" s="1" t="n">
        <v>44930</v>
      </c>
      <c r="C644" s="1" t="n">
        <v>46062</v>
      </c>
      <c r="D644" t="inlineStr">
        <is>
          <t>ÖSTERGÖTLANDS LÄN</t>
        </is>
      </c>
      <c r="E644" t="inlineStr">
        <is>
          <t>LINKÖPING</t>
        </is>
      </c>
      <c r="F644" t="inlineStr">
        <is>
          <t>Övriga statliga verk och myndigheter</t>
        </is>
      </c>
      <c r="G644" t="n">
        <v>32.8</v>
      </c>
      <c r="H644" t="n">
        <v>0</v>
      </c>
      <c r="I644" t="n">
        <v>0</v>
      </c>
      <c r="J644" t="n">
        <v>0</v>
      </c>
      <c r="K644" t="n">
        <v>0</v>
      </c>
      <c r="L644" t="n">
        <v>0</v>
      </c>
      <c r="M644" t="n">
        <v>0</v>
      </c>
      <c r="N644" t="n">
        <v>0</v>
      </c>
      <c r="O644" t="n">
        <v>0</v>
      </c>
      <c r="P644" t="n">
        <v>0</v>
      </c>
      <c r="Q644" t="n">
        <v>0</v>
      </c>
      <c r="R644" s="2" t="inlineStr"/>
    </row>
    <row r="645" ht="15" customHeight="1">
      <c r="A645" t="inlineStr">
        <is>
          <t>A 29859-2024</t>
        </is>
      </c>
      <c r="B645" s="1" t="n">
        <v>45485.6846412037</v>
      </c>
      <c r="C645" s="1" t="n">
        <v>46062</v>
      </c>
      <c r="D645" t="inlineStr">
        <is>
          <t>ÖSTERGÖTLANDS LÄN</t>
        </is>
      </c>
      <c r="E645" t="inlineStr">
        <is>
          <t>LINKÖPING</t>
        </is>
      </c>
      <c r="G645" t="n">
        <v>0.4</v>
      </c>
      <c r="H645" t="n">
        <v>0</v>
      </c>
      <c r="I645" t="n">
        <v>0</v>
      </c>
      <c r="J645" t="n">
        <v>0</v>
      </c>
      <c r="K645" t="n">
        <v>0</v>
      </c>
      <c r="L645" t="n">
        <v>0</v>
      </c>
      <c r="M645" t="n">
        <v>0</v>
      </c>
      <c r="N645" t="n">
        <v>0</v>
      </c>
      <c r="O645" t="n">
        <v>0</v>
      </c>
      <c r="P645" t="n">
        <v>0</v>
      </c>
      <c r="Q645" t="n">
        <v>0</v>
      </c>
      <c r="R645" s="2" t="inlineStr"/>
    </row>
    <row r="646" ht="15" customHeight="1">
      <c r="A646" t="inlineStr">
        <is>
          <t>A 45819-2024</t>
        </is>
      </c>
      <c r="B646" s="1" t="n">
        <v>45579.7454050926</v>
      </c>
      <c r="C646" s="1" t="n">
        <v>46062</v>
      </c>
      <c r="D646" t="inlineStr">
        <is>
          <t>ÖSTERGÖTLANDS LÄN</t>
        </is>
      </c>
      <c r="E646" t="inlineStr">
        <is>
          <t>LINKÖPING</t>
        </is>
      </c>
      <c r="G646" t="n">
        <v>5</v>
      </c>
      <c r="H646" t="n">
        <v>0</v>
      </c>
      <c r="I646" t="n">
        <v>0</v>
      </c>
      <c r="J646" t="n">
        <v>0</v>
      </c>
      <c r="K646" t="n">
        <v>0</v>
      </c>
      <c r="L646" t="n">
        <v>0</v>
      </c>
      <c r="M646" t="n">
        <v>0</v>
      </c>
      <c r="N646" t="n">
        <v>0</v>
      </c>
      <c r="O646" t="n">
        <v>0</v>
      </c>
      <c r="P646" t="n">
        <v>0</v>
      </c>
      <c r="Q646" t="n">
        <v>0</v>
      </c>
      <c r="R646" s="2" t="inlineStr"/>
    </row>
    <row r="647" ht="15" customHeight="1">
      <c r="A647" t="inlineStr">
        <is>
          <t>A 15748-2025</t>
        </is>
      </c>
      <c r="B647" s="1" t="n">
        <v>45748.55282407408</v>
      </c>
      <c r="C647" s="1" t="n">
        <v>46062</v>
      </c>
      <c r="D647" t="inlineStr">
        <is>
          <t>ÖSTERGÖTLANDS LÄN</t>
        </is>
      </c>
      <c r="E647" t="inlineStr">
        <is>
          <t>LINKÖPING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15754-2025</t>
        </is>
      </c>
      <c r="B648" s="1" t="n">
        <v>45748.56105324074</v>
      </c>
      <c r="C648" s="1" t="n">
        <v>46062</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46062</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53797-2023</t>
        </is>
      </c>
      <c r="B650" s="1" t="n">
        <v>45230</v>
      </c>
      <c r="C650" s="1" t="n">
        <v>46062</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55345-2021</t>
        </is>
      </c>
      <c r="B651" s="1" t="n">
        <v>44475</v>
      </c>
      <c r="C651" s="1" t="n">
        <v>46062</v>
      </c>
      <c r="D651" t="inlineStr">
        <is>
          <t>ÖSTERGÖTLANDS LÄN</t>
        </is>
      </c>
      <c r="E651" t="inlineStr">
        <is>
          <t>LINKÖPING</t>
        </is>
      </c>
      <c r="G651" t="n">
        <v>5.7</v>
      </c>
      <c r="H651" t="n">
        <v>0</v>
      </c>
      <c r="I651" t="n">
        <v>0</v>
      </c>
      <c r="J651" t="n">
        <v>0</v>
      </c>
      <c r="K651" t="n">
        <v>0</v>
      </c>
      <c r="L651" t="n">
        <v>0</v>
      </c>
      <c r="M651" t="n">
        <v>0</v>
      </c>
      <c r="N651" t="n">
        <v>0</v>
      </c>
      <c r="O651" t="n">
        <v>0</v>
      </c>
      <c r="P651" t="n">
        <v>0</v>
      </c>
      <c r="Q651" t="n">
        <v>0</v>
      </c>
      <c r="R651" s="2" t="inlineStr"/>
    </row>
    <row r="652" ht="15" customHeight="1">
      <c r="A652" t="inlineStr">
        <is>
          <t>A 10198-2023</t>
        </is>
      </c>
      <c r="B652" s="1" t="n">
        <v>44986.54665509259</v>
      </c>
      <c r="C652" s="1" t="n">
        <v>46062</v>
      </c>
      <c r="D652" t="inlineStr">
        <is>
          <t>ÖSTERGÖTLANDS LÄN</t>
        </is>
      </c>
      <c r="E652" t="inlineStr">
        <is>
          <t>LINKÖPING</t>
        </is>
      </c>
      <c r="G652" t="n">
        <v>4.6</v>
      </c>
      <c r="H652" t="n">
        <v>0</v>
      </c>
      <c r="I652" t="n">
        <v>0</v>
      </c>
      <c r="J652" t="n">
        <v>0</v>
      </c>
      <c r="K652" t="n">
        <v>0</v>
      </c>
      <c r="L652" t="n">
        <v>0</v>
      </c>
      <c r="M652" t="n">
        <v>0</v>
      </c>
      <c r="N652" t="n">
        <v>0</v>
      </c>
      <c r="O652" t="n">
        <v>0</v>
      </c>
      <c r="P652" t="n">
        <v>0</v>
      </c>
      <c r="Q652" t="n">
        <v>0</v>
      </c>
      <c r="R652" s="2" t="inlineStr"/>
    </row>
    <row r="653" ht="15" customHeight="1">
      <c r="A653" t="inlineStr">
        <is>
          <t>A 4298-2023</t>
        </is>
      </c>
      <c r="B653" s="1" t="n">
        <v>44953</v>
      </c>
      <c r="C653" s="1" t="n">
        <v>46062</v>
      </c>
      <c r="D653" t="inlineStr">
        <is>
          <t>ÖSTERGÖTLANDS LÄN</t>
        </is>
      </c>
      <c r="E653" t="inlineStr">
        <is>
          <t>LINKÖPING</t>
        </is>
      </c>
      <c r="G653" t="n">
        <v>2.8</v>
      </c>
      <c r="H653" t="n">
        <v>0</v>
      </c>
      <c r="I653" t="n">
        <v>0</v>
      </c>
      <c r="J653" t="n">
        <v>0</v>
      </c>
      <c r="K653" t="n">
        <v>0</v>
      </c>
      <c r="L653" t="n">
        <v>0</v>
      </c>
      <c r="M653" t="n">
        <v>0</v>
      </c>
      <c r="N653" t="n">
        <v>0</v>
      </c>
      <c r="O653" t="n">
        <v>0</v>
      </c>
      <c r="P653" t="n">
        <v>0</v>
      </c>
      <c r="Q653" t="n">
        <v>0</v>
      </c>
      <c r="R653" s="2" t="inlineStr"/>
    </row>
    <row r="654" ht="15" customHeight="1">
      <c r="A654" t="inlineStr">
        <is>
          <t>A 12428-2024</t>
        </is>
      </c>
      <c r="B654" s="1" t="n">
        <v>45379</v>
      </c>
      <c r="C654" s="1" t="n">
        <v>46062</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26618-2023</t>
        </is>
      </c>
      <c r="B655" s="1" t="n">
        <v>45092.70306712963</v>
      </c>
      <c r="C655" s="1" t="n">
        <v>46062</v>
      </c>
      <c r="D655" t="inlineStr">
        <is>
          <t>ÖSTERGÖTLANDS LÄN</t>
        </is>
      </c>
      <c r="E655" t="inlineStr">
        <is>
          <t>LINKÖPING</t>
        </is>
      </c>
      <c r="G655" t="n">
        <v>6.9</v>
      </c>
      <c r="H655" t="n">
        <v>0</v>
      </c>
      <c r="I655" t="n">
        <v>0</v>
      </c>
      <c r="J655" t="n">
        <v>0</v>
      </c>
      <c r="K655" t="n">
        <v>0</v>
      </c>
      <c r="L655" t="n">
        <v>0</v>
      </c>
      <c r="M655" t="n">
        <v>0</v>
      </c>
      <c r="N655" t="n">
        <v>0</v>
      </c>
      <c r="O655" t="n">
        <v>0</v>
      </c>
      <c r="P655" t="n">
        <v>0</v>
      </c>
      <c r="Q655" t="n">
        <v>0</v>
      </c>
      <c r="R655" s="2" t="inlineStr"/>
    </row>
    <row r="656" ht="15" customHeight="1">
      <c r="A656" t="inlineStr">
        <is>
          <t>A 34930-2023</t>
        </is>
      </c>
      <c r="B656" s="1" t="n">
        <v>45142</v>
      </c>
      <c r="C656" s="1" t="n">
        <v>46062</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670-2024</t>
        </is>
      </c>
      <c r="B657" s="1" t="n">
        <v>45300.3408912037</v>
      </c>
      <c r="C657" s="1" t="n">
        <v>46062</v>
      </c>
      <c r="D657" t="inlineStr">
        <is>
          <t>ÖSTERGÖTLANDS LÄN</t>
        </is>
      </c>
      <c r="E657" t="inlineStr">
        <is>
          <t>LINKÖPING</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63845-2021</t>
        </is>
      </c>
      <c r="B658" s="1" t="n">
        <v>44509</v>
      </c>
      <c r="C658" s="1" t="n">
        <v>46062</v>
      </c>
      <c r="D658" t="inlineStr">
        <is>
          <t>ÖSTERGÖTLANDS LÄN</t>
        </is>
      </c>
      <c r="E658" t="inlineStr">
        <is>
          <t>LINKÖPING</t>
        </is>
      </c>
      <c r="G658" t="n">
        <v>5</v>
      </c>
      <c r="H658" t="n">
        <v>0</v>
      </c>
      <c r="I658" t="n">
        <v>0</v>
      </c>
      <c r="J658" t="n">
        <v>0</v>
      </c>
      <c r="K658" t="n">
        <v>0</v>
      </c>
      <c r="L658" t="n">
        <v>0</v>
      </c>
      <c r="M658" t="n">
        <v>0</v>
      </c>
      <c r="N658" t="n">
        <v>0</v>
      </c>
      <c r="O658" t="n">
        <v>0</v>
      </c>
      <c r="P658" t="n">
        <v>0</v>
      </c>
      <c r="Q658" t="n">
        <v>0</v>
      </c>
      <c r="R658" s="2" t="inlineStr"/>
    </row>
    <row r="659" ht="15" customHeight="1">
      <c r="A659" t="inlineStr">
        <is>
          <t>A 54034-2022</t>
        </is>
      </c>
      <c r="B659" s="1" t="n">
        <v>44881</v>
      </c>
      <c r="C659" s="1" t="n">
        <v>46062</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36336-2023</t>
        </is>
      </c>
      <c r="B660" s="1" t="n">
        <v>45152.45078703704</v>
      </c>
      <c r="C660" s="1" t="n">
        <v>46062</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48829-2023</t>
        </is>
      </c>
      <c r="B661" s="1" t="n">
        <v>45209.38177083333</v>
      </c>
      <c r="C661" s="1" t="n">
        <v>46062</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48186-2022</t>
        </is>
      </c>
      <c r="B662" s="1" t="n">
        <v>44858</v>
      </c>
      <c r="C662" s="1" t="n">
        <v>46062</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63669-2023</t>
        </is>
      </c>
      <c r="B663" s="1" t="n">
        <v>45275</v>
      </c>
      <c r="C663" s="1" t="n">
        <v>46062</v>
      </c>
      <c r="D663" t="inlineStr">
        <is>
          <t>ÖSTERGÖTLANDS LÄN</t>
        </is>
      </c>
      <c r="E663" t="inlineStr">
        <is>
          <t>LINKÖPING</t>
        </is>
      </c>
      <c r="F663" t="inlineStr">
        <is>
          <t>Övriga Aktiebolag</t>
        </is>
      </c>
      <c r="G663" t="n">
        <v>3</v>
      </c>
      <c r="H663" t="n">
        <v>0</v>
      </c>
      <c r="I663" t="n">
        <v>0</v>
      </c>
      <c r="J663" t="n">
        <v>0</v>
      </c>
      <c r="K663" t="n">
        <v>0</v>
      </c>
      <c r="L663" t="n">
        <v>0</v>
      </c>
      <c r="M663" t="n">
        <v>0</v>
      </c>
      <c r="N663" t="n">
        <v>0</v>
      </c>
      <c r="O663" t="n">
        <v>0</v>
      </c>
      <c r="P663" t="n">
        <v>0</v>
      </c>
      <c r="Q663" t="n">
        <v>0</v>
      </c>
      <c r="R663" s="2" t="inlineStr"/>
    </row>
    <row r="664" ht="15" customHeight="1">
      <c r="A664" t="inlineStr">
        <is>
          <t>A 24586-2024</t>
        </is>
      </c>
      <c r="B664" s="1" t="n">
        <v>45460.46664351852</v>
      </c>
      <c r="C664" s="1" t="n">
        <v>46062</v>
      </c>
      <c r="D664" t="inlineStr">
        <is>
          <t>ÖSTERGÖTLANDS LÄN</t>
        </is>
      </c>
      <c r="E664" t="inlineStr">
        <is>
          <t>LINKÖPING</t>
        </is>
      </c>
      <c r="G664" t="n">
        <v>4</v>
      </c>
      <c r="H664" t="n">
        <v>0</v>
      </c>
      <c r="I664" t="n">
        <v>0</v>
      </c>
      <c r="J664" t="n">
        <v>0</v>
      </c>
      <c r="K664" t="n">
        <v>0</v>
      </c>
      <c r="L664" t="n">
        <v>0</v>
      </c>
      <c r="M664" t="n">
        <v>0</v>
      </c>
      <c r="N664" t="n">
        <v>0</v>
      </c>
      <c r="O664" t="n">
        <v>0</v>
      </c>
      <c r="P664" t="n">
        <v>0</v>
      </c>
      <c r="Q664" t="n">
        <v>0</v>
      </c>
      <c r="R664" s="2" t="inlineStr"/>
    </row>
    <row r="665" ht="15" customHeight="1">
      <c r="A665" t="inlineStr">
        <is>
          <t>A 59576-2024</t>
        </is>
      </c>
      <c r="B665" s="1" t="n">
        <v>45638.66378472222</v>
      </c>
      <c r="C665" s="1" t="n">
        <v>46062</v>
      </c>
      <c r="D665" t="inlineStr">
        <is>
          <t>ÖSTERGÖTLANDS LÄN</t>
        </is>
      </c>
      <c r="E665" t="inlineStr">
        <is>
          <t>LINKÖPING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59642-2024</t>
        </is>
      </c>
      <c r="B666" s="1" t="n">
        <v>45639.31511574074</v>
      </c>
      <c r="C666" s="1" t="n">
        <v>46062</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59674-2024</t>
        </is>
      </c>
      <c r="B667" s="1" t="n">
        <v>45639</v>
      </c>
      <c r="C667" s="1" t="n">
        <v>46062</v>
      </c>
      <c r="D667" t="inlineStr">
        <is>
          <t>ÖSTERGÖTLANDS LÄN</t>
        </is>
      </c>
      <c r="E667" t="inlineStr">
        <is>
          <t>LINKÖPING</t>
        </is>
      </c>
      <c r="G667" t="n">
        <v>6.3</v>
      </c>
      <c r="H667" t="n">
        <v>0</v>
      </c>
      <c r="I667" t="n">
        <v>0</v>
      </c>
      <c r="J667" t="n">
        <v>0</v>
      </c>
      <c r="K667" t="n">
        <v>0</v>
      </c>
      <c r="L667" t="n">
        <v>0</v>
      </c>
      <c r="M667" t="n">
        <v>0</v>
      </c>
      <c r="N667" t="n">
        <v>0</v>
      </c>
      <c r="O667" t="n">
        <v>0</v>
      </c>
      <c r="P667" t="n">
        <v>0</v>
      </c>
      <c r="Q667" t="n">
        <v>0</v>
      </c>
      <c r="R667" s="2" t="inlineStr"/>
    </row>
    <row r="668" ht="15" customHeight="1">
      <c r="A668" t="inlineStr">
        <is>
          <t>A 18916-2024</t>
        </is>
      </c>
      <c r="B668" s="1" t="n">
        <v>45427.39541666667</v>
      </c>
      <c r="C668" s="1" t="n">
        <v>46062</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11084-2022</t>
        </is>
      </c>
      <c r="B669" s="1" t="n">
        <v>44628</v>
      </c>
      <c r="C669" s="1" t="n">
        <v>46062</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10203-2023</t>
        </is>
      </c>
      <c r="B670" s="1" t="n">
        <v>44986.55711805556</v>
      </c>
      <c r="C670" s="1" t="n">
        <v>46062</v>
      </c>
      <c r="D670" t="inlineStr">
        <is>
          <t>ÖSTERGÖTLANDS LÄN</t>
        </is>
      </c>
      <c r="E670" t="inlineStr">
        <is>
          <t>LINKÖPING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2618-2023</t>
        </is>
      </c>
      <c r="B671" s="1" t="n">
        <v>44944.35847222222</v>
      </c>
      <c r="C671" s="1" t="n">
        <v>46062</v>
      </c>
      <c r="D671" t="inlineStr">
        <is>
          <t>ÖSTERGÖTLANDS LÄN</t>
        </is>
      </c>
      <c r="E671" t="inlineStr">
        <is>
          <t>LINKÖPING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62020-2024</t>
        </is>
      </c>
      <c r="B672" s="1" t="n">
        <v>45655.83563657408</v>
      </c>
      <c r="C672" s="1" t="n">
        <v>46062</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62021-2024</t>
        </is>
      </c>
      <c r="B673" s="1" t="n">
        <v>45655.84232638889</v>
      </c>
      <c r="C673" s="1" t="n">
        <v>46062</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1362-2023</t>
        </is>
      </c>
      <c r="B674" s="1" t="n">
        <v>44931</v>
      </c>
      <c r="C674" s="1" t="n">
        <v>46062</v>
      </c>
      <c r="D674" t="inlineStr">
        <is>
          <t>ÖSTERGÖTLANDS LÄN</t>
        </is>
      </c>
      <c r="E674" t="inlineStr">
        <is>
          <t>LINKÖPING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49928-2024</t>
        </is>
      </c>
      <c r="B675" s="1" t="n">
        <v>45597.57811342592</v>
      </c>
      <c r="C675" s="1" t="n">
        <v>46062</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3627-2023</t>
        </is>
      </c>
      <c r="B676" s="1" t="n">
        <v>44950.64782407408</v>
      </c>
      <c r="C676" s="1" t="n">
        <v>46062</v>
      </c>
      <c r="D676" t="inlineStr">
        <is>
          <t>ÖSTERGÖTLANDS LÄN</t>
        </is>
      </c>
      <c r="E676" t="inlineStr">
        <is>
          <t>LINKÖPING</t>
        </is>
      </c>
      <c r="G676" t="n">
        <v>3.1</v>
      </c>
      <c r="H676" t="n">
        <v>0</v>
      </c>
      <c r="I676" t="n">
        <v>0</v>
      </c>
      <c r="J676" t="n">
        <v>0</v>
      </c>
      <c r="K676" t="n">
        <v>0</v>
      </c>
      <c r="L676" t="n">
        <v>0</v>
      </c>
      <c r="M676" t="n">
        <v>0</v>
      </c>
      <c r="N676" t="n">
        <v>0</v>
      </c>
      <c r="O676" t="n">
        <v>0</v>
      </c>
      <c r="P676" t="n">
        <v>0</v>
      </c>
      <c r="Q676" t="n">
        <v>0</v>
      </c>
      <c r="R676" s="2" t="inlineStr"/>
    </row>
    <row r="677" ht="15" customHeight="1">
      <c r="A677" t="inlineStr">
        <is>
          <t>A 51405-2023</t>
        </is>
      </c>
      <c r="B677" s="1" t="n">
        <v>45219</v>
      </c>
      <c r="C677" s="1" t="n">
        <v>46062</v>
      </c>
      <c r="D677" t="inlineStr">
        <is>
          <t>ÖSTERGÖTLANDS LÄN</t>
        </is>
      </c>
      <c r="E677" t="inlineStr">
        <is>
          <t>LINKÖPING</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11601-2023</t>
        </is>
      </c>
      <c r="B678" s="1" t="n">
        <v>44994</v>
      </c>
      <c r="C678" s="1" t="n">
        <v>46062</v>
      </c>
      <c r="D678" t="inlineStr">
        <is>
          <t>ÖSTERGÖTLANDS LÄN</t>
        </is>
      </c>
      <c r="E678" t="inlineStr">
        <is>
          <t>LINKÖPING</t>
        </is>
      </c>
      <c r="G678" t="n">
        <v>1.7</v>
      </c>
      <c r="H678" t="n">
        <v>0</v>
      </c>
      <c r="I678" t="n">
        <v>0</v>
      </c>
      <c r="J678" t="n">
        <v>0</v>
      </c>
      <c r="K678" t="n">
        <v>0</v>
      </c>
      <c r="L678" t="n">
        <v>0</v>
      </c>
      <c r="M678" t="n">
        <v>0</v>
      </c>
      <c r="N678" t="n">
        <v>0</v>
      </c>
      <c r="O678" t="n">
        <v>0</v>
      </c>
      <c r="P678" t="n">
        <v>0</v>
      </c>
      <c r="Q678" t="n">
        <v>0</v>
      </c>
      <c r="R678" s="2" t="inlineStr"/>
    </row>
    <row r="679" ht="15" customHeight="1">
      <c r="A679" t="inlineStr">
        <is>
          <t>A 40338-2024</t>
        </is>
      </c>
      <c r="B679" s="1" t="n">
        <v>45555.32940972222</v>
      </c>
      <c r="C679" s="1" t="n">
        <v>46062</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167-2024</t>
        </is>
      </c>
      <c r="B680" s="1" t="n">
        <v>45294</v>
      </c>
      <c r="C680" s="1" t="n">
        <v>46062</v>
      </c>
      <c r="D680" t="inlineStr">
        <is>
          <t>ÖSTERGÖTLANDS LÄN</t>
        </is>
      </c>
      <c r="E680" t="inlineStr">
        <is>
          <t>LINKÖPING</t>
        </is>
      </c>
      <c r="F680" t="inlineStr">
        <is>
          <t>Allmännings- och besparingsskogar</t>
        </is>
      </c>
      <c r="G680" t="n">
        <v>11.6</v>
      </c>
      <c r="H680" t="n">
        <v>0</v>
      </c>
      <c r="I680" t="n">
        <v>0</v>
      </c>
      <c r="J680" t="n">
        <v>0</v>
      </c>
      <c r="K680" t="n">
        <v>0</v>
      </c>
      <c r="L680" t="n">
        <v>0</v>
      </c>
      <c r="M680" t="n">
        <v>0</v>
      </c>
      <c r="N680" t="n">
        <v>0</v>
      </c>
      <c r="O680" t="n">
        <v>0</v>
      </c>
      <c r="P680" t="n">
        <v>0</v>
      </c>
      <c r="Q680" t="n">
        <v>0</v>
      </c>
      <c r="R680" s="2" t="inlineStr"/>
    </row>
    <row r="681" ht="15" customHeight="1">
      <c r="A681" t="inlineStr">
        <is>
          <t>A 27186-2021</t>
        </is>
      </c>
      <c r="B681" s="1" t="n">
        <v>44350.67715277777</v>
      </c>
      <c r="C681" s="1" t="n">
        <v>46062</v>
      </c>
      <c r="D681" t="inlineStr">
        <is>
          <t>ÖSTERGÖTLANDS LÄN</t>
        </is>
      </c>
      <c r="E681" t="inlineStr">
        <is>
          <t>LINKÖPING</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7343-2025</t>
        </is>
      </c>
      <c r="B682" s="1" t="n">
        <v>45703.67853009259</v>
      </c>
      <c r="C682" s="1" t="n">
        <v>46062</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48271-2023</t>
        </is>
      </c>
      <c r="B683" s="1" t="n">
        <v>45205</v>
      </c>
      <c r="C683" s="1" t="n">
        <v>46062</v>
      </c>
      <c r="D683" t="inlineStr">
        <is>
          <t>ÖSTERGÖTLANDS LÄN</t>
        </is>
      </c>
      <c r="E683" t="inlineStr">
        <is>
          <t>LINKÖPING</t>
        </is>
      </c>
      <c r="G683" t="n">
        <v>3</v>
      </c>
      <c r="H683" t="n">
        <v>0</v>
      </c>
      <c r="I683" t="n">
        <v>0</v>
      </c>
      <c r="J683" t="n">
        <v>0</v>
      </c>
      <c r="K683" t="n">
        <v>0</v>
      </c>
      <c r="L683" t="n">
        <v>0</v>
      </c>
      <c r="M683" t="n">
        <v>0</v>
      </c>
      <c r="N683" t="n">
        <v>0</v>
      </c>
      <c r="O683" t="n">
        <v>0</v>
      </c>
      <c r="P683" t="n">
        <v>0</v>
      </c>
      <c r="Q683" t="n">
        <v>0</v>
      </c>
      <c r="R683" s="2" t="inlineStr"/>
    </row>
    <row r="684" ht="15" customHeight="1">
      <c r="A684" t="inlineStr">
        <is>
          <t>A 12720-2022</t>
        </is>
      </c>
      <c r="B684" s="1" t="n">
        <v>44641</v>
      </c>
      <c r="C684" s="1" t="n">
        <v>46062</v>
      </c>
      <c r="D684" t="inlineStr">
        <is>
          <t>ÖSTERGÖTLANDS LÄN</t>
        </is>
      </c>
      <c r="E684" t="inlineStr">
        <is>
          <t>LINKÖPING</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62018-2024</t>
        </is>
      </c>
      <c r="B685" s="1" t="n">
        <v>45655.81387731482</v>
      </c>
      <c r="C685" s="1" t="n">
        <v>46062</v>
      </c>
      <c r="D685" t="inlineStr">
        <is>
          <t>ÖSTERGÖTLANDS LÄN</t>
        </is>
      </c>
      <c r="E685" t="inlineStr">
        <is>
          <t>LINKÖPING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30551-2023</t>
        </is>
      </c>
      <c r="B686" s="1" t="n">
        <v>45111</v>
      </c>
      <c r="C686" s="1" t="n">
        <v>46062</v>
      </c>
      <c r="D686" t="inlineStr">
        <is>
          <t>ÖSTERGÖTLANDS LÄN</t>
        </is>
      </c>
      <c r="E686" t="inlineStr">
        <is>
          <t>LINKÖPING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30860-2022</t>
        </is>
      </c>
      <c r="B687" s="1" t="n">
        <v>44767</v>
      </c>
      <c r="C687" s="1" t="n">
        <v>46062</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60004-2022</t>
        </is>
      </c>
      <c r="B688" s="1" t="n">
        <v>44909.47206018519</v>
      </c>
      <c r="C688" s="1" t="n">
        <v>46062</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60010-2022</t>
        </is>
      </c>
      <c r="B689" s="1" t="n">
        <v>44909.4740625</v>
      </c>
      <c r="C689" s="1" t="n">
        <v>46062</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53827-2023</t>
        </is>
      </c>
      <c r="B690" s="1" t="n">
        <v>45230</v>
      </c>
      <c r="C690" s="1" t="n">
        <v>46062</v>
      </c>
      <c r="D690" t="inlineStr">
        <is>
          <t>ÖSTERGÖTLANDS LÄN</t>
        </is>
      </c>
      <c r="E690" t="inlineStr">
        <is>
          <t>LINKÖPING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4256-2022</t>
        </is>
      </c>
      <c r="B691" s="1" t="n">
        <v>44588</v>
      </c>
      <c r="C691" s="1" t="n">
        <v>46062</v>
      </c>
      <c r="D691" t="inlineStr">
        <is>
          <t>ÖSTERGÖTLANDS LÄN</t>
        </is>
      </c>
      <c r="E691" t="inlineStr">
        <is>
          <t>LINKÖPING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46062</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223-2024</t>
        </is>
      </c>
      <c r="B693" s="1" t="n">
        <v>45294.72739583333</v>
      </c>
      <c r="C693" s="1" t="n">
        <v>46062</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19464-2024</t>
        </is>
      </c>
      <c r="B694" s="1" t="n">
        <v>45429</v>
      </c>
      <c r="C694" s="1" t="n">
        <v>46062</v>
      </c>
      <c r="D694" t="inlineStr">
        <is>
          <t>ÖSTERGÖTLANDS LÄN</t>
        </is>
      </c>
      <c r="E694" t="inlineStr">
        <is>
          <t>LINKÖPING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630-2024</t>
        </is>
      </c>
      <c r="B695" s="1" t="n">
        <v>45299.67736111111</v>
      </c>
      <c r="C695" s="1" t="n">
        <v>46062</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30433-2024</t>
        </is>
      </c>
      <c r="B696" s="1" t="n">
        <v>45491.69741898148</v>
      </c>
      <c r="C696" s="1" t="n">
        <v>46062</v>
      </c>
      <c r="D696" t="inlineStr">
        <is>
          <t>ÖSTERGÖTLANDS LÄN</t>
        </is>
      </c>
      <c r="E696" t="inlineStr">
        <is>
          <t>LINKÖPING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63528-2023</t>
        </is>
      </c>
      <c r="B697" s="1" t="n">
        <v>45274.94810185185</v>
      </c>
      <c r="C697" s="1" t="n">
        <v>46062</v>
      </c>
      <c r="D697" t="inlineStr">
        <is>
          <t>ÖSTERGÖTLANDS LÄN</t>
        </is>
      </c>
      <c r="E697" t="inlineStr">
        <is>
          <t>LINKÖPING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61936-2023</t>
        </is>
      </c>
      <c r="B698" s="1" t="n">
        <v>45266.54534722222</v>
      </c>
      <c r="C698" s="1" t="n">
        <v>46062</v>
      </c>
      <c r="D698" t="inlineStr">
        <is>
          <t>ÖSTERGÖTLANDS LÄN</t>
        </is>
      </c>
      <c r="E698" t="inlineStr">
        <is>
          <t>LINKÖPING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62492-2023</t>
        </is>
      </c>
      <c r="B699" s="1" t="n">
        <v>45268.58987268519</v>
      </c>
      <c r="C699" s="1" t="n">
        <v>46062</v>
      </c>
      <c r="D699" t="inlineStr">
        <is>
          <t>ÖSTERGÖTLANDS LÄN</t>
        </is>
      </c>
      <c r="E699" t="inlineStr">
        <is>
          <t>LINKÖPING</t>
        </is>
      </c>
      <c r="G699" t="n">
        <v>1.8</v>
      </c>
      <c r="H699" t="n">
        <v>0</v>
      </c>
      <c r="I699" t="n">
        <v>0</v>
      </c>
      <c r="J699" t="n">
        <v>0</v>
      </c>
      <c r="K699" t="n">
        <v>0</v>
      </c>
      <c r="L699" t="n">
        <v>0</v>
      </c>
      <c r="M699" t="n">
        <v>0</v>
      </c>
      <c r="N699" t="n">
        <v>0</v>
      </c>
      <c r="O699" t="n">
        <v>0</v>
      </c>
      <c r="P699" t="n">
        <v>0</v>
      </c>
      <c r="Q699" t="n">
        <v>0</v>
      </c>
      <c r="R699" s="2" t="inlineStr"/>
    </row>
    <row r="700" ht="15" customHeight="1">
      <c r="A700" t="inlineStr">
        <is>
          <t>A 674-2024</t>
        </is>
      </c>
      <c r="B700" s="1" t="n">
        <v>45300.34408564815</v>
      </c>
      <c r="C700" s="1" t="n">
        <v>46062</v>
      </c>
      <c r="D700" t="inlineStr">
        <is>
          <t>ÖSTERGÖTLANDS LÄN</t>
        </is>
      </c>
      <c r="E700" t="inlineStr">
        <is>
          <t>LINKÖPING</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6782-2024</t>
        </is>
      </c>
      <c r="B701" s="1" t="n">
        <v>45342</v>
      </c>
      <c r="C701" s="1" t="n">
        <v>46062</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10094-2024</t>
        </is>
      </c>
      <c r="B702" s="1" t="n">
        <v>45364</v>
      </c>
      <c r="C702" s="1" t="n">
        <v>46062</v>
      </c>
      <c r="D702" t="inlineStr">
        <is>
          <t>ÖSTERGÖTLANDS LÄN</t>
        </is>
      </c>
      <c r="E702" t="inlineStr">
        <is>
          <t>LINKÖPING</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63684-2023</t>
        </is>
      </c>
      <c r="B703" s="1" t="n">
        <v>45275</v>
      </c>
      <c r="C703" s="1" t="n">
        <v>46062</v>
      </c>
      <c r="D703" t="inlineStr">
        <is>
          <t>ÖSTERGÖTLANDS LÄN</t>
        </is>
      </c>
      <c r="E703" t="inlineStr">
        <is>
          <t>LINKÖPING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63688-2023</t>
        </is>
      </c>
      <c r="B704" s="1" t="n">
        <v>45275</v>
      </c>
      <c r="C704" s="1" t="n">
        <v>46062</v>
      </c>
      <c r="D704" t="inlineStr">
        <is>
          <t>ÖSTERGÖTLANDS LÄN</t>
        </is>
      </c>
      <c r="E704" t="inlineStr">
        <is>
          <t>LINKÖPING</t>
        </is>
      </c>
      <c r="F704" t="inlineStr">
        <is>
          <t>Övriga Aktiebolag</t>
        </is>
      </c>
      <c r="G704" t="n">
        <v>2.4</v>
      </c>
      <c r="H704" t="n">
        <v>0</v>
      </c>
      <c r="I704" t="n">
        <v>0</v>
      </c>
      <c r="J704" t="n">
        <v>0</v>
      </c>
      <c r="K704" t="n">
        <v>0</v>
      </c>
      <c r="L704" t="n">
        <v>0</v>
      </c>
      <c r="M704" t="n">
        <v>0</v>
      </c>
      <c r="N704" t="n">
        <v>0</v>
      </c>
      <c r="O704" t="n">
        <v>0</v>
      </c>
      <c r="P704" t="n">
        <v>0</v>
      </c>
      <c r="Q704" t="n">
        <v>0</v>
      </c>
      <c r="R704" s="2" t="inlineStr"/>
    </row>
    <row r="705" ht="15" customHeight="1">
      <c r="A705" t="inlineStr">
        <is>
          <t>A 63691-2023</t>
        </is>
      </c>
      <c r="B705" s="1" t="n">
        <v>45275</v>
      </c>
      <c r="C705" s="1" t="n">
        <v>46062</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36657-2023</t>
        </is>
      </c>
      <c r="B706" s="1" t="n">
        <v>45153.5702662037</v>
      </c>
      <c r="C706" s="1" t="n">
        <v>46062</v>
      </c>
      <c r="D706" t="inlineStr">
        <is>
          <t>ÖSTERGÖTLANDS LÄN</t>
        </is>
      </c>
      <c r="E706" t="inlineStr">
        <is>
          <t>LINKÖPING</t>
        </is>
      </c>
      <c r="F706" t="inlineStr">
        <is>
          <t>Allmännings- och besparingsskogar</t>
        </is>
      </c>
      <c r="G706" t="n">
        <v>2</v>
      </c>
      <c r="H706" t="n">
        <v>0</v>
      </c>
      <c r="I706" t="n">
        <v>0</v>
      </c>
      <c r="J706" t="n">
        <v>0</v>
      </c>
      <c r="K706" t="n">
        <v>0</v>
      </c>
      <c r="L706" t="n">
        <v>0</v>
      </c>
      <c r="M706" t="n">
        <v>0</v>
      </c>
      <c r="N706" t="n">
        <v>0</v>
      </c>
      <c r="O706" t="n">
        <v>0</v>
      </c>
      <c r="P706" t="n">
        <v>0</v>
      </c>
      <c r="Q706" t="n">
        <v>0</v>
      </c>
      <c r="R706" s="2" t="inlineStr"/>
    </row>
    <row r="707" ht="15" customHeight="1">
      <c r="A707" t="inlineStr">
        <is>
          <t>A 14667-2024</t>
        </is>
      </c>
      <c r="B707" s="1" t="n">
        <v>45397.42005787037</v>
      </c>
      <c r="C707" s="1" t="n">
        <v>46062</v>
      </c>
      <c r="D707" t="inlineStr">
        <is>
          <t>ÖSTERGÖTLANDS LÄN</t>
        </is>
      </c>
      <c r="E707" t="inlineStr">
        <is>
          <t>LINKÖPING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15714-2024</t>
        </is>
      </c>
      <c r="B708" s="1" t="n">
        <v>45404.48288194444</v>
      </c>
      <c r="C708" s="1" t="n">
        <v>46062</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37715-2022</t>
        </is>
      </c>
      <c r="B709" s="1" t="n">
        <v>44810</v>
      </c>
      <c r="C709" s="1" t="n">
        <v>46062</v>
      </c>
      <c r="D709" t="inlineStr">
        <is>
          <t>ÖSTERGÖTLANDS LÄN</t>
        </is>
      </c>
      <c r="E709" t="inlineStr">
        <is>
          <t>LINKÖPING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30429-2024</t>
        </is>
      </c>
      <c r="B710" s="1" t="n">
        <v>45491.68972222223</v>
      </c>
      <c r="C710" s="1" t="n">
        <v>46062</v>
      </c>
      <c r="D710" t="inlineStr">
        <is>
          <t>ÖSTERGÖTLANDS LÄN</t>
        </is>
      </c>
      <c r="E710" t="inlineStr">
        <is>
          <t>LINKÖPING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30435-2024</t>
        </is>
      </c>
      <c r="B711" s="1" t="n">
        <v>45491.69962962963</v>
      </c>
      <c r="C711" s="1" t="n">
        <v>46062</v>
      </c>
      <c r="D711" t="inlineStr">
        <is>
          <t>ÖSTERGÖTLANDS LÄN</t>
        </is>
      </c>
      <c r="E711" t="inlineStr">
        <is>
          <t>LINKÖPING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38231-2022</t>
        </is>
      </c>
      <c r="B712" s="1" t="n">
        <v>44812</v>
      </c>
      <c r="C712" s="1" t="n">
        <v>46062</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34557-2022</t>
        </is>
      </c>
      <c r="B713" s="1" t="n">
        <v>44794.57074074074</v>
      </c>
      <c r="C713" s="1" t="n">
        <v>46062</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13011-2022</t>
        </is>
      </c>
      <c r="B714" s="1" t="n">
        <v>44643</v>
      </c>
      <c r="C714" s="1" t="n">
        <v>46062</v>
      </c>
      <c r="D714" t="inlineStr">
        <is>
          <t>ÖSTERGÖTLANDS LÄN</t>
        </is>
      </c>
      <c r="E714" t="inlineStr">
        <is>
          <t>LINKÖPING</t>
        </is>
      </c>
      <c r="G714" t="n">
        <v>3.7</v>
      </c>
      <c r="H714" t="n">
        <v>0</v>
      </c>
      <c r="I714" t="n">
        <v>0</v>
      </c>
      <c r="J714" t="n">
        <v>0</v>
      </c>
      <c r="K714" t="n">
        <v>0</v>
      </c>
      <c r="L714" t="n">
        <v>0</v>
      </c>
      <c r="M714" t="n">
        <v>0</v>
      </c>
      <c r="N714" t="n">
        <v>0</v>
      </c>
      <c r="O714" t="n">
        <v>0</v>
      </c>
      <c r="P714" t="n">
        <v>0</v>
      </c>
      <c r="Q714" t="n">
        <v>0</v>
      </c>
      <c r="R714" s="2" t="inlineStr"/>
    </row>
    <row r="715" ht="15" customHeight="1">
      <c r="A715" t="inlineStr">
        <is>
          <t>A 617-2024</t>
        </is>
      </c>
      <c r="B715" s="1" t="n">
        <v>45299.66028935185</v>
      </c>
      <c r="C715" s="1" t="n">
        <v>46062</v>
      </c>
      <c r="D715" t="inlineStr">
        <is>
          <t>ÖSTERGÖTLANDS LÄN</t>
        </is>
      </c>
      <c r="E715" t="inlineStr">
        <is>
          <t>LINKÖPING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19362-2023</t>
        </is>
      </c>
      <c r="B716" s="1" t="n">
        <v>45049</v>
      </c>
      <c r="C716" s="1" t="n">
        <v>46062</v>
      </c>
      <c r="D716" t="inlineStr">
        <is>
          <t>ÖSTERGÖTLANDS LÄN</t>
        </is>
      </c>
      <c r="E716" t="inlineStr">
        <is>
          <t>LINKÖPING</t>
        </is>
      </c>
      <c r="G716" t="n">
        <v>0.1</v>
      </c>
      <c r="H716" t="n">
        <v>0</v>
      </c>
      <c r="I716" t="n">
        <v>0</v>
      </c>
      <c r="J716" t="n">
        <v>0</v>
      </c>
      <c r="K716" t="n">
        <v>0</v>
      </c>
      <c r="L716" t="n">
        <v>0</v>
      </c>
      <c r="M716" t="n">
        <v>0</v>
      </c>
      <c r="N716" t="n">
        <v>0</v>
      </c>
      <c r="O716" t="n">
        <v>0</v>
      </c>
      <c r="P716" t="n">
        <v>0</v>
      </c>
      <c r="Q716" t="n">
        <v>0</v>
      </c>
      <c r="R716" s="2" t="inlineStr"/>
    </row>
    <row r="717" ht="15" customHeight="1">
      <c r="A717" t="inlineStr">
        <is>
          <t>A 19132-2023</t>
        </is>
      </c>
      <c r="B717" s="1" t="n">
        <v>45048.54754629629</v>
      </c>
      <c r="C717" s="1" t="n">
        <v>46062</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31635-2023</t>
        </is>
      </c>
      <c r="B718" s="1" t="n">
        <v>45105</v>
      </c>
      <c r="C718" s="1" t="n">
        <v>46062</v>
      </c>
      <c r="D718" t="inlineStr">
        <is>
          <t>ÖSTERGÖTLANDS LÄN</t>
        </is>
      </c>
      <c r="E718" t="inlineStr">
        <is>
          <t>LINKÖPING</t>
        </is>
      </c>
      <c r="F718" t="inlineStr">
        <is>
          <t>Övriga statliga verk och myndigheter</t>
        </is>
      </c>
      <c r="G718" t="n">
        <v>4.6</v>
      </c>
      <c r="H718" t="n">
        <v>0</v>
      </c>
      <c r="I718" t="n">
        <v>0</v>
      </c>
      <c r="J718" t="n">
        <v>0</v>
      </c>
      <c r="K718" t="n">
        <v>0</v>
      </c>
      <c r="L718" t="n">
        <v>0</v>
      </c>
      <c r="M718" t="n">
        <v>0</v>
      </c>
      <c r="N718" t="n">
        <v>0</v>
      </c>
      <c r="O718" t="n">
        <v>0</v>
      </c>
      <c r="P718" t="n">
        <v>0</v>
      </c>
      <c r="Q718" t="n">
        <v>0</v>
      </c>
      <c r="R718" s="2" t="inlineStr"/>
    </row>
    <row r="719" ht="15" customHeight="1">
      <c r="A719" t="inlineStr">
        <is>
          <t>A 20296-2025</t>
        </is>
      </c>
      <c r="B719" s="1" t="n">
        <v>45774.74922453704</v>
      </c>
      <c r="C719" s="1" t="n">
        <v>46062</v>
      </c>
      <c r="D719" t="inlineStr">
        <is>
          <t>ÖSTERGÖTLANDS LÄN</t>
        </is>
      </c>
      <c r="E719" t="inlineStr">
        <is>
          <t>LINKÖPING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22770-2024</t>
        </is>
      </c>
      <c r="B720" s="1" t="n">
        <v>45448.4634375</v>
      </c>
      <c r="C720" s="1" t="n">
        <v>46062</v>
      </c>
      <c r="D720" t="inlineStr">
        <is>
          <t>ÖSTERGÖTLANDS LÄN</t>
        </is>
      </c>
      <c r="E720" t="inlineStr">
        <is>
          <t>LINKÖPING</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11595-2025</t>
        </is>
      </c>
      <c r="B721" s="1" t="n">
        <v>45727.41893518518</v>
      </c>
      <c r="C721" s="1" t="n">
        <v>46062</v>
      </c>
      <c r="D721" t="inlineStr">
        <is>
          <t>ÖSTERGÖTLANDS LÄN</t>
        </is>
      </c>
      <c r="E721" t="inlineStr">
        <is>
          <t>LINKÖPING</t>
        </is>
      </c>
      <c r="G721" t="n">
        <v>6.6</v>
      </c>
      <c r="H721" t="n">
        <v>0</v>
      </c>
      <c r="I721" t="n">
        <v>0</v>
      </c>
      <c r="J721" t="n">
        <v>0</v>
      </c>
      <c r="K721" t="n">
        <v>0</v>
      </c>
      <c r="L721" t="n">
        <v>0</v>
      </c>
      <c r="M721" t="n">
        <v>0</v>
      </c>
      <c r="N721" t="n">
        <v>0</v>
      </c>
      <c r="O721" t="n">
        <v>0</v>
      </c>
      <c r="P721" t="n">
        <v>0</v>
      </c>
      <c r="Q721" t="n">
        <v>0</v>
      </c>
      <c r="R721" s="2" t="inlineStr"/>
    </row>
    <row r="722" ht="15" customHeight="1">
      <c r="A722" t="inlineStr">
        <is>
          <t>A 48839-2022</t>
        </is>
      </c>
      <c r="B722" s="1" t="n">
        <v>44859</v>
      </c>
      <c r="C722" s="1" t="n">
        <v>46062</v>
      </c>
      <c r="D722" t="inlineStr">
        <is>
          <t>ÖSTERGÖTLANDS LÄN</t>
        </is>
      </c>
      <c r="E722" t="inlineStr">
        <is>
          <t>LINKÖPING</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8967-2025</t>
        </is>
      </c>
      <c r="B723" s="1" t="n">
        <v>45712</v>
      </c>
      <c r="C723" s="1" t="n">
        <v>46062</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63678-2023</t>
        </is>
      </c>
      <c r="B724" s="1" t="n">
        <v>45275.64769675926</v>
      </c>
      <c r="C724" s="1" t="n">
        <v>46062</v>
      </c>
      <c r="D724" t="inlineStr">
        <is>
          <t>ÖSTERGÖTLANDS LÄN</t>
        </is>
      </c>
      <c r="E724" t="inlineStr">
        <is>
          <t>LINKÖPING</t>
        </is>
      </c>
      <c r="F724" t="inlineStr">
        <is>
          <t>Övriga Aktiebolag</t>
        </is>
      </c>
      <c r="G724" t="n">
        <v>0.4</v>
      </c>
      <c r="H724" t="n">
        <v>0</v>
      </c>
      <c r="I724" t="n">
        <v>0</v>
      </c>
      <c r="J724" t="n">
        <v>0</v>
      </c>
      <c r="K724" t="n">
        <v>0</v>
      </c>
      <c r="L724" t="n">
        <v>0</v>
      </c>
      <c r="M724" t="n">
        <v>0</v>
      </c>
      <c r="N724" t="n">
        <v>0</v>
      </c>
      <c r="O724" t="n">
        <v>0</v>
      </c>
      <c r="P724" t="n">
        <v>0</v>
      </c>
      <c r="Q724" t="n">
        <v>0</v>
      </c>
      <c r="R724" s="2" t="inlineStr"/>
    </row>
    <row r="725" ht="15" customHeight="1">
      <c r="A725" t="inlineStr">
        <is>
          <t>A 1844-2025</t>
        </is>
      </c>
      <c r="B725" s="1" t="n">
        <v>45671.57730324074</v>
      </c>
      <c r="C725" s="1" t="n">
        <v>46062</v>
      </c>
      <c r="D725" t="inlineStr">
        <is>
          <t>ÖSTERGÖTLANDS LÄN</t>
        </is>
      </c>
      <c r="E725" t="inlineStr">
        <is>
          <t>LINKÖPING</t>
        </is>
      </c>
      <c r="G725" t="n">
        <v>2</v>
      </c>
      <c r="H725" t="n">
        <v>0</v>
      </c>
      <c r="I725" t="n">
        <v>0</v>
      </c>
      <c r="J725" t="n">
        <v>0</v>
      </c>
      <c r="K725" t="n">
        <v>0</v>
      </c>
      <c r="L725" t="n">
        <v>0</v>
      </c>
      <c r="M725" t="n">
        <v>0</v>
      </c>
      <c r="N725" t="n">
        <v>0</v>
      </c>
      <c r="O725" t="n">
        <v>0</v>
      </c>
      <c r="P725" t="n">
        <v>0</v>
      </c>
      <c r="Q725" t="n">
        <v>0</v>
      </c>
      <c r="R725" s="2" t="inlineStr"/>
    </row>
    <row r="726" ht="15" customHeight="1">
      <c r="A726" t="inlineStr">
        <is>
          <t>A 21165-2025</t>
        </is>
      </c>
      <c r="B726" s="1" t="n">
        <v>45779.39417824074</v>
      </c>
      <c r="C726" s="1" t="n">
        <v>46062</v>
      </c>
      <c r="D726" t="inlineStr">
        <is>
          <t>ÖSTERGÖTLANDS LÄN</t>
        </is>
      </c>
      <c r="E726" t="inlineStr">
        <is>
          <t>LINKÖPING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21155-2025</t>
        </is>
      </c>
      <c r="B727" s="1" t="n">
        <v>45779.37586805555</v>
      </c>
      <c r="C727" s="1" t="n">
        <v>46062</v>
      </c>
      <c r="D727" t="inlineStr">
        <is>
          <t>ÖSTERGÖTLANDS LÄN</t>
        </is>
      </c>
      <c r="E727" t="inlineStr">
        <is>
          <t>LINKÖPING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22264-2025</t>
        </is>
      </c>
      <c r="B728" s="1" t="n">
        <v>45785</v>
      </c>
      <c r="C728" s="1" t="n">
        <v>46062</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9473-2024</t>
        </is>
      </c>
      <c r="B729" s="1" t="n">
        <v>45359.55474537037</v>
      </c>
      <c r="C729" s="1" t="n">
        <v>46062</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6859-2024</t>
        </is>
      </c>
      <c r="B730" s="1" t="n">
        <v>45342</v>
      </c>
      <c r="C730" s="1" t="n">
        <v>46062</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44287-2024</t>
        </is>
      </c>
      <c r="B731" s="1" t="n">
        <v>45573.50582175926</v>
      </c>
      <c r="C731" s="1" t="n">
        <v>46062</v>
      </c>
      <c r="D731" t="inlineStr">
        <is>
          <t>ÖSTERGÖTLANDS LÄN</t>
        </is>
      </c>
      <c r="E731" t="inlineStr">
        <is>
          <t>LINKÖPING</t>
        </is>
      </c>
      <c r="G731" t="n">
        <v>12.7</v>
      </c>
      <c r="H731" t="n">
        <v>0</v>
      </c>
      <c r="I731" t="n">
        <v>0</v>
      </c>
      <c r="J731" t="n">
        <v>0</v>
      </c>
      <c r="K731" t="n">
        <v>0</v>
      </c>
      <c r="L731" t="n">
        <v>0</v>
      </c>
      <c r="M731" t="n">
        <v>0</v>
      </c>
      <c r="N731" t="n">
        <v>0</v>
      </c>
      <c r="O731" t="n">
        <v>0</v>
      </c>
      <c r="P731" t="n">
        <v>0</v>
      </c>
      <c r="Q731" t="n">
        <v>0</v>
      </c>
      <c r="R731" s="2" t="inlineStr"/>
    </row>
    <row r="732" ht="15" customHeight="1">
      <c r="A732" t="inlineStr">
        <is>
          <t>A 22364-2025</t>
        </is>
      </c>
      <c r="B732" s="1" t="n">
        <v>45786.46930555555</v>
      </c>
      <c r="C732" s="1" t="n">
        <v>46062</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572-2025</t>
        </is>
      </c>
      <c r="B733" s="1" t="n">
        <v>45664.56349537037</v>
      </c>
      <c r="C733" s="1" t="n">
        <v>46062</v>
      </c>
      <c r="D733" t="inlineStr">
        <is>
          <t>ÖSTERGÖTLANDS LÄN</t>
        </is>
      </c>
      <c r="E733" t="inlineStr">
        <is>
          <t>LINKÖPING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10797-2024</t>
        </is>
      </c>
      <c r="B734" s="1" t="n">
        <v>45369.6190162037</v>
      </c>
      <c r="C734" s="1" t="n">
        <v>46062</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38580-2024</t>
        </is>
      </c>
      <c r="B735" s="1" t="n">
        <v>45546.64825231482</v>
      </c>
      <c r="C735" s="1" t="n">
        <v>46062</v>
      </c>
      <c r="D735" t="inlineStr">
        <is>
          <t>ÖSTERGÖTLANDS LÄN</t>
        </is>
      </c>
      <c r="E735" t="inlineStr">
        <is>
          <t>LINKÖPING</t>
        </is>
      </c>
      <c r="G735" t="n">
        <v>4.8</v>
      </c>
      <c r="H735" t="n">
        <v>0</v>
      </c>
      <c r="I735" t="n">
        <v>0</v>
      </c>
      <c r="J735" t="n">
        <v>0</v>
      </c>
      <c r="K735" t="n">
        <v>0</v>
      </c>
      <c r="L735" t="n">
        <v>0</v>
      </c>
      <c r="M735" t="n">
        <v>0</v>
      </c>
      <c r="N735" t="n">
        <v>0</v>
      </c>
      <c r="O735" t="n">
        <v>0</v>
      </c>
      <c r="P735" t="n">
        <v>0</v>
      </c>
      <c r="Q735" t="n">
        <v>0</v>
      </c>
      <c r="R735" s="2" t="inlineStr"/>
    </row>
    <row r="736" ht="15" customHeight="1">
      <c r="A736" t="inlineStr">
        <is>
          <t>A 57752-2023</t>
        </is>
      </c>
      <c r="B736" s="1" t="n">
        <v>45246.78474537037</v>
      </c>
      <c r="C736" s="1" t="n">
        <v>46062</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29312-2024</t>
        </is>
      </c>
      <c r="B737" s="1" t="n">
        <v>45483</v>
      </c>
      <c r="C737" s="1" t="n">
        <v>46062</v>
      </c>
      <c r="D737" t="inlineStr">
        <is>
          <t>ÖSTERGÖTLANDS LÄN</t>
        </is>
      </c>
      <c r="E737" t="inlineStr">
        <is>
          <t>LINKÖPING</t>
        </is>
      </c>
      <c r="G737" t="n">
        <v>2.1</v>
      </c>
      <c r="H737" t="n">
        <v>0</v>
      </c>
      <c r="I737" t="n">
        <v>0</v>
      </c>
      <c r="J737" t="n">
        <v>0</v>
      </c>
      <c r="K737" t="n">
        <v>0</v>
      </c>
      <c r="L737" t="n">
        <v>0</v>
      </c>
      <c r="M737" t="n">
        <v>0</v>
      </c>
      <c r="N737" t="n">
        <v>0</v>
      </c>
      <c r="O737" t="n">
        <v>0</v>
      </c>
      <c r="P737" t="n">
        <v>0</v>
      </c>
      <c r="Q737" t="n">
        <v>0</v>
      </c>
      <c r="R737" s="2" t="inlineStr"/>
    </row>
    <row r="738" ht="15" customHeight="1">
      <c r="A738" t="inlineStr">
        <is>
          <t>A 23120-2025</t>
        </is>
      </c>
      <c r="B738" s="1" t="n">
        <v>45791.37481481482</v>
      </c>
      <c r="C738" s="1" t="n">
        <v>46062</v>
      </c>
      <c r="D738" t="inlineStr">
        <is>
          <t>ÖSTERGÖTLANDS LÄN</t>
        </is>
      </c>
      <c r="E738" t="inlineStr">
        <is>
          <t>LINKÖPING</t>
        </is>
      </c>
      <c r="G738" t="n">
        <v>2.9</v>
      </c>
      <c r="H738" t="n">
        <v>0</v>
      </c>
      <c r="I738" t="n">
        <v>0</v>
      </c>
      <c r="J738" t="n">
        <v>0</v>
      </c>
      <c r="K738" t="n">
        <v>0</v>
      </c>
      <c r="L738" t="n">
        <v>0</v>
      </c>
      <c r="M738" t="n">
        <v>0</v>
      </c>
      <c r="N738" t="n">
        <v>0</v>
      </c>
      <c r="O738" t="n">
        <v>0</v>
      </c>
      <c r="P738" t="n">
        <v>0</v>
      </c>
      <c r="Q738" t="n">
        <v>0</v>
      </c>
      <c r="R738" s="2" t="inlineStr"/>
    </row>
    <row r="739" ht="15" customHeight="1">
      <c r="A739" t="inlineStr">
        <is>
          <t>A 23768-2025</t>
        </is>
      </c>
      <c r="B739" s="1" t="n">
        <v>45793.47493055555</v>
      </c>
      <c r="C739" s="1" t="n">
        <v>46062</v>
      </c>
      <c r="D739" t="inlineStr">
        <is>
          <t>ÖSTERGÖTLANDS LÄN</t>
        </is>
      </c>
      <c r="E739" t="inlineStr">
        <is>
          <t>LINKÖPING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48699-2024</t>
        </is>
      </c>
      <c r="B740" s="1" t="n">
        <v>45593.52091435185</v>
      </c>
      <c r="C740" s="1" t="n">
        <v>46062</v>
      </c>
      <c r="D740" t="inlineStr">
        <is>
          <t>ÖSTERGÖTLANDS LÄN</t>
        </is>
      </c>
      <c r="E740" t="inlineStr">
        <is>
          <t>LINKÖPING</t>
        </is>
      </c>
      <c r="G740" t="n">
        <v>1.3</v>
      </c>
      <c r="H740" t="n">
        <v>0</v>
      </c>
      <c r="I740" t="n">
        <v>0</v>
      </c>
      <c r="J740" t="n">
        <v>0</v>
      </c>
      <c r="K740" t="n">
        <v>0</v>
      </c>
      <c r="L740" t="n">
        <v>0</v>
      </c>
      <c r="M740" t="n">
        <v>0</v>
      </c>
      <c r="N740" t="n">
        <v>0</v>
      </c>
      <c r="O740" t="n">
        <v>0</v>
      </c>
      <c r="P740" t="n">
        <v>0</v>
      </c>
      <c r="Q740" t="n">
        <v>0</v>
      </c>
      <c r="R740" s="2" t="inlineStr"/>
    </row>
    <row r="741">
      <c r="A741" t="inlineStr">
        <is>
          <t>A 13911-2025</t>
        </is>
      </c>
      <c r="B741" s="1" t="n">
        <v>45737.64784722222</v>
      </c>
      <c r="C741" s="1" t="n">
        <v>46062</v>
      </c>
      <c r="D741" t="inlineStr">
        <is>
          <t>ÖSTERGÖTLANDS LÄN</t>
        </is>
      </c>
      <c r="E741" t="inlineStr">
        <is>
          <t>LINKÖPING</t>
        </is>
      </c>
      <c r="G741" t="n">
        <v>1.5</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2026-02-09T19:42:34Z</dcterms:created>
  <dcterms:modified xmlns:dcterms="http://purl.org/dc/terms/" xmlns:xsi="http://www.w3.org/2001/XMLSchema-instance" xsi:type="dcterms:W3CDTF">2026-02-09T19:42:35Z</dcterms:modified>
</cp:coreProperties>
</file>