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45836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45836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45836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45836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45836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45836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45836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45836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45836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45836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45836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45836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45836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45836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45836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45836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45836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45836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45836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45836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45836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45836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45836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45836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45836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45836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45836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45836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45836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45836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45836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45836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45836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45836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45836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45836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45836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45836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45836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45836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45836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45836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45836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45836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45836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45836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45836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45836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45836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45836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45836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45836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45836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45836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45836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45836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45836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45836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45836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45836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45836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45836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45836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45836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45836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45836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45836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45836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45836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45836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45836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45836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45836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45836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45836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45836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45836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45836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45836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45836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45836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45836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45836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45836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45836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45836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45836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45836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45836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45836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45836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45836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45836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45836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45836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45836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45836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45836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45836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45836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45836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45836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45836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45836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45836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45836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45836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45836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45836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45836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45836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45836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45836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45836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45836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45836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45836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45836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45836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45836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622-2024</t>
        </is>
      </c>
      <c r="B122" s="1" t="n">
        <v>45299</v>
      </c>
      <c r="C122" s="1" t="n">
        <v>45836</v>
      </c>
      <c r="D122" t="inlineStr">
        <is>
          <t>ÖSTERGÖTLANDS LÄN</t>
        </is>
      </c>
      <c r="E122" t="inlineStr">
        <is>
          <t>LINKÖPING</t>
        </is>
      </c>
      <c r="G122" t="n">
        <v>8.699999999999999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HYPERLINK("https://klasma.github.io/Logging_0580/artfynd/A 622-2024 artfynd.xlsx", "A 622-2024")</f>
        <v/>
      </c>
      <c r="T122">
        <f>HYPERLINK("https://klasma.github.io/Logging_0580/kartor/A 622-2024 karta.png", "A 622-2024")</f>
        <v/>
      </c>
      <c r="V122">
        <f>HYPERLINK("https://klasma.github.io/Logging_0580/klagomål/A 622-2024 FSC-klagomål.docx", "A 622-2024")</f>
        <v/>
      </c>
      <c r="W122">
        <f>HYPERLINK("https://klasma.github.io/Logging_0580/klagomålsmail/A 622-2024 FSC-klagomål mail.docx", "A 622-2024")</f>
        <v/>
      </c>
      <c r="X122">
        <f>HYPERLINK("https://klasma.github.io/Logging_0580/tillsyn/A 622-2024 tillsynsbegäran.docx", "A 622-2024")</f>
        <v/>
      </c>
      <c r="Y122">
        <f>HYPERLINK("https://klasma.github.io/Logging_0580/tillsynsmail/A 622-2024 tillsynsbegäran mail.docx", "A 622-2024")</f>
        <v/>
      </c>
      <c r="Z122">
        <f>HYPERLINK("https://klasma.github.io/Logging_0580/fåglar/A 622-2024 prioriterade fågelarter.docx", "A 622-2024")</f>
        <v/>
      </c>
    </row>
    <row r="123" ht="15" customHeight="1">
      <c r="A123" t="inlineStr">
        <is>
          <t>A 3537-2024</t>
        </is>
      </c>
      <c r="B123" s="1" t="n">
        <v>45320</v>
      </c>
      <c r="C123" s="1" t="n">
        <v>45836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3537-2024 artfynd.xlsx", "A 3537-2024")</f>
        <v/>
      </c>
      <c r="T123">
        <f>HYPERLINK("https://klasma.github.io/Logging_0580/kartor/A 3537-2024 karta.png", "A 3537-2024")</f>
        <v/>
      </c>
      <c r="V123">
        <f>HYPERLINK("https://klasma.github.io/Logging_0580/klagomål/A 3537-2024 FSC-klagomål.docx", "A 3537-2024")</f>
        <v/>
      </c>
      <c r="W123">
        <f>HYPERLINK("https://klasma.github.io/Logging_0580/klagomålsmail/A 3537-2024 FSC-klagomål mail.docx", "A 3537-2024")</f>
        <v/>
      </c>
      <c r="X123">
        <f>HYPERLINK("https://klasma.github.io/Logging_0580/tillsyn/A 3537-2024 tillsynsbegäran.docx", "A 3537-2024")</f>
        <v/>
      </c>
      <c r="Y123">
        <f>HYPERLINK("https://klasma.github.io/Logging_0580/tillsynsmail/A 3537-2024 tillsynsbegäran mail.docx", "A 3537-2024")</f>
        <v/>
      </c>
    </row>
    <row r="124" ht="15" customHeight="1">
      <c r="A124" t="inlineStr">
        <is>
          <t>A 5873-2024</t>
        </is>
      </c>
      <c r="B124" s="1" t="n">
        <v>45335</v>
      </c>
      <c r="C124" s="1" t="n">
        <v>45836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HYPERLINK("https://klasma.github.io/Logging_0580/artfynd/A 5873-2024 artfynd.xlsx", "A 5873-2024")</f>
        <v/>
      </c>
      <c r="T124">
        <f>HYPERLINK("https://klasma.github.io/Logging_0580/kartor/A 5873-2024 karta.png", "A 5873-2024")</f>
        <v/>
      </c>
      <c r="V124">
        <f>HYPERLINK("https://klasma.github.io/Logging_0580/klagomål/A 5873-2024 FSC-klagomål.docx", "A 5873-2024")</f>
        <v/>
      </c>
      <c r="W124">
        <f>HYPERLINK("https://klasma.github.io/Logging_0580/klagomålsmail/A 5873-2024 FSC-klagomål mail.docx", "A 5873-2024")</f>
        <v/>
      </c>
      <c r="X124">
        <f>HYPERLINK("https://klasma.github.io/Logging_0580/tillsyn/A 5873-2024 tillsynsbegäran.docx", "A 5873-2024")</f>
        <v/>
      </c>
      <c r="Y124">
        <f>HYPERLINK("https://klasma.github.io/Logging_0580/tillsynsmail/A 5873-2024 tillsynsbegäran mail.docx", "A 5873-2024")</f>
        <v/>
      </c>
    </row>
    <row r="125" ht="15" customHeight="1">
      <c r="A125" t="inlineStr">
        <is>
          <t>A 8093-2024</t>
        </is>
      </c>
      <c r="B125" s="1" t="n">
        <v>45351</v>
      </c>
      <c r="C125" s="1" t="n">
        <v>45836</v>
      </c>
      <c r="D125" t="inlineStr">
        <is>
          <t>ÖSTERGÖTLANDS LÄN</t>
        </is>
      </c>
      <c r="E125" t="inlineStr">
        <is>
          <t>LINKÖPING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HYPERLINK("https://klasma.github.io/Logging_0580/artfynd/A 8093-2024 artfynd.xlsx", "A 8093-2024")</f>
        <v/>
      </c>
      <c r="T125">
        <f>HYPERLINK("https://klasma.github.io/Logging_0580/kartor/A 8093-2024 karta.png", "A 8093-2024")</f>
        <v/>
      </c>
      <c r="V125">
        <f>HYPERLINK("https://klasma.github.io/Logging_0580/klagomål/A 8093-2024 FSC-klagomål.docx", "A 8093-2024")</f>
        <v/>
      </c>
      <c r="W125">
        <f>HYPERLINK("https://klasma.github.io/Logging_0580/klagomålsmail/A 8093-2024 FSC-klagomål mail.docx", "A 8093-2024")</f>
        <v/>
      </c>
      <c r="X125">
        <f>HYPERLINK("https://klasma.github.io/Logging_0580/tillsyn/A 8093-2024 tillsynsbegäran.docx", "A 8093-2024")</f>
        <v/>
      </c>
      <c r="Y125">
        <f>HYPERLINK("https://klasma.github.io/Logging_0580/tillsynsmail/A 8093-2024 tillsynsbegäran mail.docx", "A 8093-2024")</f>
        <v/>
      </c>
    </row>
    <row r="126" ht="15" customHeight="1">
      <c r="A126" t="inlineStr">
        <is>
          <t>A 17065-2024</t>
        </is>
      </c>
      <c r="B126" s="1" t="n">
        <v>45411</v>
      </c>
      <c r="C126" s="1" t="n">
        <v>45836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HYPERLINK("https://klasma.github.io/Logging_0580/artfynd/A 17065-2024 artfynd.xlsx", "A 17065-2024")</f>
        <v/>
      </c>
      <c r="T126">
        <f>HYPERLINK("https://klasma.github.io/Logging_0580/kartor/A 17065-2024 karta.png", "A 17065-2024")</f>
        <v/>
      </c>
      <c r="V126">
        <f>HYPERLINK("https://klasma.github.io/Logging_0580/klagomål/A 17065-2024 FSC-klagomål.docx", "A 17065-2024")</f>
        <v/>
      </c>
      <c r="W126">
        <f>HYPERLINK("https://klasma.github.io/Logging_0580/klagomålsmail/A 17065-2024 FSC-klagomål mail.docx", "A 17065-2024")</f>
        <v/>
      </c>
      <c r="X126">
        <f>HYPERLINK("https://klasma.github.io/Logging_0580/tillsyn/A 17065-2024 tillsynsbegäran.docx", "A 17065-2024")</f>
        <v/>
      </c>
      <c r="Y126">
        <f>HYPERLINK("https://klasma.github.io/Logging_0580/tillsynsmail/A 17065-2024 tillsynsbegäran mail.docx", "A 17065-2024")</f>
        <v/>
      </c>
    </row>
    <row r="127" ht="15" customHeight="1">
      <c r="A127" t="inlineStr">
        <is>
          <t>A 28265-2024</t>
        </is>
      </c>
      <c r="B127" s="1" t="n">
        <v>45477</v>
      </c>
      <c r="C127" s="1" t="n">
        <v>45836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28265-2024 artfynd.xlsx", "A 28265-2024")</f>
        <v/>
      </c>
      <c r="T127">
        <f>HYPERLINK("https://klasma.github.io/Logging_0580/kartor/A 28265-2024 karta.png", "A 28265-2024")</f>
        <v/>
      </c>
      <c r="V127">
        <f>HYPERLINK("https://klasma.github.io/Logging_0580/klagomål/A 28265-2024 FSC-klagomål.docx", "A 28265-2024")</f>
        <v/>
      </c>
      <c r="W127">
        <f>HYPERLINK("https://klasma.github.io/Logging_0580/klagomålsmail/A 28265-2024 FSC-klagomål mail.docx", "A 28265-2024")</f>
        <v/>
      </c>
      <c r="X127">
        <f>HYPERLINK("https://klasma.github.io/Logging_0580/tillsyn/A 28265-2024 tillsynsbegäran.docx", "A 28265-2024")</f>
        <v/>
      </c>
      <c r="Y127">
        <f>HYPERLINK("https://klasma.github.io/Logging_0580/tillsynsmail/A 28265-2024 tillsynsbegäran mail.docx", "A 28265-2024")</f>
        <v/>
      </c>
    </row>
    <row r="128" ht="15" customHeight="1">
      <c r="A128" t="inlineStr">
        <is>
          <t>A 40315-2024</t>
        </is>
      </c>
      <c r="B128" s="1" t="n">
        <v>45554</v>
      </c>
      <c r="C128" s="1" t="n">
        <v>45836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40315-2024 artfynd.xlsx", "A 40315-2024")</f>
        <v/>
      </c>
      <c r="T128">
        <f>HYPERLINK("https://klasma.github.io/Logging_0580/kartor/A 40315-2024 karta.png", "A 40315-2024")</f>
        <v/>
      </c>
      <c r="V128">
        <f>HYPERLINK("https://klasma.github.io/Logging_0580/klagomål/A 40315-2024 FSC-klagomål.docx", "A 40315-2024")</f>
        <v/>
      </c>
      <c r="W128">
        <f>HYPERLINK("https://klasma.github.io/Logging_0580/klagomålsmail/A 40315-2024 FSC-klagomål mail.docx", "A 40315-2024")</f>
        <v/>
      </c>
      <c r="X128">
        <f>HYPERLINK("https://klasma.github.io/Logging_0580/tillsyn/A 40315-2024 tillsynsbegäran.docx", "A 40315-2024")</f>
        <v/>
      </c>
      <c r="Y128">
        <f>HYPERLINK("https://klasma.github.io/Logging_0580/tillsynsmail/A 40315-2024 tillsynsbegäran mail.docx", "A 40315-2024")</f>
        <v/>
      </c>
    </row>
    <row r="129" ht="15" customHeight="1">
      <c r="A129" t="inlineStr">
        <is>
          <t>A 40309-2024</t>
        </is>
      </c>
      <c r="B129" s="1" t="n">
        <v>45554</v>
      </c>
      <c r="C129" s="1" t="n">
        <v>45836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HYPERLINK("https://klasma.github.io/Logging_0580/artfynd/A 40309-2024 artfynd.xlsx", "A 40309-2024")</f>
        <v/>
      </c>
      <c r="T129">
        <f>HYPERLINK("https://klasma.github.io/Logging_0580/kartor/A 40309-2024 karta.png", "A 40309-2024")</f>
        <v/>
      </c>
      <c r="V129">
        <f>HYPERLINK("https://klasma.github.io/Logging_0580/klagomål/A 40309-2024 FSC-klagomål.docx", "A 40309-2024")</f>
        <v/>
      </c>
      <c r="W129">
        <f>HYPERLINK("https://klasma.github.io/Logging_0580/klagomålsmail/A 40309-2024 FSC-klagomål mail.docx", "A 40309-2024")</f>
        <v/>
      </c>
      <c r="X129">
        <f>HYPERLINK("https://klasma.github.io/Logging_0580/tillsyn/A 40309-2024 tillsynsbegäran.docx", "A 40309-2024")</f>
        <v/>
      </c>
      <c r="Y129">
        <f>HYPERLINK("https://klasma.github.io/Logging_0580/tillsynsmail/A 40309-2024 tillsynsbegäran mail.docx", "A 40309-2024")</f>
        <v/>
      </c>
    </row>
    <row r="130" ht="15" customHeight="1">
      <c r="A130" t="inlineStr">
        <is>
          <t>A 40340-2024</t>
        </is>
      </c>
      <c r="B130" s="1" t="n">
        <v>45555</v>
      </c>
      <c r="C130" s="1" t="n">
        <v>45836</v>
      </c>
      <c r="D130" t="inlineStr">
        <is>
          <t>ÖSTERGÖTLANDS LÄN</t>
        </is>
      </c>
      <c r="E130" t="inlineStr">
        <is>
          <t>LINKÖPING</t>
        </is>
      </c>
      <c r="G130" t="n">
        <v>1.1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HYPERLINK("https://klasma.github.io/Logging_0580/artfynd/A 40340-2024 artfynd.xlsx", "A 40340-2024")</f>
        <v/>
      </c>
      <c r="T130">
        <f>HYPERLINK("https://klasma.github.io/Logging_0580/kartor/A 40340-2024 karta.png", "A 40340-2024")</f>
        <v/>
      </c>
      <c r="V130">
        <f>HYPERLINK("https://klasma.github.io/Logging_0580/klagomål/A 40340-2024 FSC-klagomål.docx", "A 40340-2024")</f>
        <v/>
      </c>
      <c r="W130">
        <f>HYPERLINK("https://klasma.github.io/Logging_0580/klagomålsmail/A 40340-2024 FSC-klagomål mail.docx", "A 40340-2024")</f>
        <v/>
      </c>
      <c r="X130">
        <f>HYPERLINK("https://klasma.github.io/Logging_0580/tillsyn/A 40340-2024 tillsynsbegäran.docx", "A 40340-2024")</f>
        <v/>
      </c>
      <c r="Y130">
        <f>HYPERLINK("https://klasma.github.io/Logging_0580/tillsynsmail/A 40340-2024 tillsynsbegäran mail.docx", "A 40340-2024")</f>
        <v/>
      </c>
      <c r="Z130">
        <f>HYPERLINK("https://klasma.github.io/Logging_0580/fåglar/A 40340-2024 prioriterade fågelarter.docx", "A 40340-2024")</f>
        <v/>
      </c>
    </row>
    <row r="131" ht="15" customHeight="1">
      <c r="A131" t="inlineStr">
        <is>
          <t>A 57634-2024</t>
        </is>
      </c>
      <c r="B131" s="1" t="n">
        <v>45630</v>
      </c>
      <c r="C131" s="1" t="n">
        <v>45836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Kyrkan</t>
        </is>
      </c>
      <c r="G131" t="n">
        <v>18.1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HYPERLINK("https://klasma.github.io/Logging_0580/artfynd/A 57634-2024 artfynd.xlsx", "A 57634-2024")</f>
        <v/>
      </c>
      <c r="T131">
        <f>HYPERLINK("https://klasma.github.io/Logging_0580/kartor/A 57634-2024 karta.png", "A 57634-2024")</f>
        <v/>
      </c>
      <c r="V131">
        <f>HYPERLINK("https://klasma.github.io/Logging_0580/klagomål/A 57634-2024 FSC-klagomål.docx", "A 57634-2024")</f>
        <v/>
      </c>
      <c r="W131">
        <f>HYPERLINK("https://klasma.github.io/Logging_0580/klagomålsmail/A 57634-2024 FSC-klagomål mail.docx", "A 57634-2024")</f>
        <v/>
      </c>
      <c r="X131">
        <f>HYPERLINK("https://klasma.github.io/Logging_0580/tillsyn/A 57634-2024 tillsynsbegäran.docx", "A 57634-2024")</f>
        <v/>
      </c>
      <c r="Y131">
        <f>HYPERLINK("https://klasma.github.io/Logging_0580/tillsynsmail/A 57634-2024 tillsynsbegäran mail.docx", "A 57634-2024")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45836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45836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45836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45836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45836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45836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45836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45836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45836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45836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45836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45836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45836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45836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45836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45836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45836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45836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45836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45836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45836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45836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45836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45836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45836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45836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45836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45836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45836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45836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45836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45836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45836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45836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45836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45836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45836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45836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45836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45836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45836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45836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45836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45836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45836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45836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45836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45836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45836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45836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45836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45836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45836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45836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45836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45836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45836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45836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45836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45836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45836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45836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45836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45836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45836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45836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45836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45836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45836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45836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45836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45836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45836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45836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45836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45836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45836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45836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45836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45836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45836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45836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45836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45836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45836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45836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45836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45836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45836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45836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45836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45836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45836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45836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45836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45836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45836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45836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45836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45836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45836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45836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45836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45836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45836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45836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45836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45836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45836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45836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45836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45836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45836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45836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45836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45836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45836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45836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45836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45836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45836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45836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45836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45836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45836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45836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45836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45836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45836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45836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45836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45836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45836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45836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45836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45836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45836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45836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45836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45836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45836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45836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45836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45836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45836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45836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45836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45836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45836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45836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45836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45836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45836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45836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45836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45836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45836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45836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45836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45836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45836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45836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45836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45836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45836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45836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45836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45836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45836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45836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45836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45836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45836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45836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45836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45836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45836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45836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45836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45836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45836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45836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45836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45836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45836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45836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45836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45836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45836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45836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45836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45836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45836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45836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45836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45836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45836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45836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45836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45836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45836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45836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45836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45836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45836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45836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45836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45836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45836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45836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45836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45836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45836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45836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45836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45836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45836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45836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45836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45836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45836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45836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45836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45836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45836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45836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45836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45836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45836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45836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45836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45836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45836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45836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45836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45836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45836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45836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45836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45836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45836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45836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45836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45836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45836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45836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45836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45836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45836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45836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45836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45836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45836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45836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45836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45836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45836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45836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45836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45836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45836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45836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45836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45836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45836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45836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45836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45836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45836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45836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45836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45836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45836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45836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45836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45836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45836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45836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45836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45836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45836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45836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45836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45836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45836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45836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45836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45836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45836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45836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45836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45836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45836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45836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45836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45836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45836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45836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45836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45836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45836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45836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45836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45836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45836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45836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45836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45836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45836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45836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45836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45836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45836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45836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45836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45836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45836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45836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45836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45836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45836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45836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45836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45836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45836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45836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45836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45836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45836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45836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45836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45836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45836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45836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45836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45836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45836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45836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45836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45836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45836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45836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45836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45836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45836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45836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45836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45836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45836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45836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45836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45836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45836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45836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45836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45836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45836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45836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45836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45836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45836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45836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45836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45836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45836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45836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45836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45836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45836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45836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45836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45836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45836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45836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45836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45836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45836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45836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45836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45836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45836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45836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45836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45836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45836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45836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45836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45836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45836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45836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45836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45836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45836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45836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45836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45836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45836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45836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45836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45836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45836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45836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45836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45836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45836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45836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45836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45836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45836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45836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45836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45836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45836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45836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45836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45836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45836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45836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45836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45836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45836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45836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45836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45836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45836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45836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45836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45836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45836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45836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45836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45836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45836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45836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45836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45836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45836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45836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45836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45836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45836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45836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45836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45836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45836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45836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45836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45836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45836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45836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45836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45836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45836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45836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45836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45836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45836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45836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45836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45836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45836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45836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45836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45836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45836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45836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45836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45836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45836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45836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45836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45836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45836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45836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45836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45836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45836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45836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45836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45836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45836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45836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45836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45836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45836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45836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45836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45836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45836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45836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45836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45836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45836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45836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45836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45836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45836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45836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45836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45836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45836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45836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45836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45836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45836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45836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45836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45836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45836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45836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45836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45836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45836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45836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45836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45836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45836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45836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45836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45836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45836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45836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45836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45836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45836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45836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45836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45836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45836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45836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45836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45836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45836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45836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45836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45836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45836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45836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45836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45836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45836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45836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45836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45836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45836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45836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45836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45836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45836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45836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45836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45836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45836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45836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45836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45836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45836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45836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45836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45836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45836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45836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45836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45836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45836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45836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45836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45836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45836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45836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45836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45836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45836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45836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45836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45836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45836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45836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45836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45836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45836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45836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45836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45836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45836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45836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45836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45836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45836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45836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45836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45836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45836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45836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45836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45836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45836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45836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45836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45836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45836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45836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45836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45836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45836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45836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45836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45836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45836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45836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45836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45836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45836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45836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45836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45836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45836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45836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45836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45836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45836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45836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45836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45836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45836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45836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45836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45836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45836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45836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45836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45836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45836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45836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45836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45836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45836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45836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45836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45836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45836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45836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45836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45836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45836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45836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45836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45836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45836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45836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45836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45836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45836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45836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45836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45836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45836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45836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45836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45836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45836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45836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45836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45836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45836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45836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45836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45836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45836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45836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45836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45836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45836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45836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45836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45836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45836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45836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45836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45836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45836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45836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45836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45836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45836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45836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45836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45836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45836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45836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45836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45836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45836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45836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45836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45836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45836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45836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45836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45836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45836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45836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45836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45836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45836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45836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45836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45836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45836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45836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45836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45836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45836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45836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45836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45836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45836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45836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45836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45836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45836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45836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45836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45836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45836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45836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45836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45836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45836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45836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45836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45836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45836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45836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45836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45836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45836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45836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45836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45836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45836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45836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45836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45836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45836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45836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45836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45836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45836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45836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45836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45836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45836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45836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45836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45836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45836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45836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45836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45836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45836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45836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45836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45836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45836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45836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45836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45836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45836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45836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45836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45836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45836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45836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45836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45836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45836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45836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45836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45836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45836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45836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45836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45836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45836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45836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45836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45836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45836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45836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45836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45836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45836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45836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45836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45836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45836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45836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45836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45836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45836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45836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45836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45836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45836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45836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45836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45836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45836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45836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45836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45836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45836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45836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45836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45836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45836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45836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45836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45836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45836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45836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45836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45836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45836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45836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45836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45836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45836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45836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45836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45836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45836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45836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45836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45836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45836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45836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45836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45836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45836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45836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45836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45836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45836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45836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45836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45836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45836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45836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45836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45836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45836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45836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45836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45836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45836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45836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45836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45836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45836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45836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45836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45836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45836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45836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45836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45836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45836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45836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45836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45836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45836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45836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45836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45836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45836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45836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45836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45836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45836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45836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45836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45836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45836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45836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45836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45836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45836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45836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45836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45836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45836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45836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45836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45836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45836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45836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45836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45836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45836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45836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45836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45836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45836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45836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45836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45836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45836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45836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45836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45836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45836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45836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45836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45836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45836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45836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45836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45836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45836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45836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45836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45836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45836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45836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45836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45836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45836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45836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45836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45836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45836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45836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45836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45836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45836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45836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45836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45836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45836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45836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45836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45836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45836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45836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45836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45836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45836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45836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45836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45836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45836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45836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45836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45836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45836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45836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45836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45836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45836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45836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45836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45836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45836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45836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45836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45836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45836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45836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45836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45836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45836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45836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45836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45836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45836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45836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45836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45836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45836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45836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45836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45836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45836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45836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45836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45836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45836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45836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45836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45836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45836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45836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45836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45836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45836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45836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45836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45836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45836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45836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45836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45836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45836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45836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45836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45836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45836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45836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45836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45836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45836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45836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45836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45836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45836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45836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45836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45836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45836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45836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45836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45836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45836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45836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45836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45836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45836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45836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45836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45836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45836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45836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45836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45836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45836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45836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45836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45836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45836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45836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45836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45836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45836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45836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45836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45836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45836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45836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45836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45836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45836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45836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45836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45836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45836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45836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45836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45836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45836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45836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45836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45836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45836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45836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45836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45836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45836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45836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45836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45836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45836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45836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45836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45836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45836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45836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45836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45836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45836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45836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45836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45836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45836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45836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45836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45836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45836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45836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45836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45836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45836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45836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45836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45836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45836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45836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45836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45836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45836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45836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45836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45836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45836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45836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45836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45836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45836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45836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45836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45836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45836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45836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45836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45836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45836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45836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45836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45836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45836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45836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45836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45836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45836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45836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45836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45836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45836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45836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45836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45836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45836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45836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45836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45836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45836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45836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45836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45836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45836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45836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45836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45836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45836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45836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45836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45836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45836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45836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45836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45836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45836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45836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45836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45836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45836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45836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45836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45836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45836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45836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45836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45836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45836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45836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45836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45836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45836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45836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45836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45836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45836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45836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45836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45836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45836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45836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45836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45836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45836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45836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45836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45836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45836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45836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45836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45836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45836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45836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45836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45836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45836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45836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45836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45836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45836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45836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45836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45836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45836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45836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45836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45836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45836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45836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45836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45836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45836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45836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45836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45836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45836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45836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45836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45836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45836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45836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45836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45836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45836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45836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45836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45836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45836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45836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45836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45836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45836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45836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45836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45836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45836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45836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45836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45836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45836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45836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45836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45836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45836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45836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45836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45836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45836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45836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45836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45836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45836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45836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45836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45836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45836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45836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45836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45836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45836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45836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45836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45836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45836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45836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45836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45836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45836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45836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45836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45836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45836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45836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45836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45836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45836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45836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45836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45836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45836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45836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45836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45836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45836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45836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45836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45836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45836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45836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45836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45836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45836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45836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45836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45836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45836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45836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45836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45836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45836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45836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45836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45836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45836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45836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31581-2025</t>
        </is>
      </c>
      <c r="B1434" s="1" t="n">
        <v>45833</v>
      </c>
      <c r="C1434" s="1" t="n">
        <v>45836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2025-06-28T19:08:34Z</dcterms:created>
  <dcterms:modified xmlns:dcterms="http://purl.org/dc/terms/" xmlns:xsi="http://www.w3.org/2001/XMLSchema-instance" xsi:type="dcterms:W3CDTF">2025-06-28T19:08:35Z</dcterms:modified>
</cp:coreProperties>
</file>