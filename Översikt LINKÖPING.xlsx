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45973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45973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45973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45973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45973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45973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45973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45973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45973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45973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45973</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15475-2021</t>
        </is>
      </c>
      <c r="B14" s="1" t="n">
        <v>44285</v>
      </c>
      <c r="C14" s="1" t="n">
        <v>45973</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45973</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45973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45973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45973</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45973</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45973</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45973</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45973</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45973</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38913-2023</t>
        </is>
      </c>
      <c r="B24" s="1" t="n">
        <v>45163</v>
      </c>
      <c r="C24" s="1" t="n">
        <v>45973</v>
      </c>
      <c r="D24" t="inlineStr">
        <is>
          <t>ÖSTERGÖTLANDS LÄN</t>
        </is>
      </c>
      <c r="E24" t="inlineStr">
        <is>
          <t>LINKÖPING</t>
        </is>
      </c>
      <c r="G24" t="n">
        <v>2.7</v>
      </c>
      <c r="H24" t="n">
        <v>1</v>
      </c>
      <c r="I24" t="n">
        <v>1</v>
      </c>
      <c r="J24" t="n">
        <v>0</v>
      </c>
      <c r="K24" t="n">
        <v>0</v>
      </c>
      <c r="L24" t="n">
        <v>0</v>
      </c>
      <c r="M24" t="n">
        <v>0</v>
      </c>
      <c r="N24" t="n">
        <v>0</v>
      </c>
      <c r="O24" t="n">
        <v>0</v>
      </c>
      <c r="P24" t="n">
        <v>0</v>
      </c>
      <c r="Q24" t="n">
        <v>2</v>
      </c>
      <c r="R24" s="2" t="inlineStr">
        <is>
          <t>Skogsbräsma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58068-2021</t>
        </is>
      </c>
      <c r="B25" s="1" t="n">
        <v>44487</v>
      </c>
      <c r="C25" s="1" t="n">
        <v>45973</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50404-2023</t>
        </is>
      </c>
      <c r="B26" s="1" t="n">
        <v>45216</v>
      </c>
      <c r="C26" s="1" t="n">
        <v>45973</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49188-2024</t>
        </is>
      </c>
      <c r="B27" s="1" t="n">
        <v>45595</v>
      </c>
      <c r="C27" s="1" t="n">
        <v>45973</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21326-2025</t>
        </is>
      </c>
      <c r="B28" s="1" t="n">
        <v>45782.35407407407</v>
      </c>
      <c r="C28" s="1" t="n">
        <v>45973</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58068-2021</t>
        </is>
      </c>
      <c r="B29" s="1" t="n">
        <v>44487</v>
      </c>
      <c r="C29" s="1" t="n">
        <v>45973</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27981-2022</t>
        </is>
      </c>
      <c r="B30" s="1" t="n">
        <v>44745</v>
      </c>
      <c r="C30" s="1" t="n">
        <v>45973</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42858-2023</t>
        </is>
      </c>
      <c r="B31" s="1" t="n">
        <v>45177</v>
      </c>
      <c r="C31" s="1" t="n">
        <v>45973</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45973</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45973</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45973</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45973</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45973</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50048-2025</t>
        </is>
      </c>
      <c r="B37" s="1" t="n">
        <v>45941</v>
      </c>
      <c r="C37" s="1" t="n">
        <v>45973</v>
      </c>
      <c r="D37" t="inlineStr">
        <is>
          <t>ÖSTERGÖTLANDS LÄN</t>
        </is>
      </c>
      <c r="E37" t="inlineStr">
        <is>
          <t>LINKÖPING</t>
        </is>
      </c>
      <c r="G37" t="n">
        <v>2.4</v>
      </c>
      <c r="H37" t="n">
        <v>2</v>
      </c>
      <c r="I37" t="n">
        <v>0</v>
      </c>
      <c r="J37" t="n">
        <v>1</v>
      </c>
      <c r="K37" t="n">
        <v>0</v>
      </c>
      <c r="L37" t="n">
        <v>0</v>
      </c>
      <c r="M37" t="n">
        <v>0</v>
      </c>
      <c r="N37" t="n">
        <v>0</v>
      </c>
      <c r="O37" t="n">
        <v>1</v>
      </c>
      <c r="P37" t="n">
        <v>0</v>
      </c>
      <c r="Q37" t="n">
        <v>2</v>
      </c>
      <c r="R37" s="2" t="inlineStr">
        <is>
          <t>Gulsparv
Trädlärka</t>
        </is>
      </c>
      <c r="S37">
        <f>HYPERLINK("https://klasma.github.io/Logging_0580/artfynd/A 50048-2025 artfynd.xlsx", "A 50048-2025")</f>
        <v/>
      </c>
      <c r="T37">
        <f>HYPERLINK("https://klasma.github.io/Logging_0580/kartor/A 50048-2025 karta.png", "A 50048-2025")</f>
        <v/>
      </c>
      <c r="V37">
        <f>HYPERLINK("https://klasma.github.io/Logging_0580/klagomål/A 50048-2025 FSC-klagomål.docx", "A 50048-2025")</f>
        <v/>
      </c>
      <c r="W37">
        <f>HYPERLINK("https://klasma.github.io/Logging_0580/klagomålsmail/A 50048-2025 FSC-klagomål mail.docx", "A 50048-2025")</f>
        <v/>
      </c>
      <c r="X37">
        <f>HYPERLINK("https://klasma.github.io/Logging_0580/tillsyn/A 50048-2025 tillsynsbegäran.docx", "A 50048-2025")</f>
        <v/>
      </c>
      <c r="Y37">
        <f>HYPERLINK("https://klasma.github.io/Logging_0580/tillsynsmail/A 50048-2025 tillsynsbegäran mail.docx", "A 50048-2025")</f>
        <v/>
      </c>
      <c r="Z37">
        <f>HYPERLINK("https://klasma.github.io/Logging_0580/fåglar/A 50048-2025 prioriterade fågelarter.docx", "A 50048-2025")</f>
        <v/>
      </c>
    </row>
    <row r="38" ht="15" customHeight="1">
      <c r="A38" t="inlineStr">
        <is>
          <t>A 20292-2025</t>
        </is>
      </c>
      <c r="B38" s="1" t="n">
        <v>45774.7449537037</v>
      </c>
      <c r="C38" s="1" t="n">
        <v>45973</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27795-2025</t>
        </is>
      </c>
      <c r="B39" s="1" t="n">
        <v>45816.7908912037</v>
      </c>
      <c r="C39" s="1" t="n">
        <v>45973</v>
      </c>
      <c r="D39" t="inlineStr">
        <is>
          <t>ÖSTERGÖTLANDS LÄN</t>
        </is>
      </c>
      <c r="E39" t="inlineStr">
        <is>
          <t>LINKÖPING</t>
        </is>
      </c>
      <c r="G39" t="n">
        <v>5</v>
      </c>
      <c r="H39" t="n">
        <v>0</v>
      </c>
      <c r="I39" t="n">
        <v>0</v>
      </c>
      <c r="J39" t="n">
        <v>2</v>
      </c>
      <c r="K39" t="n">
        <v>0</v>
      </c>
      <c r="L39" t="n">
        <v>0</v>
      </c>
      <c r="M39" t="n">
        <v>0</v>
      </c>
      <c r="N39" t="n">
        <v>0</v>
      </c>
      <c r="O39" t="n">
        <v>2</v>
      </c>
      <c r="P39" t="n">
        <v>0</v>
      </c>
      <c r="Q39" t="n">
        <v>2</v>
      </c>
      <c r="R39" s="2" t="inlineStr">
        <is>
          <t>Svinrot
Ängsskära</t>
        </is>
      </c>
      <c r="S39">
        <f>HYPERLINK("https://klasma.github.io/Logging_0580/artfynd/A 27795-2025 artfynd.xlsx", "A 27795-2025")</f>
        <v/>
      </c>
      <c r="T39">
        <f>HYPERLINK("https://klasma.github.io/Logging_0580/kartor/A 27795-2025 karta.png", "A 27795-2025")</f>
        <v/>
      </c>
      <c r="V39">
        <f>HYPERLINK("https://klasma.github.io/Logging_0580/klagomål/A 27795-2025 FSC-klagomål.docx", "A 27795-2025")</f>
        <v/>
      </c>
      <c r="W39">
        <f>HYPERLINK("https://klasma.github.io/Logging_0580/klagomålsmail/A 27795-2025 FSC-klagomål mail.docx", "A 27795-2025")</f>
        <v/>
      </c>
      <c r="X39">
        <f>HYPERLINK("https://klasma.github.io/Logging_0580/tillsyn/A 27795-2025 tillsynsbegäran.docx", "A 27795-2025")</f>
        <v/>
      </c>
      <c r="Y39">
        <f>HYPERLINK("https://klasma.github.io/Logging_0580/tillsynsmail/A 27795-2025 tillsynsbegäran mail.docx", "A 27795-2025")</f>
        <v/>
      </c>
    </row>
    <row r="40" ht="15" customHeight="1">
      <c r="A40" t="inlineStr">
        <is>
          <t>A 22040-2023</t>
        </is>
      </c>
      <c r="B40" s="1" t="n">
        <v>45068</v>
      </c>
      <c r="C40" s="1" t="n">
        <v>45973</v>
      </c>
      <c r="D40" t="inlineStr">
        <is>
          <t>ÖSTERGÖTLANDS LÄN</t>
        </is>
      </c>
      <c r="E40" t="inlineStr">
        <is>
          <t>LINKÖPING</t>
        </is>
      </c>
      <c r="F40" t="inlineStr">
        <is>
          <t>Kommuner</t>
        </is>
      </c>
      <c r="G40" t="n">
        <v>1</v>
      </c>
      <c r="H40" t="n">
        <v>1</v>
      </c>
      <c r="I40" t="n">
        <v>1</v>
      </c>
      <c r="J40" t="n">
        <v>0</v>
      </c>
      <c r="K40" t="n">
        <v>1</v>
      </c>
      <c r="L40" t="n">
        <v>0</v>
      </c>
      <c r="M40" t="n">
        <v>0</v>
      </c>
      <c r="N40" t="n">
        <v>0</v>
      </c>
      <c r="O40" t="n">
        <v>1</v>
      </c>
      <c r="P40" t="n">
        <v>1</v>
      </c>
      <c r="Q40" t="n">
        <v>2</v>
      </c>
      <c r="R40" s="2" t="inlineStr">
        <is>
          <t>Bombmurkla
Skarp dropptaggsvamp</t>
        </is>
      </c>
      <c r="S40">
        <f>HYPERLINK("https://klasma.github.io/Logging_0580/artfynd/A 22040-2023 artfynd.xlsx", "A 22040-2023")</f>
        <v/>
      </c>
      <c r="T40">
        <f>HYPERLINK("https://klasma.github.io/Logging_0580/kartor/A 22040-2023 karta.png", "A 22040-2023")</f>
        <v/>
      </c>
      <c r="V40">
        <f>HYPERLINK("https://klasma.github.io/Logging_0580/klagomål/A 22040-2023 FSC-klagomål.docx", "A 22040-2023")</f>
        <v/>
      </c>
      <c r="W40">
        <f>HYPERLINK("https://klasma.github.io/Logging_0580/klagomålsmail/A 22040-2023 FSC-klagomål mail.docx", "A 22040-2023")</f>
        <v/>
      </c>
      <c r="X40">
        <f>HYPERLINK("https://klasma.github.io/Logging_0580/tillsyn/A 22040-2023 tillsynsbegäran.docx", "A 22040-2023")</f>
        <v/>
      </c>
      <c r="Y40">
        <f>HYPERLINK("https://klasma.github.io/Logging_0580/tillsynsmail/A 22040-2023 tillsynsbegäran mail.docx", "A 22040-2023")</f>
        <v/>
      </c>
    </row>
    <row r="41" ht="15" customHeight="1">
      <c r="A41" t="inlineStr">
        <is>
          <t>A 25985-2025</t>
        </is>
      </c>
      <c r="B41" s="1" t="n">
        <v>45804.64479166667</v>
      </c>
      <c r="C41" s="1" t="n">
        <v>45973</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45973</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46496-2022</t>
        </is>
      </c>
      <c r="B43" s="1" t="n">
        <v>44848</v>
      </c>
      <c r="C43" s="1" t="n">
        <v>45973</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14096-2021</t>
        </is>
      </c>
      <c r="B44" s="1" t="n">
        <v>44278</v>
      </c>
      <c r="C44" s="1" t="n">
        <v>45973</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45973</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56250-2021</t>
        </is>
      </c>
      <c r="B46" s="1" t="n">
        <v>44479</v>
      </c>
      <c r="C46" s="1" t="n">
        <v>45973</v>
      </c>
      <c r="D46" t="inlineStr">
        <is>
          <t>ÖSTERGÖTLANDS LÄN</t>
        </is>
      </c>
      <c r="E46" t="inlineStr">
        <is>
          <t>LINKÖPING</t>
        </is>
      </c>
      <c r="F46" t="inlineStr">
        <is>
          <t>Övriga Aktiebolag</t>
        </is>
      </c>
      <c r="G46" t="n">
        <v>3.2</v>
      </c>
      <c r="H46" t="n">
        <v>0</v>
      </c>
      <c r="I46" t="n">
        <v>1</v>
      </c>
      <c r="J46" t="n">
        <v>0</v>
      </c>
      <c r="K46" t="n">
        <v>0</v>
      </c>
      <c r="L46" t="n">
        <v>0</v>
      </c>
      <c r="M46" t="n">
        <v>0</v>
      </c>
      <c r="N46" t="n">
        <v>0</v>
      </c>
      <c r="O46" t="n">
        <v>0</v>
      </c>
      <c r="P46" t="n">
        <v>0</v>
      </c>
      <c r="Q46" t="n">
        <v>1</v>
      </c>
      <c r="R46" s="2" t="inlineStr">
        <is>
          <t>Strutbräken</t>
        </is>
      </c>
      <c r="S46">
        <f>HYPERLINK("https://klasma.github.io/Logging_0580/artfynd/A 56250-2021 artfynd.xlsx", "A 56250-2021")</f>
        <v/>
      </c>
      <c r="T46">
        <f>HYPERLINK("https://klasma.github.io/Logging_0580/kartor/A 56250-2021 karta.png", "A 56250-2021")</f>
        <v/>
      </c>
      <c r="V46">
        <f>HYPERLINK("https://klasma.github.io/Logging_0580/klagomål/A 56250-2021 FSC-klagomål.docx", "A 56250-2021")</f>
        <v/>
      </c>
      <c r="W46">
        <f>HYPERLINK("https://klasma.github.io/Logging_0580/klagomålsmail/A 56250-2021 FSC-klagomål mail.docx", "A 56250-2021")</f>
        <v/>
      </c>
      <c r="X46">
        <f>HYPERLINK("https://klasma.github.io/Logging_0580/tillsyn/A 56250-2021 tillsynsbegäran.docx", "A 56250-2021")</f>
        <v/>
      </c>
      <c r="Y46">
        <f>HYPERLINK("https://klasma.github.io/Logging_0580/tillsynsmail/A 56250-2021 tillsynsbegäran mail.docx", "A 56250-2021")</f>
        <v/>
      </c>
    </row>
    <row r="47" ht="15" customHeight="1">
      <c r="A47" t="inlineStr">
        <is>
          <t>A 43017-2021</t>
        </is>
      </c>
      <c r="B47" s="1" t="n">
        <v>44431</v>
      </c>
      <c r="C47" s="1" t="n">
        <v>45973</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71127-2021</t>
        </is>
      </c>
      <c r="B48" s="1" t="n">
        <v>44537</v>
      </c>
      <c r="C48" s="1" t="n">
        <v>45973</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54835-2023</t>
        </is>
      </c>
      <c r="B49" s="1" t="n">
        <v>45236</v>
      </c>
      <c r="C49" s="1" t="n">
        <v>45973</v>
      </c>
      <c r="D49" t="inlineStr">
        <is>
          <t>ÖSTERGÖTLANDS LÄN</t>
        </is>
      </c>
      <c r="E49" t="inlineStr">
        <is>
          <t>LINKÖPING</t>
        </is>
      </c>
      <c r="G49" t="n">
        <v>2</v>
      </c>
      <c r="H49" t="n">
        <v>1</v>
      </c>
      <c r="I49" t="n">
        <v>0</v>
      </c>
      <c r="J49" t="n">
        <v>0</v>
      </c>
      <c r="K49" t="n">
        <v>0</v>
      </c>
      <c r="L49" t="n">
        <v>0</v>
      </c>
      <c r="M49" t="n">
        <v>0</v>
      </c>
      <c r="N49" t="n">
        <v>0</v>
      </c>
      <c r="O49" t="n">
        <v>0</v>
      </c>
      <c r="P49" t="n">
        <v>0</v>
      </c>
      <c r="Q49" t="n">
        <v>1</v>
      </c>
      <c r="R49" s="2" t="inlineStr">
        <is>
          <t>Sparvuggla</t>
        </is>
      </c>
      <c r="S49">
        <f>HYPERLINK("https://klasma.github.io/Logging_0580/artfynd/A 54835-2023 artfynd.xlsx", "A 54835-2023")</f>
        <v/>
      </c>
      <c r="T49">
        <f>HYPERLINK("https://klasma.github.io/Logging_0580/kartor/A 54835-2023 karta.png", "A 54835-2023")</f>
        <v/>
      </c>
      <c r="V49">
        <f>HYPERLINK("https://klasma.github.io/Logging_0580/klagomål/A 54835-2023 FSC-klagomål.docx", "A 54835-2023")</f>
        <v/>
      </c>
      <c r="W49">
        <f>HYPERLINK("https://klasma.github.io/Logging_0580/klagomålsmail/A 54835-2023 FSC-klagomål mail.docx", "A 54835-2023")</f>
        <v/>
      </c>
      <c r="X49">
        <f>HYPERLINK("https://klasma.github.io/Logging_0580/tillsyn/A 54835-2023 tillsynsbegäran.docx", "A 54835-2023")</f>
        <v/>
      </c>
      <c r="Y49">
        <f>HYPERLINK("https://klasma.github.io/Logging_0580/tillsynsmail/A 54835-2023 tillsynsbegäran mail.docx", "A 54835-2023")</f>
        <v/>
      </c>
      <c r="Z49">
        <f>HYPERLINK("https://klasma.github.io/Logging_0580/fåglar/A 54835-2023 prioriterade fågelarter.docx", "A 54835-2023")</f>
        <v/>
      </c>
    </row>
    <row r="50" ht="15" customHeight="1">
      <c r="A50" t="inlineStr">
        <is>
          <t>A 34881-2023</t>
        </is>
      </c>
      <c r="B50" s="1" t="n">
        <v>45140</v>
      </c>
      <c r="C50" s="1" t="n">
        <v>45973</v>
      </c>
      <c r="D50" t="inlineStr">
        <is>
          <t>ÖSTERGÖTLANDS LÄN</t>
        </is>
      </c>
      <c r="E50" t="inlineStr">
        <is>
          <t>LINKÖPING</t>
        </is>
      </c>
      <c r="G50" t="n">
        <v>1.9</v>
      </c>
      <c r="H50" t="n">
        <v>0</v>
      </c>
      <c r="I50" t="n">
        <v>0</v>
      </c>
      <c r="J50" t="n">
        <v>1</v>
      </c>
      <c r="K50" t="n">
        <v>0</v>
      </c>
      <c r="L50" t="n">
        <v>0</v>
      </c>
      <c r="M50" t="n">
        <v>0</v>
      </c>
      <c r="N50" t="n">
        <v>0</v>
      </c>
      <c r="O50" t="n">
        <v>1</v>
      </c>
      <c r="P50" t="n">
        <v>0</v>
      </c>
      <c r="Q50" t="n">
        <v>1</v>
      </c>
      <c r="R50" s="2" t="inlineStr">
        <is>
          <t>Tallticka</t>
        </is>
      </c>
      <c r="S50">
        <f>HYPERLINK("https://klasma.github.io/Logging_0580/artfynd/A 34881-2023 artfynd.xlsx", "A 34881-2023")</f>
        <v/>
      </c>
      <c r="T50">
        <f>HYPERLINK("https://klasma.github.io/Logging_0580/kartor/A 34881-2023 karta.png", "A 34881-2023")</f>
        <v/>
      </c>
      <c r="U50">
        <f>HYPERLINK("https://klasma.github.io/Logging_0580/knärot/A 34881-2023 karta knärot.png", "A 34881-2023")</f>
        <v/>
      </c>
      <c r="V50">
        <f>HYPERLINK("https://klasma.github.io/Logging_0580/klagomål/A 34881-2023 FSC-klagomål.docx", "A 34881-2023")</f>
        <v/>
      </c>
      <c r="W50">
        <f>HYPERLINK("https://klasma.github.io/Logging_0580/klagomålsmail/A 34881-2023 FSC-klagomål mail.docx", "A 34881-2023")</f>
        <v/>
      </c>
      <c r="X50">
        <f>HYPERLINK("https://klasma.github.io/Logging_0580/tillsyn/A 34881-2023 tillsynsbegäran.docx", "A 34881-2023")</f>
        <v/>
      </c>
      <c r="Y50">
        <f>HYPERLINK("https://klasma.github.io/Logging_0580/tillsynsmail/A 34881-2023 tillsynsbegäran mail.docx", "A 34881-2023")</f>
        <v/>
      </c>
    </row>
    <row r="51" ht="15" customHeight="1">
      <c r="A51" t="inlineStr">
        <is>
          <t>A 17389-2021</t>
        </is>
      </c>
      <c r="B51" s="1" t="n">
        <v>44298.96792824074</v>
      </c>
      <c r="C51" s="1" t="n">
        <v>45973</v>
      </c>
      <c r="D51" t="inlineStr">
        <is>
          <t>ÖSTERGÖTLANDS LÄN</t>
        </is>
      </c>
      <c r="E51" t="inlineStr">
        <is>
          <t>LINKÖPING</t>
        </is>
      </c>
      <c r="G51" t="n">
        <v>5.1</v>
      </c>
      <c r="H51" t="n">
        <v>0</v>
      </c>
      <c r="I51" t="n">
        <v>1</v>
      </c>
      <c r="J51" t="n">
        <v>0</v>
      </c>
      <c r="K51" t="n">
        <v>0</v>
      </c>
      <c r="L51" t="n">
        <v>0</v>
      </c>
      <c r="M51" t="n">
        <v>0</v>
      </c>
      <c r="N51" t="n">
        <v>0</v>
      </c>
      <c r="O51" t="n">
        <v>0</v>
      </c>
      <c r="P51" t="n">
        <v>0</v>
      </c>
      <c r="Q51" t="n">
        <v>1</v>
      </c>
      <c r="R51" s="2" t="inlineStr">
        <is>
          <t>Blomkålssvamp</t>
        </is>
      </c>
      <c r="S51">
        <f>HYPERLINK("https://klasma.github.io/Logging_0580/artfynd/A 17389-2021 artfynd.xlsx", "A 17389-2021")</f>
        <v/>
      </c>
      <c r="T51">
        <f>HYPERLINK("https://klasma.github.io/Logging_0580/kartor/A 17389-2021 karta.png", "A 17389-2021")</f>
        <v/>
      </c>
      <c r="V51">
        <f>HYPERLINK("https://klasma.github.io/Logging_0580/klagomål/A 17389-2021 FSC-klagomål.docx", "A 17389-2021")</f>
        <v/>
      </c>
      <c r="W51">
        <f>HYPERLINK("https://klasma.github.io/Logging_0580/klagomålsmail/A 17389-2021 FSC-klagomål mail.docx", "A 17389-2021")</f>
        <v/>
      </c>
      <c r="X51">
        <f>HYPERLINK("https://klasma.github.io/Logging_0580/tillsyn/A 17389-2021 tillsynsbegäran.docx", "A 17389-2021")</f>
        <v/>
      </c>
      <c r="Y51">
        <f>HYPERLINK("https://klasma.github.io/Logging_0580/tillsynsmail/A 17389-2021 tillsynsbegäran mail.docx", "A 17389-2021")</f>
        <v/>
      </c>
    </row>
    <row r="52" ht="15" customHeight="1">
      <c r="A52" t="inlineStr">
        <is>
          <t>A 19103-2021</t>
        </is>
      </c>
      <c r="B52" s="1" t="n">
        <v>44308</v>
      </c>
      <c r="C52" s="1" t="n">
        <v>45973</v>
      </c>
      <c r="D52" t="inlineStr">
        <is>
          <t>ÖSTERGÖTLANDS LÄN</t>
        </is>
      </c>
      <c r="E52" t="inlineStr">
        <is>
          <t>LINKÖPING</t>
        </is>
      </c>
      <c r="G52" t="n">
        <v>4.7</v>
      </c>
      <c r="H52" t="n">
        <v>0</v>
      </c>
      <c r="I52" t="n">
        <v>0</v>
      </c>
      <c r="J52" t="n">
        <v>1</v>
      </c>
      <c r="K52" t="n">
        <v>0</v>
      </c>
      <c r="L52" t="n">
        <v>0</v>
      </c>
      <c r="M52" t="n">
        <v>0</v>
      </c>
      <c r="N52" t="n">
        <v>0</v>
      </c>
      <c r="O52" t="n">
        <v>1</v>
      </c>
      <c r="P52" t="n">
        <v>0</v>
      </c>
      <c r="Q52" t="n">
        <v>1</v>
      </c>
      <c r="R52" s="2" t="inlineStr">
        <is>
          <t>Tallticka</t>
        </is>
      </c>
      <c r="S52">
        <f>HYPERLINK("https://klasma.github.io/Logging_0580/artfynd/A 19103-2021 artfynd.xlsx", "A 19103-2021")</f>
        <v/>
      </c>
      <c r="T52">
        <f>HYPERLINK("https://klasma.github.io/Logging_0580/kartor/A 19103-2021 karta.png", "A 19103-2021")</f>
        <v/>
      </c>
      <c r="V52">
        <f>HYPERLINK("https://klasma.github.io/Logging_0580/klagomål/A 19103-2021 FSC-klagomål.docx", "A 19103-2021")</f>
        <v/>
      </c>
      <c r="W52">
        <f>HYPERLINK("https://klasma.github.io/Logging_0580/klagomålsmail/A 19103-2021 FSC-klagomål mail.docx", "A 19103-2021")</f>
        <v/>
      </c>
      <c r="X52">
        <f>HYPERLINK("https://klasma.github.io/Logging_0580/tillsyn/A 19103-2021 tillsynsbegäran.docx", "A 19103-2021")</f>
        <v/>
      </c>
      <c r="Y52">
        <f>HYPERLINK("https://klasma.github.io/Logging_0580/tillsynsmail/A 19103-2021 tillsynsbegäran mail.docx", "A 19103-2021")</f>
        <v/>
      </c>
    </row>
    <row r="53" ht="15" customHeight="1">
      <c r="A53" t="inlineStr">
        <is>
          <t>A 45317-2023</t>
        </is>
      </c>
      <c r="B53" s="1" t="n">
        <v>45191.74868055555</v>
      </c>
      <c r="C53" s="1" t="n">
        <v>45973</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20295-2025</t>
        </is>
      </c>
      <c r="B54" s="1" t="n">
        <v>45774.74846064814</v>
      </c>
      <c r="C54" s="1" t="n">
        <v>45973</v>
      </c>
      <c r="D54" t="inlineStr">
        <is>
          <t>ÖSTERGÖTLANDS LÄN</t>
        </is>
      </c>
      <c r="E54" t="inlineStr">
        <is>
          <t>LINKÖPING</t>
        </is>
      </c>
      <c r="G54" t="n">
        <v>3</v>
      </c>
      <c r="H54" t="n">
        <v>0</v>
      </c>
      <c r="I54" t="n">
        <v>0</v>
      </c>
      <c r="J54" t="n">
        <v>1</v>
      </c>
      <c r="K54" t="n">
        <v>0</v>
      </c>
      <c r="L54" t="n">
        <v>0</v>
      </c>
      <c r="M54" t="n">
        <v>0</v>
      </c>
      <c r="N54" t="n">
        <v>0</v>
      </c>
      <c r="O54" t="n">
        <v>1</v>
      </c>
      <c r="P54" t="n">
        <v>0</v>
      </c>
      <c r="Q54" t="n">
        <v>1</v>
      </c>
      <c r="R54" s="2" t="inlineStr">
        <is>
          <t>Tallticka</t>
        </is>
      </c>
      <c r="S54">
        <f>HYPERLINK("https://klasma.github.io/Logging_0580/artfynd/A 20295-2025 artfynd.xlsx", "A 20295-2025")</f>
        <v/>
      </c>
      <c r="T54">
        <f>HYPERLINK("https://klasma.github.io/Logging_0580/kartor/A 20295-2025 karta.png", "A 20295-2025")</f>
        <v/>
      </c>
      <c r="V54">
        <f>HYPERLINK("https://klasma.github.io/Logging_0580/klagomål/A 20295-2025 FSC-klagomål.docx", "A 20295-2025")</f>
        <v/>
      </c>
      <c r="W54">
        <f>HYPERLINK("https://klasma.github.io/Logging_0580/klagomålsmail/A 20295-2025 FSC-klagomål mail.docx", "A 20295-2025")</f>
        <v/>
      </c>
      <c r="X54">
        <f>HYPERLINK("https://klasma.github.io/Logging_0580/tillsyn/A 20295-2025 tillsynsbegäran.docx", "A 20295-2025")</f>
        <v/>
      </c>
      <c r="Y54">
        <f>HYPERLINK("https://klasma.github.io/Logging_0580/tillsynsmail/A 20295-2025 tillsynsbegäran mail.docx", "A 20295-2025")</f>
        <v/>
      </c>
    </row>
    <row r="55" ht="15" customHeight="1">
      <c r="A55" t="inlineStr">
        <is>
          <t>A 37683-2024</t>
        </is>
      </c>
      <c r="B55" s="1" t="n">
        <v>45541.59120370371</v>
      </c>
      <c r="C55" s="1" t="n">
        <v>45973</v>
      </c>
      <c r="D55" t="inlineStr">
        <is>
          <t>ÖSTERGÖTLANDS LÄN</t>
        </is>
      </c>
      <c r="E55" t="inlineStr">
        <is>
          <t>LINKÖPING</t>
        </is>
      </c>
      <c r="G55" t="n">
        <v>0.6</v>
      </c>
      <c r="H55" t="n">
        <v>0</v>
      </c>
      <c r="I55" t="n">
        <v>1</v>
      </c>
      <c r="J55" t="n">
        <v>0</v>
      </c>
      <c r="K55" t="n">
        <v>0</v>
      </c>
      <c r="L55" t="n">
        <v>0</v>
      </c>
      <c r="M55" t="n">
        <v>0</v>
      </c>
      <c r="N55" t="n">
        <v>0</v>
      </c>
      <c r="O55" t="n">
        <v>0</v>
      </c>
      <c r="P55" t="n">
        <v>0</v>
      </c>
      <c r="Q55" t="n">
        <v>1</v>
      </c>
      <c r="R55" s="2" t="inlineStr">
        <is>
          <t>Tibast</t>
        </is>
      </c>
      <c r="S55">
        <f>HYPERLINK("https://klasma.github.io/Logging_0580/artfynd/A 37683-2024 artfynd.xlsx", "A 37683-2024")</f>
        <v/>
      </c>
      <c r="T55">
        <f>HYPERLINK("https://klasma.github.io/Logging_0580/kartor/A 37683-2024 karta.png", "A 37683-2024")</f>
        <v/>
      </c>
      <c r="V55">
        <f>HYPERLINK("https://klasma.github.io/Logging_0580/klagomål/A 37683-2024 FSC-klagomål.docx", "A 37683-2024")</f>
        <v/>
      </c>
      <c r="W55">
        <f>HYPERLINK("https://klasma.github.io/Logging_0580/klagomålsmail/A 37683-2024 FSC-klagomål mail.docx", "A 37683-2024")</f>
        <v/>
      </c>
      <c r="X55">
        <f>HYPERLINK("https://klasma.github.io/Logging_0580/tillsyn/A 37683-2024 tillsynsbegäran.docx", "A 37683-2024")</f>
        <v/>
      </c>
      <c r="Y55">
        <f>HYPERLINK("https://klasma.github.io/Logging_0580/tillsynsmail/A 37683-2024 tillsynsbegäran mail.docx", "A 37683-2024")</f>
        <v/>
      </c>
    </row>
    <row r="56" ht="15" customHeight="1">
      <c r="A56" t="inlineStr">
        <is>
          <t>A 1213-2023</t>
        </is>
      </c>
      <c r="B56" s="1" t="n">
        <v>44930</v>
      </c>
      <c r="C56" s="1" t="n">
        <v>45973</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40315-2024</t>
        </is>
      </c>
      <c r="B57" s="1" t="n">
        <v>45554.7571875</v>
      </c>
      <c r="C57" s="1" t="n">
        <v>45973</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35948-2023</t>
        </is>
      </c>
      <c r="B58" s="1" t="n">
        <v>45148</v>
      </c>
      <c r="C58" s="1" t="n">
        <v>45973</v>
      </c>
      <c r="D58" t="inlineStr">
        <is>
          <t>ÖSTERGÖTLANDS LÄN</t>
        </is>
      </c>
      <c r="E58" t="inlineStr">
        <is>
          <t>LINKÖPING</t>
        </is>
      </c>
      <c r="G58" t="n">
        <v>1.9</v>
      </c>
      <c r="H58" t="n">
        <v>0</v>
      </c>
      <c r="I58" t="n">
        <v>1</v>
      </c>
      <c r="J58" t="n">
        <v>0</v>
      </c>
      <c r="K58" t="n">
        <v>0</v>
      </c>
      <c r="L58" t="n">
        <v>0</v>
      </c>
      <c r="M58" t="n">
        <v>0</v>
      </c>
      <c r="N58" t="n">
        <v>0</v>
      </c>
      <c r="O58" t="n">
        <v>0</v>
      </c>
      <c r="P58" t="n">
        <v>0</v>
      </c>
      <c r="Q58" t="n">
        <v>1</v>
      </c>
      <c r="R58" s="2" t="inlineStr">
        <is>
          <t>Brun nållav</t>
        </is>
      </c>
      <c r="S58">
        <f>HYPERLINK("https://klasma.github.io/Logging_0580/artfynd/A 35948-2023 artfynd.xlsx", "A 35948-2023")</f>
        <v/>
      </c>
      <c r="T58">
        <f>HYPERLINK("https://klasma.github.io/Logging_0580/kartor/A 35948-2023 karta.png", "A 35948-2023")</f>
        <v/>
      </c>
      <c r="V58">
        <f>HYPERLINK("https://klasma.github.io/Logging_0580/klagomål/A 35948-2023 FSC-klagomål.docx", "A 35948-2023")</f>
        <v/>
      </c>
      <c r="W58">
        <f>HYPERLINK("https://klasma.github.io/Logging_0580/klagomålsmail/A 35948-2023 FSC-klagomål mail.docx", "A 35948-2023")</f>
        <v/>
      </c>
      <c r="X58">
        <f>HYPERLINK("https://klasma.github.io/Logging_0580/tillsyn/A 35948-2023 tillsynsbegäran.docx", "A 35948-2023")</f>
        <v/>
      </c>
      <c r="Y58">
        <f>HYPERLINK("https://klasma.github.io/Logging_0580/tillsynsmail/A 35948-2023 tillsynsbegäran mail.docx", "A 35948-2023")</f>
        <v/>
      </c>
    </row>
    <row r="59" ht="15" customHeight="1">
      <c r="A59" t="inlineStr">
        <is>
          <t>A 50471-2024</t>
        </is>
      </c>
      <c r="B59" s="1" t="n">
        <v>45601.47166666666</v>
      </c>
      <c r="C59" s="1" t="n">
        <v>45973</v>
      </c>
      <c r="D59" t="inlineStr">
        <is>
          <t>ÖSTERGÖTLANDS LÄN</t>
        </is>
      </c>
      <c r="E59" t="inlineStr">
        <is>
          <t>LINKÖPING</t>
        </is>
      </c>
      <c r="F59" t="inlineStr">
        <is>
          <t>Övriga Aktiebolag</t>
        </is>
      </c>
      <c r="G59" t="n">
        <v>2</v>
      </c>
      <c r="H59" t="n">
        <v>0</v>
      </c>
      <c r="I59" t="n">
        <v>1</v>
      </c>
      <c r="J59" t="n">
        <v>0</v>
      </c>
      <c r="K59" t="n">
        <v>0</v>
      </c>
      <c r="L59" t="n">
        <v>0</v>
      </c>
      <c r="M59" t="n">
        <v>0</v>
      </c>
      <c r="N59" t="n">
        <v>0</v>
      </c>
      <c r="O59" t="n">
        <v>0</v>
      </c>
      <c r="P59" t="n">
        <v>0</v>
      </c>
      <c r="Q59" t="n">
        <v>1</v>
      </c>
      <c r="R59" s="2" t="inlineStr">
        <is>
          <t>Västlig hakmossa</t>
        </is>
      </c>
      <c r="S59">
        <f>HYPERLINK("https://klasma.github.io/Logging_0580/artfynd/A 50471-2024 artfynd.xlsx", "A 50471-2024")</f>
        <v/>
      </c>
      <c r="T59">
        <f>HYPERLINK("https://klasma.github.io/Logging_0580/kartor/A 50471-2024 karta.png", "A 50471-2024")</f>
        <v/>
      </c>
      <c r="V59">
        <f>HYPERLINK("https://klasma.github.io/Logging_0580/klagomål/A 50471-2024 FSC-klagomål.docx", "A 50471-2024")</f>
        <v/>
      </c>
      <c r="W59">
        <f>HYPERLINK("https://klasma.github.io/Logging_0580/klagomålsmail/A 50471-2024 FSC-klagomål mail.docx", "A 50471-2024")</f>
        <v/>
      </c>
      <c r="X59">
        <f>HYPERLINK("https://klasma.github.io/Logging_0580/tillsyn/A 50471-2024 tillsynsbegäran.docx", "A 50471-2024")</f>
        <v/>
      </c>
      <c r="Y59">
        <f>HYPERLINK("https://klasma.github.io/Logging_0580/tillsynsmail/A 50471-2024 tillsynsbegäran mail.docx", "A 50471-2024")</f>
        <v/>
      </c>
    </row>
    <row r="60" ht="15" customHeight="1">
      <c r="A60" t="inlineStr">
        <is>
          <t>A 41749-2023</t>
        </is>
      </c>
      <c r="B60" s="1" t="n">
        <v>45176</v>
      </c>
      <c r="C60" s="1" t="n">
        <v>45973</v>
      </c>
      <c r="D60" t="inlineStr">
        <is>
          <t>ÖSTERGÖTLANDS LÄN</t>
        </is>
      </c>
      <c r="E60" t="inlineStr">
        <is>
          <t>LINKÖPING</t>
        </is>
      </c>
      <c r="G60" t="n">
        <v>3.6</v>
      </c>
      <c r="H60" t="n">
        <v>0</v>
      </c>
      <c r="I60" t="n">
        <v>0</v>
      </c>
      <c r="J60" t="n">
        <v>1</v>
      </c>
      <c r="K60" t="n">
        <v>0</v>
      </c>
      <c r="L60" t="n">
        <v>0</v>
      </c>
      <c r="M60" t="n">
        <v>0</v>
      </c>
      <c r="N60" t="n">
        <v>0</v>
      </c>
      <c r="O60" t="n">
        <v>1</v>
      </c>
      <c r="P60" t="n">
        <v>0</v>
      </c>
      <c r="Q60" t="n">
        <v>1</v>
      </c>
      <c r="R60" s="2" t="inlineStr">
        <is>
          <t>Svinrot</t>
        </is>
      </c>
      <c r="S60">
        <f>HYPERLINK("https://klasma.github.io/Logging_0580/artfynd/A 41749-2023 artfynd.xlsx", "A 41749-2023")</f>
        <v/>
      </c>
      <c r="T60">
        <f>HYPERLINK("https://klasma.github.io/Logging_0580/kartor/A 41749-2023 karta.png", "A 41749-2023")</f>
        <v/>
      </c>
      <c r="V60">
        <f>HYPERLINK("https://klasma.github.io/Logging_0580/klagomål/A 41749-2023 FSC-klagomål.docx", "A 41749-2023")</f>
        <v/>
      </c>
      <c r="W60">
        <f>HYPERLINK("https://klasma.github.io/Logging_0580/klagomålsmail/A 41749-2023 FSC-klagomål mail.docx", "A 41749-2023")</f>
        <v/>
      </c>
      <c r="X60">
        <f>HYPERLINK("https://klasma.github.io/Logging_0580/tillsyn/A 41749-2023 tillsynsbegäran.docx", "A 41749-2023")</f>
        <v/>
      </c>
      <c r="Y60">
        <f>HYPERLINK("https://klasma.github.io/Logging_0580/tillsynsmail/A 41749-2023 tillsynsbegäran mail.docx", "A 41749-2023")</f>
        <v/>
      </c>
    </row>
    <row r="61" ht="15" customHeight="1">
      <c r="A61" t="inlineStr">
        <is>
          <t>A 50806-2023</t>
        </is>
      </c>
      <c r="B61" s="1" t="n">
        <v>45217</v>
      </c>
      <c r="C61" s="1" t="n">
        <v>45973</v>
      </c>
      <c r="D61" t="inlineStr">
        <is>
          <t>ÖSTERGÖTLANDS LÄN</t>
        </is>
      </c>
      <c r="E61" t="inlineStr">
        <is>
          <t>LINKÖPING</t>
        </is>
      </c>
      <c r="F61" t="inlineStr">
        <is>
          <t>Övriga Aktiebolag</t>
        </is>
      </c>
      <c r="G61" t="n">
        <v>0.7</v>
      </c>
      <c r="H61" t="n">
        <v>1</v>
      </c>
      <c r="I61" t="n">
        <v>0</v>
      </c>
      <c r="J61" t="n">
        <v>0</v>
      </c>
      <c r="K61" t="n">
        <v>0</v>
      </c>
      <c r="L61" t="n">
        <v>0</v>
      </c>
      <c r="M61" t="n">
        <v>0</v>
      </c>
      <c r="N61" t="n">
        <v>0</v>
      </c>
      <c r="O61" t="n">
        <v>0</v>
      </c>
      <c r="P61" t="n">
        <v>0</v>
      </c>
      <c r="Q61" t="n">
        <v>1</v>
      </c>
      <c r="R61" s="2" t="inlineStr">
        <is>
          <t>Gullviva</t>
        </is>
      </c>
      <c r="S61">
        <f>HYPERLINK("https://klasma.github.io/Logging_0580/artfynd/A 50806-2023 artfynd.xlsx", "A 50806-2023")</f>
        <v/>
      </c>
      <c r="T61">
        <f>HYPERLINK("https://klasma.github.io/Logging_0580/kartor/A 50806-2023 karta.png", "A 50806-2023")</f>
        <v/>
      </c>
      <c r="V61">
        <f>HYPERLINK("https://klasma.github.io/Logging_0580/klagomål/A 50806-2023 FSC-klagomål.docx", "A 50806-2023")</f>
        <v/>
      </c>
      <c r="W61">
        <f>HYPERLINK("https://klasma.github.io/Logging_0580/klagomålsmail/A 50806-2023 FSC-klagomål mail.docx", "A 50806-2023")</f>
        <v/>
      </c>
      <c r="X61">
        <f>HYPERLINK("https://klasma.github.io/Logging_0580/tillsyn/A 50806-2023 tillsynsbegäran.docx", "A 50806-2023")</f>
        <v/>
      </c>
      <c r="Y61">
        <f>HYPERLINK("https://klasma.github.io/Logging_0580/tillsynsmail/A 50806-2023 tillsynsbegäran mail.docx", "A 50806-2023")</f>
        <v/>
      </c>
    </row>
    <row r="62" ht="15" customHeight="1">
      <c r="A62" t="inlineStr">
        <is>
          <t>A 56651-2023</t>
        </is>
      </c>
      <c r="B62" s="1" t="n">
        <v>45243</v>
      </c>
      <c r="C62" s="1" t="n">
        <v>45973</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22526-2025</t>
        </is>
      </c>
      <c r="B63" s="1" t="n">
        <v>45786.78096064815</v>
      </c>
      <c r="C63" s="1" t="n">
        <v>45973</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59948-2022</t>
        </is>
      </c>
      <c r="B64" s="1" t="n">
        <v>44909</v>
      </c>
      <c r="C64" s="1" t="n">
        <v>45973</v>
      </c>
      <c r="D64" t="inlineStr">
        <is>
          <t>ÖSTERGÖTLANDS LÄN</t>
        </is>
      </c>
      <c r="E64" t="inlineStr">
        <is>
          <t>LINKÖPING</t>
        </is>
      </c>
      <c r="G64" t="n">
        <v>6.7</v>
      </c>
      <c r="H64" t="n">
        <v>0</v>
      </c>
      <c r="I64" t="n">
        <v>0</v>
      </c>
      <c r="J64" t="n">
        <v>0</v>
      </c>
      <c r="K64" t="n">
        <v>0</v>
      </c>
      <c r="L64" t="n">
        <v>0</v>
      </c>
      <c r="M64" t="n">
        <v>1</v>
      </c>
      <c r="N64" t="n">
        <v>0</v>
      </c>
      <c r="O64" t="n">
        <v>1</v>
      </c>
      <c r="P64" t="n">
        <v>1</v>
      </c>
      <c r="Q64" t="n">
        <v>1</v>
      </c>
      <c r="R64" s="2" t="inlineStr">
        <is>
          <t>Skogsalm</t>
        </is>
      </c>
      <c r="S64">
        <f>HYPERLINK("https://klasma.github.io/Logging_0580/artfynd/A 59948-2022 artfynd.xlsx", "A 59948-2022")</f>
        <v/>
      </c>
      <c r="T64">
        <f>HYPERLINK("https://klasma.github.io/Logging_0580/kartor/A 59948-2022 karta.png", "A 59948-2022")</f>
        <v/>
      </c>
      <c r="V64">
        <f>HYPERLINK("https://klasma.github.io/Logging_0580/klagomål/A 59948-2022 FSC-klagomål.docx", "A 59948-2022")</f>
        <v/>
      </c>
      <c r="W64">
        <f>HYPERLINK("https://klasma.github.io/Logging_0580/klagomålsmail/A 59948-2022 FSC-klagomål mail.docx", "A 59948-2022")</f>
        <v/>
      </c>
      <c r="X64">
        <f>HYPERLINK("https://klasma.github.io/Logging_0580/tillsyn/A 59948-2022 tillsynsbegäran.docx", "A 59948-2022")</f>
        <v/>
      </c>
      <c r="Y64">
        <f>HYPERLINK("https://klasma.github.io/Logging_0580/tillsynsmail/A 59948-2022 tillsynsbegäran mail.docx", "A 59948-2022")</f>
        <v/>
      </c>
    </row>
    <row r="65" ht="15" customHeight="1">
      <c r="A65" t="inlineStr">
        <is>
          <t>A 48347-2025</t>
        </is>
      </c>
      <c r="B65" s="1" t="n">
        <v>45932</v>
      </c>
      <c r="C65" s="1" t="n">
        <v>45973</v>
      </c>
      <c r="D65" t="inlineStr">
        <is>
          <t>ÖSTERGÖTLANDS LÄN</t>
        </is>
      </c>
      <c r="E65" t="inlineStr">
        <is>
          <t>LINKÖPING</t>
        </is>
      </c>
      <c r="F65" t="inlineStr">
        <is>
          <t>Övriga Aktiebolag</t>
        </is>
      </c>
      <c r="G65" t="n">
        <v>0.9</v>
      </c>
      <c r="H65" t="n">
        <v>0</v>
      </c>
      <c r="I65" t="n">
        <v>0</v>
      </c>
      <c r="J65" t="n">
        <v>1</v>
      </c>
      <c r="K65" t="n">
        <v>0</v>
      </c>
      <c r="L65" t="n">
        <v>0</v>
      </c>
      <c r="M65" t="n">
        <v>0</v>
      </c>
      <c r="N65" t="n">
        <v>0</v>
      </c>
      <c r="O65" t="n">
        <v>1</v>
      </c>
      <c r="P65" t="n">
        <v>0</v>
      </c>
      <c r="Q65" t="n">
        <v>1</v>
      </c>
      <c r="R65" s="2" t="inlineStr">
        <is>
          <t>Igelkott</t>
        </is>
      </c>
      <c r="S65">
        <f>HYPERLINK("https://klasma.github.io/Logging_0580/artfynd/A 48347-2025 artfynd.xlsx", "A 48347-2025")</f>
        <v/>
      </c>
      <c r="T65">
        <f>HYPERLINK("https://klasma.github.io/Logging_0580/kartor/A 48347-2025 karta.png", "A 48347-2025")</f>
        <v/>
      </c>
      <c r="V65">
        <f>HYPERLINK("https://klasma.github.io/Logging_0580/klagomål/A 48347-2025 FSC-klagomål.docx", "A 48347-2025")</f>
        <v/>
      </c>
      <c r="W65">
        <f>HYPERLINK("https://klasma.github.io/Logging_0580/klagomålsmail/A 48347-2025 FSC-klagomål mail.docx", "A 48347-2025")</f>
        <v/>
      </c>
      <c r="X65">
        <f>HYPERLINK("https://klasma.github.io/Logging_0580/tillsyn/A 48347-2025 tillsynsbegäran.docx", "A 48347-2025")</f>
        <v/>
      </c>
      <c r="Y65">
        <f>HYPERLINK("https://klasma.github.io/Logging_0580/tillsynsmail/A 48347-2025 tillsynsbegäran mail.docx", "A 48347-2025")</f>
        <v/>
      </c>
    </row>
    <row r="66" ht="15" customHeight="1">
      <c r="A66" t="inlineStr">
        <is>
          <t>A 48353-2025</t>
        </is>
      </c>
      <c r="B66" s="1" t="n">
        <v>45932</v>
      </c>
      <c r="C66" s="1" t="n">
        <v>45973</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48298-2025</t>
        </is>
      </c>
      <c r="B67" s="1" t="n">
        <v>45932</v>
      </c>
      <c r="C67" s="1" t="n">
        <v>45973</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48273-2025</t>
        </is>
      </c>
      <c r="B68" s="1" t="n">
        <v>45932</v>
      </c>
      <c r="C68" s="1" t="n">
        <v>45973</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60573-2021</t>
        </is>
      </c>
      <c r="B69" s="1" t="n">
        <v>44496</v>
      </c>
      <c r="C69" s="1" t="n">
        <v>45973</v>
      </c>
      <c r="D69" t="inlineStr">
        <is>
          <t>ÖSTERGÖTLANDS LÄN</t>
        </is>
      </c>
      <c r="E69" t="inlineStr">
        <is>
          <t>LINKÖPING</t>
        </is>
      </c>
      <c r="F69" t="inlineStr">
        <is>
          <t>Övriga Aktiebolag</t>
        </is>
      </c>
      <c r="G69" t="n">
        <v>5.6</v>
      </c>
      <c r="H69" t="n">
        <v>0</v>
      </c>
      <c r="I69" t="n">
        <v>0</v>
      </c>
      <c r="J69" t="n">
        <v>1</v>
      </c>
      <c r="K69" t="n">
        <v>0</v>
      </c>
      <c r="L69" t="n">
        <v>0</v>
      </c>
      <c r="M69" t="n">
        <v>0</v>
      </c>
      <c r="N69" t="n">
        <v>0</v>
      </c>
      <c r="O69" t="n">
        <v>1</v>
      </c>
      <c r="P69" t="n">
        <v>0</v>
      </c>
      <c r="Q69" t="n">
        <v>1</v>
      </c>
      <c r="R69" s="2" t="inlineStr">
        <is>
          <t>Sommarfibbla</t>
        </is>
      </c>
      <c r="S69">
        <f>HYPERLINK("https://klasma.github.io/Logging_0580/artfynd/A 60573-2021 artfynd.xlsx", "A 60573-2021")</f>
        <v/>
      </c>
      <c r="T69">
        <f>HYPERLINK("https://klasma.github.io/Logging_0580/kartor/A 60573-2021 karta.png", "A 60573-2021")</f>
        <v/>
      </c>
      <c r="V69">
        <f>HYPERLINK("https://klasma.github.io/Logging_0580/klagomål/A 60573-2021 FSC-klagomål.docx", "A 60573-2021")</f>
        <v/>
      </c>
      <c r="W69">
        <f>HYPERLINK("https://klasma.github.io/Logging_0580/klagomålsmail/A 60573-2021 FSC-klagomål mail.docx", "A 60573-2021")</f>
        <v/>
      </c>
      <c r="X69">
        <f>HYPERLINK("https://klasma.github.io/Logging_0580/tillsyn/A 60573-2021 tillsynsbegäran.docx", "A 60573-2021")</f>
        <v/>
      </c>
      <c r="Y69">
        <f>HYPERLINK("https://klasma.github.io/Logging_0580/tillsynsmail/A 60573-2021 tillsynsbegäran mail.docx", "A 60573-2021")</f>
        <v/>
      </c>
    </row>
    <row r="70" ht="15" customHeight="1">
      <c r="A70" t="inlineStr">
        <is>
          <t>A 62071-2023</t>
        </is>
      </c>
      <c r="B70" s="1" t="n">
        <v>45266.73542824074</v>
      </c>
      <c r="C70" s="1" t="n">
        <v>45973</v>
      </c>
      <c r="D70" t="inlineStr">
        <is>
          <t>ÖSTERGÖTLANDS LÄN</t>
        </is>
      </c>
      <c r="E70" t="inlineStr">
        <is>
          <t>LINKÖPING</t>
        </is>
      </c>
      <c r="G70" t="n">
        <v>6.5</v>
      </c>
      <c r="H70" t="n">
        <v>0</v>
      </c>
      <c r="I70" t="n">
        <v>0</v>
      </c>
      <c r="J70" t="n">
        <v>1</v>
      </c>
      <c r="K70" t="n">
        <v>0</v>
      </c>
      <c r="L70" t="n">
        <v>0</v>
      </c>
      <c r="M70" t="n">
        <v>0</v>
      </c>
      <c r="N70" t="n">
        <v>0</v>
      </c>
      <c r="O70" t="n">
        <v>1</v>
      </c>
      <c r="P70" t="n">
        <v>0</v>
      </c>
      <c r="Q70" t="n">
        <v>1</v>
      </c>
      <c r="R70" s="2" t="inlineStr">
        <is>
          <t>Svinrot</t>
        </is>
      </c>
      <c r="S70">
        <f>HYPERLINK("https://klasma.github.io/Logging_0580/artfynd/A 62071-2023 artfynd.xlsx", "A 62071-2023")</f>
        <v/>
      </c>
      <c r="T70">
        <f>HYPERLINK("https://klasma.github.io/Logging_0580/kartor/A 62071-2023 karta.png", "A 62071-2023")</f>
        <v/>
      </c>
      <c r="V70">
        <f>HYPERLINK("https://klasma.github.io/Logging_0580/klagomål/A 62071-2023 FSC-klagomål.docx", "A 62071-2023")</f>
        <v/>
      </c>
      <c r="W70">
        <f>HYPERLINK("https://klasma.github.io/Logging_0580/klagomålsmail/A 62071-2023 FSC-klagomål mail.docx", "A 62071-2023")</f>
        <v/>
      </c>
      <c r="X70">
        <f>HYPERLINK("https://klasma.github.io/Logging_0580/tillsyn/A 62071-2023 tillsynsbegäran.docx", "A 62071-2023")</f>
        <v/>
      </c>
      <c r="Y70">
        <f>HYPERLINK("https://klasma.github.io/Logging_0580/tillsynsmail/A 62071-2023 tillsynsbegäran mail.docx", "A 62071-2023")</f>
        <v/>
      </c>
    </row>
    <row r="71" ht="15" customHeight="1">
      <c r="A71" t="inlineStr">
        <is>
          <t>A 90-2024</t>
        </is>
      </c>
      <c r="B71" s="1" t="n">
        <v>45293</v>
      </c>
      <c r="C71" s="1" t="n">
        <v>45973</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17444-2025</t>
        </is>
      </c>
      <c r="B72" s="1" t="n">
        <v>45757.43452546297</v>
      </c>
      <c r="C72" s="1" t="n">
        <v>45973</v>
      </c>
      <c r="D72" t="inlineStr">
        <is>
          <t>ÖSTERGÖTLANDS LÄN</t>
        </is>
      </c>
      <c r="E72" t="inlineStr">
        <is>
          <t>LINKÖPING</t>
        </is>
      </c>
      <c r="G72" t="n">
        <v>1.3</v>
      </c>
      <c r="H72" t="n">
        <v>1</v>
      </c>
      <c r="I72" t="n">
        <v>0</v>
      </c>
      <c r="J72" t="n">
        <v>1</v>
      </c>
      <c r="K72" t="n">
        <v>0</v>
      </c>
      <c r="L72" t="n">
        <v>0</v>
      </c>
      <c r="M72" t="n">
        <v>0</v>
      </c>
      <c r="N72" t="n">
        <v>0</v>
      </c>
      <c r="O72" t="n">
        <v>1</v>
      </c>
      <c r="P72" t="n">
        <v>0</v>
      </c>
      <c r="Q72" t="n">
        <v>1</v>
      </c>
      <c r="R72" s="2" t="inlineStr">
        <is>
          <t>Dårgräsfjäril</t>
        </is>
      </c>
      <c r="S72">
        <f>HYPERLINK("https://klasma.github.io/Logging_0580/artfynd/A 17444-2025 artfynd.xlsx", "A 17444-2025")</f>
        <v/>
      </c>
      <c r="T72">
        <f>HYPERLINK("https://klasma.github.io/Logging_0580/kartor/A 17444-2025 karta.png", "A 17444-2025")</f>
        <v/>
      </c>
      <c r="V72">
        <f>HYPERLINK("https://klasma.github.io/Logging_0580/klagomål/A 17444-2025 FSC-klagomål.docx", "A 17444-2025")</f>
        <v/>
      </c>
      <c r="W72">
        <f>HYPERLINK("https://klasma.github.io/Logging_0580/klagomålsmail/A 17444-2025 FSC-klagomål mail.docx", "A 17444-2025")</f>
        <v/>
      </c>
      <c r="X72">
        <f>HYPERLINK("https://klasma.github.io/Logging_0580/tillsyn/A 17444-2025 tillsynsbegäran.docx", "A 17444-2025")</f>
        <v/>
      </c>
      <c r="Y72">
        <f>HYPERLINK("https://klasma.github.io/Logging_0580/tillsynsmail/A 17444-2025 tillsynsbegäran mail.docx", "A 17444-2025")</f>
        <v/>
      </c>
    </row>
    <row r="73" ht="15" customHeight="1">
      <c r="A73" t="inlineStr">
        <is>
          <t>A 40309-2024</t>
        </is>
      </c>
      <c r="B73" s="1" t="n">
        <v>45554.724375</v>
      </c>
      <c r="C73" s="1" t="n">
        <v>45973</v>
      </c>
      <c r="D73" t="inlineStr">
        <is>
          <t>ÖSTERGÖTLANDS LÄN</t>
        </is>
      </c>
      <c r="E73" t="inlineStr">
        <is>
          <t>LINKÖPING</t>
        </is>
      </c>
      <c r="F73" t="inlineStr">
        <is>
          <t>Allmännings- och besparingsskogar</t>
        </is>
      </c>
      <c r="G73" t="n">
        <v>6</v>
      </c>
      <c r="H73" t="n">
        <v>0</v>
      </c>
      <c r="I73" t="n">
        <v>0</v>
      </c>
      <c r="J73" t="n">
        <v>1</v>
      </c>
      <c r="K73" t="n">
        <v>0</v>
      </c>
      <c r="L73" t="n">
        <v>0</v>
      </c>
      <c r="M73" t="n">
        <v>0</v>
      </c>
      <c r="N73" t="n">
        <v>0</v>
      </c>
      <c r="O73" t="n">
        <v>1</v>
      </c>
      <c r="P73" t="n">
        <v>0</v>
      </c>
      <c r="Q73" t="n">
        <v>1</v>
      </c>
      <c r="R73" s="2" t="inlineStr">
        <is>
          <t>Garnlav</t>
        </is>
      </c>
      <c r="S73">
        <f>HYPERLINK("https://klasma.github.io/Logging_0580/artfynd/A 40309-2024 artfynd.xlsx", "A 40309-2024")</f>
        <v/>
      </c>
      <c r="T73">
        <f>HYPERLINK("https://klasma.github.io/Logging_0580/kartor/A 40309-2024 karta.png", "A 40309-2024")</f>
        <v/>
      </c>
      <c r="V73">
        <f>HYPERLINK("https://klasma.github.io/Logging_0580/klagomål/A 40309-2024 FSC-klagomål.docx", "A 40309-2024")</f>
        <v/>
      </c>
      <c r="W73">
        <f>HYPERLINK("https://klasma.github.io/Logging_0580/klagomålsmail/A 40309-2024 FSC-klagomål mail.docx", "A 40309-2024")</f>
        <v/>
      </c>
      <c r="X73">
        <f>HYPERLINK("https://klasma.github.io/Logging_0580/tillsyn/A 40309-2024 tillsynsbegäran.docx", "A 40309-2024")</f>
        <v/>
      </c>
      <c r="Y73">
        <f>HYPERLINK("https://klasma.github.io/Logging_0580/tillsynsmail/A 40309-2024 tillsynsbegäran mail.docx", "A 40309-2024")</f>
        <v/>
      </c>
    </row>
    <row r="74" ht="15" customHeight="1">
      <c r="A74" t="inlineStr">
        <is>
          <t>A 5911-2022</t>
        </is>
      </c>
      <c r="B74" s="1" t="n">
        <v>44597</v>
      </c>
      <c r="C74" s="1" t="n">
        <v>45973</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56128-2022</t>
        </is>
      </c>
      <c r="B75" s="1" t="n">
        <v>44889</v>
      </c>
      <c r="C75" s="1" t="n">
        <v>45973</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43989-2025</t>
        </is>
      </c>
      <c r="B76" s="1" t="n">
        <v>45915.44128472222</v>
      </c>
      <c r="C76" s="1" t="n">
        <v>45973</v>
      </c>
      <c r="D76" t="inlineStr">
        <is>
          <t>ÖSTERGÖTLANDS LÄN</t>
        </is>
      </c>
      <c r="E76" t="inlineStr">
        <is>
          <t>LINKÖPING</t>
        </is>
      </c>
      <c r="F76" t="inlineStr">
        <is>
          <t>Allmännings- och besparingsskogar</t>
        </is>
      </c>
      <c r="G76" t="n">
        <v>3.5</v>
      </c>
      <c r="H76" t="n">
        <v>0</v>
      </c>
      <c r="I76" t="n">
        <v>0</v>
      </c>
      <c r="J76" t="n">
        <v>1</v>
      </c>
      <c r="K76" t="n">
        <v>0</v>
      </c>
      <c r="L76" t="n">
        <v>0</v>
      </c>
      <c r="M76" t="n">
        <v>0</v>
      </c>
      <c r="N76" t="n">
        <v>0</v>
      </c>
      <c r="O76" t="n">
        <v>1</v>
      </c>
      <c r="P76" t="n">
        <v>0</v>
      </c>
      <c r="Q76" t="n">
        <v>1</v>
      </c>
      <c r="R76" s="2" t="inlineStr">
        <is>
          <t>Kavelhirs</t>
        </is>
      </c>
      <c r="S76">
        <f>HYPERLINK("https://klasma.github.io/Logging_0580/artfynd/A 43989-2025 artfynd.xlsx", "A 43989-2025")</f>
        <v/>
      </c>
      <c r="T76">
        <f>HYPERLINK("https://klasma.github.io/Logging_0580/kartor/A 43989-2025 karta.png", "A 43989-2025")</f>
        <v/>
      </c>
      <c r="V76">
        <f>HYPERLINK("https://klasma.github.io/Logging_0580/klagomål/A 43989-2025 FSC-klagomål.docx", "A 43989-2025")</f>
        <v/>
      </c>
      <c r="W76">
        <f>HYPERLINK("https://klasma.github.io/Logging_0580/klagomålsmail/A 43989-2025 FSC-klagomål mail.docx", "A 43989-2025")</f>
        <v/>
      </c>
      <c r="X76">
        <f>HYPERLINK("https://klasma.github.io/Logging_0580/tillsyn/A 43989-2025 tillsynsbegäran.docx", "A 43989-2025")</f>
        <v/>
      </c>
      <c r="Y76">
        <f>HYPERLINK("https://klasma.github.io/Logging_0580/tillsynsmail/A 43989-2025 tillsynsbegäran mail.docx", "A 43989-2025")</f>
        <v/>
      </c>
    </row>
    <row r="77" ht="15" customHeight="1">
      <c r="A77" t="inlineStr">
        <is>
          <t>A 15290-2025</t>
        </is>
      </c>
      <c r="B77" s="1" t="n">
        <v>45745.45288194445</v>
      </c>
      <c r="C77" s="1" t="n">
        <v>45973</v>
      </c>
      <c r="D77" t="inlineStr">
        <is>
          <t>ÖSTERGÖTLANDS LÄN</t>
        </is>
      </c>
      <c r="E77" t="inlineStr">
        <is>
          <t>LINKÖPING</t>
        </is>
      </c>
      <c r="G77" t="n">
        <v>18.4</v>
      </c>
      <c r="H77" t="n">
        <v>1</v>
      </c>
      <c r="I77" t="n">
        <v>0</v>
      </c>
      <c r="J77" t="n">
        <v>1</v>
      </c>
      <c r="K77" t="n">
        <v>0</v>
      </c>
      <c r="L77" t="n">
        <v>0</v>
      </c>
      <c r="M77" t="n">
        <v>0</v>
      </c>
      <c r="N77" t="n">
        <v>0</v>
      </c>
      <c r="O77" t="n">
        <v>1</v>
      </c>
      <c r="P77" t="n">
        <v>0</v>
      </c>
      <c r="Q77" t="n">
        <v>1</v>
      </c>
      <c r="R77" s="2" t="inlineStr">
        <is>
          <t>Havsörn</t>
        </is>
      </c>
      <c r="S77">
        <f>HYPERLINK("https://klasma.github.io/Logging_0580/artfynd/A 15290-2025 artfynd.xlsx", "A 15290-2025")</f>
        <v/>
      </c>
      <c r="T77">
        <f>HYPERLINK("https://klasma.github.io/Logging_0580/kartor/A 15290-2025 karta.png", "A 15290-2025")</f>
        <v/>
      </c>
      <c r="V77">
        <f>HYPERLINK("https://klasma.github.io/Logging_0580/klagomål/A 15290-2025 FSC-klagomål.docx", "A 15290-2025")</f>
        <v/>
      </c>
      <c r="W77">
        <f>HYPERLINK("https://klasma.github.io/Logging_0580/klagomålsmail/A 15290-2025 FSC-klagomål mail.docx", "A 15290-2025")</f>
        <v/>
      </c>
      <c r="X77">
        <f>HYPERLINK("https://klasma.github.io/Logging_0580/tillsyn/A 15290-2025 tillsynsbegäran.docx", "A 15290-2025")</f>
        <v/>
      </c>
      <c r="Y77">
        <f>HYPERLINK("https://klasma.github.io/Logging_0580/tillsynsmail/A 15290-2025 tillsynsbegäran mail.docx", "A 15290-2025")</f>
        <v/>
      </c>
      <c r="Z77">
        <f>HYPERLINK("https://klasma.github.io/Logging_0580/fåglar/A 15290-2025 prioriterade fågelarter.docx", "A 15290-2025")</f>
        <v/>
      </c>
    </row>
    <row r="78" ht="15" customHeight="1">
      <c r="A78" t="inlineStr">
        <is>
          <t>A 27403-2025</t>
        </is>
      </c>
      <c r="B78" s="1" t="n">
        <v>45812.72518518518</v>
      </c>
      <c r="C78" s="1" t="n">
        <v>45973</v>
      </c>
      <c r="D78" t="inlineStr">
        <is>
          <t>ÖSTERGÖTLANDS LÄN</t>
        </is>
      </c>
      <c r="E78" t="inlineStr">
        <is>
          <t>LINKÖPING</t>
        </is>
      </c>
      <c r="G78" t="n">
        <v>1.4</v>
      </c>
      <c r="H78" t="n">
        <v>0</v>
      </c>
      <c r="I78" t="n">
        <v>0</v>
      </c>
      <c r="J78" t="n">
        <v>1</v>
      </c>
      <c r="K78" t="n">
        <v>0</v>
      </c>
      <c r="L78" t="n">
        <v>0</v>
      </c>
      <c r="M78" t="n">
        <v>0</v>
      </c>
      <c r="N78" t="n">
        <v>0</v>
      </c>
      <c r="O78" t="n">
        <v>1</v>
      </c>
      <c r="P78" t="n">
        <v>0</v>
      </c>
      <c r="Q78" t="n">
        <v>1</v>
      </c>
      <c r="R78" s="2" t="inlineStr">
        <is>
          <t>Tallticka</t>
        </is>
      </c>
      <c r="S78">
        <f>HYPERLINK("https://klasma.github.io/Logging_0580/artfynd/A 27403-2025 artfynd.xlsx", "A 27403-2025")</f>
        <v/>
      </c>
      <c r="T78">
        <f>HYPERLINK("https://klasma.github.io/Logging_0580/kartor/A 27403-2025 karta.png", "A 27403-2025")</f>
        <v/>
      </c>
      <c r="V78">
        <f>HYPERLINK("https://klasma.github.io/Logging_0580/klagomål/A 27403-2025 FSC-klagomål.docx", "A 27403-2025")</f>
        <v/>
      </c>
      <c r="W78">
        <f>HYPERLINK("https://klasma.github.io/Logging_0580/klagomålsmail/A 27403-2025 FSC-klagomål mail.docx", "A 27403-2025")</f>
        <v/>
      </c>
      <c r="X78">
        <f>HYPERLINK("https://klasma.github.io/Logging_0580/tillsyn/A 27403-2025 tillsynsbegäran.docx", "A 27403-2025")</f>
        <v/>
      </c>
      <c r="Y78">
        <f>HYPERLINK("https://klasma.github.io/Logging_0580/tillsynsmail/A 27403-2025 tillsynsbegäran mail.docx", "A 27403-2025")</f>
        <v/>
      </c>
    </row>
    <row r="79" ht="15" customHeight="1">
      <c r="A79" t="inlineStr">
        <is>
          <t>A 44760-2025</t>
        </is>
      </c>
      <c r="B79" s="1" t="n">
        <v>45917.71873842592</v>
      </c>
      <c r="C79" s="1" t="n">
        <v>45973</v>
      </c>
      <c r="D79" t="inlineStr">
        <is>
          <t>ÖSTERGÖTLANDS LÄN</t>
        </is>
      </c>
      <c r="E79" t="inlineStr">
        <is>
          <t>LINKÖPING</t>
        </is>
      </c>
      <c r="G79" t="n">
        <v>0.9</v>
      </c>
      <c r="H79" t="n">
        <v>0</v>
      </c>
      <c r="I79" t="n">
        <v>0</v>
      </c>
      <c r="J79" t="n">
        <v>1</v>
      </c>
      <c r="K79" t="n">
        <v>0</v>
      </c>
      <c r="L79" t="n">
        <v>0</v>
      </c>
      <c r="M79" t="n">
        <v>0</v>
      </c>
      <c r="N79" t="n">
        <v>0</v>
      </c>
      <c r="O79" t="n">
        <v>1</v>
      </c>
      <c r="P79" t="n">
        <v>0</v>
      </c>
      <c r="Q79" t="n">
        <v>1</v>
      </c>
      <c r="R79" s="2" t="inlineStr">
        <is>
          <t>Tallticka</t>
        </is>
      </c>
      <c r="S79">
        <f>HYPERLINK("https://klasma.github.io/Logging_0580/artfynd/A 44760-2025 artfynd.xlsx", "A 44760-2025")</f>
        <v/>
      </c>
      <c r="T79">
        <f>HYPERLINK("https://klasma.github.io/Logging_0580/kartor/A 44760-2025 karta.png", "A 44760-2025")</f>
        <v/>
      </c>
      <c r="V79">
        <f>HYPERLINK("https://klasma.github.io/Logging_0580/klagomål/A 44760-2025 FSC-klagomål.docx", "A 44760-2025")</f>
        <v/>
      </c>
      <c r="W79">
        <f>HYPERLINK("https://klasma.github.io/Logging_0580/klagomålsmail/A 44760-2025 FSC-klagomål mail.docx", "A 44760-2025")</f>
        <v/>
      </c>
      <c r="X79">
        <f>HYPERLINK("https://klasma.github.io/Logging_0580/tillsyn/A 44760-2025 tillsynsbegäran.docx", "A 44760-2025")</f>
        <v/>
      </c>
      <c r="Y79">
        <f>HYPERLINK("https://klasma.github.io/Logging_0580/tillsynsmail/A 44760-2025 tillsynsbegäran mail.docx", "A 44760-2025")</f>
        <v/>
      </c>
    </row>
    <row r="80" ht="15" customHeight="1">
      <c r="A80" t="inlineStr">
        <is>
          <t>A 50034-2025</t>
        </is>
      </c>
      <c r="B80" s="1" t="n">
        <v>45941</v>
      </c>
      <c r="C80" s="1" t="n">
        <v>45973</v>
      </c>
      <c r="D80" t="inlineStr">
        <is>
          <t>ÖSTERGÖTLANDS LÄN</t>
        </is>
      </c>
      <c r="E80" t="inlineStr">
        <is>
          <t>LINKÖPING</t>
        </is>
      </c>
      <c r="G80" t="n">
        <v>6.2</v>
      </c>
      <c r="H80" t="n">
        <v>0</v>
      </c>
      <c r="I80" t="n">
        <v>0</v>
      </c>
      <c r="J80" t="n">
        <v>0</v>
      </c>
      <c r="K80" t="n">
        <v>0</v>
      </c>
      <c r="L80" t="n">
        <v>0</v>
      </c>
      <c r="M80" t="n">
        <v>1</v>
      </c>
      <c r="N80" t="n">
        <v>0</v>
      </c>
      <c r="O80" t="n">
        <v>1</v>
      </c>
      <c r="P80" t="n">
        <v>1</v>
      </c>
      <c r="Q80" t="n">
        <v>1</v>
      </c>
      <c r="R80" s="2" t="inlineStr">
        <is>
          <t>Skogsalm</t>
        </is>
      </c>
      <c r="S80">
        <f>HYPERLINK("https://klasma.github.io/Logging_0580/artfynd/A 50034-2025 artfynd.xlsx", "A 50034-2025")</f>
        <v/>
      </c>
      <c r="T80">
        <f>HYPERLINK("https://klasma.github.io/Logging_0580/kartor/A 50034-2025 karta.png", "A 50034-2025")</f>
        <v/>
      </c>
      <c r="V80">
        <f>HYPERLINK("https://klasma.github.io/Logging_0580/klagomål/A 50034-2025 FSC-klagomål.docx", "A 50034-2025")</f>
        <v/>
      </c>
      <c r="W80">
        <f>HYPERLINK("https://klasma.github.io/Logging_0580/klagomålsmail/A 50034-2025 FSC-klagomål mail.docx", "A 50034-2025")</f>
        <v/>
      </c>
      <c r="X80">
        <f>HYPERLINK("https://klasma.github.io/Logging_0580/tillsyn/A 50034-2025 tillsynsbegäran.docx", "A 50034-2025")</f>
        <v/>
      </c>
      <c r="Y80">
        <f>HYPERLINK("https://klasma.github.io/Logging_0580/tillsynsmail/A 50034-2025 tillsynsbegäran mail.docx", "A 50034-2025")</f>
        <v/>
      </c>
    </row>
    <row r="81" ht="15" customHeight="1">
      <c r="A81" t="inlineStr">
        <is>
          <t>A 1716-2023</t>
        </is>
      </c>
      <c r="B81" s="1" t="n">
        <v>44938</v>
      </c>
      <c r="C81" s="1" t="n">
        <v>45973</v>
      </c>
      <c r="D81" t="inlineStr">
        <is>
          <t>ÖSTERGÖTLANDS LÄN</t>
        </is>
      </c>
      <c r="E81" t="inlineStr">
        <is>
          <t>LINKÖPING</t>
        </is>
      </c>
      <c r="G81" t="n">
        <v>3.6</v>
      </c>
      <c r="H81" t="n">
        <v>0</v>
      </c>
      <c r="I81" t="n">
        <v>0</v>
      </c>
      <c r="J81" t="n">
        <v>1</v>
      </c>
      <c r="K81" t="n">
        <v>0</v>
      </c>
      <c r="L81" t="n">
        <v>0</v>
      </c>
      <c r="M81" t="n">
        <v>0</v>
      </c>
      <c r="N81" t="n">
        <v>0</v>
      </c>
      <c r="O81" t="n">
        <v>1</v>
      </c>
      <c r="P81" t="n">
        <v>0</v>
      </c>
      <c r="Q81" t="n">
        <v>1</v>
      </c>
      <c r="R81" s="2" t="inlineStr">
        <is>
          <t>Svinrot</t>
        </is>
      </c>
      <c r="S81">
        <f>HYPERLINK("https://klasma.github.io/Logging_0580/artfynd/A 1716-2023 artfynd.xlsx", "A 1716-2023")</f>
        <v/>
      </c>
      <c r="T81">
        <f>HYPERLINK("https://klasma.github.io/Logging_0580/kartor/A 1716-2023 karta.png", "A 1716-2023")</f>
        <v/>
      </c>
      <c r="V81">
        <f>HYPERLINK("https://klasma.github.io/Logging_0580/klagomål/A 1716-2023 FSC-klagomål.docx", "A 1716-2023")</f>
        <v/>
      </c>
      <c r="W81">
        <f>HYPERLINK("https://klasma.github.io/Logging_0580/klagomålsmail/A 1716-2023 FSC-klagomål mail.docx", "A 1716-2023")</f>
        <v/>
      </c>
      <c r="X81">
        <f>HYPERLINK("https://klasma.github.io/Logging_0580/tillsyn/A 1716-2023 tillsynsbegäran.docx", "A 1716-2023")</f>
        <v/>
      </c>
      <c r="Y81">
        <f>HYPERLINK("https://klasma.github.io/Logging_0580/tillsynsmail/A 1716-2023 tillsynsbegäran mail.docx", "A 1716-2023")</f>
        <v/>
      </c>
    </row>
    <row r="82" ht="15" customHeight="1">
      <c r="A82" t="inlineStr">
        <is>
          <t>A 931-2025</t>
        </is>
      </c>
      <c r="B82" s="1" t="n">
        <v>45665.88498842593</v>
      </c>
      <c r="C82" s="1" t="n">
        <v>45973</v>
      </c>
      <c r="D82" t="inlineStr">
        <is>
          <t>ÖSTERGÖTLANDS LÄN</t>
        </is>
      </c>
      <c r="E82" t="inlineStr">
        <is>
          <t>LINKÖPING</t>
        </is>
      </c>
      <c r="F82" t="inlineStr">
        <is>
          <t>Övriga Aktiebolag</t>
        </is>
      </c>
      <c r="G82" t="n">
        <v>0.8</v>
      </c>
      <c r="H82" t="n">
        <v>0</v>
      </c>
      <c r="I82" t="n">
        <v>0</v>
      </c>
      <c r="J82" t="n">
        <v>1</v>
      </c>
      <c r="K82" t="n">
        <v>0</v>
      </c>
      <c r="L82" t="n">
        <v>0</v>
      </c>
      <c r="M82" t="n">
        <v>0</v>
      </c>
      <c r="N82" t="n">
        <v>0</v>
      </c>
      <c r="O82" t="n">
        <v>1</v>
      </c>
      <c r="P82" t="n">
        <v>0</v>
      </c>
      <c r="Q82" t="n">
        <v>1</v>
      </c>
      <c r="R82" s="2" t="inlineStr">
        <is>
          <t>Tallticka</t>
        </is>
      </c>
      <c r="S82">
        <f>HYPERLINK("https://klasma.github.io/Logging_0580/artfynd/A 931-2025 artfynd.xlsx", "A 931-2025")</f>
        <v/>
      </c>
      <c r="T82">
        <f>HYPERLINK("https://klasma.github.io/Logging_0580/kartor/A 931-2025 karta.png", "A 931-2025")</f>
        <v/>
      </c>
      <c r="V82">
        <f>HYPERLINK("https://klasma.github.io/Logging_0580/klagomål/A 931-2025 FSC-klagomål.docx", "A 931-2025")</f>
        <v/>
      </c>
      <c r="W82">
        <f>HYPERLINK("https://klasma.github.io/Logging_0580/klagomålsmail/A 931-2025 FSC-klagomål mail.docx", "A 931-2025")</f>
        <v/>
      </c>
      <c r="X82">
        <f>HYPERLINK("https://klasma.github.io/Logging_0580/tillsyn/A 931-2025 tillsynsbegäran.docx", "A 931-2025")</f>
        <v/>
      </c>
      <c r="Y82">
        <f>HYPERLINK("https://klasma.github.io/Logging_0580/tillsynsmail/A 931-2025 tillsynsbegäran mail.docx", "A 931-2025")</f>
        <v/>
      </c>
    </row>
    <row r="83" ht="15" customHeight="1">
      <c r="A83" t="inlineStr">
        <is>
          <t>A 126-2024</t>
        </is>
      </c>
      <c r="B83" s="1" t="n">
        <v>45294</v>
      </c>
      <c r="C83" s="1" t="n">
        <v>45973</v>
      </c>
      <c r="D83" t="inlineStr">
        <is>
          <t>ÖSTERGÖTLANDS LÄN</t>
        </is>
      </c>
      <c r="E83" t="inlineStr">
        <is>
          <t>LINKÖPING</t>
        </is>
      </c>
      <c r="G83" t="n">
        <v>1</v>
      </c>
      <c r="H83" t="n">
        <v>0</v>
      </c>
      <c r="I83" t="n">
        <v>1</v>
      </c>
      <c r="J83" t="n">
        <v>0</v>
      </c>
      <c r="K83" t="n">
        <v>0</v>
      </c>
      <c r="L83" t="n">
        <v>0</v>
      </c>
      <c r="M83" t="n">
        <v>0</v>
      </c>
      <c r="N83" t="n">
        <v>0</v>
      </c>
      <c r="O83" t="n">
        <v>0</v>
      </c>
      <c r="P83" t="n">
        <v>0</v>
      </c>
      <c r="Q83" t="n">
        <v>1</v>
      </c>
      <c r="R83" s="2" t="inlineStr">
        <is>
          <t>Blåmossa</t>
        </is>
      </c>
      <c r="S83">
        <f>HYPERLINK("https://klasma.github.io/Logging_0580/artfynd/A 126-2024 artfynd.xlsx", "A 126-2024")</f>
        <v/>
      </c>
      <c r="T83">
        <f>HYPERLINK("https://klasma.github.io/Logging_0580/kartor/A 126-2024 karta.png", "A 126-2024")</f>
        <v/>
      </c>
      <c r="V83">
        <f>HYPERLINK("https://klasma.github.io/Logging_0580/klagomål/A 126-2024 FSC-klagomål.docx", "A 126-2024")</f>
        <v/>
      </c>
      <c r="W83">
        <f>HYPERLINK("https://klasma.github.io/Logging_0580/klagomålsmail/A 126-2024 FSC-klagomål mail.docx", "A 126-2024")</f>
        <v/>
      </c>
      <c r="X83">
        <f>HYPERLINK("https://klasma.github.io/Logging_0580/tillsyn/A 126-2024 tillsynsbegäran.docx", "A 126-2024")</f>
        <v/>
      </c>
      <c r="Y83">
        <f>HYPERLINK("https://klasma.github.io/Logging_0580/tillsynsmail/A 126-2024 tillsynsbegäran mail.docx", "A 126-2024")</f>
        <v/>
      </c>
    </row>
    <row r="84" ht="15" customHeight="1">
      <c r="A84" t="inlineStr">
        <is>
          <t>A 3395-2023</t>
        </is>
      </c>
      <c r="B84" s="1" t="n">
        <v>44949</v>
      </c>
      <c r="C84" s="1" t="n">
        <v>45973</v>
      </c>
      <c r="D84" t="inlineStr">
        <is>
          <t>ÖSTERGÖTLANDS LÄN</t>
        </is>
      </c>
      <c r="E84" t="inlineStr">
        <is>
          <t>LINKÖPING</t>
        </is>
      </c>
      <c r="G84" t="n">
        <v>2</v>
      </c>
      <c r="H84" t="n">
        <v>0</v>
      </c>
      <c r="I84" t="n">
        <v>0</v>
      </c>
      <c r="J84" t="n">
        <v>1</v>
      </c>
      <c r="K84" t="n">
        <v>0</v>
      </c>
      <c r="L84" t="n">
        <v>0</v>
      </c>
      <c r="M84" t="n">
        <v>0</v>
      </c>
      <c r="N84" t="n">
        <v>0</v>
      </c>
      <c r="O84" t="n">
        <v>1</v>
      </c>
      <c r="P84" t="n">
        <v>0</v>
      </c>
      <c r="Q84" t="n">
        <v>1</v>
      </c>
      <c r="R84" s="2" t="inlineStr">
        <is>
          <t>Sommarfibbla</t>
        </is>
      </c>
      <c r="S84">
        <f>HYPERLINK("https://klasma.github.io/Logging_0580/artfynd/A 3395-2023 artfynd.xlsx", "A 3395-2023")</f>
        <v/>
      </c>
      <c r="T84">
        <f>HYPERLINK("https://klasma.github.io/Logging_0580/kartor/A 3395-2023 karta.png", "A 3395-2023")</f>
        <v/>
      </c>
      <c r="V84">
        <f>HYPERLINK("https://klasma.github.io/Logging_0580/klagomål/A 3395-2023 FSC-klagomål.docx", "A 3395-2023")</f>
        <v/>
      </c>
      <c r="W84">
        <f>HYPERLINK("https://klasma.github.io/Logging_0580/klagomålsmail/A 3395-2023 FSC-klagomål mail.docx", "A 3395-2023")</f>
        <v/>
      </c>
      <c r="X84">
        <f>HYPERLINK("https://klasma.github.io/Logging_0580/tillsyn/A 3395-2023 tillsynsbegäran.docx", "A 3395-2023")</f>
        <v/>
      </c>
      <c r="Y84">
        <f>HYPERLINK("https://klasma.github.io/Logging_0580/tillsynsmail/A 3395-2023 tillsynsbegäran mail.docx", "A 3395-2023")</f>
        <v/>
      </c>
    </row>
    <row r="85" ht="15" customHeight="1">
      <c r="A85" t="inlineStr">
        <is>
          <t>A 3397-2023</t>
        </is>
      </c>
      <c r="B85" s="1" t="n">
        <v>44949</v>
      </c>
      <c r="C85" s="1" t="n">
        <v>45973</v>
      </c>
      <c r="D85" t="inlineStr">
        <is>
          <t>ÖSTERGÖTLANDS LÄN</t>
        </is>
      </c>
      <c r="E85" t="inlineStr">
        <is>
          <t>LINKÖPING</t>
        </is>
      </c>
      <c r="G85" t="n">
        <v>4.1</v>
      </c>
      <c r="H85" t="n">
        <v>0</v>
      </c>
      <c r="I85" t="n">
        <v>0</v>
      </c>
      <c r="J85" t="n">
        <v>1</v>
      </c>
      <c r="K85" t="n">
        <v>0</v>
      </c>
      <c r="L85" t="n">
        <v>0</v>
      </c>
      <c r="M85" t="n">
        <v>0</v>
      </c>
      <c r="N85" t="n">
        <v>0</v>
      </c>
      <c r="O85" t="n">
        <v>1</v>
      </c>
      <c r="P85" t="n">
        <v>0</v>
      </c>
      <c r="Q85" t="n">
        <v>1</v>
      </c>
      <c r="R85" s="2" t="inlineStr">
        <is>
          <t>Svinrot</t>
        </is>
      </c>
      <c r="S85">
        <f>HYPERLINK("https://klasma.github.io/Logging_0580/artfynd/A 3397-2023 artfynd.xlsx", "A 3397-2023")</f>
        <v/>
      </c>
      <c r="T85">
        <f>HYPERLINK("https://klasma.github.io/Logging_0580/kartor/A 3397-2023 karta.png", "A 3397-2023")</f>
        <v/>
      </c>
      <c r="V85">
        <f>HYPERLINK("https://klasma.github.io/Logging_0580/klagomål/A 3397-2023 FSC-klagomål.docx", "A 3397-2023")</f>
        <v/>
      </c>
      <c r="W85">
        <f>HYPERLINK("https://klasma.github.io/Logging_0580/klagomålsmail/A 3397-2023 FSC-klagomål mail.docx", "A 3397-2023")</f>
        <v/>
      </c>
      <c r="X85">
        <f>HYPERLINK("https://klasma.github.io/Logging_0580/tillsyn/A 3397-2023 tillsynsbegäran.docx", "A 3397-2023")</f>
        <v/>
      </c>
      <c r="Y85">
        <f>HYPERLINK("https://klasma.github.io/Logging_0580/tillsynsmail/A 3397-2023 tillsynsbegäran mail.docx", "A 3397-2023")</f>
        <v/>
      </c>
    </row>
    <row r="86" ht="15" customHeight="1">
      <c r="A86" t="inlineStr">
        <is>
          <t>A 36723-2023</t>
        </is>
      </c>
      <c r="B86" s="1" t="n">
        <v>45153</v>
      </c>
      <c r="C86" s="1" t="n">
        <v>45973</v>
      </c>
      <c r="D86" t="inlineStr">
        <is>
          <t>ÖSTERGÖTLANDS LÄN</t>
        </is>
      </c>
      <c r="E86" t="inlineStr">
        <is>
          <t>LINKÖPING</t>
        </is>
      </c>
      <c r="F86" t="inlineStr">
        <is>
          <t>Allmännings- och besparingsskogar</t>
        </is>
      </c>
      <c r="G86" t="n">
        <v>9.9</v>
      </c>
      <c r="H86" t="n">
        <v>0</v>
      </c>
      <c r="I86" t="n">
        <v>0</v>
      </c>
      <c r="J86" t="n">
        <v>0</v>
      </c>
      <c r="K86" t="n">
        <v>1</v>
      </c>
      <c r="L86" t="n">
        <v>0</v>
      </c>
      <c r="M86" t="n">
        <v>0</v>
      </c>
      <c r="N86" t="n">
        <v>0</v>
      </c>
      <c r="O86" t="n">
        <v>1</v>
      </c>
      <c r="P86" t="n">
        <v>1</v>
      </c>
      <c r="Q86" t="n">
        <v>1</v>
      </c>
      <c r="R86" s="2" t="inlineStr">
        <is>
          <t>Bitter taggsvamp</t>
        </is>
      </c>
      <c r="S86">
        <f>HYPERLINK("https://klasma.github.io/Logging_0580/artfynd/A 36723-2023 artfynd.xlsx", "A 36723-2023")</f>
        <v/>
      </c>
      <c r="T86">
        <f>HYPERLINK("https://klasma.github.io/Logging_0580/kartor/A 36723-2023 karta.png", "A 36723-2023")</f>
        <v/>
      </c>
      <c r="V86">
        <f>HYPERLINK("https://klasma.github.io/Logging_0580/klagomål/A 36723-2023 FSC-klagomål.docx", "A 36723-2023")</f>
        <v/>
      </c>
      <c r="W86">
        <f>HYPERLINK("https://klasma.github.io/Logging_0580/klagomålsmail/A 36723-2023 FSC-klagomål mail.docx", "A 36723-2023")</f>
        <v/>
      </c>
      <c r="X86">
        <f>HYPERLINK("https://klasma.github.io/Logging_0580/tillsyn/A 36723-2023 tillsynsbegäran.docx", "A 36723-2023")</f>
        <v/>
      </c>
      <c r="Y86">
        <f>HYPERLINK("https://klasma.github.io/Logging_0580/tillsynsmail/A 36723-2023 tillsynsbegäran mail.docx", "A 36723-2023")</f>
        <v/>
      </c>
    </row>
    <row r="87" ht="15" customHeight="1">
      <c r="A87" t="inlineStr">
        <is>
          <t>A 38881-2021</t>
        </is>
      </c>
      <c r="B87" s="1" t="n">
        <v>44411.46893518518</v>
      </c>
      <c r="C87" s="1" t="n">
        <v>45973</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38887-2021</t>
        </is>
      </c>
      <c r="B88" s="1" t="n">
        <v>44411</v>
      </c>
      <c r="C88" s="1" t="n">
        <v>45973</v>
      </c>
      <c r="D88" t="inlineStr">
        <is>
          <t>ÖSTERGÖTLANDS LÄN</t>
        </is>
      </c>
      <c r="E88" t="inlineStr">
        <is>
          <t>LINKÖPING</t>
        </is>
      </c>
      <c r="G88" t="n">
        <v>1.6</v>
      </c>
      <c r="H88" t="n">
        <v>0</v>
      </c>
      <c r="I88" t="n">
        <v>0</v>
      </c>
      <c r="J88" t="n">
        <v>0</v>
      </c>
      <c r="K88" t="n">
        <v>0</v>
      </c>
      <c r="L88" t="n">
        <v>0</v>
      </c>
      <c r="M88" t="n">
        <v>0</v>
      </c>
      <c r="N88" t="n">
        <v>0</v>
      </c>
      <c r="O88" t="n">
        <v>0</v>
      </c>
      <c r="P88" t="n">
        <v>0</v>
      </c>
      <c r="Q88" t="n">
        <v>0</v>
      </c>
      <c r="R88" s="2" t="inlineStr"/>
    </row>
    <row r="89" ht="15" customHeight="1">
      <c r="A89" t="inlineStr">
        <is>
          <t>A 5008-2021</t>
        </is>
      </c>
      <c r="B89" s="1" t="n">
        <v>44228</v>
      </c>
      <c r="C89" s="1" t="n">
        <v>45973</v>
      </c>
      <c r="D89" t="inlineStr">
        <is>
          <t>ÖSTERGÖTLANDS LÄN</t>
        </is>
      </c>
      <c r="E89" t="inlineStr">
        <is>
          <t>LINKÖPING</t>
        </is>
      </c>
      <c r="F89" t="inlineStr">
        <is>
          <t>Övriga Aktiebolag</t>
        </is>
      </c>
      <c r="G89" t="n">
        <v>0.3</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45973</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7289-2021</t>
        </is>
      </c>
      <c r="B91" s="1" t="n">
        <v>44238</v>
      </c>
      <c r="C91" s="1" t="n">
        <v>45973</v>
      </c>
      <c r="D91" t="inlineStr">
        <is>
          <t>ÖSTERGÖTLANDS LÄN</t>
        </is>
      </c>
      <c r="E91" t="inlineStr">
        <is>
          <t>LINKÖPING</t>
        </is>
      </c>
      <c r="G91" t="n">
        <v>0.7</v>
      </c>
      <c r="H91" t="n">
        <v>0</v>
      </c>
      <c r="I91" t="n">
        <v>0</v>
      </c>
      <c r="J91" t="n">
        <v>0</v>
      </c>
      <c r="K91" t="n">
        <v>0</v>
      </c>
      <c r="L91" t="n">
        <v>0</v>
      </c>
      <c r="M91" t="n">
        <v>0</v>
      </c>
      <c r="N91" t="n">
        <v>0</v>
      </c>
      <c r="O91" t="n">
        <v>0</v>
      </c>
      <c r="P91" t="n">
        <v>0</v>
      </c>
      <c r="Q91" t="n">
        <v>0</v>
      </c>
      <c r="R91" s="2" t="inlineStr"/>
    </row>
    <row r="92" ht="15" customHeight="1">
      <c r="A92" t="inlineStr">
        <is>
          <t>A 6958-2021</t>
        </is>
      </c>
      <c r="B92" s="1" t="n">
        <v>44237</v>
      </c>
      <c r="C92" s="1" t="n">
        <v>45973</v>
      </c>
      <c r="D92" t="inlineStr">
        <is>
          <t>ÖSTERGÖTLANDS LÄN</t>
        </is>
      </c>
      <c r="E92" t="inlineStr">
        <is>
          <t>LINKÖPING</t>
        </is>
      </c>
      <c r="G92" t="n">
        <v>0.6</v>
      </c>
      <c r="H92" t="n">
        <v>0</v>
      </c>
      <c r="I92" t="n">
        <v>0</v>
      </c>
      <c r="J92" t="n">
        <v>0</v>
      </c>
      <c r="K92" t="n">
        <v>0</v>
      </c>
      <c r="L92" t="n">
        <v>0</v>
      </c>
      <c r="M92" t="n">
        <v>0</v>
      </c>
      <c r="N92" t="n">
        <v>0</v>
      </c>
      <c r="O92" t="n">
        <v>0</v>
      </c>
      <c r="P92" t="n">
        <v>0</v>
      </c>
      <c r="Q92" t="n">
        <v>0</v>
      </c>
      <c r="R92" s="2" t="inlineStr"/>
    </row>
    <row r="93" ht="15" customHeight="1">
      <c r="A93" t="inlineStr">
        <is>
          <t>A 398-2021</t>
        </is>
      </c>
      <c r="B93" s="1" t="n">
        <v>44201</v>
      </c>
      <c r="C93" s="1" t="n">
        <v>45973</v>
      </c>
      <c r="D93" t="inlineStr">
        <is>
          <t>ÖSTERGÖTLANDS LÄN</t>
        </is>
      </c>
      <c r="E93" t="inlineStr">
        <is>
          <t>LINKÖPING</t>
        </is>
      </c>
      <c r="G93" t="n">
        <v>2.2</v>
      </c>
      <c r="H93" t="n">
        <v>0</v>
      </c>
      <c r="I93" t="n">
        <v>0</v>
      </c>
      <c r="J93" t="n">
        <v>0</v>
      </c>
      <c r="K93" t="n">
        <v>0</v>
      </c>
      <c r="L93" t="n">
        <v>0</v>
      </c>
      <c r="M93" t="n">
        <v>0</v>
      </c>
      <c r="N93" t="n">
        <v>0</v>
      </c>
      <c r="O93" t="n">
        <v>0</v>
      </c>
      <c r="P93" t="n">
        <v>0</v>
      </c>
      <c r="Q93" t="n">
        <v>0</v>
      </c>
      <c r="R93" s="2" t="inlineStr"/>
    </row>
    <row r="94" ht="15" customHeight="1">
      <c r="A94" t="inlineStr">
        <is>
          <t>A 67322-2021</t>
        </is>
      </c>
      <c r="B94" s="1" t="n">
        <v>44523</v>
      </c>
      <c r="C94" s="1" t="n">
        <v>45973</v>
      </c>
      <c r="D94" t="inlineStr">
        <is>
          <t>ÖSTERGÖTLANDS LÄN</t>
        </is>
      </c>
      <c r="E94" t="inlineStr">
        <is>
          <t>LINKÖPING</t>
        </is>
      </c>
      <c r="G94" t="n">
        <v>0.8</v>
      </c>
      <c r="H94" t="n">
        <v>0</v>
      </c>
      <c r="I94" t="n">
        <v>0</v>
      </c>
      <c r="J94" t="n">
        <v>0</v>
      </c>
      <c r="K94" t="n">
        <v>0</v>
      </c>
      <c r="L94" t="n">
        <v>0</v>
      </c>
      <c r="M94" t="n">
        <v>0</v>
      </c>
      <c r="N94" t="n">
        <v>0</v>
      </c>
      <c r="O94" t="n">
        <v>0</v>
      </c>
      <c r="P94" t="n">
        <v>0</v>
      </c>
      <c r="Q94" t="n">
        <v>0</v>
      </c>
      <c r="R94" s="2" t="inlineStr"/>
    </row>
    <row r="95" ht="15" customHeight="1">
      <c r="A95" t="inlineStr">
        <is>
          <t>A 7840-2022</t>
        </is>
      </c>
      <c r="B95" s="1" t="n">
        <v>44608</v>
      </c>
      <c r="C95" s="1" t="n">
        <v>45973</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40506-2021</t>
        </is>
      </c>
      <c r="B96" s="1" t="n">
        <v>44420</v>
      </c>
      <c r="C96" s="1" t="n">
        <v>45973</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64269-2021</t>
        </is>
      </c>
      <c r="B97" s="1" t="n">
        <v>44510</v>
      </c>
      <c r="C97" s="1" t="n">
        <v>45973</v>
      </c>
      <c r="D97" t="inlineStr">
        <is>
          <t>ÖSTERGÖTLANDS LÄN</t>
        </is>
      </c>
      <c r="E97" t="inlineStr">
        <is>
          <t>LINKÖPING</t>
        </is>
      </c>
      <c r="G97" t="n">
        <v>1.9</v>
      </c>
      <c r="H97" t="n">
        <v>0</v>
      </c>
      <c r="I97" t="n">
        <v>0</v>
      </c>
      <c r="J97" t="n">
        <v>0</v>
      </c>
      <c r="K97" t="n">
        <v>0</v>
      </c>
      <c r="L97" t="n">
        <v>0</v>
      </c>
      <c r="M97" t="n">
        <v>0</v>
      </c>
      <c r="N97" t="n">
        <v>0</v>
      </c>
      <c r="O97" t="n">
        <v>0</v>
      </c>
      <c r="P97" t="n">
        <v>0</v>
      </c>
      <c r="Q97" t="n">
        <v>0</v>
      </c>
      <c r="R97" s="2" t="inlineStr"/>
    </row>
    <row r="98" ht="15" customHeight="1">
      <c r="A98" t="inlineStr">
        <is>
          <t>A 58407-2021</t>
        </is>
      </c>
      <c r="B98" s="1" t="n">
        <v>44488</v>
      </c>
      <c r="C98" s="1" t="n">
        <v>45973</v>
      </c>
      <c r="D98" t="inlineStr">
        <is>
          <t>ÖSTERGÖTLANDS LÄN</t>
        </is>
      </c>
      <c r="E98" t="inlineStr">
        <is>
          <t>LINKÖPING</t>
        </is>
      </c>
      <c r="G98" t="n">
        <v>1.1</v>
      </c>
      <c r="H98" t="n">
        <v>0</v>
      </c>
      <c r="I98" t="n">
        <v>0</v>
      </c>
      <c r="J98" t="n">
        <v>0</v>
      </c>
      <c r="K98" t="n">
        <v>0</v>
      </c>
      <c r="L98" t="n">
        <v>0</v>
      </c>
      <c r="M98" t="n">
        <v>0</v>
      </c>
      <c r="N98" t="n">
        <v>0</v>
      </c>
      <c r="O98" t="n">
        <v>0</v>
      </c>
      <c r="P98" t="n">
        <v>0</v>
      </c>
      <c r="Q98" t="n">
        <v>0</v>
      </c>
      <c r="R98" s="2" t="inlineStr"/>
    </row>
    <row r="99" ht="15" customHeight="1">
      <c r="A99" t="inlineStr">
        <is>
          <t>A 30800-2022</t>
        </is>
      </c>
      <c r="B99" s="1" t="n">
        <v>44764.75119212963</v>
      </c>
      <c r="C99" s="1" t="n">
        <v>45973</v>
      </c>
      <c r="D99" t="inlineStr">
        <is>
          <t>ÖSTERGÖTLANDS LÄN</t>
        </is>
      </c>
      <c r="E99" t="inlineStr">
        <is>
          <t>LINKÖPING</t>
        </is>
      </c>
      <c r="G99" t="n">
        <v>0.9</v>
      </c>
      <c r="H99" t="n">
        <v>0</v>
      </c>
      <c r="I99" t="n">
        <v>0</v>
      </c>
      <c r="J99" t="n">
        <v>0</v>
      </c>
      <c r="K99" t="n">
        <v>0</v>
      </c>
      <c r="L99" t="n">
        <v>0</v>
      </c>
      <c r="M99" t="n">
        <v>0</v>
      </c>
      <c r="N99" t="n">
        <v>0</v>
      </c>
      <c r="O99" t="n">
        <v>0</v>
      </c>
      <c r="P99" t="n">
        <v>0</v>
      </c>
      <c r="Q99" t="n">
        <v>0</v>
      </c>
      <c r="R99" s="2" t="inlineStr"/>
    </row>
    <row r="100" ht="15" customHeight="1">
      <c r="A100" t="inlineStr">
        <is>
          <t>A 40635-2021</t>
        </is>
      </c>
      <c r="B100" s="1" t="n">
        <v>44420</v>
      </c>
      <c r="C100" s="1" t="n">
        <v>45973</v>
      </c>
      <c r="D100" t="inlineStr">
        <is>
          <t>ÖSTERGÖTLANDS LÄN</t>
        </is>
      </c>
      <c r="E100" t="inlineStr">
        <is>
          <t>LINKÖPING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49018-2022</t>
        </is>
      </c>
      <c r="B101" s="1" t="n">
        <v>44855</v>
      </c>
      <c r="C101" s="1" t="n">
        <v>45973</v>
      </c>
      <c r="D101" t="inlineStr">
        <is>
          <t>ÖSTERGÖTLANDS LÄN</t>
        </is>
      </c>
      <c r="E101" t="inlineStr">
        <is>
          <t>LINKÖPING</t>
        </is>
      </c>
      <c r="F101" t="inlineStr">
        <is>
          <t>Kommuner</t>
        </is>
      </c>
      <c r="G101" t="n">
        <v>0.4</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45973</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46234-2022</t>
        </is>
      </c>
      <c r="B103" s="1" t="n">
        <v>44846</v>
      </c>
      <c r="C103" s="1" t="n">
        <v>45973</v>
      </c>
      <c r="D103" t="inlineStr">
        <is>
          <t>ÖSTERGÖTLANDS LÄN</t>
        </is>
      </c>
      <c r="E103" t="inlineStr">
        <is>
          <t>LINKÖPING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38961-2021</t>
        </is>
      </c>
      <c r="B104" s="1" t="n">
        <v>44411</v>
      </c>
      <c r="C104" s="1" t="n">
        <v>45973</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60639-2021</t>
        </is>
      </c>
      <c r="B105" s="1" t="n">
        <v>44496</v>
      </c>
      <c r="C105" s="1" t="n">
        <v>45973</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159-2022</t>
        </is>
      </c>
      <c r="B106" s="1" t="n">
        <v>44564</v>
      </c>
      <c r="C106" s="1" t="n">
        <v>45973</v>
      </c>
      <c r="D106" t="inlineStr">
        <is>
          <t>ÖSTERGÖTLANDS LÄN</t>
        </is>
      </c>
      <c r="E106" t="inlineStr">
        <is>
          <t>LINKÖPING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16715-2021</t>
        </is>
      </c>
      <c r="B107" s="1" t="n">
        <v>44294</v>
      </c>
      <c r="C107" s="1" t="n">
        <v>45973</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45973</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45973</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45973</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45973</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261-2021</t>
        </is>
      </c>
      <c r="B112" s="1" t="n">
        <v>44200</v>
      </c>
      <c r="C112" s="1" t="n">
        <v>45973</v>
      </c>
      <c r="D112" t="inlineStr">
        <is>
          <t>ÖSTERGÖTLANDS LÄN</t>
        </is>
      </c>
      <c r="E112" t="inlineStr">
        <is>
          <t>LINKÖPING</t>
        </is>
      </c>
      <c r="G112" t="n">
        <v>3.1</v>
      </c>
      <c r="H112" t="n">
        <v>0</v>
      </c>
      <c r="I112" t="n">
        <v>0</v>
      </c>
      <c r="J112" t="n">
        <v>0</v>
      </c>
      <c r="K112" t="n">
        <v>0</v>
      </c>
      <c r="L112" t="n">
        <v>0</v>
      </c>
      <c r="M112" t="n">
        <v>0</v>
      </c>
      <c r="N112" t="n">
        <v>0</v>
      </c>
      <c r="O112" t="n">
        <v>0</v>
      </c>
      <c r="P112" t="n">
        <v>0</v>
      </c>
      <c r="Q112" t="n">
        <v>0</v>
      </c>
      <c r="R112" s="2" t="inlineStr"/>
    </row>
    <row r="113" ht="15" customHeight="1">
      <c r="A113" t="inlineStr">
        <is>
          <t>A 31703-2022</t>
        </is>
      </c>
      <c r="B113" s="1" t="n">
        <v>44776</v>
      </c>
      <c r="C113" s="1" t="n">
        <v>45973</v>
      </c>
      <c r="D113" t="inlineStr">
        <is>
          <t>ÖSTERGÖTLANDS LÄN</t>
        </is>
      </c>
      <c r="E113" t="inlineStr">
        <is>
          <t>LINKÖPING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67120-2020</t>
        </is>
      </c>
      <c r="B114" s="1" t="n">
        <v>44180</v>
      </c>
      <c r="C114" s="1" t="n">
        <v>45973</v>
      </c>
      <c r="D114" t="inlineStr">
        <is>
          <t>ÖSTERGÖTLANDS LÄN</t>
        </is>
      </c>
      <c r="E114" t="inlineStr">
        <is>
          <t>LINKÖPING</t>
        </is>
      </c>
      <c r="F114" t="inlineStr">
        <is>
          <t>Övriga statliga verk och myndigheter</t>
        </is>
      </c>
      <c r="G114" t="n">
        <v>1.4</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45973</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53146-2021</t>
        </is>
      </c>
      <c r="B116" s="1" t="n">
        <v>44466</v>
      </c>
      <c r="C116" s="1" t="n">
        <v>45973</v>
      </c>
      <c r="D116" t="inlineStr">
        <is>
          <t>ÖSTERGÖTLANDS LÄN</t>
        </is>
      </c>
      <c r="E116" t="inlineStr">
        <is>
          <t>LINKÖPING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45973</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45973</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45973</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45973</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45973</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45973</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45973</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45973</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45973</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45973</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45973</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45973</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45973</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45973</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45973</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45973</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45973</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45973</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45973</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45973</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45973</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45973</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45973</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45973</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45973</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45973</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45973</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45973</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13922-2021</t>
        </is>
      </c>
      <c r="B145" s="1" t="n">
        <v>44277.45946759259</v>
      </c>
      <c r="C145" s="1" t="n">
        <v>45973</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40527-2022</t>
        </is>
      </c>
      <c r="B146" s="1" t="n">
        <v>44823</v>
      </c>
      <c r="C146" s="1" t="n">
        <v>45973</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52968-2021</t>
        </is>
      </c>
      <c r="B147" s="1" t="n">
        <v>44467</v>
      </c>
      <c r="C147" s="1" t="n">
        <v>45973</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1787-2022</t>
        </is>
      </c>
      <c r="B148" s="1" t="n">
        <v>44574</v>
      </c>
      <c r="C148" s="1" t="n">
        <v>45973</v>
      </c>
      <c r="D148" t="inlineStr">
        <is>
          <t>ÖSTERGÖTLANDS LÄN</t>
        </is>
      </c>
      <c r="E148" t="inlineStr">
        <is>
          <t>LINKÖPING</t>
        </is>
      </c>
      <c r="G148" t="n">
        <v>1.9</v>
      </c>
      <c r="H148" t="n">
        <v>0</v>
      </c>
      <c r="I148" t="n">
        <v>0</v>
      </c>
      <c r="J148" t="n">
        <v>0</v>
      </c>
      <c r="K148" t="n">
        <v>0</v>
      </c>
      <c r="L148" t="n">
        <v>0</v>
      </c>
      <c r="M148" t="n">
        <v>0</v>
      </c>
      <c r="N148" t="n">
        <v>0</v>
      </c>
      <c r="O148" t="n">
        <v>0</v>
      </c>
      <c r="P148" t="n">
        <v>0</v>
      </c>
      <c r="Q148" t="n">
        <v>0</v>
      </c>
      <c r="R148" s="2" t="inlineStr"/>
    </row>
    <row r="149" ht="15" customHeight="1">
      <c r="A149" t="inlineStr">
        <is>
          <t>A 948-2022</t>
        </is>
      </c>
      <c r="B149" s="1" t="n">
        <v>44571</v>
      </c>
      <c r="C149" s="1" t="n">
        <v>45973</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45973</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37014-2021</t>
        </is>
      </c>
      <c r="B151" s="1" t="n">
        <v>44393</v>
      </c>
      <c r="C151" s="1" t="n">
        <v>45973</v>
      </c>
      <c r="D151" t="inlineStr">
        <is>
          <t>ÖSTERGÖTLANDS LÄN</t>
        </is>
      </c>
      <c r="E151" t="inlineStr">
        <is>
          <t>LINKÖPING</t>
        </is>
      </c>
      <c r="F151" t="inlineStr">
        <is>
          <t>Allmännings- och besparingsskogar</t>
        </is>
      </c>
      <c r="G151" t="n">
        <v>7.7</v>
      </c>
      <c r="H151" t="n">
        <v>0</v>
      </c>
      <c r="I151" t="n">
        <v>0</v>
      </c>
      <c r="J151" t="n">
        <v>0</v>
      </c>
      <c r="K151" t="n">
        <v>0</v>
      </c>
      <c r="L151" t="n">
        <v>0</v>
      </c>
      <c r="M151" t="n">
        <v>0</v>
      </c>
      <c r="N151" t="n">
        <v>0</v>
      </c>
      <c r="O151" t="n">
        <v>0</v>
      </c>
      <c r="P151" t="n">
        <v>0</v>
      </c>
      <c r="Q151" t="n">
        <v>0</v>
      </c>
      <c r="R151" s="2" t="inlineStr"/>
    </row>
    <row r="152" ht="15" customHeight="1">
      <c r="A152" t="inlineStr">
        <is>
          <t>A 48016-2021</t>
        </is>
      </c>
      <c r="B152" s="1" t="n">
        <v>44449</v>
      </c>
      <c r="C152" s="1" t="n">
        <v>45973</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38134-2021</t>
        </is>
      </c>
      <c r="B153" s="1" t="n">
        <v>44405.3794212963</v>
      </c>
      <c r="C153" s="1" t="n">
        <v>45973</v>
      </c>
      <c r="D153" t="inlineStr">
        <is>
          <t>ÖSTERGÖTLANDS LÄN</t>
        </is>
      </c>
      <c r="E153" t="inlineStr">
        <is>
          <t>LINKÖPING</t>
        </is>
      </c>
      <c r="G153" t="n">
        <v>5.1</v>
      </c>
      <c r="H153" t="n">
        <v>0</v>
      </c>
      <c r="I153" t="n">
        <v>0</v>
      </c>
      <c r="J153" t="n">
        <v>0</v>
      </c>
      <c r="K153" t="n">
        <v>0</v>
      </c>
      <c r="L153" t="n">
        <v>0</v>
      </c>
      <c r="M153" t="n">
        <v>0</v>
      </c>
      <c r="N153" t="n">
        <v>0</v>
      </c>
      <c r="O153" t="n">
        <v>0</v>
      </c>
      <c r="P153" t="n">
        <v>0</v>
      </c>
      <c r="Q153" t="n">
        <v>0</v>
      </c>
      <c r="R153" s="2" t="inlineStr"/>
    </row>
    <row r="154" ht="15" customHeight="1">
      <c r="A154" t="inlineStr">
        <is>
          <t>A 30858-2022</t>
        </is>
      </c>
      <c r="B154" s="1" t="n">
        <v>44767</v>
      </c>
      <c r="C154" s="1" t="n">
        <v>45973</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34486-2021</t>
        </is>
      </c>
      <c r="B155" s="1" t="n">
        <v>44382.29295138889</v>
      </c>
      <c r="C155" s="1" t="n">
        <v>45973</v>
      </c>
      <c r="D155" t="inlineStr">
        <is>
          <t>ÖSTERGÖTLANDS LÄN</t>
        </is>
      </c>
      <c r="E155" t="inlineStr">
        <is>
          <t>LINKÖPING</t>
        </is>
      </c>
      <c r="G155" t="n">
        <v>4.4</v>
      </c>
      <c r="H155" t="n">
        <v>0</v>
      </c>
      <c r="I155" t="n">
        <v>0</v>
      </c>
      <c r="J155" t="n">
        <v>0</v>
      </c>
      <c r="K155" t="n">
        <v>0</v>
      </c>
      <c r="L155" t="n">
        <v>0</v>
      </c>
      <c r="M155" t="n">
        <v>0</v>
      </c>
      <c r="N155" t="n">
        <v>0</v>
      </c>
      <c r="O155" t="n">
        <v>0</v>
      </c>
      <c r="P155" t="n">
        <v>0</v>
      </c>
      <c r="Q155" t="n">
        <v>0</v>
      </c>
      <c r="R155" s="2" t="inlineStr"/>
    </row>
    <row r="156" ht="15" customHeight="1">
      <c r="A156" t="inlineStr">
        <is>
          <t>A 23175-2022</t>
        </is>
      </c>
      <c r="B156" s="1" t="n">
        <v>44719</v>
      </c>
      <c r="C156" s="1" t="n">
        <v>45973</v>
      </c>
      <c r="D156" t="inlineStr">
        <is>
          <t>ÖSTERGÖTLANDS LÄN</t>
        </is>
      </c>
      <c r="E156" t="inlineStr">
        <is>
          <t>LINKÖPING</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44849-2022</t>
        </is>
      </c>
      <c r="B157" s="1" t="n">
        <v>44841</v>
      </c>
      <c r="C157" s="1" t="n">
        <v>45973</v>
      </c>
      <c r="D157" t="inlineStr">
        <is>
          <t>ÖSTERGÖTLANDS LÄN</t>
        </is>
      </c>
      <c r="E157" t="inlineStr">
        <is>
          <t>LINKÖPING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70835-2021</t>
        </is>
      </c>
      <c r="B158" s="1" t="n">
        <v>44537</v>
      </c>
      <c r="C158" s="1" t="n">
        <v>45973</v>
      </c>
      <c r="D158" t="inlineStr">
        <is>
          <t>ÖSTERGÖTLANDS LÄN</t>
        </is>
      </c>
      <c r="E158" t="inlineStr">
        <is>
          <t>LINKÖPING</t>
        </is>
      </c>
      <c r="G158" t="n">
        <v>2.3</v>
      </c>
      <c r="H158" t="n">
        <v>0</v>
      </c>
      <c r="I158" t="n">
        <v>0</v>
      </c>
      <c r="J158" t="n">
        <v>0</v>
      </c>
      <c r="K158" t="n">
        <v>0</v>
      </c>
      <c r="L158" t="n">
        <v>0</v>
      </c>
      <c r="M158" t="n">
        <v>0</v>
      </c>
      <c r="N158" t="n">
        <v>0</v>
      </c>
      <c r="O158" t="n">
        <v>0</v>
      </c>
      <c r="P158" t="n">
        <v>0</v>
      </c>
      <c r="Q158" t="n">
        <v>0</v>
      </c>
      <c r="R158" s="2" t="inlineStr"/>
    </row>
    <row r="159" ht="15" customHeight="1">
      <c r="A159" t="inlineStr">
        <is>
          <t>A 37934-2022</t>
        </is>
      </c>
      <c r="B159" s="1" t="n">
        <v>44809</v>
      </c>
      <c r="C159" s="1" t="n">
        <v>45973</v>
      </c>
      <c r="D159" t="inlineStr">
        <is>
          <t>ÖSTERGÖTLANDS LÄN</t>
        </is>
      </c>
      <c r="E159" t="inlineStr">
        <is>
          <t>LINKÖPING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54854-2022</t>
        </is>
      </c>
      <c r="B160" s="1" t="n">
        <v>44884</v>
      </c>
      <c r="C160" s="1" t="n">
        <v>45973</v>
      </c>
      <c r="D160" t="inlineStr">
        <is>
          <t>ÖSTERGÖTLANDS LÄN</t>
        </is>
      </c>
      <c r="E160" t="inlineStr">
        <is>
          <t>LINKÖPING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54855-2022</t>
        </is>
      </c>
      <c r="B161" s="1" t="n">
        <v>44884.59502314815</v>
      </c>
      <c r="C161" s="1" t="n">
        <v>45973</v>
      </c>
      <c r="D161" t="inlineStr">
        <is>
          <t>ÖSTERGÖTLANDS LÄN</t>
        </is>
      </c>
      <c r="E161" t="inlineStr">
        <is>
          <t>LINKÖPING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58266-2021</t>
        </is>
      </c>
      <c r="B162" s="1" t="n">
        <v>44487</v>
      </c>
      <c r="C162" s="1" t="n">
        <v>45973</v>
      </c>
      <c r="D162" t="inlineStr">
        <is>
          <t>ÖSTERGÖTLANDS LÄN</t>
        </is>
      </c>
      <c r="E162" t="inlineStr">
        <is>
          <t>LINKÖPING</t>
        </is>
      </c>
      <c r="F162" t="inlineStr">
        <is>
          <t>Övriga Aktiebolag</t>
        </is>
      </c>
      <c r="G162" t="n">
        <v>3.2</v>
      </c>
      <c r="H162" t="n">
        <v>0</v>
      </c>
      <c r="I162" t="n">
        <v>0</v>
      </c>
      <c r="J162" t="n">
        <v>0</v>
      </c>
      <c r="K162" t="n">
        <v>0</v>
      </c>
      <c r="L162" t="n">
        <v>0</v>
      </c>
      <c r="M162" t="n">
        <v>0</v>
      </c>
      <c r="N162" t="n">
        <v>0</v>
      </c>
      <c r="O162" t="n">
        <v>0</v>
      </c>
      <c r="P162" t="n">
        <v>0</v>
      </c>
      <c r="Q162" t="n">
        <v>0</v>
      </c>
      <c r="R162" s="2" t="inlineStr"/>
    </row>
    <row r="163" ht="15" customHeight="1">
      <c r="A163" t="inlineStr">
        <is>
          <t>A 31732-2022</t>
        </is>
      </c>
      <c r="B163" s="1" t="n">
        <v>44776.49267361111</v>
      </c>
      <c r="C163" s="1" t="n">
        <v>45973</v>
      </c>
      <c r="D163" t="inlineStr">
        <is>
          <t>ÖSTERGÖTLANDS LÄN</t>
        </is>
      </c>
      <c r="E163" t="inlineStr">
        <is>
          <t>LINKÖPING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11079-2022</t>
        </is>
      </c>
      <c r="B164" s="1" t="n">
        <v>44628</v>
      </c>
      <c r="C164" s="1" t="n">
        <v>45973</v>
      </c>
      <c r="D164" t="inlineStr">
        <is>
          <t>ÖSTERGÖTLANDS LÄN</t>
        </is>
      </c>
      <c r="E164" t="inlineStr">
        <is>
          <t>LINKÖPING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20901-2021</t>
        </is>
      </c>
      <c r="B165" s="1" t="n">
        <v>44319</v>
      </c>
      <c r="C165" s="1" t="n">
        <v>45973</v>
      </c>
      <c r="D165" t="inlineStr">
        <is>
          <t>ÖSTERGÖTLANDS LÄN</t>
        </is>
      </c>
      <c r="E165" t="inlineStr">
        <is>
          <t>LINKÖPING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28447-2021</t>
        </is>
      </c>
      <c r="B166" s="1" t="n">
        <v>44356</v>
      </c>
      <c r="C166" s="1" t="n">
        <v>45973</v>
      </c>
      <c r="D166" t="inlineStr">
        <is>
          <t>ÖSTERGÖTLANDS LÄN</t>
        </is>
      </c>
      <c r="E166" t="inlineStr">
        <is>
          <t>LINKÖPING</t>
        </is>
      </c>
      <c r="G166" t="n">
        <v>2</v>
      </c>
      <c r="H166" t="n">
        <v>0</v>
      </c>
      <c r="I166" t="n">
        <v>0</v>
      </c>
      <c r="J166" t="n">
        <v>0</v>
      </c>
      <c r="K166" t="n">
        <v>0</v>
      </c>
      <c r="L166" t="n">
        <v>0</v>
      </c>
      <c r="M166" t="n">
        <v>0</v>
      </c>
      <c r="N166" t="n">
        <v>0</v>
      </c>
      <c r="O166" t="n">
        <v>0</v>
      </c>
      <c r="P166" t="n">
        <v>0</v>
      </c>
      <c r="Q166" t="n">
        <v>0</v>
      </c>
      <c r="R166" s="2" t="inlineStr"/>
    </row>
    <row r="167" ht="15" customHeight="1">
      <c r="A167" t="inlineStr">
        <is>
          <t>A 9935-2021</t>
        </is>
      </c>
      <c r="B167" s="1" t="n">
        <v>44253</v>
      </c>
      <c r="C167" s="1" t="n">
        <v>45973</v>
      </c>
      <c r="D167" t="inlineStr">
        <is>
          <t>ÖSTERGÖTLANDS LÄN</t>
        </is>
      </c>
      <c r="E167" t="inlineStr">
        <is>
          <t>LINKÖPING</t>
        </is>
      </c>
      <c r="G167" t="n">
        <v>4.5</v>
      </c>
      <c r="H167" t="n">
        <v>0</v>
      </c>
      <c r="I167" t="n">
        <v>0</v>
      </c>
      <c r="J167" t="n">
        <v>0</v>
      </c>
      <c r="K167" t="n">
        <v>0</v>
      </c>
      <c r="L167" t="n">
        <v>0</v>
      </c>
      <c r="M167" t="n">
        <v>0</v>
      </c>
      <c r="N167" t="n">
        <v>0</v>
      </c>
      <c r="O167" t="n">
        <v>0</v>
      </c>
      <c r="P167" t="n">
        <v>0</v>
      </c>
      <c r="Q167" t="n">
        <v>0</v>
      </c>
      <c r="R167" s="2" t="inlineStr"/>
    </row>
    <row r="168" ht="15" customHeight="1">
      <c r="A168" t="inlineStr">
        <is>
          <t>A 31705-2022</t>
        </is>
      </c>
      <c r="B168" s="1" t="n">
        <v>44776.43607638889</v>
      </c>
      <c r="C168" s="1" t="n">
        <v>45973</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61302-2021</t>
        </is>
      </c>
      <c r="B169" s="1" t="n">
        <v>44498.63189814815</v>
      </c>
      <c r="C169" s="1" t="n">
        <v>45973</v>
      </c>
      <c r="D169" t="inlineStr">
        <is>
          <t>ÖSTERGÖTLANDS LÄN</t>
        </is>
      </c>
      <c r="E169" t="inlineStr">
        <is>
          <t>LINKÖPING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19318-2022</t>
        </is>
      </c>
      <c r="B170" s="1" t="n">
        <v>44692.5827662037</v>
      </c>
      <c r="C170" s="1" t="n">
        <v>45973</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45973</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23416-2022</t>
        </is>
      </c>
      <c r="B172" s="1" t="n">
        <v>44720.78243055556</v>
      </c>
      <c r="C172" s="1" t="n">
        <v>45973</v>
      </c>
      <c r="D172" t="inlineStr">
        <is>
          <t>ÖSTERGÖTLANDS LÄN</t>
        </is>
      </c>
      <c r="E172" t="inlineStr">
        <is>
          <t>LINKÖPING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5605-2022</t>
        </is>
      </c>
      <c r="B173" s="1" t="n">
        <v>44595</v>
      </c>
      <c r="C173" s="1" t="n">
        <v>45973</v>
      </c>
      <c r="D173" t="inlineStr">
        <is>
          <t>ÖSTERGÖTLANDS LÄN</t>
        </is>
      </c>
      <c r="E173" t="inlineStr">
        <is>
          <t>LINKÖPING</t>
        </is>
      </c>
      <c r="F173" t="inlineStr">
        <is>
          <t>Övriga statliga verk och myndigheter</t>
        </is>
      </c>
      <c r="G173" t="n">
        <v>3</v>
      </c>
      <c r="H173" t="n">
        <v>0</v>
      </c>
      <c r="I173" t="n">
        <v>0</v>
      </c>
      <c r="J173" t="n">
        <v>0</v>
      </c>
      <c r="K173" t="n">
        <v>0</v>
      </c>
      <c r="L173" t="n">
        <v>0</v>
      </c>
      <c r="M173" t="n">
        <v>0</v>
      </c>
      <c r="N173" t="n">
        <v>0</v>
      </c>
      <c r="O173" t="n">
        <v>0</v>
      </c>
      <c r="P173" t="n">
        <v>0</v>
      </c>
      <c r="Q173" t="n">
        <v>0</v>
      </c>
      <c r="R173" s="2" t="inlineStr"/>
    </row>
    <row r="174" ht="15" customHeight="1">
      <c r="A174" t="inlineStr">
        <is>
          <t>A 56688-2021</t>
        </is>
      </c>
      <c r="B174" s="1" t="n">
        <v>44481</v>
      </c>
      <c r="C174" s="1" t="n">
        <v>45973</v>
      </c>
      <c r="D174" t="inlineStr">
        <is>
          <t>ÖSTERGÖTLANDS LÄN</t>
        </is>
      </c>
      <c r="E174" t="inlineStr">
        <is>
          <t>LINKÖPING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45973</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45973</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54467-2022</t>
        </is>
      </c>
      <c r="B177" s="1" t="n">
        <v>44882</v>
      </c>
      <c r="C177" s="1" t="n">
        <v>45973</v>
      </c>
      <c r="D177" t="inlineStr">
        <is>
          <t>ÖSTERGÖTLANDS LÄN</t>
        </is>
      </c>
      <c r="E177" t="inlineStr">
        <is>
          <t>LINKÖPING</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45973</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41426-2022</t>
        </is>
      </c>
      <c r="B179" s="1" t="n">
        <v>44826</v>
      </c>
      <c r="C179" s="1" t="n">
        <v>45973</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36341-2022</t>
        </is>
      </c>
      <c r="B180" s="1" t="n">
        <v>44803</v>
      </c>
      <c r="C180" s="1" t="n">
        <v>45973</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34162-2022</t>
        </is>
      </c>
      <c r="B181" s="1" t="n">
        <v>44791</v>
      </c>
      <c r="C181" s="1" t="n">
        <v>45973</v>
      </c>
      <c r="D181" t="inlineStr">
        <is>
          <t>ÖSTERGÖTLANDS LÄN</t>
        </is>
      </c>
      <c r="E181" t="inlineStr">
        <is>
          <t>LINKÖPING</t>
        </is>
      </c>
      <c r="G181" t="n">
        <v>3</v>
      </c>
      <c r="H181" t="n">
        <v>0</v>
      </c>
      <c r="I181" t="n">
        <v>0</v>
      </c>
      <c r="J181" t="n">
        <v>0</v>
      </c>
      <c r="K181" t="n">
        <v>0</v>
      </c>
      <c r="L181" t="n">
        <v>0</v>
      </c>
      <c r="M181" t="n">
        <v>0</v>
      </c>
      <c r="N181" t="n">
        <v>0</v>
      </c>
      <c r="O181" t="n">
        <v>0</v>
      </c>
      <c r="P181" t="n">
        <v>0</v>
      </c>
      <c r="Q181" t="n">
        <v>0</v>
      </c>
      <c r="R181" s="2" t="inlineStr"/>
    </row>
    <row r="182" ht="15" customHeight="1">
      <c r="A182" t="inlineStr">
        <is>
          <t>A 10951-2022</t>
        </is>
      </c>
      <c r="B182" s="1" t="n">
        <v>44627</v>
      </c>
      <c r="C182" s="1" t="n">
        <v>45973</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4929-2021</t>
        </is>
      </c>
      <c r="B183" s="1" t="n">
        <v>44227.57533564815</v>
      </c>
      <c r="C183" s="1" t="n">
        <v>45973</v>
      </c>
      <c r="D183" t="inlineStr">
        <is>
          <t>ÖSTERGÖTLANDS LÄN</t>
        </is>
      </c>
      <c r="E183" t="inlineStr">
        <is>
          <t>LINKÖPING</t>
        </is>
      </c>
      <c r="G183" t="n">
        <v>0.4</v>
      </c>
      <c r="H183" t="n">
        <v>0</v>
      </c>
      <c r="I183" t="n">
        <v>0</v>
      </c>
      <c r="J183" t="n">
        <v>0</v>
      </c>
      <c r="K183" t="n">
        <v>0</v>
      </c>
      <c r="L183" t="n">
        <v>0</v>
      </c>
      <c r="M183" t="n">
        <v>0</v>
      </c>
      <c r="N183" t="n">
        <v>0</v>
      </c>
      <c r="O183" t="n">
        <v>0</v>
      </c>
      <c r="P183" t="n">
        <v>0</v>
      </c>
      <c r="Q183" t="n">
        <v>0</v>
      </c>
      <c r="R183" s="2" t="inlineStr"/>
    </row>
    <row r="184" ht="15" customHeight="1">
      <c r="A184" t="inlineStr">
        <is>
          <t>A 61298-2021</t>
        </is>
      </c>
      <c r="B184" s="1" t="n">
        <v>44498.62533564815</v>
      </c>
      <c r="C184" s="1" t="n">
        <v>45973</v>
      </c>
      <c r="D184" t="inlineStr">
        <is>
          <t>ÖSTERGÖTLANDS LÄN</t>
        </is>
      </c>
      <c r="E184" t="inlineStr">
        <is>
          <t>LINKÖPING</t>
        </is>
      </c>
      <c r="G184" t="n">
        <v>4.3</v>
      </c>
      <c r="H184" t="n">
        <v>0</v>
      </c>
      <c r="I184" t="n">
        <v>0</v>
      </c>
      <c r="J184" t="n">
        <v>0</v>
      </c>
      <c r="K184" t="n">
        <v>0</v>
      </c>
      <c r="L184" t="n">
        <v>0</v>
      </c>
      <c r="M184" t="n">
        <v>0</v>
      </c>
      <c r="N184" t="n">
        <v>0</v>
      </c>
      <c r="O184" t="n">
        <v>0</v>
      </c>
      <c r="P184" t="n">
        <v>0</v>
      </c>
      <c r="Q184" t="n">
        <v>0</v>
      </c>
      <c r="R184" s="2" t="inlineStr"/>
    </row>
    <row r="185" ht="15" customHeight="1">
      <c r="A185" t="inlineStr">
        <is>
          <t>A 61333-2021</t>
        </is>
      </c>
      <c r="B185" s="1" t="n">
        <v>44498.6764699074</v>
      </c>
      <c r="C185" s="1" t="n">
        <v>45973</v>
      </c>
      <c r="D185" t="inlineStr">
        <is>
          <t>ÖSTERGÖTLANDS LÄN</t>
        </is>
      </c>
      <c r="E185" t="inlineStr">
        <is>
          <t>LINKÖPING</t>
        </is>
      </c>
      <c r="G185" t="n">
        <v>7.5</v>
      </c>
      <c r="H185" t="n">
        <v>0</v>
      </c>
      <c r="I185" t="n">
        <v>0</v>
      </c>
      <c r="J185" t="n">
        <v>0</v>
      </c>
      <c r="K185" t="n">
        <v>0</v>
      </c>
      <c r="L185" t="n">
        <v>0</v>
      </c>
      <c r="M185" t="n">
        <v>0</v>
      </c>
      <c r="N185" t="n">
        <v>0</v>
      </c>
      <c r="O185" t="n">
        <v>0</v>
      </c>
      <c r="P185" t="n">
        <v>0</v>
      </c>
      <c r="Q185" t="n">
        <v>0</v>
      </c>
      <c r="R185" s="2" t="inlineStr"/>
    </row>
    <row r="186" ht="15" customHeight="1">
      <c r="A186" t="inlineStr">
        <is>
          <t>A 12412-2022</t>
        </is>
      </c>
      <c r="B186" s="1" t="n">
        <v>44638</v>
      </c>
      <c r="C186" s="1" t="n">
        <v>45973</v>
      </c>
      <c r="D186" t="inlineStr">
        <is>
          <t>ÖSTERGÖTLANDS LÄN</t>
        </is>
      </c>
      <c r="E186" t="inlineStr">
        <is>
          <t>LINKÖPING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45973</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4240-2022</t>
        </is>
      </c>
      <c r="B188" s="1" t="n">
        <v>44588</v>
      </c>
      <c r="C188" s="1" t="n">
        <v>45973</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33134-2022</t>
        </is>
      </c>
      <c r="B189" s="1" t="n">
        <v>44785</v>
      </c>
      <c r="C189" s="1" t="n">
        <v>45973</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19254-2021</t>
        </is>
      </c>
      <c r="B190" s="1" t="n">
        <v>44309.38962962963</v>
      </c>
      <c r="C190" s="1" t="n">
        <v>45973</v>
      </c>
      <c r="D190" t="inlineStr">
        <is>
          <t>ÖSTERGÖTLANDS LÄN</t>
        </is>
      </c>
      <c r="E190" t="inlineStr">
        <is>
          <t>LINKÖPING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60129-2020</t>
        </is>
      </c>
      <c r="B191" s="1" t="n">
        <v>44152</v>
      </c>
      <c r="C191" s="1" t="n">
        <v>45973</v>
      </c>
      <c r="D191" t="inlineStr">
        <is>
          <t>ÖSTERGÖTLANDS LÄN</t>
        </is>
      </c>
      <c r="E191" t="inlineStr">
        <is>
          <t>LINKÖPING</t>
        </is>
      </c>
      <c r="F191" t="inlineStr">
        <is>
          <t>Övriga statliga verk och myndigheter</t>
        </is>
      </c>
      <c r="G191" t="n">
        <v>2.5</v>
      </c>
      <c r="H191" t="n">
        <v>0</v>
      </c>
      <c r="I191" t="n">
        <v>0</v>
      </c>
      <c r="J191" t="n">
        <v>0</v>
      </c>
      <c r="K191" t="n">
        <v>0</v>
      </c>
      <c r="L191" t="n">
        <v>0</v>
      </c>
      <c r="M191" t="n">
        <v>0</v>
      </c>
      <c r="N191" t="n">
        <v>0</v>
      </c>
      <c r="O191" t="n">
        <v>0</v>
      </c>
      <c r="P191" t="n">
        <v>0</v>
      </c>
      <c r="Q191" t="n">
        <v>0</v>
      </c>
      <c r="R191" s="2" t="inlineStr"/>
    </row>
    <row r="192" ht="15" customHeight="1">
      <c r="A192" t="inlineStr">
        <is>
          <t>A 13075-2022</t>
        </is>
      </c>
      <c r="B192" s="1" t="n">
        <v>44643</v>
      </c>
      <c r="C192" s="1" t="n">
        <v>45973</v>
      </c>
      <c r="D192" t="inlineStr">
        <is>
          <t>ÖSTERGÖTLANDS LÄN</t>
        </is>
      </c>
      <c r="E192" t="inlineStr">
        <is>
          <t>LINKÖPING</t>
        </is>
      </c>
      <c r="G192" t="n">
        <v>2.2</v>
      </c>
      <c r="H192" t="n">
        <v>0</v>
      </c>
      <c r="I192" t="n">
        <v>0</v>
      </c>
      <c r="J192" t="n">
        <v>0</v>
      </c>
      <c r="K192" t="n">
        <v>0</v>
      </c>
      <c r="L192" t="n">
        <v>0</v>
      </c>
      <c r="M192" t="n">
        <v>0</v>
      </c>
      <c r="N192" t="n">
        <v>0</v>
      </c>
      <c r="O192" t="n">
        <v>0</v>
      </c>
      <c r="P192" t="n">
        <v>0</v>
      </c>
      <c r="Q192" t="n">
        <v>0</v>
      </c>
      <c r="R192" s="2" t="inlineStr"/>
    </row>
    <row r="193" ht="15" customHeight="1">
      <c r="A193" t="inlineStr">
        <is>
          <t>A 46891-2021</t>
        </is>
      </c>
      <c r="B193" s="1" t="n">
        <v>44446.44587962963</v>
      </c>
      <c r="C193" s="1" t="n">
        <v>45973</v>
      </c>
      <c r="D193" t="inlineStr">
        <is>
          <t>ÖSTERGÖTLANDS LÄN</t>
        </is>
      </c>
      <c r="E193" t="inlineStr">
        <is>
          <t>LINKÖPING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45819-2024</t>
        </is>
      </c>
      <c r="B194" s="1" t="n">
        <v>45579.7454050926</v>
      </c>
      <c r="C194" s="1" t="n">
        <v>45973</v>
      </c>
      <c r="D194" t="inlineStr">
        <is>
          <t>ÖSTERGÖTLANDS LÄN</t>
        </is>
      </c>
      <c r="E194" t="inlineStr">
        <is>
          <t>LINKÖPING</t>
        </is>
      </c>
      <c r="G194" t="n">
        <v>5</v>
      </c>
      <c r="H194" t="n">
        <v>0</v>
      </c>
      <c r="I194" t="n">
        <v>0</v>
      </c>
      <c r="J194" t="n">
        <v>0</v>
      </c>
      <c r="K194" t="n">
        <v>0</v>
      </c>
      <c r="L194" t="n">
        <v>0</v>
      </c>
      <c r="M194" t="n">
        <v>0</v>
      </c>
      <c r="N194" t="n">
        <v>0</v>
      </c>
      <c r="O194" t="n">
        <v>0</v>
      </c>
      <c r="P194" t="n">
        <v>0</v>
      </c>
      <c r="Q194" t="n">
        <v>0</v>
      </c>
      <c r="R194" s="2" t="inlineStr"/>
    </row>
    <row r="195" ht="15" customHeight="1">
      <c r="A195" t="inlineStr">
        <is>
          <t>A 4377-2021</t>
        </is>
      </c>
      <c r="B195" s="1" t="n">
        <v>44223</v>
      </c>
      <c r="C195" s="1" t="n">
        <v>45973</v>
      </c>
      <c r="D195" t="inlineStr">
        <is>
          <t>ÖSTERGÖTLANDS LÄN</t>
        </is>
      </c>
      <c r="E195" t="inlineStr">
        <is>
          <t>LINKÖPING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3041-2024</t>
        </is>
      </c>
      <c r="B196" s="1" t="n">
        <v>45316.34875</v>
      </c>
      <c r="C196" s="1" t="n">
        <v>45973</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61153-2021</t>
        </is>
      </c>
      <c r="B197" s="1" t="n">
        <v>44497</v>
      </c>
      <c r="C197" s="1" t="n">
        <v>45973</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33885-2021</t>
        </is>
      </c>
      <c r="B198" s="1" t="n">
        <v>44378</v>
      </c>
      <c r="C198" s="1" t="n">
        <v>45973</v>
      </c>
      <c r="D198" t="inlineStr">
        <is>
          <t>ÖSTERGÖTLANDS LÄN</t>
        </is>
      </c>
      <c r="E198" t="inlineStr">
        <is>
          <t>LINKÖPING</t>
        </is>
      </c>
      <c r="G198" t="n">
        <v>3.5</v>
      </c>
      <c r="H198" t="n">
        <v>0</v>
      </c>
      <c r="I198" t="n">
        <v>0</v>
      </c>
      <c r="J198" t="n">
        <v>0</v>
      </c>
      <c r="K198" t="n">
        <v>0</v>
      </c>
      <c r="L198" t="n">
        <v>0</v>
      </c>
      <c r="M198" t="n">
        <v>0</v>
      </c>
      <c r="N198" t="n">
        <v>0</v>
      </c>
      <c r="O198" t="n">
        <v>0</v>
      </c>
      <c r="P198" t="n">
        <v>0</v>
      </c>
      <c r="Q198" t="n">
        <v>0</v>
      </c>
      <c r="R198" s="2" t="inlineStr"/>
    </row>
    <row r="199" ht="15" customHeight="1">
      <c r="A199" t="inlineStr">
        <is>
          <t>A 12413-2022</t>
        </is>
      </c>
      <c r="B199" s="1" t="n">
        <v>44638</v>
      </c>
      <c r="C199" s="1" t="n">
        <v>45973</v>
      </c>
      <c r="D199" t="inlineStr">
        <is>
          <t>ÖSTERGÖTLANDS LÄN</t>
        </is>
      </c>
      <c r="E199" t="inlineStr">
        <is>
          <t>LINKÖPING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27666-2022</t>
        </is>
      </c>
      <c r="B200" s="1" t="n">
        <v>44743.39017361111</v>
      </c>
      <c r="C200" s="1" t="n">
        <v>45973</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19183-2021</t>
        </is>
      </c>
      <c r="B201" s="1" t="n">
        <v>44308.73248842593</v>
      </c>
      <c r="C201" s="1" t="n">
        <v>45973</v>
      </c>
      <c r="D201" t="inlineStr">
        <is>
          <t>ÖSTERGÖTLANDS LÄN</t>
        </is>
      </c>
      <c r="E201" t="inlineStr">
        <is>
          <t>LINKÖPING</t>
        </is>
      </c>
      <c r="F201" t="inlineStr">
        <is>
          <t>Allmännings- och besparingsskogar</t>
        </is>
      </c>
      <c r="G201" t="n">
        <v>4.6</v>
      </c>
      <c r="H201" t="n">
        <v>0</v>
      </c>
      <c r="I201" t="n">
        <v>0</v>
      </c>
      <c r="J201" t="n">
        <v>0</v>
      </c>
      <c r="K201" t="n">
        <v>0</v>
      </c>
      <c r="L201" t="n">
        <v>0</v>
      </c>
      <c r="M201" t="n">
        <v>0</v>
      </c>
      <c r="N201" t="n">
        <v>0</v>
      </c>
      <c r="O201" t="n">
        <v>0</v>
      </c>
      <c r="P201" t="n">
        <v>0</v>
      </c>
      <c r="Q201" t="n">
        <v>0</v>
      </c>
      <c r="R201" s="2" t="inlineStr"/>
    </row>
    <row r="202" ht="15" customHeight="1">
      <c r="A202" t="inlineStr">
        <is>
          <t>A 3530-2024</t>
        </is>
      </c>
      <c r="B202" s="1" t="n">
        <v>45320.54717592592</v>
      </c>
      <c r="C202" s="1" t="n">
        <v>45973</v>
      </c>
      <c r="D202" t="inlineStr">
        <is>
          <t>ÖSTERGÖTLANDS LÄN</t>
        </is>
      </c>
      <c r="E202" t="inlineStr">
        <is>
          <t>LINKÖPING</t>
        </is>
      </c>
      <c r="G202" t="n">
        <v>1.5</v>
      </c>
      <c r="H202" t="n">
        <v>0</v>
      </c>
      <c r="I202" t="n">
        <v>0</v>
      </c>
      <c r="J202" t="n">
        <v>0</v>
      </c>
      <c r="K202" t="n">
        <v>0</v>
      </c>
      <c r="L202" t="n">
        <v>0</v>
      </c>
      <c r="M202" t="n">
        <v>0</v>
      </c>
      <c r="N202" t="n">
        <v>0</v>
      </c>
      <c r="O202" t="n">
        <v>0</v>
      </c>
      <c r="P202" t="n">
        <v>0</v>
      </c>
      <c r="Q202" t="n">
        <v>0</v>
      </c>
      <c r="R202" s="2" t="inlineStr"/>
    </row>
    <row r="203" ht="15" customHeight="1">
      <c r="A203" t="inlineStr">
        <is>
          <t>A 59288-2020</t>
        </is>
      </c>
      <c r="B203" s="1" t="n">
        <v>44147</v>
      </c>
      <c r="C203" s="1" t="n">
        <v>45973</v>
      </c>
      <c r="D203" t="inlineStr">
        <is>
          <t>ÖSTERGÖTLANDS LÄN</t>
        </is>
      </c>
      <c r="E203" t="inlineStr">
        <is>
          <t>LINKÖPING</t>
        </is>
      </c>
      <c r="G203" t="n">
        <v>2.8</v>
      </c>
      <c r="H203" t="n">
        <v>0</v>
      </c>
      <c r="I203" t="n">
        <v>0</v>
      </c>
      <c r="J203" t="n">
        <v>0</v>
      </c>
      <c r="K203" t="n">
        <v>0</v>
      </c>
      <c r="L203" t="n">
        <v>0</v>
      </c>
      <c r="M203" t="n">
        <v>0</v>
      </c>
      <c r="N203" t="n">
        <v>0</v>
      </c>
      <c r="O203" t="n">
        <v>0</v>
      </c>
      <c r="P203" t="n">
        <v>0</v>
      </c>
      <c r="Q203" t="n">
        <v>0</v>
      </c>
      <c r="R203" s="2" t="inlineStr"/>
    </row>
    <row r="204" ht="15" customHeight="1">
      <c r="A204" t="inlineStr">
        <is>
          <t>A 46490-2022</t>
        </is>
      </c>
      <c r="B204" s="1" t="n">
        <v>44848</v>
      </c>
      <c r="C204" s="1" t="n">
        <v>45973</v>
      </c>
      <c r="D204" t="inlineStr">
        <is>
          <t>ÖSTERGÖTLANDS LÄN</t>
        </is>
      </c>
      <c r="E204" t="inlineStr">
        <is>
          <t>LINKÖPING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29309-2024</t>
        </is>
      </c>
      <c r="B205" s="1" t="n">
        <v>45483</v>
      </c>
      <c r="C205" s="1" t="n">
        <v>45973</v>
      </c>
      <c r="D205" t="inlineStr">
        <is>
          <t>ÖSTERGÖTLANDS LÄN</t>
        </is>
      </c>
      <c r="E205" t="inlineStr">
        <is>
          <t>LINKÖPING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32255-2021</t>
        </is>
      </c>
      <c r="B206" s="1" t="n">
        <v>44371.45949074074</v>
      </c>
      <c r="C206" s="1" t="n">
        <v>45973</v>
      </c>
      <c r="D206" t="inlineStr">
        <is>
          <t>ÖSTERGÖTLANDS LÄN</t>
        </is>
      </c>
      <c r="E206" t="inlineStr">
        <is>
          <t>LINKÖPING</t>
        </is>
      </c>
      <c r="F206" t="inlineStr">
        <is>
          <t>Övriga Aktiebolag</t>
        </is>
      </c>
      <c r="G206" t="n">
        <v>1.1</v>
      </c>
      <c r="H206" t="n">
        <v>0</v>
      </c>
      <c r="I206" t="n">
        <v>0</v>
      </c>
      <c r="J206" t="n">
        <v>0</v>
      </c>
      <c r="K206" t="n">
        <v>0</v>
      </c>
      <c r="L206" t="n">
        <v>0</v>
      </c>
      <c r="M206" t="n">
        <v>0</v>
      </c>
      <c r="N206" t="n">
        <v>0</v>
      </c>
      <c r="O206" t="n">
        <v>0</v>
      </c>
      <c r="P206" t="n">
        <v>0</v>
      </c>
      <c r="Q206" t="n">
        <v>0</v>
      </c>
      <c r="R206" s="2" t="inlineStr"/>
    </row>
    <row r="207" ht="15" customHeight="1">
      <c r="A207" t="inlineStr">
        <is>
          <t>A 29411-2023</t>
        </is>
      </c>
      <c r="B207" s="1" t="n">
        <v>45106.46225694445</v>
      </c>
      <c r="C207" s="1" t="n">
        <v>45973</v>
      </c>
      <c r="D207" t="inlineStr">
        <is>
          <t>ÖSTERGÖTLANDS LÄN</t>
        </is>
      </c>
      <c r="E207" t="inlineStr">
        <is>
          <t>LINKÖPING</t>
        </is>
      </c>
      <c r="G207" t="n">
        <v>2.5</v>
      </c>
      <c r="H207" t="n">
        <v>0</v>
      </c>
      <c r="I207" t="n">
        <v>0</v>
      </c>
      <c r="J207" t="n">
        <v>0</v>
      </c>
      <c r="K207" t="n">
        <v>0</v>
      </c>
      <c r="L207" t="n">
        <v>0</v>
      </c>
      <c r="M207" t="n">
        <v>0</v>
      </c>
      <c r="N207" t="n">
        <v>0</v>
      </c>
      <c r="O207" t="n">
        <v>0</v>
      </c>
      <c r="P207" t="n">
        <v>0</v>
      </c>
      <c r="Q207" t="n">
        <v>0</v>
      </c>
      <c r="R207" s="2" t="inlineStr"/>
    </row>
    <row r="208" ht="15" customHeight="1">
      <c r="A208" t="inlineStr">
        <is>
          <t>A 29412-2023</t>
        </is>
      </c>
      <c r="B208" s="1" t="n">
        <v>45106.46359953703</v>
      </c>
      <c r="C208" s="1" t="n">
        <v>45973</v>
      </c>
      <c r="D208" t="inlineStr">
        <is>
          <t>ÖSTERGÖTLANDS LÄN</t>
        </is>
      </c>
      <c r="E208" t="inlineStr">
        <is>
          <t>LINKÖPING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29413-2023</t>
        </is>
      </c>
      <c r="B209" s="1" t="n">
        <v>45106.46465277778</v>
      </c>
      <c r="C209" s="1" t="n">
        <v>45973</v>
      </c>
      <c r="D209" t="inlineStr">
        <is>
          <t>ÖSTERGÖTLANDS LÄN</t>
        </is>
      </c>
      <c r="E209" t="inlineStr">
        <is>
          <t>LINKÖPING</t>
        </is>
      </c>
      <c r="G209" t="n">
        <v>8</v>
      </c>
      <c r="H209" t="n">
        <v>0</v>
      </c>
      <c r="I209" t="n">
        <v>0</v>
      </c>
      <c r="J209" t="n">
        <v>0</v>
      </c>
      <c r="K209" t="n">
        <v>0</v>
      </c>
      <c r="L209" t="n">
        <v>0</v>
      </c>
      <c r="M209" t="n">
        <v>0</v>
      </c>
      <c r="N209" t="n">
        <v>0</v>
      </c>
      <c r="O209" t="n">
        <v>0</v>
      </c>
      <c r="P209" t="n">
        <v>0</v>
      </c>
      <c r="Q209" t="n">
        <v>0</v>
      </c>
      <c r="R209" s="2" t="inlineStr"/>
    </row>
    <row r="210" ht="15" customHeight="1">
      <c r="A210" t="inlineStr">
        <is>
          <t>A 62686-2023</t>
        </is>
      </c>
      <c r="B210" s="1" t="n">
        <v>45271</v>
      </c>
      <c r="C210" s="1" t="n">
        <v>45973</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38235-2022</t>
        </is>
      </c>
      <c r="B211" s="1" t="n">
        <v>44812</v>
      </c>
      <c r="C211" s="1" t="n">
        <v>45973</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24151-2024</t>
        </is>
      </c>
      <c r="B212" s="1" t="n">
        <v>45456.67717592593</v>
      </c>
      <c r="C212" s="1" t="n">
        <v>45973</v>
      </c>
      <c r="D212" t="inlineStr">
        <is>
          <t>ÖSTERGÖTLANDS LÄN</t>
        </is>
      </c>
      <c r="E212" t="inlineStr">
        <is>
          <t>LINKÖPING</t>
        </is>
      </c>
      <c r="G212" t="n">
        <v>2.1</v>
      </c>
      <c r="H212" t="n">
        <v>0</v>
      </c>
      <c r="I212" t="n">
        <v>0</v>
      </c>
      <c r="J212" t="n">
        <v>0</v>
      </c>
      <c r="K212" t="n">
        <v>0</v>
      </c>
      <c r="L212" t="n">
        <v>0</v>
      </c>
      <c r="M212" t="n">
        <v>0</v>
      </c>
      <c r="N212" t="n">
        <v>0</v>
      </c>
      <c r="O212" t="n">
        <v>0</v>
      </c>
      <c r="P212" t="n">
        <v>0</v>
      </c>
      <c r="Q212" t="n">
        <v>0</v>
      </c>
      <c r="R212" s="2" t="inlineStr"/>
    </row>
    <row r="213" ht="15" customHeight="1">
      <c r="A213" t="inlineStr">
        <is>
          <t>A 55345-2021</t>
        </is>
      </c>
      <c r="B213" s="1" t="n">
        <v>44475</v>
      </c>
      <c r="C213" s="1" t="n">
        <v>45973</v>
      </c>
      <c r="D213" t="inlineStr">
        <is>
          <t>ÖSTERGÖTLANDS LÄN</t>
        </is>
      </c>
      <c r="E213" t="inlineStr">
        <is>
          <t>LINKÖPING</t>
        </is>
      </c>
      <c r="G213" t="n">
        <v>5.7</v>
      </c>
      <c r="H213" t="n">
        <v>0</v>
      </c>
      <c r="I213" t="n">
        <v>0</v>
      </c>
      <c r="J213" t="n">
        <v>0</v>
      </c>
      <c r="K213" t="n">
        <v>0</v>
      </c>
      <c r="L213" t="n">
        <v>0</v>
      </c>
      <c r="M213" t="n">
        <v>0</v>
      </c>
      <c r="N213" t="n">
        <v>0</v>
      </c>
      <c r="O213" t="n">
        <v>0</v>
      </c>
      <c r="P213" t="n">
        <v>0</v>
      </c>
      <c r="Q213" t="n">
        <v>0</v>
      </c>
      <c r="R213" s="2" t="inlineStr"/>
    </row>
    <row r="214" ht="15" customHeight="1">
      <c r="A214" t="inlineStr">
        <is>
          <t>A 63489-2023</t>
        </is>
      </c>
      <c r="B214" s="1" t="n">
        <v>45274.66761574074</v>
      </c>
      <c r="C214" s="1" t="n">
        <v>45973</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34880-2022</t>
        </is>
      </c>
      <c r="B215" s="1" t="n">
        <v>44796</v>
      </c>
      <c r="C215" s="1" t="n">
        <v>45973</v>
      </c>
      <c r="D215" t="inlineStr">
        <is>
          <t>ÖSTERGÖTLANDS LÄN</t>
        </is>
      </c>
      <c r="E215" t="inlineStr">
        <is>
          <t>LINKÖPING</t>
        </is>
      </c>
      <c r="F215" t="inlineStr">
        <is>
          <t>Övriga statliga verk och myndigheter</t>
        </is>
      </c>
      <c r="G215" t="n">
        <v>4</v>
      </c>
      <c r="H215" t="n">
        <v>0</v>
      </c>
      <c r="I215" t="n">
        <v>0</v>
      </c>
      <c r="J215" t="n">
        <v>0</v>
      </c>
      <c r="K215" t="n">
        <v>0</v>
      </c>
      <c r="L215" t="n">
        <v>0</v>
      </c>
      <c r="M215" t="n">
        <v>0</v>
      </c>
      <c r="N215" t="n">
        <v>0</v>
      </c>
      <c r="O215" t="n">
        <v>0</v>
      </c>
      <c r="P215" t="n">
        <v>0</v>
      </c>
      <c r="Q215" t="n">
        <v>0</v>
      </c>
      <c r="R215" s="2" t="inlineStr"/>
    </row>
    <row r="216" ht="15" customHeight="1">
      <c r="A216" t="inlineStr">
        <is>
          <t>A 48042-2022</t>
        </is>
      </c>
      <c r="B216" s="1" t="n">
        <v>44855</v>
      </c>
      <c r="C216" s="1" t="n">
        <v>45973</v>
      </c>
      <c r="D216" t="inlineStr">
        <is>
          <t>ÖSTERGÖTLANDS LÄN</t>
        </is>
      </c>
      <c r="E216" t="inlineStr">
        <is>
          <t>LINKÖPING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70-2024</t>
        </is>
      </c>
      <c r="B217" s="1" t="n">
        <v>45293</v>
      </c>
      <c r="C217" s="1" t="n">
        <v>45973</v>
      </c>
      <c r="D217" t="inlineStr">
        <is>
          <t>ÖSTERGÖTLANDS LÄN</t>
        </is>
      </c>
      <c r="E217" t="inlineStr">
        <is>
          <t>LINKÖPING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63845-2021</t>
        </is>
      </c>
      <c r="B218" s="1" t="n">
        <v>44509</v>
      </c>
      <c r="C218" s="1" t="n">
        <v>45973</v>
      </c>
      <c r="D218" t="inlineStr">
        <is>
          <t>ÖSTERGÖTLANDS LÄN</t>
        </is>
      </c>
      <c r="E218" t="inlineStr">
        <is>
          <t>LINKÖPING</t>
        </is>
      </c>
      <c r="G218" t="n">
        <v>5</v>
      </c>
      <c r="H218" t="n">
        <v>0</v>
      </c>
      <c r="I218" t="n">
        <v>0</v>
      </c>
      <c r="J218" t="n">
        <v>0</v>
      </c>
      <c r="K218" t="n">
        <v>0</v>
      </c>
      <c r="L218" t="n">
        <v>0</v>
      </c>
      <c r="M218" t="n">
        <v>0</v>
      </c>
      <c r="N218" t="n">
        <v>0</v>
      </c>
      <c r="O218" t="n">
        <v>0</v>
      </c>
      <c r="P218" t="n">
        <v>0</v>
      </c>
      <c r="Q218" t="n">
        <v>0</v>
      </c>
      <c r="R218" s="2" t="inlineStr"/>
    </row>
    <row r="219" ht="15" customHeight="1">
      <c r="A219" t="inlineStr">
        <is>
          <t>A 6782-2024</t>
        </is>
      </c>
      <c r="B219" s="1" t="n">
        <v>45342</v>
      </c>
      <c r="C219" s="1" t="n">
        <v>45973</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10407-2025</t>
        </is>
      </c>
      <c r="B220" s="1" t="n">
        <v>45720.62863425926</v>
      </c>
      <c r="C220" s="1" t="n">
        <v>45973</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617-2024</t>
        </is>
      </c>
      <c r="B221" s="1" t="n">
        <v>45299.66028935185</v>
      </c>
      <c r="C221" s="1" t="n">
        <v>45973</v>
      </c>
      <c r="D221" t="inlineStr">
        <is>
          <t>ÖSTERGÖTLANDS LÄN</t>
        </is>
      </c>
      <c r="E221" t="inlineStr">
        <is>
          <t>LINKÖPING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670-2024</t>
        </is>
      </c>
      <c r="B222" s="1" t="n">
        <v>45300.3408912037</v>
      </c>
      <c r="C222" s="1" t="n">
        <v>45973</v>
      </c>
      <c r="D222" t="inlineStr">
        <is>
          <t>ÖSTERGÖTLANDS LÄN</t>
        </is>
      </c>
      <c r="E222" t="inlineStr">
        <is>
          <t>LINKÖPING</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17785-2023</t>
        </is>
      </c>
      <c r="B223" s="1" t="n">
        <v>45037.55094907407</v>
      </c>
      <c r="C223" s="1" t="n">
        <v>45973</v>
      </c>
      <c r="D223" t="inlineStr">
        <is>
          <t>ÖSTERGÖTLANDS LÄN</t>
        </is>
      </c>
      <c r="E223" t="inlineStr">
        <is>
          <t>LINKÖPING</t>
        </is>
      </c>
      <c r="F223" t="inlineStr">
        <is>
          <t>Allmännings- och besparingsskogar</t>
        </is>
      </c>
      <c r="G223" t="n">
        <v>3.1</v>
      </c>
      <c r="H223" t="n">
        <v>0</v>
      </c>
      <c r="I223" t="n">
        <v>0</v>
      </c>
      <c r="J223" t="n">
        <v>0</v>
      </c>
      <c r="K223" t="n">
        <v>0</v>
      </c>
      <c r="L223" t="n">
        <v>0</v>
      </c>
      <c r="M223" t="n">
        <v>0</v>
      </c>
      <c r="N223" t="n">
        <v>0</v>
      </c>
      <c r="O223" t="n">
        <v>0</v>
      </c>
      <c r="P223" t="n">
        <v>0</v>
      </c>
      <c r="Q223" t="n">
        <v>0</v>
      </c>
      <c r="R223" s="2" t="inlineStr"/>
    </row>
    <row r="224" ht="15" customHeight="1">
      <c r="A224" t="inlineStr">
        <is>
          <t>A 32346-2023</t>
        </is>
      </c>
      <c r="B224" s="1" t="n">
        <v>45120</v>
      </c>
      <c r="C224" s="1" t="n">
        <v>45973</v>
      </c>
      <c r="D224" t="inlineStr">
        <is>
          <t>ÖSTERGÖTLANDS LÄN</t>
        </is>
      </c>
      <c r="E224" t="inlineStr">
        <is>
          <t>LINKÖPING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52125-2022</t>
        </is>
      </c>
      <c r="B225" s="1" t="n">
        <v>44873</v>
      </c>
      <c r="C225" s="1" t="n">
        <v>45973</v>
      </c>
      <c r="D225" t="inlineStr">
        <is>
          <t>ÖSTERGÖTLANDS LÄN</t>
        </is>
      </c>
      <c r="E225" t="inlineStr">
        <is>
          <t>LINKÖPING</t>
        </is>
      </c>
      <c r="F225" t="inlineStr">
        <is>
          <t>Övriga Aktiebolag</t>
        </is>
      </c>
      <c r="G225" t="n">
        <v>0.7</v>
      </c>
      <c r="H225" t="n">
        <v>0</v>
      </c>
      <c r="I225" t="n">
        <v>0</v>
      </c>
      <c r="J225" t="n">
        <v>0</v>
      </c>
      <c r="K225" t="n">
        <v>0</v>
      </c>
      <c r="L225" t="n">
        <v>0</v>
      </c>
      <c r="M225" t="n">
        <v>0</v>
      </c>
      <c r="N225" t="n">
        <v>0</v>
      </c>
      <c r="O225" t="n">
        <v>0</v>
      </c>
      <c r="P225" t="n">
        <v>0</v>
      </c>
      <c r="Q225" t="n">
        <v>0</v>
      </c>
      <c r="R225" s="2" t="inlineStr"/>
    </row>
    <row r="226" ht="15" customHeight="1">
      <c r="A226" t="inlineStr">
        <is>
          <t>A 1627-2023</t>
        </is>
      </c>
      <c r="B226" s="1" t="n">
        <v>44937</v>
      </c>
      <c r="C226" s="1" t="n">
        <v>45973</v>
      </c>
      <c r="D226" t="inlineStr">
        <is>
          <t>ÖSTERGÖTLANDS LÄN</t>
        </is>
      </c>
      <c r="E226" t="inlineStr">
        <is>
          <t>LINKÖPING</t>
        </is>
      </c>
      <c r="G226" t="n">
        <v>10.8</v>
      </c>
      <c r="H226" t="n">
        <v>0</v>
      </c>
      <c r="I226" t="n">
        <v>0</v>
      </c>
      <c r="J226" t="n">
        <v>0</v>
      </c>
      <c r="K226" t="n">
        <v>0</v>
      </c>
      <c r="L226" t="n">
        <v>0</v>
      </c>
      <c r="M226" t="n">
        <v>0</v>
      </c>
      <c r="N226" t="n">
        <v>0</v>
      </c>
      <c r="O226" t="n">
        <v>0</v>
      </c>
      <c r="P226" t="n">
        <v>0</v>
      </c>
      <c r="Q226" t="n">
        <v>0</v>
      </c>
      <c r="R226" s="2" t="inlineStr"/>
    </row>
    <row r="227" ht="15" customHeight="1">
      <c r="A227" t="inlineStr">
        <is>
          <t>A 39021-2021</t>
        </is>
      </c>
      <c r="B227" s="1" t="n">
        <v>44412</v>
      </c>
      <c r="C227" s="1" t="n">
        <v>45973</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1084-2023</t>
        </is>
      </c>
      <c r="B228" s="1" t="n">
        <v>44929</v>
      </c>
      <c r="C228" s="1" t="n">
        <v>45973</v>
      </c>
      <c r="D228" t="inlineStr">
        <is>
          <t>ÖSTERGÖTLANDS LÄN</t>
        </is>
      </c>
      <c r="E228" t="inlineStr">
        <is>
          <t>LINKÖPING</t>
        </is>
      </c>
      <c r="G228" t="n">
        <v>10.4</v>
      </c>
      <c r="H228" t="n">
        <v>0</v>
      </c>
      <c r="I228" t="n">
        <v>0</v>
      </c>
      <c r="J228" t="n">
        <v>0</v>
      </c>
      <c r="K228" t="n">
        <v>0</v>
      </c>
      <c r="L228" t="n">
        <v>0</v>
      </c>
      <c r="M228" t="n">
        <v>0</v>
      </c>
      <c r="N228" t="n">
        <v>0</v>
      </c>
      <c r="O228" t="n">
        <v>0</v>
      </c>
      <c r="P228" t="n">
        <v>0</v>
      </c>
      <c r="Q228" t="n">
        <v>0</v>
      </c>
      <c r="R228" s="2" t="inlineStr"/>
    </row>
    <row r="229" ht="15" customHeight="1">
      <c r="A229" t="inlineStr">
        <is>
          <t>A 12035-2025</t>
        </is>
      </c>
      <c r="B229" s="1" t="n">
        <v>45728.64946759259</v>
      </c>
      <c r="C229" s="1" t="n">
        <v>45973</v>
      </c>
      <c r="D229" t="inlineStr">
        <is>
          <t>ÖSTERGÖTLANDS LÄN</t>
        </is>
      </c>
      <c r="E229" t="inlineStr">
        <is>
          <t>LINKÖPING</t>
        </is>
      </c>
      <c r="G229" t="n">
        <v>3.7</v>
      </c>
      <c r="H229" t="n">
        <v>0</v>
      </c>
      <c r="I229" t="n">
        <v>0</v>
      </c>
      <c r="J229" t="n">
        <v>0</v>
      </c>
      <c r="K229" t="n">
        <v>0</v>
      </c>
      <c r="L229" t="n">
        <v>0</v>
      </c>
      <c r="M229" t="n">
        <v>0</v>
      </c>
      <c r="N229" t="n">
        <v>0</v>
      </c>
      <c r="O229" t="n">
        <v>0</v>
      </c>
      <c r="P229" t="n">
        <v>0</v>
      </c>
      <c r="Q229" t="n">
        <v>0</v>
      </c>
      <c r="R229" s="2" t="inlineStr"/>
    </row>
    <row r="230" ht="15" customHeight="1">
      <c r="A230" t="inlineStr">
        <is>
          <t>A 16665-2023</t>
        </is>
      </c>
      <c r="B230" s="1" t="n">
        <v>45030.5583912037</v>
      </c>
      <c r="C230" s="1" t="n">
        <v>45973</v>
      </c>
      <c r="D230" t="inlineStr">
        <is>
          <t>ÖSTERGÖTLANDS LÄN</t>
        </is>
      </c>
      <c r="E230" t="inlineStr">
        <is>
          <t>LINKÖPING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29859-2024</t>
        </is>
      </c>
      <c r="B231" s="1" t="n">
        <v>45485.6846412037</v>
      </c>
      <c r="C231" s="1" t="n">
        <v>45973</v>
      </c>
      <c r="D231" t="inlineStr">
        <is>
          <t>ÖSTERGÖTLANDS LÄN</t>
        </is>
      </c>
      <c r="E231" t="inlineStr">
        <is>
          <t>LINKÖPING</t>
        </is>
      </c>
      <c r="G231" t="n">
        <v>0.4</v>
      </c>
      <c r="H231" t="n">
        <v>0</v>
      </c>
      <c r="I231" t="n">
        <v>0</v>
      </c>
      <c r="J231" t="n">
        <v>0</v>
      </c>
      <c r="K231" t="n">
        <v>0</v>
      </c>
      <c r="L231" t="n">
        <v>0</v>
      </c>
      <c r="M231" t="n">
        <v>0</v>
      </c>
      <c r="N231" t="n">
        <v>0</v>
      </c>
      <c r="O231" t="n">
        <v>0</v>
      </c>
      <c r="P231" t="n">
        <v>0</v>
      </c>
      <c r="Q231" t="n">
        <v>0</v>
      </c>
      <c r="R231" s="2" t="inlineStr"/>
    </row>
    <row r="232" ht="15" customHeight="1">
      <c r="A232" t="inlineStr">
        <is>
          <t>A 51571-2024</t>
        </is>
      </c>
      <c r="B232" s="1" t="n">
        <v>45604</v>
      </c>
      <c r="C232" s="1" t="n">
        <v>45973</v>
      </c>
      <c r="D232" t="inlineStr">
        <is>
          <t>ÖSTERGÖTLANDS LÄN</t>
        </is>
      </c>
      <c r="E232" t="inlineStr">
        <is>
          <t>LINKÖPING</t>
        </is>
      </c>
      <c r="F232" t="inlineStr">
        <is>
          <t>Övriga Aktiebolag</t>
        </is>
      </c>
      <c r="G232" t="n">
        <v>1.4</v>
      </c>
      <c r="H232" t="n">
        <v>0</v>
      </c>
      <c r="I232" t="n">
        <v>0</v>
      </c>
      <c r="J232" t="n">
        <v>0</v>
      </c>
      <c r="K232" t="n">
        <v>0</v>
      </c>
      <c r="L232" t="n">
        <v>0</v>
      </c>
      <c r="M232" t="n">
        <v>0</v>
      </c>
      <c r="N232" t="n">
        <v>0</v>
      </c>
      <c r="O232" t="n">
        <v>0</v>
      </c>
      <c r="P232" t="n">
        <v>0</v>
      </c>
      <c r="Q232" t="n">
        <v>0</v>
      </c>
      <c r="R232" s="2" t="inlineStr"/>
    </row>
    <row r="233" ht="15" customHeight="1">
      <c r="A233" t="inlineStr">
        <is>
          <t>A 223-2024</t>
        </is>
      </c>
      <c r="B233" s="1" t="n">
        <v>45294.72739583333</v>
      </c>
      <c r="C233" s="1" t="n">
        <v>45973</v>
      </c>
      <c r="D233" t="inlineStr">
        <is>
          <t>ÖSTERGÖTLANDS LÄN</t>
        </is>
      </c>
      <c r="E233" t="inlineStr">
        <is>
          <t>LINKÖPING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227-2024</t>
        </is>
      </c>
      <c r="B234" s="1" t="n">
        <v>45294.73603009259</v>
      </c>
      <c r="C234" s="1" t="n">
        <v>45973</v>
      </c>
      <c r="D234" t="inlineStr">
        <is>
          <t>ÖSTERGÖTLANDS LÄN</t>
        </is>
      </c>
      <c r="E234" t="inlineStr">
        <is>
          <t>LINKÖPING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60860-2024</t>
        </is>
      </c>
      <c r="B235" s="1" t="n">
        <v>45644.6893287037</v>
      </c>
      <c r="C235" s="1" t="n">
        <v>45973</v>
      </c>
      <c r="D235" t="inlineStr">
        <is>
          <t>ÖSTERGÖTLANDS LÄN</t>
        </is>
      </c>
      <c r="E235" t="inlineStr">
        <is>
          <t>LINKÖPING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31640-2023</t>
        </is>
      </c>
      <c r="B236" s="1" t="n">
        <v>45117</v>
      </c>
      <c r="C236" s="1" t="n">
        <v>45973</v>
      </c>
      <c r="D236" t="inlineStr">
        <is>
          <t>ÖSTERGÖTLANDS LÄN</t>
        </is>
      </c>
      <c r="E236" t="inlineStr">
        <is>
          <t>LINKÖPING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16213-2025</t>
        </is>
      </c>
      <c r="B237" s="1" t="n">
        <v>45750.62740740741</v>
      </c>
      <c r="C237" s="1" t="n">
        <v>45973</v>
      </c>
      <c r="D237" t="inlineStr">
        <is>
          <t>ÖSTERGÖTLANDS LÄN</t>
        </is>
      </c>
      <c r="E237" t="inlineStr">
        <is>
          <t>LINKÖPING</t>
        </is>
      </c>
      <c r="G237" t="n">
        <v>3.4</v>
      </c>
      <c r="H237" t="n">
        <v>0</v>
      </c>
      <c r="I237" t="n">
        <v>0</v>
      </c>
      <c r="J237" t="n">
        <v>0</v>
      </c>
      <c r="K237" t="n">
        <v>0</v>
      </c>
      <c r="L237" t="n">
        <v>0</v>
      </c>
      <c r="M237" t="n">
        <v>0</v>
      </c>
      <c r="N237" t="n">
        <v>0</v>
      </c>
      <c r="O237" t="n">
        <v>0</v>
      </c>
      <c r="P237" t="n">
        <v>0</v>
      </c>
      <c r="Q237" t="n">
        <v>0</v>
      </c>
      <c r="R237" s="2" t="inlineStr"/>
    </row>
    <row r="238" ht="15" customHeight="1">
      <c r="A238" t="inlineStr">
        <is>
          <t>A 51484-2023</t>
        </is>
      </c>
      <c r="B238" s="1" t="n">
        <v>45222</v>
      </c>
      <c r="C238" s="1" t="n">
        <v>45973</v>
      </c>
      <c r="D238" t="inlineStr">
        <is>
          <t>ÖSTERGÖTLANDS LÄN</t>
        </is>
      </c>
      <c r="E238" t="inlineStr">
        <is>
          <t>LINKÖPING</t>
        </is>
      </c>
      <c r="F238" t="inlineStr">
        <is>
          <t>Övriga Aktiebolag</t>
        </is>
      </c>
      <c r="G238" t="n">
        <v>7.7</v>
      </c>
      <c r="H238" t="n">
        <v>0</v>
      </c>
      <c r="I238" t="n">
        <v>0</v>
      </c>
      <c r="J238" t="n">
        <v>0</v>
      </c>
      <c r="K238" t="n">
        <v>0</v>
      </c>
      <c r="L238" t="n">
        <v>0</v>
      </c>
      <c r="M238" t="n">
        <v>0</v>
      </c>
      <c r="N238" t="n">
        <v>0</v>
      </c>
      <c r="O238" t="n">
        <v>0</v>
      </c>
      <c r="P238" t="n">
        <v>0</v>
      </c>
      <c r="Q238" t="n">
        <v>0</v>
      </c>
      <c r="R238" s="2" t="inlineStr"/>
    </row>
    <row r="239" ht="15" customHeight="1">
      <c r="A239" t="inlineStr">
        <is>
          <t>A 34872-2023</t>
        </is>
      </c>
      <c r="B239" s="1" t="n">
        <v>45140</v>
      </c>
      <c r="C239" s="1" t="n">
        <v>45973</v>
      </c>
      <c r="D239" t="inlineStr">
        <is>
          <t>ÖSTERGÖTLANDS LÄN</t>
        </is>
      </c>
      <c r="E239" t="inlineStr">
        <is>
          <t>LINKÖPING</t>
        </is>
      </c>
      <c r="G239" t="n">
        <v>4.8</v>
      </c>
      <c r="H239" t="n">
        <v>0</v>
      </c>
      <c r="I239" t="n">
        <v>0</v>
      </c>
      <c r="J239" t="n">
        <v>0</v>
      </c>
      <c r="K239" t="n">
        <v>0</v>
      </c>
      <c r="L239" t="n">
        <v>0</v>
      </c>
      <c r="M239" t="n">
        <v>0</v>
      </c>
      <c r="N239" t="n">
        <v>0</v>
      </c>
      <c r="O239" t="n">
        <v>0</v>
      </c>
      <c r="P239" t="n">
        <v>0</v>
      </c>
      <c r="Q239" t="n">
        <v>0</v>
      </c>
      <c r="R239" s="2" t="inlineStr"/>
    </row>
    <row r="240" ht="15" customHeight="1">
      <c r="A240" t="inlineStr">
        <is>
          <t>A 33000-2023</t>
        </is>
      </c>
      <c r="B240" s="1" t="n">
        <v>45125</v>
      </c>
      <c r="C240" s="1" t="n">
        <v>45973</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56917-2022</t>
        </is>
      </c>
      <c r="B241" s="1" t="n">
        <v>44894</v>
      </c>
      <c r="C241" s="1" t="n">
        <v>45973</v>
      </c>
      <c r="D241" t="inlineStr">
        <is>
          <t>ÖSTERGÖTLANDS LÄN</t>
        </is>
      </c>
      <c r="E241" t="inlineStr">
        <is>
          <t>LINKÖPING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1265-2023</t>
        </is>
      </c>
      <c r="B242" s="1" t="n">
        <v>44936</v>
      </c>
      <c r="C242" s="1" t="n">
        <v>45973</v>
      </c>
      <c r="D242" t="inlineStr">
        <is>
          <t>ÖSTERGÖTLANDS LÄN</t>
        </is>
      </c>
      <c r="E242" t="inlineStr">
        <is>
          <t>LINKÖPING</t>
        </is>
      </c>
      <c r="G242" t="n">
        <v>2.3</v>
      </c>
      <c r="H242" t="n">
        <v>0</v>
      </c>
      <c r="I242" t="n">
        <v>0</v>
      </c>
      <c r="J242" t="n">
        <v>0</v>
      </c>
      <c r="K242" t="n">
        <v>0</v>
      </c>
      <c r="L242" t="n">
        <v>0</v>
      </c>
      <c r="M242" t="n">
        <v>0</v>
      </c>
      <c r="N242" t="n">
        <v>0</v>
      </c>
      <c r="O242" t="n">
        <v>0</v>
      </c>
      <c r="P242" t="n">
        <v>0</v>
      </c>
      <c r="Q242" t="n">
        <v>0</v>
      </c>
      <c r="R242" s="2" t="inlineStr"/>
    </row>
    <row r="243" ht="15" customHeight="1">
      <c r="A243" t="inlineStr">
        <is>
          <t>A 1362-2023</t>
        </is>
      </c>
      <c r="B243" s="1" t="n">
        <v>44931</v>
      </c>
      <c r="C243" s="1" t="n">
        <v>45973</v>
      </c>
      <c r="D243" t="inlineStr">
        <is>
          <t>ÖSTERGÖTLANDS LÄN</t>
        </is>
      </c>
      <c r="E243" t="inlineStr">
        <is>
          <t>LINKÖPING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2997-2025</t>
        </is>
      </c>
      <c r="B244" s="1" t="n">
        <v>45678.54631944445</v>
      </c>
      <c r="C244" s="1" t="n">
        <v>45973</v>
      </c>
      <c r="D244" t="inlineStr">
        <is>
          <t>ÖSTERGÖTLANDS LÄN</t>
        </is>
      </c>
      <c r="E244" t="inlineStr">
        <is>
          <t>LINKÖPING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31534-2023</t>
        </is>
      </c>
      <c r="B245" s="1" t="n">
        <v>45116</v>
      </c>
      <c r="C245" s="1" t="n">
        <v>45973</v>
      </c>
      <c r="D245" t="inlineStr">
        <is>
          <t>ÖSTERGÖTLANDS LÄN</t>
        </is>
      </c>
      <c r="E245" t="inlineStr">
        <is>
          <t>LINKÖPING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54034-2022</t>
        </is>
      </c>
      <c r="B246" s="1" t="n">
        <v>44881</v>
      </c>
      <c r="C246" s="1" t="n">
        <v>45973</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55493-2021</t>
        </is>
      </c>
      <c r="B247" s="1" t="n">
        <v>44475.61988425926</v>
      </c>
      <c r="C247" s="1" t="n">
        <v>45973</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9434-2024</t>
        </is>
      </c>
      <c r="B248" s="1" t="n">
        <v>45359</v>
      </c>
      <c r="C248" s="1" t="n">
        <v>45973</v>
      </c>
      <c r="D248" t="inlineStr">
        <is>
          <t>ÖSTERGÖTLANDS LÄN</t>
        </is>
      </c>
      <c r="E248" t="inlineStr">
        <is>
          <t>LINKÖPING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63678-2023</t>
        </is>
      </c>
      <c r="B249" s="1" t="n">
        <v>45275.64769675926</v>
      </c>
      <c r="C249" s="1" t="n">
        <v>45973</v>
      </c>
      <c r="D249" t="inlineStr">
        <is>
          <t>ÖSTERGÖTLANDS LÄN</t>
        </is>
      </c>
      <c r="E249" t="inlineStr">
        <is>
          <t>LINKÖPING</t>
        </is>
      </c>
      <c r="F249" t="inlineStr">
        <is>
          <t>Övriga Aktiebolag</t>
        </is>
      </c>
      <c r="G249" t="n">
        <v>0.4</v>
      </c>
      <c r="H249" t="n">
        <v>0</v>
      </c>
      <c r="I249" t="n">
        <v>0</v>
      </c>
      <c r="J249" t="n">
        <v>0</v>
      </c>
      <c r="K249" t="n">
        <v>0</v>
      </c>
      <c r="L249" t="n">
        <v>0</v>
      </c>
      <c r="M249" t="n">
        <v>0</v>
      </c>
      <c r="N249" t="n">
        <v>0</v>
      </c>
      <c r="O249" t="n">
        <v>0</v>
      </c>
      <c r="P249" t="n">
        <v>0</v>
      </c>
      <c r="Q249" t="n">
        <v>0</v>
      </c>
      <c r="R249" s="2" t="inlineStr"/>
    </row>
    <row r="250" ht="15" customHeight="1">
      <c r="A250" t="inlineStr">
        <is>
          <t>A 63688-2023</t>
        </is>
      </c>
      <c r="B250" s="1" t="n">
        <v>45275</v>
      </c>
      <c r="C250" s="1" t="n">
        <v>45973</v>
      </c>
      <c r="D250" t="inlineStr">
        <is>
          <t>ÖSTERGÖTLANDS LÄN</t>
        </is>
      </c>
      <c r="E250" t="inlineStr">
        <is>
          <t>LINKÖPING</t>
        </is>
      </c>
      <c r="F250" t="inlineStr">
        <is>
          <t>Övriga Aktiebolag</t>
        </is>
      </c>
      <c r="G250" t="n">
        <v>2.4</v>
      </c>
      <c r="H250" t="n">
        <v>0</v>
      </c>
      <c r="I250" t="n">
        <v>0</v>
      </c>
      <c r="J250" t="n">
        <v>0</v>
      </c>
      <c r="K250" t="n">
        <v>0</v>
      </c>
      <c r="L250" t="n">
        <v>0</v>
      </c>
      <c r="M250" t="n">
        <v>0</v>
      </c>
      <c r="N250" t="n">
        <v>0</v>
      </c>
      <c r="O250" t="n">
        <v>0</v>
      </c>
      <c r="P250" t="n">
        <v>0</v>
      </c>
      <c r="Q250" t="n">
        <v>0</v>
      </c>
      <c r="R250" s="2" t="inlineStr"/>
    </row>
    <row r="251" ht="15" customHeight="1">
      <c r="A251" t="inlineStr">
        <is>
          <t>A 63691-2023</t>
        </is>
      </c>
      <c r="B251" s="1" t="n">
        <v>45275</v>
      </c>
      <c r="C251" s="1" t="n">
        <v>45973</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6054-2022</t>
        </is>
      </c>
      <c r="B252" s="1" t="n">
        <v>44599.53623842593</v>
      </c>
      <c r="C252" s="1" t="n">
        <v>45973</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26803-2024</t>
        </is>
      </c>
      <c r="B253" s="1" t="n">
        <v>45470</v>
      </c>
      <c r="C253" s="1" t="n">
        <v>45973</v>
      </c>
      <c r="D253" t="inlineStr">
        <is>
          <t>ÖSTERGÖTLANDS LÄN</t>
        </is>
      </c>
      <c r="E253" t="inlineStr">
        <is>
          <t>LINKÖPING</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25119-2023</t>
        </is>
      </c>
      <c r="B254" s="1" t="n">
        <v>45086.42326388889</v>
      </c>
      <c r="C254" s="1" t="n">
        <v>45973</v>
      </c>
      <c r="D254" t="inlineStr">
        <is>
          <t>ÖSTERGÖTLANDS LÄN</t>
        </is>
      </c>
      <c r="E254" t="inlineStr">
        <is>
          <t>LINKÖPING</t>
        </is>
      </c>
      <c r="G254" t="n">
        <v>3.2</v>
      </c>
      <c r="H254" t="n">
        <v>0</v>
      </c>
      <c r="I254" t="n">
        <v>0</v>
      </c>
      <c r="J254" t="n">
        <v>0</v>
      </c>
      <c r="K254" t="n">
        <v>0</v>
      </c>
      <c r="L254" t="n">
        <v>0</v>
      </c>
      <c r="M254" t="n">
        <v>0</v>
      </c>
      <c r="N254" t="n">
        <v>0</v>
      </c>
      <c r="O254" t="n">
        <v>0</v>
      </c>
      <c r="P254" t="n">
        <v>0</v>
      </c>
      <c r="Q254" t="n">
        <v>0</v>
      </c>
      <c r="R254" s="2" t="inlineStr"/>
    </row>
    <row r="255" ht="15" customHeight="1">
      <c r="A255" t="inlineStr">
        <is>
          <t>A 34557-2022</t>
        </is>
      </c>
      <c r="B255" s="1" t="n">
        <v>44794.57074074074</v>
      </c>
      <c r="C255" s="1" t="n">
        <v>45973</v>
      </c>
      <c r="D255" t="inlineStr">
        <is>
          <t>ÖSTERGÖTLANDS LÄN</t>
        </is>
      </c>
      <c r="E255" t="inlineStr">
        <is>
          <t>LINKÖPING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45806-2024</t>
        </is>
      </c>
      <c r="B256" s="1" t="n">
        <v>45579.69619212963</v>
      </c>
      <c r="C256" s="1" t="n">
        <v>45973</v>
      </c>
      <c r="D256" t="inlineStr">
        <is>
          <t>ÖSTERGÖTLANDS LÄN</t>
        </is>
      </c>
      <c r="E256" t="inlineStr">
        <is>
          <t>LINKÖPING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4456-2024</t>
        </is>
      </c>
      <c r="B257" s="1" t="n">
        <v>45327.52847222222</v>
      </c>
      <c r="C257" s="1" t="n">
        <v>45973</v>
      </c>
      <c r="D257" t="inlineStr">
        <is>
          <t>ÖSTERGÖTLANDS LÄN</t>
        </is>
      </c>
      <c r="E257" t="inlineStr">
        <is>
          <t>LINKÖPING</t>
        </is>
      </c>
      <c r="G257" t="n">
        <v>2.7</v>
      </c>
      <c r="H257" t="n">
        <v>0</v>
      </c>
      <c r="I257" t="n">
        <v>0</v>
      </c>
      <c r="J257" t="n">
        <v>0</v>
      </c>
      <c r="K257" t="n">
        <v>0</v>
      </c>
      <c r="L257" t="n">
        <v>0</v>
      </c>
      <c r="M257" t="n">
        <v>0</v>
      </c>
      <c r="N257" t="n">
        <v>0</v>
      </c>
      <c r="O257" t="n">
        <v>0</v>
      </c>
      <c r="P257" t="n">
        <v>0</v>
      </c>
      <c r="Q257" t="n">
        <v>0</v>
      </c>
      <c r="R257" s="2" t="inlineStr"/>
    </row>
    <row r="258" ht="15" customHeight="1">
      <c r="A258" t="inlineStr">
        <is>
          <t>A 17157-2024</t>
        </is>
      </c>
      <c r="B258" s="1" t="n">
        <v>45412.70567129629</v>
      </c>
      <c r="C258" s="1" t="n">
        <v>45973</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58114-2021</t>
        </is>
      </c>
      <c r="B259" s="1" t="n">
        <v>44487</v>
      </c>
      <c r="C259" s="1" t="n">
        <v>45973</v>
      </c>
      <c r="D259" t="inlineStr">
        <is>
          <t>ÖSTERGÖTLANDS LÄN</t>
        </is>
      </c>
      <c r="E259" t="inlineStr">
        <is>
          <t>LINKÖPING</t>
        </is>
      </c>
      <c r="F259" t="inlineStr">
        <is>
          <t>Övriga Aktiebolag</t>
        </is>
      </c>
      <c r="G259" t="n">
        <v>0.8</v>
      </c>
      <c r="H259" t="n">
        <v>0</v>
      </c>
      <c r="I259" t="n">
        <v>0</v>
      </c>
      <c r="J259" t="n">
        <v>0</v>
      </c>
      <c r="K259" t="n">
        <v>0</v>
      </c>
      <c r="L259" t="n">
        <v>0</v>
      </c>
      <c r="M259" t="n">
        <v>0</v>
      </c>
      <c r="N259" t="n">
        <v>0</v>
      </c>
      <c r="O259" t="n">
        <v>0</v>
      </c>
      <c r="P259" t="n">
        <v>0</v>
      </c>
      <c r="Q259" t="n">
        <v>0</v>
      </c>
      <c r="R259" s="2" t="inlineStr"/>
    </row>
    <row r="260" ht="15" customHeight="1">
      <c r="A260" t="inlineStr">
        <is>
          <t>A 37154-2023</t>
        </is>
      </c>
      <c r="B260" s="1" t="n">
        <v>45155</v>
      </c>
      <c r="C260" s="1" t="n">
        <v>45973</v>
      </c>
      <c r="D260" t="inlineStr">
        <is>
          <t>ÖSTERGÖTLANDS LÄN</t>
        </is>
      </c>
      <c r="E260" t="inlineStr">
        <is>
          <t>LINKÖPING</t>
        </is>
      </c>
      <c r="G260" t="n">
        <v>1.7</v>
      </c>
      <c r="H260" t="n">
        <v>0</v>
      </c>
      <c r="I260" t="n">
        <v>0</v>
      </c>
      <c r="J260" t="n">
        <v>0</v>
      </c>
      <c r="K260" t="n">
        <v>0</v>
      </c>
      <c r="L260" t="n">
        <v>0</v>
      </c>
      <c r="M260" t="n">
        <v>0</v>
      </c>
      <c r="N260" t="n">
        <v>0</v>
      </c>
      <c r="O260" t="n">
        <v>0</v>
      </c>
      <c r="P260" t="n">
        <v>0</v>
      </c>
      <c r="Q260" t="n">
        <v>0</v>
      </c>
      <c r="R260" s="2" t="inlineStr"/>
    </row>
    <row r="261" ht="15" customHeight="1">
      <c r="A261" t="inlineStr">
        <is>
          <t>A 13689-2025</t>
        </is>
      </c>
      <c r="B261" s="1" t="n">
        <v>45737.31590277778</v>
      </c>
      <c r="C261" s="1" t="n">
        <v>45973</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13696-2025</t>
        </is>
      </c>
      <c r="B262" s="1" t="n">
        <v>45737.32273148148</v>
      </c>
      <c r="C262" s="1" t="n">
        <v>45973</v>
      </c>
      <c r="D262" t="inlineStr">
        <is>
          <t>ÖSTERGÖTLANDS LÄN</t>
        </is>
      </c>
      <c r="E262" t="inlineStr">
        <is>
          <t>LINKÖPING</t>
        </is>
      </c>
      <c r="G262" t="n">
        <v>3.5</v>
      </c>
      <c r="H262" t="n">
        <v>0</v>
      </c>
      <c r="I262" t="n">
        <v>0</v>
      </c>
      <c r="J262" t="n">
        <v>0</v>
      </c>
      <c r="K262" t="n">
        <v>0</v>
      </c>
      <c r="L262" t="n">
        <v>0</v>
      </c>
      <c r="M262" t="n">
        <v>0</v>
      </c>
      <c r="N262" t="n">
        <v>0</v>
      </c>
      <c r="O262" t="n">
        <v>0</v>
      </c>
      <c r="P262" t="n">
        <v>0</v>
      </c>
      <c r="Q262" t="n">
        <v>0</v>
      </c>
      <c r="R262" s="2" t="inlineStr"/>
    </row>
    <row r="263" ht="15" customHeight="1">
      <c r="A263" t="inlineStr">
        <is>
          <t>A 11330-2023</t>
        </is>
      </c>
      <c r="B263" s="1" t="n">
        <v>44993.24648148148</v>
      </c>
      <c r="C263" s="1" t="n">
        <v>45973</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42000-2023</t>
        </is>
      </c>
      <c r="B264" s="1" t="n">
        <v>45177</v>
      </c>
      <c r="C264" s="1" t="n">
        <v>45973</v>
      </c>
      <c r="D264" t="inlineStr">
        <is>
          <t>ÖSTERGÖTLANDS LÄN</t>
        </is>
      </c>
      <c r="E264" t="inlineStr">
        <is>
          <t>LINKÖPING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12428-2024</t>
        </is>
      </c>
      <c r="B265" s="1" t="n">
        <v>45379</v>
      </c>
      <c r="C265" s="1" t="n">
        <v>45973</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52892-2024</t>
        </is>
      </c>
      <c r="B266" s="1" t="n">
        <v>45610</v>
      </c>
      <c r="C266" s="1" t="n">
        <v>45973</v>
      </c>
      <c r="D266" t="inlineStr">
        <is>
          <t>ÖSTERGÖTLANDS LÄN</t>
        </is>
      </c>
      <c r="E266" t="inlineStr">
        <is>
          <t>LINKÖPING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3008-2023</t>
        </is>
      </c>
      <c r="B267" s="1" t="n">
        <v>44945.79784722222</v>
      </c>
      <c r="C267" s="1" t="n">
        <v>45973</v>
      </c>
      <c r="D267" t="inlineStr">
        <is>
          <t>ÖSTERGÖTLANDS LÄN</t>
        </is>
      </c>
      <c r="E267" t="inlineStr">
        <is>
          <t>LINKÖPING</t>
        </is>
      </c>
      <c r="G267" t="n">
        <v>19.3</v>
      </c>
      <c r="H267" t="n">
        <v>0</v>
      </c>
      <c r="I267" t="n">
        <v>0</v>
      </c>
      <c r="J267" t="n">
        <v>0</v>
      </c>
      <c r="K267" t="n">
        <v>0</v>
      </c>
      <c r="L267" t="n">
        <v>0</v>
      </c>
      <c r="M267" t="n">
        <v>0</v>
      </c>
      <c r="N267" t="n">
        <v>0</v>
      </c>
      <c r="O267" t="n">
        <v>0</v>
      </c>
      <c r="P267" t="n">
        <v>0</v>
      </c>
      <c r="Q267" t="n">
        <v>0</v>
      </c>
      <c r="R267" s="2" t="inlineStr"/>
    </row>
    <row r="268" ht="15" customHeight="1">
      <c r="A268" t="inlineStr">
        <is>
          <t>A 32602-2022</t>
        </is>
      </c>
      <c r="B268" s="1" t="n">
        <v>44783.43192129629</v>
      </c>
      <c r="C268" s="1" t="n">
        <v>45973</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5872-2025</t>
        </is>
      </c>
      <c r="B269" s="1" t="n">
        <v>45695.36659722222</v>
      </c>
      <c r="C269" s="1" t="n">
        <v>45973</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59674-2024</t>
        </is>
      </c>
      <c r="B270" s="1" t="n">
        <v>45639</v>
      </c>
      <c r="C270" s="1" t="n">
        <v>45973</v>
      </c>
      <c r="D270" t="inlineStr">
        <is>
          <t>ÖSTERGÖTLANDS LÄN</t>
        </is>
      </c>
      <c r="E270" t="inlineStr">
        <is>
          <t>LINKÖPING</t>
        </is>
      </c>
      <c r="G270" t="n">
        <v>6.3</v>
      </c>
      <c r="H270" t="n">
        <v>0</v>
      </c>
      <c r="I270" t="n">
        <v>0</v>
      </c>
      <c r="J270" t="n">
        <v>0</v>
      </c>
      <c r="K270" t="n">
        <v>0</v>
      </c>
      <c r="L270" t="n">
        <v>0</v>
      </c>
      <c r="M270" t="n">
        <v>0</v>
      </c>
      <c r="N270" t="n">
        <v>0</v>
      </c>
      <c r="O270" t="n">
        <v>0</v>
      </c>
      <c r="P270" t="n">
        <v>0</v>
      </c>
      <c r="Q270" t="n">
        <v>0</v>
      </c>
      <c r="R270" s="2" t="inlineStr"/>
    </row>
    <row r="271" ht="15" customHeight="1">
      <c r="A271" t="inlineStr">
        <is>
          <t>A 59576-2024</t>
        </is>
      </c>
      <c r="B271" s="1" t="n">
        <v>45638.66378472222</v>
      </c>
      <c r="C271" s="1" t="n">
        <v>45973</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55736-2022</t>
        </is>
      </c>
      <c r="B272" s="1" t="n">
        <v>44888</v>
      </c>
      <c r="C272" s="1" t="n">
        <v>45973</v>
      </c>
      <c r="D272" t="inlineStr">
        <is>
          <t>ÖSTERGÖTLANDS LÄN</t>
        </is>
      </c>
      <c r="E272" t="inlineStr">
        <is>
          <t>LINKÖPING</t>
        </is>
      </c>
      <c r="G272" t="n">
        <v>5.5</v>
      </c>
      <c r="H272" t="n">
        <v>0</v>
      </c>
      <c r="I272" t="n">
        <v>0</v>
      </c>
      <c r="J272" t="n">
        <v>0</v>
      </c>
      <c r="K272" t="n">
        <v>0</v>
      </c>
      <c r="L272" t="n">
        <v>0</v>
      </c>
      <c r="M272" t="n">
        <v>0</v>
      </c>
      <c r="N272" t="n">
        <v>0</v>
      </c>
      <c r="O272" t="n">
        <v>0</v>
      </c>
      <c r="P272" t="n">
        <v>0</v>
      </c>
      <c r="Q272" t="n">
        <v>0</v>
      </c>
      <c r="R272" s="2" t="inlineStr"/>
    </row>
    <row r="273" ht="15" customHeight="1">
      <c r="A273" t="inlineStr">
        <is>
          <t>A 51583-2024</t>
        </is>
      </c>
      <c r="B273" s="1" t="n">
        <v>45604.6397337963</v>
      </c>
      <c r="C273" s="1" t="n">
        <v>45973</v>
      </c>
      <c r="D273" t="inlineStr">
        <is>
          <t>ÖSTERGÖTLANDS LÄN</t>
        </is>
      </c>
      <c r="E273" t="inlineStr">
        <is>
          <t>LINKÖPING</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62019-2024</t>
        </is>
      </c>
      <c r="B274" s="1" t="n">
        <v>45655.82</v>
      </c>
      <c r="C274" s="1" t="n">
        <v>45973</v>
      </c>
      <c r="D274" t="inlineStr">
        <is>
          <t>ÖSTERGÖTLANDS LÄN</t>
        </is>
      </c>
      <c r="E274" t="inlineStr">
        <is>
          <t>LINKÖPING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38317-2024</t>
        </is>
      </c>
      <c r="B275" s="1" t="n">
        <v>45545.65766203704</v>
      </c>
      <c r="C275" s="1" t="n">
        <v>45973</v>
      </c>
      <c r="D275" t="inlineStr">
        <is>
          <t>ÖSTERGÖTLANDS LÄN</t>
        </is>
      </c>
      <c r="E275" t="inlineStr">
        <is>
          <t>LINKÖPING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50182-2023</t>
        </is>
      </c>
      <c r="B276" s="1" t="n">
        <v>45208</v>
      </c>
      <c r="C276" s="1" t="n">
        <v>45973</v>
      </c>
      <c r="D276" t="inlineStr">
        <is>
          <t>ÖSTERGÖTLANDS LÄN</t>
        </is>
      </c>
      <c r="E276" t="inlineStr">
        <is>
          <t>LINKÖPING</t>
        </is>
      </c>
      <c r="G276" t="n">
        <v>2.5</v>
      </c>
      <c r="H276" t="n">
        <v>0</v>
      </c>
      <c r="I276" t="n">
        <v>0</v>
      </c>
      <c r="J276" t="n">
        <v>0</v>
      </c>
      <c r="K276" t="n">
        <v>0</v>
      </c>
      <c r="L276" t="n">
        <v>0</v>
      </c>
      <c r="M276" t="n">
        <v>0</v>
      </c>
      <c r="N276" t="n">
        <v>0</v>
      </c>
      <c r="O276" t="n">
        <v>0</v>
      </c>
      <c r="P276" t="n">
        <v>0</v>
      </c>
      <c r="Q276" t="n">
        <v>0</v>
      </c>
      <c r="R276" s="2" t="inlineStr"/>
    </row>
    <row r="277" ht="15" customHeight="1">
      <c r="A277" t="inlineStr">
        <is>
          <t>A 1844-2025</t>
        </is>
      </c>
      <c r="B277" s="1" t="n">
        <v>45671.57730324074</v>
      </c>
      <c r="C277" s="1" t="n">
        <v>45973</v>
      </c>
      <c r="D277" t="inlineStr">
        <is>
          <t>ÖSTERGÖTLANDS LÄN</t>
        </is>
      </c>
      <c r="E277" t="inlineStr">
        <is>
          <t>LINKÖPING</t>
        </is>
      </c>
      <c r="G277" t="n">
        <v>2</v>
      </c>
      <c r="H277" t="n">
        <v>0</v>
      </c>
      <c r="I277" t="n">
        <v>0</v>
      </c>
      <c r="J277" t="n">
        <v>0</v>
      </c>
      <c r="K277" t="n">
        <v>0</v>
      </c>
      <c r="L277" t="n">
        <v>0</v>
      </c>
      <c r="M277" t="n">
        <v>0</v>
      </c>
      <c r="N277" t="n">
        <v>0</v>
      </c>
      <c r="O277" t="n">
        <v>0</v>
      </c>
      <c r="P277" t="n">
        <v>0</v>
      </c>
      <c r="Q277" t="n">
        <v>0</v>
      </c>
      <c r="R277" s="2" t="inlineStr"/>
    </row>
    <row r="278" ht="15" customHeight="1">
      <c r="A278" t="inlineStr">
        <is>
          <t>A 46225-2021</t>
        </is>
      </c>
      <c r="B278" s="1" t="n">
        <v>44442</v>
      </c>
      <c r="C278" s="1" t="n">
        <v>45973</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54428-2022</t>
        </is>
      </c>
      <c r="B279" s="1" t="n">
        <v>44882.57643518518</v>
      </c>
      <c r="C279" s="1" t="n">
        <v>45973</v>
      </c>
      <c r="D279" t="inlineStr">
        <is>
          <t>ÖSTERGÖTLANDS LÄN</t>
        </is>
      </c>
      <c r="E279" t="inlineStr">
        <is>
          <t>LINKÖPING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13413-2023</t>
        </is>
      </c>
      <c r="B280" s="1" t="n">
        <v>45005.58341435185</v>
      </c>
      <c r="C280" s="1" t="n">
        <v>45973</v>
      </c>
      <c r="D280" t="inlineStr">
        <is>
          <t>ÖSTERGÖTLANDS LÄN</t>
        </is>
      </c>
      <c r="E280" t="inlineStr">
        <is>
          <t>LINKÖPING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21155-2025</t>
        </is>
      </c>
      <c r="B281" s="1" t="n">
        <v>45779.37586805555</v>
      </c>
      <c r="C281" s="1" t="n">
        <v>45973</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21165-2025</t>
        </is>
      </c>
      <c r="B282" s="1" t="n">
        <v>45779.39417824074</v>
      </c>
      <c r="C282" s="1" t="n">
        <v>45973</v>
      </c>
      <c r="D282" t="inlineStr">
        <is>
          <t>ÖSTERGÖTLANDS LÄN</t>
        </is>
      </c>
      <c r="E282" t="inlineStr">
        <is>
          <t>LINKÖPING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63528-2023</t>
        </is>
      </c>
      <c r="B283" s="1" t="n">
        <v>45274.94810185185</v>
      </c>
      <c r="C283" s="1" t="n">
        <v>45973</v>
      </c>
      <c r="D283" t="inlineStr">
        <is>
          <t>ÖSTERGÖTLANDS LÄN</t>
        </is>
      </c>
      <c r="E283" t="inlineStr">
        <is>
          <t>LINKÖPING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63638-2023</t>
        </is>
      </c>
      <c r="B284" s="1" t="n">
        <v>45275</v>
      </c>
      <c r="C284" s="1" t="n">
        <v>45973</v>
      </c>
      <c r="D284" t="inlineStr">
        <is>
          <t>ÖSTERGÖTLANDS LÄN</t>
        </is>
      </c>
      <c r="E284" t="inlineStr">
        <is>
          <t>LINKÖPING</t>
        </is>
      </c>
      <c r="F284" t="inlineStr">
        <is>
          <t>Övriga Aktiebolag</t>
        </is>
      </c>
      <c r="G284" t="n">
        <v>2.4</v>
      </c>
      <c r="H284" t="n">
        <v>0</v>
      </c>
      <c r="I284" t="n">
        <v>0</v>
      </c>
      <c r="J284" t="n">
        <v>0</v>
      </c>
      <c r="K284" t="n">
        <v>0</v>
      </c>
      <c r="L284" t="n">
        <v>0</v>
      </c>
      <c r="M284" t="n">
        <v>0</v>
      </c>
      <c r="N284" t="n">
        <v>0</v>
      </c>
      <c r="O284" t="n">
        <v>0</v>
      </c>
      <c r="P284" t="n">
        <v>0</v>
      </c>
      <c r="Q284" t="n">
        <v>0</v>
      </c>
      <c r="R284" s="2" t="inlineStr"/>
    </row>
    <row r="285" ht="15" customHeight="1">
      <c r="A285" t="inlineStr">
        <is>
          <t>A 63658-2023</t>
        </is>
      </c>
      <c r="B285" s="1" t="n">
        <v>45275</v>
      </c>
      <c r="C285" s="1" t="n">
        <v>45973</v>
      </c>
      <c r="D285" t="inlineStr">
        <is>
          <t>ÖSTERGÖTLANDS LÄN</t>
        </is>
      </c>
      <c r="E285" t="inlineStr">
        <is>
          <t>LINKÖPING</t>
        </is>
      </c>
      <c r="F285" t="inlineStr">
        <is>
          <t>Övriga Aktiebolag</t>
        </is>
      </c>
      <c r="G285" t="n">
        <v>1.5</v>
      </c>
      <c r="H285" t="n">
        <v>0</v>
      </c>
      <c r="I285" t="n">
        <v>0</v>
      </c>
      <c r="J285" t="n">
        <v>0</v>
      </c>
      <c r="K285" t="n">
        <v>0</v>
      </c>
      <c r="L285" t="n">
        <v>0</v>
      </c>
      <c r="M285" t="n">
        <v>0</v>
      </c>
      <c r="N285" t="n">
        <v>0</v>
      </c>
      <c r="O285" t="n">
        <v>0</v>
      </c>
      <c r="P285" t="n">
        <v>0</v>
      </c>
      <c r="Q285" t="n">
        <v>0</v>
      </c>
      <c r="R285" s="2" t="inlineStr"/>
    </row>
    <row r="286" ht="15" customHeight="1">
      <c r="A286" t="inlineStr">
        <is>
          <t>A 11790-2024</t>
        </is>
      </c>
      <c r="B286" s="1" t="n">
        <v>45374</v>
      </c>
      <c r="C286" s="1" t="n">
        <v>45973</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7808-2022</t>
        </is>
      </c>
      <c r="B287" s="1" t="n">
        <v>44608</v>
      </c>
      <c r="C287" s="1" t="n">
        <v>45973</v>
      </c>
      <c r="D287" t="inlineStr">
        <is>
          <t>ÖSTERGÖTLANDS LÄN</t>
        </is>
      </c>
      <c r="E287" t="inlineStr">
        <is>
          <t>LINKÖPING</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30434-2024</t>
        </is>
      </c>
      <c r="B288" s="1" t="n">
        <v>45491.69811342593</v>
      </c>
      <c r="C288" s="1" t="n">
        <v>45973</v>
      </c>
      <c r="D288" t="inlineStr">
        <is>
          <t>ÖSTERGÖTLANDS LÄN</t>
        </is>
      </c>
      <c r="E288" t="inlineStr">
        <is>
          <t>LINKÖPING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48962-2022</t>
        </is>
      </c>
      <c r="B289" s="1" t="n">
        <v>44860.31635416667</v>
      </c>
      <c r="C289" s="1" t="n">
        <v>45973</v>
      </c>
      <c r="D289" t="inlineStr">
        <is>
          <t>ÖSTERGÖTLANDS LÄN</t>
        </is>
      </c>
      <c r="E289" t="inlineStr">
        <is>
          <t>LINKÖPING</t>
        </is>
      </c>
      <c r="G289" t="n">
        <v>2.9</v>
      </c>
      <c r="H289" t="n">
        <v>0</v>
      </c>
      <c r="I289" t="n">
        <v>0</v>
      </c>
      <c r="J289" t="n">
        <v>0</v>
      </c>
      <c r="K289" t="n">
        <v>0</v>
      </c>
      <c r="L289" t="n">
        <v>0</v>
      </c>
      <c r="M289" t="n">
        <v>0</v>
      </c>
      <c r="N289" t="n">
        <v>0</v>
      </c>
      <c r="O289" t="n">
        <v>0</v>
      </c>
      <c r="P289" t="n">
        <v>0</v>
      </c>
      <c r="Q289" t="n">
        <v>0</v>
      </c>
      <c r="R289" s="2" t="inlineStr"/>
    </row>
    <row r="290" ht="15" customHeight="1">
      <c r="A290" t="inlineStr">
        <is>
          <t>A 36336-2023</t>
        </is>
      </c>
      <c r="B290" s="1" t="n">
        <v>45152.45078703704</v>
      </c>
      <c r="C290" s="1" t="n">
        <v>45973</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53647-2021</t>
        </is>
      </c>
      <c r="B291" s="1" t="n">
        <v>44469</v>
      </c>
      <c r="C291" s="1" t="n">
        <v>45973</v>
      </c>
      <c r="D291" t="inlineStr">
        <is>
          <t>ÖSTERGÖTLANDS LÄN</t>
        </is>
      </c>
      <c r="E291" t="inlineStr">
        <is>
          <t>LINKÖPING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22772-2024</t>
        </is>
      </c>
      <c r="B292" s="1" t="n">
        <v>45448.46712962963</v>
      </c>
      <c r="C292" s="1" t="n">
        <v>45973</v>
      </c>
      <c r="D292" t="inlineStr">
        <is>
          <t>ÖSTERGÖTLANDS LÄN</t>
        </is>
      </c>
      <c r="E292" t="inlineStr">
        <is>
          <t>LINKÖPING</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56623-2024</t>
        </is>
      </c>
      <c r="B293" s="1" t="n">
        <v>45625</v>
      </c>
      <c r="C293" s="1" t="n">
        <v>45973</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18916-2024</t>
        </is>
      </c>
      <c r="B294" s="1" t="n">
        <v>45427.39541666667</v>
      </c>
      <c r="C294" s="1" t="n">
        <v>45973</v>
      </c>
      <c r="D294" t="inlineStr">
        <is>
          <t>ÖSTERGÖTLANDS LÄN</t>
        </is>
      </c>
      <c r="E294" t="inlineStr">
        <is>
          <t>LINKÖPING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24586-2024</t>
        </is>
      </c>
      <c r="B295" s="1" t="n">
        <v>45460.46664351852</v>
      </c>
      <c r="C295" s="1" t="n">
        <v>45973</v>
      </c>
      <c r="D295" t="inlineStr">
        <is>
          <t>ÖSTERGÖTLANDS LÄN</t>
        </is>
      </c>
      <c r="E295" t="inlineStr">
        <is>
          <t>LINKÖPING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17124-2025</t>
        </is>
      </c>
      <c r="B296" s="1" t="n">
        <v>45755.69678240741</v>
      </c>
      <c r="C296" s="1" t="n">
        <v>45973</v>
      </c>
      <c r="D296" t="inlineStr">
        <is>
          <t>ÖSTERGÖTLANDS LÄN</t>
        </is>
      </c>
      <c r="E296" t="inlineStr">
        <is>
          <t>LINKÖPING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17126-2025</t>
        </is>
      </c>
      <c r="B297" s="1" t="n">
        <v>45755.70814814815</v>
      </c>
      <c r="C297" s="1" t="n">
        <v>45973</v>
      </c>
      <c r="D297" t="inlineStr">
        <is>
          <t>ÖSTERGÖTLANDS LÄN</t>
        </is>
      </c>
      <c r="E297" t="inlineStr">
        <is>
          <t>LINKÖPING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17143-2025</t>
        </is>
      </c>
      <c r="B298" s="1" t="n">
        <v>45755.92731481481</v>
      </c>
      <c r="C298" s="1" t="n">
        <v>45973</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11084-2022</t>
        </is>
      </c>
      <c r="B299" s="1" t="n">
        <v>44628</v>
      </c>
      <c r="C299" s="1" t="n">
        <v>45973</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57745-2022</t>
        </is>
      </c>
      <c r="B300" s="1" t="n">
        <v>44897.58119212963</v>
      </c>
      <c r="C300" s="1" t="n">
        <v>45973</v>
      </c>
      <c r="D300" t="inlineStr">
        <is>
          <t>ÖSTERGÖTLANDS LÄN</t>
        </is>
      </c>
      <c r="E300" t="inlineStr">
        <is>
          <t>LINKÖPING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13011-2022</t>
        </is>
      </c>
      <c r="B301" s="1" t="n">
        <v>44643</v>
      </c>
      <c r="C301" s="1" t="n">
        <v>45973</v>
      </c>
      <c r="D301" t="inlineStr">
        <is>
          <t>ÖSTERGÖTLANDS LÄN</t>
        </is>
      </c>
      <c r="E301" t="inlineStr">
        <is>
          <t>LINKÖPING</t>
        </is>
      </c>
      <c r="G301" t="n">
        <v>3.7</v>
      </c>
      <c r="H301" t="n">
        <v>0</v>
      </c>
      <c r="I301" t="n">
        <v>0</v>
      </c>
      <c r="J301" t="n">
        <v>0</v>
      </c>
      <c r="K301" t="n">
        <v>0</v>
      </c>
      <c r="L301" t="n">
        <v>0</v>
      </c>
      <c r="M301" t="n">
        <v>0</v>
      </c>
      <c r="N301" t="n">
        <v>0</v>
      </c>
      <c r="O301" t="n">
        <v>0</v>
      </c>
      <c r="P301" t="n">
        <v>0</v>
      </c>
      <c r="Q301" t="n">
        <v>0</v>
      </c>
      <c r="R301" s="2" t="inlineStr"/>
    </row>
    <row r="302" ht="15" customHeight="1">
      <c r="A302" t="inlineStr">
        <is>
          <t>A 39017-2021</t>
        </is>
      </c>
      <c r="B302" s="1" t="n">
        <v>44412</v>
      </c>
      <c r="C302" s="1" t="n">
        <v>45973</v>
      </c>
      <c r="D302" t="inlineStr">
        <is>
          <t>ÖSTERGÖTLANDS LÄN</t>
        </is>
      </c>
      <c r="E302" t="inlineStr">
        <is>
          <t>LINKÖPING</t>
        </is>
      </c>
      <c r="F302" t="inlineStr">
        <is>
          <t>Övriga statliga verk och myndigheter</t>
        </is>
      </c>
      <c r="G302" t="n">
        <v>0.8</v>
      </c>
      <c r="H302" t="n">
        <v>0</v>
      </c>
      <c r="I302" t="n">
        <v>0</v>
      </c>
      <c r="J302" t="n">
        <v>0</v>
      </c>
      <c r="K302" t="n">
        <v>0</v>
      </c>
      <c r="L302" t="n">
        <v>0</v>
      </c>
      <c r="M302" t="n">
        <v>0</v>
      </c>
      <c r="N302" t="n">
        <v>0</v>
      </c>
      <c r="O302" t="n">
        <v>0</v>
      </c>
      <c r="P302" t="n">
        <v>0</v>
      </c>
      <c r="Q302" t="n">
        <v>0</v>
      </c>
      <c r="R302" s="2" t="inlineStr"/>
    </row>
    <row r="303" ht="15" customHeight="1">
      <c r="A303" t="inlineStr">
        <is>
          <t>A 14520-2025</t>
        </is>
      </c>
      <c r="B303" s="1" t="n">
        <v>45741</v>
      </c>
      <c r="C303" s="1" t="n">
        <v>45973</v>
      </c>
      <c r="D303" t="inlineStr">
        <is>
          <t>ÖSTERGÖTLANDS LÄN</t>
        </is>
      </c>
      <c r="E303" t="inlineStr">
        <is>
          <t>LINKÖPING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11595-2025</t>
        </is>
      </c>
      <c r="B304" s="1" t="n">
        <v>45727.41893518518</v>
      </c>
      <c r="C304" s="1" t="n">
        <v>45973</v>
      </c>
      <c r="D304" t="inlineStr">
        <is>
          <t>ÖSTERGÖTLANDS LÄN</t>
        </is>
      </c>
      <c r="E304" t="inlineStr">
        <is>
          <t>LINKÖPING</t>
        </is>
      </c>
      <c r="G304" t="n">
        <v>6.6</v>
      </c>
      <c r="H304" t="n">
        <v>0</v>
      </c>
      <c r="I304" t="n">
        <v>0</v>
      </c>
      <c r="J304" t="n">
        <v>0</v>
      </c>
      <c r="K304" t="n">
        <v>0</v>
      </c>
      <c r="L304" t="n">
        <v>0</v>
      </c>
      <c r="M304" t="n">
        <v>0</v>
      </c>
      <c r="N304" t="n">
        <v>0</v>
      </c>
      <c r="O304" t="n">
        <v>0</v>
      </c>
      <c r="P304" t="n">
        <v>0</v>
      </c>
      <c r="Q304" t="n">
        <v>0</v>
      </c>
      <c r="R304" s="2" t="inlineStr"/>
    </row>
    <row r="305" ht="15" customHeight="1">
      <c r="A305" t="inlineStr">
        <is>
          <t>A 16820-2024</t>
        </is>
      </c>
      <c r="B305" s="1" t="n">
        <v>45411.46809027778</v>
      </c>
      <c r="C305" s="1" t="n">
        <v>45973</v>
      </c>
      <c r="D305" t="inlineStr">
        <is>
          <t>ÖSTERGÖTLANDS LÄN</t>
        </is>
      </c>
      <c r="E305" t="inlineStr">
        <is>
          <t>LINKÖPING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50508-2024</t>
        </is>
      </c>
      <c r="B306" s="1" t="n">
        <v>45601.53907407408</v>
      </c>
      <c r="C306" s="1" t="n">
        <v>45973</v>
      </c>
      <c r="D306" t="inlineStr">
        <is>
          <t>ÖSTERGÖTLANDS LÄN</t>
        </is>
      </c>
      <c r="E306" t="inlineStr">
        <is>
          <t>LINKÖPING</t>
        </is>
      </c>
      <c r="F306" t="inlineStr">
        <is>
          <t>Övriga Aktiebolag</t>
        </is>
      </c>
      <c r="G306" t="n">
        <v>2</v>
      </c>
      <c r="H306" t="n">
        <v>0</v>
      </c>
      <c r="I306" t="n">
        <v>0</v>
      </c>
      <c r="J306" t="n">
        <v>0</v>
      </c>
      <c r="K306" t="n">
        <v>0</v>
      </c>
      <c r="L306" t="n">
        <v>0</v>
      </c>
      <c r="M306" t="n">
        <v>0</v>
      </c>
      <c r="N306" t="n">
        <v>0</v>
      </c>
      <c r="O306" t="n">
        <v>0</v>
      </c>
      <c r="P306" t="n">
        <v>0</v>
      </c>
      <c r="Q306" t="n">
        <v>0</v>
      </c>
      <c r="R306" s="2" t="inlineStr"/>
    </row>
    <row r="307" ht="15" customHeight="1">
      <c r="A307" t="inlineStr">
        <is>
          <t>A 56064-2022</t>
        </is>
      </c>
      <c r="B307" s="1" t="n">
        <v>44889.59107638889</v>
      </c>
      <c r="C307" s="1" t="n">
        <v>45973</v>
      </c>
      <c r="D307" t="inlineStr">
        <is>
          <t>ÖSTERGÖTLANDS LÄN</t>
        </is>
      </c>
      <c r="E307" t="inlineStr">
        <is>
          <t>LINKÖPING</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30980-2022</t>
        </is>
      </c>
      <c r="B308" s="1" t="n">
        <v>44768</v>
      </c>
      <c r="C308" s="1" t="n">
        <v>45973</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40502-2024</t>
        </is>
      </c>
      <c r="B309" s="1" t="n">
        <v>45555.57263888889</v>
      </c>
      <c r="C309" s="1" t="n">
        <v>45973</v>
      </c>
      <c r="D309" t="inlineStr">
        <is>
          <t>ÖSTERGÖTLANDS LÄN</t>
        </is>
      </c>
      <c r="E309" t="inlineStr">
        <is>
          <t>LINKÖPING</t>
        </is>
      </c>
      <c r="F309" t="inlineStr">
        <is>
          <t>Allmännings- och besparingsskogar</t>
        </is>
      </c>
      <c r="G309" t="n">
        <v>17.5</v>
      </c>
      <c r="H309" t="n">
        <v>0</v>
      </c>
      <c r="I309" t="n">
        <v>0</v>
      </c>
      <c r="J309" t="n">
        <v>0</v>
      </c>
      <c r="K309" t="n">
        <v>0</v>
      </c>
      <c r="L309" t="n">
        <v>0</v>
      </c>
      <c r="M309" t="n">
        <v>0</v>
      </c>
      <c r="N309" t="n">
        <v>0</v>
      </c>
      <c r="O309" t="n">
        <v>0</v>
      </c>
      <c r="P309" t="n">
        <v>0</v>
      </c>
      <c r="Q309" t="n">
        <v>0</v>
      </c>
      <c r="R309" s="2" t="inlineStr"/>
    </row>
    <row r="310" ht="15" customHeight="1">
      <c r="A310" t="inlineStr">
        <is>
          <t>A 36336-2022</t>
        </is>
      </c>
      <c r="B310" s="1" t="n">
        <v>44803</v>
      </c>
      <c r="C310" s="1" t="n">
        <v>45973</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48839-2022</t>
        </is>
      </c>
      <c r="B311" s="1" t="n">
        <v>44859</v>
      </c>
      <c r="C311" s="1" t="n">
        <v>45973</v>
      </c>
      <c r="D311" t="inlineStr">
        <is>
          <t>ÖSTERGÖTLANDS LÄN</t>
        </is>
      </c>
      <c r="E311" t="inlineStr">
        <is>
          <t>LINKÖPING</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44155-2024</t>
        </is>
      </c>
      <c r="B312" s="1" t="n">
        <v>45572.68226851852</v>
      </c>
      <c r="C312" s="1" t="n">
        <v>45973</v>
      </c>
      <c r="D312" t="inlineStr">
        <is>
          <t>ÖSTERGÖTLANDS LÄN</t>
        </is>
      </c>
      <c r="E312" t="inlineStr">
        <is>
          <t>LINKÖPING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24351-2024</t>
        </is>
      </c>
      <c r="B313" s="1" t="n">
        <v>45457.59011574074</v>
      </c>
      <c r="C313" s="1" t="n">
        <v>45973</v>
      </c>
      <c r="D313" t="inlineStr">
        <is>
          <t>ÖSTERGÖTLANDS LÄN</t>
        </is>
      </c>
      <c r="E313" t="inlineStr">
        <is>
          <t>LINKÖPING</t>
        </is>
      </c>
      <c r="G313" t="n">
        <v>11.9</v>
      </c>
      <c r="H313" t="n">
        <v>0</v>
      </c>
      <c r="I313" t="n">
        <v>0</v>
      </c>
      <c r="J313" t="n">
        <v>0</v>
      </c>
      <c r="K313" t="n">
        <v>0</v>
      </c>
      <c r="L313" t="n">
        <v>0</v>
      </c>
      <c r="M313" t="n">
        <v>0</v>
      </c>
      <c r="N313" t="n">
        <v>0</v>
      </c>
      <c r="O313" t="n">
        <v>0</v>
      </c>
      <c r="P313" t="n">
        <v>0</v>
      </c>
      <c r="Q313" t="n">
        <v>0</v>
      </c>
      <c r="R313" s="2" t="inlineStr"/>
    </row>
    <row r="314" ht="15" customHeight="1">
      <c r="A314" t="inlineStr">
        <is>
          <t>A 6387-2022</t>
        </is>
      </c>
      <c r="B314" s="1" t="n">
        <v>44600</v>
      </c>
      <c r="C314" s="1" t="n">
        <v>45973</v>
      </c>
      <c r="D314" t="inlineStr">
        <is>
          <t>ÖSTERGÖTLANDS LÄN</t>
        </is>
      </c>
      <c r="E314" t="inlineStr">
        <is>
          <t>LINKÖPING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62501-2023</t>
        </is>
      </c>
      <c r="B315" s="1" t="n">
        <v>45268</v>
      </c>
      <c r="C315" s="1" t="n">
        <v>45973</v>
      </c>
      <c r="D315" t="inlineStr">
        <is>
          <t>ÖSTERGÖTLANDS LÄN</t>
        </is>
      </c>
      <c r="E315" t="inlineStr">
        <is>
          <t>LINKÖPING</t>
        </is>
      </c>
      <c r="G315" t="n">
        <v>7.4</v>
      </c>
      <c r="H315" t="n">
        <v>0</v>
      </c>
      <c r="I315" t="n">
        <v>0</v>
      </c>
      <c r="J315" t="n">
        <v>0</v>
      </c>
      <c r="K315" t="n">
        <v>0</v>
      </c>
      <c r="L315" t="n">
        <v>0</v>
      </c>
      <c r="M315" t="n">
        <v>0</v>
      </c>
      <c r="N315" t="n">
        <v>0</v>
      </c>
      <c r="O315" t="n">
        <v>0</v>
      </c>
      <c r="P315" t="n">
        <v>0</v>
      </c>
      <c r="Q315" t="n">
        <v>0</v>
      </c>
      <c r="R315" s="2" t="inlineStr"/>
    </row>
    <row r="316" ht="15" customHeight="1">
      <c r="A316" t="inlineStr">
        <is>
          <t>A 58947-2022</t>
        </is>
      </c>
      <c r="B316" s="1" t="n">
        <v>44903.64769675926</v>
      </c>
      <c r="C316" s="1" t="n">
        <v>45973</v>
      </c>
      <c r="D316" t="inlineStr">
        <is>
          <t>ÖSTERGÖTLANDS LÄN</t>
        </is>
      </c>
      <c r="E316" t="inlineStr">
        <is>
          <t>LINKÖPING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49979-2022</t>
        </is>
      </c>
      <c r="B317" s="1" t="n">
        <v>44865</v>
      </c>
      <c r="C317" s="1" t="n">
        <v>45973</v>
      </c>
      <c r="D317" t="inlineStr">
        <is>
          <t>ÖSTERGÖTLANDS LÄN</t>
        </is>
      </c>
      <c r="E317" t="inlineStr">
        <is>
          <t>LINKÖPING</t>
        </is>
      </c>
      <c r="F317" t="inlineStr">
        <is>
          <t>Övriga Aktiebolag</t>
        </is>
      </c>
      <c r="G317" t="n">
        <v>11.4</v>
      </c>
      <c r="H317" t="n">
        <v>0</v>
      </c>
      <c r="I317" t="n">
        <v>0</v>
      </c>
      <c r="J317" t="n">
        <v>0</v>
      </c>
      <c r="K317" t="n">
        <v>0</v>
      </c>
      <c r="L317" t="n">
        <v>0</v>
      </c>
      <c r="M317" t="n">
        <v>0</v>
      </c>
      <c r="N317" t="n">
        <v>0</v>
      </c>
      <c r="O317" t="n">
        <v>0</v>
      </c>
      <c r="P317" t="n">
        <v>0</v>
      </c>
      <c r="Q317" t="n">
        <v>0</v>
      </c>
      <c r="R317" s="2" t="inlineStr"/>
    </row>
    <row r="318" ht="15" customHeight="1">
      <c r="A318" t="inlineStr">
        <is>
          <t>A 34641-2022</t>
        </is>
      </c>
      <c r="B318" s="1" t="n">
        <v>44795</v>
      </c>
      <c r="C318" s="1" t="n">
        <v>45973</v>
      </c>
      <c r="D318" t="inlineStr">
        <is>
          <t>ÖSTERGÖTLANDS LÄN</t>
        </is>
      </c>
      <c r="E318" t="inlineStr">
        <is>
          <t>LINKÖPING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13687-2025</t>
        </is>
      </c>
      <c r="B319" s="1" t="n">
        <v>45737.31425925926</v>
      </c>
      <c r="C319" s="1" t="n">
        <v>45973</v>
      </c>
      <c r="D319" t="inlineStr">
        <is>
          <t>ÖSTERGÖTLANDS LÄN</t>
        </is>
      </c>
      <c r="E319" t="inlineStr">
        <is>
          <t>LINKÖPING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13695-2025</t>
        </is>
      </c>
      <c r="B320" s="1" t="n">
        <v>45737.32219907407</v>
      </c>
      <c r="C320" s="1" t="n">
        <v>45973</v>
      </c>
      <c r="D320" t="inlineStr">
        <is>
          <t>ÖSTERGÖTLANDS LÄN</t>
        </is>
      </c>
      <c r="E320" t="inlineStr">
        <is>
          <t>LINKÖPING</t>
        </is>
      </c>
      <c r="G320" t="n">
        <v>5.3</v>
      </c>
      <c r="H320" t="n">
        <v>0</v>
      </c>
      <c r="I320" t="n">
        <v>0</v>
      </c>
      <c r="J320" t="n">
        <v>0</v>
      </c>
      <c r="K320" t="n">
        <v>0</v>
      </c>
      <c r="L320" t="n">
        <v>0</v>
      </c>
      <c r="M320" t="n">
        <v>0</v>
      </c>
      <c r="N320" t="n">
        <v>0</v>
      </c>
      <c r="O320" t="n">
        <v>0</v>
      </c>
      <c r="P320" t="n">
        <v>0</v>
      </c>
      <c r="Q320" t="n">
        <v>0</v>
      </c>
      <c r="R320" s="2" t="inlineStr"/>
    </row>
    <row r="321" ht="15" customHeight="1">
      <c r="A321" t="inlineStr">
        <is>
          <t>A 53827-2023</t>
        </is>
      </c>
      <c r="B321" s="1" t="n">
        <v>45230</v>
      </c>
      <c r="C321" s="1" t="n">
        <v>45973</v>
      </c>
      <c r="D321" t="inlineStr">
        <is>
          <t>ÖSTERGÖTLANDS LÄN</t>
        </is>
      </c>
      <c r="E321" t="inlineStr">
        <is>
          <t>LINKÖPING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42997-2021</t>
        </is>
      </c>
      <c r="B322" s="1" t="n">
        <v>44431.45556712963</v>
      </c>
      <c r="C322" s="1" t="n">
        <v>45973</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940-2023</t>
        </is>
      </c>
      <c r="B323" s="1" t="n">
        <v>44933</v>
      </c>
      <c r="C323" s="1" t="n">
        <v>45973</v>
      </c>
      <c r="D323" t="inlineStr">
        <is>
          <t>ÖSTERGÖTLANDS LÄN</t>
        </is>
      </c>
      <c r="E323" t="inlineStr">
        <is>
          <t>LINKÖPING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52413-2023</t>
        </is>
      </c>
      <c r="B324" s="1" t="n">
        <v>45225.27950231481</v>
      </c>
      <c r="C324" s="1" t="n">
        <v>45973</v>
      </c>
      <c r="D324" t="inlineStr">
        <is>
          <t>ÖSTERGÖTLANDS LÄN</t>
        </is>
      </c>
      <c r="E324" t="inlineStr">
        <is>
          <t>LINKÖPING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7992-2023</t>
        </is>
      </c>
      <c r="B325" s="1" t="n">
        <v>44970</v>
      </c>
      <c r="C325" s="1" t="n">
        <v>45973</v>
      </c>
      <c r="D325" t="inlineStr">
        <is>
          <t>ÖSTERGÖTLANDS LÄN</t>
        </is>
      </c>
      <c r="E325" t="inlineStr">
        <is>
          <t>LINKÖPING</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57752-2023</t>
        </is>
      </c>
      <c r="B326" s="1" t="n">
        <v>45246.78474537037</v>
      </c>
      <c r="C326" s="1" t="n">
        <v>45973</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42054-2022</t>
        </is>
      </c>
      <c r="B327" s="1" t="n">
        <v>44830</v>
      </c>
      <c r="C327" s="1" t="n">
        <v>45973</v>
      </c>
      <c r="D327" t="inlineStr">
        <is>
          <t>ÖSTERGÖTLANDS LÄN</t>
        </is>
      </c>
      <c r="E327" t="inlineStr">
        <is>
          <t>LINKÖPING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53797-2023</t>
        </is>
      </c>
      <c r="B328" s="1" t="n">
        <v>45230</v>
      </c>
      <c r="C328" s="1" t="n">
        <v>45973</v>
      </c>
      <c r="D328" t="inlineStr">
        <is>
          <t>ÖSTERGÖTLANDS LÄN</t>
        </is>
      </c>
      <c r="E328" t="inlineStr">
        <is>
          <t>LINKÖPING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22833-2023</t>
        </is>
      </c>
      <c r="B329" s="1" t="n">
        <v>45071</v>
      </c>
      <c r="C329" s="1" t="n">
        <v>45973</v>
      </c>
      <c r="D329" t="inlineStr">
        <is>
          <t>ÖSTERGÖTLANDS LÄN</t>
        </is>
      </c>
      <c r="E329" t="inlineStr">
        <is>
          <t>LINKÖPING</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17898-2022</t>
        </is>
      </c>
      <c r="B330" s="1" t="n">
        <v>44683</v>
      </c>
      <c r="C330" s="1" t="n">
        <v>45973</v>
      </c>
      <c r="D330" t="inlineStr">
        <is>
          <t>ÖSTERGÖTLANDS LÄN</t>
        </is>
      </c>
      <c r="E330" t="inlineStr">
        <is>
          <t>LINKÖPING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14028-2024</t>
        </is>
      </c>
      <c r="B331" s="1" t="n">
        <v>45392</v>
      </c>
      <c r="C331" s="1" t="n">
        <v>45973</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62017-2024</t>
        </is>
      </c>
      <c r="B332" s="1" t="n">
        <v>45655.81140046296</v>
      </c>
      <c r="C332" s="1" t="n">
        <v>45973</v>
      </c>
      <c r="D332" t="inlineStr">
        <is>
          <t>ÖSTERGÖTLANDS LÄN</t>
        </is>
      </c>
      <c r="E332" t="inlineStr">
        <is>
          <t>LINKÖPING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38046-2025</t>
        </is>
      </c>
      <c r="B333" s="1" t="n">
        <v>45882.39939814815</v>
      </c>
      <c r="C333" s="1" t="n">
        <v>45973</v>
      </c>
      <c r="D333" t="inlineStr">
        <is>
          <t>ÖSTERGÖTLANDS LÄN</t>
        </is>
      </c>
      <c r="E333" t="inlineStr">
        <is>
          <t>LINKÖPING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12411-2022</t>
        </is>
      </c>
      <c r="B334" s="1" t="n">
        <v>44638.21601851852</v>
      </c>
      <c r="C334" s="1" t="n">
        <v>45973</v>
      </c>
      <c r="D334" t="inlineStr">
        <is>
          <t>ÖSTERGÖTLANDS LÄN</t>
        </is>
      </c>
      <c r="E334" t="inlineStr">
        <is>
          <t>LINKÖPING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10492-2022</t>
        </is>
      </c>
      <c r="B335" s="1" t="n">
        <v>44623.6377199074</v>
      </c>
      <c r="C335" s="1" t="n">
        <v>45973</v>
      </c>
      <c r="D335" t="inlineStr">
        <is>
          <t>ÖSTERGÖTLANDS LÄN</t>
        </is>
      </c>
      <c r="E335" t="inlineStr">
        <is>
          <t>LINKÖPING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14667-2024</t>
        </is>
      </c>
      <c r="B336" s="1" t="n">
        <v>45397.42005787037</v>
      </c>
      <c r="C336" s="1" t="n">
        <v>45973</v>
      </c>
      <c r="D336" t="inlineStr">
        <is>
          <t>ÖSTERGÖTLANDS LÄN</t>
        </is>
      </c>
      <c r="E336" t="inlineStr">
        <is>
          <t>LINKÖPING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2697-2023</t>
        </is>
      </c>
      <c r="B337" s="1" t="n">
        <v>44944</v>
      </c>
      <c r="C337" s="1" t="n">
        <v>45973</v>
      </c>
      <c r="D337" t="inlineStr">
        <is>
          <t>ÖSTERGÖTLANDS LÄN</t>
        </is>
      </c>
      <c r="E337" t="inlineStr">
        <is>
          <t>LINKÖPING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53641-2023</t>
        </is>
      </c>
      <c r="B338" s="1" t="n">
        <v>45230</v>
      </c>
      <c r="C338" s="1" t="n">
        <v>45973</v>
      </c>
      <c r="D338" t="inlineStr">
        <is>
          <t>ÖSTERGÖTLANDS LÄN</t>
        </is>
      </c>
      <c r="E338" t="inlineStr">
        <is>
          <t>LINKÖPING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48707-2023</t>
        </is>
      </c>
      <c r="B339" s="1" t="n">
        <v>45202</v>
      </c>
      <c r="C339" s="1" t="n">
        <v>45973</v>
      </c>
      <c r="D339" t="inlineStr">
        <is>
          <t>ÖSTERGÖTLANDS LÄN</t>
        </is>
      </c>
      <c r="E339" t="inlineStr">
        <is>
          <t>LINKÖPING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7343-2025</t>
        </is>
      </c>
      <c r="B340" s="1" t="n">
        <v>45703.67853009259</v>
      </c>
      <c r="C340" s="1" t="n">
        <v>45973</v>
      </c>
      <c r="D340" t="inlineStr">
        <is>
          <t>ÖSTERGÖTLANDS LÄN</t>
        </is>
      </c>
      <c r="E340" t="inlineStr">
        <is>
          <t>LINKÖPING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3008-2023</t>
        </is>
      </c>
      <c r="B341" s="1" t="n">
        <v>44945.79784722222</v>
      </c>
      <c r="C341" s="1" t="n">
        <v>45973</v>
      </c>
      <c r="D341" t="inlineStr">
        <is>
          <t>ÖSTERGÖTLANDS LÄN</t>
        </is>
      </c>
      <c r="E341" t="inlineStr">
        <is>
          <t>LINKÖPING</t>
        </is>
      </c>
      <c r="G341" t="n">
        <v>19.3</v>
      </c>
      <c r="H341" t="n">
        <v>0</v>
      </c>
      <c r="I341" t="n">
        <v>0</v>
      </c>
      <c r="J341" t="n">
        <v>0</v>
      </c>
      <c r="K341" t="n">
        <v>0</v>
      </c>
      <c r="L341" t="n">
        <v>0</v>
      </c>
      <c r="M341" t="n">
        <v>0</v>
      </c>
      <c r="N341" t="n">
        <v>0</v>
      </c>
      <c r="O341" t="n">
        <v>0</v>
      </c>
      <c r="P341" t="n">
        <v>0</v>
      </c>
      <c r="Q341" t="n">
        <v>0</v>
      </c>
      <c r="R341" s="2" t="inlineStr"/>
    </row>
    <row r="342" ht="15" customHeight="1">
      <c r="A342" t="inlineStr">
        <is>
          <t>A 53411-2023</t>
        </is>
      </c>
      <c r="B342" s="1" t="n">
        <v>45229.81049768518</v>
      </c>
      <c r="C342" s="1" t="n">
        <v>45973</v>
      </c>
      <c r="D342" t="inlineStr">
        <is>
          <t>ÖSTERGÖTLANDS LÄN</t>
        </is>
      </c>
      <c r="E342" t="inlineStr">
        <is>
          <t>LINKÖPING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8967-2025</t>
        </is>
      </c>
      <c r="B343" s="1" t="n">
        <v>45712</v>
      </c>
      <c r="C343" s="1" t="n">
        <v>45973</v>
      </c>
      <c r="D343" t="inlineStr">
        <is>
          <t>ÖSTERGÖTLANDS LÄN</t>
        </is>
      </c>
      <c r="E343" t="inlineStr">
        <is>
          <t>LINKÖPING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55345-2021</t>
        </is>
      </c>
      <c r="B344" s="1" t="n">
        <v>44475</v>
      </c>
      <c r="C344" s="1" t="n">
        <v>45973</v>
      </c>
      <c r="D344" t="inlineStr">
        <is>
          <t>ÖSTERGÖTLANDS LÄN</t>
        </is>
      </c>
      <c r="E344" t="inlineStr">
        <is>
          <t>LINKÖPING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35427-2023</t>
        </is>
      </c>
      <c r="B345" s="1" t="n">
        <v>45146</v>
      </c>
      <c r="C345" s="1" t="n">
        <v>45973</v>
      </c>
      <c r="D345" t="inlineStr">
        <is>
          <t>ÖSTERGÖTLANDS LÄN</t>
        </is>
      </c>
      <c r="E345" t="inlineStr">
        <is>
          <t>LINKÖPING</t>
        </is>
      </c>
      <c r="F345" t="inlineStr">
        <is>
          <t>Övriga Aktiebolag</t>
        </is>
      </c>
      <c r="G345" t="n">
        <v>2.5</v>
      </c>
      <c r="H345" t="n">
        <v>0</v>
      </c>
      <c r="I345" t="n">
        <v>0</v>
      </c>
      <c r="J345" t="n">
        <v>0</v>
      </c>
      <c r="K345" t="n">
        <v>0</v>
      </c>
      <c r="L345" t="n">
        <v>0</v>
      </c>
      <c r="M345" t="n">
        <v>0</v>
      </c>
      <c r="N345" t="n">
        <v>0</v>
      </c>
      <c r="O345" t="n">
        <v>0</v>
      </c>
      <c r="P345" t="n">
        <v>0</v>
      </c>
      <c r="Q345" t="n">
        <v>0</v>
      </c>
      <c r="R345" s="2" t="inlineStr"/>
    </row>
    <row r="346" ht="15" customHeight="1">
      <c r="A346" t="inlineStr">
        <is>
          <t>A 30468-2023</t>
        </is>
      </c>
      <c r="B346" s="1" t="n">
        <v>45111.58732638889</v>
      </c>
      <c r="C346" s="1" t="n">
        <v>45973</v>
      </c>
      <c r="D346" t="inlineStr">
        <is>
          <t>ÖSTERGÖTLANDS LÄN</t>
        </is>
      </c>
      <c r="E346" t="inlineStr">
        <is>
          <t>LINKÖPING</t>
        </is>
      </c>
      <c r="G346" t="n">
        <v>10.1</v>
      </c>
      <c r="H346" t="n">
        <v>0</v>
      </c>
      <c r="I346" t="n">
        <v>0</v>
      </c>
      <c r="J346" t="n">
        <v>0</v>
      </c>
      <c r="K346" t="n">
        <v>0</v>
      </c>
      <c r="L346" t="n">
        <v>0</v>
      </c>
      <c r="M346" t="n">
        <v>0</v>
      </c>
      <c r="N346" t="n">
        <v>0</v>
      </c>
      <c r="O346" t="n">
        <v>0</v>
      </c>
      <c r="P346" t="n">
        <v>0</v>
      </c>
      <c r="Q346" t="n">
        <v>0</v>
      </c>
      <c r="R346" s="2" t="inlineStr"/>
    </row>
    <row r="347" ht="15" customHeight="1">
      <c r="A347" t="inlineStr">
        <is>
          <t>A 56741-2023</t>
        </is>
      </c>
      <c r="B347" s="1" t="n">
        <v>45244</v>
      </c>
      <c r="C347" s="1" t="n">
        <v>45973</v>
      </c>
      <c r="D347" t="inlineStr">
        <is>
          <t>ÖSTERGÖTLANDS LÄN</t>
        </is>
      </c>
      <c r="E347" t="inlineStr">
        <is>
          <t>LINKÖPING</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56792-2023</t>
        </is>
      </c>
      <c r="B348" s="1" t="n">
        <v>45244</v>
      </c>
      <c r="C348" s="1" t="n">
        <v>45973</v>
      </c>
      <c r="D348" t="inlineStr">
        <is>
          <t>ÖSTERGÖTLANDS LÄN</t>
        </is>
      </c>
      <c r="E348" t="inlineStr">
        <is>
          <t>LINKÖPING</t>
        </is>
      </c>
      <c r="F348" t="inlineStr">
        <is>
          <t>Övriga Aktiebolag</t>
        </is>
      </c>
      <c r="G348" t="n">
        <v>0.9</v>
      </c>
      <c r="H348" t="n">
        <v>0</v>
      </c>
      <c r="I348" t="n">
        <v>0</v>
      </c>
      <c r="J348" t="n">
        <v>0</v>
      </c>
      <c r="K348" t="n">
        <v>0</v>
      </c>
      <c r="L348" t="n">
        <v>0</v>
      </c>
      <c r="M348" t="n">
        <v>0</v>
      </c>
      <c r="N348" t="n">
        <v>0</v>
      </c>
      <c r="O348" t="n">
        <v>0</v>
      </c>
      <c r="P348" t="n">
        <v>0</v>
      </c>
      <c r="Q348" t="n">
        <v>0</v>
      </c>
      <c r="R348" s="2" t="inlineStr"/>
    </row>
    <row r="349" ht="15" customHeight="1">
      <c r="A349" t="inlineStr">
        <is>
          <t>A 3007-2023</t>
        </is>
      </c>
      <c r="B349" s="1" t="n">
        <v>44945</v>
      </c>
      <c r="C349" s="1" t="n">
        <v>45973</v>
      </c>
      <c r="D349" t="inlineStr">
        <is>
          <t>ÖSTERGÖTLANDS LÄN</t>
        </is>
      </c>
      <c r="E349" t="inlineStr">
        <is>
          <t>LINKÖPING</t>
        </is>
      </c>
      <c r="G349" t="n">
        <v>2.6</v>
      </c>
      <c r="H349" t="n">
        <v>0</v>
      </c>
      <c r="I349" t="n">
        <v>0</v>
      </c>
      <c r="J349" t="n">
        <v>0</v>
      </c>
      <c r="K349" t="n">
        <v>0</v>
      </c>
      <c r="L349" t="n">
        <v>0</v>
      </c>
      <c r="M349" t="n">
        <v>0</v>
      </c>
      <c r="N349" t="n">
        <v>0</v>
      </c>
      <c r="O349" t="n">
        <v>0</v>
      </c>
      <c r="P349" t="n">
        <v>0</v>
      </c>
      <c r="Q349" t="n">
        <v>0</v>
      </c>
      <c r="R349" s="2" t="inlineStr"/>
    </row>
    <row r="350" ht="15" customHeight="1">
      <c r="A350" t="inlineStr">
        <is>
          <t>A 40338-2024</t>
        </is>
      </c>
      <c r="B350" s="1" t="n">
        <v>45555.32940972222</v>
      </c>
      <c r="C350" s="1" t="n">
        <v>45973</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3013-2023</t>
        </is>
      </c>
      <c r="B351" s="1" t="n">
        <v>44945.8092824074</v>
      </c>
      <c r="C351" s="1" t="n">
        <v>45973</v>
      </c>
      <c r="D351" t="inlineStr">
        <is>
          <t>ÖSTERGÖTLANDS LÄN</t>
        </is>
      </c>
      <c r="E351" t="inlineStr">
        <is>
          <t>LINKÖPING</t>
        </is>
      </c>
      <c r="G351" t="n">
        <v>5.2</v>
      </c>
      <c r="H351" t="n">
        <v>0</v>
      </c>
      <c r="I351" t="n">
        <v>0</v>
      </c>
      <c r="J351" t="n">
        <v>0</v>
      </c>
      <c r="K351" t="n">
        <v>0</v>
      </c>
      <c r="L351" t="n">
        <v>0</v>
      </c>
      <c r="M351" t="n">
        <v>0</v>
      </c>
      <c r="N351" t="n">
        <v>0</v>
      </c>
      <c r="O351" t="n">
        <v>0</v>
      </c>
      <c r="P351" t="n">
        <v>0</v>
      </c>
      <c r="Q351" t="n">
        <v>0</v>
      </c>
      <c r="R351" s="2" t="inlineStr"/>
    </row>
    <row r="352" ht="15" customHeight="1">
      <c r="A352" t="inlineStr">
        <is>
          <t>A 55945-2024</t>
        </is>
      </c>
      <c r="B352" s="1" t="n">
        <v>45623.61754629629</v>
      </c>
      <c r="C352" s="1" t="n">
        <v>45973</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9473-2024</t>
        </is>
      </c>
      <c r="B353" s="1" t="n">
        <v>45359.55474537037</v>
      </c>
      <c r="C353" s="1" t="n">
        <v>45973</v>
      </c>
      <c r="D353" t="inlineStr">
        <is>
          <t>ÖSTERGÖTLANDS LÄN</t>
        </is>
      </c>
      <c r="E353" t="inlineStr">
        <is>
          <t>LINKÖPING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1993-2023</t>
        </is>
      </c>
      <c r="B354" s="1" t="n">
        <v>44939</v>
      </c>
      <c r="C354" s="1" t="n">
        <v>45973</v>
      </c>
      <c r="D354" t="inlineStr">
        <is>
          <t>ÖSTERGÖTLANDS LÄN</t>
        </is>
      </c>
      <c r="E354" t="inlineStr">
        <is>
          <t>LINKÖPING</t>
        </is>
      </c>
      <c r="G354" t="n">
        <v>3.7</v>
      </c>
      <c r="H354" t="n">
        <v>0</v>
      </c>
      <c r="I354" t="n">
        <v>0</v>
      </c>
      <c r="J354" t="n">
        <v>0</v>
      </c>
      <c r="K354" t="n">
        <v>0</v>
      </c>
      <c r="L354" t="n">
        <v>0</v>
      </c>
      <c r="M354" t="n">
        <v>0</v>
      </c>
      <c r="N354" t="n">
        <v>0</v>
      </c>
      <c r="O354" t="n">
        <v>0</v>
      </c>
      <c r="P354" t="n">
        <v>0</v>
      </c>
      <c r="Q354" t="n">
        <v>0</v>
      </c>
      <c r="R354" s="2" t="inlineStr"/>
    </row>
    <row r="355" ht="15" customHeight="1">
      <c r="A355" t="inlineStr">
        <is>
          <t>A 2618-2023</t>
        </is>
      </c>
      <c r="B355" s="1" t="n">
        <v>44944.35847222222</v>
      </c>
      <c r="C355" s="1" t="n">
        <v>45973</v>
      </c>
      <c r="D355" t="inlineStr">
        <is>
          <t>ÖSTERGÖTLANDS LÄN</t>
        </is>
      </c>
      <c r="E355" t="inlineStr">
        <is>
          <t>LINKÖPING</t>
        </is>
      </c>
      <c r="G355" t="n">
        <v>4.3</v>
      </c>
      <c r="H355" t="n">
        <v>0</v>
      </c>
      <c r="I355" t="n">
        <v>0</v>
      </c>
      <c r="J355" t="n">
        <v>0</v>
      </c>
      <c r="K355" t="n">
        <v>0</v>
      </c>
      <c r="L355" t="n">
        <v>0</v>
      </c>
      <c r="M355" t="n">
        <v>0</v>
      </c>
      <c r="N355" t="n">
        <v>0</v>
      </c>
      <c r="O355" t="n">
        <v>0</v>
      </c>
      <c r="P355" t="n">
        <v>0</v>
      </c>
      <c r="Q355" t="n">
        <v>0</v>
      </c>
      <c r="R355" s="2" t="inlineStr"/>
    </row>
    <row r="356" ht="15" customHeight="1">
      <c r="A356" t="inlineStr">
        <is>
          <t>A 10203-2023</t>
        </is>
      </c>
      <c r="B356" s="1" t="n">
        <v>44986.55711805556</v>
      </c>
      <c r="C356" s="1" t="n">
        <v>45973</v>
      </c>
      <c r="D356" t="inlineStr">
        <is>
          <t>ÖSTERGÖTLANDS LÄN</t>
        </is>
      </c>
      <c r="E356" t="inlineStr">
        <is>
          <t>LINKÖPING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10797-2024</t>
        </is>
      </c>
      <c r="B357" s="1" t="n">
        <v>45369.6190162037</v>
      </c>
      <c r="C357" s="1" t="n">
        <v>45973</v>
      </c>
      <c r="D357" t="inlineStr">
        <is>
          <t>ÖSTERGÖTLANDS LÄN</t>
        </is>
      </c>
      <c r="E357" t="inlineStr">
        <is>
          <t>LINKÖPING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22264-2025</t>
        </is>
      </c>
      <c r="B358" s="1" t="n">
        <v>45785</v>
      </c>
      <c r="C358" s="1" t="n">
        <v>45973</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61281-2021</t>
        </is>
      </c>
      <c r="B359" s="1" t="n">
        <v>44498.60736111111</v>
      </c>
      <c r="C359" s="1" t="n">
        <v>45973</v>
      </c>
      <c r="D359" t="inlineStr">
        <is>
          <t>ÖSTERGÖTLANDS LÄN</t>
        </is>
      </c>
      <c r="E359" t="inlineStr">
        <is>
          <t>LINKÖPING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63935-2021</t>
        </is>
      </c>
      <c r="B360" s="1" t="n">
        <v>44509</v>
      </c>
      <c r="C360" s="1" t="n">
        <v>45973</v>
      </c>
      <c r="D360" t="inlineStr">
        <is>
          <t>ÖSTERGÖTLANDS LÄN</t>
        </is>
      </c>
      <c r="E360" t="inlineStr">
        <is>
          <t>LINKÖPING</t>
        </is>
      </c>
      <c r="F360" t="inlineStr">
        <is>
          <t>Övriga statliga verk och myndigheter</t>
        </is>
      </c>
      <c r="G360" t="n">
        <v>2.8</v>
      </c>
      <c r="H360" t="n">
        <v>0</v>
      </c>
      <c r="I360" t="n">
        <v>0</v>
      </c>
      <c r="J360" t="n">
        <v>0</v>
      </c>
      <c r="K360" t="n">
        <v>0</v>
      </c>
      <c r="L360" t="n">
        <v>0</v>
      </c>
      <c r="M360" t="n">
        <v>0</v>
      </c>
      <c r="N360" t="n">
        <v>0</v>
      </c>
      <c r="O360" t="n">
        <v>0</v>
      </c>
      <c r="P360" t="n">
        <v>0</v>
      </c>
      <c r="Q360" t="n">
        <v>0</v>
      </c>
      <c r="R360" s="2" t="inlineStr"/>
    </row>
    <row r="361" ht="15" customHeight="1">
      <c r="A361" t="inlineStr">
        <is>
          <t>A 20296-2025</t>
        </is>
      </c>
      <c r="B361" s="1" t="n">
        <v>45774.74922453704</v>
      </c>
      <c r="C361" s="1" t="n">
        <v>45973</v>
      </c>
      <c r="D361" t="inlineStr">
        <is>
          <t>ÖSTERGÖTLANDS LÄN</t>
        </is>
      </c>
      <c r="E361" t="inlineStr">
        <is>
          <t>LINKÖPING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34889-2023</t>
        </is>
      </c>
      <c r="B362" s="1" t="n">
        <v>45140</v>
      </c>
      <c r="C362" s="1" t="n">
        <v>45973</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34928-2023</t>
        </is>
      </c>
      <c r="B363" s="1" t="n">
        <v>45142</v>
      </c>
      <c r="C363" s="1" t="n">
        <v>45973</v>
      </c>
      <c r="D363" t="inlineStr">
        <is>
          <t>ÖSTERGÖTLANDS LÄN</t>
        </is>
      </c>
      <c r="E363" t="inlineStr">
        <is>
          <t>LINKÖPING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25292-2021</t>
        </is>
      </c>
      <c r="B364" s="1" t="n">
        <v>44342</v>
      </c>
      <c r="C364" s="1" t="n">
        <v>45973</v>
      </c>
      <c r="D364" t="inlineStr">
        <is>
          <t>ÖSTERGÖTLANDS LÄN</t>
        </is>
      </c>
      <c r="E364" t="inlineStr">
        <is>
          <t>LINKÖPING</t>
        </is>
      </c>
      <c r="F364" t="inlineStr">
        <is>
          <t>Övriga Aktiebolag</t>
        </is>
      </c>
      <c r="G364" t="n">
        <v>12.8</v>
      </c>
      <c r="H364" t="n">
        <v>0</v>
      </c>
      <c r="I364" t="n">
        <v>0</v>
      </c>
      <c r="J364" t="n">
        <v>0</v>
      </c>
      <c r="K364" t="n">
        <v>0</v>
      </c>
      <c r="L364" t="n">
        <v>0</v>
      </c>
      <c r="M364" t="n">
        <v>0</v>
      </c>
      <c r="N364" t="n">
        <v>0</v>
      </c>
      <c r="O364" t="n">
        <v>0</v>
      </c>
      <c r="P364" t="n">
        <v>0</v>
      </c>
      <c r="Q364" t="n">
        <v>0</v>
      </c>
      <c r="R364" s="2" t="inlineStr"/>
    </row>
    <row r="365" ht="15" customHeight="1">
      <c r="A365" t="inlineStr">
        <is>
          <t>A 1268-2023</t>
        </is>
      </c>
      <c r="B365" s="1" t="n">
        <v>44936</v>
      </c>
      <c r="C365" s="1" t="n">
        <v>45973</v>
      </c>
      <c r="D365" t="inlineStr">
        <is>
          <t>ÖSTERGÖTLANDS LÄN</t>
        </is>
      </c>
      <c r="E365" t="inlineStr">
        <is>
          <t>LINKÖPING</t>
        </is>
      </c>
      <c r="G365" t="n">
        <v>4.6</v>
      </c>
      <c r="H365" t="n">
        <v>0</v>
      </c>
      <c r="I365" t="n">
        <v>0</v>
      </c>
      <c r="J365" t="n">
        <v>0</v>
      </c>
      <c r="K365" t="n">
        <v>0</v>
      </c>
      <c r="L365" t="n">
        <v>0</v>
      </c>
      <c r="M365" t="n">
        <v>0</v>
      </c>
      <c r="N365" t="n">
        <v>0</v>
      </c>
      <c r="O365" t="n">
        <v>0</v>
      </c>
      <c r="P365" t="n">
        <v>0</v>
      </c>
      <c r="Q365" t="n">
        <v>0</v>
      </c>
      <c r="R365" s="2" t="inlineStr"/>
    </row>
    <row r="366" ht="15" customHeight="1">
      <c r="A366" t="inlineStr">
        <is>
          <t>A 56841-2023</t>
        </is>
      </c>
      <c r="B366" s="1" t="n">
        <v>45244</v>
      </c>
      <c r="C366" s="1" t="n">
        <v>45973</v>
      </c>
      <c r="D366" t="inlineStr">
        <is>
          <t>ÖSTERGÖTLANDS LÄN</t>
        </is>
      </c>
      <c r="E366" t="inlineStr">
        <is>
          <t>LINKÖPING</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5314-2021</t>
        </is>
      </c>
      <c r="B367" s="1" t="n">
        <v>44229</v>
      </c>
      <c r="C367" s="1" t="n">
        <v>45973</v>
      </c>
      <c r="D367" t="inlineStr">
        <is>
          <t>ÖSTERGÖTLANDS LÄN</t>
        </is>
      </c>
      <c r="E367" t="inlineStr">
        <is>
          <t>LINKÖPING</t>
        </is>
      </c>
      <c r="G367" t="n">
        <v>6.2</v>
      </c>
      <c r="H367" t="n">
        <v>0</v>
      </c>
      <c r="I367" t="n">
        <v>0</v>
      </c>
      <c r="J367" t="n">
        <v>0</v>
      </c>
      <c r="K367" t="n">
        <v>0</v>
      </c>
      <c r="L367" t="n">
        <v>0</v>
      </c>
      <c r="M367" t="n">
        <v>0</v>
      </c>
      <c r="N367" t="n">
        <v>0</v>
      </c>
      <c r="O367" t="n">
        <v>0</v>
      </c>
      <c r="P367" t="n">
        <v>0</v>
      </c>
      <c r="Q367" t="n">
        <v>0</v>
      </c>
      <c r="R367" s="2" t="inlineStr"/>
    </row>
    <row r="368" ht="15" customHeight="1">
      <c r="A368" t="inlineStr">
        <is>
          <t>A 6859-2024</t>
        </is>
      </c>
      <c r="B368" s="1" t="n">
        <v>45342</v>
      </c>
      <c r="C368" s="1" t="n">
        <v>45973</v>
      </c>
      <c r="D368" t="inlineStr">
        <is>
          <t>ÖSTERGÖTLANDS LÄN</t>
        </is>
      </c>
      <c r="E368" t="inlineStr">
        <is>
          <t>LINKÖPING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38580-2024</t>
        </is>
      </c>
      <c r="B369" s="1" t="n">
        <v>45546.64825231482</v>
      </c>
      <c r="C369" s="1" t="n">
        <v>45973</v>
      </c>
      <c r="D369" t="inlineStr">
        <is>
          <t>ÖSTERGÖTLANDS LÄN</t>
        </is>
      </c>
      <c r="E369" t="inlineStr">
        <is>
          <t>LINKÖPING</t>
        </is>
      </c>
      <c r="G369" t="n">
        <v>4.8</v>
      </c>
      <c r="H369" t="n">
        <v>0</v>
      </c>
      <c r="I369" t="n">
        <v>0</v>
      </c>
      <c r="J369" t="n">
        <v>0</v>
      </c>
      <c r="K369" t="n">
        <v>0</v>
      </c>
      <c r="L369" t="n">
        <v>0</v>
      </c>
      <c r="M369" t="n">
        <v>0</v>
      </c>
      <c r="N369" t="n">
        <v>0</v>
      </c>
      <c r="O369" t="n">
        <v>0</v>
      </c>
      <c r="P369" t="n">
        <v>0</v>
      </c>
      <c r="Q369" t="n">
        <v>0</v>
      </c>
      <c r="R369" s="2" t="inlineStr"/>
    </row>
    <row r="370" ht="15" customHeight="1">
      <c r="A370" t="inlineStr">
        <is>
          <t>A 572-2025</t>
        </is>
      </c>
      <c r="B370" s="1" t="n">
        <v>45664.56349537037</v>
      </c>
      <c r="C370" s="1" t="n">
        <v>45973</v>
      </c>
      <c r="D370" t="inlineStr">
        <is>
          <t>ÖSTERGÖTLANDS LÄN</t>
        </is>
      </c>
      <c r="E370" t="inlineStr">
        <is>
          <t>LINKÖPING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22364-2025</t>
        </is>
      </c>
      <c r="B371" s="1" t="n">
        <v>45786.46930555555</v>
      </c>
      <c r="C371" s="1" t="n">
        <v>45973</v>
      </c>
      <c r="D371" t="inlineStr">
        <is>
          <t>ÖSTERGÖTLANDS LÄN</t>
        </is>
      </c>
      <c r="E371" t="inlineStr">
        <is>
          <t>LINKÖPING</t>
        </is>
      </c>
      <c r="G371" t="n">
        <v>2.2</v>
      </c>
      <c r="H371" t="n">
        <v>0</v>
      </c>
      <c r="I371" t="n">
        <v>0</v>
      </c>
      <c r="J371" t="n">
        <v>0</v>
      </c>
      <c r="K371" t="n">
        <v>0</v>
      </c>
      <c r="L371" t="n">
        <v>0</v>
      </c>
      <c r="M371" t="n">
        <v>0</v>
      </c>
      <c r="N371" t="n">
        <v>0</v>
      </c>
      <c r="O371" t="n">
        <v>0</v>
      </c>
      <c r="P371" t="n">
        <v>0</v>
      </c>
      <c r="Q371" t="n">
        <v>0</v>
      </c>
      <c r="R371" s="2" t="inlineStr"/>
    </row>
    <row r="372" ht="15" customHeight="1">
      <c r="A372" t="inlineStr">
        <is>
          <t>A 44287-2024</t>
        </is>
      </c>
      <c r="B372" s="1" t="n">
        <v>45573.50582175926</v>
      </c>
      <c r="C372" s="1" t="n">
        <v>45973</v>
      </c>
      <c r="D372" t="inlineStr">
        <is>
          <t>ÖSTERGÖTLANDS LÄN</t>
        </is>
      </c>
      <c r="E372" t="inlineStr">
        <is>
          <t>LINKÖPING</t>
        </is>
      </c>
      <c r="G372" t="n">
        <v>12.7</v>
      </c>
      <c r="H372" t="n">
        <v>0</v>
      </c>
      <c r="I372" t="n">
        <v>0</v>
      </c>
      <c r="J372" t="n">
        <v>0</v>
      </c>
      <c r="K372" t="n">
        <v>0</v>
      </c>
      <c r="L372" t="n">
        <v>0</v>
      </c>
      <c r="M372" t="n">
        <v>0</v>
      </c>
      <c r="N372" t="n">
        <v>0</v>
      </c>
      <c r="O372" t="n">
        <v>0</v>
      </c>
      <c r="P372" t="n">
        <v>0</v>
      </c>
      <c r="Q372" t="n">
        <v>0</v>
      </c>
      <c r="R372" s="2" t="inlineStr"/>
    </row>
    <row r="373" ht="15" customHeight="1">
      <c r="A373" t="inlineStr">
        <is>
          <t>A 29312-2024</t>
        </is>
      </c>
      <c r="B373" s="1" t="n">
        <v>45483</v>
      </c>
      <c r="C373" s="1" t="n">
        <v>45973</v>
      </c>
      <c r="D373" t="inlineStr">
        <is>
          <t>ÖSTERGÖTLANDS LÄN</t>
        </is>
      </c>
      <c r="E373" t="inlineStr">
        <is>
          <t>LINKÖPING</t>
        </is>
      </c>
      <c r="G373" t="n">
        <v>2.1</v>
      </c>
      <c r="H373" t="n">
        <v>0</v>
      </c>
      <c r="I373" t="n">
        <v>0</v>
      </c>
      <c r="J373" t="n">
        <v>0</v>
      </c>
      <c r="K373" t="n">
        <v>0</v>
      </c>
      <c r="L373" t="n">
        <v>0</v>
      </c>
      <c r="M373" t="n">
        <v>0</v>
      </c>
      <c r="N373" t="n">
        <v>0</v>
      </c>
      <c r="O373" t="n">
        <v>0</v>
      </c>
      <c r="P373" t="n">
        <v>0</v>
      </c>
      <c r="Q373" t="n">
        <v>0</v>
      </c>
      <c r="R373" s="2" t="inlineStr"/>
    </row>
    <row r="374" ht="15" customHeight="1">
      <c r="A374" t="inlineStr">
        <is>
          <t>A 39074-2025</t>
        </is>
      </c>
      <c r="B374" s="1" t="n">
        <v>45888</v>
      </c>
      <c r="C374" s="1" t="n">
        <v>45973</v>
      </c>
      <c r="D374" t="inlineStr">
        <is>
          <t>ÖSTERGÖTLANDS LÄN</t>
        </is>
      </c>
      <c r="E374" t="inlineStr">
        <is>
          <t>LINKÖPING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53812-2023</t>
        </is>
      </c>
      <c r="B375" s="1" t="n">
        <v>45231.39583333334</v>
      </c>
      <c r="C375" s="1" t="n">
        <v>45973</v>
      </c>
      <c r="D375" t="inlineStr">
        <is>
          <t>ÖSTERGÖTLANDS LÄN</t>
        </is>
      </c>
      <c r="E375" t="inlineStr">
        <is>
          <t>LINKÖPING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53830-2023</t>
        </is>
      </c>
      <c r="B376" s="1" t="n">
        <v>45230</v>
      </c>
      <c r="C376" s="1" t="n">
        <v>45973</v>
      </c>
      <c r="D376" t="inlineStr">
        <is>
          <t>ÖSTERGÖTLANDS LÄN</t>
        </is>
      </c>
      <c r="E376" t="inlineStr">
        <is>
          <t>LINKÖPING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49747-2024</t>
        </is>
      </c>
      <c r="B377" s="1" t="n">
        <v>45596</v>
      </c>
      <c r="C377" s="1" t="n">
        <v>45973</v>
      </c>
      <c r="D377" t="inlineStr">
        <is>
          <t>ÖSTERGÖTLANDS LÄN</t>
        </is>
      </c>
      <c r="E377" t="inlineStr">
        <is>
          <t>LINKÖPING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23120-2025</t>
        </is>
      </c>
      <c r="B378" s="1" t="n">
        <v>45791.37481481482</v>
      </c>
      <c r="C378" s="1" t="n">
        <v>45973</v>
      </c>
      <c r="D378" t="inlineStr">
        <is>
          <t>ÖSTERGÖTLANDS LÄN</t>
        </is>
      </c>
      <c r="E378" t="inlineStr">
        <is>
          <t>LINKÖPING</t>
        </is>
      </c>
      <c r="G378" t="n">
        <v>2.9</v>
      </c>
      <c r="H378" t="n">
        <v>0</v>
      </c>
      <c r="I378" t="n">
        <v>0</v>
      </c>
      <c r="J378" t="n">
        <v>0</v>
      </c>
      <c r="K378" t="n">
        <v>0</v>
      </c>
      <c r="L378" t="n">
        <v>0</v>
      </c>
      <c r="M378" t="n">
        <v>0</v>
      </c>
      <c r="N378" t="n">
        <v>0</v>
      </c>
      <c r="O378" t="n">
        <v>0</v>
      </c>
      <c r="P378" t="n">
        <v>0</v>
      </c>
      <c r="Q378" t="n">
        <v>0</v>
      </c>
      <c r="R378" s="2" t="inlineStr"/>
    </row>
    <row r="379" ht="15" customHeight="1">
      <c r="A379" t="inlineStr">
        <is>
          <t>A 31725-2022</t>
        </is>
      </c>
      <c r="B379" s="1" t="n">
        <v>44776.48541666667</v>
      </c>
      <c r="C379" s="1" t="n">
        <v>45973</v>
      </c>
      <c r="D379" t="inlineStr">
        <is>
          <t>ÖSTERGÖTLANDS LÄN</t>
        </is>
      </c>
      <c r="E379" t="inlineStr">
        <is>
          <t>LINKÖPING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38715-2023</t>
        </is>
      </c>
      <c r="B380" s="1" t="n">
        <v>45160</v>
      </c>
      <c r="C380" s="1" t="n">
        <v>45973</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38971-2025</t>
        </is>
      </c>
      <c r="B381" s="1" t="n">
        <v>45887.71827546296</v>
      </c>
      <c r="C381" s="1" t="n">
        <v>45973</v>
      </c>
      <c r="D381" t="inlineStr">
        <is>
          <t>ÖSTERGÖTLANDS LÄN</t>
        </is>
      </c>
      <c r="E381" t="inlineStr">
        <is>
          <t>LINKÖPING</t>
        </is>
      </c>
      <c r="G381" t="n">
        <v>3.9</v>
      </c>
      <c r="H381" t="n">
        <v>0</v>
      </c>
      <c r="I381" t="n">
        <v>0</v>
      </c>
      <c r="J381" t="n">
        <v>0</v>
      </c>
      <c r="K381" t="n">
        <v>0</v>
      </c>
      <c r="L381" t="n">
        <v>0</v>
      </c>
      <c r="M381" t="n">
        <v>0</v>
      </c>
      <c r="N381" t="n">
        <v>0</v>
      </c>
      <c r="O381" t="n">
        <v>0</v>
      </c>
      <c r="P381" t="n">
        <v>0</v>
      </c>
      <c r="Q381" t="n">
        <v>0</v>
      </c>
      <c r="R381" s="2" t="inlineStr"/>
    </row>
    <row r="382" ht="15" customHeight="1">
      <c r="A382" t="inlineStr">
        <is>
          <t>A 72567-2021</t>
        </is>
      </c>
      <c r="B382" s="1" t="n">
        <v>44546.45023148148</v>
      </c>
      <c r="C382" s="1" t="n">
        <v>45973</v>
      </c>
      <c r="D382" t="inlineStr">
        <is>
          <t>ÖSTERGÖTLANDS LÄN</t>
        </is>
      </c>
      <c r="E382" t="inlineStr">
        <is>
          <t>LINKÖPING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48699-2024</t>
        </is>
      </c>
      <c r="B383" s="1" t="n">
        <v>45593.52091435185</v>
      </c>
      <c r="C383" s="1" t="n">
        <v>45973</v>
      </c>
      <c r="D383" t="inlineStr">
        <is>
          <t>ÖSTERGÖTLANDS LÄN</t>
        </is>
      </c>
      <c r="E383" t="inlineStr">
        <is>
          <t>LINKÖPING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2389-2023</t>
        </is>
      </c>
      <c r="B384" s="1" t="n">
        <v>44942</v>
      </c>
      <c r="C384" s="1" t="n">
        <v>45973</v>
      </c>
      <c r="D384" t="inlineStr">
        <is>
          <t>ÖSTERGÖTLANDS LÄN</t>
        </is>
      </c>
      <c r="E384" t="inlineStr">
        <is>
          <t>LINKÖPING</t>
        </is>
      </c>
      <c r="G384" t="n">
        <v>3.3</v>
      </c>
      <c r="H384" t="n">
        <v>0</v>
      </c>
      <c r="I384" t="n">
        <v>0</v>
      </c>
      <c r="J384" t="n">
        <v>0</v>
      </c>
      <c r="K384" t="n">
        <v>0</v>
      </c>
      <c r="L384" t="n">
        <v>0</v>
      </c>
      <c r="M384" t="n">
        <v>0</v>
      </c>
      <c r="N384" t="n">
        <v>0</v>
      </c>
      <c r="O384" t="n">
        <v>0</v>
      </c>
      <c r="P384" t="n">
        <v>0</v>
      </c>
      <c r="Q384" t="n">
        <v>0</v>
      </c>
      <c r="R384" s="2" t="inlineStr"/>
    </row>
    <row r="385" ht="15" customHeight="1">
      <c r="A385" t="inlineStr">
        <is>
          <t>A 27264-2025</t>
        </is>
      </c>
      <c r="B385" s="1" t="n">
        <v>45812.4794212963</v>
      </c>
      <c r="C385" s="1" t="n">
        <v>45973</v>
      </c>
      <c r="D385" t="inlineStr">
        <is>
          <t>ÖSTERGÖTLANDS LÄN</t>
        </is>
      </c>
      <c r="E385" t="inlineStr">
        <is>
          <t>LINKÖPING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3627-2023</t>
        </is>
      </c>
      <c r="B386" s="1" t="n">
        <v>44950.64782407408</v>
      </c>
      <c r="C386" s="1" t="n">
        <v>45973</v>
      </c>
      <c r="D386" t="inlineStr">
        <is>
          <t>ÖSTERGÖTLANDS LÄN</t>
        </is>
      </c>
      <c r="E386" t="inlineStr">
        <is>
          <t>LINKÖPING</t>
        </is>
      </c>
      <c r="G386" t="n">
        <v>3.1</v>
      </c>
      <c r="H386" t="n">
        <v>0</v>
      </c>
      <c r="I386" t="n">
        <v>0</v>
      </c>
      <c r="J386" t="n">
        <v>0</v>
      </c>
      <c r="K386" t="n">
        <v>0</v>
      </c>
      <c r="L386" t="n">
        <v>0</v>
      </c>
      <c r="M386" t="n">
        <v>0</v>
      </c>
      <c r="N386" t="n">
        <v>0</v>
      </c>
      <c r="O386" t="n">
        <v>0</v>
      </c>
      <c r="P386" t="n">
        <v>0</v>
      </c>
      <c r="Q386" t="n">
        <v>0</v>
      </c>
      <c r="R386" s="2" t="inlineStr"/>
    </row>
    <row r="387" ht="15" customHeight="1">
      <c r="A387" t="inlineStr">
        <is>
          <t>A 62687-2023</t>
        </is>
      </c>
      <c r="B387" s="1" t="n">
        <v>45271</v>
      </c>
      <c r="C387" s="1" t="n">
        <v>45973</v>
      </c>
      <c r="D387" t="inlineStr">
        <is>
          <t>ÖSTERGÖTLANDS LÄN</t>
        </is>
      </c>
      <c r="E387" t="inlineStr">
        <is>
          <t>LINKÖPING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13911-2025</t>
        </is>
      </c>
      <c r="B388" s="1" t="n">
        <v>45737.64784722222</v>
      </c>
      <c r="C388" s="1" t="n">
        <v>45973</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27766-2022</t>
        </is>
      </c>
      <c r="B389" s="1" t="n">
        <v>44743.53112268518</v>
      </c>
      <c r="C389" s="1" t="n">
        <v>45973</v>
      </c>
      <c r="D389" t="inlineStr">
        <is>
          <t>ÖSTERGÖTLANDS LÄN</t>
        </is>
      </c>
      <c r="E389" t="inlineStr">
        <is>
          <t>LINKÖPING</t>
        </is>
      </c>
      <c r="G389" t="n">
        <v>2</v>
      </c>
      <c r="H389" t="n">
        <v>0</v>
      </c>
      <c r="I389" t="n">
        <v>0</v>
      </c>
      <c r="J389" t="n">
        <v>0</v>
      </c>
      <c r="K389" t="n">
        <v>0</v>
      </c>
      <c r="L389" t="n">
        <v>0</v>
      </c>
      <c r="M389" t="n">
        <v>0</v>
      </c>
      <c r="N389" t="n">
        <v>0</v>
      </c>
      <c r="O389" t="n">
        <v>0</v>
      </c>
      <c r="P389" t="n">
        <v>0</v>
      </c>
      <c r="Q389" t="n">
        <v>0</v>
      </c>
      <c r="R389" s="2" t="inlineStr"/>
    </row>
    <row r="390" ht="15" customHeight="1">
      <c r="A390" t="inlineStr">
        <is>
          <t>A 39438-2025</t>
        </is>
      </c>
      <c r="B390" s="1" t="n">
        <v>45889.68641203704</v>
      </c>
      <c r="C390" s="1" t="n">
        <v>45973</v>
      </c>
      <c r="D390" t="inlineStr">
        <is>
          <t>ÖSTERGÖTLANDS LÄN</t>
        </is>
      </c>
      <c r="E390" t="inlineStr">
        <is>
          <t>LINKÖPING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23768-2025</t>
        </is>
      </c>
      <c r="B391" s="1" t="n">
        <v>45793.47493055555</v>
      </c>
      <c r="C391" s="1" t="n">
        <v>45973</v>
      </c>
      <c r="D391" t="inlineStr">
        <is>
          <t>ÖSTERGÖTLANDS LÄN</t>
        </is>
      </c>
      <c r="E391" t="inlineStr">
        <is>
          <t>LINKÖPING</t>
        </is>
      </c>
      <c r="G391" t="n">
        <v>3.4</v>
      </c>
      <c r="H391" t="n">
        <v>0</v>
      </c>
      <c r="I391" t="n">
        <v>0</v>
      </c>
      <c r="J391" t="n">
        <v>0</v>
      </c>
      <c r="K391" t="n">
        <v>0</v>
      </c>
      <c r="L391" t="n">
        <v>0</v>
      </c>
      <c r="M391" t="n">
        <v>0</v>
      </c>
      <c r="N391" t="n">
        <v>0</v>
      </c>
      <c r="O391" t="n">
        <v>0</v>
      </c>
      <c r="P391" t="n">
        <v>0</v>
      </c>
      <c r="Q391" t="n">
        <v>0</v>
      </c>
      <c r="R391" s="2" t="inlineStr"/>
    </row>
    <row r="392" ht="15" customHeight="1">
      <c r="A392" t="inlineStr">
        <is>
          <t>A 18891-2022</t>
        </is>
      </c>
      <c r="B392" s="1" t="n">
        <v>44690</v>
      </c>
      <c r="C392" s="1" t="n">
        <v>45973</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48271-2023</t>
        </is>
      </c>
      <c r="B393" s="1" t="n">
        <v>45205</v>
      </c>
      <c r="C393" s="1" t="n">
        <v>45973</v>
      </c>
      <c r="D393" t="inlineStr">
        <is>
          <t>ÖSTERGÖTLANDS LÄN</t>
        </is>
      </c>
      <c r="E393" t="inlineStr">
        <is>
          <t>LINKÖPING</t>
        </is>
      </c>
      <c r="G393" t="n">
        <v>3</v>
      </c>
      <c r="H393" t="n">
        <v>0</v>
      </c>
      <c r="I393" t="n">
        <v>0</v>
      </c>
      <c r="J393" t="n">
        <v>0</v>
      </c>
      <c r="K393" t="n">
        <v>0</v>
      </c>
      <c r="L393" t="n">
        <v>0</v>
      </c>
      <c r="M393" t="n">
        <v>0</v>
      </c>
      <c r="N393" t="n">
        <v>0</v>
      </c>
      <c r="O393" t="n">
        <v>0</v>
      </c>
      <c r="P393" t="n">
        <v>0</v>
      </c>
      <c r="Q393" t="n">
        <v>0</v>
      </c>
      <c r="R393" s="2" t="inlineStr"/>
    </row>
    <row r="394" ht="15" customHeight="1">
      <c r="A394" t="inlineStr">
        <is>
          <t>A 47606-2025</t>
        </is>
      </c>
      <c r="B394" s="1" t="n">
        <v>45931.46402777778</v>
      </c>
      <c r="C394" s="1" t="n">
        <v>45973</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26620-2023</t>
        </is>
      </c>
      <c r="B395" s="1" t="n">
        <v>45092.70390046296</v>
      </c>
      <c r="C395" s="1" t="n">
        <v>45973</v>
      </c>
      <c r="D395" t="inlineStr">
        <is>
          <t>ÖSTERGÖTLANDS LÄN</t>
        </is>
      </c>
      <c r="E395" t="inlineStr">
        <is>
          <t>LINKÖPING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13266-2025</t>
        </is>
      </c>
      <c r="B396" s="1" t="n">
        <v>45735.53318287037</v>
      </c>
      <c r="C396" s="1" t="n">
        <v>45973</v>
      </c>
      <c r="D396" t="inlineStr">
        <is>
          <t>ÖSTERGÖTLANDS LÄN</t>
        </is>
      </c>
      <c r="E396" t="inlineStr">
        <is>
          <t>LINKÖPING</t>
        </is>
      </c>
      <c r="G396" t="n">
        <v>3.1</v>
      </c>
      <c r="H396" t="n">
        <v>0</v>
      </c>
      <c r="I396" t="n">
        <v>0</v>
      </c>
      <c r="J396" t="n">
        <v>0</v>
      </c>
      <c r="K396" t="n">
        <v>0</v>
      </c>
      <c r="L396" t="n">
        <v>0</v>
      </c>
      <c r="M396" t="n">
        <v>0</v>
      </c>
      <c r="N396" t="n">
        <v>0</v>
      </c>
      <c r="O396" t="n">
        <v>0</v>
      </c>
      <c r="P396" t="n">
        <v>0</v>
      </c>
      <c r="Q396" t="n">
        <v>0</v>
      </c>
      <c r="R396" s="2" t="inlineStr"/>
    </row>
    <row r="397" ht="15" customHeight="1">
      <c r="A397" t="inlineStr">
        <is>
          <t>A 56180-2024</t>
        </is>
      </c>
      <c r="B397" s="1" t="n">
        <v>45624.56611111111</v>
      </c>
      <c r="C397" s="1" t="n">
        <v>45973</v>
      </c>
      <c r="D397" t="inlineStr">
        <is>
          <t>ÖSTERGÖTLANDS LÄN</t>
        </is>
      </c>
      <c r="E397" t="inlineStr">
        <is>
          <t>LINKÖPING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938-2023</t>
        </is>
      </c>
      <c r="B398" s="1" t="n">
        <v>44933</v>
      </c>
      <c r="C398" s="1" t="n">
        <v>45973</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25418-2023</t>
        </is>
      </c>
      <c r="B399" s="1" t="n">
        <v>45089</v>
      </c>
      <c r="C399" s="1" t="n">
        <v>45973</v>
      </c>
      <c r="D399" t="inlineStr">
        <is>
          <t>ÖSTERGÖTLANDS LÄN</t>
        </is>
      </c>
      <c r="E399" t="inlineStr">
        <is>
          <t>LINKÖPING</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60007-2022</t>
        </is>
      </c>
      <c r="B400" s="1" t="n">
        <v>44909.47282407407</v>
      </c>
      <c r="C400" s="1" t="n">
        <v>45973</v>
      </c>
      <c r="D400" t="inlineStr">
        <is>
          <t>ÖSTERGÖTLANDS LÄN</t>
        </is>
      </c>
      <c r="E400" t="inlineStr">
        <is>
          <t>LINKÖPING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40169-2025</t>
        </is>
      </c>
      <c r="B401" s="1" t="n">
        <v>45894.62824074074</v>
      </c>
      <c r="C401" s="1" t="n">
        <v>45973</v>
      </c>
      <c r="D401" t="inlineStr">
        <is>
          <t>ÖSTERGÖTLANDS LÄN</t>
        </is>
      </c>
      <c r="E401" t="inlineStr">
        <is>
          <t>LINKÖPING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48343-2025</t>
        </is>
      </c>
      <c r="B402" s="1" t="n">
        <v>45932</v>
      </c>
      <c r="C402" s="1" t="n">
        <v>45973</v>
      </c>
      <c r="D402" t="inlineStr">
        <is>
          <t>ÖSTERGÖTLANDS LÄN</t>
        </is>
      </c>
      <c r="E402" t="inlineStr">
        <is>
          <t>LINKÖPING</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60001-2022</t>
        </is>
      </c>
      <c r="B403" s="1" t="n">
        <v>44909.47087962963</v>
      </c>
      <c r="C403" s="1" t="n">
        <v>45973</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11601-2023</t>
        </is>
      </c>
      <c r="B404" s="1" t="n">
        <v>44994</v>
      </c>
      <c r="C404" s="1" t="n">
        <v>45973</v>
      </c>
      <c r="D404" t="inlineStr">
        <is>
          <t>ÖSTERGÖTLANDS LÄN</t>
        </is>
      </c>
      <c r="E404" t="inlineStr">
        <is>
          <t>LINKÖPING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39457-2023</t>
        </is>
      </c>
      <c r="B405" s="1" t="n">
        <v>45166</v>
      </c>
      <c r="C405" s="1" t="n">
        <v>45973</v>
      </c>
      <c r="D405" t="inlineStr">
        <is>
          <t>ÖSTERGÖTLANDS LÄN</t>
        </is>
      </c>
      <c r="E405" t="inlineStr">
        <is>
          <t>LINKÖPING</t>
        </is>
      </c>
      <c r="G405" t="n">
        <v>2.1</v>
      </c>
      <c r="H405" t="n">
        <v>0</v>
      </c>
      <c r="I405" t="n">
        <v>0</v>
      </c>
      <c r="J405" t="n">
        <v>0</v>
      </c>
      <c r="K405" t="n">
        <v>0</v>
      </c>
      <c r="L405" t="n">
        <v>0</v>
      </c>
      <c r="M405" t="n">
        <v>0</v>
      </c>
      <c r="N405" t="n">
        <v>0</v>
      </c>
      <c r="O405" t="n">
        <v>0</v>
      </c>
      <c r="P405" t="n">
        <v>0</v>
      </c>
      <c r="Q405" t="n">
        <v>0</v>
      </c>
      <c r="R405" s="2" t="inlineStr"/>
    </row>
    <row r="406" ht="15" customHeight="1">
      <c r="A406" t="inlineStr">
        <is>
          <t>A 48266-2025</t>
        </is>
      </c>
      <c r="B406" s="1" t="n">
        <v>45932</v>
      </c>
      <c r="C406" s="1" t="n">
        <v>45973</v>
      </c>
      <c r="D406" t="inlineStr">
        <is>
          <t>ÖSTERGÖTLANDS LÄN</t>
        </is>
      </c>
      <c r="E406" t="inlineStr">
        <is>
          <t>LINKÖPING</t>
        </is>
      </c>
      <c r="F406" t="inlineStr">
        <is>
          <t>Övriga Aktiebolag</t>
        </is>
      </c>
      <c r="G406" t="n">
        <v>0.5</v>
      </c>
      <c r="H406" t="n">
        <v>0</v>
      </c>
      <c r="I406" t="n">
        <v>0</v>
      </c>
      <c r="J406" t="n">
        <v>0</v>
      </c>
      <c r="K406" t="n">
        <v>0</v>
      </c>
      <c r="L406" t="n">
        <v>0</v>
      </c>
      <c r="M406" t="n">
        <v>0</v>
      </c>
      <c r="N406" t="n">
        <v>0</v>
      </c>
      <c r="O406" t="n">
        <v>0</v>
      </c>
      <c r="P406" t="n">
        <v>0</v>
      </c>
      <c r="Q406" t="n">
        <v>0</v>
      </c>
      <c r="R406" s="2" t="inlineStr"/>
    </row>
    <row r="407" ht="15" customHeight="1">
      <c r="A407" t="inlineStr">
        <is>
          <t>A 1657-2024</t>
        </is>
      </c>
      <c r="B407" s="1" t="n">
        <v>45306.82501157407</v>
      </c>
      <c r="C407" s="1" t="n">
        <v>45973</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48254-2025</t>
        </is>
      </c>
      <c r="B408" s="1" t="n">
        <v>45932</v>
      </c>
      <c r="C408" s="1" t="n">
        <v>45973</v>
      </c>
      <c r="D408" t="inlineStr">
        <is>
          <t>ÖSTERGÖTLANDS LÄN</t>
        </is>
      </c>
      <c r="E408" t="inlineStr">
        <is>
          <t>LINKÖPING</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30976-2022</t>
        </is>
      </c>
      <c r="B409" s="1" t="n">
        <v>44768</v>
      </c>
      <c r="C409" s="1" t="n">
        <v>45973</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1260-2023</t>
        </is>
      </c>
      <c r="B410" s="1" t="n">
        <v>44936</v>
      </c>
      <c r="C410" s="1" t="n">
        <v>45973</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7702-2023</t>
        </is>
      </c>
      <c r="B411" s="1" t="n">
        <v>44967</v>
      </c>
      <c r="C411" s="1" t="n">
        <v>45973</v>
      </c>
      <c r="D411" t="inlineStr">
        <is>
          <t>ÖSTERGÖTLANDS LÄN</t>
        </is>
      </c>
      <c r="E411" t="inlineStr">
        <is>
          <t>LINKÖPING</t>
        </is>
      </c>
      <c r="F411" t="inlineStr">
        <is>
          <t>Övriga statliga verk och myndigheter</t>
        </is>
      </c>
      <c r="G411" t="n">
        <v>8</v>
      </c>
      <c r="H411" t="n">
        <v>0</v>
      </c>
      <c r="I411" t="n">
        <v>0</v>
      </c>
      <c r="J411" t="n">
        <v>0</v>
      </c>
      <c r="K411" t="n">
        <v>0</v>
      </c>
      <c r="L411" t="n">
        <v>0</v>
      </c>
      <c r="M411" t="n">
        <v>0</v>
      </c>
      <c r="N411" t="n">
        <v>0</v>
      </c>
      <c r="O411" t="n">
        <v>0</v>
      </c>
      <c r="P411" t="n">
        <v>0</v>
      </c>
      <c r="Q411" t="n">
        <v>0</v>
      </c>
      <c r="R411" s="2" t="inlineStr"/>
    </row>
    <row r="412" ht="15" customHeight="1">
      <c r="A412" t="inlineStr">
        <is>
          <t>A 30860-2022</t>
        </is>
      </c>
      <c r="B412" s="1" t="n">
        <v>44767</v>
      </c>
      <c r="C412" s="1" t="n">
        <v>45973</v>
      </c>
      <c r="D412" t="inlineStr">
        <is>
          <t>ÖSTERGÖTLANDS LÄN</t>
        </is>
      </c>
      <c r="E412" t="inlineStr">
        <is>
          <t>LINKÖPING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48186-2022</t>
        </is>
      </c>
      <c r="B413" s="1" t="n">
        <v>44858</v>
      </c>
      <c r="C413" s="1" t="n">
        <v>45973</v>
      </c>
      <c r="D413" t="inlineStr">
        <is>
          <t>ÖSTERGÖTLANDS LÄN</t>
        </is>
      </c>
      <c r="E413" t="inlineStr">
        <is>
          <t>LINKÖPING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674-2024</t>
        </is>
      </c>
      <c r="B414" s="1" t="n">
        <v>45300.34408564815</v>
      </c>
      <c r="C414" s="1" t="n">
        <v>45973</v>
      </c>
      <c r="D414" t="inlineStr">
        <is>
          <t>ÖSTERGÖTLANDS LÄN</t>
        </is>
      </c>
      <c r="E414" t="inlineStr">
        <is>
          <t>LINKÖPING</t>
        </is>
      </c>
      <c r="F414" t="inlineStr">
        <is>
          <t>Sveaskog</t>
        </is>
      </c>
      <c r="G414" t="n">
        <v>2.9</v>
      </c>
      <c r="H414" t="n">
        <v>0</v>
      </c>
      <c r="I414" t="n">
        <v>0</v>
      </c>
      <c r="J414" t="n">
        <v>0</v>
      </c>
      <c r="K414" t="n">
        <v>0</v>
      </c>
      <c r="L414" t="n">
        <v>0</v>
      </c>
      <c r="M414" t="n">
        <v>0</v>
      </c>
      <c r="N414" t="n">
        <v>0</v>
      </c>
      <c r="O414" t="n">
        <v>0</v>
      </c>
      <c r="P414" t="n">
        <v>0</v>
      </c>
      <c r="Q414" t="n">
        <v>0</v>
      </c>
      <c r="R414" s="2" t="inlineStr"/>
    </row>
    <row r="415" ht="15" customHeight="1">
      <c r="A415" t="inlineStr">
        <is>
          <t>A 63684-2023</t>
        </is>
      </c>
      <c r="B415" s="1" t="n">
        <v>45275</v>
      </c>
      <c r="C415" s="1" t="n">
        <v>45973</v>
      </c>
      <c r="D415" t="inlineStr">
        <is>
          <t>ÖSTERGÖTLANDS LÄN</t>
        </is>
      </c>
      <c r="E415" t="inlineStr">
        <is>
          <t>LINKÖPING</t>
        </is>
      </c>
      <c r="G415" t="n">
        <v>0.4</v>
      </c>
      <c r="H415" t="n">
        <v>0</v>
      </c>
      <c r="I415" t="n">
        <v>0</v>
      </c>
      <c r="J415" t="n">
        <v>0</v>
      </c>
      <c r="K415" t="n">
        <v>0</v>
      </c>
      <c r="L415" t="n">
        <v>0</v>
      </c>
      <c r="M415" t="n">
        <v>0</v>
      </c>
      <c r="N415" t="n">
        <v>0</v>
      </c>
      <c r="O415" t="n">
        <v>0</v>
      </c>
      <c r="P415" t="n">
        <v>0</v>
      </c>
      <c r="Q415" t="n">
        <v>0</v>
      </c>
      <c r="R415" s="2" t="inlineStr"/>
    </row>
    <row r="416" ht="15" customHeight="1">
      <c r="A416" t="inlineStr">
        <is>
          <t>A 167-2024</t>
        </is>
      </c>
      <c r="B416" s="1" t="n">
        <v>45294</v>
      </c>
      <c r="C416" s="1" t="n">
        <v>45973</v>
      </c>
      <c r="D416" t="inlineStr">
        <is>
          <t>ÖSTERGÖTLANDS LÄN</t>
        </is>
      </c>
      <c r="E416" t="inlineStr">
        <is>
          <t>LINKÖPING</t>
        </is>
      </c>
      <c r="F416" t="inlineStr">
        <is>
          <t>Allmännings- och besparingsskogar</t>
        </is>
      </c>
      <c r="G416" t="n">
        <v>11.6</v>
      </c>
      <c r="H416" t="n">
        <v>0</v>
      </c>
      <c r="I416" t="n">
        <v>0</v>
      </c>
      <c r="J416" t="n">
        <v>0</v>
      </c>
      <c r="K416" t="n">
        <v>0</v>
      </c>
      <c r="L416" t="n">
        <v>0</v>
      </c>
      <c r="M416" t="n">
        <v>0</v>
      </c>
      <c r="N416" t="n">
        <v>0</v>
      </c>
      <c r="O416" t="n">
        <v>0</v>
      </c>
      <c r="P416" t="n">
        <v>0</v>
      </c>
      <c r="Q416" t="n">
        <v>0</v>
      </c>
      <c r="R416" s="2" t="inlineStr"/>
    </row>
    <row r="417" ht="15" customHeight="1">
      <c r="A417" t="inlineStr">
        <is>
          <t>A 28266-2024</t>
        </is>
      </c>
      <c r="B417" s="1" t="n">
        <v>45477.43600694444</v>
      </c>
      <c r="C417" s="1" t="n">
        <v>45973</v>
      </c>
      <c r="D417" t="inlineStr">
        <is>
          <t>ÖSTERGÖTLANDS LÄN</t>
        </is>
      </c>
      <c r="E417" t="inlineStr">
        <is>
          <t>LINKÖPING</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36725-2023</t>
        </is>
      </c>
      <c r="B418" s="1" t="n">
        <v>45153.68471064815</v>
      </c>
      <c r="C418" s="1" t="n">
        <v>45973</v>
      </c>
      <c r="D418" t="inlineStr">
        <is>
          <t>ÖSTERGÖTLANDS LÄN</t>
        </is>
      </c>
      <c r="E418" t="inlineStr">
        <is>
          <t>LINKÖPING</t>
        </is>
      </c>
      <c r="F418" t="inlineStr">
        <is>
          <t>Allmännings- och besparingsskogar</t>
        </is>
      </c>
      <c r="G418" t="n">
        <v>2.6</v>
      </c>
      <c r="H418" t="n">
        <v>0</v>
      </c>
      <c r="I418" t="n">
        <v>0</v>
      </c>
      <c r="J418" t="n">
        <v>0</v>
      </c>
      <c r="K418" t="n">
        <v>0</v>
      </c>
      <c r="L418" t="n">
        <v>0</v>
      </c>
      <c r="M418" t="n">
        <v>0</v>
      </c>
      <c r="N418" t="n">
        <v>0</v>
      </c>
      <c r="O418" t="n">
        <v>0</v>
      </c>
      <c r="P418" t="n">
        <v>0</v>
      </c>
      <c r="Q418" t="n">
        <v>0</v>
      </c>
      <c r="R418" s="2" t="inlineStr"/>
    </row>
    <row r="419" ht="15" customHeight="1">
      <c r="A419" t="inlineStr">
        <is>
          <t>A 31548-2022</t>
        </is>
      </c>
      <c r="B419" s="1" t="n">
        <v>44775.39832175926</v>
      </c>
      <c r="C419" s="1" t="n">
        <v>45973</v>
      </c>
      <c r="D419" t="inlineStr">
        <is>
          <t>ÖSTERGÖTLANDS LÄN</t>
        </is>
      </c>
      <c r="E419" t="inlineStr">
        <is>
          <t>LINKÖPING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27343-2023</t>
        </is>
      </c>
      <c r="B420" s="1" t="n">
        <v>45096</v>
      </c>
      <c r="C420" s="1" t="n">
        <v>45973</v>
      </c>
      <c r="D420" t="inlineStr">
        <is>
          <t>ÖSTERGÖTLANDS LÄN</t>
        </is>
      </c>
      <c r="E420" t="inlineStr">
        <is>
          <t>LINKÖPING</t>
        </is>
      </c>
      <c r="F420" t="inlineStr">
        <is>
          <t>Allmännings- och besparingsskogar</t>
        </is>
      </c>
      <c r="G420" t="n">
        <v>6.9</v>
      </c>
      <c r="H420" t="n">
        <v>0</v>
      </c>
      <c r="I420" t="n">
        <v>0</v>
      </c>
      <c r="J420" t="n">
        <v>0</v>
      </c>
      <c r="K420" t="n">
        <v>0</v>
      </c>
      <c r="L420" t="n">
        <v>0</v>
      </c>
      <c r="M420" t="n">
        <v>0</v>
      </c>
      <c r="N420" t="n">
        <v>0</v>
      </c>
      <c r="O420" t="n">
        <v>0</v>
      </c>
      <c r="P420" t="n">
        <v>0</v>
      </c>
      <c r="Q420" t="n">
        <v>0</v>
      </c>
      <c r="R420" s="2" t="inlineStr"/>
    </row>
    <row r="421" ht="15" customHeight="1">
      <c r="A421" t="inlineStr">
        <is>
          <t>A 1211-2023</t>
        </is>
      </c>
      <c r="B421" s="1" t="n">
        <v>44930</v>
      </c>
      <c r="C421" s="1" t="n">
        <v>45973</v>
      </c>
      <c r="D421" t="inlineStr">
        <is>
          <t>ÖSTERGÖTLANDS LÄN</t>
        </is>
      </c>
      <c r="E421" t="inlineStr">
        <is>
          <t>LINKÖPING</t>
        </is>
      </c>
      <c r="F421" t="inlineStr">
        <is>
          <t>Övriga statliga verk och myndigheter</t>
        </is>
      </c>
      <c r="G421" t="n">
        <v>7.9</v>
      </c>
      <c r="H421" t="n">
        <v>0</v>
      </c>
      <c r="I421" t="n">
        <v>0</v>
      </c>
      <c r="J421" t="n">
        <v>0</v>
      </c>
      <c r="K421" t="n">
        <v>0</v>
      </c>
      <c r="L421" t="n">
        <v>0</v>
      </c>
      <c r="M421" t="n">
        <v>0</v>
      </c>
      <c r="N421" t="n">
        <v>0</v>
      </c>
      <c r="O421" t="n">
        <v>0</v>
      </c>
      <c r="P421" t="n">
        <v>0</v>
      </c>
      <c r="Q421" t="n">
        <v>0</v>
      </c>
      <c r="R421" s="2" t="inlineStr"/>
    </row>
    <row r="422" ht="15" customHeight="1">
      <c r="A422" t="inlineStr">
        <is>
          <t>A 51191-2022</t>
        </is>
      </c>
      <c r="B422" s="1" t="n">
        <v>44865</v>
      </c>
      <c r="C422" s="1" t="n">
        <v>45973</v>
      </c>
      <c r="D422" t="inlineStr">
        <is>
          <t>ÖSTERGÖTLANDS LÄN</t>
        </is>
      </c>
      <c r="E422" t="inlineStr">
        <is>
          <t>LINKÖPING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22774-2024</t>
        </is>
      </c>
      <c r="B423" s="1" t="n">
        <v>45448.46924768519</v>
      </c>
      <c r="C423" s="1" t="n">
        <v>45973</v>
      </c>
      <c r="D423" t="inlineStr">
        <is>
          <t>ÖSTERGÖTLANDS LÄN</t>
        </is>
      </c>
      <c r="E423" t="inlineStr">
        <is>
          <t>LINKÖPING</t>
        </is>
      </c>
      <c r="F423" t="inlineStr">
        <is>
          <t>Sveaskog</t>
        </is>
      </c>
      <c r="G423" t="n">
        <v>3.3</v>
      </c>
      <c r="H423" t="n">
        <v>0</v>
      </c>
      <c r="I423" t="n">
        <v>0</v>
      </c>
      <c r="J423" t="n">
        <v>0</v>
      </c>
      <c r="K423" t="n">
        <v>0</v>
      </c>
      <c r="L423" t="n">
        <v>0</v>
      </c>
      <c r="M423" t="n">
        <v>0</v>
      </c>
      <c r="N423" t="n">
        <v>0</v>
      </c>
      <c r="O423" t="n">
        <v>0</v>
      </c>
      <c r="P423" t="n">
        <v>0</v>
      </c>
      <c r="Q423" t="n">
        <v>0</v>
      </c>
      <c r="R423" s="2" t="inlineStr"/>
    </row>
    <row r="424" ht="15" customHeight="1">
      <c r="A424" t="inlineStr">
        <is>
          <t>A 22778-2024</t>
        </is>
      </c>
      <c r="B424" s="1" t="n">
        <v>45448.47233796296</v>
      </c>
      <c r="C424" s="1" t="n">
        <v>45973</v>
      </c>
      <c r="D424" t="inlineStr">
        <is>
          <t>ÖSTERGÖTLANDS LÄN</t>
        </is>
      </c>
      <c r="E424" t="inlineStr">
        <is>
          <t>LINKÖPING</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55632-2022</t>
        </is>
      </c>
      <c r="B425" s="1" t="n">
        <v>44888</v>
      </c>
      <c r="C425" s="1" t="n">
        <v>45973</v>
      </c>
      <c r="D425" t="inlineStr">
        <is>
          <t>ÖSTERGÖTLANDS LÄN</t>
        </is>
      </c>
      <c r="E425" t="inlineStr">
        <is>
          <t>LINKÖPING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34864-2023</t>
        </is>
      </c>
      <c r="B426" s="1" t="n">
        <v>45141</v>
      </c>
      <c r="C426" s="1" t="n">
        <v>45973</v>
      </c>
      <c r="D426" t="inlineStr">
        <is>
          <t>ÖSTERGÖTLANDS LÄN</t>
        </is>
      </c>
      <c r="E426" t="inlineStr">
        <is>
          <t>LINKÖPING</t>
        </is>
      </c>
      <c r="G426" t="n">
        <v>3.3</v>
      </c>
      <c r="H426" t="n">
        <v>0</v>
      </c>
      <c r="I426" t="n">
        <v>0</v>
      </c>
      <c r="J426" t="n">
        <v>0</v>
      </c>
      <c r="K426" t="n">
        <v>0</v>
      </c>
      <c r="L426" t="n">
        <v>0</v>
      </c>
      <c r="M426" t="n">
        <v>0</v>
      </c>
      <c r="N426" t="n">
        <v>0</v>
      </c>
      <c r="O426" t="n">
        <v>0</v>
      </c>
      <c r="P426" t="n">
        <v>0</v>
      </c>
      <c r="Q426" t="n">
        <v>0</v>
      </c>
      <c r="R426" s="2" t="inlineStr"/>
    </row>
    <row r="427" ht="15" customHeight="1">
      <c r="A427" t="inlineStr">
        <is>
          <t>A 52531-2023</t>
        </is>
      </c>
      <c r="B427" s="1" t="n">
        <v>45225</v>
      </c>
      <c r="C427" s="1" t="n">
        <v>45973</v>
      </c>
      <c r="D427" t="inlineStr">
        <is>
          <t>ÖSTERGÖTLANDS LÄN</t>
        </is>
      </c>
      <c r="E427" t="inlineStr">
        <is>
          <t>LINKÖPING</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34930-2023</t>
        </is>
      </c>
      <c r="B428" s="1" t="n">
        <v>45142</v>
      </c>
      <c r="C428" s="1" t="n">
        <v>45973</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63669-2023</t>
        </is>
      </c>
      <c r="B429" s="1" t="n">
        <v>45275</v>
      </c>
      <c r="C429" s="1" t="n">
        <v>45973</v>
      </c>
      <c r="D429" t="inlineStr">
        <is>
          <t>ÖSTERGÖTLANDS LÄN</t>
        </is>
      </c>
      <c r="E429" t="inlineStr">
        <is>
          <t>LINKÖPING</t>
        </is>
      </c>
      <c r="F429" t="inlineStr">
        <is>
          <t>Övriga Aktiebolag</t>
        </is>
      </c>
      <c r="G429" t="n">
        <v>3</v>
      </c>
      <c r="H429" t="n">
        <v>0</v>
      </c>
      <c r="I429" t="n">
        <v>0</v>
      </c>
      <c r="J429" t="n">
        <v>0</v>
      </c>
      <c r="K429" t="n">
        <v>0</v>
      </c>
      <c r="L429" t="n">
        <v>0</v>
      </c>
      <c r="M429" t="n">
        <v>0</v>
      </c>
      <c r="N429" t="n">
        <v>0</v>
      </c>
      <c r="O429" t="n">
        <v>0</v>
      </c>
      <c r="P429" t="n">
        <v>0</v>
      </c>
      <c r="Q429" t="n">
        <v>0</v>
      </c>
      <c r="R429" s="2" t="inlineStr"/>
    </row>
    <row r="430" ht="15" customHeight="1">
      <c r="A430" t="inlineStr">
        <is>
          <t>A 49615-2025</t>
        </is>
      </c>
      <c r="B430" s="1" t="n">
        <v>45938</v>
      </c>
      <c r="C430" s="1" t="n">
        <v>45973</v>
      </c>
      <c r="D430" t="inlineStr">
        <is>
          <t>ÖSTERGÖTLANDS LÄN</t>
        </is>
      </c>
      <c r="E430" t="inlineStr">
        <is>
          <t>LINKÖPING</t>
        </is>
      </c>
      <c r="F430" t="inlineStr">
        <is>
          <t>Övriga Aktiebolag</t>
        </is>
      </c>
      <c r="G430" t="n">
        <v>1.6</v>
      </c>
      <c r="H430" t="n">
        <v>0</v>
      </c>
      <c r="I430" t="n">
        <v>0</v>
      </c>
      <c r="J430" t="n">
        <v>0</v>
      </c>
      <c r="K430" t="n">
        <v>0</v>
      </c>
      <c r="L430" t="n">
        <v>0</v>
      </c>
      <c r="M430" t="n">
        <v>0</v>
      </c>
      <c r="N430" t="n">
        <v>0</v>
      </c>
      <c r="O430" t="n">
        <v>0</v>
      </c>
      <c r="P430" t="n">
        <v>0</v>
      </c>
      <c r="Q430" t="n">
        <v>0</v>
      </c>
      <c r="R430" s="2" t="inlineStr"/>
    </row>
    <row r="431" ht="15" customHeight="1">
      <c r="A431" t="inlineStr">
        <is>
          <t>A 30985-2022</t>
        </is>
      </c>
      <c r="B431" s="1" t="n">
        <v>44768</v>
      </c>
      <c r="C431" s="1" t="n">
        <v>45973</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49619-2025</t>
        </is>
      </c>
      <c r="B432" s="1" t="n">
        <v>45938</v>
      </c>
      <c r="C432" s="1" t="n">
        <v>45973</v>
      </c>
      <c r="D432" t="inlineStr">
        <is>
          <t>ÖSTERGÖTLANDS LÄN</t>
        </is>
      </c>
      <c r="E432" t="inlineStr">
        <is>
          <t>LINKÖPING</t>
        </is>
      </c>
      <c r="F432" t="inlineStr">
        <is>
          <t>Övriga Aktiebolag</t>
        </is>
      </c>
      <c r="G432" t="n">
        <v>2.3</v>
      </c>
      <c r="H432" t="n">
        <v>0</v>
      </c>
      <c r="I432" t="n">
        <v>0</v>
      </c>
      <c r="J432" t="n">
        <v>0</v>
      </c>
      <c r="K432" t="n">
        <v>0</v>
      </c>
      <c r="L432" t="n">
        <v>0</v>
      </c>
      <c r="M432" t="n">
        <v>0</v>
      </c>
      <c r="N432" t="n">
        <v>0</v>
      </c>
      <c r="O432" t="n">
        <v>0</v>
      </c>
      <c r="P432" t="n">
        <v>0</v>
      </c>
      <c r="Q432" t="n">
        <v>0</v>
      </c>
      <c r="R432" s="2" t="inlineStr"/>
    </row>
    <row r="433" ht="15" customHeight="1">
      <c r="A433" t="inlineStr">
        <is>
          <t>A 49629-2025</t>
        </is>
      </c>
      <c r="B433" s="1" t="n">
        <v>45938</v>
      </c>
      <c r="C433" s="1" t="n">
        <v>45973</v>
      </c>
      <c r="D433" t="inlineStr">
        <is>
          <t>ÖSTERGÖTLANDS LÄN</t>
        </is>
      </c>
      <c r="E433" t="inlineStr">
        <is>
          <t>LINKÖPING</t>
        </is>
      </c>
      <c r="F433" t="inlineStr">
        <is>
          <t>Övriga Aktiebolag</t>
        </is>
      </c>
      <c r="G433" t="n">
        <v>4.5</v>
      </c>
      <c r="H433" t="n">
        <v>0</v>
      </c>
      <c r="I433" t="n">
        <v>0</v>
      </c>
      <c r="J433" t="n">
        <v>0</v>
      </c>
      <c r="K433" t="n">
        <v>0</v>
      </c>
      <c r="L433" t="n">
        <v>0</v>
      </c>
      <c r="M433" t="n">
        <v>0</v>
      </c>
      <c r="N433" t="n">
        <v>0</v>
      </c>
      <c r="O433" t="n">
        <v>0</v>
      </c>
      <c r="P433" t="n">
        <v>0</v>
      </c>
      <c r="Q433" t="n">
        <v>0</v>
      </c>
      <c r="R433" s="2" t="inlineStr"/>
    </row>
    <row r="434" ht="15" customHeight="1">
      <c r="A434" t="inlineStr">
        <is>
          <t>A 49633-2025</t>
        </is>
      </c>
      <c r="B434" s="1" t="n">
        <v>45938</v>
      </c>
      <c r="C434" s="1" t="n">
        <v>45973</v>
      </c>
      <c r="D434" t="inlineStr">
        <is>
          <t>ÖSTERGÖTLANDS LÄN</t>
        </is>
      </c>
      <c r="E434" t="inlineStr">
        <is>
          <t>LINKÖPING</t>
        </is>
      </c>
      <c r="F434" t="inlineStr">
        <is>
          <t>Övriga Aktiebolag</t>
        </is>
      </c>
      <c r="G434" t="n">
        <v>0.7</v>
      </c>
      <c r="H434" t="n">
        <v>0</v>
      </c>
      <c r="I434" t="n">
        <v>0</v>
      </c>
      <c r="J434" t="n">
        <v>0</v>
      </c>
      <c r="K434" t="n">
        <v>0</v>
      </c>
      <c r="L434" t="n">
        <v>0</v>
      </c>
      <c r="M434" t="n">
        <v>0</v>
      </c>
      <c r="N434" t="n">
        <v>0</v>
      </c>
      <c r="O434" t="n">
        <v>0</v>
      </c>
      <c r="P434" t="n">
        <v>0</v>
      </c>
      <c r="Q434" t="n">
        <v>0</v>
      </c>
      <c r="R434" s="2" t="inlineStr"/>
    </row>
    <row r="435" ht="15" customHeight="1">
      <c r="A435" t="inlineStr">
        <is>
          <t>A 12289-2025</t>
        </is>
      </c>
      <c r="B435" s="1" t="n">
        <v>45729</v>
      </c>
      <c r="C435" s="1" t="n">
        <v>45973</v>
      </c>
      <c r="D435" t="inlineStr">
        <is>
          <t>ÖSTERGÖTLANDS LÄN</t>
        </is>
      </c>
      <c r="E435" t="inlineStr">
        <is>
          <t>LINKÖPING</t>
        </is>
      </c>
      <c r="F435" t="inlineStr">
        <is>
          <t>Övriga statliga verk och myndigheter</t>
        </is>
      </c>
      <c r="G435" t="n">
        <v>6.5</v>
      </c>
      <c r="H435" t="n">
        <v>0</v>
      </c>
      <c r="I435" t="n">
        <v>0</v>
      </c>
      <c r="J435" t="n">
        <v>0</v>
      </c>
      <c r="K435" t="n">
        <v>0</v>
      </c>
      <c r="L435" t="n">
        <v>0</v>
      </c>
      <c r="M435" t="n">
        <v>0</v>
      </c>
      <c r="N435" t="n">
        <v>0</v>
      </c>
      <c r="O435" t="n">
        <v>0</v>
      </c>
      <c r="P435" t="n">
        <v>0</v>
      </c>
      <c r="Q435" t="n">
        <v>0</v>
      </c>
      <c r="R435" s="2" t="inlineStr"/>
    </row>
    <row r="436" ht="15" customHeight="1">
      <c r="A436" t="inlineStr">
        <is>
          <t>A 36657-2023</t>
        </is>
      </c>
      <c r="B436" s="1" t="n">
        <v>45153.5702662037</v>
      </c>
      <c r="C436" s="1" t="n">
        <v>45973</v>
      </c>
      <c r="D436" t="inlineStr">
        <is>
          <t>ÖSTERGÖTLANDS LÄN</t>
        </is>
      </c>
      <c r="E436" t="inlineStr">
        <is>
          <t>LINKÖPING</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19169-2023</t>
        </is>
      </c>
      <c r="B437" s="1" t="n">
        <v>45044</v>
      </c>
      <c r="C437" s="1" t="n">
        <v>45973</v>
      </c>
      <c r="D437" t="inlineStr">
        <is>
          <t>ÖSTERGÖTLANDS LÄN</t>
        </is>
      </c>
      <c r="E437" t="inlineStr">
        <is>
          <t>LINKÖPING</t>
        </is>
      </c>
      <c r="G437" t="n">
        <v>2.7</v>
      </c>
      <c r="H437" t="n">
        <v>0</v>
      </c>
      <c r="I437" t="n">
        <v>0</v>
      </c>
      <c r="J437" t="n">
        <v>0</v>
      </c>
      <c r="K437" t="n">
        <v>0</v>
      </c>
      <c r="L437" t="n">
        <v>0</v>
      </c>
      <c r="M437" t="n">
        <v>0</v>
      </c>
      <c r="N437" t="n">
        <v>0</v>
      </c>
      <c r="O437" t="n">
        <v>0</v>
      </c>
      <c r="P437" t="n">
        <v>0</v>
      </c>
      <c r="Q437" t="n">
        <v>0</v>
      </c>
      <c r="R437" s="2" t="inlineStr"/>
    </row>
    <row r="438" ht="15" customHeight="1">
      <c r="A438" t="inlineStr">
        <is>
          <t>A 1209-2023</t>
        </is>
      </c>
      <c r="B438" s="1" t="n">
        <v>44930</v>
      </c>
      <c r="C438" s="1" t="n">
        <v>45973</v>
      </c>
      <c r="D438" t="inlineStr">
        <is>
          <t>ÖSTERGÖTLANDS LÄN</t>
        </is>
      </c>
      <c r="E438" t="inlineStr">
        <is>
          <t>LINKÖPING</t>
        </is>
      </c>
      <c r="F438" t="inlineStr">
        <is>
          <t>Övriga statliga verk och myndigheter</t>
        </is>
      </c>
      <c r="G438" t="n">
        <v>25.8</v>
      </c>
      <c r="H438" t="n">
        <v>0</v>
      </c>
      <c r="I438" t="n">
        <v>0</v>
      </c>
      <c r="J438" t="n">
        <v>0</v>
      </c>
      <c r="K438" t="n">
        <v>0</v>
      </c>
      <c r="L438" t="n">
        <v>0</v>
      </c>
      <c r="M438" t="n">
        <v>0</v>
      </c>
      <c r="N438" t="n">
        <v>0</v>
      </c>
      <c r="O438" t="n">
        <v>0</v>
      </c>
      <c r="P438" t="n">
        <v>0</v>
      </c>
      <c r="Q438" t="n">
        <v>0</v>
      </c>
      <c r="R438" s="2" t="inlineStr"/>
    </row>
    <row r="439" ht="15" customHeight="1">
      <c r="A439" t="inlineStr">
        <is>
          <t>A 49455-2025</t>
        </is>
      </c>
      <c r="B439" s="1" t="n">
        <v>45938</v>
      </c>
      <c r="C439" s="1" t="n">
        <v>45973</v>
      </c>
      <c r="D439" t="inlineStr">
        <is>
          <t>ÖSTERGÖTLANDS LÄN</t>
        </is>
      </c>
      <c r="E439" t="inlineStr">
        <is>
          <t>LINKÖPING</t>
        </is>
      </c>
      <c r="F439" t="inlineStr">
        <is>
          <t>Övriga Aktiebolag</t>
        </is>
      </c>
      <c r="G439" t="n">
        <v>5.9</v>
      </c>
      <c r="H439" t="n">
        <v>0</v>
      </c>
      <c r="I439" t="n">
        <v>0</v>
      </c>
      <c r="J439" t="n">
        <v>0</v>
      </c>
      <c r="K439" t="n">
        <v>0</v>
      </c>
      <c r="L439" t="n">
        <v>0</v>
      </c>
      <c r="M439" t="n">
        <v>0</v>
      </c>
      <c r="N439" t="n">
        <v>0</v>
      </c>
      <c r="O439" t="n">
        <v>0</v>
      </c>
      <c r="P439" t="n">
        <v>0</v>
      </c>
      <c r="Q439" t="n">
        <v>0</v>
      </c>
      <c r="R439" s="2" t="inlineStr"/>
    </row>
    <row r="440" ht="15" customHeight="1">
      <c r="A440" t="inlineStr">
        <is>
          <t>A 2085-2024</t>
        </is>
      </c>
      <c r="B440" s="1" t="n">
        <v>45309</v>
      </c>
      <c r="C440" s="1" t="n">
        <v>45973</v>
      </c>
      <c r="D440" t="inlineStr">
        <is>
          <t>ÖSTERGÖTLANDS LÄN</t>
        </is>
      </c>
      <c r="E440" t="inlineStr">
        <is>
          <t>LINKÖPING</t>
        </is>
      </c>
      <c r="G440" t="n">
        <v>4.5</v>
      </c>
      <c r="H440" t="n">
        <v>0</v>
      </c>
      <c r="I440" t="n">
        <v>0</v>
      </c>
      <c r="J440" t="n">
        <v>0</v>
      </c>
      <c r="K440" t="n">
        <v>0</v>
      </c>
      <c r="L440" t="n">
        <v>0</v>
      </c>
      <c r="M440" t="n">
        <v>0</v>
      </c>
      <c r="N440" t="n">
        <v>0</v>
      </c>
      <c r="O440" t="n">
        <v>0</v>
      </c>
      <c r="P440" t="n">
        <v>0</v>
      </c>
      <c r="Q440" t="n">
        <v>0</v>
      </c>
      <c r="R440" s="2" t="inlineStr"/>
    </row>
    <row r="441" ht="15" customHeight="1">
      <c r="A441" t="inlineStr">
        <is>
          <t>A 49632-2025</t>
        </is>
      </c>
      <c r="B441" s="1" t="n">
        <v>45938</v>
      </c>
      <c r="C441" s="1" t="n">
        <v>45973</v>
      </c>
      <c r="D441" t="inlineStr">
        <is>
          <t>ÖSTERGÖTLANDS LÄN</t>
        </is>
      </c>
      <c r="E441" t="inlineStr">
        <is>
          <t>LINKÖPING</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48-2024</t>
        </is>
      </c>
      <c r="B442" s="1" t="n">
        <v>45293</v>
      </c>
      <c r="C442" s="1" t="n">
        <v>45973</v>
      </c>
      <c r="D442" t="inlineStr">
        <is>
          <t>ÖSTERGÖTLANDS LÄN</t>
        </is>
      </c>
      <c r="E442" t="inlineStr">
        <is>
          <t>LINKÖPING</t>
        </is>
      </c>
      <c r="G442" t="n">
        <v>4.6</v>
      </c>
      <c r="H442" t="n">
        <v>0</v>
      </c>
      <c r="I442" t="n">
        <v>0</v>
      </c>
      <c r="J442" t="n">
        <v>0</v>
      </c>
      <c r="K442" t="n">
        <v>0</v>
      </c>
      <c r="L442" t="n">
        <v>0</v>
      </c>
      <c r="M442" t="n">
        <v>0</v>
      </c>
      <c r="N442" t="n">
        <v>0</v>
      </c>
      <c r="O442" t="n">
        <v>0</v>
      </c>
      <c r="P442" t="n">
        <v>0</v>
      </c>
      <c r="Q442" t="n">
        <v>0</v>
      </c>
      <c r="R442" s="2" t="inlineStr"/>
    </row>
    <row r="443" ht="15" customHeight="1">
      <c r="A443" t="inlineStr">
        <is>
          <t>A 49650-2025</t>
        </is>
      </c>
      <c r="B443" s="1" t="n">
        <v>45938</v>
      </c>
      <c r="C443" s="1" t="n">
        <v>45973</v>
      </c>
      <c r="D443" t="inlineStr">
        <is>
          <t>ÖSTERGÖTLANDS LÄN</t>
        </is>
      </c>
      <c r="E443" t="inlineStr">
        <is>
          <t>LINKÖPING</t>
        </is>
      </c>
      <c r="F443" t="inlineStr">
        <is>
          <t>Övriga Aktiebolag</t>
        </is>
      </c>
      <c r="G443" t="n">
        <v>1.5</v>
      </c>
      <c r="H443" t="n">
        <v>0</v>
      </c>
      <c r="I443" t="n">
        <v>0</v>
      </c>
      <c r="J443" t="n">
        <v>0</v>
      </c>
      <c r="K443" t="n">
        <v>0</v>
      </c>
      <c r="L443" t="n">
        <v>0</v>
      </c>
      <c r="M443" t="n">
        <v>0</v>
      </c>
      <c r="N443" t="n">
        <v>0</v>
      </c>
      <c r="O443" t="n">
        <v>0</v>
      </c>
      <c r="P443" t="n">
        <v>0</v>
      </c>
      <c r="Q443" t="n">
        <v>0</v>
      </c>
      <c r="R443" s="2" t="inlineStr"/>
    </row>
    <row r="444" ht="15" customHeight="1">
      <c r="A444" t="inlineStr">
        <is>
          <t>A 49652-2025</t>
        </is>
      </c>
      <c r="B444" s="1" t="n">
        <v>45938</v>
      </c>
      <c r="C444" s="1" t="n">
        <v>45973</v>
      </c>
      <c r="D444" t="inlineStr">
        <is>
          <t>ÖSTERGÖTLANDS LÄN</t>
        </is>
      </c>
      <c r="E444" t="inlineStr">
        <is>
          <t>LINKÖPING</t>
        </is>
      </c>
      <c r="F444" t="inlineStr">
        <is>
          <t>Övriga Aktiebolag</t>
        </is>
      </c>
      <c r="G444" t="n">
        <v>1.8</v>
      </c>
      <c r="H444" t="n">
        <v>0</v>
      </c>
      <c r="I444" t="n">
        <v>0</v>
      </c>
      <c r="J444" t="n">
        <v>0</v>
      </c>
      <c r="K444" t="n">
        <v>0</v>
      </c>
      <c r="L444" t="n">
        <v>0</v>
      </c>
      <c r="M444" t="n">
        <v>0</v>
      </c>
      <c r="N444" t="n">
        <v>0</v>
      </c>
      <c r="O444" t="n">
        <v>0</v>
      </c>
      <c r="P444" t="n">
        <v>0</v>
      </c>
      <c r="Q444" t="n">
        <v>0</v>
      </c>
      <c r="R444" s="2" t="inlineStr"/>
    </row>
    <row r="445" ht="15" customHeight="1">
      <c r="A445" t="inlineStr">
        <is>
          <t>A 56560-2023</t>
        </is>
      </c>
      <c r="B445" s="1" t="n">
        <v>45238</v>
      </c>
      <c r="C445" s="1" t="n">
        <v>45973</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59642-2024</t>
        </is>
      </c>
      <c r="B446" s="1" t="n">
        <v>45639.31511574074</v>
      </c>
      <c r="C446" s="1" t="n">
        <v>45973</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49654-2025</t>
        </is>
      </c>
      <c r="B447" s="1" t="n">
        <v>45938</v>
      </c>
      <c r="C447" s="1" t="n">
        <v>45973</v>
      </c>
      <c r="D447" t="inlineStr">
        <is>
          <t>ÖSTERGÖTLANDS LÄN</t>
        </is>
      </c>
      <c r="E447" t="inlineStr">
        <is>
          <t>LINKÖPING</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15748-2025</t>
        </is>
      </c>
      <c r="B448" s="1" t="n">
        <v>45748.55282407408</v>
      </c>
      <c r="C448" s="1" t="n">
        <v>45973</v>
      </c>
      <c r="D448" t="inlineStr">
        <is>
          <t>ÖSTERGÖTLANDS LÄN</t>
        </is>
      </c>
      <c r="E448" t="inlineStr">
        <is>
          <t>LINKÖPING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31792-2021</t>
        </is>
      </c>
      <c r="B449" s="1" t="n">
        <v>44369</v>
      </c>
      <c r="C449" s="1" t="n">
        <v>45973</v>
      </c>
      <c r="D449" t="inlineStr">
        <is>
          <t>ÖSTERGÖTLANDS LÄN</t>
        </is>
      </c>
      <c r="E449" t="inlineStr">
        <is>
          <t>LINKÖPING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25097-2023</t>
        </is>
      </c>
      <c r="B450" s="1" t="n">
        <v>45086</v>
      </c>
      <c r="C450" s="1" t="n">
        <v>45973</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49647-2025</t>
        </is>
      </c>
      <c r="B451" s="1" t="n">
        <v>45938</v>
      </c>
      <c r="C451" s="1" t="n">
        <v>45973</v>
      </c>
      <c r="D451" t="inlineStr">
        <is>
          <t>ÖSTERGÖTLANDS LÄN</t>
        </is>
      </c>
      <c r="E451" t="inlineStr">
        <is>
          <t>LINKÖPING</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19132-2023</t>
        </is>
      </c>
      <c r="B452" s="1" t="n">
        <v>45048.54754629629</v>
      </c>
      <c r="C452" s="1" t="n">
        <v>45973</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35735-2023</t>
        </is>
      </c>
      <c r="B453" s="1" t="n">
        <v>45147</v>
      </c>
      <c r="C453" s="1" t="n">
        <v>45973</v>
      </c>
      <c r="D453" t="inlineStr">
        <is>
          <t>ÖSTERGÖTLANDS LÄN</t>
        </is>
      </c>
      <c r="E453" t="inlineStr">
        <is>
          <t>LINKÖPING</t>
        </is>
      </c>
      <c r="G453" t="n">
        <v>2.8</v>
      </c>
      <c r="H453" t="n">
        <v>0</v>
      </c>
      <c r="I453" t="n">
        <v>0</v>
      </c>
      <c r="J453" t="n">
        <v>0</v>
      </c>
      <c r="K453" t="n">
        <v>0</v>
      </c>
      <c r="L453" t="n">
        <v>0</v>
      </c>
      <c r="M453" t="n">
        <v>0</v>
      </c>
      <c r="N453" t="n">
        <v>0</v>
      </c>
      <c r="O453" t="n">
        <v>0</v>
      </c>
      <c r="P453" t="n">
        <v>0</v>
      </c>
      <c r="Q453" t="n">
        <v>0</v>
      </c>
      <c r="R453" s="2" t="inlineStr"/>
    </row>
    <row r="454" ht="15" customHeight="1">
      <c r="A454" t="inlineStr">
        <is>
          <t>A 16462-2021</t>
        </is>
      </c>
      <c r="B454" s="1" t="n">
        <v>44293</v>
      </c>
      <c r="C454" s="1" t="n">
        <v>45973</v>
      </c>
      <c r="D454" t="inlineStr">
        <is>
          <t>ÖSTERGÖTLANDS LÄN</t>
        </is>
      </c>
      <c r="E454" t="inlineStr">
        <is>
          <t>LINKÖPING</t>
        </is>
      </c>
      <c r="F454" t="inlineStr">
        <is>
          <t>Allmännings- och besparingsskogar</t>
        </is>
      </c>
      <c r="G454" t="n">
        <v>24.7</v>
      </c>
      <c r="H454" t="n">
        <v>0</v>
      </c>
      <c r="I454" t="n">
        <v>0</v>
      </c>
      <c r="J454" t="n">
        <v>0</v>
      </c>
      <c r="K454" t="n">
        <v>0</v>
      </c>
      <c r="L454" t="n">
        <v>0</v>
      </c>
      <c r="M454" t="n">
        <v>0</v>
      </c>
      <c r="N454" t="n">
        <v>0</v>
      </c>
      <c r="O454" t="n">
        <v>0</v>
      </c>
      <c r="P454" t="n">
        <v>0</v>
      </c>
      <c r="Q454" t="n">
        <v>0</v>
      </c>
      <c r="R454" s="2" t="inlineStr"/>
    </row>
    <row r="455" ht="15" customHeight="1">
      <c r="A455" t="inlineStr">
        <is>
          <t>A 49605-2025</t>
        </is>
      </c>
      <c r="B455" s="1" t="n">
        <v>45938</v>
      </c>
      <c r="C455" s="1" t="n">
        <v>45973</v>
      </c>
      <c r="D455" t="inlineStr">
        <is>
          <t>ÖSTERGÖTLANDS LÄN</t>
        </is>
      </c>
      <c r="E455" t="inlineStr">
        <is>
          <t>LINKÖPING</t>
        </is>
      </c>
      <c r="F455" t="inlineStr">
        <is>
          <t>Övriga Aktiebolag</t>
        </is>
      </c>
      <c r="G455" t="n">
        <v>3.3</v>
      </c>
      <c r="H455" t="n">
        <v>0</v>
      </c>
      <c r="I455" t="n">
        <v>0</v>
      </c>
      <c r="J455" t="n">
        <v>0</v>
      </c>
      <c r="K455" t="n">
        <v>0</v>
      </c>
      <c r="L455" t="n">
        <v>0</v>
      </c>
      <c r="M455" t="n">
        <v>0</v>
      </c>
      <c r="N455" t="n">
        <v>0</v>
      </c>
      <c r="O455" t="n">
        <v>0</v>
      </c>
      <c r="P455" t="n">
        <v>0</v>
      </c>
      <c r="Q455" t="n">
        <v>0</v>
      </c>
      <c r="R455" s="2" t="inlineStr"/>
    </row>
    <row r="456" ht="15" customHeight="1">
      <c r="A456" t="inlineStr">
        <is>
          <t>A 49663-2025</t>
        </is>
      </c>
      <c r="B456" s="1" t="n">
        <v>45938</v>
      </c>
      <c r="C456" s="1" t="n">
        <v>45973</v>
      </c>
      <c r="D456" t="inlineStr">
        <is>
          <t>ÖSTERGÖTLANDS LÄN</t>
        </is>
      </c>
      <c r="E456" t="inlineStr">
        <is>
          <t>LINKÖPING</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25776-2021</t>
        </is>
      </c>
      <c r="B457" s="1" t="n">
        <v>44343</v>
      </c>
      <c r="C457" s="1" t="n">
        <v>45973</v>
      </c>
      <c r="D457" t="inlineStr">
        <is>
          <t>ÖSTERGÖTLANDS LÄN</t>
        </is>
      </c>
      <c r="E457" t="inlineStr">
        <is>
          <t>LINKÖPING</t>
        </is>
      </c>
      <c r="G457" t="n">
        <v>2.6</v>
      </c>
      <c r="H457" t="n">
        <v>0</v>
      </c>
      <c r="I457" t="n">
        <v>0</v>
      </c>
      <c r="J457" t="n">
        <v>0</v>
      </c>
      <c r="K457" t="n">
        <v>0</v>
      </c>
      <c r="L457" t="n">
        <v>0</v>
      </c>
      <c r="M457" t="n">
        <v>0</v>
      </c>
      <c r="N457" t="n">
        <v>0</v>
      </c>
      <c r="O457" t="n">
        <v>0</v>
      </c>
      <c r="P457" t="n">
        <v>0</v>
      </c>
      <c r="Q457" t="n">
        <v>0</v>
      </c>
      <c r="R457" s="2" t="inlineStr"/>
    </row>
    <row r="458" ht="15" customHeight="1">
      <c r="A458" t="inlineStr">
        <is>
          <t>A 40983-2025</t>
        </is>
      </c>
      <c r="B458" s="1" t="n">
        <v>45898</v>
      </c>
      <c r="C458" s="1" t="n">
        <v>45973</v>
      </c>
      <c r="D458" t="inlineStr">
        <is>
          <t>ÖSTERGÖTLANDS LÄN</t>
        </is>
      </c>
      <c r="E458" t="inlineStr">
        <is>
          <t>LINKÖPING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30856-2022</t>
        </is>
      </c>
      <c r="B459" s="1" t="n">
        <v>44767</v>
      </c>
      <c r="C459" s="1" t="n">
        <v>45973</v>
      </c>
      <c r="D459" t="inlineStr">
        <is>
          <t>ÖSTERGÖTLANDS LÄN</t>
        </is>
      </c>
      <c r="E459" t="inlineStr">
        <is>
          <t>LINKÖPING</t>
        </is>
      </c>
      <c r="G459" t="n">
        <v>0.8</v>
      </c>
      <c r="H459" t="n">
        <v>0</v>
      </c>
      <c r="I459" t="n">
        <v>0</v>
      </c>
      <c r="J459" t="n">
        <v>0</v>
      </c>
      <c r="K459" t="n">
        <v>0</v>
      </c>
      <c r="L459" t="n">
        <v>0</v>
      </c>
      <c r="M459" t="n">
        <v>0</v>
      </c>
      <c r="N459" t="n">
        <v>0</v>
      </c>
      <c r="O459" t="n">
        <v>0</v>
      </c>
      <c r="P459" t="n">
        <v>0</v>
      </c>
      <c r="Q459" t="n">
        <v>0</v>
      </c>
      <c r="R459" s="2" t="inlineStr"/>
    </row>
    <row r="460" ht="15" customHeight="1">
      <c r="A460" t="inlineStr">
        <is>
          <t>A 41706-2025</t>
        </is>
      </c>
      <c r="B460" s="1" t="n">
        <v>45902.42209490741</v>
      </c>
      <c r="C460" s="1" t="n">
        <v>45973</v>
      </c>
      <c r="D460" t="inlineStr">
        <is>
          <t>ÖSTERGÖTLANDS LÄN</t>
        </is>
      </c>
      <c r="E460" t="inlineStr">
        <is>
          <t>LINKÖPING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19187-2021</t>
        </is>
      </c>
      <c r="B461" s="1" t="n">
        <v>44308</v>
      </c>
      <c r="C461" s="1" t="n">
        <v>45973</v>
      </c>
      <c r="D461" t="inlineStr">
        <is>
          <t>ÖSTERGÖTLANDS LÄN</t>
        </is>
      </c>
      <c r="E461" t="inlineStr">
        <is>
          <t>LINKÖPING</t>
        </is>
      </c>
      <c r="F461" t="inlineStr">
        <is>
          <t>Allmännings- och besparingsskogar</t>
        </is>
      </c>
      <c r="G461" t="n">
        <v>20</v>
      </c>
      <c r="H461" t="n">
        <v>0</v>
      </c>
      <c r="I461" t="n">
        <v>0</v>
      </c>
      <c r="J461" t="n">
        <v>0</v>
      </c>
      <c r="K461" t="n">
        <v>0</v>
      </c>
      <c r="L461" t="n">
        <v>0</v>
      </c>
      <c r="M461" t="n">
        <v>0</v>
      </c>
      <c r="N461" t="n">
        <v>0</v>
      </c>
      <c r="O461" t="n">
        <v>0</v>
      </c>
      <c r="P461" t="n">
        <v>0</v>
      </c>
      <c r="Q461" t="n">
        <v>0</v>
      </c>
      <c r="R461" s="2" t="inlineStr"/>
    </row>
    <row r="462" ht="15" customHeight="1">
      <c r="A462" t="inlineStr">
        <is>
          <t>A 52412-2023</t>
        </is>
      </c>
      <c r="B462" s="1" t="n">
        <v>45225.27888888889</v>
      </c>
      <c r="C462" s="1" t="n">
        <v>45973</v>
      </c>
      <c r="D462" t="inlineStr">
        <is>
          <t>ÖSTERGÖTLANDS LÄN</t>
        </is>
      </c>
      <c r="E462" t="inlineStr">
        <is>
          <t>LINKÖPING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62492-2023</t>
        </is>
      </c>
      <c r="B463" s="1" t="n">
        <v>45268.58987268519</v>
      </c>
      <c r="C463" s="1" t="n">
        <v>45973</v>
      </c>
      <c r="D463" t="inlineStr">
        <is>
          <t>ÖSTERGÖTLANDS LÄN</t>
        </is>
      </c>
      <c r="E463" t="inlineStr">
        <is>
          <t>LINKÖPING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39219-2021</t>
        </is>
      </c>
      <c r="B464" s="1" t="n">
        <v>44413</v>
      </c>
      <c r="C464" s="1" t="n">
        <v>45973</v>
      </c>
      <c r="D464" t="inlineStr">
        <is>
          <t>ÖSTERGÖTLANDS LÄN</t>
        </is>
      </c>
      <c r="E464" t="inlineStr">
        <is>
          <t>LINKÖPING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39224-2021</t>
        </is>
      </c>
      <c r="B465" s="1" t="n">
        <v>44413</v>
      </c>
      <c r="C465" s="1" t="n">
        <v>45973</v>
      </c>
      <c r="D465" t="inlineStr">
        <is>
          <t>ÖSTERGÖTLANDS LÄN</t>
        </is>
      </c>
      <c r="E465" t="inlineStr">
        <is>
          <t>LINKÖPING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38230-2023</t>
        </is>
      </c>
      <c r="B466" s="1" t="n">
        <v>45161.55373842592</v>
      </c>
      <c r="C466" s="1" t="n">
        <v>45973</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56756-2023</t>
        </is>
      </c>
      <c r="B467" s="1" t="n">
        <v>45244</v>
      </c>
      <c r="C467" s="1" t="n">
        <v>45973</v>
      </c>
      <c r="D467" t="inlineStr">
        <is>
          <t>ÖSTERGÖTLANDS LÄN</t>
        </is>
      </c>
      <c r="E467" t="inlineStr">
        <is>
          <t>LINKÖPING</t>
        </is>
      </c>
      <c r="F467" t="inlineStr">
        <is>
          <t>Övriga Aktiebolag</t>
        </is>
      </c>
      <c r="G467" t="n">
        <v>0.8</v>
      </c>
      <c r="H467" t="n">
        <v>0</v>
      </c>
      <c r="I467" t="n">
        <v>0</v>
      </c>
      <c r="J467" t="n">
        <v>0</v>
      </c>
      <c r="K467" t="n">
        <v>0</v>
      </c>
      <c r="L467" t="n">
        <v>0</v>
      </c>
      <c r="M467" t="n">
        <v>0</v>
      </c>
      <c r="N467" t="n">
        <v>0</v>
      </c>
      <c r="O467" t="n">
        <v>0</v>
      </c>
      <c r="P467" t="n">
        <v>0</v>
      </c>
      <c r="Q467" t="n">
        <v>0</v>
      </c>
      <c r="R467" s="2" t="inlineStr"/>
    </row>
    <row r="468" ht="15" customHeight="1">
      <c r="A468" t="inlineStr">
        <is>
          <t>A 41511-2025</t>
        </is>
      </c>
      <c r="B468" s="1" t="n">
        <v>45901.53839120371</v>
      </c>
      <c r="C468" s="1" t="n">
        <v>45973</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43934-2023</t>
        </is>
      </c>
      <c r="B469" s="1" t="n">
        <v>45187</v>
      </c>
      <c r="C469" s="1" t="n">
        <v>45973</v>
      </c>
      <c r="D469" t="inlineStr">
        <is>
          <t>ÖSTERGÖTLANDS LÄN</t>
        </is>
      </c>
      <c r="E469" t="inlineStr">
        <is>
          <t>LINKÖPING</t>
        </is>
      </c>
      <c r="F469" t="inlineStr">
        <is>
          <t>Övriga Aktiebolag</t>
        </is>
      </c>
      <c r="G469" t="n">
        <v>3.8</v>
      </c>
      <c r="H469" t="n">
        <v>0</v>
      </c>
      <c r="I469" t="n">
        <v>0</v>
      </c>
      <c r="J469" t="n">
        <v>0</v>
      </c>
      <c r="K469" t="n">
        <v>0</v>
      </c>
      <c r="L469" t="n">
        <v>0</v>
      </c>
      <c r="M469" t="n">
        <v>0</v>
      </c>
      <c r="N469" t="n">
        <v>0</v>
      </c>
      <c r="O469" t="n">
        <v>0</v>
      </c>
      <c r="P469" t="n">
        <v>0</v>
      </c>
      <c r="Q469" t="n">
        <v>0</v>
      </c>
      <c r="R469" s="2" t="inlineStr"/>
    </row>
    <row r="470" ht="15" customHeight="1">
      <c r="A470" t="inlineStr">
        <is>
          <t>A 38886-2024</t>
        </is>
      </c>
      <c r="B470" s="1" t="n">
        <v>45547.66443287037</v>
      </c>
      <c r="C470" s="1" t="n">
        <v>45973</v>
      </c>
      <c r="D470" t="inlineStr">
        <is>
          <t>ÖSTERGÖTLANDS LÄN</t>
        </is>
      </c>
      <c r="E470" t="inlineStr">
        <is>
          <t>LINKÖPING</t>
        </is>
      </c>
      <c r="G470" t="n">
        <v>5.3</v>
      </c>
      <c r="H470" t="n">
        <v>0</v>
      </c>
      <c r="I470" t="n">
        <v>0</v>
      </c>
      <c r="J470" t="n">
        <v>0</v>
      </c>
      <c r="K470" t="n">
        <v>0</v>
      </c>
      <c r="L470" t="n">
        <v>0</v>
      </c>
      <c r="M470" t="n">
        <v>0</v>
      </c>
      <c r="N470" t="n">
        <v>0</v>
      </c>
      <c r="O470" t="n">
        <v>0</v>
      </c>
      <c r="P470" t="n">
        <v>0</v>
      </c>
      <c r="Q470" t="n">
        <v>0</v>
      </c>
      <c r="R470" s="2" t="inlineStr"/>
    </row>
    <row r="471" ht="15" customHeight="1">
      <c r="A471" t="inlineStr">
        <is>
          <t>A 11590-2023</t>
        </is>
      </c>
      <c r="B471" s="1" t="n">
        <v>44994.36689814815</v>
      </c>
      <c r="C471" s="1" t="n">
        <v>45973</v>
      </c>
      <c r="D471" t="inlineStr">
        <is>
          <t>ÖSTERGÖTLANDS LÄN</t>
        </is>
      </c>
      <c r="E471" t="inlineStr">
        <is>
          <t>LINKÖPING</t>
        </is>
      </c>
      <c r="G471" t="n">
        <v>3.1</v>
      </c>
      <c r="H471" t="n">
        <v>0</v>
      </c>
      <c r="I471" t="n">
        <v>0</v>
      </c>
      <c r="J471" t="n">
        <v>0</v>
      </c>
      <c r="K471" t="n">
        <v>0</v>
      </c>
      <c r="L471" t="n">
        <v>0</v>
      </c>
      <c r="M471" t="n">
        <v>0</v>
      </c>
      <c r="N471" t="n">
        <v>0</v>
      </c>
      <c r="O471" t="n">
        <v>0</v>
      </c>
      <c r="P471" t="n">
        <v>0</v>
      </c>
      <c r="Q471" t="n">
        <v>0</v>
      </c>
      <c r="R471" s="2" t="inlineStr"/>
    </row>
    <row r="472" ht="15" customHeight="1">
      <c r="A472" t="inlineStr">
        <is>
          <t>A 3042-2024</t>
        </is>
      </c>
      <c r="B472" s="1" t="n">
        <v>45316.35028935185</v>
      </c>
      <c r="C472" s="1" t="n">
        <v>45973</v>
      </c>
      <c r="D472" t="inlineStr">
        <is>
          <t>ÖSTERGÖTLANDS LÄN</t>
        </is>
      </c>
      <c r="E472" t="inlineStr">
        <is>
          <t>LINKÖPING</t>
        </is>
      </c>
      <c r="G472" t="n">
        <v>3.1</v>
      </c>
      <c r="H472" t="n">
        <v>0</v>
      </c>
      <c r="I472" t="n">
        <v>0</v>
      </c>
      <c r="J472" t="n">
        <v>0</v>
      </c>
      <c r="K472" t="n">
        <v>0</v>
      </c>
      <c r="L472" t="n">
        <v>0</v>
      </c>
      <c r="M472" t="n">
        <v>0</v>
      </c>
      <c r="N472" t="n">
        <v>0</v>
      </c>
      <c r="O472" t="n">
        <v>0</v>
      </c>
      <c r="P472" t="n">
        <v>0</v>
      </c>
      <c r="Q472" t="n">
        <v>0</v>
      </c>
      <c r="R472" s="2" t="inlineStr"/>
    </row>
    <row r="473" ht="15" customHeight="1">
      <c r="A473" t="inlineStr">
        <is>
          <t>A 10461-2023</t>
        </is>
      </c>
      <c r="B473" s="1" t="n">
        <v>44987.5969212963</v>
      </c>
      <c r="C473" s="1" t="n">
        <v>45973</v>
      </c>
      <c r="D473" t="inlineStr">
        <is>
          <t>ÖSTERGÖTLANDS LÄN</t>
        </is>
      </c>
      <c r="E473" t="inlineStr">
        <is>
          <t>LINKÖPING</t>
        </is>
      </c>
      <c r="G473" t="n">
        <v>7.8</v>
      </c>
      <c r="H473" t="n">
        <v>0</v>
      </c>
      <c r="I473" t="n">
        <v>0</v>
      </c>
      <c r="J473" t="n">
        <v>0</v>
      </c>
      <c r="K473" t="n">
        <v>0</v>
      </c>
      <c r="L473" t="n">
        <v>0</v>
      </c>
      <c r="M473" t="n">
        <v>0</v>
      </c>
      <c r="N473" t="n">
        <v>0</v>
      </c>
      <c r="O473" t="n">
        <v>0</v>
      </c>
      <c r="P473" t="n">
        <v>0</v>
      </c>
      <c r="Q473" t="n">
        <v>0</v>
      </c>
      <c r="R473" s="2" t="inlineStr"/>
    </row>
    <row r="474" ht="15" customHeight="1">
      <c r="A474" t="inlineStr">
        <is>
          <t>A 29293-2025</t>
        </is>
      </c>
      <c r="B474" s="1" t="n">
        <v>45824</v>
      </c>
      <c r="C474" s="1" t="n">
        <v>45973</v>
      </c>
      <c r="D474" t="inlineStr">
        <is>
          <t>ÖSTERGÖTLANDS LÄN</t>
        </is>
      </c>
      <c r="E474" t="inlineStr">
        <is>
          <t>LINKÖPING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41345-2021</t>
        </is>
      </c>
      <c r="B475" s="1" t="n">
        <v>44424.61851851852</v>
      </c>
      <c r="C475" s="1" t="n">
        <v>45973</v>
      </c>
      <c r="D475" t="inlineStr">
        <is>
          <t>ÖSTERGÖTLANDS LÄN</t>
        </is>
      </c>
      <c r="E475" t="inlineStr">
        <is>
          <t>LINKÖPING</t>
        </is>
      </c>
      <c r="F475" t="inlineStr">
        <is>
          <t>Sveaskog</t>
        </is>
      </c>
      <c r="G475" t="n">
        <v>6.3</v>
      </c>
      <c r="H475" t="n">
        <v>0</v>
      </c>
      <c r="I475" t="n">
        <v>0</v>
      </c>
      <c r="J475" t="n">
        <v>0</v>
      </c>
      <c r="K475" t="n">
        <v>0</v>
      </c>
      <c r="L475" t="n">
        <v>0</v>
      </c>
      <c r="M475" t="n">
        <v>0</v>
      </c>
      <c r="N475" t="n">
        <v>0</v>
      </c>
      <c r="O475" t="n">
        <v>0</v>
      </c>
      <c r="P475" t="n">
        <v>0</v>
      </c>
      <c r="Q475" t="n">
        <v>0</v>
      </c>
      <c r="R475" s="2" t="inlineStr"/>
    </row>
    <row r="476" ht="15" customHeight="1">
      <c r="A476" t="inlineStr">
        <is>
          <t>A 67129-2020</t>
        </is>
      </c>
      <c r="B476" s="1" t="n">
        <v>44180</v>
      </c>
      <c r="C476" s="1" t="n">
        <v>45973</v>
      </c>
      <c r="D476" t="inlineStr">
        <is>
          <t>ÖSTERGÖTLANDS LÄN</t>
        </is>
      </c>
      <c r="E476" t="inlineStr">
        <is>
          <t>LINKÖPING</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50667-2025</t>
        </is>
      </c>
      <c r="B477" s="1" t="n">
        <v>45945</v>
      </c>
      <c r="C477" s="1" t="n">
        <v>45973</v>
      </c>
      <c r="D477" t="inlineStr">
        <is>
          <t>ÖSTERGÖTLANDS LÄN</t>
        </is>
      </c>
      <c r="E477" t="inlineStr">
        <is>
          <t>LINKÖPING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7354-2025</t>
        </is>
      </c>
      <c r="B478" s="1" t="n">
        <v>45704.41174768518</v>
      </c>
      <c r="C478" s="1" t="n">
        <v>45973</v>
      </c>
      <c r="D478" t="inlineStr">
        <is>
          <t>ÖSTERGÖTLANDS LÄN</t>
        </is>
      </c>
      <c r="E478" t="inlineStr">
        <is>
          <t>LINKÖPING</t>
        </is>
      </c>
      <c r="G478" t="n">
        <v>4.8</v>
      </c>
      <c r="H478" t="n">
        <v>0</v>
      </c>
      <c r="I478" t="n">
        <v>0</v>
      </c>
      <c r="J478" t="n">
        <v>0</v>
      </c>
      <c r="K478" t="n">
        <v>0</v>
      </c>
      <c r="L478" t="n">
        <v>0</v>
      </c>
      <c r="M478" t="n">
        <v>0</v>
      </c>
      <c r="N478" t="n">
        <v>0</v>
      </c>
      <c r="O478" t="n">
        <v>0</v>
      </c>
      <c r="P478" t="n">
        <v>0</v>
      </c>
      <c r="Q478" t="n">
        <v>0</v>
      </c>
      <c r="R478" s="2" t="inlineStr"/>
    </row>
    <row r="479" ht="15" customHeight="1">
      <c r="A479" t="inlineStr">
        <is>
          <t>A 63935-2021</t>
        </is>
      </c>
      <c r="B479" s="1" t="n">
        <v>44509</v>
      </c>
      <c r="C479" s="1" t="n">
        <v>45973</v>
      </c>
      <c r="D479" t="inlineStr">
        <is>
          <t>ÖSTERGÖTLANDS LÄN</t>
        </is>
      </c>
      <c r="E479" t="inlineStr">
        <is>
          <t>LINKÖPING</t>
        </is>
      </c>
      <c r="F479" t="inlineStr">
        <is>
          <t>Övriga statliga verk och myndigheter</t>
        </is>
      </c>
      <c r="G479" t="n">
        <v>2.8</v>
      </c>
      <c r="H479" t="n">
        <v>0</v>
      </c>
      <c r="I479" t="n">
        <v>0</v>
      </c>
      <c r="J479" t="n">
        <v>0</v>
      </c>
      <c r="K479" t="n">
        <v>0</v>
      </c>
      <c r="L479" t="n">
        <v>0</v>
      </c>
      <c r="M479" t="n">
        <v>0</v>
      </c>
      <c r="N479" t="n">
        <v>0</v>
      </c>
      <c r="O479" t="n">
        <v>0</v>
      </c>
      <c r="P479" t="n">
        <v>0</v>
      </c>
      <c r="Q479" t="n">
        <v>0</v>
      </c>
      <c r="R479" s="2" t="inlineStr"/>
    </row>
    <row r="480" ht="15" customHeight="1">
      <c r="A480" t="inlineStr">
        <is>
          <t>A 61307-2021</t>
        </is>
      </c>
      <c r="B480" s="1" t="n">
        <v>44498.63928240741</v>
      </c>
      <c r="C480" s="1" t="n">
        <v>45973</v>
      </c>
      <c r="D480" t="inlineStr">
        <is>
          <t>ÖSTERGÖTLANDS LÄN</t>
        </is>
      </c>
      <c r="E480" t="inlineStr">
        <is>
          <t>LINKÖPING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61325-2021</t>
        </is>
      </c>
      <c r="B481" s="1" t="n">
        <v>44498.66814814815</v>
      </c>
      <c r="C481" s="1" t="n">
        <v>45973</v>
      </c>
      <c r="D481" t="inlineStr">
        <is>
          <t>ÖSTERGÖTLANDS LÄN</t>
        </is>
      </c>
      <c r="E481" t="inlineStr">
        <is>
          <t>LINKÖPING</t>
        </is>
      </c>
      <c r="G481" t="n">
        <v>1.4</v>
      </c>
      <c r="H481" t="n">
        <v>0</v>
      </c>
      <c r="I481" t="n">
        <v>0</v>
      </c>
      <c r="J481" t="n">
        <v>0</v>
      </c>
      <c r="K481" t="n">
        <v>0</v>
      </c>
      <c r="L481" t="n">
        <v>0</v>
      </c>
      <c r="M481" t="n">
        <v>0</v>
      </c>
      <c r="N481" t="n">
        <v>0</v>
      </c>
      <c r="O481" t="n">
        <v>0</v>
      </c>
      <c r="P481" t="n">
        <v>0</v>
      </c>
      <c r="Q481" t="n">
        <v>0</v>
      </c>
      <c r="R481" s="2" t="inlineStr"/>
    </row>
    <row r="482" ht="15" customHeight="1">
      <c r="A482" t="inlineStr">
        <is>
          <t>A 60010-2022</t>
        </is>
      </c>
      <c r="B482" s="1" t="n">
        <v>44909.4740625</v>
      </c>
      <c r="C482" s="1" t="n">
        <v>45973</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40810-2022</t>
        </is>
      </c>
      <c r="B483" s="1" t="n">
        <v>44824</v>
      </c>
      <c r="C483" s="1" t="n">
        <v>45973</v>
      </c>
      <c r="D483" t="inlineStr">
        <is>
          <t>ÖSTERGÖTLANDS LÄN</t>
        </is>
      </c>
      <c r="E483" t="inlineStr">
        <is>
          <t>LINKÖPING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30518-2024</t>
        </is>
      </c>
      <c r="B484" s="1" t="n">
        <v>45492</v>
      </c>
      <c r="C484" s="1" t="n">
        <v>45973</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42623-2025</t>
        </is>
      </c>
      <c r="B485" s="1" t="n">
        <v>45905</v>
      </c>
      <c r="C485" s="1" t="n">
        <v>45973</v>
      </c>
      <c r="D485" t="inlineStr">
        <is>
          <t>ÖSTERGÖTLANDS LÄN</t>
        </is>
      </c>
      <c r="E485" t="inlineStr">
        <is>
          <t>LINKÖPING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4908-2023</t>
        </is>
      </c>
      <c r="B486" s="1" t="n">
        <v>44958</v>
      </c>
      <c r="C486" s="1" t="n">
        <v>45973</v>
      </c>
      <c r="D486" t="inlineStr">
        <is>
          <t>ÖSTERGÖTLANDS LÄN</t>
        </is>
      </c>
      <c r="E486" t="inlineStr">
        <is>
          <t>LINKÖPING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37715-2022</t>
        </is>
      </c>
      <c r="B487" s="1" t="n">
        <v>44810</v>
      </c>
      <c r="C487" s="1" t="n">
        <v>45973</v>
      </c>
      <c r="D487" t="inlineStr">
        <is>
          <t>ÖSTERGÖTLANDS LÄN</t>
        </is>
      </c>
      <c r="E487" t="inlineStr">
        <is>
          <t>LINKÖPING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44280-2024</t>
        </is>
      </c>
      <c r="B488" s="1" t="n">
        <v>45573.49461805556</v>
      </c>
      <c r="C488" s="1" t="n">
        <v>45973</v>
      </c>
      <c r="D488" t="inlineStr">
        <is>
          <t>ÖSTERGÖTLANDS LÄN</t>
        </is>
      </c>
      <c r="E488" t="inlineStr">
        <is>
          <t>LINKÖPING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20298-2025</t>
        </is>
      </c>
      <c r="B489" s="1" t="n">
        <v>45774.75024305555</v>
      </c>
      <c r="C489" s="1" t="n">
        <v>45973</v>
      </c>
      <c r="D489" t="inlineStr">
        <is>
          <t>ÖSTERGÖTLANDS LÄN</t>
        </is>
      </c>
      <c r="E489" t="inlineStr">
        <is>
          <t>LINKÖPING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3742-2021</t>
        </is>
      </c>
      <c r="B490" s="1" t="n">
        <v>44221</v>
      </c>
      <c r="C490" s="1" t="n">
        <v>45973</v>
      </c>
      <c r="D490" t="inlineStr">
        <is>
          <t>ÖSTERGÖTLANDS LÄN</t>
        </is>
      </c>
      <c r="E490" t="inlineStr">
        <is>
          <t>LINKÖPING</t>
        </is>
      </c>
      <c r="G490" t="n">
        <v>5.5</v>
      </c>
      <c r="H490" t="n">
        <v>0</v>
      </c>
      <c r="I490" t="n">
        <v>0</v>
      </c>
      <c r="J490" t="n">
        <v>0</v>
      </c>
      <c r="K490" t="n">
        <v>0</v>
      </c>
      <c r="L490" t="n">
        <v>0</v>
      </c>
      <c r="M490" t="n">
        <v>0</v>
      </c>
      <c r="N490" t="n">
        <v>0</v>
      </c>
      <c r="O490" t="n">
        <v>0</v>
      </c>
      <c r="P490" t="n">
        <v>0</v>
      </c>
      <c r="Q490" t="n">
        <v>0</v>
      </c>
      <c r="R490" s="2" t="inlineStr"/>
    </row>
    <row r="491" ht="15" customHeight="1">
      <c r="A491" t="inlineStr">
        <is>
          <t>A 42624-2025</t>
        </is>
      </c>
      <c r="B491" s="1" t="n">
        <v>45905</v>
      </c>
      <c r="C491" s="1" t="n">
        <v>45973</v>
      </c>
      <c r="D491" t="inlineStr">
        <is>
          <t>ÖSTERGÖTLANDS LÄN</t>
        </is>
      </c>
      <c r="E491" t="inlineStr">
        <is>
          <t>LINKÖPING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42626-2025</t>
        </is>
      </c>
      <c r="B492" s="1" t="n">
        <v>45905</v>
      </c>
      <c r="C492" s="1" t="n">
        <v>45973</v>
      </c>
      <c r="D492" t="inlineStr">
        <is>
          <t>ÖSTERGÖTLANDS LÄN</t>
        </is>
      </c>
      <c r="E492" t="inlineStr">
        <is>
          <t>LINKÖPING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14576-2023</t>
        </is>
      </c>
      <c r="B493" s="1" t="n">
        <v>45013</v>
      </c>
      <c r="C493" s="1" t="n">
        <v>45973</v>
      </c>
      <c r="D493" t="inlineStr">
        <is>
          <t>ÖSTERGÖTLANDS LÄN</t>
        </is>
      </c>
      <c r="E493" t="inlineStr">
        <is>
          <t>LINKÖPING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3011-2023</t>
        </is>
      </c>
      <c r="B494" s="1" t="n">
        <v>44945</v>
      </c>
      <c r="C494" s="1" t="n">
        <v>45973</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10253-2022</t>
        </is>
      </c>
      <c r="B495" s="1" t="n">
        <v>44622</v>
      </c>
      <c r="C495" s="1" t="n">
        <v>45973</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12089-2025</t>
        </is>
      </c>
      <c r="B496" s="1" t="n">
        <v>45729</v>
      </c>
      <c r="C496" s="1" t="n">
        <v>45973</v>
      </c>
      <c r="D496" t="inlineStr">
        <is>
          <t>ÖSTERGÖTLANDS LÄN</t>
        </is>
      </c>
      <c r="E496" t="inlineStr">
        <is>
          <t>LINKÖPING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45442-2024</t>
        </is>
      </c>
      <c r="B497" s="1" t="n">
        <v>45576.64189814815</v>
      </c>
      <c r="C497" s="1" t="n">
        <v>45973</v>
      </c>
      <c r="D497" t="inlineStr">
        <is>
          <t>ÖSTERGÖTLANDS LÄN</t>
        </is>
      </c>
      <c r="E497" t="inlineStr">
        <is>
          <t>LINKÖPING</t>
        </is>
      </c>
      <c r="G497" t="n">
        <v>1.8</v>
      </c>
      <c r="H497" t="n">
        <v>0</v>
      </c>
      <c r="I497" t="n">
        <v>0</v>
      </c>
      <c r="J497" t="n">
        <v>0</v>
      </c>
      <c r="K497" t="n">
        <v>0</v>
      </c>
      <c r="L497" t="n">
        <v>0</v>
      </c>
      <c r="M497" t="n">
        <v>0</v>
      </c>
      <c r="N497" t="n">
        <v>0</v>
      </c>
      <c r="O497" t="n">
        <v>0</v>
      </c>
      <c r="P497" t="n">
        <v>0</v>
      </c>
      <c r="Q497" t="n">
        <v>0</v>
      </c>
      <c r="R497" s="2" t="inlineStr"/>
    </row>
    <row r="498" ht="15" customHeight="1">
      <c r="A498" t="inlineStr">
        <is>
          <t>A 3432-2023</t>
        </is>
      </c>
      <c r="B498" s="1" t="n">
        <v>44949</v>
      </c>
      <c r="C498" s="1" t="n">
        <v>45973</v>
      </c>
      <c r="D498" t="inlineStr">
        <is>
          <t>ÖSTERGÖTLANDS LÄN</t>
        </is>
      </c>
      <c r="E498" t="inlineStr">
        <is>
          <t>LINKÖPING</t>
        </is>
      </c>
      <c r="G498" t="n">
        <v>1.9</v>
      </c>
      <c r="H498" t="n">
        <v>0</v>
      </c>
      <c r="I498" t="n">
        <v>0</v>
      </c>
      <c r="J498" t="n">
        <v>0</v>
      </c>
      <c r="K498" t="n">
        <v>0</v>
      </c>
      <c r="L498" t="n">
        <v>0</v>
      </c>
      <c r="M498" t="n">
        <v>0</v>
      </c>
      <c r="N498" t="n">
        <v>0</v>
      </c>
      <c r="O498" t="n">
        <v>0</v>
      </c>
      <c r="P498" t="n">
        <v>0</v>
      </c>
      <c r="Q498" t="n">
        <v>0</v>
      </c>
      <c r="R498" s="2" t="inlineStr"/>
    </row>
    <row r="499" ht="15" customHeight="1">
      <c r="A499" t="inlineStr">
        <is>
          <t>A 1440-2021</t>
        </is>
      </c>
      <c r="B499" s="1" t="n">
        <v>44208</v>
      </c>
      <c r="C499" s="1" t="n">
        <v>45973</v>
      </c>
      <c r="D499" t="inlineStr">
        <is>
          <t>ÖSTERGÖTLANDS LÄN</t>
        </is>
      </c>
      <c r="E499" t="inlineStr">
        <is>
          <t>LINKÖPING</t>
        </is>
      </c>
      <c r="G499" t="n">
        <v>8.4</v>
      </c>
      <c r="H499" t="n">
        <v>0</v>
      </c>
      <c r="I499" t="n">
        <v>0</v>
      </c>
      <c r="J499" t="n">
        <v>0</v>
      </c>
      <c r="K499" t="n">
        <v>0</v>
      </c>
      <c r="L499" t="n">
        <v>0</v>
      </c>
      <c r="M499" t="n">
        <v>0</v>
      </c>
      <c r="N499" t="n">
        <v>0</v>
      </c>
      <c r="O499" t="n">
        <v>0</v>
      </c>
      <c r="P499" t="n">
        <v>0</v>
      </c>
      <c r="Q499" t="n">
        <v>0</v>
      </c>
      <c r="R499" s="2" t="inlineStr"/>
    </row>
    <row r="500" ht="15" customHeight="1">
      <c r="A500" t="inlineStr">
        <is>
          <t>A 60472-2022</t>
        </is>
      </c>
      <c r="B500" s="1" t="n">
        <v>44911.41037037037</v>
      </c>
      <c r="C500" s="1" t="n">
        <v>45973</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12720-2022</t>
        </is>
      </c>
      <c r="B501" s="1" t="n">
        <v>44641</v>
      </c>
      <c r="C501" s="1" t="n">
        <v>45973</v>
      </c>
      <c r="D501" t="inlineStr">
        <is>
          <t>ÖSTERGÖTLANDS LÄN</t>
        </is>
      </c>
      <c r="E501" t="inlineStr">
        <is>
          <t>LINKÖPING</t>
        </is>
      </c>
      <c r="F501" t="inlineStr">
        <is>
          <t>Övriga Aktiebolag</t>
        </is>
      </c>
      <c r="G501" t="n">
        <v>2</v>
      </c>
      <c r="H501" t="n">
        <v>0</v>
      </c>
      <c r="I501" t="n">
        <v>0</v>
      </c>
      <c r="J501" t="n">
        <v>0</v>
      </c>
      <c r="K501" t="n">
        <v>0</v>
      </c>
      <c r="L501" t="n">
        <v>0</v>
      </c>
      <c r="M501" t="n">
        <v>0</v>
      </c>
      <c r="N501" t="n">
        <v>0</v>
      </c>
      <c r="O501" t="n">
        <v>0</v>
      </c>
      <c r="P501" t="n">
        <v>0</v>
      </c>
      <c r="Q501" t="n">
        <v>0</v>
      </c>
      <c r="R501" s="2" t="inlineStr"/>
    </row>
    <row r="502" ht="15" customHeight="1">
      <c r="A502" t="inlineStr">
        <is>
          <t>A 25996-2025</t>
        </is>
      </c>
      <c r="B502" s="1" t="n">
        <v>45804.65851851852</v>
      </c>
      <c r="C502" s="1" t="n">
        <v>45973</v>
      </c>
      <c r="D502" t="inlineStr">
        <is>
          <t>ÖSTERGÖTLANDS LÄN</t>
        </is>
      </c>
      <c r="E502" t="inlineStr">
        <is>
          <t>LINKÖPING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59954-2020</t>
        </is>
      </c>
      <c r="B503" s="1" t="n">
        <v>44151</v>
      </c>
      <c r="C503" s="1" t="n">
        <v>45973</v>
      </c>
      <c r="D503" t="inlineStr">
        <is>
          <t>ÖSTERGÖTLANDS LÄN</t>
        </is>
      </c>
      <c r="E503" t="inlineStr">
        <is>
          <t>LINKÖPING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59969-2020</t>
        </is>
      </c>
      <c r="B504" s="1" t="n">
        <v>44151</v>
      </c>
      <c r="C504" s="1" t="n">
        <v>45973</v>
      </c>
      <c r="D504" t="inlineStr">
        <is>
          <t>ÖSTERGÖTLANDS LÄN</t>
        </is>
      </c>
      <c r="E504" t="inlineStr">
        <is>
          <t>LINKÖPING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51802-2025</t>
        </is>
      </c>
      <c r="B505" s="1" t="n">
        <v>45950</v>
      </c>
      <c r="C505" s="1" t="n">
        <v>45973</v>
      </c>
      <c r="D505" t="inlineStr">
        <is>
          <t>ÖSTERGÖTLANDS LÄN</t>
        </is>
      </c>
      <c r="E505" t="inlineStr">
        <is>
          <t>LINKÖPING</t>
        </is>
      </c>
      <c r="F505" t="inlineStr">
        <is>
          <t>Övriga Aktiebolag</t>
        </is>
      </c>
      <c r="G505" t="n">
        <v>2</v>
      </c>
      <c r="H505" t="n">
        <v>0</v>
      </c>
      <c r="I505" t="n">
        <v>0</v>
      </c>
      <c r="J505" t="n">
        <v>0</v>
      </c>
      <c r="K505" t="n">
        <v>0</v>
      </c>
      <c r="L505" t="n">
        <v>0</v>
      </c>
      <c r="M505" t="n">
        <v>0</v>
      </c>
      <c r="N505" t="n">
        <v>0</v>
      </c>
      <c r="O505" t="n">
        <v>0</v>
      </c>
      <c r="P505" t="n">
        <v>0</v>
      </c>
      <c r="Q505" t="n">
        <v>0</v>
      </c>
      <c r="R505" s="2" t="inlineStr"/>
    </row>
    <row r="506" ht="15" customHeight="1">
      <c r="A506" t="inlineStr">
        <is>
          <t>A 45831-2024</t>
        </is>
      </c>
      <c r="B506" s="1" t="n">
        <v>45579.90508101852</v>
      </c>
      <c r="C506" s="1" t="n">
        <v>45973</v>
      </c>
      <c r="D506" t="inlineStr">
        <is>
          <t>ÖSTERGÖTLANDS LÄN</t>
        </is>
      </c>
      <c r="E506" t="inlineStr">
        <is>
          <t>LINKÖPING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62321-2022</t>
        </is>
      </c>
      <c r="B507" s="1" t="n">
        <v>44916</v>
      </c>
      <c r="C507" s="1" t="n">
        <v>45973</v>
      </c>
      <c r="D507" t="inlineStr">
        <is>
          <t>ÖSTERGÖTLANDS LÄN</t>
        </is>
      </c>
      <c r="E507" t="inlineStr">
        <is>
          <t>LINKÖPING</t>
        </is>
      </c>
      <c r="F507" t="inlineStr">
        <is>
          <t>Kommuner</t>
        </is>
      </c>
      <c r="G507" t="n">
        <v>5.3</v>
      </c>
      <c r="H507" t="n">
        <v>0</v>
      </c>
      <c r="I507" t="n">
        <v>0</v>
      </c>
      <c r="J507" t="n">
        <v>0</v>
      </c>
      <c r="K507" t="n">
        <v>0</v>
      </c>
      <c r="L507" t="n">
        <v>0</v>
      </c>
      <c r="M507" t="n">
        <v>0</v>
      </c>
      <c r="N507" t="n">
        <v>0</v>
      </c>
      <c r="O507" t="n">
        <v>0</v>
      </c>
      <c r="P507" t="n">
        <v>0</v>
      </c>
      <c r="Q507" t="n">
        <v>0</v>
      </c>
      <c r="R507" s="2" t="inlineStr"/>
    </row>
    <row r="508" ht="15" customHeight="1">
      <c r="A508" t="inlineStr">
        <is>
          <t>A 57396-2021</t>
        </is>
      </c>
      <c r="B508" s="1" t="n">
        <v>44483.56151620371</v>
      </c>
      <c r="C508" s="1" t="n">
        <v>45973</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22842-2023</t>
        </is>
      </c>
      <c r="B509" s="1" t="n">
        <v>45071</v>
      </c>
      <c r="C509" s="1" t="n">
        <v>45973</v>
      </c>
      <c r="D509" t="inlineStr">
        <is>
          <t>ÖSTERGÖTLANDS LÄN</t>
        </is>
      </c>
      <c r="E509" t="inlineStr">
        <is>
          <t>LINKÖPING</t>
        </is>
      </c>
      <c r="F509" t="inlineStr">
        <is>
          <t>Kommuner</t>
        </is>
      </c>
      <c r="G509" t="n">
        <v>1.3</v>
      </c>
      <c r="H509" t="n">
        <v>0</v>
      </c>
      <c r="I509" t="n">
        <v>0</v>
      </c>
      <c r="J509" t="n">
        <v>0</v>
      </c>
      <c r="K509" t="n">
        <v>0</v>
      </c>
      <c r="L509" t="n">
        <v>0</v>
      </c>
      <c r="M509" t="n">
        <v>0</v>
      </c>
      <c r="N509" t="n">
        <v>0</v>
      </c>
      <c r="O509" t="n">
        <v>0</v>
      </c>
      <c r="P509" t="n">
        <v>0</v>
      </c>
      <c r="Q509" t="n">
        <v>0</v>
      </c>
      <c r="R509" s="2" t="inlineStr"/>
    </row>
    <row r="510" ht="15" customHeight="1">
      <c r="A510" t="inlineStr">
        <is>
          <t>A 50386-2021</t>
        </is>
      </c>
      <c r="B510" s="1" t="n">
        <v>44459</v>
      </c>
      <c r="C510" s="1" t="n">
        <v>45973</v>
      </c>
      <c r="D510" t="inlineStr">
        <is>
          <t>ÖSTERGÖTLANDS LÄN</t>
        </is>
      </c>
      <c r="E510" t="inlineStr">
        <is>
          <t>LINKÖPING</t>
        </is>
      </c>
      <c r="G510" t="n">
        <v>2.3</v>
      </c>
      <c r="H510" t="n">
        <v>0</v>
      </c>
      <c r="I510" t="n">
        <v>0</v>
      </c>
      <c r="J510" t="n">
        <v>0</v>
      </c>
      <c r="K510" t="n">
        <v>0</v>
      </c>
      <c r="L510" t="n">
        <v>0</v>
      </c>
      <c r="M510" t="n">
        <v>0</v>
      </c>
      <c r="N510" t="n">
        <v>0</v>
      </c>
      <c r="O510" t="n">
        <v>0</v>
      </c>
      <c r="P510" t="n">
        <v>0</v>
      </c>
      <c r="Q510" t="n">
        <v>0</v>
      </c>
      <c r="R510" s="2" t="inlineStr"/>
    </row>
    <row r="511" ht="15" customHeight="1">
      <c r="A511" t="inlineStr">
        <is>
          <t>A 35781-2023</t>
        </is>
      </c>
      <c r="B511" s="1" t="n">
        <v>45147</v>
      </c>
      <c r="C511" s="1" t="n">
        <v>45973</v>
      </c>
      <c r="D511" t="inlineStr">
        <is>
          <t>ÖSTERGÖTLANDS LÄN</t>
        </is>
      </c>
      <c r="E511" t="inlineStr">
        <is>
          <t>LINKÖPING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22770-2024</t>
        </is>
      </c>
      <c r="B512" s="1" t="n">
        <v>45448.4634375</v>
      </c>
      <c r="C512" s="1" t="n">
        <v>45973</v>
      </c>
      <c r="D512" t="inlineStr">
        <is>
          <t>ÖSTERGÖTLANDS LÄN</t>
        </is>
      </c>
      <c r="E512" t="inlineStr">
        <is>
          <t>LINKÖPING</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11671-2023</t>
        </is>
      </c>
      <c r="B513" s="1" t="n">
        <v>44994.48125</v>
      </c>
      <c r="C513" s="1" t="n">
        <v>45973</v>
      </c>
      <c r="D513" t="inlineStr">
        <is>
          <t>ÖSTERGÖTLANDS LÄN</t>
        </is>
      </c>
      <c r="E513" t="inlineStr">
        <is>
          <t>LINKÖPING</t>
        </is>
      </c>
      <c r="G513" t="n">
        <v>2.6</v>
      </c>
      <c r="H513" t="n">
        <v>0</v>
      </c>
      <c r="I513" t="n">
        <v>0</v>
      </c>
      <c r="J513" t="n">
        <v>0</v>
      </c>
      <c r="K513" t="n">
        <v>0</v>
      </c>
      <c r="L513" t="n">
        <v>0</v>
      </c>
      <c r="M513" t="n">
        <v>0</v>
      </c>
      <c r="N513" t="n">
        <v>0</v>
      </c>
      <c r="O513" t="n">
        <v>0</v>
      </c>
      <c r="P513" t="n">
        <v>0</v>
      </c>
      <c r="Q513" t="n">
        <v>0</v>
      </c>
      <c r="R513" s="2" t="inlineStr"/>
    </row>
    <row r="514" ht="15" customHeight="1">
      <c r="A514" t="inlineStr">
        <is>
          <t>A 43475-2024</t>
        </is>
      </c>
      <c r="B514" s="1" t="n">
        <v>45568</v>
      </c>
      <c r="C514" s="1" t="n">
        <v>45973</v>
      </c>
      <c r="D514" t="inlineStr">
        <is>
          <t>ÖSTERGÖTLANDS LÄN</t>
        </is>
      </c>
      <c r="E514" t="inlineStr">
        <is>
          <t>LINKÖPING</t>
        </is>
      </c>
      <c r="G514" t="n">
        <v>3.2</v>
      </c>
      <c r="H514" t="n">
        <v>0</v>
      </c>
      <c r="I514" t="n">
        <v>0</v>
      </c>
      <c r="J514" t="n">
        <v>0</v>
      </c>
      <c r="K514" t="n">
        <v>0</v>
      </c>
      <c r="L514" t="n">
        <v>0</v>
      </c>
      <c r="M514" t="n">
        <v>0</v>
      </c>
      <c r="N514" t="n">
        <v>0</v>
      </c>
      <c r="O514" t="n">
        <v>0</v>
      </c>
      <c r="P514" t="n">
        <v>0</v>
      </c>
      <c r="Q514" t="n">
        <v>0</v>
      </c>
      <c r="R514" s="2" t="inlineStr"/>
    </row>
    <row r="515" ht="15" customHeight="1">
      <c r="A515" t="inlineStr">
        <is>
          <t>A 17103-2025</t>
        </is>
      </c>
      <c r="B515" s="1" t="n">
        <v>45755.66143518518</v>
      </c>
      <c r="C515" s="1" t="n">
        <v>45973</v>
      </c>
      <c r="D515" t="inlineStr">
        <is>
          <t>ÖSTERGÖTLANDS LÄN</t>
        </is>
      </c>
      <c r="E515" t="inlineStr">
        <is>
          <t>LINKÖPING</t>
        </is>
      </c>
      <c r="G515" t="n">
        <v>1.9</v>
      </c>
      <c r="H515" t="n">
        <v>0</v>
      </c>
      <c r="I515" t="n">
        <v>0</v>
      </c>
      <c r="J515" t="n">
        <v>0</v>
      </c>
      <c r="K515" t="n">
        <v>0</v>
      </c>
      <c r="L515" t="n">
        <v>0</v>
      </c>
      <c r="M515" t="n">
        <v>0</v>
      </c>
      <c r="N515" t="n">
        <v>0</v>
      </c>
      <c r="O515" t="n">
        <v>0</v>
      </c>
      <c r="P515" t="n">
        <v>0</v>
      </c>
      <c r="Q515" t="n">
        <v>0</v>
      </c>
      <c r="R515" s="2" t="inlineStr"/>
    </row>
    <row r="516" ht="15" customHeight="1">
      <c r="A516" t="inlineStr">
        <is>
          <t>A 54425-2022</t>
        </is>
      </c>
      <c r="B516" s="1" t="n">
        <v>44882.57453703704</v>
      </c>
      <c r="C516" s="1" t="n">
        <v>45973</v>
      </c>
      <c r="D516" t="inlineStr">
        <is>
          <t>ÖSTERGÖTLANDS LÄN</t>
        </is>
      </c>
      <c r="E516" t="inlineStr">
        <is>
          <t>LINKÖPING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30551-2023</t>
        </is>
      </c>
      <c r="B517" s="1" t="n">
        <v>45111</v>
      </c>
      <c r="C517" s="1" t="n">
        <v>45973</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50784-2022</t>
        </is>
      </c>
      <c r="B518" s="1" t="n">
        <v>44862</v>
      </c>
      <c r="C518" s="1" t="n">
        <v>45973</v>
      </c>
      <c r="D518" t="inlineStr">
        <is>
          <t>ÖSTERGÖTLANDS LÄN</t>
        </is>
      </c>
      <c r="E518" t="inlineStr">
        <is>
          <t>LINKÖPING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52111-2025</t>
        </is>
      </c>
      <c r="B519" s="1" t="n">
        <v>45952.69527777778</v>
      </c>
      <c r="C519" s="1" t="n">
        <v>45973</v>
      </c>
      <c r="D519" t="inlineStr">
        <is>
          <t>ÖSTERGÖTLANDS LÄN</t>
        </is>
      </c>
      <c r="E519" t="inlineStr">
        <is>
          <t>LINKÖPING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22043-2023</t>
        </is>
      </c>
      <c r="B520" s="1" t="n">
        <v>45069.39050925926</v>
      </c>
      <c r="C520" s="1" t="n">
        <v>45973</v>
      </c>
      <c r="D520" t="inlineStr">
        <is>
          <t>ÖSTERGÖTLANDS LÄN</t>
        </is>
      </c>
      <c r="E520" t="inlineStr">
        <is>
          <t>LINKÖPING</t>
        </is>
      </c>
      <c r="G520" t="n">
        <v>5.9</v>
      </c>
      <c r="H520" t="n">
        <v>0</v>
      </c>
      <c r="I520" t="n">
        <v>0</v>
      </c>
      <c r="J520" t="n">
        <v>0</v>
      </c>
      <c r="K520" t="n">
        <v>0</v>
      </c>
      <c r="L520" t="n">
        <v>0</v>
      </c>
      <c r="M520" t="n">
        <v>0</v>
      </c>
      <c r="N520" t="n">
        <v>0</v>
      </c>
      <c r="O520" t="n">
        <v>0</v>
      </c>
      <c r="P520" t="n">
        <v>0</v>
      </c>
      <c r="Q520" t="n">
        <v>0</v>
      </c>
      <c r="R520" s="2" t="inlineStr"/>
    </row>
    <row r="521" ht="15" customHeight="1">
      <c r="A521" t="inlineStr">
        <is>
          <t>A 49656-2021</t>
        </is>
      </c>
      <c r="B521" s="1" t="n">
        <v>44454</v>
      </c>
      <c r="C521" s="1" t="n">
        <v>45973</v>
      </c>
      <c r="D521" t="inlineStr">
        <is>
          <t>ÖSTERGÖTLANDS LÄN</t>
        </is>
      </c>
      <c r="E521" t="inlineStr">
        <is>
          <t>LINKÖPING</t>
        </is>
      </c>
      <c r="G521" t="n">
        <v>2.3</v>
      </c>
      <c r="H521" t="n">
        <v>0</v>
      </c>
      <c r="I521" t="n">
        <v>0</v>
      </c>
      <c r="J521" t="n">
        <v>0</v>
      </c>
      <c r="K521" t="n">
        <v>0</v>
      </c>
      <c r="L521" t="n">
        <v>0</v>
      </c>
      <c r="M521" t="n">
        <v>0</v>
      </c>
      <c r="N521" t="n">
        <v>0</v>
      </c>
      <c r="O521" t="n">
        <v>0</v>
      </c>
      <c r="P521" t="n">
        <v>0</v>
      </c>
      <c r="Q521" t="n">
        <v>0</v>
      </c>
      <c r="R521" s="2" t="inlineStr"/>
    </row>
    <row r="522" ht="15" customHeight="1">
      <c r="A522" t="inlineStr">
        <is>
          <t>A 4927-2021</t>
        </is>
      </c>
      <c r="B522" s="1" t="n">
        <v>44227.57215277778</v>
      </c>
      <c r="C522" s="1" t="n">
        <v>45973</v>
      </c>
      <c r="D522" t="inlineStr">
        <is>
          <t>ÖSTERGÖTLANDS LÄN</t>
        </is>
      </c>
      <c r="E522" t="inlineStr">
        <is>
          <t>LINKÖPING</t>
        </is>
      </c>
      <c r="G522" t="n">
        <v>0.3</v>
      </c>
      <c r="H522" t="n">
        <v>0</v>
      </c>
      <c r="I522" t="n">
        <v>0</v>
      </c>
      <c r="J522" t="n">
        <v>0</v>
      </c>
      <c r="K522" t="n">
        <v>0</v>
      </c>
      <c r="L522" t="n">
        <v>0</v>
      </c>
      <c r="M522" t="n">
        <v>0</v>
      </c>
      <c r="N522" t="n">
        <v>0</v>
      </c>
      <c r="O522" t="n">
        <v>0</v>
      </c>
      <c r="P522" t="n">
        <v>0</v>
      </c>
      <c r="Q522" t="n">
        <v>0</v>
      </c>
      <c r="R522" s="2" t="inlineStr"/>
    </row>
    <row r="523" ht="15" customHeight="1">
      <c r="A523" t="inlineStr">
        <is>
          <t>A 30547-2023</t>
        </is>
      </c>
      <c r="B523" s="1" t="n">
        <v>45111.75905092592</v>
      </c>
      <c r="C523" s="1" t="n">
        <v>45973</v>
      </c>
      <c r="D523" t="inlineStr">
        <is>
          <t>ÖSTERGÖTLANDS LÄN</t>
        </is>
      </c>
      <c r="E523" t="inlineStr">
        <is>
          <t>LINKÖPING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24904-2024</t>
        </is>
      </c>
      <c r="B524" s="1" t="n">
        <v>45461</v>
      </c>
      <c r="C524" s="1" t="n">
        <v>45973</v>
      </c>
      <c r="D524" t="inlineStr">
        <is>
          <t>ÖSTERGÖTLANDS LÄN</t>
        </is>
      </c>
      <c r="E524" t="inlineStr">
        <is>
          <t>LINKÖPING</t>
        </is>
      </c>
      <c r="G524" t="n">
        <v>3.8</v>
      </c>
      <c r="H524" t="n">
        <v>0</v>
      </c>
      <c r="I524" t="n">
        <v>0</v>
      </c>
      <c r="J524" t="n">
        <v>0</v>
      </c>
      <c r="K524" t="n">
        <v>0</v>
      </c>
      <c r="L524" t="n">
        <v>0</v>
      </c>
      <c r="M524" t="n">
        <v>0</v>
      </c>
      <c r="N524" t="n">
        <v>0</v>
      </c>
      <c r="O524" t="n">
        <v>0</v>
      </c>
      <c r="P524" t="n">
        <v>0</v>
      </c>
      <c r="Q524" t="n">
        <v>0</v>
      </c>
      <c r="R524" s="2" t="inlineStr"/>
    </row>
    <row r="525" ht="15" customHeight="1">
      <c r="A525" t="inlineStr">
        <is>
          <t>A 26788-2022</t>
        </is>
      </c>
      <c r="B525" s="1" t="n">
        <v>44740</v>
      </c>
      <c r="C525" s="1" t="n">
        <v>45973</v>
      </c>
      <c r="D525" t="inlineStr">
        <is>
          <t>ÖSTERGÖTLANDS LÄN</t>
        </is>
      </c>
      <c r="E525" t="inlineStr">
        <is>
          <t>LINKÖPING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30465-2023</t>
        </is>
      </c>
      <c r="B526" s="1" t="n">
        <v>45111</v>
      </c>
      <c r="C526" s="1" t="n">
        <v>45973</v>
      </c>
      <c r="D526" t="inlineStr">
        <is>
          <t>ÖSTERGÖTLANDS LÄN</t>
        </is>
      </c>
      <c r="E526" t="inlineStr">
        <is>
          <t>LINKÖPING</t>
        </is>
      </c>
      <c r="F526" t="inlineStr">
        <is>
          <t>Övriga Aktiebolag</t>
        </is>
      </c>
      <c r="G526" t="n">
        <v>0.7</v>
      </c>
      <c r="H526" t="n">
        <v>0</v>
      </c>
      <c r="I526" t="n">
        <v>0</v>
      </c>
      <c r="J526" t="n">
        <v>0</v>
      </c>
      <c r="K526" t="n">
        <v>0</v>
      </c>
      <c r="L526" t="n">
        <v>0</v>
      </c>
      <c r="M526" t="n">
        <v>0</v>
      </c>
      <c r="N526" t="n">
        <v>0</v>
      </c>
      <c r="O526" t="n">
        <v>0</v>
      </c>
      <c r="P526" t="n">
        <v>0</v>
      </c>
      <c r="Q526" t="n">
        <v>0</v>
      </c>
      <c r="R526" s="2" t="inlineStr"/>
    </row>
    <row r="527" ht="15" customHeight="1">
      <c r="A527" t="inlineStr">
        <is>
          <t>A 15121-2022</t>
        </is>
      </c>
      <c r="B527" s="1" t="n">
        <v>44658</v>
      </c>
      <c r="C527" s="1" t="n">
        <v>45973</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51919-2024</t>
        </is>
      </c>
      <c r="B528" s="1" t="n">
        <v>45607.60791666667</v>
      </c>
      <c r="C528" s="1" t="n">
        <v>45973</v>
      </c>
      <c r="D528" t="inlineStr">
        <is>
          <t>ÖSTERGÖTLANDS LÄN</t>
        </is>
      </c>
      <c r="E528" t="inlineStr">
        <is>
          <t>LINKÖPING</t>
        </is>
      </c>
      <c r="G528" t="n">
        <v>2.5</v>
      </c>
      <c r="H528" t="n">
        <v>0</v>
      </c>
      <c r="I528" t="n">
        <v>0</v>
      </c>
      <c r="J528" t="n">
        <v>0</v>
      </c>
      <c r="K528" t="n">
        <v>0</v>
      </c>
      <c r="L528" t="n">
        <v>0</v>
      </c>
      <c r="M528" t="n">
        <v>0</v>
      </c>
      <c r="N528" t="n">
        <v>0</v>
      </c>
      <c r="O528" t="n">
        <v>0</v>
      </c>
      <c r="P528" t="n">
        <v>0</v>
      </c>
      <c r="Q528" t="n">
        <v>0</v>
      </c>
      <c r="R528" s="2" t="inlineStr"/>
    </row>
    <row r="529" ht="15" customHeight="1">
      <c r="A529" t="inlineStr">
        <is>
          <t>A 30521-2024</t>
        </is>
      </c>
      <c r="B529" s="1" t="n">
        <v>45492</v>
      </c>
      <c r="C529" s="1" t="n">
        <v>45973</v>
      </c>
      <c r="D529" t="inlineStr">
        <is>
          <t>ÖSTERGÖTLANDS LÄN</t>
        </is>
      </c>
      <c r="E529" t="inlineStr">
        <is>
          <t>LINKÖPING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55009-2023</t>
        </is>
      </c>
      <c r="B530" s="1" t="n">
        <v>45237</v>
      </c>
      <c r="C530" s="1" t="n">
        <v>45973</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20291-2025</t>
        </is>
      </c>
      <c r="B531" s="1" t="n">
        <v>45774.74288194445</v>
      </c>
      <c r="C531" s="1" t="n">
        <v>45973</v>
      </c>
      <c r="D531" t="inlineStr">
        <is>
          <t>ÖSTERGÖTLANDS LÄN</t>
        </is>
      </c>
      <c r="E531" t="inlineStr">
        <is>
          <t>LINKÖPING</t>
        </is>
      </c>
      <c r="G531" t="n">
        <v>2.3</v>
      </c>
      <c r="H531" t="n">
        <v>0</v>
      </c>
      <c r="I531" t="n">
        <v>0</v>
      </c>
      <c r="J531" t="n">
        <v>0</v>
      </c>
      <c r="K531" t="n">
        <v>0</v>
      </c>
      <c r="L531" t="n">
        <v>0</v>
      </c>
      <c r="M531" t="n">
        <v>0</v>
      </c>
      <c r="N531" t="n">
        <v>0</v>
      </c>
      <c r="O531" t="n">
        <v>0</v>
      </c>
      <c r="P531" t="n">
        <v>0</v>
      </c>
      <c r="Q531" t="n">
        <v>0</v>
      </c>
      <c r="R531" s="2" t="inlineStr"/>
    </row>
    <row r="532" ht="15" customHeight="1">
      <c r="A532" t="inlineStr">
        <is>
          <t>A 20293-2025</t>
        </is>
      </c>
      <c r="B532" s="1" t="n">
        <v>45774.74611111111</v>
      </c>
      <c r="C532" s="1" t="n">
        <v>45973</v>
      </c>
      <c r="D532" t="inlineStr">
        <is>
          <t>ÖSTERGÖTLANDS LÄN</t>
        </is>
      </c>
      <c r="E532" t="inlineStr">
        <is>
          <t>LINKÖPING</t>
        </is>
      </c>
      <c r="G532" t="n">
        <v>1.8</v>
      </c>
      <c r="H532" t="n">
        <v>0</v>
      </c>
      <c r="I532" t="n">
        <v>0</v>
      </c>
      <c r="J532" t="n">
        <v>0</v>
      </c>
      <c r="K532" t="n">
        <v>0</v>
      </c>
      <c r="L532" t="n">
        <v>0</v>
      </c>
      <c r="M532" t="n">
        <v>0</v>
      </c>
      <c r="N532" t="n">
        <v>0</v>
      </c>
      <c r="O532" t="n">
        <v>0</v>
      </c>
      <c r="P532" t="n">
        <v>0</v>
      </c>
      <c r="Q532" t="n">
        <v>0</v>
      </c>
      <c r="R532" s="2" t="inlineStr"/>
    </row>
    <row r="533" ht="15" customHeight="1">
      <c r="A533" t="inlineStr">
        <is>
          <t>A 660-2023</t>
        </is>
      </c>
      <c r="B533" s="1" t="n">
        <v>44930</v>
      </c>
      <c r="C533" s="1" t="n">
        <v>45973</v>
      </c>
      <c r="D533" t="inlineStr">
        <is>
          <t>ÖSTERGÖTLANDS LÄN</t>
        </is>
      </c>
      <c r="E533" t="inlineStr">
        <is>
          <t>LINKÖPING</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40618-2021</t>
        </is>
      </c>
      <c r="B534" s="1" t="n">
        <v>44420.49575231481</v>
      </c>
      <c r="C534" s="1" t="n">
        <v>45973</v>
      </c>
      <c r="D534" t="inlineStr">
        <is>
          <t>ÖSTERGÖTLANDS LÄN</t>
        </is>
      </c>
      <c r="E534" t="inlineStr">
        <is>
          <t>LINKÖPING</t>
        </is>
      </c>
      <c r="G534" t="n">
        <v>2.3</v>
      </c>
      <c r="H534" t="n">
        <v>0</v>
      </c>
      <c r="I534" t="n">
        <v>0</v>
      </c>
      <c r="J534" t="n">
        <v>0</v>
      </c>
      <c r="K534" t="n">
        <v>0</v>
      </c>
      <c r="L534" t="n">
        <v>0</v>
      </c>
      <c r="M534" t="n">
        <v>0</v>
      </c>
      <c r="N534" t="n">
        <v>0</v>
      </c>
      <c r="O534" t="n">
        <v>0</v>
      </c>
      <c r="P534" t="n">
        <v>0</v>
      </c>
      <c r="Q534" t="n">
        <v>0</v>
      </c>
      <c r="R534" s="2" t="inlineStr"/>
    </row>
    <row r="535" ht="15" customHeight="1">
      <c r="A535" t="inlineStr">
        <is>
          <t>A 62374-2020</t>
        </is>
      </c>
      <c r="B535" s="1" t="n">
        <v>44159</v>
      </c>
      <c r="C535" s="1" t="n">
        <v>45973</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23735-2023</t>
        </is>
      </c>
      <c r="B536" s="1" t="n">
        <v>45077</v>
      </c>
      <c r="C536" s="1" t="n">
        <v>45973</v>
      </c>
      <c r="D536" t="inlineStr">
        <is>
          <t>ÖSTERGÖTLANDS LÄN</t>
        </is>
      </c>
      <c r="E536" t="inlineStr">
        <is>
          <t>LINKÖPING</t>
        </is>
      </c>
      <c r="G536" t="n">
        <v>1.7</v>
      </c>
      <c r="H536" t="n">
        <v>0</v>
      </c>
      <c r="I536" t="n">
        <v>0</v>
      </c>
      <c r="J536" t="n">
        <v>0</v>
      </c>
      <c r="K536" t="n">
        <v>0</v>
      </c>
      <c r="L536" t="n">
        <v>0</v>
      </c>
      <c r="M536" t="n">
        <v>0</v>
      </c>
      <c r="N536" t="n">
        <v>0</v>
      </c>
      <c r="O536" t="n">
        <v>0</v>
      </c>
      <c r="P536" t="n">
        <v>0</v>
      </c>
      <c r="Q536" t="n">
        <v>0</v>
      </c>
      <c r="R536" s="2" t="inlineStr"/>
    </row>
    <row r="537" ht="15" customHeight="1">
      <c r="A537" t="inlineStr">
        <is>
          <t>A 64694-2023</t>
        </is>
      </c>
      <c r="B537" s="1" t="n">
        <v>45281</v>
      </c>
      <c r="C537" s="1" t="n">
        <v>45973</v>
      </c>
      <c r="D537" t="inlineStr">
        <is>
          <t>ÖSTERGÖTLANDS LÄN</t>
        </is>
      </c>
      <c r="E537" t="inlineStr">
        <is>
          <t>LINKÖPING</t>
        </is>
      </c>
      <c r="F537" t="inlineStr">
        <is>
          <t>Övriga statliga verk och myndigheter</t>
        </is>
      </c>
      <c r="G537" t="n">
        <v>4.9</v>
      </c>
      <c r="H537" t="n">
        <v>0</v>
      </c>
      <c r="I537" t="n">
        <v>0</v>
      </c>
      <c r="J537" t="n">
        <v>0</v>
      </c>
      <c r="K537" t="n">
        <v>0</v>
      </c>
      <c r="L537" t="n">
        <v>0</v>
      </c>
      <c r="M537" t="n">
        <v>0</v>
      </c>
      <c r="N537" t="n">
        <v>0</v>
      </c>
      <c r="O537" t="n">
        <v>0</v>
      </c>
      <c r="P537" t="n">
        <v>0</v>
      </c>
      <c r="Q537" t="n">
        <v>0</v>
      </c>
      <c r="R537" s="2" t="inlineStr"/>
    </row>
    <row r="538" ht="15" customHeight="1">
      <c r="A538" t="inlineStr">
        <is>
          <t>A 43755-2025</t>
        </is>
      </c>
      <c r="B538" s="1" t="n">
        <v>45912.47329861111</v>
      </c>
      <c r="C538" s="1" t="n">
        <v>45973</v>
      </c>
      <c r="D538" t="inlineStr">
        <is>
          <t>ÖSTERGÖTLANDS LÄN</t>
        </is>
      </c>
      <c r="E538" t="inlineStr">
        <is>
          <t>LINKÖPING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350-2022</t>
        </is>
      </c>
      <c r="B539" s="1" t="n">
        <v>44565</v>
      </c>
      <c r="C539" s="1" t="n">
        <v>45973</v>
      </c>
      <c r="D539" t="inlineStr">
        <is>
          <t>ÖSTERGÖTLANDS LÄN</t>
        </is>
      </c>
      <c r="E539" t="inlineStr">
        <is>
          <t>LINKÖPING</t>
        </is>
      </c>
      <c r="G539" t="n">
        <v>1.2</v>
      </c>
      <c r="H539" t="n">
        <v>0</v>
      </c>
      <c r="I539" t="n">
        <v>0</v>
      </c>
      <c r="J539" t="n">
        <v>0</v>
      </c>
      <c r="K539" t="n">
        <v>0</v>
      </c>
      <c r="L539" t="n">
        <v>0</v>
      </c>
      <c r="M539" t="n">
        <v>0</v>
      </c>
      <c r="N539" t="n">
        <v>0</v>
      </c>
      <c r="O539" t="n">
        <v>0</v>
      </c>
      <c r="P539" t="n">
        <v>0</v>
      </c>
      <c r="Q539" t="n">
        <v>0</v>
      </c>
      <c r="R539" s="2" t="inlineStr"/>
    </row>
    <row r="540" ht="15" customHeight="1">
      <c r="A540" t="inlineStr">
        <is>
          <t>A 4256-2022</t>
        </is>
      </c>
      <c r="B540" s="1" t="n">
        <v>44588</v>
      </c>
      <c r="C540" s="1" t="n">
        <v>45973</v>
      </c>
      <c r="D540" t="inlineStr">
        <is>
          <t>ÖSTERGÖTLANDS LÄN</t>
        </is>
      </c>
      <c r="E540" t="inlineStr">
        <is>
          <t>LINKÖPING</t>
        </is>
      </c>
      <c r="G540" t="n">
        <v>1.4</v>
      </c>
      <c r="H540" t="n">
        <v>0</v>
      </c>
      <c r="I540" t="n">
        <v>0</v>
      </c>
      <c r="J540" t="n">
        <v>0</v>
      </c>
      <c r="K540" t="n">
        <v>0</v>
      </c>
      <c r="L540" t="n">
        <v>0</v>
      </c>
      <c r="M540" t="n">
        <v>0</v>
      </c>
      <c r="N540" t="n">
        <v>0</v>
      </c>
      <c r="O540" t="n">
        <v>0</v>
      </c>
      <c r="P540" t="n">
        <v>0</v>
      </c>
      <c r="Q540" t="n">
        <v>0</v>
      </c>
      <c r="R540" s="2" t="inlineStr"/>
    </row>
    <row r="541" ht="15" customHeight="1">
      <c r="A541" t="inlineStr">
        <is>
          <t>A 43753-2025</t>
        </is>
      </c>
      <c r="B541" s="1" t="n">
        <v>45912.4715625</v>
      </c>
      <c r="C541" s="1" t="n">
        <v>45973</v>
      </c>
      <c r="D541" t="inlineStr">
        <is>
          <t>ÖSTERGÖTLANDS LÄN</t>
        </is>
      </c>
      <c r="E541" t="inlineStr">
        <is>
          <t>LINKÖPING</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43758-2025</t>
        </is>
      </c>
      <c r="B542" s="1" t="n">
        <v>45912.47711805555</v>
      </c>
      <c r="C542" s="1" t="n">
        <v>45973</v>
      </c>
      <c r="D542" t="inlineStr">
        <is>
          <t>ÖSTERGÖTLANDS LÄN</t>
        </is>
      </c>
      <c r="E542" t="inlineStr">
        <is>
          <t>LINKÖPING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25948-2023</t>
        </is>
      </c>
      <c r="B543" s="1" t="n">
        <v>45090</v>
      </c>
      <c r="C543" s="1" t="n">
        <v>45973</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63487-2023</t>
        </is>
      </c>
      <c r="B544" s="1" t="n">
        <v>45274.66712962963</v>
      </c>
      <c r="C544" s="1" t="n">
        <v>45973</v>
      </c>
      <c r="D544" t="inlineStr">
        <is>
          <t>ÖSTERGÖTLANDS LÄN</t>
        </is>
      </c>
      <c r="E544" t="inlineStr">
        <is>
          <t>LINKÖPING</t>
        </is>
      </c>
      <c r="G544" t="n">
        <v>1.4</v>
      </c>
      <c r="H544" t="n">
        <v>0</v>
      </c>
      <c r="I544" t="n">
        <v>0</v>
      </c>
      <c r="J544" t="n">
        <v>0</v>
      </c>
      <c r="K544" t="n">
        <v>0</v>
      </c>
      <c r="L544" t="n">
        <v>0</v>
      </c>
      <c r="M544" t="n">
        <v>0</v>
      </c>
      <c r="N544" t="n">
        <v>0</v>
      </c>
      <c r="O544" t="n">
        <v>0</v>
      </c>
      <c r="P544" t="n">
        <v>0</v>
      </c>
      <c r="Q544" t="n">
        <v>0</v>
      </c>
      <c r="R544" s="2" t="inlineStr"/>
    </row>
    <row r="545" ht="15" customHeight="1">
      <c r="A545" t="inlineStr">
        <is>
          <t>A 44170-2025</t>
        </is>
      </c>
      <c r="B545" s="1" t="n">
        <v>45915.59864583334</v>
      </c>
      <c r="C545" s="1" t="n">
        <v>45973</v>
      </c>
      <c r="D545" t="inlineStr">
        <is>
          <t>ÖSTERGÖTLANDS LÄN</t>
        </is>
      </c>
      <c r="E545" t="inlineStr">
        <is>
          <t>LINKÖPING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52740-2025</t>
        </is>
      </c>
      <c r="B546" s="1" t="n">
        <v>45957.37747685185</v>
      </c>
      <c r="C546" s="1" t="n">
        <v>45973</v>
      </c>
      <c r="D546" t="inlineStr">
        <is>
          <t>ÖSTERGÖTLANDS LÄN</t>
        </is>
      </c>
      <c r="E546" t="inlineStr">
        <is>
          <t>LINKÖPING</t>
        </is>
      </c>
      <c r="G546" t="n">
        <v>3.7</v>
      </c>
      <c r="H546" t="n">
        <v>0</v>
      </c>
      <c r="I546" t="n">
        <v>0</v>
      </c>
      <c r="J546" t="n">
        <v>0</v>
      </c>
      <c r="K546" t="n">
        <v>0</v>
      </c>
      <c r="L546" t="n">
        <v>0</v>
      </c>
      <c r="M546" t="n">
        <v>0</v>
      </c>
      <c r="N546" t="n">
        <v>0</v>
      </c>
      <c r="O546" t="n">
        <v>0</v>
      </c>
      <c r="P546" t="n">
        <v>0</v>
      </c>
      <c r="Q546" t="n">
        <v>0</v>
      </c>
      <c r="R546" s="2" t="inlineStr"/>
    </row>
    <row r="547" ht="15" customHeight="1">
      <c r="A547" t="inlineStr">
        <is>
          <t>A 52743-2025</t>
        </is>
      </c>
      <c r="B547" s="1" t="n">
        <v>45957.38039351852</v>
      </c>
      <c r="C547" s="1" t="n">
        <v>45973</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26002-2025</t>
        </is>
      </c>
      <c r="B548" s="1" t="n">
        <v>45804.66534722222</v>
      </c>
      <c r="C548" s="1" t="n">
        <v>45973</v>
      </c>
      <c r="D548" t="inlineStr">
        <is>
          <t>ÖSTERGÖTLANDS LÄN</t>
        </is>
      </c>
      <c r="E548" t="inlineStr">
        <is>
          <t>LINKÖPING</t>
        </is>
      </c>
      <c r="G548" t="n">
        <v>2.5</v>
      </c>
      <c r="H548" t="n">
        <v>0</v>
      </c>
      <c r="I548" t="n">
        <v>0</v>
      </c>
      <c r="J548" t="n">
        <v>0</v>
      </c>
      <c r="K548" t="n">
        <v>0</v>
      </c>
      <c r="L548" t="n">
        <v>0</v>
      </c>
      <c r="M548" t="n">
        <v>0</v>
      </c>
      <c r="N548" t="n">
        <v>0</v>
      </c>
      <c r="O548" t="n">
        <v>0</v>
      </c>
      <c r="P548" t="n">
        <v>0</v>
      </c>
      <c r="Q548" t="n">
        <v>0</v>
      </c>
      <c r="R548" s="2" t="inlineStr"/>
    </row>
    <row r="549" ht="15" customHeight="1">
      <c r="A549" t="inlineStr">
        <is>
          <t>A 33867-2023</t>
        </is>
      </c>
      <c r="B549" s="1" t="n">
        <v>45133.94640046296</v>
      </c>
      <c r="C549" s="1" t="n">
        <v>45973</v>
      </c>
      <c r="D549" t="inlineStr">
        <is>
          <t>ÖSTERGÖTLANDS LÄN</t>
        </is>
      </c>
      <c r="E549" t="inlineStr">
        <is>
          <t>LINKÖPING</t>
        </is>
      </c>
      <c r="G549" t="n">
        <v>2.3</v>
      </c>
      <c r="H549" t="n">
        <v>0</v>
      </c>
      <c r="I549" t="n">
        <v>0</v>
      </c>
      <c r="J549" t="n">
        <v>0</v>
      </c>
      <c r="K549" t="n">
        <v>0</v>
      </c>
      <c r="L549" t="n">
        <v>0</v>
      </c>
      <c r="M549" t="n">
        <v>0</v>
      </c>
      <c r="N549" t="n">
        <v>0</v>
      </c>
      <c r="O549" t="n">
        <v>0</v>
      </c>
      <c r="P549" t="n">
        <v>0</v>
      </c>
      <c r="Q549" t="n">
        <v>0</v>
      </c>
      <c r="R549" s="2" t="inlineStr"/>
    </row>
    <row r="550" ht="15" customHeight="1">
      <c r="A550" t="inlineStr">
        <is>
          <t>A 52807-2025</t>
        </is>
      </c>
      <c r="B550" s="1" t="n">
        <v>45957.44837962963</v>
      </c>
      <c r="C550" s="1" t="n">
        <v>45973</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20455-2024</t>
        </is>
      </c>
      <c r="B551" s="1" t="n">
        <v>45435.65314814815</v>
      </c>
      <c r="C551" s="1" t="n">
        <v>45973</v>
      </c>
      <c r="D551" t="inlineStr">
        <is>
          <t>ÖSTERGÖTLANDS LÄN</t>
        </is>
      </c>
      <c r="E551" t="inlineStr">
        <is>
          <t>LINKÖPING</t>
        </is>
      </c>
      <c r="G551" t="n">
        <v>2.6</v>
      </c>
      <c r="H551" t="n">
        <v>0</v>
      </c>
      <c r="I551" t="n">
        <v>0</v>
      </c>
      <c r="J551" t="n">
        <v>0</v>
      </c>
      <c r="K551" t="n">
        <v>0</v>
      </c>
      <c r="L551" t="n">
        <v>0</v>
      </c>
      <c r="M551" t="n">
        <v>0</v>
      </c>
      <c r="N551" t="n">
        <v>0</v>
      </c>
      <c r="O551" t="n">
        <v>0</v>
      </c>
      <c r="P551" t="n">
        <v>0</v>
      </c>
      <c r="Q551" t="n">
        <v>0</v>
      </c>
      <c r="R551" s="2" t="inlineStr"/>
    </row>
    <row r="552" ht="15" customHeight="1">
      <c r="A552" t="inlineStr">
        <is>
          <t>A 30471-2023</t>
        </is>
      </c>
      <c r="B552" s="1" t="n">
        <v>45111.58931712963</v>
      </c>
      <c r="C552" s="1" t="n">
        <v>45973</v>
      </c>
      <c r="D552" t="inlineStr">
        <is>
          <t>ÖSTERGÖTLANDS LÄN</t>
        </is>
      </c>
      <c r="E552" t="inlineStr">
        <is>
          <t>LINKÖPING</t>
        </is>
      </c>
      <c r="G552" t="n">
        <v>2.9</v>
      </c>
      <c r="H552" t="n">
        <v>0</v>
      </c>
      <c r="I552" t="n">
        <v>0</v>
      </c>
      <c r="J552" t="n">
        <v>0</v>
      </c>
      <c r="K552" t="n">
        <v>0</v>
      </c>
      <c r="L552" t="n">
        <v>0</v>
      </c>
      <c r="M552" t="n">
        <v>0</v>
      </c>
      <c r="N552" t="n">
        <v>0</v>
      </c>
      <c r="O552" t="n">
        <v>0</v>
      </c>
      <c r="P552" t="n">
        <v>0</v>
      </c>
      <c r="Q552" t="n">
        <v>0</v>
      </c>
      <c r="R552" s="2" t="inlineStr"/>
    </row>
    <row r="553" ht="15" customHeight="1">
      <c r="A553" t="inlineStr">
        <is>
          <t>A 52800-2025</t>
        </is>
      </c>
      <c r="B553" s="1" t="n">
        <v>45957.44152777778</v>
      </c>
      <c r="C553" s="1" t="n">
        <v>45973</v>
      </c>
      <c r="D553" t="inlineStr">
        <is>
          <t>ÖSTERGÖTLANDS LÄN</t>
        </is>
      </c>
      <c r="E553" t="inlineStr">
        <is>
          <t>LINKÖPING</t>
        </is>
      </c>
      <c r="G553" t="n">
        <v>2.5</v>
      </c>
      <c r="H553" t="n">
        <v>0</v>
      </c>
      <c r="I553" t="n">
        <v>0</v>
      </c>
      <c r="J553" t="n">
        <v>0</v>
      </c>
      <c r="K553" t="n">
        <v>0</v>
      </c>
      <c r="L553" t="n">
        <v>0</v>
      </c>
      <c r="M553" t="n">
        <v>0</v>
      </c>
      <c r="N553" t="n">
        <v>0</v>
      </c>
      <c r="O553" t="n">
        <v>0</v>
      </c>
      <c r="P553" t="n">
        <v>0</v>
      </c>
      <c r="Q553" t="n">
        <v>0</v>
      </c>
      <c r="R553" s="2" t="inlineStr"/>
    </row>
    <row r="554" ht="15" customHeight="1">
      <c r="A554" t="inlineStr">
        <is>
          <t>A 24462-2023</t>
        </is>
      </c>
      <c r="B554" s="1" t="n">
        <v>45082</v>
      </c>
      <c r="C554" s="1" t="n">
        <v>45973</v>
      </c>
      <c r="D554" t="inlineStr">
        <is>
          <t>ÖSTERGÖTLANDS LÄN</t>
        </is>
      </c>
      <c r="E554" t="inlineStr">
        <is>
          <t>LINKÖPING</t>
        </is>
      </c>
      <c r="G554" t="n">
        <v>3.5</v>
      </c>
      <c r="H554" t="n">
        <v>0</v>
      </c>
      <c r="I554" t="n">
        <v>0</v>
      </c>
      <c r="J554" t="n">
        <v>0</v>
      </c>
      <c r="K554" t="n">
        <v>0</v>
      </c>
      <c r="L554" t="n">
        <v>0</v>
      </c>
      <c r="M554" t="n">
        <v>0</v>
      </c>
      <c r="N554" t="n">
        <v>0</v>
      </c>
      <c r="O554" t="n">
        <v>0</v>
      </c>
      <c r="P554" t="n">
        <v>0</v>
      </c>
      <c r="Q554" t="n">
        <v>0</v>
      </c>
      <c r="R554" s="2" t="inlineStr"/>
    </row>
    <row r="555" ht="15" customHeight="1">
      <c r="A555" t="inlineStr">
        <is>
          <t>A 14093-2024</t>
        </is>
      </c>
      <c r="B555" s="1" t="n">
        <v>45392.60278935185</v>
      </c>
      <c r="C555" s="1" t="n">
        <v>45973</v>
      </c>
      <c r="D555" t="inlineStr">
        <is>
          <t>ÖSTERGÖTLANDS LÄN</t>
        </is>
      </c>
      <c r="E555" t="inlineStr">
        <is>
          <t>LINKÖPING</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48829-2023</t>
        </is>
      </c>
      <c r="B556" s="1" t="n">
        <v>45209.38177083333</v>
      </c>
      <c r="C556" s="1" t="n">
        <v>45973</v>
      </c>
      <c r="D556" t="inlineStr">
        <is>
          <t>ÖSTERGÖTLANDS LÄN</t>
        </is>
      </c>
      <c r="E556" t="inlineStr">
        <is>
          <t>LINKÖPING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63304-2021</t>
        </is>
      </c>
      <c r="B557" s="1" t="n">
        <v>44508.4396412037</v>
      </c>
      <c r="C557" s="1" t="n">
        <v>45973</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38231-2022</t>
        </is>
      </c>
      <c r="B558" s="1" t="n">
        <v>44812</v>
      </c>
      <c r="C558" s="1" t="n">
        <v>45973</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50799-2022</t>
        </is>
      </c>
      <c r="B559" s="1" t="n">
        <v>44862</v>
      </c>
      <c r="C559" s="1" t="n">
        <v>45973</v>
      </c>
      <c r="D559" t="inlineStr">
        <is>
          <t>ÖSTERGÖTLANDS LÄN</t>
        </is>
      </c>
      <c r="E559" t="inlineStr">
        <is>
          <t>LINKÖPING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19362-2023</t>
        </is>
      </c>
      <c r="B560" s="1" t="n">
        <v>45049</v>
      </c>
      <c r="C560" s="1" t="n">
        <v>45973</v>
      </c>
      <c r="D560" t="inlineStr">
        <is>
          <t>ÖSTERGÖTLANDS LÄN</t>
        </is>
      </c>
      <c r="E560" t="inlineStr">
        <is>
          <t>LINKÖPING</t>
        </is>
      </c>
      <c r="G560" t="n">
        <v>0.1</v>
      </c>
      <c r="H560" t="n">
        <v>0</v>
      </c>
      <c r="I560" t="n">
        <v>0</v>
      </c>
      <c r="J560" t="n">
        <v>0</v>
      </c>
      <c r="K560" t="n">
        <v>0</v>
      </c>
      <c r="L560" t="n">
        <v>0</v>
      </c>
      <c r="M560" t="n">
        <v>0</v>
      </c>
      <c r="N560" t="n">
        <v>0</v>
      </c>
      <c r="O560" t="n">
        <v>0</v>
      </c>
      <c r="P560" t="n">
        <v>0</v>
      </c>
      <c r="Q560" t="n">
        <v>0</v>
      </c>
      <c r="R560" s="2" t="inlineStr"/>
    </row>
    <row r="561" ht="15" customHeight="1">
      <c r="A561" t="inlineStr">
        <is>
          <t>A 40431-2024</t>
        </is>
      </c>
      <c r="B561" s="1" t="n">
        <v>45555.47070601852</v>
      </c>
      <c r="C561" s="1" t="n">
        <v>45973</v>
      </c>
      <c r="D561" t="inlineStr">
        <is>
          <t>ÖSTERGÖTLANDS LÄN</t>
        </is>
      </c>
      <c r="E561" t="inlineStr">
        <is>
          <t>LINKÖPING</t>
        </is>
      </c>
      <c r="F561" t="inlineStr">
        <is>
          <t>Allmännings- och besparingsskogar</t>
        </is>
      </c>
      <c r="G561" t="n">
        <v>2.9</v>
      </c>
      <c r="H561" t="n">
        <v>0</v>
      </c>
      <c r="I561" t="n">
        <v>0</v>
      </c>
      <c r="J561" t="n">
        <v>0</v>
      </c>
      <c r="K561" t="n">
        <v>0</v>
      </c>
      <c r="L561" t="n">
        <v>0</v>
      </c>
      <c r="M561" t="n">
        <v>0</v>
      </c>
      <c r="N561" t="n">
        <v>0</v>
      </c>
      <c r="O561" t="n">
        <v>0</v>
      </c>
      <c r="P561" t="n">
        <v>0</v>
      </c>
      <c r="Q561" t="n">
        <v>0</v>
      </c>
      <c r="R561" s="2" t="inlineStr"/>
    </row>
    <row r="562" ht="15" customHeight="1">
      <c r="A562" t="inlineStr">
        <is>
          <t>A 52802-2025</t>
        </is>
      </c>
      <c r="B562" s="1" t="n">
        <v>45957.44295138889</v>
      </c>
      <c r="C562" s="1" t="n">
        <v>45973</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35463-2023</t>
        </is>
      </c>
      <c r="B563" s="1" t="n">
        <v>45146</v>
      </c>
      <c r="C563" s="1" t="n">
        <v>45973</v>
      </c>
      <c r="D563" t="inlineStr">
        <is>
          <t>ÖSTERGÖTLANDS LÄN</t>
        </is>
      </c>
      <c r="E563" t="inlineStr">
        <is>
          <t>LINKÖPING</t>
        </is>
      </c>
      <c r="F563" t="inlineStr">
        <is>
          <t>Övriga Aktiebolag</t>
        </is>
      </c>
      <c r="G563" t="n">
        <v>1.8</v>
      </c>
      <c r="H563" t="n">
        <v>0</v>
      </c>
      <c r="I563" t="n">
        <v>0</v>
      </c>
      <c r="J563" t="n">
        <v>0</v>
      </c>
      <c r="K563" t="n">
        <v>0</v>
      </c>
      <c r="L563" t="n">
        <v>0</v>
      </c>
      <c r="M563" t="n">
        <v>0</v>
      </c>
      <c r="N563" t="n">
        <v>0</v>
      </c>
      <c r="O563" t="n">
        <v>0</v>
      </c>
      <c r="P563" t="n">
        <v>0</v>
      </c>
      <c r="Q563" t="n">
        <v>0</v>
      </c>
      <c r="R563" s="2" t="inlineStr"/>
    </row>
    <row r="564" ht="15" customHeight="1">
      <c r="A564" t="inlineStr">
        <is>
          <t>A 267-2023</t>
        </is>
      </c>
      <c r="B564" s="1" t="n">
        <v>44928.80907407407</v>
      </c>
      <c r="C564" s="1" t="n">
        <v>45973</v>
      </c>
      <c r="D564" t="inlineStr">
        <is>
          <t>ÖSTERGÖTLANDS LÄN</t>
        </is>
      </c>
      <c r="E564" t="inlineStr">
        <is>
          <t>LINKÖPING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26618-2023</t>
        </is>
      </c>
      <c r="B565" s="1" t="n">
        <v>45092.70306712963</v>
      </c>
      <c r="C565" s="1" t="n">
        <v>45973</v>
      </c>
      <c r="D565" t="inlineStr">
        <is>
          <t>ÖSTERGÖTLANDS LÄN</t>
        </is>
      </c>
      <c r="E565" t="inlineStr">
        <is>
          <t>LINKÖPING</t>
        </is>
      </c>
      <c r="G565" t="n">
        <v>6.9</v>
      </c>
      <c r="H565" t="n">
        <v>0</v>
      </c>
      <c r="I565" t="n">
        <v>0</v>
      </c>
      <c r="J565" t="n">
        <v>0</v>
      </c>
      <c r="K565" t="n">
        <v>0</v>
      </c>
      <c r="L565" t="n">
        <v>0</v>
      </c>
      <c r="M565" t="n">
        <v>0</v>
      </c>
      <c r="N565" t="n">
        <v>0</v>
      </c>
      <c r="O565" t="n">
        <v>0</v>
      </c>
      <c r="P565" t="n">
        <v>0</v>
      </c>
      <c r="Q565" t="n">
        <v>0</v>
      </c>
      <c r="R565" s="2" t="inlineStr"/>
    </row>
    <row r="566" ht="15" customHeight="1">
      <c r="A566" t="inlineStr">
        <is>
          <t>A 16111-2022</t>
        </is>
      </c>
      <c r="B566" s="1" t="n">
        <v>44665</v>
      </c>
      <c r="C566" s="1" t="n">
        <v>45973</v>
      </c>
      <c r="D566" t="inlineStr">
        <is>
          <t>ÖSTERGÖTLANDS LÄN</t>
        </is>
      </c>
      <c r="E566" t="inlineStr">
        <is>
          <t>LINKÖPING</t>
        </is>
      </c>
      <c r="F566" t="inlineStr">
        <is>
          <t>Övriga Aktiebolag</t>
        </is>
      </c>
      <c r="G566" t="n">
        <v>2.9</v>
      </c>
      <c r="H566" t="n">
        <v>0</v>
      </c>
      <c r="I566" t="n">
        <v>0</v>
      </c>
      <c r="J566" t="n">
        <v>0</v>
      </c>
      <c r="K566" t="n">
        <v>0</v>
      </c>
      <c r="L566" t="n">
        <v>0</v>
      </c>
      <c r="M566" t="n">
        <v>0</v>
      </c>
      <c r="N566" t="n">
        <v>0</v>
      </c>
      <c r="O566" t="n">
        <v>0</v>
      </c>
      <c r="P566" t="n">
        <v>0</v>
      </c>
      <c r="Q566" t="n">
        <v>0</v>
      </c>
      <c r="R566" s="2" t="inlineStr"/>
    </row>
    <row r="567" ht="15" customHeight="1">
      <c r="A567" t="inlineStr">
        <is>
          <t>A 63665-2023</t>
        </is>
      </c>
      <c r="B567" s="1" t="n">
        <v>45275</v>
      </c>
      <c r="C567" s="1" t="n">
        <v>45973</v>
      </c>
      <c r="D567" t="inlineStr">
        <is>
          <t>ÖSTERGÖTLANDS LÄN</t>
        </is>
      </c>
      <c r="E567" t="inlineStr">
        <is>
          <t>LINKÖPING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31635-2023</t>
        </is>
      </c>
      <c r="B568" s="1" t="n">
        <v>45105</v>
      </c>
      <c r="C568" s="1" t="n">
        <v>45973</v>
      </c>
      <c r="D568" t="inlineStr">
        <is>
          <t>ÖSTERGÖTLANDS LÄN</t>
        </is>
      </c>
      <c r="E568" t="inlineStr">
        <is>
          <t>LINKÖPING</t>
        </is>
      </c>
      <c r="F568" t="inlineStr">
        <is>
          <t>Övriga statliga verk och myndigheter</t>
        </is>
      </c>
      <c r="G568" t="n">
        <v>4.6</v>
      </c>
      <c r="H568" t="n">
        <v>0</v>
      </c>
      <c r="I568" t="n">
        <v>0</v>
      </c>
      <c r="J568" t="n">
        <v>0</v>
      </c>
      <c r="K568" t="n">
        <v>0</v>
      </c>
      <c r="L568" t="n">
        <v>0</v>
      </c>
      <c r="M568" t="n">
        <v>0</v>
      </c>
      <c r="N568" t="n">
        <v>0</v>
      </c>
      <c r="O568" t="n">
        <v>0</v>
      </c>
      <c r="P568" t="n">
        <v>0</v>
      </c>
      <c r="Q568" t="n">
        <v>0</v>
      </c>
      <c r="R568" s="2" t="inlineStr"/>
    </row>
    <row r="569" ht="15" customHeight="1">
      <c r="A569" t="inlineStr">
        <is>
          <t>A 49928-2024</t>
        </is>
      </c>
      <c r="B569" s="1" t="n">
        <v>45597.57811342592</v>
      </c>
      <c r="C569" s="1" t="n">
        <v>45973</v>
      </c>
      <c r="D569" t="inlineStr">
        <is>
          <t>ÖSTERGÖTLANDS LÄN</t>
        </is>
      </c>
      <c r="E569" t="inlineStr">
        <is>
          <t>LINKÖPING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44759-2025</t>
        </is>
      </c>
      <c r="B570" s="1" t="n">
        <v>45917.7152662037</v>
      </c>
      <c r="C570" s="1" t="n">
        <v>45973</v>
      </c>
      <c r="D570" t="inlineStr">
        <is>
          <t>ÖSTERGÖTLANDS LÄN</t>
        </is>
      </c>
      <c r="E570" t="inlineStr">
        <is>
          <t>LINKÖPING</t>
        </is>
      </c>
      <c r="G570" t="n">
        <v>1.6</v>
      </c>
      <c r="H570" t="n">
        <v>0</v>
      </c>
      <c r="I570" t="n">
        <v>0</v>
      </c>
      <c r="J570" t="n">
        <v>0</v>
      </c>
      <c r="K570" t="n">
        <v>0</v>
      </c>
      <c r="L570" t="n">
        <v>0</v>
      </c>
      <c r="M570" t="n">
        <v>0</v>
      </c>
      <c r="N570" t="n">
        <v>0</v>
      </c>
      <c r="O570" t="n">
        <v>0</v>
      </c>
      <c r="P570" t="n">
        <v>0</v>
      </c>
      <c r="Q570" t="n">
        <v>0</v>
      </c>
      <c r="R570" s="2" t="inlineStr"/>
    </row>
    <row r="571" ht="15" customHeight="1">
      <c r="A571" t="inlineStr">
        <is>
          <t>A 44764-2025</t>
        </is>
      </c>
      <c r="B571" s="1" t="n">
        <v>45917.72821759259</v>
      </c>
      <c r="C571" s="1" t="n">
        <v>45973</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67123-2020</t>
        </is>
      </c>
      <c r="B572" s="1" t="n">
        <v>44180</v>
      </c>
      <c r="C572" s="1" t="n">
        <v>45973</v>
      </c>
      <c r="D572" t="inlineStr">
        <is>
          <t>ÖSTERGÖTLANDS LÄN</t>
        </is>
      </c>
      <c r="E572" t="inlineStr">
        <is>
          <t>LINKÖPING</t>
        </is>
      </c>
      <c r="F572" t="inlineStr">
        <is>
          <t>Övriga statliga verk och myndigheter</t>
        </is>
      </c>
      <c r="G572" t="n">
        <v>1.3</v>
      </c>
      <c r="H572" t="n">
        <v>0</v>
      </c>
      <c r="I572" t="n">
        <v>0</v>
      </c>
      <c r="J572" t="n">
        <v>0</v>
      </c>
      <c r="K572" t="n">
        <v>0</v>
      </c>
      <c r="L572" t="n">
        <v>0</v>
      </c>
      <c r="M572" t="n">
        <v>0</v>
      </c>
      <c r="N572" t="n">
        <v>0</v>
      </c>
      <c r="O572" t="n">
        <v>0</v>
      </c>
      <c r="P572" t="n">
        <v>0</v>
      </c>
      <c r="Q572" t="n">
        <v>0</v>
      </c>
      <c r="R572" s="2" t="inlineStr"/>
    </row>
    <row r="573" ht="15" customHeight="1">
      <c r="A573" t="inlineStr">
        <is>
          <t>A 54845-2023</t>
        </is>
      </c>
      <c r="B573" s="1" t="n">
        <v>45236</v>
      </c>
      <c r="C573" s="1" t="n">
        <v>45973</v>
      </c>
      <c r="D573" t="inlineStr">
        <is>
          <t>ÖSTERGÖTLANDS LÄN</t>
        </is>
      </c>
      <c r="E573" t="inlineStr">
        <is>
          <t>LINKÖPING</t>
        </is>
      </c>
      <c r="F573" t="inlineStr">
        <is>
          <t>Övriga Aktiebolag</t>
        </is>
      </c>
      <c r="G573" t="n">
        <v>5.7</v>
      </c>
      <c r="H573" t="n">
        <v>0</v>
      </c>
      <c r="I573" t="n">
        <v>0</v>
      </c>
      <c r="J573" t="n">
        <v>0</v>
      </c>
      <c r="K573" t="n">
        <v>0</v>
      </c>
      <c r="L573" t="n">
        <v>0</v>
      </c>
      <c r="M573" t="n">
        <v>0</v>
      </c>
      <c r="N573" t="n">
        <v>0</v>
      </c>
      <c r="O573" t="n">
        <v>0</v>
      </c>
      <c r="P573" t="n">
        <v>0</v>
      </c>
      <c r="Q573" t="n">
        <v>0</v>
      </c>
      <c r="R573" s="2" t="inlineStr"/>
    </row>
    <row r="574" ht="15" customHeight="1">
      <c r="A574" t="inlineStr">
        <is>
          <t>A 46687-2021</t>
        </is>
      </c>
      <c r="B574" s="1" t="n">
        <v>44445</v>
      </c>
      <c r="C574" s="1" t="n">
        <v>45973</v>
      </c>
      <c r="D574" t="inlineStr">
        <is>
          <t>ÖSTERGÖTLANDS LÄN</t>
        </is>
      </c>
      <c r="E574" t="inlineStr">
        <is>
          <t>LINKÖPING</t>
        </is>
      </c>
      <c r="F574" t="inlineStr">
        <is>
          <t>Övriga statliga verk och myndigheter</t>
        </is>
      </c>
      <c r="G574" t="n">
        <v>2.3</v>
      </c>
      <c r="H574" t="n">
        <v>0</v>
      </c>
      <c r="I574" t="n">
        <v>0</v>
      </c>
      <c r="J574" t="n">
        <v>0</v>
      </c>
      <c r="K574" t="n">
        <v>0</v>
      </c>
      <c r="L574" t="n">
        <v>0</v>
      </c>
      <c r="M574" t="n">
        <v>0</v>
      </c>
      <c r="N574" t="n">
        <v>0</v>
      </c>
      <c r="O574" t="n">
        <v>0</v>
      </c>
      <c r="P574" t="n">
        <v>0</v>
      </c>
      <c r="Q574" t="n">
        <v>0</v>
      </c>
      <c r="R574" s="2" t="inlineStr"/>
    </row>
    <row r="575" ht="15" customHeight="1">
      <c r="A575" t="inlineStr">
        <is>
          <t>A 30429-2024</t>
        </is>
      </c>
      <c r="B575" s="1" t="n">
        <v>45491.68972222223</v>
      </c>
      <c r="C575" s="1" t="n">
        <v>45973</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30855-2022</t>
        </is>
      </c>
      <c r="B576" s="1" t="n">
        <v>44767</v>
      </c>
      <c r="C576" s="1" t="n">
        <v>45973</v>
      </c>
      <c r="D576" t="inlineStr">
        <is>
          <t>ÖSTERGÖTLANDS LÄN</t>
        </is>
      </c>
      <c r="E576" t="inlineStr">
        <is>
          <t>LINKÖPING</t>
        </is>
      </c>
      <c r="G576" t="n">
        <v>2.2</v>
      </c>
      <c r="H576" t="n">
        <v>0</v>
      </c>
      <c r="I576" t="n">
        <v>0</v>
      </c>
      <c r="J576" t="n">
        <v>0</v>
      </c>
      <c r="K576" t="n">
        <v>0</v>
      </c>
      <c r="L576" t="n">
        <v>0</v>
      </c>
      <c r="M576" t="n">
        <v>0</v>
      </c>
      <c r="N576" t="n">
        <v>0</v>
      </c>
      <c r="O576" t="n">
        <v>0</v>
      </c>
      <c r="P576" t="n">
        <v>0</v>
      </c>
      <c r="Q576" t="n">
        <v>0</v>
      </c>
      <c r="R576" s="2" t="inlineStr"/>
    </row>
    <row r="577" ht="15" customHeight="1">
      <c r="A577" t="inlineStr">
        <is>
          <t>A 1355-2023</t>
        </is>
      </c>
      <c r="B577" s="1" t="n">
        <v>44931</v>
      </c>
      <c r="C577" s="1" t="n">
        <v>45973</v>
      </c>
      <c r="D577" t="inlineStr">
        <is>
          <t>ÖSTERGÖTLANDS LÄN</t>
        </is>
      </c>
      <c r="E577" t="inlineStr">
        <is>
          <t>LINKÖPING</t>
        </is>
      </c>
      <c r="G577" t="n">
        <v>4</v>
      </c>
      <c r="H577" t="n">
        <v>0</v>
      </c>
      <c r="I577" t="n">
        <v>0</v>
      </c>
      <c r="J577" t="n">
        <v>0</v>
      </c>
      <c r="K577" t="n">
        <v>0</v>
      </c>
      <c r="L577" t="n">
        <v>0</v>
      </c>
      <c r="M577" t="n">
        <v>0</v>
      </c>
      <c r="N577" t="n">
        <v>0</v>
      </c>
      <c r="O577" t="n">
        <v>0</v>
      </c>
      <c r="P577" t="n">
        <v>0</v>
      </c>
      <c r="Q577" t="n">
        <v>0</v>
      </c>
      <c r="R577" s="2" t="inlineStr"/>
    </row>
    <row r="578" ht="15" customHeight="1">
      <c r="A578" t="inlineStr">
        <is>
          <t>A 27844-2024</t>
        </is>
      </c>
      <c r="B578" s="1" t="n">
        <v>45475.63047453704</v>
      </c>
      <c r="C578" s="1" t="n">
        <v>45973</v>
      </c>
      <c r="D578" t="inlineStr">
        <is>
          <t>ÖSTERGÖTLANDS LÄN</t>
        </is>
      </c>
      <c r="E578" t="inlineStr">
        <is>
          <t>LINKÖPING</t>
        </is>
      </c>
      <c r="G578" t="n">
        <v>1.2</v>
      </c>
      <c r="H578" t="n">
        <v>0</v>
      </c>
      <c r="I578" t="n">
        <v>0</v>
      </c>
      <c r="J578" t="n">
        <v>0</v>
      </c>
      <c r="K578" t="n">
        <v>0</v>
      </c>
      <c r="L578" t="n">
        <v>0</v>
      </c>
      <c r="M578" t="n">
        <v>0</v>
      </c>
      <c r="N578" t="n">
        <v>0</v>
      </c>
      <c r="O578" t="n">
        <v>0</v>
      </c>
      <c r="P578" t="n">
        <v>0</v>
      </c>
      <c r="Q578" t="n">
        <v>0</v>
      </c>
      <c r="R578" s="2" t="inlineStr"/>
    </row>
    <row r="579" ht="15" customHeight="1">
      <c r="A579" t="inlineStr">
        <is>
          <t>A 30435-2024</t>
        </is>
      </c>
      <c r="B579" s="1" t="n">
        <v>45491.69962962963</v>
      </c>
      <c r="C579" s="1" t="n">
        <v>45973</v>
      </c>
      <c r="D579" t="inlineStr">
        <is>
          <t>ÖSTERGÖTLANDS LÄN</t>
        </is>
      </c>
      <c r="E579" t="inlineStr">
        <is>
          <t>LINKÖPING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53816-2023</t>
        </is>
      </c>
      <c r="B580" s="1" t="n">
        <v>45231.40012731482</v>
      </c>
      <c r="C580" s="1" t="n">
        <v>45973</v>
      </c>
      <c r="D580" t="inlineStr">
        <is>
          <t>ÖSTERGÖTLANDS LÄN</t>
        </is>
      </c>
      <c r="E580" t="inlineStr">
        <is>
          <t>LINKÖPING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36557-2023</t>
        </is>
      </c>
      <c r="B581" s="1" t="n">
        <v>45153</v>
      </c>
      <c r="C581" s="1" t="n">
        <v>45973</v>
      </c>
      <c r="D581" t="inlineStr">
        <is>
          <t>ÖSTERGÖTLANDS LÄN</t>
        </is>
      </c>
      <c r="E581" t="inlineStr">
        <is>
          <t>LINKÖPING</t>
        </is>
      </c>
      <c r="F581" t="inlineStr">
        <is>
          <t>Övriga Aktiebolag</t>
        </is>
      </c>
      <c r="G581" t="n">
        <v>3.1</v>
      </c>
      <c r="H581" t="n">
        <v>0</v>
      </c>
      <c r="I581" t="n">
        <v>0</v>
      </c>
      <c r="J581" t="n">
        <v>0</v>
      </c>
      <c r="K581" t="n">
        <v>0</v>
      </c>
      <c r="L581" t="n">
        <v>0</v>
      </c>
      <c r="M581" t="n">
        <v>0</v>
      </c>
      <c r="N581" t="n">
        <v>0</v>
      </c>
      <c r="O581" t="n">
        <v>0</v>
      </c>
      <c r="P581" t="n">
        <v>0</v>
      </c>
      <c r="Q581" t="n">
        <v>0</v>
      </c>
      <c r="R581" s="2" t="inlineStr"/>
    </row>
    <row r="582" ht="15" customHeight="1">
      <c r="A582" t="inlineStr">
        <is>
          <t>A 6599-2023</t>
        </is>
      </c>
      <c r="B582" s="1" t="n">
        <v>44966.52603009259</v>
      </c>
      <c r="C582" s="1" t="n">
        <v>45973</v>
      </c>
      <c r="D582" t="inlineStr">
        <is>
          <t>ÖSTERGÖTLANDS LÄN</t>
        </is>
      </c>
      <c r="E582" t="inlineStr">
        <is>
          <t>LINKÖPING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43473-2024</t>
        </is>
      </c>
      <c r="B583" s="1" t="n">
        <v>45568</v>
      </c>
      <c r="C583" s="1" t="n">
        <v>45973</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10741-2023</t>
        </is>
      </c>
      <c r="B584" s="1" t="n">
        <v>44988.70084490741</v>
      </c>
      <c r="C584" s="1" t="n">
        <v>45973</v>
      </c>
      <c r="D584" t="inlineStr">
        <is>
          <t>ÖSTERGÖTLANDS LÄN</t>
        </is>
      </c>
      <c r="E584" t="inlineStr">
        <is>
          <t>LINKÖPING</t>
        </is>
      </c>
      <c r="F584" t="inlineStr">
        <is>
          <t>Allmännings- och besparingsskogar</t>
        </is>
      </c>
      <c r="G584" t="n">
        <v>11.2</v>
      </c>
      <c r="H584" t="n">
        <v>0</v>
      </c>
      <c r="I584" t="n">
        <v>0</v>
      </c>
      <c r="J584" t="n">
        <v>0</v>
      </c>
      <c r="K584" t="n">
        <v>0</v>
      </c>
      <c r="L584" t="n">
        <v>0</v>
      </c>
      <c r="M584" t="n">
        <v>0</v>
      </c>
      <c r="N584" t="n">
        <v>0</v>
      </c>
      <c r="O584" t="n">
        <v>0</v>
      </c>
      <c r="P584" t="n">
        <v>0</v>
      </c>
      <c r="Q584" t="n">
        <v>0</v>
      </c>
      <c r="R584" s="2" t="inlineStr"/>
    </row>
    <row r="585" ht="15" customHeight="1">
      <c r="A585" t="inlineStr">
        <is>
          <t>A 50963-2021</t>
        </is>
      </c>
      <c r="B585" s="1" t="n">
        <v>44460</v>
      </c>
      <c r="C585" s="1" t="n">
        <v>45973</v>
      </c>
      <c r="D585" t="inlineStr">
        <is>
          <t>ÖSTERGÖTLANDS LÄN</t>
        </is>
      </c>
      <c r="E585" t="inlineStr">
        <is>
          <t>LINKÖPING</t>
        </is>
      </c>
      <c r="G585" t="n">
        <v>4.4</v>
      </c>
      <c r="H585" t="n">
        <v>0</v>
      </c>
      <c r="I585" t="n">
        <v>0</v>
      </c>
      <c r="J585" t="n">
        <v>0</v>
      </c>
      <c r="K585" t="n">
        <v>0</v>
      </c>
      <c r="L585" t="n">
        <v>0</v>
      </c>
      <c r="M585" t="n">
        <v>0</v>
      </c>
      <c r="N585" t="n">
        <v>0</v>
      </c>
      <c r="O585" t="n">
        <v>0</v>
      </c>
      <c r="P585" t="n">
        <v>0</v>
      </c>
      <c r="Q585" t="n">
        <v>0</v>
      </c>
      <c r="R585" s="2" t="inlineStr"/>
    </row>
    <row r="586" ht="15" customHeight="1">
      <c r="A586" t="inlineStr">
        <is>
          <t>A 45821-2024</t>
        </is>
      </c>
      <c r="B586" s="1" t="n">
        <v>45579.75803240741</v>
      </c>
      <c r="C586" s="1" t="n">
        <v>45973</v>
      </c>
      <c r="D586" t="inlineStr">
        <is>
          <t>ÖSTERGÖTLANDS LÄN</t>
        </is>
      </c>
      <c r="E586" t="inlineStr">
        <is>
          <t>LINKÖPING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45112-2025</t>
        </is>
      </c>
      <c r="B587" s="1" t="n">
        <v>45919</v>
      </c>
      <c r="C587" s="1" t="n">
        <v>45973</v>
      </c>
      <c r="D587" t="inlineStr">
        <is>
          <t>ÖSTERGÖTLANDS LÄN</t>
        </is>
      </c>
      <c r="E587" t="inlineStr">
        <is>
          <t>LINKÖPING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61532-2021</t>
        </is>
      </c>
      <c r="B588" s="1" t="n">
        <v>44501</v>
      </c>
      <c r="C588" s="1" t="n">
        <v>45973</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3374-2023</t>
        </is>
      </c>
      <c r="B589" s="1" t="n">
        <v>44949</v>
      </c>
      <c r="C589" s="1" t="n">
        <v>45973</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224-2024</t>
        </is>
      </c>
      <c r="B590" s="1" t="n">
        <v>45294</v>
      </c>
      <c r="C590" s="1" t="n">
        <v>45973</v>
      </c>
      <c r="D590" t="inlineStr">
        <is>
          <t>ÖSTERGÖTLANDS LÄN</t>
        </is>
      </c>
      <c r="E590" t="inlineStr">
        <is>
          <t>LINKÖPING</t>
        </is>
      </c>
      <c r="G590" t="n">
        <v>2.8</v>
      </c>
      <c r="H590" t="n">
        <v>0</v>
      </c>
      <c r="I590" t="n">
        <v>0</v>
      </c>
      <c r="J590" t="n">
        <v>0</v>
      </c>
      <c r="K590" t="n">
        <v>0</v>
      </c>
      <c r="L590" t="n">
        <v>0</v>
      </c>
      <c r="M590" t="n">
        <v>0</v>
      </c>
      <c r="N590" t="n">
        <v>0</v>
      </c>
      <c r="O590" t="n">
        <v>0</v>
      </c>
      <c r="P590" t="n">
        <v>0</v>
      </c>
      <c r="Q590" t="n">
        <v>0</v>
      </c>
      <c r="R590" s="2" t="inlineStr"/>
    </row>
    <row r="591" ht="15" customHeight="1">
      <c r="A591" t="inlineStr">
        <is>
          <t>A 61936-2023</t>
        </is>
      </c>
      <c r="B591" s="1" t="n">
        <v>45266.54534722222</v>
      </c>
      <c r="C591" s="1" t="n">
        <v>45973</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6726-2024</t>
        </is>
      </c>
      <c r="B592" s="1" t="n">
        <v>45341</v>
      </c>
      <c r="C592" s="1" t="n">
        <v>45973</v>
      </c>
      <c r="D592" t="inlineStr">
        <is>
          <t>ÖSTERGÖTLANDS LÄN</t>
        </is>
      </c>
      <c r="E592" t="inlineStr">
        <is>
          <t>LINKÖPING</t>
        </is>
      </c>
      <c r="G592" t="n">
        <v>2.7</v>
      </c>
      <c r="H592" t="n">
        <v>0</v>
      </c>
      <c r="I592" t="n">
        <v>0</v>
      </c>
      <c r="J592" t="n">
        <v>0</v>
      </c>
      <c r="K592" t="n">
        <v>0</v>
      </c>
      <c r="L592" t="n">
        <v>0</v>
      </c>
      <c r="M592" t="n">
        <v>0</v>
      </c>
      <c r="N592" t="n">
        <v>0</v>
      </c>
      <c r="O592" t="n">
        <v>0</v>
      </c>
      <c r="P592" t="n">
        <v>0</v>
      </c>
      <c r="Q592" t="n">
        <v>0</v>
      </c>
      <c r="R592" s="2" t="inlineStr"/>
    </row>
    <row r="593" ht="15" customHeight="1">
      <c r="A593" t="inlineStr">
        <is>
          <t>A 1263-2024</t>
        </is>
      </c>
      <c r="B593" s="1" t="n">
        <v>45302</v>
      </c>
      <c r="C593" s="1" t="n">
        <v>45973</v>
      </c>
      <c r="D593" t="inlineStr">
        <is>
          <t>ÖSTERGÖTLANDS LÄN</t>
        </is>
      </c>
      <c r="E593" t="inlineStr">
        <is>
          <t>LINKÖPING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24464-2023</t>
        </is>
      </c>
      <c r="B594" s="1" t="n">
        <v>45082.58068287037</v>
      </c>
      <c r="C594" s="1" t="n">
        <v>45973</v>
      </c>
      <c r="D594" t="inlineStr">
        <is>
          <t>ÖSTERGÖTLANDS LÄN</t>
        </is>
      </c>
      <c r="E594" t="inlineStr">
        <is>
          <t>LINKÖPING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50056-2025</t>
        </is>
      </c>
      <c r="B595" s="1" t="n">
        <v>45941</v>
      </c>
      <c r="C595" s="1" t="n">
        <v>45973</v>
      </c>
      <c r="D595" t="inlineStr">
        <is>
          <t>ÖSTERGÖTLANDS LÄN</t>
        </is>
      </c>
      <c r="E595" t="inlineStr">
        <is>
          <t>LINKÖPING</t>
        </is>
      </c>
      <c r="G595" t="n">
        <v>0.3</v>
      </c>
      <c r="H595" t="n">
        <v>0</v>
      </c>
      <c r="I595" t="n">
        <v>0</v>
      </c>
      <c r="J595" t="n">
        <v>0</v>
      </c>
      <c r="K595" t="n">
        <v>0</v>
      </c>
      <c r="L595" t="n">
        <v>0</v>
      </c>
      <c r="M595" t="n">
        <v>0</v>
      </c>
      <c r="N595" t="n">
        <v>0</v>
      </c>
      <c r="O595" t="n">
        <v>0</v>
      </c>
      <c r="P595" t="n">
        <v>0</v>
      </c>
      <c r="Q595" t="n">
        <v>0</v>
      </c>
      <c r="R595" s="2" t="inlineStr"/>
    </row>
    <row r="596" ht="15" customHeight="1">
      <c r="A596" t="inlineStr">
        <is>
          <t>A 48389-2024</t>
        </is>
      </c>
      <c r="B596" s="1" t="n">
        <v>45590.59991898148</v>
      </c>
      <c r="C596" s="1" t="n">
        <v>45973</v>
      </c>
      <c r="D596" t="inlineStr">
        <is>
          <t>ÖSTERGÖTLANDS LÄN</t>
        </is>
      </c>
      <c r="E596" t="inlineStr">
        <is>
          <t>LINKÖPING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61281-2021</t>
        </is>
      </c>
      <c r="B597" s="1" t="n">
        <v>44498.60736111111</v>
      </c>
      <c r="C597" s="1" t="n">
        <v>45973</v>
      </c>
      <c r="D597" t="inlineStr">
        <is>
          <t>ÖSTERGÖTLANDS LÄN</t>
        </is>
      </c>
      <c r="E597" t="inlineStr">
        <is>
          <t>LINKÖPING</t>
        </is>
      </c>
      <c r="G597" t="n">
        <v>4.5</v>
      </c>
      <c r="H597" t="n">
        <v>0</v>
      </c>
      <c r="I597" t="n">
        <v>0</v>
      </c>
      <c r="J597" t="n">
        <v>0</v>
      </c>
      <c r="K597" t="n">
        <v>0</v>
      </c>
      <c r="L597" t="n">
        <v>0</v>
      </c>
      <c r="M597" t="n">
        <v>0</v>
      </c>
      <c r="N597" t="n">
        <v>0</v>
      </c>
      <c r="O597" t="n">
        <v>0</v>
      </c>
      <c r="P597" t="n">
        <v>0</v>
      </c>
      <c r="Q597" t="n">
        <v>0</v>
      </c>
      <c r="R597" s="2" t="inlineStr"/>
    </row>
    <row r="598" ht="15" customHeight="1">
      <c r="A598" t="inlineStr">
        <is>
          <t>A 54332-2025</t>
        </is>
      </c>
      <c r="B598" s="1" t="n">
        <v>45965.34915509259</v>
      </c>
      <c r="C598" s="1" t="n">
        <v>45973</v>
      </c>
      <c r="D598" t="inlineStr">
        <is>
          <t>ÖSTERGÖTLANDS LÄN</t>
        </is>
      </c>
      <c r="E598" t="inlineStr">
        <is>
          <t>LINKÖPING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6369-2023</t>
        </is>
      </c>
      <c r="B599" s="1" t="n">
        <v>44965.61106481482</v>
      </c>
      <c r="C599" s="1" t="n">
        <v>45973</v>
      </c>
      <c r="D599" t="inlineStr">
        <is>
          <t>ÖSTERGÖTLANDS LÄN</t>
        </is>
      </c>
      <c r="E599" t="inlineStr">
        <is>
          <t>LINKÖPING</t>
        </is>
      </c>
      <c r="G599" t="n">
        <v>4</v>
      </c>
      <c r="H599" t="n">
        <v>0</v>
      </c>
      <c r="I599" t="n">
        <v>0</v>
      </c>
      <c r="J599" t="n">
        <v>0</v>
      </c>
      <c r="K599" t="n">
        <v>0</v>
      </c>
      <c r="L599" t="n">
        <v>0</v>
      </c>
      <c r="M599" t="n">
        <v>0</v>
      </c>
      <c r="N599" t="n">
        <v>0</v>
      </c>
      <c r="O599" t="n">
        <v>0</v>
      </c>
      <c r="P599" t="n">
        <v>0</v>
      </c>
      <c r="Q599" t="n">
        <v>0</v>
      </c>
      <c r="R599" s="2" t="inlineStr"/>
    </row>
    <row r="600" ht="15" customHeight="1">
      <c r="A600" t="inlineStr">
        <is>
          <t>A 53814-2023</t>
        </is>
      </c>
      <c r="B600" s="1" t="n">
        <v>45231</v>
      </c>
      <c r="C600" s="1" t="n">
        <v>45973</v>
      </c>
      <c r="D600" t="inlineStr">
        <is>
          <t>ÖSTERGÖTLANDS LÄN</t>
        </is>
      </c>
      <c r="E600" t="inlineStr">
        <is>
          <t>LINKÖPING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10094-2024</t>
        </is>
      </c>
      <c r="B601" s="1" t="n">
        <v>45364</v>
      </c>
      <c r="C601" s="1" t="n">
        <v>45973</v>
      </c>
      <c r="D601" t="inlineStr">
        <is>
          <t>ÖSTERGÖTLANDS LÄN</t>
        </is>
      </c>
      <c r="E601" t="inlineStr">
        <is>
          <t>LINKÖPING</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54333-2025</t>
        </is>
      </c>
      <c r="B602" s="1" t="n">
        <v>45965.35090277778</v>
      </c>
      <c r="C602" s="1" t="n">
        <v>45973</v>
      </c>
      <c r="D602" t="inlineStr">
        <is>
          <t>ÖSTERGÖTLANDS LÄN</t>
        </is>
      </c>
      <c r="E602" t="inlineStr">
        <is>
          <t>LINKÖPING</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60004-2022</t>
        </is>
      </c>
      <c r="B603" s="1" t="n">
        <v>44909.47206018519</v>
      </c>
      <c r="C603" s="1" t="n">
        <v>45973</v>
      </c>
      <c r="D603" t="inlineStr">
        <is>
          <t>ÖSTERGÖTLANDS LÄN</t>
        </is>
      </c>
      <c r="E603" t="inlineStr">
        <is>
          <t>LINKÖPING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45634-2025</t>
        </is>
      </c>
      <c r="B604" s="1" t="n">
        <v>45922.85089120371</v>
      </c>
      <c r="C604" s="1" t="n">
        <v>45973</v>
      </c>
      <c r="D604" t="inlineStr">
        <is>
          <t>ÖSTERGÖTLANDS LÄN</t>
        </is>
      </c>
      <c r="E604" t="inlineStr">
        <is>
          <t>LINKÖPING</t>
        </is>
      </c>
      <c r="F604" t="inlineStr">
        <is>
          <t>Övriga Aktiebolag</t>
        </is>
      </c>
      <c r="G604" t="n">
        <v>0.3</v>
      </c>
      <c r="H604" t="n">
        <v>0</v>
      </c>
      <c r="I604" t="n">
        <v>0</v>
      </c>
      <c r="J604" t="n">
        <v>0</v>
      </c>
      <c r="K604" t="n">
        <v>0</v>
      </c>
      <c r="L604" t="n">
        <v>0</v>
      </c>
      <c r="M604" t="n">
        <v>0</v>
      </c>
      <c r="N604" t="n">
        <v>0</v>
      </c>
      <c r="O604" t="n">
        <v>0</v>
      </c>
      <c r="P604" t="n">
        <v>0</v>
      </c>
      <c r="Q604" t="n">
        <v>0</v>
      </c>
      <c r="R604" s="2" t="inlineStr"/>
    </row>
    <row r="605" ht="15" customHeight="1">
      <c r="A605" t="inlineStr">
        <is>
          <t>A 1207-2023</t>
        </is>
      </c>
      <c r="B605" s="1" t="n">
        <v>44930</v>
      </c>
      <c r="C605" s="1" t="n">
        <v>45973</v>
      </c>
      <c r="D605" t="inlineStr">
        <is>
          <t>ÖSTERGÖTLANDS LÄN</t>
        </is>
      </c>
      <c r="E605" t="inlineStr">
        <is>
          <t>LINKÖPING</t>
        </is>
      </c>
      <c r="F605" t="inlineStr">
        <is>
          <t>Övriga statliga verk och myndigheter</t>
        </is>
      </c>
      <c r="G605" t="n">
        <v>32.8</v>
      </c>
      <c r="H605" t="n">
        <v>0</v>
      </c>
      <c r="I605" t="n">
        <v>0</v>
      </c>
      <c r="J605" t="n">
        <v>0</v>
      </c>
      <c r="K605" t="n">
        <v>0</v>
      </c>
      <c r="L605" t="n">
        <v>0</v>
      </c>
      <c r="M605" t="n">
        <v>0</v>
      </c>
      <c r="N605" t="n">
        <v>0</v>
      </c>
      <c r="O605" t="n">
        <v>0</v>
      </c>
      <c r="P605" t="n">
        <v>0</v>
      </c>
      <c r="Q605" t="n">
        <v>0</v>
      </c>
      <c r="R605" s="2" t="inlineStr"/>
    </row>
    <row r="606" ht="15" customHeight="1">
      <c r="A606" t="inlineStr">
        <is>
          <t>A 52796-2023</t>
        </is>
      </c>
      <c r="B606" s="1" t="n">
        <v>45219</v>
      </c>
      <c r="C606" s="1" t="n">
        <v>45973</v>
      </c>
      <c r="D606" t="inlineStr">
        <is>
          <t>ÖSTERGÖTLANDS LÄN</t>
        </is>
      </c>
      <c r="E606" t="inlineStr">
        <is>
          <t>LINKÖPING</t>
        </is>
      </c>
      <c r="F606" t="inlineStr">
        <is>
          <t>Övriga statliga verk och myndigheter</t>
        </is>
      </c>
      <c r="G606" t="n">
        <v>3.9</v>
      </c>
      <c r="H606" t="n">
        <v>0</v>
      </c>
      <c r="I606" t="n">
        <v>0</v>
      </c>
      <c r="J606" t="n">
        <v>0</v>
      </c>
      <c r="K606" t="n">
        <v>0</v>
      </c>
      <c r="L606" t="n">
        <v>0</v>
      </c>
      <c r="M606" t="n">
        <v>0</v>
      </c>
      <c r="N606" t="n">
        <v>0</v>
      </c>
      <c r="O606" t="n">
        <v>0</v>
      </c>
      <c r="P606" t="n">
        <v>0</v>
      </c>
      <c r="Q606" t="n">
        <v>0</v>
      </c>
      <c r="R606" s="2" t="inlineStr"/>
    </row>
    <row r="607" ht="15" customHeight="1">
      <c r="A607" t="inlineStr">
        <is>
          <t>A 62015-2024</t>
        </is>
      </c>
      <c r="B607" s="1" t="n">
        <v>45655.80457175926</v>
      </c>
      <c r="C607" s="1" t="n">
        <v>45973</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62020-2024</t>
        </is>
      </c>
      <c r="B608" s="1" t="n">
        <v>45655.83563657408</v>
      </c>
      <c r="C608" s="1" t="n">
        <v>45973</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62021-2024</t>
        </is>
      </c>
      <c r="B609" s="1" t="n">
        <v>45655.84232638889</v>
      </c>
      <c r="C609" s="1" t="n">
        <v>45973</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50743-2023</t>
        </is>
      </c>
      <c r="B610" s="1" t="n">
        <v>45217</v>
      </c>
      <c r="C610" s="1" t="n">
        <v>45973</v>
      </c>
      <c r="D610" t="inlineStr">
        <is>
          <t>ÖSTERGÖTLANDS LÄN</t>
        </is>
      </c>
      <c r="E610" t="inlineStr">
        <is>
          <t>LINKÖPING</t>
        </is>
      </c>
      <c r="G610" t="n">
        <v>2.7</v>
      </c>
      <c r="H610" t="n">
        <v>0</v>
      </c>
      <c r="I610" t="n">
        <v>0</v>
      </c>
      <c r="J610" t="n">
        <v>0</v>
      </c>
      <c r="K610" t="n">
        <v>0</v>
      </c>
      <c r="L610" t="n">
        <v>0</v>
      </c>
      <c r="M610" t="n">
        <v>0</v>
      </c>
      <c r="N610" t="n">
        <v>0</v>
      </c>
      <c r="O610" t="n">
        <v>0</v>
      </c>
      <c r="P610" t="n">
        <v>0</v>
      </c>
      <c r="Q610" t="n">
        <v>0</v>
      </c>
      <c r="R610" s="2" t="inlineStr"/>
    </row>
    <row r="611" ht="15" customHeight="1">
      <c r="A611" t="inlineStr">
        <is>
          <t>A 45771-2023</t>
        </is>
      </c>
      <c r="B611" s="1" t="n">
        <v>45195.4384375</v>
      </c>
      <c r="C611" s="1" t="n">
        <v>45973</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45792-2025</t>
        </is>
      </c>
      <c r="B612" s="1" t="n">
        <v>45923.56998842592</v>
      </c>
      <c r="C612" s="1" t="n">
        <v>45973</v>
      </c>
      <c r="D612" t="inlineStr">
        <is>
          <t>ÖSTERGÖTLANDS LÄN</t>
        </is>
      </c>
      <c r="E612" t="inlineStr">
        <is>
          <t>LINKÖPING</t>
        </is>
      </c>
      <c r="G612" t="n">
        <v>2.6</v>
      </c>
      <c r="H612" t="n">
        <v>0</v>
      </c>
      <c r="I612" t="n">
        <v>0</v>
      </c>
      <c r="J612" t="n">
        <v>0</v>
      </c>
      <c r="K612" t="n">
        <v>0</v>
      </c>
      <c r="L612" t="n">
        <v>0</v>
      </c>
      <c r="M612" t="n">
        <v>0</v>
      </c>
      <c r="N612" t="n">
        <v>0</v>
      </c>
      <c r="O612" t="n">
        <v>0</v>
      </c>
      <c r="P612" t="n">
        <v>0</v>
      </c>
      <c r="Q612" t="n">
        <v>0</v>
      </c>
      <c r="R612" s="2" t="inlineStr"/>
    </row>
    <row r="613" ht="15" customHeight="1">
      <c r="A613" t="inlineStr">
        <is>
          <t>A 27891-2021</t>
        </is>
      </c>
      <c r="B613" s="1" t="n">
        <v>44354.65108796296</v>
      </c>
      <c r="C613" s="1" t="n">
        <v>45973</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54329-2025</t>
        </is>
      </c>
      <c r="B614" s="1" t="n">
        <v>45965.34706018519</v>
      </c>
      <c r="C614" s="1" t="n">
        <v>45973</v>
      </c>
      <c r="D614" t="inlineStr">
        <is>
          <t>ÖSTERGÖTLANDS LÄN</t>
        </is>
      </c>
      <c r="E614" t="inlineStr">
        <is>
          <t>LINKÖPING</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63554-2023</t>
        </is>
      </c>
      <c r="B615" s="1" t="n">
        <v>45275</v>
      </c>
      <c r="C615" s="1" t="n">
        <v>45973</v>
      </c>
      <c r="D615" t="inlineStr">
        <is>
          <t>ÖSTERGÖTLANDS LÄN</t>
        </is>
      </c>
      <c r="E615" t="inlineStr">
        <is>
          <t>LINKÖPING</t>
        </is>
      </c>
      <c r="G615" t="n">
        <v>4.3</v>
      </c>
      <c r="H615" t="n">
        <v>0</v>
      </c>
      <c r="I615" t="n">
        <v>0</v>
      </c>
      <c r="J615" t="n">
        <v>0</v>
      </c>
      <c r="K615" t="n">
        <v>0</v>
      </c>
      <c r="L615" t="n">
        <v>0</v>
      </c>
      <c r="M615" t="n">
        <v>0</v>
      </c>
      <c r="N615" t="n">
        <v>0</v>
      </c>
      <c r="O615" t="n">
        <v>0</v>
      </c>
      <c r="P615" t="n">
        <v>0</v>
      </c>
      <c r="Q615" t="n">
        <v>0</v>
      </c>
      <c r="R615" s="2" t="inlineStr"/>
    </row>
    <row r="616" ht="15" customHeight="1">
      <c r="A616" t="inlineStr">
        <is>
          <t>A 57391-2023</t>
        </is>
      </c>
      <c r="B616" s="1" t="n">
        <v>45245</v>
      </c>
      <c r="C616" s="1" t="n">
        <v>45973</v>
      </c>
      <c r="D616" t="inlineStr">
        <is>
          <t>ÖSTERGÖTLANDS LÄN</t>
        </is>
      </c>
      <c r="E616" t="inlineStr">
        <is>
          <t>LINKÖPING</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45804-2025</t>
        </is>
      </c>
      <c r="B617" s="1" t="n">
        <v>45923.5819675926</v>
      </c>
      <c r="C617" s="1" t="n">
        <v>45973</v>
      </c>
      <c r="D617" t="inlineStr">
        <is>
          <t>ÖSTERGÖTLANDS LÄN</t>
        </is>
      </c>
      <c r="E617" t="inlineStr">
        <is>
          <t>LINKÖPING</t>
        </is>
      </c>
      <c r="G617" t="n">
        <v>3.3</v>
      </c>
      <c r="H617" t="n">
        <v>0</v>
      </c>
      <c r="I617" t="n">
        <v>0</v>
      </c>
      <c r="J617" t="n">
        <v>0</v>
      </c>
      <c r="K617" t="n">
        <v>0</v>
      </c>
      <c r="L617" t="n">
        <v>0</v>
      </c>
      <c r="M617" t="n">
        <v>0</v>
      </c>
      <c r="N617" t="n">
        <v>0</v>
      </c>
      <c r="O617" t="n">
        <v>0</v>
      </c>
      <c r="P617" t="n">
        <v>0</v>
      </c>
      <c r="Q617" t="n">
        <v>0</v>
      </c>
      <c r="R617" s="2" t="inlineStr"/>
    </row>
    <row r="618" ht="15" customHeight="1">
      <c r="A618" t="inlineStr">
        <is>
          <t>A 30111-2024</t>
        </is>
      </c>
      <c r="B618" s="1" t="n">
        <v>45489.46947916667</v>
      </c>
      <c r="C618" s="1" t="n">
        <v>45973</v>
      </c>
      <c r="D618" t="inlineStr">
        <is>
          <t>ÖSTERGÖTLANDS LÄN</t>
        </is>
      </c>
      <c r="E618" t="inlineStr">
        <is>
          <t>LINKÖPING</t>
        </is>
      </c>
      <c r="G618" t="n">
        <v>1.5</v>
      </c>
      <c r="H618" t="n">
        <v>0</v>
      </c>
      <c r="I618" t="n">
        <v>0</v>
      </c>
      <c r="J618" t="n">
        <v>0</v>
      </c>
      <c r="K618" t="n">
        <v>0</v>
      </c>
      <c r="L618" t="n">
        <v>0</v>
      </c>
      <c r="M618" t="n">
        <v>0</v>
      </c>
      <c r="N618" t="n">
        <v>0</v>
      </c>
      <c r="O618" t="n">
        <v>0</v>
      </c>
      <c r="P618" t="n">
        <v>0</v>
      </c>
      <c r="Q618" t="n">
        <v>0</v>
      </c>
      <c r="R618" s="2" t="inlineStr"/>
    </row>
    <row r="619" ht="15" customHeight="1">
      <c r="A619" t="inlineStr">
        <is>
          <t>A 30119-2024</t>
        </is>
      </c>
      <c r="B619" s="1" t="n">
        <v>45489</v>
      </c>
      <c r="C619" s="1" t="n">
        <v>45973</v>
      </c>
      <c r="D619" t="inlineStr">
        <is>
          <t>ÖSTERGÖTLANDS LÄN</t>
        </is>
      </c>
      <c r="E619" t="inlineStr">
        <is>
          <t>LINKÖPING</t>
        </is>
      </c>
      <c r="G619" t="n">
        <v>1.7</v>
      </c>
      <c r="H619" t="n">
        <v>0</v>
      </c>
      <c r="I619" t="n">
        <v>0</v>
      </c>
      <c r="J619" t="n">
        <v>0</v>
      </c>
      <c r="K619" t="n">
        <v>0</v>
      </c>
      <c r="L619" t="n">
        <v>0</v>
      </c>
      <c r="M619" t="n">
        <v>0</v>
      </c>
      <c r="N619" t="n">
        <v>0</v>
      </c>
      <c r="O619" t="n">
        <v>0</v>
      </c>
      <c r="P619" t="n">
        <v>0</v>
      </c>
      <c r="Q619" t="n">
        <v>0</v>
      </c>
      <c r="R619" s="2" t="inlineStr"/>
    </row>
    <row r="620" ht="15" customHeight="1">
      <c r="A620" t="inlineStr">
        <is>
          <t>A 20294-2025</t>
        </is>
      </c>
      <c r="B620" s="1" t="n">
        <v>45774.74667824074</v>
      </c>
      <c r="C620" s="1" t="n">
        <v>45973</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6206-2024</t>
        </is>
      </c>
      <c r="B621" s="1" t="n">
        <v>45337.5977662037</v>
      </c>
      <c r="C621" s="1" t="n">
        <v>45973</v>
      </c>
      <c r="D621" t="inlineStr">
        <is>
          <t>ÖSTERGÖTLANDS LÄN</t>
        </is>
      </c>
      <c r="E621" t="inlineStr">
        <is>
          <t>LINKÖPING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60013-2022</t>
        </is>
      </c>
      <c r="B622" s="1" t="n">
        <v>44909.47482638889</v>
      </c>
      <c r="C622" s="1" t="n">
        <v>45973</v>
      </c>
      <c r="D622" t="inlineStr">
        <is>
          <t>ÖSTERGÖTLANDS LÄN</t>
        </is>
      </c>
      <c r="E622" t="inlineStr">
        <is>
          <t>LINKÖPING</t>
        </is>
      </c>
      <c r="G622" t="n">
        <v>0.9</v>
      </c>
      <c r="H622" t="n">
        <v>0</v>
      </c>
      <c r="I622" t="n">
        <v>0</v>
      </c>
      <c r="J622" t="n">
        <v>0</v>
      </c>
      <c r="K622" t="n">
        <v>0</v>
      </c>
      <c r="L622" t="n">
        <v>0</v>
      </c>
      <c r="M622" t="n">
        <v>0</v>
      </c>
      <c r="N622" t="n">
        <v>0</v>
      </c>
      <c r="O622" t="n">
        <v>0</v>
      </c>
      <c r="P622" t="n">
        <v>0</v>
      </c>
      <c r="Q622" t="n">
        <v>0</v>
      </c>
      <c r="R622" s="2" t="inlineStr"/>
    </row>
    <row r="623" ht="15" customHeight="1">
      <c r="A623" t="inlineStr">
        <is>
          <t>A 3007-2025</t>
        </is>
      </c>
      <c r="B623" s="1" t="n">
        <v>45678.56328703704</v>
      </c>
      <c r="C623" s="1" t="n">
        <v>45973</v>
      </c>
      <c r="D623" t="inlineStr">
        <is>
          <t>ÖSTERGÖTLANDS LÄN</t>
        </is>
      </c>
      <c r="E623" t="inlineStr">
        <is>
          <t>LINKÖPING</t>
        </is>
      </c>
      <c r="G623" t="n">
        <v>3.1</v>
      </c>
      <c r="H623" t="n">
        <v>0</v>
      </c>
      <c r="I623" t="n">
        <v>0</v>
      </c>
      <c r="J623" t="n">
        <v>0</v>
      </c>
      <c r="K623" t="n">
        <v>0</v>
      </c>
      <c r="L623" t="n">
        <v>0</v>
      </c>
      <c r="M623" t="n">
        <v>0</v>
      </c>
      <c r="N623" t="n">
        <v>0</v>
      </c>
      <c r="O623" t="n">
        <v>0</v>
      </c>
      <c r="P623" t="n">
        <v>0</v>
      </c>
      <c r="Q623" t="n">
        <v>0</v>
      </c>
      <c r="R623" s="2" t="inlineStr"/>
    </row>
    <row r="624" ht="15" customHeight="1">
      <c r="A624" t="inlineStr">
        <is>
          <t>A 55132-2025</t>
        </is>
      </c>
      <c r="B624" s="1" t="n">
        <v>45968.41912037037</v>
      </c>
      <c r="C624" s="1" t="n">
        <v>45973</v>
      </c>
      <c r="D624" t="inlineStr">
        <is>
          <t>ÖSTERGÖTLANDS LÄN</t>
        </is>
      </c>
      <c r="E624" t="inlineStr">
        <is>
          <t>LINKÖPING</t>
        </is>
      </c>
      <c r="G624" t="n">
        <v>2.4</v>
      </c>
      <c r="H624" t="n">
        <v>0</v>
      </c>
      <c r="I624" t="n">
        <v>0</v>
      </c>
      <c r="J624" t="n">
        <v>0</v>
      </c>
      <c r="K624" t="n">
        <v>0</v>
      </c>
      <c r="L624" t="n">
        <v>0</v>
      </c>
      <c r="M624" t="n">
        <v>0</v>
      </c>
      <c r="N624" t="n">
        <v>0</v>
      </c>
      <c r="O624" t="n">
        <v>0</v>
      </c>
      <c r="P624" t="n">
        <v>0</v>
      </c>
      <c r="Q624" t="n">
        <v>0</v>
      </c>
      <c r="R624" s="2" t="inlineStr"/>
    </row>
    <row r="625" ht="15" customHeight="1">
      <c r="A625" t="inlineStr">
        <is>
          <t>A 34877-2023</t>
        </is>
      </c>
      <c r="B625" s="1" t="n">
        <v>45140</v>
      </c>
      <c r="C625" s="1" t="n">
        <v>45973</v>
      </c>
      <c r="D625" t="inlineStr">
        <is>
          <t>ÖSTERGÖTLANDS LÄN</t>
        </is>
      </c>
      <c r="E625" t="inlineStr">
        <is>
          <t>LINKÖPING</t>
        </is>
      </c>
      <c r="G625" t="n">
        <v>1.9</v>
      </c>
      <c r="H625" t="n">
        <v>0</v>
      </c>
      <c r="I625" t="n">
        <v>0</v>
      </c>
      <c r="J625" t="n">
        <v>0</v>
      </c>
      <c r="K625" t="n">
        <v>0</v>
      </c>
      <c r="L625" t="n">
        <v>0</v>
      </c>
      <c r="M625" t="n">
        <v>0</v>
      </c>
      <c r="N625" t="n">
        <v>0</v>
      </c>
      <c r="O625" t="n">
        <v>0</v>
      </c>
      <c r="P625" t="n">
        <v>0</v>
      </c>
      <c r="Q625" t="n">
        <v>0</v>
      </c>
      <c r="R625" s="2" t="inlineStr"/>
    </row>
    <row r="626" ht="15" customHeight="1">
      <c r="A626" t="inlineStr">
        <is>
          <t>A 15714-2024</t>
        </is>
      </c>
      <c r="B626" s="1" t="n">
        <v>45404.48288194444</v>
      </c>
      <c r="C626" s="1" t="n">
        <v>45973</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1924-2024</t>
        </is>
      </c>
      <c r="B627" s="1" t="n">
        <v>45308</v>
      </c>
      <c r="C627" s="1" t="n">
        <v>45973</v>
      </c>
      <c r="D627" t="inlineStr">
        <is>
          <t>ÖSTERGÖTLANDS LÄN</t>
        </is>
      </c>
      <c r="E627" t="inlineStr">
        <is>
          <t>LINKÖPING</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30481-2023</t>
        </is>
      </c>
      <c r="B628" s="1" t="n">
        <v>45111</v>
      </c>
      <c r="C628" s="1" t="n">
        <v>45973</v>
      </c>
      <c r="D628" t="inlineStr">
        <is>
          <t>ÖSTERGÖTLANDS LÄN</t>
        </is>
      </c>
      <c r="E628" t="inlineStr">
        <is>
          <t>LINKÖPING</t>
        </is>
      </c>
      <c r="F628" t="inlineStr">
        <is>
          <t>Övriga Aktiebolag</t>
        </is>
      </c>
      <c r="G628" t="n">
        <v>2</v>
      </c>
      <c r="H628" t="n">
        <v>0</v>
      </c>
      <c r="I628" t="n">
        <v>0</v>
      </c>
      <c r="J628" t="n">
        <v>0</v>
      </c>
      <c r="K628" t="n">
        <v>0</v>
      </c>
      <c r="L628" t="n">
        <v>0</v>
      </c>
      <c r="M628" t="n">
        <v>0</v>
      </c>
      <c r="N628" t="n">
        <v>0</v>
      </c>
      <c r="O628" t="n">
        <v>0</v>
      </c>
      <c r="P628" t="n">
        <v>0</v>
      </c>
      <c r="Q628" t="n">
        <v>0</v>
      </c>
      <c r="R628" s="2" t="inlineStr"/>
    </row>
    <row r="629" ht="15" customHeight="1">
      <c r="A629" t="inlineStr">
        <is>
          <t>A 74160-2021</t>
        </is>
      </c>
      <c r="B629" s="1" t="n">
        <v>44558</v>
      </c>
      <c r="C629" s="1" t="n">
        <v>45973</v>
      </c>
      <c r="D629" t="inlineStr">
        <is>
          <t>ÖSTERGÖTLANDS LÄN</t>
        </is>
      </c>
      <c r="E629" t="inlineStr">
        <is>
          <t>LINKÖPING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46428-2025</t>
        </is>
      </c>
      <c r="B630" s="1" t="n">
        <v>45925.60758101852</v>
      </c>
      <c r="C630" s="1" t="n">
        <v>45973</v>
      </c>
      <c r="D630" t="inlineStr">
        <is>
          <t>ÖSTERGÖTLANDS LÄN</t>
        </is>
      </c>
      <c r="E630" t="inlineStr">
        <is>
          <t>LINKÖPING</t>
        </is>
      </c>
      <c r="G630" t="n">
        <v>3</v>
      </c>
      <c r="H630" t="n">
        <v>0</v>
      </c>
      <c r="I630" t="n">
        <v>0</v>
      </c>
      <c r="J630" t="n">
        <v>0</v>
      </c>
      <c r="K630" t="n">
        <v>0</v>
      </c>
      <c r="L630" t="n">
        <v>0</v>
      </c>
      <c r="M630" t="n">
        <v>0</v>
      </c>
      <c r="N630" t="n">
        <v>0</v>
      </c>
      <c r="O630" t="n">
        <v>0</v>
      </c>
      <c r="P630" t="n">
        <v>0</v>
      </c>
      <c r="Q630" t="n">
        <v>0</v>
      </c>
      <c r="R630" s="2" t="inlineStr"/>
    </row>
    <row r="631" ht="15" customHeight="1">
      <c r="A631" t="inlineStr">
        <is>
          <t>A 63559-2023</t>
        </is>
      </c>
      <c r="B631" s="1" t="n">
        <v>45275.35924768518</v>
      </c>
      <c r="C631" s="1" t="n">
        <v>45973</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46426-2025</t>
        </is>
      </c>
      <c r="B632" s="1" t="n">
        <v>45925.6012962963</v>
      </c>
      <c r="C632" s="1" t="n">
        <v>45973</v>
      </c>
      <c r="D632" t="inlineStr">
        <is>
          <t>ÖSTERGÖTLANDS LÄN</t>
        </is>
      </c>
      <c r="E632" t="inlineStr">
        <is>
          <t>LINKÖPING</t>
        </is>
      </c>
      <c r="G632" t="n">
        <v>4.4</v>
      </c>
      <c r="H632" t="n">
        <v>0</v>
      </c>
      <c r="I632" t="n">
        <v>0</v>
      </c>
      <c r="J632" t="n">
        <v>0</v>
      </c>
      <c r="K632" t="n">
        <v>0</v>
      </c>
      <c r="L632" t="n">
        <v>0</v>
      </c>
      <c r="M632" t="n">
        <v>0</v>
      </c>
      <c r="N632" t="n">
        <v>0</v>
      </c>
      <c r="O632" t="n">
        <v>0</v>
      </c>
      <c r="P632" t="n">
        <v>0</v>
      </c>
      <c r="Q632" t="n">
        <v>0</v>
      </c>
      <c r="R632" s="2" t="inlineStr"/>
    </row>
    <row r="633" ht="15" customHeight="1">
      <c r="A633" t="inlineStr">
        <is>
          <t>A 34558-2022</t>
        </is>
      </c>
      <c r="B633" s="1" t="n">
        <v>44794.57594907407</v>
      </c>
      <c r="C633" s="1" t="n">
        <v>45973</v>
      </c>
      <c r="D633" t="inlineStr">
        <is>
          <t>ÖSTERGÖTLANDS LÄN</t>
        </is>
      </c>
      <c r="E633" t="inlineStr">
        <is>
          <t>LINKÖPING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168-2024</t>
        </is>
      </c>
      <c r="B634" s="1" t="n">
        <v>45294</v>
      </c>
      <c r="C634" s="1" t="n">
        <v>45973</v>
      </c>
      <c r="D634" t="inlineStr">
        <is>
          <t>ÖSTERGÖTLANDS LÄN</t>
        </is>
      </c>
      <c r="E634" t="inlineStr">
        <is>
          <t>LINKÖPING</t>
        </is>
      </c>
      <c r="F634" t="inlineStr">
        <is>
          <t>Allmännings- och besparingsskogar</t>
        </is>
      </c>
      <c r="G634" t="n">
        <v>8.9</v>
      </c>
      <c r="H634" t="n">
        <v>0</v>
      </c>
      <c r="I634" t="n">
        <v>0</v>
      </c>
      <c r="J634" t="n">
        <v>0</v>
      </c>
      <c r="K634" t="n">
        <v>0</v>
      </c>
      <c r="L634" t="n">
        <v>0</v>
      </c>
      <c r="M634" t="n">
        <v>0</v>
      </c>
      <c r="N634" t="n">
        <v>0</v>
      </c>
      <c r="O634" t="n">
        <v>0</v>
      </c>
      <c r="P634" t="n">
        <v>0</v>
      </c>
      <c r="Q634" t="n">
        <v>0</v>
      </c>
      <c r="R634" s="2" t="inlineStr"/>
    </row>
    <row r="635" ht="15" customHeight="1">
      <c r="A635" t="inlineStr">
        <is>
          <t>A 23491-2024</t>
        </is>
      </c>
      <c r="B635" s="1" t="n">
        <v>45453</v>
      </c>
      <c r="C635" s="1" t="n">
        <v>45973</v>
      </c>
      <c r="D635" t="inlineStr">
        <is>
          <t>ÖSTERGÖTLANDS LÄN</t>
        </is>
      </c>
      <c r="E635" t="inlineStr">
        <is>
          <t>LINKÖPING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15658-2023</t>
        </is>
      </c>
      <c r="B636" s="1" t="n">
        <v>45021.41194444444</v>
      </c>
      <c r="C636" s="1" t="n">
        <v>45973</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55102-2025</t>
        </is>
      </c>
      <c r="B637" s="1" t="n">
        <v>45968.35410879629</v>
      </c>
      <c r="C637" s="1" t="n">
        <v>45973</v>
      </c>
      <c r="D637" t="inlineStr">
        <is>
          <t>ÖSTERGÖTLANDS LÄN</t>
        </is>
      </c>
      <c r="E637" t="inlineStr">
        <is>
          <t>LINKÖPING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55109-2025</t>
        </is>
      </c>
      <c r="B638" s="1" t="n">
        <v>45968.37731481482</v>
      </c>
      <c r="C638" s="1" t="n">
        <v>45973</v>
      </c>
      <c r="D638" t="inlineStr">
        <is>
          <t>ÖSTERGÖTLANDS LÄN</t>
        </is>
      </c>
      <c r="E638" t="inlineStr">
        <is>
          <t>LINKÖPING</t>
        </is>
      </c>
      <c r="G638" t="n">
        <v>3.2</v>
      </c>
      <c r="H638" t="n">
        <v>0</v>
      </c>
      <c r="I638" t="n">
        <v>0</v>
      </c>
      <c r="J638" t="n">
        <v>0</v>
      </c>
      <c r="K638" t="n">
        <v>0</v>
      </c>
      <c r="L638" t="n">
        <v>0</v>
      </c>
      <c r="M638" t="n">
        <v>0</v>
      </c>
      <c r="N638" t="n">
        <v>0</v>
      </c>
      <c r="O638" t="n">
        <v>0</v>
      </c>
      <c r="P638" t="n">
        <v>0</v>
      </c>
      <c r="Q638" t="n">
        <v>0</v>
      </c>
      <c r="R638" s="2" t="inlineStr"/>
    </row>
    <row r="639" ht="15" customHeight="1">
      <c r="A639" t="inlineStr">
        <is>
          <t>A 28200-2025</t>
        </is>
      </c>
      <c r="B639" s="1" t="n">
        <v>45818.4428125</v>
      </c>
      <c r="C639" s="1" t="n">
        <v>45973</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46377-2025</t>
        </is>
      </c>
      <c r="B640" s="1" t="n">
        <v>45925.51773148148</v>
      </c>
      <c r="C640" s="1" t="n">
        <v>45973</v>
      </c>
      <c r="D640" t="inlineStr">
        <is>
          <t>ÖSTERGÖTLANDS LÄN</t>
        </is>
      </c>
      <c r="E640" t="inlineStr">
        <is>
          <t>LINKÖPING</t>
        </is>
      </c>
      <c r="G640" t="n">
        <v>3.1</v>
      </c>
      <c r="H640" t="n">
        <v>0</v>
      </c>
      <c r="I640" t="n">
        <v>0</v>
      </c>
      <c r="J640" t="n">
        <v>0</v>
      </c>
      <c r="K640" t="n">
        <v>0</v>
      </c>
      <c r="L640" t="n">
        <v>0</v>
      </c>
      <c r="M640" t="n">
        <v>0</v>
      </c>
      <c r="N640" t="n">
        <v>0</v>
      </c>
      <c r="O640" t="n">
        <v>0</v>
      </c>
      <c r="P640" t="n">
        <v>0</v>
      </c>
      <c r="Q640" t="n">
        <v>0</v>
      </c>
      <c r="R640" s="2" t="inlineStr"/>
    </row>
    <row r="641" ht="15" customHeight="1">
      <c r="A641" t="inlineStr">
        <is>
          <t>A 30433-2024</t>
        </is>
      </c>
      <c r="B641" s="1" t="n">
        <v>45491.69741898148</v>
      </c>
      <c r="C641" s="1" t="n">
        <v>45973</v>
      </c>
      <c r="D641" t="inlineStr">
        <is>
          <t>ÖSTERGÖTLANDS LÄN</t>
        </is>
      </c>
      <c r="E641" t="inlineStr">
        <is>
          <t>LINKÖPING</t>
        </is>
      </c>
      <c r="G641" t="n">
        <v>1.7</v>
      </c>
      <c r="H641" t="n">
        <v>0</v>
      </c>
      <c r="I641" t="n">
        <v>0</v>
      </c>
      <c r="J641" t="n">
        <v>0</v>
      </c>
      <c r="K641" t="n">
        <v>0</v>
      </c>
      <c r="L641" t="n">
        <v>0</v>
      </c>
      <c r="M641" t="n">
        <v>0</v>
      </c>
      <c r="N641" t="n">
        <v>0</v>
      </c>
      <c r="O641" t="n">
        <v>0</v>
      </c>
      <c r="P641" t="n">
        <v>0</v>
      </c>
      <c r="Q641" t="n">
        <v>0</v>
      </c>
      <c r="R641" s="2" t="inlineStr"/>
    </row>
    <row r="642" ht="15" customHeight="1">
      <c r="A642" t="inlineStr">
        <is>
          <t>A 55165-2025</t>
        </is>
      </c>
      <c r="B642" s="1" t="n">
        <v>45968.48194444444</v>
      </c>
      <c r="C642" s="1" t="n">
        <v>45973</v>
      </c>
      <c r="D642" t="inlineStr">
        <is>
          <t>ÖSTERGÖTLANDS LÄN</t>
        </is>
      </c>
      <c r="E642" t="inlineStr">
        <is>
          <t>LINKÖPING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52220-2023</t>
        </is>
      </c>
      <c r="B643" s="1" t="n">
        <v>45217</v>
      </c>
      <c r="C643" s="1" t="n">
        <v>45973</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52225-2023</t>
        </is>
      </c>
      <c r="B644" s="1" t="n">
        <v>45217</v>
      </c>
      <c r="C644" s="1" t="n">
        <v>45973</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19464-2024</t>
        </is>
      </c>
      <c r="B645" s="1" t="n">
        <v>45429</v>
      </c>
      <c r="C645" s="1" t="n">
        <v>45973</v>
      </c>
      <c r="D645" t="inlineStr">
        <is>
          <t>ÖSTERGÖTLANDS LÄN</t>
        </is>
      </c>
      <c r="E645" t="inlineStr">
        <is>
          <t>LINKÖPING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42044-2023</t>
        </is>
      </c>
      <c r="B646" s="1" t="n">
        <v>45177</v>
      </c>
      <c r="C646" s="1" t="n">
        <v>45973</v>
      </c>
      <c r="D646" t="inlineStr">
        <is>
          <t>ÖSTERGÖTLANDS LÄN</t>
        </is>
      </c>
      <c r="E646" t="inlineStr">
        <is>
          <t>LINKÖPING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27950-2025</t>
        </is>
      </c>
      <c r="B647" s="1" t="n">
        <v>45817.52960648148</v>
      </c>
      <c r="C647" s="1" t="n">
        <v>45973</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630-2024</t>
        </is>
      </c>
      <c r="B648" s="1" t="n">
        <v>45299.67736111111</v>
      </c>
      <c r="C648" s="1" t="n">
        <v>45973</v>
      </c>
      <c r="D648" t="inlineStr">
        <is>
          <t>ÖSTERGÖTLANDS LÄN</t>
        </is>
      </c>
      <c r="E648" t="inlineStr">
        <is>
          <t>LINKÖPING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47304-2025</t>
        </is>
      </c>
      <c r="B649" s="1" t="n">
        <v>45930.52037037037</v>
      </c>
      <c r="C649" s="1" t="n">
        <v>45973</v>
      </c>
      <c r="D649" t="inlineStr">
        <is>
          <t>ÖSTERGÖTLANDS LÄN</t>
        </is>
      </c>
      <c r="E649" t="inlineStr">
        <is>
          <t>LINKÖPING</t>
        </is>
      </c>
      <c r="G649" t="n">
        <v>2.7</v>
      </c>
      <c r="H649" t="n">
        <v>0</v>
      </c>
      <c r="I649" t="n">
        <v>0</v>
      </c>
      <c r="J649" t="n">
        <v>0</v>
      </c>
      <c r="K649" t="n">
        <v>0</v>
      </c>
      <c r="L649" t="n">
        <v>0</v>
      </c>
      <c r="M649" t="n">
        <v>0</v>
      </c>
      <c r="N649" t="n">
        <v>0</v>
      </c>
      <c r="O649" t="n">
        <v>0</v>
      </c>
      <c r="P649" t="n">
        <v>0</v>
      </c>
      <c r="Q649" t="n">
        <v>0</v>
      </c>
      <c r="R649" s="2" t="inlineStr"/>
    </row>
    <row r="650" ht="15" customHeight="1">
      <c r="A650" t="inlineStr">
        <is>
          <t>A 47233-2025</t>
        </is>
      </c>
      <c r="B650" s="1" t="n">
        <v>45930.40612268518</v>
      </c>
      <c r="C650" s="1" t="n">
        <v>45973</v>
      </c>
      <c r="D650" t="inlineStr">
        <is>
          <t>ÖSTERGÖTLANDS LÄN</t>
        </is>
      </c>
      <c r="E650" t="inlineStr">
        <is>
          <t>LINKÖPING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27797-2025</t>
        </is>
      </c>
      <c r="B651" s="1" t="n">
        <v>45816.80521990741</v>
      </c>
      <c r="C651" s="1" t="n">
        <v>45973</v>
      </c>
      <c r="D651" t="inlineStr">
        <is>
          <t>ÖSTERGÖTLANDS LÄN</t>
        </is>
      </c>
      <c r="E651" t="inlineStr">
        <is>
          <t>LINKÖPING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27798-2025</t>
        </is>
      </c>
      <c r="B652" s="1" t="n">
        <v>45816.81532407407</v>
      </c>
      <c r="C652" s="1" t="n">
        <v>45973</v>
      </c>
      <c r="D652" t="inlineStr">
        <is>
          <t>ÖSTERGÖTLANDS LÄN</t>
        </is>
      </c>
      <c r="E652" t="inlineStr">
        <is>
          <t>LINKÖPING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21782-2024</t>
        </is>
      </c>
      <c r="B653" s="1" t="n">
        <v>45442.63368055555</v>
      </c>
      <c r="C653" s="1" t="n">
        <v>45973</v>
      </c>
      <c r="D653" t="inlineStr">
        <is>
          <t>ÖSTERGÖTLANDS LÄN</t>
        </is>
      </c>
      <c r="E653" t="inlineStr">
        <is>
          <t>LINKÖPING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55683-2025</t>
        </is>
      </c>
      <c r="B654" s="1" t="n">
        <v>45972.4255324074</v>
      </c>
      <c r="C654" s="1" t="n">
        <v>45973</v>
      </c>
      <c r="D654" t="inlineStr">
        <is>
          <t>ÖSTERGÖTLANDS LÄN</t>
        </is>
      </c>
      <c r="E654" t="inlineStr">
        <is>
          <t>LINKÖPING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28209-2025</t>
        </is>
      </c>
      <c r="B655" s="1" t="n">
        <v>45818.45112268518</v>
      </c>
      <c r="C655" s="1" t="n">
        <v>45973</v>
      </c>
      <c r="D655" t="inlineStr">
        <is>
          <t>ÖSTERGÖTLANDS LÄN</t>
        </is>
      </c>
      <c r="E655" t="inlineStr">
        <is>
          <t>LINKÖPING</t>
        </is>
      </c>
      <c r="G655" t="n">
        <v>4.2</v>
      </c>
      <c r="H655" t="n">
        <v>0</v>
      </c>
      <c r="I655" t="n">
        <v>0</v>
      </c>
      <c r="J655" t="n">
        <v>0</v>
      </c>
      <c r="K655" t="n">
        <v>0</v>
      </c>
      <c r="L655" t="n">
        <v>0</v>
      </c>
      <c r="M655" t="n">
        <v>0</v>
      </c>
      <c r="N655" t="n">
        <v>0</v>
      </c>
      <c r="O655" t="n">
        <v>0</v>
      </c>
      <c r="P655" t="n">
        <v>0</v>
      </c>
      <c r="Q655" t="n">
        <v>0</v>
      </c>
      <c r="R655" s="2" t="inlineStr"/>
    </row>
    <row r="656" ht="15" customHeight="1">
      <c r="A656" t="inlineStr">
        <is>
          <t>A 28204-2025</t>
        </is>
      </c>
      <c r="B656" s="1" t="n">
        <v>45818.4477662037</v>
      </c>
      <c r="C656" s="1" t="n">
        <v>45973</v>
      </c>
      <c r="D656" t="inlineStr">
        <is>
          <t>ÖSTERGÖTLANDS LÄN</t>
        </is>
      </c>
      <c r="E656" t="inlineStr">
        <is>
          <t>LINKÖPING</t>
        </is>
      </c>
      <c r="G656" t="n">
        <v>2.9</v>
      </c>
      <c r="H656" t="n">
        <v>0</v>
      </c>
      <c r="I656" t="n">
        <v>0</v>
      </c>
      <c r="J656" t="n">
        <v>0</v>
      </c>
      <c r="K656" t="n">
        <v>0</v>
      </c>
      <c r="L656" t="n">
        <v>0</v>
      </c>
      <c r="M656" t="n">
        <v>0</v>
      </c>
      <c r="N656" t="n">
        <v>0</v>
      </c>
      <c r="O656" t="n">
        <v>0</v>
      </c>
      <c r="P656" t="n">
        <v>0</v>
      </c>
      <c r="Q656" t="n">
        <v>0</v>
      </c>
      <c r="R656" s="2" t="inlineStr"/>
    </row>
    <row r="657" ht="15" customHeight="1">
      <c r="A657" t="inlineStr">
        <is>
          <t>A 46847-2025</t>
        </is>
      </c>
      <c r="B657" s="1" t="n">
        <v>45928.69971064815</v>
      </c>
      <c r="C657" s="1" t="n">
        <v>45973</v>
      </c>
      <c r="D657" t="inlineStr">
        <is>
          <t>ÖSTERGÖTLANDS LÄN</t>
        </is>
      </c>
      <c r="E657" t="inlineStr">
        <is>
          <t>LINKÖPING</t>
        </is>
      </c>
      <c r="G657" t="n">
        <v>4.6</v>
      </c>
      <c r="H657" t="n">
        <v>0</v>
      </c>
      <c r="I657" t="n">
        <v>0</v>
      </c>
      <c r="J657" t="n">
        <v>0</v>
      </c>
      <c r="K657" t="n">
        <v>0</v>
      </c>
      <c r="L657" t="n">
        <v>0</v>
      </c>
      <c r="M657" t="n">
        <v>0</v>
      </c>
      <c r="N657" t="n">
        <v>0</v>
      </c>
      <c r="O657" t="n">
        <v>0</v>
      </c>
      <c r="P657" t="n">
        <v>0</v>
      </c>
      <c r="Q657" t="n">
        <v>0</v>
      </c>
      <c r="R657" s="2" t="inlineStr"/>
    </row>
    <row r="658" ht="15" customHeight="1">
      <c r="A658" t="inlineStr">
        <is>
          <t>A 57766-2023</t>
        </is>
      </c>
      <c r="B658" s="1" t="n">
        <v>45246</v>
      </c>
      <c r="C658" s="1" t="n">
        <v>45973</v>
      </c>
      <c r="D658" t="inlineStr">
        <is>
          <t>ÖSTERGÖTLANDS LÄN</t>
        </is>
      </c>
      <c r="E658" t="inlineStr">
        <is>
          <t>LINKÖPING</t>
        </is>
      </c>
      <c r="F658" t="inlineStr">
        <is>
          <t>Allmännings- och besparingsskogar</t>
        </is>
      </c>
      <c r="G658" t="n">
        <v>12.8</v>
      </c>
      <c r="H658" t="n">
        <v>0</v>
      </c>
      <c r="I658" t="n">
        <v>0</v>
      </c>
      <c r="J658" t="n">
        <v>0</v>
      </c>
      <c r="K658" t="n">
        <v>0</v>
      </c>
      <c r="L658" t="n">
        <v>0</v>
      </c>
      <c r="M658" t="n">
        <v>0</v>
      </c>
      <c r="N658" t="n">
        <v>0</v>
      </c>
      <c r="O658" t="n">
        <v>0</v>
      </c>
      <c r="P658" t="n">
        <v>0</v>
      </c>
      <c r="Q658" t="n">
        <v>0</v>
      </c>
      <c r="R658" s="2" t="inlineStr"/>
    </row>
    <row r="659" ht="15" customHeight="1">
      <c r="A659" t="inlineStr">
        <is>
          <t>A 28398-2025</t>
        </is>
      </c>
      <c r="B659" s="1" t="n">
        <v>45819.34208333334</v>
      </c>
      <c r="C659" s="1" t="n">
        <v>45973</v>
      </c>
      <c r="D659" t="inlineStr">
        <is>
          <t>ÖSTERGÖTLANDS LÄN</t>
        </is>
      </c>
      <c r="E659" t="inlineStr">
        <is>
          <t>LINKÖPING</t>
        </is>
      </c>
      <c r="F659" t="inlineStr">
        <is>
          <t>Sveaskog</t>
        </is>
      </c>
      <c r="G659" t="n">
        <v>7.9</v>
      </c>
      <c r="H659" t="n">
        <v>0</v>
      </c>
      <c r="I659" t="n">
        <v>0</v>
      </c>
      <c r="J659" t="n">
        <v>0</v>
      </c>
      <c r="K659" t="n">
        <v>0</v>
      </c>
      <c r="L659" t="n">
        <v>0</v>
      </c>
      <c r="M659" t="n">
        <v>0</v>
      </c>
      <c r="N659" t="n">
        <v>0</v>
      </c>
      <c r="O659" t="n">
        <v>0</v>
      </c>
      <c r="P659" t="n">
        <v>0</v>
      </c>
      <c r="Q659" t="n">
        <v>0</v>
      </c>
      <c r="R659" s="2" t="inlineStr"/>
    </row>
    <row r="660" ht="15" customHeight="1">
      <c r="A660" t="inlineStr">
        <is>
          <t>A 27186-2021</t>
        </is>
      </c>
      <c r="B660" s="1" t="n">
        <v>44350.67715277777</v>
      </c>
      <c r="C660" s="1" t="n">
        <v>45973</v>
      </c>
      <c r="D660" t="inlineStr">
        <is>
          <t>ÖSTERGÖTLANDS LÄN</t>
        </is>
      </c>
      <c r="E660" t="inlineStr">
        <is>
          <t>LINKÖPING</t>
        </is>
      </c>
      <c r="F660" t="inlineStr">
        <is>
          <t>Allmännings- och besparingsskogar</t>
        </is>
      </c>
      <c r="G660" t="n">
        <v>1.4</v>
      </c>
      <c r="H660" t="n">
        <v>0</v>
      </c>
      <c r="I660" t="n">
        <v>0</v>
      </c>
      <c r="J660" t="n">
        <v>0</v>
      </c>
      <c r="K660" t="n">
        <v>0</v>
      </c>
      <c r="L660" t="n">
        <v>0</v>
      </c>
      <c r="M660" t="n">
        <v>0</v>
      </c>
      <c r="N660" t="n">
        <v>0</v>
      </c>
      <c r="O660" t="n">
        <v>0</v>
      </c>
      <c r="P660" t="n">
        <v>0</v>
      </c>
      <c r="Q660" t="n">
        <v>0</v>
      </c>
      <c r="R660" s="2" t="inlineStr"/>
    </row>
    <row r="661" ht="15" customHeight="1">
      <c r="A661" t="inlineStr">
        <is>
          <t>A 28416-2025</t>
        </is>
      </c>
      <c r="B661" s="1" t="n">
        <v>45819.35346064815</v>
      </c>
      <c r="C661" s="1" t="n">
        <v>45973</v>
      </c>
      <c r="D661" t="inlineStr">
        <is>
          <t>ÖSTERGÖTLANDS LÄN</t>
        </is>
      </c>
      <c r="E661" t="inlineStr">
        <is>
          <t>LINKÖPING</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10194-2023</t>
        </is>
      </c>
      <c r="B662" s="1" t="n">
        <v>44986.52277777778</v>
      </c>
      <c r="C662" s="1" t="n">
        <v>45973</v>
      </c>
      <c r="D662" t="inlineStr">
        <is>
          <t>ÖSTERGÖTLANDS LÄN</t>
        </is>
      </c>
      <c r="E662" t="inlineStr">
        <is>
          <t>LINKÖPING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55944-2024</t>
        </is>
      </c>
      <c r="B663" s="1" t="n">
        <v>45623.61640046296</v>
      </c>
      <c r="C663" s="1" t="n">
        <v>45973</v>
      </c>
      <c r="D663" t="inlineStr">
        <is>
          <t>ÖSTERGÖTLANDS LÄN</t>
        </is>
      </c>
      <c r="E663" t="inlineStr">
        <is>
          <t>LINKÖPING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55947-2024</t>
        </is>
      </c>
      <c r="B664" s="1" t="n">
        <v>45623</v>
      </c>
      <c r="C664" s="1" t="n">
        <v>45973</v>
      </c>
      <c r="D664" t="inlineStr">
        <is>
          <t>ÖSTERGÖTLANDS LÄN</t>
        </is>
      </c>
      <c r="E664" t="inlineStr">
        <is>
          <t>LINKÖPING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47703-2023</t>
        </is>
      </c>
      <c r="B665" s="1" t="n">
        <v>45203</v>
      </c>
      <c r="C665" s="1" t="n">
        <v>45973</v>
      </c>
      <c r="D665" t="inlineStr">
        <is>
          <t>ÖSTERGÖTLANDS LÄN</t>
        </is>
      </c>
      <c r="E665" t="inlineStr">
        <is>
          <t>LINKÖPING</t>
        </is>
      </c>
      <c r="G665" t="n">
        <v>4.1</v>
      </c>
      <c r="H665" t="n">
        <v>0</v>
      </c>
      <c r="I665" t="n">
        <v>0</v>
      </c>
      <c r="J665" t="n">
        <v>0</v>
      </c>
      <c r="K665" t="n">
        <v>0</v>
      </c>
      <c r="L665" t="n">
        <v>0</v>
      </c>
      <c r="M665" t="n">
        <v>0</v>
      </c>
      <c r="N665" t="n">
        <v>0</v>
      </c>
      <c r="O665" t="n">
        <v>0</v>
      </c>
      <c r="P665" t="n">
        <v>0</v>
      </c>
      <c r="Q665" t="n">
        <v>0</v>
      </c>
      <c r="R665" s="2" t="inlineStr"/>
    </row>
    <row r="666" ht="15" customHeight="1">
      <c r="A666" t="inlineStr">
        <is>
          <t>A 51559-2024</t>
        </is>
      </c>
      <c r="B666" s="1" t="n">
        <v>45604.61431712963</v>
      </c>
      <c r="C666" s="1" t="n">
        <v>45973</v>
      </c>
      <c r="D666" t="inlineStr">
        <is>
          <t>ÖSTERGÖTLANDS LÄN</t>
        </is>
      </c>
      <c r="E666" t="inlineStr">
        <is>
          <t>LINKÖPING</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29027-2025</t>
        </is>
      </c>
      <c r="B667" s="1" t="n">
        <v>45821.4375462963</v>
      </c>
      <c r="C667" s="1" t="n">
        <v>45973</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29393-2025</t>
        </is>
      </c>
      <c r="B668" s="1" t="n">
        <v>45824.6057175926</v>
      </c>
      <c r="C668" s="1" t="n">
        <v>45973</v>
      </c>
      <c r="D668" t="inlineStr">
        <is>
          <t>ÖSTERGÖTLANDS LÄN</t>
        </is>
      </c>
      <c r="E668" t="inlineStr">
        <is>
          <t>LINKÖPING</t>
        </is>
      </c>
      <c r="F668" t="inlineStr">
        <is>
          <t>Sveaskog</t>
        </is>
      </c>
      <c r="G668" t="n">
        <v>24.6</v>
      </c>
      <c r="H668" t="n">
        <v>0</v>
      </c>
      <c r="I668" t="n">
        <v>0</v>
      </c>
      <c r="J668" t="n">
        <v>0</v>
      </c>
      <c r="K668" t="n">
        <v>0</v>
      </c>
      <c r="L668" t="n">
        <v>0</v>
      </c>
      <c r="M668" t="n">
        <v>0</v>
      </c>
      <c r="N668" t="n">
        <v>0</v>
      </c>
      <c r="O668" t="n">
        <v>0</v>
      </c>
      <c r="P668" t="n">
        <v>0</v>
      </c>
      <c r="Q668" t="n">
        <v>0</v>
      </c>
      <c r="R668" s="2" t="inlineStr"/>
    </row>
    <row r="669" ht="15" customHeight="1">
      <c r="A669" t="inlineStr">
        <is>
          <t>A 62353-2022</t>
        </is>
      </c>
      <c r="B669" s="1" t="n">
        <v>44923</v>
      </c>
      <c r="C669" s="1" t="n">
        <v>45973</v>
      </c>
      <c r="D669" t="inlineStr">
        <is>
          <t>ÖSTERGÖTLANDS LÄN</t>
        </is>
      </c>
      <c r="E669" t="inlineStr">
        <is>
          <t>LINKÖPING</t>
        </is>
      </c>
      <c r="F669" t="inlineStr">
        <is>
          <t>Allmännings- och besparingsskogar</t>
        </is>
      </c>
      <c r="G669" t="n">
        <v>1.7</v>
      </c>
      <c r="H669" t="n">
        <v>0</v>
      </c>
      <c r="I669" t="n">
        <v>0</v>
      </c>
      <c r="J669" t="n">
        <v>0</v>
      </c>
      <c r="K669" t="n">
        <v>0</v>
      </c>
      <c r="L669" t="n">
        <v>0</v>
      </c>
      <c r="M669" t="n">
        <v>0</v>
      </c>
      <c r="N669" t="n">
        <v>0</v>
      </c>
      <c r="O669" t="n">
        <v>0</v>
      </c>
      <c r="P669" t="n">
        <v>0</v>
      </c>
      <c r="Q669" t="n">
        <v>0</v>
      </c>
      <c r="R669" s="2" t="inlineStr"/>
    </row>
    <row r="670" ht="15" customHeight="1">
      <c r="A670" t="inlineStr">
        <is>
          <t>A 15754-2025</t>
        </is>
      </c>
      <c r="B670" s="1" t="n">
        <v>45748.56105324074</v>
      </c>
      <c r="C670" s="1" t="n">
        <v>45973</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29411-2025</t>
        </is>
      </c>
      <c r="B671" s="1" t="n">
        <v>45824.6219212963</v>
      </c>
      <c r="C671" s="1" t="n">
        <v>45973</v>
      </c>
      <c r="D671" t="inlineStr">
        <is>
          <t>ÖSTERGÖTLANDS LÄN</t>
        </is>
      </c>
      <c r="E671" t="inlineStr">
        <is>
          <t>LINKÖPING</t>
        </is>
      </c>
      <c r="F671" t="inlineStr">
        <is>
          <t>Sveaskog</t>
        </is>
      </c>
      <c r="G671" t="n">
        <v>0.6</v>
      </c>
      <c r="H671" t="n">
        <v>0</v>
      </c>
      <c r="I671" t="n">
        <v>0</v>
      </c>
      <c r="J671" t="n">
        <v>0</v>
      </c>
      <c r="K671" t="n">
        <v>0</v>
      </c>
      <c r="L671" t="n">
        <v>0</v>
      </c>
      <c r="M671" t="n">
        <v>0</v>
      </c>
      <c r="N671" t="n">
        <v>0</v>
      </c>
      <c r="O671" t="n">
        <v>0</v>
      </c>
      <c r="P671" t="n">
        <v>0</v>
      </c>
      <c r="Q671" t="n">
        <v>0</v>
      </c>
      <c r="R671" s="2" t="inlineStr"/>
    </row>
    <row r="672" ht="15" customHeight="1">
      <c r="A672" t="inlineStr">
        <is>
          <t>A 4298-2023</t>
        </is>
      </c>
      <c r="B672" s="1" t="n">
        <v>44953</v>
      </c>
      <c r="C672" s="1" t="n">
        <v>45973</v>
      </c>
      <c r="D672" t="inlineStr">
        <is>
          <t>ÖSTERGÖTLANDS LÄN</t>
        </is>
      </c>
      <c r="E672" t="inlineStr">
        <is>
          <t>LINKÖPING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18145-2021</t>
        </is>
      </c>
      <c r="B673" s="1" t="n">
        <v>44302</v>
      </c>
      <c r="C673" s="1" t="n">
        <v>45973</v>
      </c>
      <c r="D673" t="inlineStr">
        <is>
          <t>ÖSTERGÖTLANDS LÄN</t>
        </is>
      </c>
      <c r="E673" t="inlineStr">
        <is>
          <t>LINKÖPING</t>
        </is>
      </c>
      <c r="G673" t="n">
        <v>2.4</v>
      </c>
      <c r="H673" t="n">
        <v>0</v>
      </c>
      <c r="I673" t="n">
        <v>0</v>
      </c>
      <c r="J673" t="n">
        <v>0</v>
      </c>
      <c r="K673" t="n">
        <v>0</v>
      </c>
      <c r="L673" t="n">
        <v>0</v>
      </c>
      <c r="M673" t="n">
        <v>0</v>
      </c>
      <c r="N673" t="n">
        <v>0</v>
      </c>
      <c r="O673" t="n">
        <v>0</v>
      </c>
      <c r="P673" t="n">
        <v>0</v>
      </c>
      <c r="Q673" t="n">
        <v>0</v>
      </c>
      <c r="R673" s="2" t="inlineStr"/>
    </row>
    <row r="674" ht="15" customHeight="1">
      <c r="A674" t="inlineStr">
        <is>
          <t>A 25568-2024</t>
        </is>
      </c>
      <c r="B674" s="1" t="n">
        <v>45463.58699074074</v>
      </c>
      <c r="C674" s="1" t="n">
        <v>45973</v>
      </c>
      <c r="D674" t="inlineStr">
        <is>
          <t>ÖSTERGÖTLANDS LÄN</t>
        </is>
      </c>
      <c r="E674" t="inlineStr">
        <is>
          <t>LINKÖPING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38136-2023</t>
        </is>
      </c>
      <c r="B675" s="1" t="n">
        <v>45161.37310185185</v>
      </c>
      <c r="C675" s="1" t="n">
        <v>45973</v>
      </c>
      <c r="D675" t="inlineStr">
        <is>
          <t>ÖSTERGÖTLANDS LÄN</t>
        </is>
      </c>
      <c r="E675" t="inlineStr">
        <is>
          <t>LINKÖPING</t>
        </is>
      </c>
      <c r="G675" t="n">
        <v>5.6</v>
      </c>
      <c r="H675" t="n">
        <v>0</v>
      </c>
      <c r="I675" t="n">
        <v>0</v>
      </c>
      <c r="J675" t="n">
        <v>0</v>
      </c>
      <c r="K675" t="n">
        <v>0</v>
      </c>
      <c r="L675" t="n">
        <v>0</v>
      </c>
      <c r="M675" t="n">
        <v>0</v>
      </c>
      <c r="N675" t="n">
        <v>0</v>
      </c>
      <c r="O675" t="n">
        <v>0</v>
      </c>
      <c r="P675" t="n">
        <v>0</v>
      </c>
      <c r="Q675" t="n">
        <v>0</v>
      </c>
      <c r="R675" s="2" t="inlineStr"/>
    </row>
    <row r="676" ht="15" customHeight="1">
      <c r="A676" t="inlineStr">
        <is>
          <t>A 12317-2025</t>
        </is>
      </c>
      <c r="B676" s="1" t="n">
        <v>45729.8487037037</v>
      </c>
      <c r="C676" s="1" t="n">
        <v>45973</v>
      </c>
      <c r="D676" t="inlineStr">
        <is>
          <t>ÖSTERGÖTLANDS LÄN</t>
        </is>
      </c>
      <c r="E676" t="inlineStr">
        <is>
          <t>LINKÖPING</t>
        </is>
      </c>
      <c r="G676" t="n">
        <v>8</v>
      </c>
      <c r="H676" t="n">
        <v>0</v>
      </c>
      <c r="I676" t="n">
        <v>0</v>
      </c>
      <c r="J676" t="n">
        <v>0</v>
      </c>
      <c r="K676" t="n">
        <v>0</v>
      </c>
      <c r="L676" t="n">
        <v>0</v>
      </c>
      <c r="M676" t="n">
        <v>0</v>
      </c>
      <c r="N676" t="n">
        <v>0</v>
      </c>
      <c r="O676" t="n">
        <v>0</v>
      </c>
      <c r="P676" t="n">
        <v>0</v>
      </c>
      <c r="Q676" t="n">
        <v>0</v>
      </c>
      <c r="R676" s="2" t="inlineStr"/>
    </row>
    <row r="677" ht="15" customHeight="1">
      <c r="A677" t="inlineStr">
        <is>
          <t>A 14528-2025</t>
        </is>
      </c>
      <c r="B677" s="1" t="n">
        <v>45741</v>
      </c>
      <c r="C677" s="1" t="n">
        <v>45973</v>
      </c>
      <c r="D677" t="inlineStr">
        <is>
          <t>ÖSTERGÖTLANDS LÄN</t>
        </is>
      </c>
      <c r="E677" t="inlineStr">
        <is>
          <t>LINKÖPING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61649-2023</t>
        </is>
      </c>
      <c r="B678" s="1" t="n">
        <v>45265</v>
      </c>
      <c r="C678" s="1" t="n">
        <v>45973</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29599-2025</t>
        </is>
      </c>
      <c r="B679" s="1" t="n">
        <v>45825.41101851852</v>
      </c>
      <c r="C679" s="1" t="n">
        <v>45973</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60985-2023</t>
        </is>
      </c>
      <c r="B680" s="1" t="n">
        <v>45261.48429398148</v>
      </c>
      <c r="C680" s="1" t="n">
        <v>45973</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421-2024</t>
        </is>
      </c>
      <c r="B681" s="1" t="n">
        <v>45296.51877314815</v>
      </c>
      <c r="C681" s="1" t="n">
        <v>45973</v>
      </c>
      <c r="D681" t="inlineStr">
        <is>
          <t>ÖSTERGÖTLANDS LÄN</t>
        </is>
      </c>
      <c r="E681" t="inlineStr">
        <is>
          <t>LINKÖPING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45973</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53639-2023</t>
        </is>
      </c>
      <c r="B683" s="1" t="n">
        <v>45230.59686342593</v>
      </c>
      <c r="C683" s="1" t="n">
        <v>45973</v>
      </c>
      <c r="D683" t="inlineStr">
        <is>
          <t>ÖSTERGÖTLANDS LÄN</t>
        </is>
      </c>
      <c r="E683" t="inlineStr">
        <is>
          <t>LINKÖPING</t>
        </is>
      </c>
      <c r="G683" t="n">
        <v>2.3</v>
      </c>
      <c r="H683" t="n">
        <v>0</v>
      </c>
      <c r="I683" t="n">
        <v>0</v>
      </c>
      <c r="J683" t="n">
        <v>0</v>
      </c>
      <c r="K683" t="n">
        <v>0</v>
      </c>
      <c r="L683" t="n">
        <v>0</v>
      </c>
      <c r="M683" t="n">
        <v>0</v>
      </c>
      <c r="N683" t="n">
        <v>0</v>
      </c>
      <c r="O683" t="n">
        <v>0</v>
      </c>
      <c r="P683" t="n">
        <v>0</v>
      </c>
      <c r="Q683" t="n">
        <v>0</v>
      </c>
      <c r="R683" s="2" t="inlineStr"/>
    </row>
    <row r="684" ht="15" customHeight="1">
      <c r="A684" t="inlineStr">
        <is>
          <t>A 24467-2023</t>
        </is>
      </c>
      <c r="B684" s="1" t="n">
        <v>45082</v>
      </c>
      <c r="C684" s="1" t="n">
        <v>45973</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62488-2023</t>
        </is>
      </c>
      <c r="B685" s="1" t="n">
        <v>45268.5847337963</v>
      </c>
      <c r="C685" s="1" t="n">
        <v>45973</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62495-2023</t>
        </is>
      </c>
      <c r="B686" s="1" t="n">
        <v>45268.59717592593</v>
      </c>
      <c r="C686" s="1" t="n">
        <v>45973</v>
      </c>
      <c r="D686" t="inlineStr">
        <is>
          <t>ÖSTERGÖTLANDS LÄN</t>
        </is>
      </c>
      <c r="E686" t="inlineStr">
        <is>
          <t>LINKÖPING</t>
        </is>
      </c>
      <c r="G686" t="n">
        <v>4.1</v>
      </c>
      <c r="H686" t="n">
        <v>0</v>
      </c>
      <c r="I686" t="n">
        <v>0</v>
      </c>
      <c r="J686" t="n">
        <v>0</v>
      </c>
      <c r="K686" t="n">
        <v>0</v>
      </c>
      <c r="L686" t="n">
        <v>0</v>
      </c>
      <c r="M686" t="n">
        <v>0</v>
      </c>
      <c r="N686" t="n">
        <v>0</v>
      </c>
      <c r="O686" t="n">
        <v>0</v>
      </c>
      <c r="P686" t="n">
        <v>0</v>
      </c>
      <c r="Q686" t="n">
        <v>0</v>
      </c>
      <c r="R686" s="2" t="inlineStr"/>
    </row>
    <row r="687" ht="15" customHeight="1">
      <c r="A687" t="inlineStr">
        <is>
          <t>A 30355-2025</t>
        </is>
      </c>
      <c r="B687" s="1" t="n">
        <v>45827</v>
      </c>
      <c r="C687" s="1" t="n">
        <v>45973</v>
      </c>
      <c r="D687" t="inlineStr">
        <is>
          <t>ÖSTERGÖTLANDS LÄN</t>
        </is>
      </c>
      <c r="E687" t="inlineStr">
        <is>
          <t>LINKÖPING</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30353-2025</t>
        </is>
      </c>
      <c r="B688" s="1" t="n">
        <v>45827</v>
      </c>
      <c r="C688" s="1" t="n">
        <v>45973</v>
      </c>
      <c r="D688" t="inlineStr">
        <is>
          <t>ÖSTERGÖTLANDS LÄN</t>
        </is>
      </c>
      <c r="E688" t="inlineStr">
        <is>
          <t>LINKÖPING</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10198-2023</t>
        </is>
      </c>
      <c r="B689" s="1" t="n">
        <v>44986.54665509259</v>
      </c>
      <c r="C689" s="1" t="n">
        <v>45973</v>
      </c>
      <c r="D689" t="inlineStr">
        <is>
          <t>ÖSTERGÖTLANDS LÄN</t>
        </is>
      </c>
      <c r="E689" t="inlineStr">
        <is>
          <t>LINKÖPING</t>
        </is>
      </c>
      <c r="G689" t="n">
        <v>4.6</v>
      </c>
      <c r="H689" t="n">
        <v>0</v>
      </c>
      <c r="I689" t="n">
        <v>0</v>
      </c>
      <c r="J689" t="n">
        <v>0</v>
      </c>
      <c r="K689" t="n">
        <v>0</v>
      </c>
      <c r="L689" t="n">
        <v>0</v>
      </c>
      <c r="M689" t="n">
        <v>0</v>
      </c>
      <c r="N689" t="n">
        <v>0</v>
      </c>
      <c r="O689" t="n">
        <v>0</v>
      </c>
      <c r="P689" t="n">
        <v>0</v>
      </c>
      <c r="Q689" t="n">
        <v>0</v>
      </c>
      <c r="R689" s="2" t="inlineStr"/>
    </row>
    <row r="690" ht="15" customHeight="1">
      <c r="A690" t="inlineStr">
        <is>
          <t>A 22771-2024</t>
        </is>
      </c>
      <c r="B690" s="1" t="n">
        <v>45448.46574074074</v>
      </c>
      <c r="C690" s="1" t="n">
        <v>45973</v>
      </c>
      <c r="D690" t="inlineStr">
        <is>
          <t>ÖSTERGÖTLANDS LÄN</t>
        </is>
      </c>
      <c r="E690" t="inlineStr">
        <is>
          <t>LINKÖPING</t>
        </is>
      </c>
      <c r="F690" t="inlineStr">
        <is>
          <t>Sveaskog</t>
        </is>
      </c>
      <c r="G690" t="n">
        <v>2.7</v>
      </c>
      <c r="H690" t="n">
        <v>0</v>
      </c>
      <c r="I690" t="n">
        <v>0</v>
      </c>
      <c r="J690" t="n">
        <v>0</v>
      </c>
      <c r="K690" t="n">
        <v>0</v>
      </c>
      <c r="L690" t="n">
        <v>0</v>
      </c>
      <c r="M690" t="n">
        <v>0</v>
      </c>
      <c r="N690" t="n">
        <v>0</v>
      </c>
      <c r="O690" t="n">
        <v>0</v>
      </c>
      <c r="P690" t="n">
        <v>0</v>
      </c>
      <c r="Q690" t="n">
        <v>0</v>
      </c>
      <c r="R690" s="2" t="inlineStr"/>
    </row>
    <row r="691" ht="15" customHeight="1">
      <c r="A691" t="inlineStr">
        <is>
          <t>A 17128-2025</t>
        </is>
      </c>
      <c r="B691" s="1" t="n">
        <v>45755.72622685185</v>
      </c>
      <c r="C691" s="1" t="n">
        <v>45973</v>
      </c>
      <c r="D691" t="inlineStr">
        <is>
          <t>ÖSTERGÖTLANDS LÄN</t>
        </is>
      </c>
      <c r="E691" t="inlineStr">
        <is>
          <t>LINKÖPING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62018-2024</t>
        </is>
      </c>
      <c r="B692" s="1" t="n">
        <v>45655.81387731482</v>
      </c>
      <c r="C692" s="1" t="n">
        <v>45973</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62073-2023</t>
        </is>
      </c>
      <c r="B693" s="1" t="n">
        <v>45266.73844907407</v>
      </c>
      <c r="C693" s="1" t="n">
        <v>45973</v>
      </c>
      <c r="D693" t="inlineStr">
        <is>
          <t>ÖSTERGÖTLANDS LÄN</t>
        </is>
      </c>
      <c r="E693" t="inlineStr">
        <is>
          <t>LINKÖPING</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672-2024</t>
        </is>
      </c>
      <c r="B694" s="1" t="n">
        <v>45300</v>
      </c>
      <c r="C694" s="1" t="n">
        <v>45973</v>
      </c>
      <c r="D694" t="inlineStr">
        <is>
          <t>ÖSTERGÖTLANDS LÄN</t>
        </is>
      </c>
      <c r="E694" t="inlineStr">
        <is>
          <t>LINKÖPING</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42832-2023</t>
        </is>
      </c>
      <c r="B695" s="1" t="n">
        <v>45182.38091435185</v>
      </c>
      <c r="C695" s="1" t="n">
        <v>45973</v>
      </c>
      <c r="D695" t="inlineStr">
        <is>
          <t>ÖSTERGÖTLANDS LÄN</t>
        </is>
      </c>
      <c r="E695" t="inlineStr">
        <is>
          <t>LINKÖPING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31581-2025</t>
        </is>
      </c>
      <c r="B696" s="1" t="n">
        <v>45833.6840162037</v>
      </c>
      <c r="C696" s="1" t="n">
        <v>45973</v>
      </c>
      <c r="D696" t="inlineStr">
        <is>
          <t>ÖSTERGÖTLANDS LÄN</t>
        </is>
      </c>
      <c r="E696" t="inlineStr">
        <is>
          <t>LINKÖPING</t>
        </is>
      </c>
      <c r="G696" t="n">
        <v>2.6</v>
      </c>
      <c r="H696" t="n">
        <v>0</v>
      </c>
      <c r="I696" t="n">
        <v>0</v>
      </c>
      <c r="J696" t="n">
        <v>0</v>
      </c>
      <c r="K696" t="n">
        <v>0</v>
      </c>
      <c r="L696" t="n">
        <v>0</v>
      </c>
      <c r="M696" t="n">
        <v>0</v>
      </c>
      <c r="N696" t="n">
        <v>0</v>
      </c>
      <c r="O696" t="n">
        <v>0</v>
      </c>
      <c r="P696" t="n">
        <v>0</v>
      </c>
      <c r="Q696" t="n">
        <v>0</v>
      </c>
      <c r="R696" s="2" t="inlineStr"/>
    </row>
    <row r="697" ht="15" customHeight="1">
      <c r="A697" t="inlineStr">
        <is>
          <t>A 31585-2025</t>
        </is>
      </c>
      <c r="B697" s="1" t="n">
        <v>45833.68815972222</v>
      </c>
      <c r="C697" s="1" t="n">
        <v>45973</v>
      </c>
      <c r="D697" t="inlineStr">
        <is>
          <t>ÖSTERGÖTLANDS LÄN</t>
        </is>
      </c>
      <c r="E697" t="inlineStr">
        <is>
          <t>LINKÖPING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32723-2025</t>
        </is>
      </c>
      <c r="B698" s="1" t="n">
        <v>45838</v>
      </c>
      <c r="C698" s="1" t="n">
        <v>45973</v>
      </c>
      <c r="D698" t="inlineStr">
        <is>
          <t>ÖSTERGÖTLANDS LÄN</t>
        </is>
      </c>
      <c r="E698" t="inlineStr">
        <is>
          <t>LINKÖPING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33947-2025</t>
        </is>
      </c>
      <c r="B699" s="1" t="n">
        <v>45842.65444444444</v>
      </c>
      <c r="C699" s="1" t="n">
        <v>45973</v>
      </c>
      <c r="D699" t="inlineStr">
        <is>
          <t>ÖSTERGÖTLANDS LÄN</t>
        </is>
      </c>
      <c r="E699" t="inlineStr">
        <is>
          <t>LINKÖPING</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62012-2024</t>
        </is>
      </c>
      <c r="B700" s="1" t="n">
        <v>45655.79679398148</v>
      </c>
      <c r="C700" s="1" t="n">
        <v>45973</v>
      </c>
      <c r="D700" t="inlineStr">
        <is>
          <t>ÖSTERGÖTLANDS LÄN</t>
        </is>
      </c>
      <c r="E700" t="inlineStr">
        <is>
          <t>LINKÖPING</t>
        </is>
      </c>
      <c r="G700" t="n">
        <v>1.5</v>
      </c>
      <c r="H700" t="n">
        <v>0</v>
      </c>
      <c r="I700" t="n">
        <v>0</v>
      </c>
      <c r="J700" t="n">
        <v>0</v>
      </c>
      <c r="K700" t="n">
        <v>0</v>
      </c>
      <c r="L700" t="n">
        <v>0</v>
      </c>
      <c r="M700" t="n">
        <v>0</v>
      </c>
      <c r="N700" t="n">
        <v>0</v>
      </c>
      <c r="O700" t="n">
        <v>0</v>
      </c>
      <c r="P700" t="n">
        <v>0</v>
      </c>
      <c r="Q700" t="n">
        <v>0</v>
      </c>
      <c r="R700" s="2" t="inlineStr"/>
    </row>
    <row r="701" ht="15" customHeight="1">
      <c r="A701" t="inlineStr">
        <is>
          <t>A 53529-2024</t>
        </is>
      </c>
      <c r="B701" s="1" t="n">
        <v>45614</v>
      </c>
      <c r="C701" s="1" t="n">
        <v>45973</v>
      </c>
      <c r="D701" t="inlineStr">
        <is>
          <t>ÖSTERGÖTLANDS LÄN</t>
        </is>
      </c>
      <c r="E701" t="inlineStr">
        <is>
          <t>LINKÖPING</t>
        </is>
      </c>
      <c r="G701" t="n">
        <v>6.7</v>
      </c>
      <c r="H701" t="n">
        <v>0</v>
      </c>
      <c r="I701" t="n">
        <v>0</v>
      </c>
      <c r="J701" t="n">
        <v>0</v>
      </c>
      <c r="K701" t="n">
        <v>0</v>
      </c>
      <c r="L701" t="n">
        <v>0</v>
      </c>
      <c r="M701" t="n">
        <v>0</v>
      </c>
      <c r="N701" t="n">
        <v>0</v>
      </c>
      <c r="O701" t="n">
        <v>0</v>
      </c>
      <c r="P701" t="n">
        <v>0</v>
      </c>
      <c r="Q701" t="n">
        <v>0</v>
      </c>
      <c r="R701" s="2" t="inlineStr"/>
    </row>
    <row r="702" ht="15" customHeight="1">
      <c r="A702" t="inlineStr">
        <is>
          <t>A 20469-2025</t>
        </is>
      </c>
      <c r="B702" s="1" t="n">
        <v>45775</v>
      </c>
      <c r="C702" s="1" t="n">
        <v>45973</v>
      </c>
      <c r="D702" t="inlineStr">
        <is>
          <t>ÖSTERGÖTLANDS LÄN</t>
        </is>
      </c>
      <c r="E702" t="inlineStr">
        <is>
          <t>LINKÖPING</t>
        </is>
      </c>
      <c r="F702" t="inlineStr">
        <is>
          <t>Kyrkan</t>
        </is>
      </c>
      <c r="G702" t="n">
        <v>6.1</v>
      </c>
      <c r="H702" t="n">
        <v>0</v>
      </c>
      <c r="I702" t="n">
        <v>0</v>
      </c>
      <c r="J702" t="n">
        <v>0</v>
      </c>
      <c r="K702" t="n">
        <v>0</v>
      </c>
      <c r="L702" t="n">
        <v>0</v>
      </c>
      <c r="M702" t="n">
        <v>0</v>
      </c>
      <c r="N702" t="n">
        <v>0</v>
      </c>
      <c r="O702" t="n">
        <v>0</v>
      </c>
      <c r="P702" t="n">
        <v>0</v>
      </c>
      <c r="Q702" t="n">
        <v>0</v>
      </c>
      <c r="R702" s="2" t="inlineStr"/>
    </row>
    <row r="703" ht="15" customHeight="1">
      <c r="A703" t="inlineStr">
        <is>
          <t>A 33800-2023</t>
        </is>
      </c>
      <c r="B703" s="1" t="n">
        <v>45121</v>
      </c>
      <c r="C703" s="1" t="n">
        <v>45973</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47991-2023</t>
        </is>
      </c>
      <c r="B704" s="1" t="n">
        <v>45204.62655092592</v>
      </c>
      <c r="C704" s="1" t="n">
        <v>45973</v>
      </c>
      <c r="D704" t="inlineStr">
        <is>
          <t>ÖSTERGÖTLANDS LÄN</t>
        </is>
      </c>
      <c r="E704" t="inlineStr">
        <is>
          <t>LINKÖPING</t>
        </is>
      </c>
      <c r="F704" t="inlineStr">
        <is>
          <t>Allmännings- och besparingsskogar</t>
        </is>
      </c>
      <c r="G704" t="n">
        <v>7.3</v>
      </c>
      <c r="H704" t="n">
        <v>0</v>
      </c>
      <c r="I704" t="n">
        <v>0</v>
      </c>
      <c r="J704" t="n">
        <v>0</v>
      </c>
      <c r="K704" t="n">
        <v>0</v>
      </c>
      <c r="L704" t="n">
        <v>0</v>
      </c>
      <c r="M704" t="n">
        <v>0</v>
      </c>
      <c r="N704" t="n">
        <v>0</v>
      </c>
      <c r="O704" t="n">
        <v>0</v>
      </c>
      <c r="P704" t="n">
        <v>0</v>
      </c>
      <c r="Q704" t="n">
        <v>0</v>
      </c>
      <c r="R704" s="2" t="inlineStr"/>
    </row>
    <row r="705" ht="15" customHeight="1">
      <c r="A705" t="inlineStr">
        <is>
          <t>A 35178-2025</t>
        </is>
      </c>
      <c r="B705" s="1" t="n">
        <v>45852.91939814815</v>
      </c>
      <c r="C705" s="1" t="n">
        <v>45973</v>
      </c>
      <c r="D705" t="inlineStr">
        <is>
          <t>ÖSTERGÖTLANDS LÄN</t>
        </is>
      </c>
      <c r="E705" t="inlineStr">
        <is>
          <t>LINKÖPING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35174-2025</t>
        </is>
      </c>
      <c r="B706" s="1" t="n">
        <v>45852.90648148148</v>
      </c>
      <c r="C706" s="1" t="n">
        <v>45973</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26007-2025</t>
        </is>
      </c>
      <c r="B707" s="1" t="n">
        <v>45804.67081018518</v>
      </c>
      <c r="C707" s="1" t="n">
        <v>45973</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35179-2025</t>
        </is>
      </c>
      <c r="B708" s="1" t="n">
        <v>45852.93737268518</v>
      </c>
      <c r="C708" s="1" t="n">
        <v>45973</v>
      </c>
      <c r="D708" t="inlineStr">
        <is>
          <t>ÖSTERGÖTLANDS LÄN</t>
        </is>
      </c>
      <c r="E708" t="inlineStr">
        <is>
          <t>LINKÖPING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35180-2025</t>
        </is>
      </c>
      <c r="B709" s="1" t="n">
        <v>45852.9413425926</v>
      </c>
      <c r="C709" s="1" t="n">
        <v>45973</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35747-2025</t>
        </is>
      </c>
      <c r="B710" s="1" t="n">
        <v>45860.56385416666</v>
      </c>
      <c r="C710" s="1" t="n">
        <v>45973</v>
      </c>
      <c r="D710" t="inlineStr">
        <is>
          <t>ÖSTERGÖTLANDS LÄN</t>
        </is>
      </c>
      <c r="E710" t="inlineStr">
        <is>
          <t>LINKÖPING</t>
        </is>
      </c>
      <c r="G710" t="n">
        <v>2.4</v>
      </c>
      <c r="H710" t="n">
        <v>0</v>
      </c>
      <c r="I710" t="n">
        <v>0</v>
      </c>
      <c r="J710" t="n">
        <v>0</v>
      </c>
      <c r="K710" t="n">
        <v>0</v>
      </c>
      <c r="L710" t="n">
        <v>0</v>
      </c>
      <c r="M710" t="n">
        <v>0</v>
      </c>
      <c r="N710" t="n">
        <v>0</v>
      </c>
      <c r="O710" t="n">
        <v>0</v>
      </c>
      <c r="P710" t="n">
        <v>0</v>
      </c>
      <c r="Q710" t="n">
        <v>0</v>
      </c>
      <c r="R710" s="2" t="inlineStr"/>
    </row>
    <row r="711" ht="15" customHeight="1">
      <c r="A711" t="inlineStr">
        <is>
          <t>A 35745-2025</t>
        </is>
      </c>
      <c r="B711" s="1" t="n">
        <v>45860.54739583333</v>
      </c>
      <c r="C711" s="1" t="n">
        <v>45973</v>
      </c>
      <c r="D711" t="inlineStr">
        <is>
          <t>ÖSTERGÖTLANDS LÄN</t>
        </is>
      </c>
      <c r="E711" t="inlineStr">
        <is>
          <t>LINKÖPING</t>
        </is>
      </c>
      <c r="G711" t="n">
        <v>4.4</v>
      </c>
      <c r="H711" t="n">
        <v>0</v>
      </c>
      <c r="I711" t="n">
        <v>0</v>
      </c>
      <c r="J711" t="n">
        <v>0</v>
      </c>
      <c r="K711" t="n">
        <v>0</v>
      </c>
      <c r="L711" t="n">
        <v>0</v>
      </c>
      <c r="M711" t="n">
        <v>0</v>
      </c>
      <c r="N711" t="n">
        <v>0</v>
      </c>
      <c r="O711" t="n">
        <v>0</v>
      </c>
      <c r="P711" t="n">
        <v>0</v>
      </c>
      <c r="Q711" t="n">
        <v>0</v>
      </c>
      <c r="R711" s="2" t="inlineStr"/>
    </row>
    <row r="712" ht="15" customHeight="1">
      <c r="A712" t="inlineStr">
        <is>
          <t>A 35757-2025</t>
        </is>
      </c>
      <c r="B712" s="1" t="n">
        <v>45860.59876157407</v>
      </c>
      <c r="C712" s="1" t="n">
        <v>45973</v>
      </c>
      <c r="D712" t="inlineStr">
        <is>
          <t>ÖSTERGÖTLANDS LÄN</t>
        </is>
      </c>
      <c r="E712" t="inlineStr">
        <is>
          <t>LINKÖPING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35759-2025</t>
        </is>
      </c>
      <c r="B713" s="1" t="n">
        <v>45860</v>
      </c>
      <c r="C713" s="1" t="n">
        <v>45973</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37057-2025</t>
        </is>
      </c>
      <c r="B714" s="1" t="n">
        <v>45875.37489583333</v>
      </c>
      <c r="C714" s="1" t="n">
        <v>45973</v>
      </c>
      <c r="D714" t="inlineStr">
        <is>
          <t>ÖSTERGÖTLANDS LÄN</t>
        </is>
      </c>
      <c r="E714" t="inlineStr">
        <is>
          <t>LINKÖPING</t>
        </is>
      </c>
      <c r="G714" t="n">
        <v>3.3</v>
      </c>
      <c r="H714" t="n">
        <v>0</v>
      </c>
      <c r="I714" t="n">
        <v>0</v>
      </c>
      <c r="J714" t="n">
        <v>0</v>
      </c>
      <c r="K714" t="n">
        <v>0</v>
      </c>
      <c r="L714" t="n">
        <v>0</v>
      </c>
      <c r="M714" t="n">
        <v>0</v>
      </c>
      <c r="N714" t="n">
        <v>0</v>
      </c>
      <c r="O714" t="n">
        <v>0</v>
      </c>
      <c r="P714" t="n">
        <v>0</v>
      </c>
      <c r="Q714" t="n">
        <v>0</v>
      </c>
      <c r="R714" s="2" t="inlineStr"/>
    </row>
    <row r="715">
      <c r="A715" t="inlineStr">
        <is>
          <t>A 25829-2025</t>
        </is>
      </c>
      <c r="B715" s="1" t="n">
        <v>45804.44505787037</v>
      </c>
      <c r="C715" s="1" t="n">
        <v>45973</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2025-11-12T10:10:30Z</dcterms:created>
  <dcterms:modified xmlns:dcterms="http://purl.org/dc/terms/" xmlns:xsi="http://www.w3.org/2001/XMLSchema-instance" xsi:type="dcterms:W3CDTF">2025-11-12T10:10:31Z</dcterms:modified>
</cp:coreProperties>
</file>